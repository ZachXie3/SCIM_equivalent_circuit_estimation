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\Electrical Design\4P\SERIES DESIGNS\"/>
    </mc:Choice>
  </mc:AlternateContent>
  <xr:revisionPtr revIDLastSave="0" documentId="13_ncr:1_{3792B458-0E7F-4774-9F2C-0188505A981F}" xr6:coauthVersionLast="47" xr6:coauthVersionMax="47" xr10:uidLastSave="{00000000-0000-0000-0000-000000000000}"/>
  <bookViews>
    <workbookView xWindow="-24120" yWindow="1905" windowWidth="24240" windowHeight="13140" tabRatio="660" firstSheet="6" activeTab="8" xr2:uid="{00000000-000D-0000-FFFF-FFFF00000000}"/>
  </bookViews>
  <sheets>
    <sheet name="DesignSheet 0.8V" sheetId="15" r:id="rId1"/>
    <sheet name="DesignSheet" sheetId="2" r:id="rId2"/>
    <sheet name="Data Sheet" sheetId="3" r:id="rId3"/>
    <sheet name="Performance Data Sheet" sheetId="10" r:id="rId4"/>
    <sheet name="STCurve" sheetId="6" r:id="rId5"/>
    <sheet name="Thermdam" sheetId="8" r:id="rId6"/>
    <sheet name="Performance 4000V" sheetId="11" r:id="rId7"/>
    <sheet name="Performance 2300V" sheetId="12" r:id="rId8"/>
    <sheet name="Circuit Param" sheetId="13" r:id="rId9"/>
    <sheet name="Performance API" sheetId="14" r:id="rId10"/>
    <sheet name="StallTime" sheetId="7" r:id="rId11"/>
    <sheet name="MagNoise" sheetId="9" r:id="rId12"/>
    <sheet name="Form" sheetId="5" r:id="rId13"/>
  </sheets>
  <externalReferences>
    <externalReference r:id="rId14"/>
  </externalReferences>
  <definedNames>
    <definedName name="_Regression_Int" localSheetId="8" hidden="1">1</definedName>
    <definedName name="_Regression_Int" localSheetId="9" hidden="1">1</definedName>
    <definedName name="_Regression_Int" localSheetId="3" hidden="1">1</definedName>
    <definedName name="_xlnm.Print_Area" localSheetId="8">'Circuit Param'!$A$1:$M$42</definedName>
    <definedName name="_xlnm.Print_Area" localSheetId="2">'Data Sheet'!$A$1:$K$46</definedName>
    <definedName name="_xlnm.Print_Area" localSheetId="1">DesignSheet!$A$1:$J$68</definedName>
    <definedName name="_xlnm.Print_Area" localSheetId="0">'DesignSheet 0.8V'!$A$1:$J$69</definedName>
    <definedName name="_xlnm.Print_Area" localSheetId="12">Form!$A$1:$F$39</definedName>
    <definedName name="_xlnm.Print_Area" localSheetId="7">'Performance 2300V'!$A$1:$F$43</definedName>
    <definedName name="_xlnm.Print_Area" localSheetId="6">'Performance 4000V'!$A$1:$F$43</definedName>
    <definedName name="_xlnm.Print_Area" localSheetId="9">'Performance API'!$A$1:$M$54</definedName>
    <definedName name="_xlnm.Print_Area" localSheetId="3">'Performance Data Sheet'!$A$1:$M$44</definedName>
    <definedName name="_xlnm.Print_Area" localSheetId="10">StallTime!$A$1:$G$40</definedName>
    <definedName name="_xlnm.Print_Area" localSheetId="4">STCurve!$A$1:$F$43</definedName>
    <definedName name="_xlnm.Print_Area" localSheetId="5">Thermdam!$A$1:$F$43</definedName>
    <definedName name="Print_Area_MI" localSheetId="8">'Circuit Param'!$A$8:$N$43</definedName>
    <definedName name="Print_Area_MI" localSheetId="9">'Performance API'!$A$10:$N$18</definedName>
    <definedName name="Print_Area_MI">'Performance Data Sheet'!$A$10:$N$42</definedName>
    <definedName name="thermal">#REF!</definedName>
    <definedName name="transfer">#REF!</definedName>
    <definedName name="unit_sht">"unit_sht"</definedName>
    <definedName name="vassvelo">#REF!</definedName>
    <definedName name="velcoity">#REF!</definedName>
    <definedName name="viscosity">#REF!</definedName>
    <definedName name="vollheatre">#REF!</definedName>
    <definedName name="volumetri">#REF!</definedName>
    <definedName name="weight">#REF!</definedName>
    <definedName name="weights">#REF!</definedName>
    <definedName name="Z_852987ED_B4F5_11D1_ABEC_0000832EB49E_.wvu.PrintArea" localSheetId="7" hidden="1">'Performance 2300V'!$A$1:$F$43</definedName>
    <definedName name="Z_852987ED_B4F5_11D1_ABEC_0000832EB49E_.wvu.PrintArea" localSheetId="6" hidden="1">'Performance 4000V'!$A$1:$F$43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2" l="1"/>
  <c r="C39" i="12"/>
  <c r="D43" i="11"/>
  <c r="C39" i="11"/>
  <c r="M52" i="15" l="1"/>
  <c r="M50" i="15"/>
  <c r="M53" i="15" s="1"/>
  <c r="M49" i="15"/>
  <c r="M48" i="15"/>
  <c r="M47" i="15"/>
  <c r="M46" i="15"/>
  <c r="M41" i="15"/>
  <c r="N41" i="15" s="1"/>
  <c r="L41" i="15"/>
  <c r="M40" i="15"/>
  <c r="N40" i="15" s="1"/>
  <c r="L40" i="15"/>
  <c r="M39" i="15"/>
  <c r="N39" i="15" s="1"/>
  <c r="L39" i="15"/>
  <c r="M38" i="15"/>
  <c r="N38" i="15" s="1"/>
  <c r="L38" i="15"/>
  <c r="P34" i="15"/>
  <c r="P33" i="15"/>
  <c r="M33" i="15"/>
  <c r="P32" i="15"/>
  <c r="M32" i="15"/>
  <c r="P31" i="15"/>
  <c r="M31" i="15"/>
  <c r="P30" i="15"/>
  <c r="M30" i="15"/>
  <c r="M29" i="15"/>
  <c r="E55" i="6" l="1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F54" i="6"/>
  <c r="E54" i="6"/>
  <c r="F9" i="12"/>
  <c r="F7" i="12"/>
  <c r="B7" i="12"/>
  <c r="B6" i="12"/>
  <c r="F9" i="11"/>
  <c r="F7" i="11"/>
  <c r="B7" i="11"/>
  <c r="B6" i="11"/>
  <c r="D43" i="8" l="1"/>
  <c r="C39" i="8"/>
  <c r="D43" i="6"/>
  <c r="C39" i="6"/>
  <c r="F9" i="8"/>
  <c r="F7" i="8"/>
  <c r="D7" i="8"/>
  <c r="B7" i="8"/>
  <c r="F6" i="8"/>
  <c r="C12" i="6"/>
  <c r="F9" i="6"/>
  <c r="F7" i="6"/>
  <c r="B7" i="6"/>
  <c r="F6" i="6"/>
  <c r="D7" i="6"/>
  <c r="C76" i="8" l="1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<sst xmlns="http://schemas.openxmlformats.org/spreadsheetml/2006/main" count="1502" uniqueCount="881">
  <si>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</si>
  <si>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</si>
  <si>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</si>
  <si>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</si>
  <si>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</si>
  <si>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</si>
  <si>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</si>
  <si>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</si>
  <si>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</si>
  <si>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</si>
  <si>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</si>
  <si>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</si>
  <si>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</si>
  <si>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</si>
  <si>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</si>
  <si>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</si>
  <si>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</si>
  <si>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</si>
  <si>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</si>
  <si>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</si>
  <si>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</si>
  <si>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</si>
  <si>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</si>
  <si>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</si>
  <si>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</si>
  <si>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</si>
  <si>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</si>
  <si>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</si>
  <si>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</si>
  <si>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</si>
  <si>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</si>
  <si>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</si>
  <si>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</si>
  <si>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</si>
  <si>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</si>
  <si>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</si>
  <si>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</si>
  <si>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</si>
  <si>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</si>
  <si>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</si>
  <si>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</si>
  <si>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</si>
  <si>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</si>
  <si>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</si>
  <si>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</si>
  <si>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</si>
  <si>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</si>
  <si>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</si>
  <si>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</si>
  <si>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</si>
  <si>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</si>
  <si>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</si>
  <si>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</si>
  <si>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</si>
  <si>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</si>
  <si>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</si>
  <si>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</si>
  <si>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</si>
  <si>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</si>
  <si>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</si>
  <si>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</si>
  <si>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</si>
  <si>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</si>
  <si>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</si>
  <si>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</si>
  <si>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</si>
  <si>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</si>
  <si>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</si>
  <si>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</si>
  <si>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</si>
  <si>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</si>
  <si>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</si>
  <si>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</si>
  <si>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</si>
  <si>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</si>
  <si>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</si>
  <si>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</si>
  <si>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</si>
  <si>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</si>
  <si>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</si>
  <si>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</si>
  <si>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</si>
  <si>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</si>
  <si>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</si>
  <si>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</si>
  <si>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</si>
  <si>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</si>
  <si>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</si>
  <si>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</si>
  <si>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</si>
  <si>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</si>
  <si>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</si>
  <si>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</si>
  <si>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</si>
  <si>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</si>
  <si>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</si>
  <si>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</si>
  <si>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</si>
  <si>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</si>
  <si>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</si>
  <si>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</si>
  <si>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</si>
  <si>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</si>
  <si>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</si>
  <si>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</si>
  <si>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</si>
  <si>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</si>
  <si>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</si>
  <si>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</si>
  <si>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</si>
  <si>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</si>
  <si>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</si>
  <si>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</si>
  <si>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</si>
  <si>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</si>
  <si>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</si>
  <si>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</si>
  <si>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</si>
  <si>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</si>
  <si>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</si>
  <si>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</si>
  <si>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</si>
  <si>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</si>
  <si>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</si>
  <si>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</si>
  <si>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</si>
  <si>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</si>
  <si>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</si>
  <si>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</si>
  <si>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</si>
  <si>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</si>
  <si>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</si>
  <si>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</si>
  <si>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</si>
  <si>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</si>
  <si>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</si>
  <si>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</si>
  <si>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</si>
  <si>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</si>
  <si>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</si>
  <si>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</si>
  <si>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</si>
  <si>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</si>
  <si>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</si>
  <si>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</si>
  <si>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</si>
  <si>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</si>
  <si>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</si>
  <si>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</si>
  <si>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</si>
  <si>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</si>
  <si>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</si>
  <si>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</si>
  <si>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</si>
  <si>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</si>
  <si>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</si>
  <si>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</si>
  <si>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</si>
  <si>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</si>
  <si>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</si>
  <si>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</si>
  <si>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</si>
  <si>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</si>
  <si>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</si>
  <si>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</si>
  <si>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</si>
  <si>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</si>
  <si>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</si>
  <si>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</si>
  <si>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</si>
  <si>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</si>
  <si>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</si>
  <si>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</si>
  <si>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</si>
  <si>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</si>
  <si>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</si>
  <si>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DCW4</t>
  </si>
  <si>
    <t>450-1600</t>
  </si>
  <si>
    <t>Open</t>
  </si>
  <si>
    <t>Rectang</t>
  </si>
  <si>
    <t>15.20 - 15.20</t>
  </si>
  <si>
    <t>1.20 - 0.50</t>
  </si>
  <si>
    <t>Normal</t>
  </si>
  <si>
    <t>27 x 6</t>
  </si>
  <si>
    <t>1 ~ 16</t>
  </si>
  <si>
    <t>(.128"x.204")x1</t>
  </si>
  <si>
    <t>(.128"x.229")x1</t>
  </si>
  <si>
    <t>Wye</t>
  </si>
  <si>
    <t>(105°C)</t>
  </si>
  <si>
    <t>CU</t>
  </si>
  <si>
    <t>Special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</si>
  <si>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</si>
  <si>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</si>
  <si>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</si>
  <si>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</si>
  <si>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</si>
  <si>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</si>
  <si>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</si>
  <si>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</si>
  <si>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</si>
  <si>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</si>
  <si>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0.0191)</t>
  </si>
  <si>
    <t>Skew R.: 0.00</t>
  </si>
  <si>
    <t>M:\Active Projects\6810 Development\Electrical Design\4P\SERIES DESIGNS\DT4M80U.rat</t>
  </si>
  <si>
    <t>2-2-2-0-1-2</t>
  </si>
  <si>
    <t>B.L.-1  P.F.-1</t>
  </si>
  <si>
    <t>20965.0 / 23007.0</t>
  </si>
  <si>
    <t>18952.5 / 17258.7</t>
  </si>
  <si>
    <t>42420.1 / 25085.3</t>
  </si>
  <si>
    <t>9000.0 / 8017.0</t>
  </si>
  <si>
    <t>32345.6 / 15253.6</t>
  </si>
  <si>
    <t>7882.2 / 3717.1</t>
  </si>
  <si>
    <t>24463.4 / 11536.5</t>
  </si>
  <si>
    <t>1.75 / 0.83</t>
  </si>
  <si>
    <t>64 / 66</t>
  </si>
  <si>
    <t>Temp. Rise @ 100%:</t>
  </si>
  <si>
    <t>Stray Loss</t>
  </si>
  <si>
    <t>0.943 / 0.940</t>
  </si>
  <si>
    <t>0.967 / 0.963</t>
  </si>
  <si>
    <t>0.973 / 0.969</t>
  </si>
  <si>
    <t>0.974 / 0.971</t>
  </si>
  <si>
    <t>0.974 / 0.970</t>
  </si>
  <si>
    <t>0.635 / 0.616</t>
  </si>
  <si>
    <t>0.825 / 0.801</t>
  </si>
  <si>
    <t>0.881 / 0.855</t>
  </si>
  <si>
    <t>0.898 / 0.872</t>
  </si>
  <si>
    <t>0.900 / 0.874</t>
  </si>
  <si>
    <t>179.94 / 185.98</t>
  </si>
  <si>
    <t>270.03 / 279.10</t>
  </si>
  <si>
    <t>376.97 / 389.64</t>
  </si>
  <si>
    <t>492.29 / 508.82</t>
  </si>
  <si>
    <t>614.49 / 635.13</t>
  </si>
  <si>
    <t>3.55 / 3.67</t>
  </si>
  <si>
    <t>UB: 4.86 / 5.02</t>
  </si>
  <si>
    <t>UER: 2.52 / 2.60</t>
  </si>
  <si>
    <t>1797.3 / 1798.5</t>
  </si>
  <si>
    <t>1794.6 / 1795.8</t>
  </si>
  <si>
    <t>1791.8 / 1793.1</t>
  </si>
  <si>
    <t>1788.9 / 1790.2</t>
  </si>
  <si>
    <t>1786.1 / 1787.4</t>
  </si>
  <si>
    <t>0.0015 / 0.0008</t>
  </si>
  <si>
    <t>0.0030 / 0.0023</t>
  </si>
  <si>
    <t>0.0046 / 0.0039</t>
  </si>
  <si>
    <t>0.0061 / 0.0054</t>
  </si>
  <si>
    <t>0.0077 / 0.0070</t>
  </si>
  <si>
    <t>128.720 / 115.907</t>
  </si>
  <si>
    <t>4.664 / 4.200</t>
  </si>
  <si>
    <t>128.80 / 115.98</t>
  </si>
  <si>
    <t>2623.4 / 2840.4</t>
  </si>
  <si>
    <t>532.9 / 577.0</t>
  </si>
  <si>
    <t>1184.3 / 2034.9</t>
  </si>
  <si>
    <t>72.9 / 125.3</t>
  </si>
  <si>
    <t>246.3 / 209.5</t>
  </si>
  <si>
    <t>Correlated to: TestData_H402125_Lab1384.dat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</si>
  <si>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</si>
  <si>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</si>
  <si>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</si>
  <si>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</si>
  <si>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</si>
  <si>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</si>
  <si>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</si>
  <si>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</si>
  <si>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</si>
  <si>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1587.0 kg.m²</t>
  </si>
  <si>
    <t>Acceleration Data (FV V)</t>
  </si>
  <si>
    <t>5.8 (s)</t>
  </si>
  <si>
    <t>1624.7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</si>
  <si>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</si>
  <si>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</si>
  <si>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</si>
  <si>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</si>
  <si>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</si>
  <si>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</si>
  <si>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</si>
  <si>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</si>
  <si>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</si>
  <si>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</si>
  <si>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</si>
  <si>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</si>
  <si>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</si>
  <si>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</si>
  <si>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</si>
  <si>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</si>
  <si>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</si>
  <si>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</si>
  <si>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</si>
  <si>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</si>
  <si>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</si>
  <si>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</si>
  <si>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</si>
  <si>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</si>
  <si>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</si>
  <si>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</si>
  <si>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</si>
  <si>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</si>
  <si>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</si>
  <si>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</si>
  <si>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</si>
  <si>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</si>
  <si>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</si>
  <si>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</si>
  <si>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</si>
  <si>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</si>
  <si>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</si>
  <si>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</si>
  <si>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</si>
  <si>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</si>
  <si>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</si>
  <si>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</si>
  <si>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</si>
  <si>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</si>
  <si>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</si>
  <si>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</si>
  <si>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</si>
  <si>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</si>
  <si>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</si>
  <si>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</si>
  <si>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</si>
  <si>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</si>
  <si>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</si>
  <si>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</si>
  <si>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</si>
  <si>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</si>
  <si>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</si>
  <si>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</si>
  <si>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</si>
  <si>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</si>
  <si>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</si>
  <si>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</si>
  <si>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</si>
  <si>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</si>
  <si>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</si>
  <si>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</si>
  <si>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</si>
  <si>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</si>
  <si>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</si>
  <si>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</si>
  <si>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</si>
  <si>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</si>
  <si>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</si>
  <si>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</si>
  <si>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</si>
  <si>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</si>
  <si>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</si>
  <si>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</si>
  <si>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</si>
  <si>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</si>
  <si>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</si>
  <si>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</si>
  <si>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E</t>
  </si>
  <si>
    <t>F</t>
  </si>
  <si>
    <t>A</t>
  </si>
  <si>
    <t>PROJECT</t>
  </si>
  <si>
    <t>DT4M80U</t>
  </si>
  <si>
    <t>16 x 2</t>
  </si>
  <si>
    <t xml:space="preserve"> - </t>
  </si>
  <si>
    <t>367 / 2048</t>
  </si>
  <si>
    <t>502 / 260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</si>
  <si>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</si>
  <si>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</si>
  <si>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</si>
  <si>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</si>
  <si>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</si>
  <si>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</si>
  <si>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</si>
  <si>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</si>
  <si>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</si>
  <si>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</si>
  <si>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</si>
  <si>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</si>
  <si>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1792.0</t>
  </si>
  <si>
    <t xml:space="preserve">8T: </t>
  </si>
  <si>
    <t/>
  </si>
  <si>
    <t>0.0145 ~ 0.0140</t>
  </si>
  <si>
    <t>8T: 27.61</t>
  </si>
  <si>
    <t>8T: 11.40</t>
  </si>
  <si>
    <t>15.30 ~ 14.90</t>
  </si>
  <si>
    <t>17.13</t>
  </si>
  <si>
    <t>3.80</t>
  </si>
  <si>
    <t xml:space="preserve"> (.128"x.204")x 1: </t>
  </si>
  <si>
    <t xml:space="preserve"> (.128"x.229")x 1: </t>
  </si>
  <si>
    <t>682 lbs.</t>
  </si>
  <si>
    <t>765 lbs.</t>
  </si>
  <si>
    <t xml:space="preserve">1-2, 2-3, 3-1: </t>
  </si>
  <si>
    <t>0.046 ~ 0.043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</si>
  <si>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</si>
  <si>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</si>
  <si>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</si>
  <si>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</si>
  <si>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</si>
  <si>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</si>
  <si>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</si>
  <si>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</si>
  <si>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</si>
  <si>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</si>
  <si>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</si>
  <si>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</si>
  <si>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</si>
  <si>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</si>
  <si>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</si>
  <si>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</si>
  <si>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</si>
  <si>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</si>
  <si>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</si>
  <si>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</si>
  <si>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</si>
  <si>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</si>
  <si>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</si>
  <si>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1603.6 lb-ft²</t>
  </si>
  <si>
    <t>11736 lb-ft</t>
  </si>
  <si>
    <t>2840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</si>
  <si>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</si>
  <si>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</si>
  <si>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</si>
  <si>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</si>
  <si>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</si>
  <si>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</si>
  <si>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</si>
  <si>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</si>
  <si>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</si>
  <si>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</si>
  <si>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</si>
  <si>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</si>
  <si>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</si>
  <si>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</si>
  <si>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</si>
  <si>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</si>
  <si>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</si>
  <si>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</si>
  <si>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</si>
  <si>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</si>
  <si>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</si>
  <si>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</si>
  <si>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</si>
  <si>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</si>
  <si>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</si>
  <si>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</si>
  <si>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</si>
  <si>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</si>
  <si>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</si>
  <si>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</si>
  <si>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</si>
  <si>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</si>
  <si>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</si>
  <si>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</si>
  <si>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</si>
  <si>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</si>
  <si>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</si>
  <si>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</si>
  <si>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</si>
  <si>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- 4000.0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</si>
  <si>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</si>
  <si>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</si>
  <si>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</si>
  <si>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</si>
  <si>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</si>
  <si>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</si>
  <si>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</si>
  <si>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</si>
  <si>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</si>
  <si>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</si>
  <si>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</si>
  <si>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</si>
  <si>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</si>
  <si>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- 9415.0 lb-ft²</t>
  </si>
  <si>
    <t>125.0</t>
  </si>
  <si>
    <t>125.1</t>
  </si>
  <si>
    <t>126.0</t>
  </si>
  <si>
    <t>129.4</t>
  </si>
  <si>
    <t>140.3</t>
  </si>
  <si>
    <t>178.8</t>
  </si>
  <si>
    <t>163.4</t>
  </si>
  <si>
    <t>108.9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</si>
  <si>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</si>
  <si>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</si>
  <si>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</si>
  <si>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</si>
  <si>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</si>
  <si>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</si>
  <si>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</si>
  <si>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</si>
  <si>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</si>
  <si>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</si>
  <si>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</si>
  <si>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</si>
  <si>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</si>
  <si>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0.557</t>
  </si>
  <si>
    <t>0.503</t>
  </si>
  <si>
    <t>0.485</t>
  </si>
  <si>
    <t>0.487</t>
  </si>
  <si>
    <t>0.507</t>
  </si>
  <si>
    <t>0.545</t>
  </si>
  <si>
    <t>0.610</t>
  </si>
  <si>
    <t>0.730</t>
  </si>
  <si>
    <t>0.437</t>
  </si>
  <si>
    <t>0.452</t>
  </si>
  <si>
    <t>0.325</t>
  </si>
  <si>
    <t>0.068</t>
  </si>
  <si>
    <t>0.121</t>
  </si>
  <si>
    <t>2831.3</t>
  </si>
  <si>
    <t>2812.4</t>
  </si>
  <si>
    <t>2789.7</t>
  </si>
  <si>
    <t>2761.8</t>
  </si>
  <si>
    <t>2727.0</t>
  </si>
  <si>
    <t>2683.2</t>
  </si>
  <si>
    <t>2628.6</t>
  </si>
  <si>
    <t>2560.1</t>
  </si>
  <si>
    <t>2494.9</t>
  </si>
  <si>
    <t>2419.8</t>
  </si>
  <si>
    <t>2211.1</t>
  </si>
  <si>
    <t>1381.6</t>
  </si>
  <si>
    <t>684.2</t>
  </si>
  <si>
    <t>388.9</t>
  </si>
  <si>
    <t>346.7</t>
  </si>
  <si>
    <t>329.2</t>
  </si>
  <si>
    <t>325.0</t>
  </si>
  <si>
    <t>331.1</t>
  </si>
  <si>
    <t>345.7</t>
  </si>
  <si>
    <t>373.2</t>
  </si>
  <si>
    <t>426.6</t>
  </si>
  <si>
    <t>240.2</t>
  </si>
  <si>
    <t>238.4</t>
  </si>
  <si>
    <t>158.3</t>
  </si>
  <si>
    <t>24.7</t>
  </si>
  <si>
    <t>2.7</t>
  </si>
  <si>
    <t>1948.5</t>
  </si>
  <si>
    <t>1575.1</t>
  </si>
  <si>
    <t>1341.3</t>
  </si>
  <si>
    <t>1170.8</t>
  </si>
  <si>
    <t>1034.8</t>
  </si>
  <si>
    <t>913.3</t>
  </si>
  <si>
    <t>800.2</t>
  </si>
  <si>
    <t>691.5</t>
  </si>
  <si>
    <t>515.1</t>
  </si>
  <si>
    <t>381.4</t>
  </si>
  <si>
    <t>167.9</t>
  </si>
  <si>
    <t>51.7</t>
  </si>
  <si>
    <t>127.2</t>
  </si>
  <si>
    <t>3531 kW / s</t>
  </si>
  <si>
    <t>9820 kW / s</t>
  </si>
  <si>
    <t>899 kW / s</t>
  </si>
  <si>
    <t>14°C</t>
  </si>
  <si>
    <t>87°C</t>
  </si>
  <si>
    <t>23°C</t>
  </si>
  <si>
    <t>29°C</t>
  </si>
  <si>
    <t>173°C</t>
  </si>
  <si>
    <t>47°C</t>
  </si>
  <si>
    <t>Acceleration Time:  5.8 s</t>
  </si>
  <si>
    <t>3.3°C / s</t>
  </si>
  <si>
    <t>30.1°C / s</t>
  </si>
  <si>
    <t>8.1°C / s</t>
  </si>
  <si>
    <t>808.0 kW</t>
  </si>
  <si>
    <t>3417.2 kW</t>
  </si>
  <si>
    <t>312.8 kW</t>
  </si>
  <si>
    <t>48.5 s</t>
  </si>
  <si>
    <t>8.6 s</t>
  </si>
  <si>
    <t>22.2 s</t>
  </si>
  <si>
    <t>66°C    +</t>
  </si>
  <si>
    <t>88°C    +</t>
  </si>
  <si>
    <t>94°C    +</t>
  </si>
  <si>
    <t>172°C   +</t>
  </si>
  <si>
    <t>92°C   +</t>
  </si>
  <si>
    <t>28.5 s</t>
  </si>
  <si>
    <t>5.7 s</t>
  </si>
  <si>
    <t>11.4 s</t>
  </si>
  <si>
    <t>27.9 s</t>
  </si>
  <si>
    <t>14.3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</si>
  <si>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</si>
  <si>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</si>
  <si>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</si>
  <si>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</si>
  <si>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</si>
  <si>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</si>
  <si>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</si>
  <si>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</si>
  <si>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</si>
  <si>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</si>
  <si>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</si>
  <si>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</si>
  <si>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</si>
  <si>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</si>
  <si>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</si>
  <si>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</si>
  <si>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</si>
  <si>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</si>
  <si>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</si>
  <si>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</si>
  <si>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</si>
  <si>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</si>
  <si>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</si>
  <si>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</si>
  <si>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</si>
  <si>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</si>
  <si>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</si>
  <si>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</si>
  <si>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1849.3 Hz</t>
  </si>
  <si>
    <t>1620.0 Hz</t>
  </si>
  <si>
    <t>1609.3 Hz</t>
  </si>
  <si>
    <t>1740.0 Hz</t>
  </si>
  <si>
    <t>1729.3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</si>
  <si>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</si>
  <si>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</si>
  <si>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</si>
  <si>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</si>
  <si>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</si>
  <si>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</si>
  <si>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</si>
  <si>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</si>
  <si>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</si>
  <si>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</si>
  <si>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</si>
  <si>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M805WTQL11E-C</t>
  </si>
  <si>
    <t>66 / 86</t>
  </si>
  <si>
    <t xml:space="preserve"> -</t>
  </si>
  <si>
    <t>QC limits: DT4M80U</t>
  </si>
  <si>
    <t>A. Gracia</t>
  </si>
  <si>
    <t>AWG. (4/0 x 2) x 3</t>
  </si>
  <si>
    <t>S.Hernandez</t>
  </si>
  <si>
    <t>884 / 509</t>
  </si>
  <si>
    <t>4897 / 2840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</si>
  <si>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</si>
  <si>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</si>
  <si>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</si>
  <si>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</si>
  <si>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</si>
  <si>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</si>
  <si>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</si>
  <si>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</si>
  <si>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</si>
  <si>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</si>
  <si>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</si>
  <si>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</si>
  <si>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</si>
  <si>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</si>
  <si>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</si>
  <si>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</si>
  <si>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</si>
  <si>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</si>
  <si>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</si>
  <si>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</si>
  <si>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</si>
  <si>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</si>
  <si>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</si>
  <si>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</si>
  <si>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</si>
  <si>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</si>
  <si>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</si>
  <si>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</si>
  <si>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</si>
  <si>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</si>
  <si>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</si>
  <si>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</si>
  <si>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</si>
  <si>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</si>
  <si>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</si>
  <si>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</si>
  <si>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</si>
  <si>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</si>
  <si>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</si>
  <si>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</si>
  <si>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</si>
  <si>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</si>
  <si>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</si>
  <si>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</si>
  <si>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</si>
  <si>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</si>
  <si>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</si>
  <si>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</si>
  <si>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</si>
  <si>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</si>
  <si>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</si>
  <si>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</si>
  <si>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</si>
  <si>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</si>
  <si>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</si>
  <si>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</si>
  <si>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</si>
  <si>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</si>
  <si>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</si>
  <si>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</si>
  <si>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</si>
  <si>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</si>
  <si>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</si>
  <si>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</si>
  <si>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</si>
  <si>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</si>
  <si>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</si>
  <si>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</si>
  <si>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</si>
  <si>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</si>
  <si>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</si>
  <si>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</si>
  <si>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</si>
  <si>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</si>
  <si>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</si>
  <si>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</si>
  <si>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</si>
  <si>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</si>
  <si>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</si>
  <si>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</si>
  <si>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</si>
  <si>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</si>
  <si>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</si>
  <si>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</si>
  <si>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</si>
  <si>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</si>
  <si>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</si>
  <si>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</si>
  <si>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</si>
  <si>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</si>
  <si>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</si>
  <si>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</si>
  <si>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</si>
  <si>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</si>
  <si>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</si>
  <si>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</si>
  <si>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</si>
  <si>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</si>
  <si>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</si>
  <si>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</si>
  <si>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</si>
  <si>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</si>
  <si>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</si>
  <si>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</si>
  <si>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</si>
  <si>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60 Hz</t>
  </si>
  <si>
    <t>WP-II</t>
  </si>
  <si>
    <t>Performance Curve</t>
  </si>
  <si>
    <t>H23005</t>
  </si>
  <si>
    <t>Input Watts</t>
  </si>
  <si>
    <t>884 A</t>
  </si>
  <si>
    <t>2300 V</t>
  </si>
  <si>
    <t>4897 A</t>
  </si>
  <si>
    <t>509 A</t>
  </si>
  <si>
    <t>4D / 4Y</t>
  </si>
  <si>
    <t>Type: TIKE - Form: DCW4 - 4 Pole - 4000 HP -2300/4000 V - 60 Hz - 450-1600 - Class F</t>
  </si>
  <si>
    <t>REV1. ADDED 2300V DATA</t>
  </si>
  <si>
    <t>JROD 02/14/2023</t>
  </si>
  <si>
    <t>CARRONADE</t>
  </si>
  <si>
    <t>2326400.3</t>
  </si>
  <si>
    <t>A1-10137478</t>
  </si>
  <si>
    <t>87..0</t>
  </si>
  <si>
    <t>TIKE</t>
  </si>
  <si>
    <t>1.0</t>
  </si>
  <si>
    <t>Open Circuit Time Constant :</t>
  </si>
  <si>
    <t>Sub Transient Time Constant :</t>
  </si>
  <si>
    <t>Short Circuit Time Constant :</t>
  </si>
  <si>
    <t>Sub Transient Reactance :</t>
  </si>
  <si>
    <t>Transient Reactance :</t>
  </si>
  <si>
    <t>Magnetizing Reactance (Xm) :</t>
  </si>
  <si>
    <t>Starting Secondary Reactance (X3) :</t>
  </si>
  <si>
    <t>Secondary Reactance (X2) :</t>
  </si>
  <si>
    <t>Primary Reactance (X1) :</t>
  </si>
  <si>
    <t>Starting Secondary Resistance (R3) :</t>
  </si>
  <si>
    <t>Secondary Resistance (R2) :</t>
  </si>
  <si>
    <t>Primary Resistance (R1) :</t>
  </si>
  <si>
    <t>Paul Anderson</t>
  </si>
  <si>
    <t xml:space="preserve">All Values are Presented in Ohms/Phase, Equivalent Wye Connection. </t>
  </si>
  <si>
    <t>REV. 0</t>
  </si>
  <si>
    <t>NEW</t>
  </si>
  <si>
    <t>EQUIVALENT CIRCUIT DATA</t>
  </si>
  <si>
    <t>MPCF-1109</t>
  </si>
  <si>
    <t>ALL CHARACTERISTICS ARE AVERAGE EXPECTED VALUES BASED UPON RATED VOLTAGE, FREQUENCY AND SINEWAVE POWER INPUT.</t>
  </si>
  <si>
    <t>EFFICIENCY TO BE DETERMINED BY IEEE 112</t>
  </si>
  <si>
    <t>GUARENTEED EFFICIENCY (%)</t>
  </si>
  <si>
    <t>POWER FACTOR (%)</t>
  </si>
  <si>
    <t>EFFICIENCY (%)</t>
  </si>
  <si>
    <t>AMPS (A)</t>
  </si>
  <si>
    <t>SF</t>
  </si>
  <si>
    <t>FULL</t>
  </si>
  <si>
    <t>3/4</t>
  </si>
  <si>
    <t>1/2</t>
  </si>
  <si>
    <t>LOAD</t>
  </si>
  <si>
    <t>LOAD CHARACTERISTICS</t>
  </si>
  <si>
    <t>ACCELERATION TIME:</t>
  </si>
  <si>
    <t>AIR GAP:</t>
  </si>
  <si>
    <t>NO LOAD CURRENT: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</si>
  <si>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</si>
  <si>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DESIGN DATA</t>
  </si>
  <si>
    <t>30 (s)</t>
  </si>
  <si>
    <t>70% VOLTAGE:</t>
  </si>
  <si>
    <t>71 (s)</t>
  </si>
  <si>
    <t>23 (s)</t>
  </si>
  <si>
    <t>80% VOLTAGE:</t>
  </si>
  <si>
    <t>54 (s)</t>
  </si>
  <si>
    <t>18 (s)</t>
  </si>
  <si>
    <t>90% VOLTAGE:</t>
  </si>
  <si>
    <t>43 (s)</t>
  </si>
  <si>
    <t>15 (s)</t>
  </si>
  <si>
    <t>100% VOLTAGE:</t>
  </si>
  <si>
    <t>35 (s)</t>
  </si>
  <si>
    <t>HOT CONDITION</t>
  </si>
  <si>
    <t>COLD CONDITION</t>
  </si>
  <si>
    <t>LOCKED ROTOR WITHSTAND TIMES</t>
  </si>
  <si>
    <t>BREAKDOWN TORQUE (% OF FLT):</t>
  </si>
  <si>
    <t>ACCELERATION CURVE:</t>
  </si>
  <si>
    <t>PULL UP TORQUE (% OF FLT):</t>
  </si>
  <si>
    <t>SPEED-CURRENT CURVE:</t>
  </si>
  <si>
    <t>LOCKED ROTOR TORQUE (% OF FLT):</t>
  </si>
  <si>
    <t>SPEED-TORQUE CURVE:</t>
  </si>
  <si>
    <t>FULL LOAD (LB.FT):</t>
  </si>
  <si>
    <t>CURVE NUMBERS</t>
  </si>
  <si>
    <t>TORQUE VALUES</t>
  </si>
  <si>
    <t>AMPS AT 80% VOLTAGE:</t>
  </si>
  <si>
    <t>POWER FACTOR:</t>
  </si>
  <si>
    <t>AMPS AT RATED VOLTAGE:</t>
  </si>
  <si>
    <t>LOCKED ROTOR DATA</t>
  </si>
  <si>
    <t>P.A.A</t>
  </si>
  <si>
    <t>API 541 PERFORMANCE SPECIFICATIONS</t>
  </si>
  <si>
    <t>M. CAMPBELL</t>
  </si>
  <si>
    <t>2/14/02</t>
  </si>
  <si>
    <t>MPCF-1082</t>
  </si>
  <si>
    <t>884/509</t>
  </si>
  <si>
    <t>4897/2840</t>
  </si>
  <si>
    <t>JERRY R</t>
  </si>
  <si>
    <t>1603.6</t>
  </si>
  <si>
    <t>3.31 mm</t>
  </si>
  <si>
    <t>116 A</t>
  </si>
  <si>
    <t>N:\DESPRO\BASE MV DESIGNS\6800 FRAME\Electrical Design\4P\SERIES DESIGNS\DT4M80U.rat</t>
  </si>
  <si>
    <t>1781.9 / 1783.1</t>
  </si>
  <si>
    <t>0.0101 / 0.0094</t>
  </si>
  <si>
    <t>125RPM</t>
  </si>
  <si>
    <r>
      <t>Kline/in</t>
    </r>
    <r>
      <rPr>
        <i/>
        <vertAlign val="superscript"/>
        <sz val="10"/>
        <rFont val="Times New Roman"/>
        <family val="1"/>
      </rPr>
      <t>2</t>
    </r>
  </si>
  <si>
    <t>100RPM</t>
  </si>
  <si>
    <t>75RPM</t>
  </si>
  <si>
    <t>87.185 / 78.507</t>
  </si>
  <si>
    <t>50RPM</t>
  </si>
  <si>
    <t>3.922 / 3.532</t>
  </si>
  <si>
    <t>25RPM</t>
  </si>
  <si>
    <t>87.27 / 78.59</t>
  </si>
  <si>
    <t>105 / 98</t>
  </si>
  <si>
    <t>31253.0 / 18481.6</t>
  </si>
  <si>
    <t>17042.1 / 8036.7</t>
  </si>
  <si>
    <t>32972.6 / 36184.3</t>
  </si>
  <si>
    <t>4718.0 / 2224.9</t>
  </si>
  <si>
    <t>172.80 / 180.17</t>
  </si>
  <si>
    <t>306.48 / 319.55</t>
  </si>
  <si>
    <t>454.66 / 474.05</t>
  </si>
  <si>
    <t>617.37 / 643.69</t>
  </si>
  <si>
    <t>801.36 / 835.52</t>
  </si>
  <si>
    <t>32528.3 / 29621.1</t>
  </si>
  <si>
    <t>21760.0 / 10261.6</t>
  </si>
  <si>
    <t>0.955 / 0.944</t>
  </si>
  <si>
    <t>0.970 / 0.959</t>
  </si>
  <si>
    <t>0.972 / 0.960</t>
  </si>
  <si>
    <t>0.970 / 0.958</t>
  </si>
  <si>
    <t>0.966 / 0.955</t>
  </si>
  <si>
    <t>Eff.</t>
  </si>
  <si>
    <t>0.815 / 0.792</t>
  </si>
  <si>
    <t>0.905 / 0.879</t>
  </si>
  <si>
    <t>0.913 / 0.887</t>
  </si>
  <si>
    <t>0.899 / 0.873</t>
  </si>
  <si>
    <t>0.869 / 0.844</t>
  </si>
  <si>
    <t>PF.</t>
  </si>
  <si>
    <t>0.0024 / 0.0017</t>
  </si>
  <si>
    <t>0.0048 / 0.0040</t>
  </si>
  <si>
    <t>0.0073 / 0.0066</t>
  </si>
  <si>
    <t>0.0130 / 0.0123</t>
  </si>
  <si>
    <t>2079.8 / 2251.8</t>
  </si>
  <si>
    <t>Current</t>
  </si>
  <si>
    <t>1795.7 / 1797.0</t>
  </si>
  <si>
    <t>1791.4 / 1792.7</t>
  </si>
  <si>
    <t>1786.8 / 1788.1</t>
  </si>
  <si>
    <t>1776.6 / 1777.9</t>
  </si>
  <si>
    <t>336.9 / 364.7</t>
  </si>
  <si>
    <t>744.3 / 1278.9</t>
  </si>
  <si>
    <t>Correlated to: H402125_Lab1384_RM.dat</t>
  </si>
  <si>
    <t>45.6 / 78.4</t>
  </si>
  <si>
    <t>158.4 / 134.7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</si>
  <si>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</si>
  <si>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</si>
  <si>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</si>
  <si>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</si>
  <si>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k</t>
  </si>
  <si>
    <t>4.45 / 4.64</t>
  </si>
  <si>
    <t>Hz</t>
  </si>
  <si>
    <t>Load Inertia</t>
  </si>
  <si>
    <t>UB: 6.37 / 6.64</t>
  </si>
  <si>
    <t>UER: 3.30 / 3.44</t>
  </si>
  <si>
    <t>S-T Curve Data</t>
  </si>
  <si>
    <t>2252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</si>
</sst>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General_)"/>
    <numFmt numFmtId="170" formatCode="General&quot;°C&quot;"/>
    <numFmt numFmtId="171" formatCode=".0"/>
    <numFmt numFmtId="172" formatCode="0.000\ &quot;Ohms/Phase&quot;"/>
    <numFmt numFmtId="173" formatCode="0.00\ &quot;Ohms&quot;"/>
    <numFmt numFmtId="174" formatCode="0.0000\ &quot;Ohms&quot;"/>
    <numFmt numFmtId="175" formatCode="0.0000\ &quot;Ohms/Phase&quot;"/>
    <numFmt numFmtId="176" formatCode="&quot;#,##0.00&quot;\ @\ &quot;ohm&quot;"/>
    <numFmt numFmtId="177" formatCode="0.0000\ &quot;Ohm&quot;"/>
    <numFmt numFmtId="178" formatCode="@\ &quot;ohm&quot;"/>
    <numFmt numFmtId="179" formatCode="0.00000\ &quot;Ohm&quot;"/>
    <numFmt numFmtId="180" formatCode="m/d/yy"/>
    <numFmt numFmtId="181" formatCode="\ 0\ \A"/>
    <numFmt numFmtId="182" formatCode="0.00000"/>
    <numFmt numFmtId="183" formatCode="0.0\ &quot;Ohms/Phase&quot;"/>
  </numFmts>
  <fonts count="9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indexed="10"/>
      <name val="Arial"/>
      <family val="2"/>
    </font>
    <font>
      <sz val="10"/>
      <name val="Helv"/>
    </font>
    <font>
      <sz val="12"/>
      <name val="Lucida Calligraphy"/>
      <family val="4"/>
    </font>
    <font>
      <sz val="11"/>
      <name val="Univers (W1)"/>
    </font>
    <font>
      <sz val="11"/>
      <name val="Univers (W1)"/>
      <family val="2"/>
    </font>
    <font>
      <sz val="12"/>
      <name val="Univers"/>
      <family val="2"/>
    </font>
    <font>
      <sz val="9"/>
      <name val="Helv"/>
    </font>
    <font>
      <sz val="11"/>
      <color theme="1"/>
      <name val="Calibri"/>
      <family val="2"/>
      <scheme val="minor"/>
    </font>
    <font>
      <i/>
      <sz val="10"/>
      <name val="Script"/>
      <family val="4"/>
      <charset val="255"/>
    </font>
    <font>
      <sz val="10"/>
      <name val="Univers (W1)"/>
    </font>
    <font>
      <b/>
      <sz val="12"/>
      <name val="Univers (W1)"/>
    </font>
    <font>
      <sz val="7"/>
      <name val="Univers (W1)"/>
    </font>
    <font>
      <b/>
      <sz val="12"/>
      <name val="Helv"/>
    </font>
    <font>
      <sz val="8"/>
      <name val="Helv"/>
    </font>
    <font>
      <sz val="9"/>
      <name val="Univers"/>
      <family val="2"/>
    </font>
    <font>
      <sz val="8"/>
      <name val="Univers"/>
      <family val="2"/>
    </font>
    <font>
      <sz val="10"/>
      <name val="Univers"/>
      <family val="2"/>
    </font>
    <font>
      <vertAlign val="superscript"/>
      <sz val="8"/>
      <name val="Univers"/>
      <family val="2"/>
    </font>
    <font>
      <sz val="11"/>
      <name val="Univers"/>
      <family val="2"/>
    </font>
    <font>
      <sz val="10"/>
      <color theme="1"/>
      <name val="Times New Roman"/>
      <family val="1"/>
    </font>
    <font>
      <b/>
      <sz val="10"/>
      <color indexed="12"/>
      <name val="Arial"/>
      <family val="2"/>
    </font>
    <font>
      <sz val="10"/>
      <color theme="3"/>
      <name val="Times New Roman"/>
      <family val="1"/>
    </font>
    <font>
      <vertAlign val="superscript"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5" fillId="0" borderId="0"/>
    <xf numFmtId="0" fontId="15" fillId="0" borderId="0"/>
    <xf numFmtId="0" fontId="46" fillId="0" borderId="0"/>
    <xf numFmtId="169" fontId="58" fillId="0" borderId="0"/>
    <xf numFmtId="0" fontId="1" fillId="0" borderId="0"/>
    <xf numFmtId="0" fontId="72" fillId="0" borderId="0"/>
    <xf numFmtId="0" fontId="58" fillId="0" borderId="0"/>
    <xf numFmtId="0" fontId="78" fillId="0" borderId="0"/>
    <xf numFmtId="169" fontId="58" fillId="0" borderId="0"/>
    <xf numFmtId="0" fontId="15" fillId="0" borderId="0"/>
    <xf numFmtId="0" fontId="58" fillId="0" borderId="0"/>
    <xf numFmtId="0" fontId="1" fillId="0" borderId="0"/>
    <xf numFmtId="0" fontId="1" fillId="0" borderId="0"/>
  </cellStyleXfs>
  <cellXfs count="102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0" xfId="3"/>
    <xf numFmtId="0" fontId="47" fillId="0" borderId="0" xfId="3" applyFont="1"/>
    <xf numFmtId="0" fontId="49" fillId="0" borderId="20" xfId="3" applyFont="1" applyBorder="1" applyAlignment="1">
      <alignment horizontal="right"/>
    </xf>
    <xf numFmtId="0" fontId="49" fillId="0" borderId="47" xfId="3" applyFont="1" applyBorder="1" applyAlignment="1">
      <alignment horizontal="right"/>
    </xf>
    <xf numFmtId="0" fontId="49" fillId="0" borderId="103" xfId="3" applyFont="1" applyBorder="1" applyAlignment="1">
      <alignment horizontal="center"/>
    </xf>
    <xf numFmtId="0" fontId="23" fillId="0" borderId="38" xfId="3" applyFont="1" applyBorder="1" applyAlignment="1">
      <alignment horizontal="center"/>
    </xf>
    <xf numFmtId="0" fontId="49" fillId="0" borderId="63" xfId="3" applyFont="1" applyBorder="1" applyAlignment="1">
      <alignment horizontal="center"/>
    </xf>
    <xf numFmtId="0" fontId="23" fillId="0" borderId="38" xfId="3" applyFont="1" applyBorder="1"/>
    <xf numFmtId="0" fontId="46" fillId="0" borderId="46" xfId="3" applyBorder="1"/>
    <xf numFmtId="0" fontId="23" fillId="0" borderId="48" xfId="3" applyFont="1" applyBorder="1" applyAlignment="1">
      <alignment horizontal="center"/>
    </xf>
    <xf numFmtId="0" fontId="47" fillId="0" borderId="53" xfId="3" applyFont="1" applyBorder="1" applyAlignment="1">
      <alignment horizontal="center"/>
    </xf>
    <xf numFmtId="0" fontId="23" fillId="0" borderId="48" xfId="3" applyFont="1" applyBorder="1"/>
    <xf numFmtId="0" fontId="49" fillId="0" borderId="103" xfId="3" applyFont="1" applyBorder="1" applyAlignment="1">
      <alignment horizontal="right"/>
    </xf>
    <xf numFmtId="0" fontId="23" fillId="0" borderId="27" xfId="3" applyFont="1" applyBorder="1" applyAlignment="1">
      <alignment horizontal="center"/>
    </xf>
    <xf numFmtId="0" fontId="49" fillId="0" borderId="46" xfId="3" applyFont="1" applyBorder="1" applyAlignment="1">
      <alignment horizontal="right"/>
    </xf>
    <xf numFmtId="0" fontId="23" fillId="0" borderId="24" xfId="3" applyFont="1" applyBorder="1" applyAlignment="1">
      <alignment horizontal="center"/>
    </xf>
    <xf numFmtId="0" fontId="23" fillId="0" borderId="32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50" fillId="0" borderId="63" xfId="3" applyFont="1" applyBorder="1"/>
    <xf numFmtId="0" fontId="50" fillId="0" borderId="64" xfId="3" applyFont="1" applyBorder="1"/>
    <xf numFmtId="0" fontId="50" fillId="0" borderId="38" xfId="3" applyFont="1" applyBorder="1"/>
    <xf numFmtId="0" fontId="51" fillId="0" borderId="52" xfId="3" applyFont="1" applyBorder="1" applyAlignment="1">
      <alignment horizontal="centerContinuous"/>
    </xf>
    <xf numFmtId="0" fontId="50" fillId="0" borderId="0" xfId="3" applyFont="1" applyAlignment="1">
      <alignment horizontal="centerContinuous"/>
    </xf>
    <xf numFmtId="0" fontId="50" fillId="0" borderId="51" xfId="3" applyFont="1" applyBorder="1" applyAlignment="1">
      <alignment horizontal="centerContinuous"/>
    </xf>
    <xf numFmtId="0" fontId="52" fillId="0" borderId="52" xfId="3" applyFont="1" applyBorder="1" applyAlignment="1">
      <alignment horizontal="centerContinuous"/>
    </xf>
    <xf numFmtId="0" fontId="50" fillId="0" borderId="52" xfId="3" applyFont="1" applyBorder="1"/>
    <xf numFmtId="0" fontId="50" fillId="0" borderId="0" xfId="3" applyFont="1"/>
    <xf numFmtId="0" fontId="50" fillId="0" borderId="51" xfId="3" applyFont="1" applyBorder="1"/>
    <xf numFmtId="0" fontId="48" fillId="0" borderId="1" xfId="3" applyFont="1" applyBorder="1" applyAlignment="1">
      <alignment horizontal="right"/>
    </xf>
    <xf numFmtId="0" fontId="50" fillId="0" borderId="1" xfId="3" applyFont="1" applyBorder="1" applyAlignment="1">
      <alignment horizontal="center"/>
    </xf>
    <xf numFmtId="14" fontId="50" fillId="0" borderId="1" xfId="3" applyNumberFormat="1" applyFont="1" applyBorder="1" applyAlignment="1">
      <alignment horizontal="center"/>
    </xf>
    <xf numFmtId="0" fontId="48" fillId="0" borderId="0" xfId="3" applyFont="1" applyAlignment="1">
      <alignment horizontal="right"/>
    </xf>
    <xf numFmtId="0" fontId="50" fillId="0" borderId="0" xfId="3" applyFont="1" applyAlignment="1">
      <alignment horizontal="center"/>
    </xf>
    <xf numFmtId="9" fontId="50" fillId="0" borderId="0" xfId="3" applyNumberFormat="1" applyFont="1" applyAlignment="1">
      <alignment horizontal="center"/>
    </xf>
    <xf numFmtId="0" fontId="48" fillId="0" borderId="52" xfId="3" applyFont="1" applyBorder="1" applyAlignment="1">
      <alignment horizontal="right"/>
    </xf>
    <xf numFmtId="0" fontId="50" fillId="0" borderId="40" xfId="3" applyFont="1" applyBorder="1"/>
    <xf numFmtId="0" fontId="50" fillId="0" borderId="39" xfId="3" applyFont="1" applyBorder="1" applyAlignment="1">
      <alignment horizontal="center"/>
    </xf>
    <xf numFmtId="0" fontId="50" fillId="0" borderId="86" xfId="3" applyFont="1" applyBorder="1"/>
    <xf numFmtId="0" fontId="48" fillId="0" borderId="17" xfId="3" applyFont="1" applyBorder="1" applyAlignment="1">
      <alignment horizontal="right"/>
    </xf>
    <xf numFmtId="0" fontId="50" fillId="0" borderId="129" xfId="3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3" applyFont="1" applyAlignment="1">
      <alignment horizontal="right"/>
    </xf>
    <xf numFmtId="0" fontId="16" fillId="0" borderId="0" xfId="3" applyFont="1"/>
    <xf numFmtId="0" fontId="53" fillId="0" borderId="26" xfId="3" applyFont="1" applyBorder="1" applyAlignment="1">
      <alignment horizontal="center"/>
    </xf>
    <xf numFmtId="0" fontId="53" fillId="0" borderId="28" xfId="3" applyFont="1" applyBorder="1" applyAlignment="1">
      <alignment horizontal="center"/>
    </xf>
    <xf numFmtId="0" fontId="47" fillId="0" borderId="1" xfId="3" applyFont="1" applyBorder="1" applyAlignment="1">
      <alignment horizontal="center"/>
    </xf>
    <xf numFmtId="0" fontId="53" fillId="0" borderId="1" xfId="3" applyFont="1" applyBorder="1" applyAlignment="1">
      <alignment horizontal="right"/>
    </xf>
    <xf numFmtId="0" fontId="53" fillId="0" borderId="1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0" fontId="47" fillId="0" borderId="129" xfId="3" quotePrefix="1" applyFont="1" applyBorder="1" applyAlignment="1">
      <alignment horizontal="center"/>
    </xf>
    <xf numFmtId="0" fontId="47" fillId="0" borderId="129" xfId="3" applyFont="1" applyBorder="1" applyAlignment="1">
      <alignment horizontal="center"/>
    </xf>
    <xf numFmtId="0" fontId="53" fillId="0" borderId="0" xfId="3" applyFont="1" applyAlignment="1">
      <alignment horizontal="right"/>
    </xf>
    <xf numFmtId="0" fontId="55" fillId="0" borderId="0" xfId="3" applyFont="1"/>
    <xf numFmtId="0" fontId="56" fillId="0" borderId="0" xfId="3" applyFont="1"/>
    <xf numFmtId="0" fontId="2" fillId="0" borderId="1" xfId="3" applyFont="1" applyBorder="1" applyAlignment="1">
      <alignment horizontal="center"/>
    </xf>
    <xf numFmtId="1" fontId="2" fillId="2" borderId="1" xfId="3" applyNumberFormat="1" applyFont="1" applyFill="1" applyBorder="1" applyAlignment="1">
      <alignment horizontal="center"/>
    </xf>
    <xf numFmtId="2" fontId="2" fillId="2" borderId="1" xfId="3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6" fillId="0" borderId="0" xfId="3" applyFont="1"/>
    <xf numFmtId="0" fontId="48" fillId="0" borderId="0" xfId="3" applyFont="1"/>
    <xf numFmtId="0" fontId="23" fillId="0" borderId="17" xfId="3" applyFont="1" applyBorder="1" applyAlignment="1">
      <alignment horizontal="right"/>
    </xf>
    <xf numFmtId="0" fontId="23" fillId="0" borderId="129" xfId="3" applyFont="1" applyBorder="1" applyAlignment="1">
      <alignment horizontal="left"/>
    </xf>
    <xf numFmtId="0" fontId="23" fillId="0" borderId="129" xfId="3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169" fontId="59" fillId="0" borderId="6" xfId="4" applyFont="1" applyBorder="1" applyAlignment="1">
      <alignment horizontal="centerContinuous"/>
    </xf>
    <xf numFmtId="169" fontId="59" fillId="0" borderId="7" xfId="4" applyFont="1" applyBorder="1" applyAlignment="1">
      <alignment horizontal="centerContinuous"/>
    </xf>
    <xf numFmtId="169" fontId="60" fillId="0" borderId="12" xfId="4" applyFont="1" applyBorder="1" applyAlignment="1">
      <alignment horizontal="left"/>
    </xf>
    <xf numFmtId="169" fontId="61" fillId="0" borderId="57" xfId="4" applyFont="1" applyBorder="1"/>
    <xf numFmtId="169" fontId="60" fillId="0" borderId="13" xfId="4" applyFont="1" applyBorder="1" applyAlignment="1">
      <alignment horizontal="centerContinuous"/>
    </xf>
    <xf numFmtId="169" fontId="61" fillId="0" borderId="14" xfId="4" applyFont="1" applyBorder="1" applyAlignment="1">
      <alignment horizontal="centerContinuous"/>
    </xf>
    <xf numFmtId="169" fontId="62" fillId="0" borderId="0" xfId="4" applyFont="1"/>
    <xf numFmtId="169" fontId="58" fillId="0" borderId="0" xfId="4"/>
    <xf numFmtId="169" fontId="59" fillId="0" borderId="45" xfId="4" applyFont="1" applyBorder="1" applyAlignment="1">
      <alignment horizontal="centerContinuous"/>
    </xf>
    <xf numFmtId="169" fontId="59" fillId="0" borderId="0" xfId="4" applyFont="1" applyAlignment="1">
      <alignment horizontal="centerContinuous"/>
    </xf>
    <xf numFmtId="169" fontId="60" fillId="0" borderId="109" xfId="4" applyFont="1" applyBorder="1" applyAlignment="1">
      <alignment horizontal="left"/>
    </xf>
    <xf numFmtId="169" fontId="61" fillId="0" borderId="39" xfId="4" applyFont="1" applyBorder="1"/>
    <xf numFmtId="169" fontId="60" fillId="0" borderId="40" xfId="4" applyFont="1" applyBorder="1" applyAlignment="1">
      <alignment horizontal="centerContinuous"/>
    </xf>
    <xf numFmtId="169" fontId="61" fillId="0" borderId="29" xfId="4" applyFont="1" applyBorder="1" applyAlignment="1">
      <alignment horizontal="centerContinuous"/>
    </xf>
    <xf numFmtId="169" fontId="61" fillId="0" borderId="45" xfId="4" applyFont="1" applyBorder="1" applyAlignment="1">
      <alignment horizontal="centerContinuous"/>
    </xf>
    <xf numFmtId="169" fontId="61" fillId="0" borderId="0" xfId="4" applyFont="1" applyAlignment="1">
      <alignment horizontal="centerContinuous"/>
    </xf>
    <xf numFmtId="169" fontId="60" fillId="0" borderId="40" xfId="4" quotePrefix="1" applyFont="1" applyBorder="1" applyAlignment="1">
      <alignment horizontal="centerContinuous"/>
    </xf>
    <xf numFmtId="169" fontId="63" fillId="0" borderId="45" xfId="4" applyFont="1" applyBorder="1" applyAlignment="1">
      <alignment horizontal="centerContinuous"/>
    </xf>
    <xf numFmtId="169" fontId="62" fillId="0" borderId="45" xfId="4" applyFont="1" applyBorder="1" applyAlignment="1">
      <alignment horizontal="centerContinuous"/>
    </xf>
    <xf numFmtId="169" fontId="62" fillId="0" borderId="46" xfId="4" applyFont="1" applyBorder="1" applyAlignment="1">
      <alignment horizontal="centerContinuous"/>
    </xf>
    <xf numFmtId="169" fontId="61" fillId="0" borderId="23" xfId="4" applyFont="1" applyBorder="1" applyAlignment="1">
      <alignment horizontal="centerContinuous"/>
    </xf>
    <xf numFmtId="169" fontId="60" fillId="0" borderId="46" xfId="4" applyFont="1" applyBorder="1" applyAlignment="1">
      <alignment horizontal="left"/>
    </xf>
    <xf numFmtId="169" fontId="61" fillId="0" borderId="48" xfId="4" applyFont="1" applyBorder="1"/>
    <xf numFmtId="169" fontId="64" fillId="0" borderId="23" xfId="4" applyFont="1" applyBorder="1" applyAlignment="1">
      <alignment horizontal="centerContinuous"/>
    </xf>
    <xf numFmtId="169" fontId="61" fillId="0" borderId="24" xfId="4" applyFont="1" applyBorder="1" applyAlignment="1">
      <alignment horizontal="centerContinuous"/>
    </xf>
    <xf numFmtId="169" fontId="62" fillId="0" borderId="0" xfId="4" applyFont="1" applyAlignment="1">
      <alignment horizontal="centerContinuous"/>
    </xf>
    <xf numFmtId="169" fontId="60" fillId="0" borderId="0" xfId="4" applyFont="1" applyAlignment="1">
      <alignment horizontal="left"/>
    </xf>
    <xf numFmtId="169" fontId="61" fillId="0" borderId="0" xfId="4" applyFont="1"/>
    <xf numFmtId="169" fontId="60" fillId="0" borderId="0" xfId="4" applyFont="1" applyAlignment="1">
      <alignment horizontal="centerContinuous"/>
    </xf>
    <xf numFmtId="169" fontId="65" fillId="0" borderId="0" xfId="4" applyFont="1"/>
    <xf numFmtId="169" fontId="65" fillId="0" borderId="0" xfId="4" applyFont="1" applyAlignment="1">
      <alignment horizontal="right"/>
    </xf>
    <xf numFmtId="169" fontId="65" fillId="0" borderId="0" xfId="4" applyFont="1" applyAlignment="1" applyProtection="1">
      <alignment horizontal="left"/>
      <protection locked="0"/>
    </xf>
    <xf numFmtId="169" fontId="65" fillId="0" borderId="0" xfId="4" applyFont="1" applyAlignment="1">
      <alignment horizontal="centerContinuous"/>
    </xf>
    <xf numFmtId="169" fontId="65" fillId="0" borderId="0" xfId="4" applyFont="1" applyAlignment="1">
      <alignment horizontal="left"/>
    </xf>
    <xf numFmtId="49" fontId="65" fillId="0" borderId="0" xfId="4" quotePrefix="1" applyNumberFormat="1" applyFont="1" applyAlignment="1" applyProtection="1">
      <alignment horizontal="left"/>
      <protection locked="0"/>
    </xf>
    <xf numFmtId="169" fontId="66" fillId="0" borderId="133" xfId="4" applyFont="1" applyBorder="1" applyAlignment="1">
      <alignment horizontal="centerContinuous"/>
    </xf>
    <xf numFmtId="169" fontId="62" fillId="0" borderId="134" xfId="4" applyFont="1" applyBorder="1" applyAlignment="1">
      <alignment horizontal="centerContinuous"/>
    </xf>
    <xf numFmtId="169" fontId="62" fillId="0" borderId="135" xfId="4" applyFont="1" applyBorder="1" applyAlignment="1">
      <alignment horizontal="centerContinuous"/>
    </xf>
    <xf numFmtId="169" fontId="65" fillId="0" borderId="45" xfId="4" applyFont="1" applyBorder="1"/>
    <xf numFmtId="169" fontId="65" fillId="0" borderId="0" xfId="4" applyFont="1" applyAlignment="1" applyProtection="1">
      <alignment horizontal="center"/>
      <protection locked="0"/>
    </xf>
    <xf numFmtId="169" fontId="65" fillId="0" borderId="21" xfId="4" applyFont="1" applyBorder="1" applyAlignment="1" applyProtection="1">
      <alignment horizontal="center"/>
      <protection locked="0"/>
    </xf>
    <xf numFmtId="169" fontId="65" fillId="0" borderId="0" xfId="4" applyFont="1" applyAlignment="1">
      <alignment horizontal="center"/>
    </xf>
    <xf numFmtId="49" fontId="65" fillId="0" borderId="0" xfId="4" applyNumberFormat="1" applyFont="1" applyAlignment="1">
      <alignment horizontal="center"/>
    </xf>
    <xf numFmtId="170" fontId="65" fillId="0" borderId="0" xfId="4" applyNumberFormat="1" applyFont="1" applyAlignment="1" applyProtection="1">
      <alignment horizontal="center"/>
      <protection locked="0"/>
    </xf>
    <xf numFmtId="169" fontId="65" fillId="0" borderId="0" xfId="4" quotePrefix="1" applyFont="1" applyAlignment="1">
      <alignment horizontal="right"/>
    </xf>
    <xf numFmtId="169" fontId="65" fillId="0" borderId="0" xfId="4" quotePrefix="1" applyFont="1" applyAlignment="1" applyProtection="1">
      <alignment horizontal="center"/>
      <protection locked="0"/>
    </xf>
    <xf numFmtId="169" fontId="65" fillId="0" borderId="21" xfId="4" applyFont="1" applyBorder="1"/>
    <xf numFmtId="169" fontId="65" fillId="0" borderId="46" xfId="4" applyFont="1" applyBorder="1"/>
    <xf numFmtId="169" fontId="65" fillId="0" borderId="23" xfId="4" applyFont="1" applyBorder="1" applyAlignment="1">
      <alignment horizontal="right"/>
    </xf>
    <xf numFmtId="166" fontId="65" fillId="0" borderId="23" xfId="4" quotePrefix="1" applyNumberFormat="1" applyFont="1" applyBorder="1" applyAlignment="1" applyProtection="1">
      <alignment horizontal="center"/>
      <protection locked="0"/>
    </xf>
    <xf numFmtId="169" fontId="65" fillId="0" borderId="23" xfId="4" applyFont="1" applyBorder="1"/>
    <xf numFmtId="166" fontId="65" fillId="0" borderId="23" xfId="4" applyNumberFormat="1" applyFont="1" applyBorder="1"/>
    <xf numFmtId="169" fontId="65" fillId="0" borderId="24" xfId="4" applyFont="1" applyBorder="1"/>
    <xf numFmtId="169" fontId="67" fillId="0" borderId="45" xfId="4" quotePrefix="1" applyFont="1" applyBorder="1" applyAlignment="1">
      <alignment horizontal="left"/>
    </xf>
    <xf numFmtId="169" fontId="61" fillId="0" borderId="0" xfId="4" quotePrefix="1" applyFont="1" applyAlignment="1">
      <alignment horizontal="right"/>
    </xf>
    <xf numFmtId="169" fontId="61" fillId="0" borderId="51" xfId="4" applyFont="1" applyBorder="1"/>
    <xf numFmtId="169" fontId="67" fillId="0" borderId="0" xfId="4" applyFont="1" applyAlignment="1">
      <alignment horizontal="left"/>
    </xf>
    <xf numFmtId="169" fontId="61" fillId="0" borderId="0" xfId="4" applyFont="1" applyAlignment="1">
      <alignment horizontal="right"/>
    </xf>
    <xf numFmtId="169" fontId="61" fillId="0" borderId="51" xfId="4" applyFont="1" applyBorder="1" applyAlignment="1">
      <alignment horizontal="right"/>
    </xf>
    <xf numFmtId="169" fontId="67" fillId="0" borderId="0" xfId="4" quotePrefix="1" applyFont="1" applyAlignment="1">
      <alignment horizontal="left"/>
    </xf>
    <xf numFmtId="169" fontId="61" fillId="0" borderId="21" xfId="4" applyFont="1" applyBorder="1"/>
    <xf numFmtId="169" fontId="58" fillId="0" borderId="45" xfId="4" applyBorder="1"/>
    <xf numFmtId="169" fontId="65" fillId="0" borderId="51" xfId="4" applyFont="1" applyBorder="1" applyAlignment="1" applyProtection="1">
      <alignment horizontal="center"/>
      <protection locked="0"/>
    </xf>
    <xf numFmtId="1" fontId="65" fillId="0" borderId="51" xfId="4" applyNumberFormat="1" applyFont="1" applyBorder="1" applyAlignment="1">
      <alignment horizontal="center"/>
    </xf>
    <xf numFmtId="169" fontId="65" fillId="0" borderId="51" xfId="4" applyFont="1" applyBorder="1"/>
    <xf numFmtId="169" fontId="65" fillId="0" borderId="48" xfId="4" applyFont="1" applyBorder="1"/>
    <xf numFmtId="169" fontId="65" fillId="0" borderId="48" xfId="4" applyFont="1" applyBorder="1" applyAlignment="1">
      <alignment horizontal="left"/>
    </xf>
    <xf numFmtId="169" fontId="66" fillId="0" borderId="136" xfId="4" applyFont="1" applyBorder="1" applyAlignment="1">
      <alignment horizontal="centerContinuous"/>
    </xf>
    <xf numFmtId="169" fontId="62" fillId="0" borderId="137" xfId="4" applyFont="1" applyBorder="1" applyAlignment="1">
      <alignment horizontal="centerContinuous"/>
    </xf>
    <xf numFmtId="169" fontId="58" fillId="0" borderId="138" xfId="4" applyBorder="1"/>
    <xf numFmtId="169" fontId="62" fillId="0" borderId="139" xfId="4" applyFont="1" applyBorder="1" applyAlignment="1">
      <alignment horizontal="centerContinuous"/>
    </xf>
    <xf numFmtId="169" fontId="67" fillId="0" borderId="45" xfId="4" applyFont="1" applyBorder="1" applyAlignment="1">
      <alignment horizontal="left"/>
    </xf>
    <xf numFmtId="169" fontId="58" fillId="0" borderId="51" xfId="4" applyBorder="1"/>
    <xf numFmtId="166" fontId="65" fillId="0" borderId="0" xfId="4" applyNumberFormat="1" applyFont="1" applyAlignment="1" applyProtection="1">
      <alignment horizontal="center"/>
      <protection locked="0"/>
    </xf>
    <xf numFmtId="169" fontId="65" fillId="0" borderId="45" xfId="4" applyFont="1" applyBorder="1" applyAlignment="1">
      <alignment horizontal="left"/>
    </xf>
    <xf numFmtId="169" fontId="58" fillId="0" borderId="48" xfId="4" applyBorder="1"/>
    <xf numFmtId="169" fontId="62" fillId="0" borderId="0" xfId="4" applyFont="1" applyAlignment="1">
      <alignment horizontal="left"/>
    </xf>
    <xf numFmtId="169" fontId="62" fillId="0" borderId="136" xfId="4" applyFont="1" applyBorder="1"/>
    <xf numFmtId="169" fontId="61" fillId="0" borderId="137" xfId="4" applyFont="1" applyBorder="1" applyAlignment="1">
      <alignment horizontal="left"/>
    </xf>
    <xf numFmtId="169" fontId="61" fillId="0" borderId="139" xfId="4" applyFont="1" applyBorder="1" applyAlignment="1">
      <alignment horizontal="left"/>
    </xf>
    <xf numFmtId="169" fontId="65" fillId="0" borderId="45" xfId="4" quotePrefix="1" applyFont="1" applyBorder="1" applyAlignment="1">
      <alignment horizontal="left"/>
    </xf>
    <xf numFmtId="169" fontId="65" fillId="0" borderId="21" xfId="4" applyFont="1" applyBorder="1" applyAlignment="1">
      <alignment horizontal="left"/>
    </xf>
    <xf numFmtId="169" fontId="68" fillId="0" borderId="140" xfId="4" applyFont="1" applyBorder="1"/>
    <xf numFmtId="169" fontId="65" fillId="0" borderId="0" xfId="4" quotePrefix="1" applyFont="1" applyAlignment="1">
      <alignment horizontal="left"/>
    </xf>
    <xf numFmtId="169" fontId="65" fillId="0" borderId="141" xfId="4" quotePrefix="1" applyFont="1" applyBorder="1" applyAlignment="1">
      <alignment horizontal="left"/>
    </xf>
    <xf numFmtId="169" fontId="65" fillId="0" borderId="142" xfId="4" quotePrefix="1" applyFont="1" applyBorder="1" applyAlignment="1">
      <alignment horizontal="left"/>
    </xf>
    <xf numFmtId="169" fontId="65" fillId="0" borderId="46" xfId="4" applyFont="1" applyBorder="1" applyAlignment="1">
      <alignment horizontal="left"/>
    </xf>
    <xf numFmtId="169" fontId="65" fillId="0" borderId="23" xfId="4" applyFont="1" applyBorder="1" applyAlignment="1">
      <alignment horizontal="left"/>
    </xf>
    <xf numFmtId="169" fontId="65" fillId="0" borderId="24" xfId="4" applyFont="1" applyBorder="1" applyAlignment="1">
      <alignment horizontal="left"/>
    </xf>
    <xf numFmtId="169" fontId="61" fillId="0" borderId="0" xfId="4" applyFont="1" applyAlignment="1">
      <alignment horizontal="left"/>
    </xf>
    <xf numFmtId="169" fontId="69" fillId="0" borderId="0" xfId="4" applyFont="1" applyAlignment="1">
      <alignment horizontal="right"/>
    </xf>
    <xf numFmtId="169" fontId="58" fillId="0" borderId="0" xfId="4" applyAlignment="1">
      <alignment horizontal="right"/>
    </xf>
    <xf numFmtId="49" fontId="50" fillId="0" borderId="40" xfId="3" applyNumberFormat="1" applyFont="1" applyBorder="1"/>
    <xf numFmtId="0" fontId="50" fillId="0" borderId="63" xfId="5" applyFont="1" applyBorder="1"/>
    <xf numFmtId="0" fontId="50" fillId="0" borderId="64" xfId="5" applyFont="1" applyBorder="1"/>
    <xf numFmtId="0" fontId="50" fillId="0" borderId="38" xfId="5" applyFont="1" applyBorder="1"/>
    <xf numFmtId="0" fontId="1" fillId="0" borderId="0" xfId="5"/>
    <xf numFmtId="0" fontId="51" fillId="0" borderId="52" xfId="5" applyFont="1" applyBorder="1" applyAlignment="1">
      <alignment horizontal="centerContinuous"/>
    </xf>
    <xf numFmtId="0" fontId="50" fillId="0" borderId="0" xfId="5" applyFont="1" applyAlignment="1">
      <alignment horizontal="centerContinuous"/>
    </xf>
    <xf numFmtId="0" fontId="50" fillId="0" borderId="51" xfId="5" applyFont="1" applyBorder="1" applyAlignment="1">
      <alignment horizontal="centerContinuous"/>
    </xf>
    <xf numFmtId="0" fontId="52" fillId="0" borderId="52" xfId="5" applyFont="1" applyBorder="1" applyAlignment="1">
      <alignment horizontal="centerContinuous"/>
    </xf>
    <xf numFmtId="0" fontId="50" fillId="0" borderId="52" xfId="5" applyFont="1" applyBorder="1"/>
    <xf numFmtId="0" fontId="50" fillId="0" borderId="0" xfId="5" applyFont="1"/>
    <xf numFmtId="0" fontId="50" fillId="0" borderId="51" xfId="5" applyFont="1" applyBorder="1"/>
    <xf numFmtId="0" fontId="48" fillId="0" borderId="1" xfId="5" applyFont="1" applyBorder="1" applyAlignment="1">
      <alignment horizontal="right"/>
    </xf>
    <xf numFmtId="0" fontId="50" fillId="0" borderId="1" xfId="5" applyFont="1" applyBorder="1" applyAlignment="1">
      <alignment horizontal="center"/>
    </xf>
    <xf numFmtId="14" fontId="50" fillId="0" borderId="1" xfId="5" applyNumberFormat="1" applyFont="1" applyBorder="1" applyAlignment="1">
      <alignment horizontal="center"/>
    </xf>
    <xf numFmtId="0" fontId="48" fillId="0" borderId="0" xfId="5" applyFont="1" applyAlignment="1">
      <alignment horizontal="right"/>
    </xf>
    <xf numFmtId="0" fontId="50" fillId="0" borderId="0" xfId="5" applyFont="1" applyAlignment="1">
      <alignment horizontal="center"/>
    </xf>
    <xf numFmtId="9" fontId="50" fillId="0" borderId="0" xfId="5" applyNumberFormat="1" applyFont="1" applyAlignment="1">
      <alignment horizontal="center"/>
    </xf>
    <xf numFmtId="0" fontId="71" fillId="0" borderId="0" xfId="5" applyFont="1"/>
    <xf numFmtId="0" fontId="2" fillId="0" borderId="44" xfId="5" applyFont="1" applyBorder="1" applyAlignment="1">
      <alignment horizontal="center"/>
    </xf>
    <xf numFmtId="0" fontId="2" fillId="0" borderId="56" xfId="5" applyFont="1" applyBorder="1" applyAlignment="1">
      <alignment horizontal="center"/>
    </xf>
    <xf numFmtId="166" fontId="3" fillId="0" borderId="144" xfId="5" quotePrefix="1" applyNumberFormat="1" applyFont="1" applyBorder="1" applyAlignment="1">
      <alignment horizontal="center"/>
    </xf>
    <xf numFmtId="166" fontId="2" fillId="0" borderId="39" xfId="5" applyNumberFormat="1" applyFont="1" applyBorder="1" applyAlignment="1">
      <alignment horizontal="center"/>
    </xf>
    <xf numFmtId="166" fontId="2" fillId="0" borderId="28" xfId="5" applyNumberFormat="1" applyFont="1" applyBorder="1" applyAlignment="1">
      <alignment horizontal="center"/>
    </xf>
    <xf numFmtId="166" fontId="2" fillId="0" borderId="145" xfId="5" applyNumberFormat="1" applyFont="1" applyBorder="1" applyAlignment="1">
      <alignment horizontal="center"/>
    </xf>
    <xf numFmtId="166" fontId="3" fillId="0" borderId="146" xfId="5" quotePrefix="1" applyNumberFormat="1" applyFont="1" applyBorder="1" applyAlignment="1">
      <alignment horizontal="center"/>
    </xf>
    <xf numFmtId="166" fontId="2" fillId="0" borderId="129" xfId="5" applyNumberFormat="1" applyFont="1" applyBorder="1" applyAlignment="1">
      <alignment horizontal="center"/>
    </xf>
    <xf numFmtId="166" fontId="2" fillId="0" borderId="1" xfId="5" applyNumberFormat="1" applyFont="1" applyBorder="1" applyAlignment="1">
      <alignment horizontal="center"/>
    </xf>
    <xf numFmtId="166" fontId="2" fillId="0" borderId="9" xfId="5" applyNumberFormat="1" applyFont="1" applyBorder="1" applyAlignment="1">
      <alignment horizontal="center"/>
    </xf>
    <xf numFmtId="166" fontId="3" fillId="0" borderId="25" xfId="5" quotePrefix="1" applyNumberFormat="1" applyFont="1" applyBorder="1" applyAlignment="1">
      <alignment horizontal="center"/>
    </xf>
    <xf numFmtId="166" fontId="2" fillId="0" borderId="131" xfId="5" applyNumberFormat="1" applyFont="1" applyBorder="1" applyAlignment="1">
      <alignment horizontal="center"/>
    </xf>
    <xf numFmtId="166" fontId="2" fillId="0" borderId="11" xfId="5" applyNumberFormat="1" applyFont="1" applyBorder="1" applyAlignment="1">
      <alignment horizontal="center"/>
    </xf>
    <xf numFmtId="166" fontId="2" fillId="0" borderId="33" xfId="5" applyNumberFormat="1" applyFont="1" applyBorder="1" applyAlignment="1">
      <alignment horizontal="center"/>
    </xf>
    <xf numFmtId="166" fontId="3" fillId="0" borderId="0" xfId="5" quotePrefix="1" applyNumberFormat="1" applyFont="1" applyAlignment="1">
      <alignment horizontal="center"/>
    </xf>
    <xf numFmtId="166" fontId="2" fillId="0" borderId="0" xfId="5" applyNumberFormat="1" applyFont="1" applyAlignment="1">
      <alignment horizontal="center"/>
    </xf>
    <xf numFmtId="166" fontId="3" fillId="0" borderId="0" xfId="5" applyNumberFormat="1" applyFont="1" applyAlignment="1">
      <alignment horizontal="center"/>
    </xf>
    <xf numFmtId="169" fontId="72" fillId="0" borderId="0" xfId="6" applyNumberFormat="1"/>
    <xf numFmtId="14" fontId="62" fillId="0" borderId="143" xfId="6" quotePrefix="1" applyNumberFormat="1" applyFont="1" applyBorder="1" applyAlignment="1">
      <alignment horizontal="centerContinuous"/>
    </xf>
    <xf numFmtId="169" fontId="69" fillId="0" borderId="0" xfId="6" applyNumberFormat="1" applyFont="1" applyAlignment="1">
      <alignment horizontal="right"/>
    </xf>
    <xf numFmtId="169" fontId="61" fillId="0" borderId="0" xfId="6" applyNumberFormat="1" applyFont="1" applyAlignment="1">
      <alignment horizontal="centerContinuous"/>
    </xf>
    <xf numFmtId="169" fontId="61" fillId="0" borderId="0" xfId="6" applyNumberFormat="1" applyFont="1"/>
    <xf numFmtId="169" fontId="62" fillId="0" borderId="143" xfId="6" applyNumberFormat="1" applyFont="1" applyBorder="1" applyAlignment="1">
      <alignment horizontal="centerContinuous"/>
    </xf>
    <xf numFmtId="169" fontId="73" fillId="0" borderId="143" xfId="6" applyNumberFormat="1" applyFont="1" applyBorder="1" applyAlignment="1">
      <alignment horizontal="centerContinuous"/>
    </xf>
    <xf numFmtId="1" fontId="62" fillId="0" borderId="0" xfId="6" applyNumberFormat="1" applyFont="1" applyAlignment="1">
      <alignment horizontal="center"/>
    </xf>
    <xf numFmtId="1" fontId="72" fillId="0" borderId="0" xfId="6" applyNumberFormat="1" applyAlignment="1">
      <alignment horizontal="center"/>
    </xf>
    <xf numFmtId="169" fontId="69" fillId="0" borderId="0" xfId="6" applyNumberFormat="1" applyFont="1" applyAlignment="1">
      <alignment horizontal="left"/>
    </xf>
    <xf numFmtId="169" fontId="62" fillId="0" borderId="0" xfId="7" applyNumberFormat="1" applyFont="1" applyAlignment="1">
      <alignment horizontal="center"/>
    </xf>
    <xf numFmtId="169" fontId="75" fillId="0" borderId="0" xfId="7" applyNumberFormat="1" applyFont="1" applyAlignment="1">
      <alignment horizontal="center"/>
    </xf>
    <xf numFmtId="169" fontId="65" fillId="0" borderId="0" xfId="6" applyNumberFormat="1" applyFont="1"/>
    <xf numFmtId="1" fontId="65" fillId="0" borderId="0" xfId="6" applyNumberFormat="1" applyFont="1" applyAlignment="1">
      <alignment horizontal="center"/>
    </xf>
    <xf numFmtId="1" fontId="68" fillId="0" borderId="0" xfId="6" applyNumberFormat="1" applyFont="1" applyAlignment="1">
      <alignment horizontal="center"/>
    </xf>
    <xf numFmtId="169" fontId="68" fillId="0" borderId="0" xfId="6" applyNumberFormat="1" applyFont="1"/>
    <xf numFmtId="169" fontId="65" fillId="0" borderId="0" xfId="6" applyNumberFormat="1" applyFont="1" applyAlignment="1">
      <alignment horizontal="left"/>
    </xf>
    <xf numFmtId="169" fontId="62" fillId="0" borderId="0" xfId="7" applyNumberFormat="1" applyFont="1" applyAlignment="1">
      <alignment horizontal="centerContinuous"/>
    </xf>
    <xf numFmtId="169" fontId="65" fillId="0" borderId="0" xfId="7" applyNumberFormat="1" applyFont="1" applyAlignment="1">
      <alignment horizontal="centerContinuous"/>
    </xf>
    <xf numFmtId="169" fontId="65" fillId="0" borderId="0" xfId="6" applyNumberFormat="1" applyFont="1" applyAlignment="1">
      <alignment horizontal="center"/>
    </xf>
    <xf numFmtId="169" fontId="68" fillId="0" borderId="0" xfId="6" applyNumberFormat="1" applyFont="1" applyAlignment="1">
      <alignment horizontal="center"/>
    </xf>
    <xf numFmtId="171" fontId="65" fillId="0" borderId="0" xfId="7" quotePrefix="1" applyNumberFormat="1" applyFont="1" applyAlignment="1">
      <alignment horizontal="centerContinuous"/>
    </xf>
    <xf numFmtId="169" fontId="65" fillId="0" borderId="0" xfId="7" quotePrefix="1" applyNumberFormat="1" applyFont="1" applyAlignment="1">
      <alignment horizontal="center"/>
    </xf>
    <xf numFmtId="169" fontId="66" fillId="0" borderId="0" xfId="7" applyNumberFormat="1" applyFont="1" applyAlignment="1">
      <alignment horizontal="centerContinuous"/>
    </xf>
    <xf numFmtId="173" fontId="72" fillId="0" borderId="0" xfId="6" applyNumberFormat="1"/>
    <xf numFmtId="169" fontId="77" fillId="0" borderId="0" xfId="6" applyNumberFormat="1" applyFont="1" applyAlignment="1">
      <alignment horizontal="center"/>
    </xf>
    <xf numFmtId="174" fontId="72" fillId="0" borderId="0" xfId="6" applyNumberFormat="1"/>
    <xf numFmtId="176" fontId="72" fillId="0" borderId="0" xfId="6" applyNumberFormat="1"/>
    <xf numFmtId="39" fontId="65" fillId="0" borderId="0" xfId="6" applyNumberFormat="1" applyFont="1" applyAlignment="1">
      <alignment horizontal="center"/>
    </xf>
    <xf numFmtId="177" fontId="72" fillId="0" borderId="0" xfId="6" applyNumberFormat="1"/>
    <xf numFmtId="178" fontId="72" fillId="0" borderId="0" xfId="6" applyNumberFormat="1"/>
    <xf numFmtId="169" fontId="65" fillId="0" borderId="0" xfId="6" applyNumberFormat="1" applyFont="1" applyAlignment="1">
      <alignment horizontal="centerContinuous"/>
    </xf>
    <xf numFmtId="179" fontId="72" fillId="0" borderId="0" xfId="6" applyNumberFormat="1"/>
    <xf numFmtId="1" fontId="65" fillId="0" borderId="0" xfId="6" quotePrefix="1" applyNumberFormat="1" applyFont="1" applyAlignment="1">
      <alignment horizontal="center"/>
    </xf>
    <xf numFmtId="166" fontId="65" fillId="0" borderId="0" xfId="6" quotePrefix="1" applyNumberFormat="1" applyFont="1" applyAlignment="1">
      <alignment horizontal="center"/>
    </xf>
    <xf numFmtId="169" fontId="66" fillId="0" borderId="0" xfId="6" applyNumberFormat="1" applyFont="1" applyAlignment="1">
      <alignment horizontal="center"/>
    </xf>
    <xf numFmtId="0" fontId="78" fillId="0" borderId="0" xfId="8"/>
    <xf numFmtId="169" fontId="61" fillId="0" borderId="24" xfId="6" applyNumberFormat="1" applyFont="1" applyBorder="1" applyAlignment="1">
      <alignment horizontal="centerContinuous"/>
    </xf>
    <xf numFmtId="169" fontId="79" fillId="0" borderId="23" xfId="6" applyNumberFormat="1" applyFont="1" applyBorder="1" applyAlignment="1">
      <alignment horizontal="centerContinuous"/>
    </xf>
    <xf numFmtId="169" fontId="61" fillId="0" borderId="48" xfId="6" applyNumberFormat="1" applyFont="1" applyBorder="1"/>
    <xf numFmtId="169" fontId="60" fillId="0" borderId="46" xfId="6" applyNumberFormat="1" applyFont="1" applyBorder="1" applyAlignment="1">
      <alignment horizontal="left"/>
    </xf>
    <xf numFmtId="169" fontId="61" fillId="0" borderId="23" xfId="6" applyNumberFormat="1" applyFont="1" applyBorder="1" applyAlignment="1">
      <alignment horizontal="centerContinuous"/>
    </xf>
    <xf numFmtId="169" fontId="80" fillId="0" borderId="46" xfId="6" applyNumberFormat="1" applyFont="1" applyBorder="1" applyAlignment="1">
      <alignment horizontal="centerContinuous"/>
    </xf>
    <xf numFmtId="169" fontId="61" fillId="0" borderId="29" xfId="6" applyNumberFormat="1" applyFont="1" applyBorder="1" applyAlignment="1">
      <alignment horizontal="centerContinuous"/>
    </xf>
    <xf numFmtId="169" fontId="60" fillId="0" borderId="40" xfId="6" applyNumberFormat="1" applyFont="1" applyBorder="1" applyAlignment="1">
      <alignment horizontal="centerContinuous"/>
    </xf>
    <xf numFmtId="169" fontId="61" fillId="0" borderId="39" xfId="6" applyNumberFormat="1" applyFont="1" applyBorder="1"/>
    <xf numFmtId="169" fontId="60" fillId="0" borderId="109" xfId="6" applyNumberFormat="1" applyFont="1" applyBorder="1" applyAlignment="1">
      <alignment horizontal="left"/>
    </xf>
    <xf numFmtId="169" fontId="62" fillId="0" borderId="45" xfId="6" applyNumberFormat="1" applyFont="1" applyBorder="1" applyAlignment="1">
      <alignment horizontal="centerContinuous"/>
    </xf>
    <xf numFmtId="169" fontId="61" fillId="0" borderId="45" xfId="6" applyNumberFormat="1" applyFont="1" applyBorder="1" applyAlignment="1">
      <alignment horizontal="centerContinuous"/>
    </xf>
    <xf numFmtId="169" fontId="59" fillId="0" borderId="0" xfId="6" applyNumberFormat="1" applyFont="1" applyAlignment="1">
      <alignment horizontal="centerContinuous"/>
    </xf>
    <xf numFmtId="169" fontId="59" fillId="0" borderId="45" xfId="6" applyNumberFormat="1" applyFont="1" applyBorder="1" applyAlignment="1">
      <alignment horizontal="centerContinuous"/>
    </xf>
    <xf numFmtId="169" fontId="61" fillId="0" borderId="14" xfId="6" applyNumberFormat="1" applyFont="1" applyBorder="1" applyAlignment="1">
      <alignment horizontal="centerContinuous"/>
    </xf>
    <xf numFmtId="169" fontId="60" fillId="0" borderId="13" xfId="6" applyNumberFormat="1" applyFont="1" applyBorder="1" applyAlignment="1">
      <alignment horizontal="centerContinuous"/>
    </xf>
    <xf numFmtId="169" fontId="61" fillId="0" borderId="57" xfId="6" applyNumberFormat="1" applyFont="1" applyBorder="1"/>
    <xf numFmtId="169" fontId="60" fillId="0" borderId="12" xfId="6" applyNumberFormat="1" applyFont="1" applyBorder="1" applyAlignment="1">
      <alignment horizontal="left"/>
    </xf>
    <xf numFmtId="169" fontId="59" fillId="0" borderId="7" xfId="6" applyNumberFormat="1" applyFont="1" applyBorder="1" applyAlignment="1">
      <alignment horizontal="centerContinuous"/>
    </xf>
    <xf numFmtId="169" fontId="59" fillId="0" borderId="6" xfId="6" applyNumberFormat="1" applyFont="1" applyBorder="1" applyAlignment="1">
      <alignment horizontal="centerContinuous"/>
    </xf>
    <xf numFmtId="169" fontId="58" fillId="0" borderId="0" xfId="11" applyNumberFormat="1"/>
    <xf numFmtId="169" fontId="65" fillId="0" borderId="0" xfId="11" applyNumberFormat="1" applyFont="1" applyAlignment="1">
      <alignment horizontal="left"/>
    </xf>
    <xf numFmtId="169" fontId="82" fillId="0" borderId="0" xfId="11" applyNumberFormat="1" applyFont="1" applyAlignment="1">
      <alignment horizontal="left"/>
    </xf>
    <xf numFmtId="0" fontId="5" fillId="0" borderId="0" xfId="12" applyFont="1"/>
    <xf numFmtId="169" fontId="83" fillId="0" borderId="0" xfId="11" applyNumberFormat="1" applyFont="1" applyAlignment="1">
      <alignment horizontal="right"/>
    </xf>
    <xf numFmtId="0" fontId="62" fillId="0" borderId="0" xfId="10" applyFont="1"/>
    <xf numFmtId="166" fontId="85" fillId="0" borderId="33" xfId="11" quotePrefix="1" applyNumberFormat="1" applyFont="1" applyBorder="1" applyAlignment="1">
      <alignment horizontal="center"/>
    </xf>
    <xf numFmtId="166" fontId="85" fillId="0" borderId="11" xfId="11" quotePrefix="1" applyNumberFormat="1" applyFont="1" applyBorder="1" applyAlignment="1">
      <alignment horizontal="center"/>
    </xf>
    <xf numFmtId="166" fontId="85" fillId="0" borderId="4" xfId="11" quotePrefix="1" applyNumberFormat="1" applyFont="1" applyBorder="1" applyAlignment="1">
      <alignment horizontal="center"/>
    </xf>
    <xf numFmtId="0" fontId="1" fillId="0" borderId="0" xfId="13"/>
    <xf numFmtId="166" fontId="85" fillId="0" borderId="9" xfId="11" applyNumberFormat="1" applyFont="1" applyBorder="1" applyAlignment="1">
      <alignment horizontal="center"/>
    </xf>
    <xf numFmtId="166" fontId="85" fillId="0" borderId="1" xfId="11" applyNumberFormat="1" applyFont="1" applyBorder="1" applyAlignment="1">
      <alignment horizontal="center"/>
    </xf>
    <xf numFmtId="166" fontId="85" fillId="0" borderId="3" xfId="11" applyNumberFormat="1" applyFont="1" applyBorder="1" applyAlignment="1">
      <alignment horizontal="center"/>
    </xf>
    <xf numFmtId="169" fontId="58" fillId="0" borderId="10" xfId="11" applyNumberFormat="1" applyBorder="1" applyAlignment="1">
      <alignment horizontal="center"/>
    </xf>
    <xf numFmtId="169" fontId="58" fillId="0" borderId="22" xfId="11" applyNumberFormat="1" applyBorder="1" applyAlignment="1">
      <alignment horizontal="center"/>
    </xf>
    <xf numFmtId="169" fontId="58" fillId="0" borderId="22" xfId="11" quotePrefix="1" applyNumberFormat="1" applyBorder="1" applyAlignment="1">
      <alignment horizontal="center"/>
    </xf>
    <xf numFmtId="169" fontId="58" fillId="0" borderId="2" xfId="11" quotePrefix="1" applyNumberFormat="1" applyBorder="1" applyAlignment="1">
      <alignment horizontal="center"/>
    </xf>
    <xf numFmtId="169" fontId="58" fillId="0" borderId="0" xfId="11" applyNumberFormat="1" applyAlignment="1">
      <alignment horizontal="center"/>
    </xf>
    <xf numFmtId="169" fontId="85" fillId="0" borderId="23" xfId="11" applyNumberFormat="1" applyFont="1" applyBorder="1" applyAlignment="1">
      <alignment horizontal="right"/>
    </xf>
    <xf numFmtId="169" fontId="58" fillId="0" borderId="23" xfId="11" applyNumberFormat="1" applyBorder="1"/>
    <xf numFmtId="169" fontId="87" fillId="0" borderId="23" xfId="11" applyNumberFormat="1" applyFont="1" applyBorder="1" applyAlignment="1">
      <alignment horizontal="right"/>
    </xf>
    <xf numFmtId="169" fontId="58" fillId="0" borderId="46" xfId="11" applyNumberFormat="1" applyBorder="1"/>
    <xf numFmtId="169" fontId="85" fillId="0" borderId="149" xfId="11" applyNumberFormat="1" applyFont="1" applyBorder="1" applyAlignment="1">
      <alignment horizontal="right"/>
    </xf>
    <xf numFmtId="169" fontId="58" fillId="0" borderId="149" xfId="11" applyNumberFormat="1" applyBorder="1"/>
    <xf numFmtId="169" fontId="86" fillId="0" borderId="149" xfId="11" applyNumberFormat="1" applyFont="1" applyBorder="1" applyAlignment="1">
      <alignment horizontal="right"/>
    </xf>
    <xf numFmtId="169" fontId="87" fillId="0" borderId="149" xfId="11" applyNumberFormat="1" applyFont="1" applyBorder="1" applyAlignment="1">
      <alignment horizontal="right"/>
    </xf>
    <xf numFmtId="169" fontId="58" fillId="0" borderId="150" xfId="11" applyNumberFormat="1" applyBorder="1"/>
    <xf numFmtId="169" fontId="58" fillId="0" borderId="30" xfId="11" applyNumberFormat="1" applyBorder="1"/>
    <xf numFmtId="169" fontId="58" fillId="0" borderId="23" xfId="11" applyNumberFormat="1" applyBorder="1" applyAlignment="1">
      <alignment horizontal="right"/>
    </xf>
    <xf numFmtId="169" fontId="85" fillId="0" borderId="0" xfId="11" applyNumberFormat="1" applyFont="1" applyAlignment="1">
      <alignment horizontal="right"/>
    </xf>
    <xf numFmtId="169" fontId="58" fillId="0" borderId="0" xfId="11" applyNumberFormat="1" applyAlignment="1">
      <alignment horizontal="right"/>
    </xf>
    <xf numFmtId="169" fontId="58" fillId="0" borderId="45" xfId="11" applyNumberFormat="1" applyBorder="1"/>
    <xf numFmtId="169" fontId="58" fillId="0" borderId="154" xfId="11" applyNumberFormat="1" applyBorder="1"/>
    <xf numFmtId="169" fontId="86" fillId="0" borderId="23" xfId="11" applyNumberFormat="1" applyFont="1" applyBorder="1" applyAlignment="1">
      <alignment horizontal="right"/>
    </xf>
    <xf numFmtId="169" fontId="58" fillId="0" borderId="127" xfId="11" applyNumberFormat="1" applyBorder="1"/>
    <xf numFmtId="169" fontId="86" fillId="0" borderId="0" xfId="11" applyNumberFormat="1" applyFont="1" applyAlignment="1">
      <alignment horizontal="right"/>
    </xf>
    <xf numFmtId="169" fontId="87" fillId="0" borderId="0" xfId="11" applyNumberFormat="1" applyFont="1" applyAlignment="1">
      <alignment horizontal="right"/>
    </xf>
    <xf numFmtId="169" fontId="85" fillId="0" borderId="127" xfId="11" applyNumberFormat="1" applyFont="1" applyBorder="1" applyAlignment="1">
      <alignment horizontal="right"/>
    </xf>
    <xf numFmtId="169" fontId="76" fillId="0" borderId="127" xfId="11" applyNumberFormat="1" applyFont="1" applyBorder="1" applyAlignment="1">
      <alignment horizontal="center"/>
    </xf>
    <xf numFmtId="169" fontId="58" fillId="0" borderId="24" xfId="11" applyNumberFormat="1" applyBorder="1"/>
    <xf numFmtId="169" fontId="85" fillId="0" borderId="23" xfId="11" applyNumberFormat="1" applyFont="1" applyBorder="1"/>
    <xf numFmtId="0" fontId="85" fillId="0" borderId="23" xfId="11" applyFont="1" applyBorder="1"/>
    <xf numFmtId="169" fontId="58" fillId="0" borderId="148" xfId="11" applyNumberFormat="1" applyBorder="1"/>
    <xf numFmtId="169" fontId="85" fillId="0" borderId="149" xfId="11" applyNumberFormat="1" applyFont="1" applyBorder="1"/>
    <xf numFmtId="167" fontId="85" fillId="0" borderId="149" xfId="11" quotePrefix="1" applyNumberFormat="1" applyFont="1" applyBorder="1" applyAlignment="1">
      <alignment horizontal="center"/>
    </xf>
    <xf numFmtId="0" fontId="85" fillId="0" borderId="149" xfId="11" applyFont="1" applyBorder="1"/>
    <xf numFmtId="169" fontId="77" fillId="0" borderId="149" xfId="11" applyNumberFormat="1" applyFont="1" applyBorder="1"/>
    <xf numFmtId="169" fontId="77" fillId="0" borderId="150" xfId="11" applyNumberFormat="1" applyFont="1" applyBorder="1"/>
    <xf numFmtId="169" fontId="62" fillId="0" borderId="0" xfId="11" applyNumberFormat="1" applyFont="1"/>
    <xf numFmtId="169" fontId="61" fillId="0" borderId="0" xfId="11" applyNumberFormat="1" applyFont="1"/>
    <xf numFmtId="169" fontId="61" fillId="0" borderId="0" xfId="11" applyNumberFormat="1" applyFont="1" applyAlignment="1">
      <alignment horizontal="centerContinuous"/>
    </xf>
    <xf numFmtId="169" fontId="61" fillId="0" borderId="48" xfId="11" applyNumberFormat="1" applyFont="1" applyBorder="1"/>
    <xf numFmtId="169" fontId="60" fillId="0" borderId="46" xfId="11" applyNumberFormat="1" applyFont="1" applyBorder="1" applyAlignment="1">
      <alignment horizontal="left"/>
    </xf>
    <xf numFmtId="169" fontId="61" fillId="0" borderId="23" xfId="11" applyNumberFormat="1" applyFont="1" applyBorder="1" applyAlignment="1">
      <alignment horizontal="centerContinuous"/>
    </xf>
    <xf numFmtId="169" fontId="62" fillId="0" borderId="46" xfId="11" applyNumberFormat="1" applyFont="1" applyBorder="1" applyAlignment="1">
      <alignment horizontal="centerContinuous"/>
    </xf>
    <xf numFmtId="169" fontId="61" fillId="0" borderId="39" xfId="11" applyNumberFormat="1" applyFont="1" applyBorder="1"/>
    <xf numFmtId="169" fontId="60" fillId="0" borderId="109" xfId="11" applyNumberFormat="1" applyFont="1" applyBorder="1" applyAlignment="1">
      <alignment horizontal="left"/>
    </xf>
    <xf numFmtId="169" fontId="62" fillId="0" borderId="45" xfId="11" applyNumberFormat="1" applyFont="1" applyBorder="1" applyAlignment="1">
      <alignment horizontal="centerContinuous"/>
    </xf>
    <xf numFmtId="169" fontId="61" fillId="0" borderId="45" xfId="11" applyNumberFormat="1" applyFont="1" applyBorder="1" applyAlignment="1">
      <alignment horizontal="centerContinuous"/>
    </xf>
    <xf numFmtId="169" fontId="63" fillId="0" borderId="45" xfId="11" applyNumberFormat="1" applyFont="1" applyBorder="1" applyAlignment="1">
      <alignment horizontal="centerContinuous"/>
    </xf>
    <xf numFmtId="169" fontId="61" fillId="0" borderId="29" xfId="11" applyNumberFormat="1" applyFont="1" applyBorder="1" applyAlignment="1">
      <alignment horizontal="centerContinuous"/>
    </xf>
    <xf numFmtId="169" fontId="60" fillId="0" borderId="40" xfId="11" applyNumberFormat="1" applyFont="1" applyBorder="1" applyAlignment="1">
      <alignment horizontal="centerContinuous"/>
    </xf>
    <xf numFmtId="169" fontId="59" fillId="0" borderId="0" xfId="11" applyNumberFormat="1" applyFont="1" applyAlignment="1">
      <alignment horizontal="centerContinuous"/>
    </xf>
    <xf numFmtId="169" fontId="59" fillId="0" borderId="45" xfId="11" applyNumberFormat="1" applyFont="1" applyBorder="1" applyAlignment="1">
      <alignment horizontal="centerContinuous"/>
    </xf>
    <xf numFmtId="169" fontId="61" fillId="0" borderId="57" xfId="11" applyNumberFormat="1" applyFont="1" applyBorder="1"/>
    <xf numFmtId="169" fontId="60" fillId="0" borderId="12" xfId="11" applyNumberFormat="1" applyFont="1" applyBorder="1" applyAlignment="1">
      <alignment horizontal="left"/>
    </xf>
    <xf numFmtId="169" fontId="59" fillId="0" borderId="7" xfId="11" applyNumberFormat="1" applyFont="1" applyBorder="1" applyAlignment="1">
      <alignment horizontal="centerContinuous"/>
    </xf>
    <xf numFmtId="169" fontId="59" fillId="0" borderId="6" xfId="11" applyNumberFormat="1" applyFont="1" applyBorder="1" applyAlignment="1">
      <alignment horizontal="centerContinuous"/>
    </xf>
    <xf numFmtId="0" fontId="6" fillId="0" borderId="0" xfId="13" applyFont="1" applyAlignment="1">
      <alignment horizontal="centerContinuous"/>
    </xf>
    <xf numFmtId="0" fontId="1" fillId="0" borderId="0" xfId="13" applyAlignment="1">
      <alignment horizontal="centerContinuous"/>
    </xf>
    <xf numFmtId="0" fontId="3" fillId="0" borderId="0" xfId="13" applyFont="1" applyAlignment="1">
      <alignment horizontal="centerContinuous"/>
    </xf>
    <xf numFmtId="0" fontId="10" fillId="0" borderId="0" xfId="13" applyFont="1" applyAlignment="1">
      <alignment horizontal="center"/>
    </xf>
    <xf numFmtId="0" fontId="3" fillId="0" borderId="0" xfId="13" applyFont="1" applyAlignment="1">
      <alignment horizontal="right"/>
    </xf>
    <xf numFmtId="0" fontId="3" fillId="0" borderId="0" xfId="13" applyFont="1"/>
    <xf numFmtId="0" fontId="2" fillId="0" borderId="0" xfId="13" applyFont="1"/>
    <xf numFmtId="14" fontId="3" fillId="0" borderId="0" xfId="13" applyNumberFormat="1" applyFont="1" applyAlignment="1">
      <alignment horizontal="center"/>
    </xf>
    <xf numFmtId="19" fontId="3" fillId="0" borderId="0" xfId="13" applyNumberFormat="1" applyFont="1"/>
    <xf numFmtId="0" fontId="4" fillId="0" borderId="5" xfId="13" applyFont="1" applyBorder="1" applyAlignment="1">
      <alignment horizontal="center"/>
    </xf>
    <xf numFmtId="0" fontId="4" fillId="0" borderId="41" xfId="13" applyFont="1" applyBorder="1" applyAlignment="1">
      <alignment horizontal="center"/>
    </xf>
    <xf numFmtId="0" fontId="2" fillId="0" borderId="25" xfId="13" applyFont="1" applyBorder="1" applyAlignment="1">
      <alignment horizontal="center"/>
    </xf>
    <xf numFmtId="2" fontId="2" fillId="0" borderId="25" xfId="13" applyNumberFormat="1" applyFont="1" applyBorder="1" applyAlignment="1">
      <alignment horizontal="center"/>
    </xf>
    <xf numFmtId="1" fontId="2" fillId="0" borderId="25" xfId="13" applyNumberFormat="1" applyFont="1" applyBorder="1" applyAlignment="1">
      <alignment horizontal="center"/>
    </xf>
    <xf numFmtId="1" fontId="2" fillId="0" borderId="44" xfId="13" applyNumberFormat="1" applyFont="1" applyBorder="1" applyAlignment="1">
      <alignment horizontal="center"/>
    </xf>
    <xf numFmtId="166" fontId="2" fillId="0" borderId="25" xfId="13" applyNumberFormat="1" applyFont="1" applyBorder="1" applyAlignment="1">
      <alignment horizontal="center"/>
    </xf>
    <xf numFmtId="165" fontId="2" fillId="0" borderId="25" xfId="13" applyNumberFormat="1" applyFont="1" applyBorder="1" applyAlignment="1">
      <alignment horizontal="center"/>
    </xf>
    <xf numFmtId="0" fontId="4" fillId="0" borderId="12" xfId="13" applyFont="1" applyBorder="1"/>
    <xf numFmtId="0" fontId="3" fillId="0" borderId="13" xfId="13" applyFont="1" applyBorder="1" applyAlignment="1">
      <alignment horizontal="center"/>
    </xf>
    <xf numFmtId="0" fontId="3" fillId="0" borderId="14" xfId="13" applyFont="1" applyBorder="1" applyAlignment="1">
      <alignment horizontal="center"/>
    </xf>
    <xf numFmtId="0" fontId="4" fillId="0" borderId="12" xfId="13" applyFont="1" applyBorder="1" applyAlignment="1">
      <alignment horizontal="left"/>
    </xf>
    <xf numFmtId="0" fontId="2" fillId="3" borderId="0" xfId="13" applyFont="1" applyFill="1"/>
    <xf numFmtId="0" fontId="2" fillId="0" borderId="7" xfId="13" applyFont="1" applyBorder="1"/>
    <xf numFmtId="0" fontId="2" fillId="0" borderId="8" xfId="13" applyFont="1" applyBorder="1"/>
    <xf numFmtId="0" fontId="4" fillId="0" borderId="0" xfId="13" applyFont="1"/>
    <xf numFmtId="0" fontId="2" fillId="0" borderId="0" xfId="13" applyFont="1" applyAlignment="1">
      <alignment horizontal="centerContinuous"/>
    </xf>
    <xf numFmtId="0" fontId="2" fillId="0" borderId="14" xfId="13" applyFont="1" applyBorder="1" applyAlignment="1">
      <alignment horizontal="centerContinuous"/>
    </xf>
    <xf numFmtId="0" fontId="1" fillId="0" borderId="45" xfId="13" applyBorder="1"/>
    <xf numFmtId="0" fontId="3" fillId="0" borderId="1" xfId="13" applyFont="1" applyBorder="1" applyAlignment="1">
      <alignment horizontal="center"/>
    </xf>
    <xf numFmtId="0" fontId="3" fillId="0" borderId="9" xfId="13" applyFont="1" applyBorder="1" applyAlignment="1">
      <alignment horizontal="center"/>
    </xf>
    <xf numFmtId="0" fontId="2" fillId="0" borderId="1" xfId="13" applyFont="1" applyBorder="1" applyAlignment="1">
      <alignment horizontal="centerContinuous"/>
    </xf>
    <xf numFmtId="0" fontId="3" fillId="0" borderId="3" xfId="13" applyFont="1" applyBorder="1" applyAlignment="1">
      <alignment horizontal="right"/>
    </xf>
    <xf numFmtId="165" fontId="2" fillId="0" borderId="1" xfId="13" applyNumberFormat="1" applyFont="1" applyBorder="1" applyAlignment="1">
      <alignment horizontal="center"/>
    </xf>
    <xf numFmtId="0" fontId="3" fillId="0" borderId="44" xfId="13" applyFont="1" applyBorder="1" applyAlignment="1">
      <alignment horizontal="center"/>
    </xf>
    <xf numFmtId="2" fontId="2" fillId="0" borderId="1" xfId="13" applyNumberFormat="1" applyFont="1" applyBorder="1" applyAlignment="1">
      <alignment horizontal="center"/>
    </xf>
    <xf numFmtId="0" fontId="2" fillId="0" borderId="9" xfId="13" applyFont="1" applyBorder="1" applyAlignment="1">
      <alignment horizontal="center"/>
    </xf>
    <xf numFmtId="0" fontId="3" fillId="0" borderId="3" xfId="13" applyFont="1" applyBorder="1"/>
    <xf numFmtId="0" fontId="2" fillId="0" borderId="1" xfId="13" applyFont="1" applyBorder="1" applyAlignment="1">
      <alignment horizontal="center"/>
    </xf>
    <xf numFmtId="0" fontId="3" fillId="0" borderId="41" xfId="13" applyFont="1" applyBorder="1" applyAlignment="1">
      <alignment horizontal="center"/>
    </xf>
    <xf numFmtId="0" fontId="2" fillId="0" borderId="0" xfId="13" applyFont="1" applyAlignment="1">
      <alignment horizontal="center"/>
    </xf>
    <xf numFmtId="0" fontId="3" fillId="0" borderId="17" xfId="13" applyFont="1" applyBorder="1" applyAlignment="1">
      <alignment horizontal="centerContinuous"/>
    </xf>
    <xf numFmtId="0" fontId="2" fillId="0" borderId="16" xfId="13" applyFont="1" applyBorder="1" applyAlignment="1">
      <alignment horizontal="centerContinuous"/>
    </xf>
    <xf numFmtId="166" fontId="2" fillId="0" borderId="42" xfId="13" applyNumberFormat="1" applyFont="1" applyBorder="1" applyAlignment="1">
      <alignment horizontal="center"/>
    </xf>
    <xf numFmtId="2" fontId="2" fillId="0" borderId="9" xfId="13" applyNumberFormat="1" applyFont="1" applyBorder="1" applyAlignment="1">
      <alignment horizontal="center"/>
    </xf>
    <xf numFmtId="0" fontId="2" fillId="0" borderId="30" xfId="13" applyFont="1" applyBorder="1" applyAlignment="1">
      <alignment horizontal="left"/>
    </xf>
    <xf numFmtId="0" fontId="2" fillId="0" borderId="21" xfId="13" applyFont="1" applyBorder="1" applyAlignment="1">
      <alignment horizontal="left"/>
    </xf>
    <xf numFmtId="0" fontId="2" fillId="0" borderId="28" xfId="13" applyFont="1" applyBorder="1" applyAlignment="1">
      <alignment horizontal="left"/>
    </xf>
    <xf numFmtId="0" fontId="2" fillId="0" borderId="29" xfId="13" applyFont="1" applyBorder="1" applyAlignment="1">
      <alignment horizontal="left"/>
    </xf>
    <xf numFmtId="167" fontId="2" fillId="4" borderId="1" xfId="13" applyNumberFormat="1" applyFont="1" applyFill="1" applyBorder="1" applyAlignment="1">
      <alignment horizontal="center"/>
    </xf>
    <xf numFmtId="0" fontId="2" fillId="0" borderId="1" xfId="13" applyFont="1" applyBorder="1" applyAlignment="1">
      <alignment horizontal="left"/>
    </xf>
    <xf numFmtId="0" fontId="2" fillId="0" borderId="9" xfId="13" applyFont="1" applyBorder="1" applyAlignment="1">
      <alignment horizontal="left"/>
    </xf>
    <xf numFmtId="166" fontId="2" fillId="0" borderId="1" xfId="13" applyNumberFormat="1" applyFont="1" applyBorder="1" applyAlignment="1">
      <alignment horizontal="center"/>
    </xf>
    <xf numFmtId="0" fontId="3" fillId="0" borderId="47" xfId="13" applyFont="1" applyBorder="1" applyAlignment="1">
      <alignment horizontal="right"/>
    </xf>
    <xf numFmtId="2" fontId="2" fillId="0" borderId="48" xfId="13" applyNumberFormat="1" applyFont="1" applyBorder="1" applyAlignment="1">
      <alignment horizontal="center"/>
    </xf>
    <xf numFmtId="2" fontId="2" fillId="0" borderId="24" xfId="13" applyNumberFormat="1" applyFont="1" applyBorder="1" applyAlignment="1">
      <alignment horizontal="center"/>
    </xf>
    <xf numFmtId="0" fontId="4" fillId="0" borderId="6" xfId="13" applyFont="1" applyBorder="1"/>
    <xf numFmtId="166" fontId="2" fillId="0" borderId="7" xfId="13" applyNumberFormat="1" applyFont="1" applyBorder="1" applyAlignment="1">
      <alignment horizontal="center"/>
    </xf>
    <xf numFmtId="166" fontId="2" fillId="0" borderId="8" xfId="13" applyNumberFormat="1" applyFont="1" applyBorder="1" applyAlignment="1">
      <alignment horizontal="center"/>
    </xf>
    <xf numFmtId="0" fontId="3" fillId="0" borderId="43" xfId="13" applyFont="1" applyBorder="1" applyAlignment="1">
      <alignment horizontal="center"/>
    </xf>
    <xf numFmtId="166" fontId="14" fillId="0" borderId="1" xfId="13" applyNumberFormat="1" applyFont="1" applyBorder="1" applyAlignment="1">
      <alignment horizontal="center"/>
    </xf>
    <xf numFmtId="166" fontId="2" fillId="0" borderId="9" xfId="13" applyNumberFormat="1" applyFont="1" applyBorder="1" applyAlignment="1">
      <alignment horizontal="center"/>
    </xf>
    <xf numFmtId="0" fontId="4" fillId="0" borderId="7" xfId="13" applyFont="1" applyBorder="1" applyAlignment="1">
      <alignment horizontal="centerContinuous"/>
    </xf>
    <xf numFmtId="0" fontId="4" fillId="0" borderId="8" xfId="13" applyFont="1" applyBorder="1" applyAlignment="1">
      <alignment horizontal="centerContinuous"/>
    </xf>
    <xf numFmtId="0" fontId="1" fillId="0" borderId="3" xfId="13" applyBorder="1"/>
    <xf numFmtId="0" fontId="3" fillId="0" borderId="9" xfId="13" applyFont="1" applyBorder="1" applyAlignment="1">
      <alignment horizontal="centerContinuous"/>
    </xf>
    <xf numFmtId="182" fontId="2" fillId="0" borderId="1" xfId="13" applyNumberFormat="1" applyFont="1" applyBorder="1" applyAlignment="1">
      <alignment horizontal="center"/>
    </xf>
    <xf numFmtId="165" fontId="2" fillId="0" borderId="9" xfId="13" applyNumberFormat="1" applyFont="1" applyBorder="1" applyAlignment="1">
      <alignment horizontal="center"/>
    </xf>
    <xf numFmtId="164" fontId="2" fillId="0" borderId="1" xfId="13" applyNumberFormat="1" applyFont="1" applyBorder="1" applyAlignment="1">
      <alignment horizontal="center"/>
    </xf>
    <xf numFmtId="164" fontId="2" fillId="0" borderId="9" xfId="13" applyNumberFormat="1" applyFont="1" applyBorder="1" applyAlignment="1">
      <alignment horizontal="center"/>
    </xf>
    <xf numFmtId="0" fontId="3" fillId="0" borderId="45" xfId="13" applyFont="1" applyBorder="1"/>
    <xf numFmtId="0" fontId="2" fillId="0" borderId="21" xfId="13" applyFont="1" applyBorder="1" applyAlignment="1">
      <alignment horizontal="center"/>
    </xf>
    <xf numFmtId="0" fontId="3" fillId="0" borderId="4" xfId="13" applyFont="1" applyBorder="1" applyAlignment="1">
      <alignment horizontal="right"/>
    </xf>
    <xf numFmtId="2" fontId="2" fillId="0" borderId="11" xfId="13" applyNumberFormat="1" applyFont="1" applyBorder="1" applyAlignment="1">
      <alignment horizontal="center"/>
    </xf>
    <xf numFmtId="2" fontId="2" fillId="0" borderId="33" xfId="13" applyNumberFormat="1" applyFont="1" applyBorder="1" applyAlignment="1">
      <alignment horizontal="center"/>
    </xf>
    <xf numFmtId="165" fontId="2" fillId="0" borderId="11" xfId="13" applyNumberFormat="1" applyFont="1" applyBorder="1" applyAlignment="1">
      <alignment horizontal="center"/>
    </xf>
    <xf numFmtId="165" fontId="2" fillId="0" borderId="33" xfId="13" applyNumberFormat="1" applyFont="1" applyBorder="1" applyAlignment="1">
      <alignment horizontal="center"/>
    </xf>
    <xf numFmtId="0" fontId="2" fillId="0" borderId="21" xfId="13" applyFont="1" applyBorder="1"/>
    <xf numFmtId="0" fontId="3" fillId="0" borderId="7" xfId="13" applyFont="1" applyBorder="1" applyAlignment="1">
      <alignment horizontal="centerContinuous"/>
    </xf>
    <xf numFmtId="0" fontId="2" fillId="0" borderId="7" xfId="13" applyFont="1" applyBorder="1" applyAlignment="1">
      <alignment horizontal="centerContinuous"/>
    </xf>
    <xf numFmtId="0" fontId="2" fillId="0" borderId="13" xfId="13" applyFont="1" applyBorder="1"/>
    <xf numFmtId="0" fontId="4" fillId="0" borderId="15" xfId="13" applyFont="1" applyBorder="1"/>
    <xf numFmtId="0" fontId="2" fillId="0" borderId="3" xfId="13" applyFont="1" applyBorder="1"/>
    <xf numFmtId="0" fontId="2" fillId="0" borderId="17" xfId="13" applyFont="1" applyBorder="1" applyAlignment="1">
      <alignment horizontal="right"/>
    </xf>
    <xf numFmtId="2" fontId="2" fillId="0" borderId="16" xfId="13" applyNumberFormat="1" applyFont="1" applyBorder="1" applyAlignment="1">
      <alignment horizontal="center"/>
    </xf>
    <xf numFmtId="166" fontId="1" fillId="0" borderId="0" xfId="13" applyNumberFormat="1"/>
    <xf numFmtId="0" fontId="2" fillId="0" borderId="4" xfId="13" applyFont="1" applyBorder="1"/>
    <xf numFmtId="0" fontId="2" fillId="0" borderId="31" xfId="13" applyFont="1" applyBorder="1" applyAlignment="1">
      <alignment horizontal="right"/>
    </xf>
    <xf numFmtId="2" fontId="2" fillId="0" borderId="32" xfId="13" applyNumberFormat="1" applyFont="1" applyBorder="1" applyAlignment="1">
      <alignment horizontal="center"/>
    </xf>
    <xf numFmtId="2" fontId="1" fillId="0" borderId="1" xfId="13" applyNumberFormat="1" applyBorder="1" applyAlignment="1">
      <alignment horizontal="center"/>
    </xf>
    <xf numFmtId="166" fontId="1" fillId="0" borderId="9" xfId="13" applyNumberFormat="1" applyBorder="1" applyAlignment="1">
      <alignment horizontal="center"/>
    </xf>
    <xf numFmtId="166" fontId="1" fillId="0" borderId="1" xfId="13" applyNumberFormat="1" applyBorder="1" applyAlignment="1">
      <alignment horizontal="center"/>
    </xf>
    <xf numFmtId="0" fontId="1" fillId="0" borderId="13" xfId="13" applyBorder="1"/>
    <xf numFmtId="0" fontId="2" fillId="0" borderId="14" xfId="13" applyFont="1" applyBorder="1"/>
    <xf numFmtId="0" fontId="2" fillId="0" borderId="16" xfId="13" applyFont="1" applyBorder="1" applyAlignment="1">
      <alignment horizontal="center"/>
    </xf>
    <xf numFmtId="0" fontId="3" fillId="0" borderId="1" xfId="13" applyFont="1" applyBorder="1" applyAlignment="1">
      <alignment horizontal="right"/>
    </xf>
    <xf numFmtId="0" fontId="3" fillId="0" borderId="0" xfId="13" applyFont="1" applyAlignment="1">
      <alignment horizontal="center"/>
    </xf>
    <xf numFmtId="0" fontId="3" fillId="0" borderId="4" xfId="13" applyFont="1" applyBorder="1"/>
    <xf numFmtId="164" fontId="2" fillId="0" borderId="0" xfId="13" applyNumberFormat="1" applyFont="1" applyAlignment="1">
      <alignment horizontal="center"/>
    </xf>
    <xf numFmtId="165" fontId="1" fillId="0" borderId="11" xfId="13" applyNumberFormat="1" applyBorder="1" applyAlignment="1">
      <alignment horizontal="center"/>
    </xf>
    <xf numFmtId="2" fontId="1" fillId="0" borderId="11" xfId="13" applyNumberFormat="1" applyBorder="1" applyAlignment="1">
      <alignment horizontal="center"/>
    </xf>
    <xf numFmtId="166" fontId="1" fillId="0" borderId="33" xfId="13" applyNumberFormat="1" applyBorder="1" applyAlignment="1">
      <alignment horizontal="center"/>
    </xf>
    <xf numFmtId="0" fontId="2" fillId="0" borderId="7" xfId="13" applyFont="1" applyBorder="1" applyAlignment="1">
      <alignment horizontal="right"/>
    </xf>
    <xf numFmtId="49" fontId="2" fillId="0" borderId="7" xfId="13" applyNumberFormat="1" applyFont="1" applyBorder="1" applyAlignment="1">
      <alignment horizontal="center"/>
    </xf>
    <xf numFmtId="0" fontId="3" fillId="0" borderId="2" xfId="13" applyFont="1" applyBorder="1" applyAlignment="1">
      <alignment horizontal="right"/>
    </xf>
    <xf numFmtId="166" fontId="2" fillId="0" borderId="10" xfId="13" applyNumberFormat="1" applyFont="1" applyBorder="1" applyAlignment="1">
      <alignment horizontal="center"/>
    </xf>
    <xf numFmtId="2" fontId="90" fillId="0" borderId="1" xfId="13" applyNumberFormat="1" applyFont="1" applyBorder="1" applyAlignment="1">
      <alignment horizontal="center"/>
    </xf>
    <xf numFmtId="2" fontId="90" fillId="0" borderId="9" xfId="13" applyNumberFormat="1" applyFont="1" applyBorder="1" applyAlignment="1">
      <alignment horizontal="center"/>
    </xf>
    <xf numFmtId="166" fontId="2" fillId="0" borderId="33" xfId="13" applyNumberFormat="1" applyFont="1" applyBorder="1" applyAlignment="1">
      <alignment horizontal="center"/>
    </xf>
    <xf numFmtId="0" fontId="91" fillId="0" borderId="0" xfId="13" applyFont="1"/>
    <xf numFmtId="165" fontId="90" fillId="0" borderId="1" xfId="13" applyNumberFormat="1" applyFont="1" applyBorder="1" applyAlignment="1">
      <alignment horizontal="center"/>
    </xf>
    <xf numFmtId="165" fontId="90" fillId="0" borderId="9" xfId="13" applyNumberFormat="1" applyFont="1" applyBorder="1" applyAlignment="1">
      <alignment horizontal="center"/>
    </xf>
    <xf numFmtId="0" fontId="3" fillId="0" borderId="49" xfId="13" applyFont="1" applyBorder="1" applyAlignment="1">
      <alignment horizontal="right"/>
    </xf>
    <xf numFmtId="166" fontId="2" fillId="0" borderId="34" xfId="13" applyNumberFormat="1" applyFont="1" applyBorder="1" applyAlignment="1">
      <alignment horizontal="center"/>
    </xf>
    <xf numFmtId="164" fontId="1" fillId="0" borderId="0" xfId="13" applyNumberFormat="1"/>
    <xf numFmtId="0" fontId="3" fillId="0" borderId="22" xfId="13" applyFont="1" applyBorder="1" applyAlignment="1">
      <alignment horizontal="center"/>
    </xf>
    <xf numFmtId="0" fontId="3" fillId="0" borderId="10" xfId="13" applyFont="1" applyBorder="1" applyAlignment="1">
      <alignment horizontal="center"/>
    </xf>
    <xf numFmtId="164" fontId="90" fillId="0" borderId="1" xfId="13" applyNumberFormat="1" applyFont="1" applyBorder="1" applyAlignment="1">
      <alignment horizontal="center"/>
    </xf>
    <xf numFmtId="164" fontId="90" fillId="0" borderId="9" xfId="13" applyNumberFormat="1" applyFont="1" applyBorder="1" applyAlignment="1">
      <alignment horizontal="center"/>
    </xf>
    <xf numFmtId="0" fontId="3" fillId="0" borderId="18" xfId="13" applyFont="1" applyBorder="1" applyAlignment="1">
      <alignment horizontal="right"/>
    </xf>
    <xf numFmtId="166" fontId="2" fillId="0" borderId="38" xfId="13" applyNumberFormat="1" applyFont="1" applyBorder="1" applyAlignment="1">
      <alignment horizontal="center"/>
    </xf>
    <xf numFmtId="0" fontId="2" fillId="0" borderId="26" xfId="13" applyFont="1" applyBorder="1" applyAlignment="1">
      <alignment horizontal="center"/>
    </xf>
    <xf numFmtId="0" fontId="2" fillId="0" borderId="27" xfId="13" applyFont="1" applyBorder="1" applyAlignment="1">
      <alignment horizontal="center"/>
    </xf>
    <xf numFmtId="166" fontId="90" fillId="0" borderId="1" xfId="13" applyNumberFormat="1" applyFont="1" applyBorder="1" applyAlignment="1">
      <alignment horizontal="center"/>
    </xf>
    <xf numFmtId="166" fontId="90" fillId="0" borderId="9" xfId="13" applyNumberFormat="1" applyFont="1" applyBorder="1" applyAlignment="1">
      <alignment horizontal="center"/>
    </xf>
    <xf numFmtId="0" fontId="3" fillId="0" borderId="19" xfId="13" applyFont="1" applyBorder="1" applyAlignment="1">
      <alignment horizontal="right"/>
    </xf>
    <xf numFmtId="166" fontId="2" fillId="0" borderId="39" xfId="13" applyNumberFormat="1" applyFont="1" applyBorder="1" applyAlignment="1">
      <alignment horizontal="center"/>
    </xf>
    <xf numFmtId="0" fontId="2" fillId="0" borderId="28" xfId="13" applyFont="1" applyBorder="1" applyAlignment="1">
      <alignment horizontal="center"/>
    </xf>
    <xf numFmtId="0" fontId="2" fillId="0" borderId="29" xfId="13" applyFont="1" applyBorder="1" applyAlignment="1">
      <alignment horizontal="center"/>
    </xf>
    <xf numFmtId="2" fontId="2" fillId="0" borderId="27" xfId="13" applyNumberFormat="1" applyFont="1" applyBorder="1" applyAlignment="1">
      <alignment horizontal="center"/>
    </xf>
    <xf numFmtId="165" fontId="90" fillId="0" borderId="11" xfId="13" applyNumberFormat="1" applyFont="1" applyBorder="1" applyAlignment="1">
      <alignment horizontal="center"/>
    </xf>
    <xf numFmtId="165" fontId="92" fillId="0" borderId="31" xfId="13" applyNumberFormat="1" applyFont="1" applyBorder="1" applyAlignment="1">
      <alignment horizontal="center"/>
    </xf>
    <xf numFmtId="165" fontId="92" fillId="0" borderId="130" xfId="13" applyNumberFormat="1" applyFont="1" applyBorder="1" applyAlignment="1">
      <alignment horizontal="center"/>
    </xf>
    <xf numFmtId="165" fontId="92" fillId="0" borderId="32" xfId="13" applyNumberFormat="1" applyFont="1" applyBorder="1" applyAlignment="1">
      <alignment horizontal="center"/>
    </xf>
    <xf numFmtId="0" fontId="4" fillId="0" borderId="2" xfId="13" applyFont="1" applyBorder="1"/>
    <xf numFmtId="0" fontId="2" fillId="0" borderId="50" xfId="13" applyFont="1" applyBorder="1"/>
    <xf numFmtId="0" fontId="2" fillId="0" borderId="10" xfId="13" applyFont="1" applyBorder="1"/>
    <xf numFmtId="166" fontId="2" fillId="0" borderId="26" xfId="13" applyNumberFormat="1" applyFont="1" applyBorder="1" applyAlignment="1">
      <alignment horizontal="center"/>
    </xf>
    <xf numFmtId="165" fontId="2" fillId="0" borderId="26" xfId="13" applyNumberFormat="1" applyFont="1" applyBorder="1" applyAlignment="1">
      <alignment horizontal="center"/>
    </xf>
    <xf numFmtId="0" fontId="3" fillId="0" borderId="1" xfId="13" applyFont="1" applyBorder="1"/>
    <xf numFmtId="0" fontId="3" fillId="0" borderId="20" xfId="13" applyFont="1" applyBorder="1" applyAlignment="1">
      <alignment horizontal="right"/>
    </xf>
    <xf numFmtId="166" fontId="2" fillId="0" borderId="30" xfId="13" applyNumberFormat="1" applyFont="1" applyBorder="1" applyAlignment="1">
      <alignment horizontal="center"/>
    </xf>
    <xf numFmtId="0" fontId="2" fillId="0" borderId="30" xfId="13" applyFont="1" applyBorder="1" applyAlignment="1">
      <alignment horizontal="center"/>
    </xf>
    <xf numFmtId="1" fontId="2" fillId="0" borderId="28" xfId="13" applyNumberFormat="1" applyFont="1" applyBorder="1" applyAlignment="1">
      <alignment horizontal="center"/>
    </xf>
    <xf numFmtId="0" fontId="1" fillId="0" borderId="0" xfId="13" applyAlignment="1">
      <alignment horizontal="right"/>
    </xf>
    <xf numFmtId="166" fontId="1" fillId="0" borderId="0" xfId="13" applyNumberFormat="1" applyAlignment="1">
      <alignment horizontal="left"/>
    </xf>
    <xf numFmtId="0" fontId="3" fillId="0" borderId="26" xfId="13" applyFont="1" applyBorder="1" applyAlignment="1">
      <alignment horizontal="right"/>
    </xf>
    <xf numFmtId="2" fontId="2" fillId="0" borderId="21" xfId="13" applyNumberFormat="1" applyFont="1" applyBorder="1" applyAlignment="1">
      <alignment horizontal="center"/>
    </xf>
    <xf numFmtId="0" fontId="3" fillId="0" borderId="30" xfId="13" applyFont="1" applyBorder="1" applyAlignment="1">
      <alignment horizontal="right"/>
    </xf>
    <xf numFmtId="2" fontId="1" fillId="0" borderId="0" xfId="13" applyNumberFormat="1" applyAlignment="1">
      <alignment horizontal="left"/>
    </xf>
    <xf numFmtId="0" fontId="2" fillId="0" borderId="11" xfId="13" applyFont="1" applyBorder="1" applyAlignment="1">
      <alignment horizontal="center"/>
    </xf>
    <xf numFmtId="0" fontId="3" fillId="0" borderId="11" xfId="13" applyFont="1" applyBorder="1"/>
    <xf numFmtId="0" fontId="3" fillId="0" borderId="28" xfId="13" applyFont="1" applyBorder="1" applyAlignment="1">
      <alignment horizontal="right"/>
    </xf>
    <xf numFmtId="0" fontId="2" fillId="0" borderId="24" xfId="13" applyFont="1" applyBorder="1" applyAlignment="1">
      <alignment horizontal="center"/>
    </xf>
    <xf numFmtId="0" fontId="1" fillId="0" borderId="0" xfId="13" applyAlignment="1">
      <alignment horizontal="left"/>
    </xf>
    <xf numFmtId="0" fontId="3" fillId="0" borderId="0" xfId="13" applyFont="1" applyAlignment="1">
      <alignment horizontal="left"/>
    </xf>
    <xf numFmtId="2" fontId="2" fillId="0" borderId="40" xfId="13" applyNumberFormat="1" applyFont="1" applyBorder="1" applyAlignment="1">
      <alignment horizontal="centerContinuous"/>
    </xf>
    <xf numFmtId="0" fontId="2" fillId="0" borderId="29" xfId="13" applyFont="1" applyBorder="1" applyAlignment="1">
      <alignment horizontal="centerContinuous"/>
    </xf>
    <xf numFmtId="1" fontId="1" fillId="0" borderId="0" xfId="13" applyNumberFormat="1" applyAlignment="1">
      <alignment horizontal="left"/>
    </xf>
    <xf numFmtId="0" fontId="2" fillId="0" borderId="40" xfId="13" applyFont="1" applyBorder="1" applyAlignment="1">
      <alignment horizontal="center"/>
    </xf>
    <xf numFmtId="0" fontId="3" fillId="0" borderId="11" xfId="13" applyFont="1" applyBorder="1" applyAlignment="1">
      <alignment horizontal="right"/>
    </xf>
    <xf numFmtId="0" fontId="2" fillId="0" borderId="23" xfId="13" applyFont="1" applyBorder="1" applyAlignment="1">
      <alignment horizontal="center"/>
    </xf>
    <xf numFmtId="0" fontId="5" fillId="0" borderId="12" xfId="13" applyFont="1" applyBorder="1"/>
    <xf numFmtId="0" fontId="5" fillId="0" borderId="13" xfId="13" applyFont="1" applyBorder="1"/>
    <xf numFmtId="0" fontId="5" fillId="0" borderId="14" xfId="13" applyFont="1" applyBorder="1"/>
    <xf numFmtId="0" fontId="3" fillId="0" borderId="3" xfId="13" applyFont="1" applyBorder="1" applyAlignment="1">
      <alignment horizontal="center"/>
    </xf>
    <xf numFmtId="0" fontId="5" fillId="0" borderId="45" xfId="13" applyFont="1" applyBorder="1"/>
    <xf numFmtId="0" fontId="5" fillId="0" borderId="0" xfId="13" applyFont="1"/>
    <xf numFmtId="0" fontId="5" fillId="0" borderId="21" xfId="13" applyFont="1" applyBorder="1"/>
    <xf numFmtId="2" fontId="3" fillId="0" borderId="20" xfId="13" quotePrefix="1" applyNumberFormat="1" applyFont="1" applyBorder="1" applyAlignment="1">
      <alignment horizontal="center"/>
    </xf>
    <xf numFmtId="166" fontId="2" fillId="0" borderId="35" xfId="13" applyNumberFormat="1" applyFont="1" applyBorder="1" applyAlignment="1">
      <alignment horizontal="center"/>
    </xf>
    <xf numFmtId="2" fontId="3" fillId="0" borderId="30" xfId="13" quotePrefix="1" applyNumberFormat="1" applyFont="1" applyBorder="1" applyAlignment="1">
      <alignment horizontal="center"/>
    </xf>
    <xf numFmtId="165" fontId="3" fillId="0" borderId="20" xfId="13" quotePrefix="1" applyNumberFormat="1" applyFont="1" applyBorder="1" applyAlignment="1">
      <alignment horizontal="center"/>
    </xf>
    <xf numFmtId="2" fontId="3" fillId="0" borderId="30" xfId="13" applyNumberFormat="1" applyFont="1" applyBorder="1" applyAlignment="1">
      <alignment horizontal="center"/>
    </xf>
    <xf numFmtId="2" fontId="3" fillId="0" borderId="47" xfId="13" quotePrefix="1" applyNumberFormat="1" applyFont="1" applyBorder="1" applyAlignment="1">
      <alignment horizontal="center"/>
    </xf>
    <xf numFmtId="166" fontId="2" fillId="0" borderId="36" xfId="13" applyNumberFormat="1" applyFont="1" applyBorder="1" applyAlignment="1">
      <alignment horizontal="center"/>
    </xf>
    <xf numFmtId="166" fontId="2" fillId="0" borderId="37" xfId="13" applyNumberFormat="1" applyFont="1" applyBorder="1" applyAlignment="1">
      <alignment horizontal="center"/>
    </xf>
    <xf numFmtId="2" fontId="3" fillId="0" borderId="36" xfId="13" applyNumberFormat="1" applyFont="1" applyBorder="1" applyAlignment="1">
      <alignment horizontal="center"/>
    </xf>
    <xf numFmtId="0" fontId="5" fillId="0" borderId="46" xfId="13" applyFont="1" applyBorder="1"/>
    <xf numFmtId="0" fontId="5" fillId="0" borderId="23" xfId="13" applyFont="1" applyBorder="1"/>
    <xf numFmtId="0" fontId="5" fillId="0" borderId="24" xfId="13" applyFont="1" applyBorder="1"/>
    <xf numFmtId="0" fontId="94" fillId="5" borderId="0" xfId="13" applyFont="1" applyFill="1"/>
    <xf numFmtId="0" fontId="5" fillId="5" borderId="0" xfId="13" applyFont="1" applyFill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31" fillId="0" borderId="67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169" fontId="70" fillId="0" borderId="143" xfId="4" applyFont="1" applyBorder="1" applyAlignment="1" applyProtection="1">
      <alignment horizontal="center"/>
      <protection locked="0"/>
    </xf>
    <xf numFmtId="14" fontId="15" fillId="0" borderId="143" xfId="4" quotePrefix="1" applyNumberFormat="1" applyFont="1" applyBorder="1" applyAlignment="1" applyProtection="1">
      <alignment horizontal="center"/>
      <protection locked="0"/>
    </xf>
    <xf numFmtId="0" fontId="50" fillId="0" borderId="17" xfId="3" applyFont="1" applyBorder="1" applyAlignment="1">
      <alignment horizontal="center"/>
    </xf>
    <xf numFmtId="0" fontId="50" fillId="0" borderId="128" xfId="3" applyFont="1" applyBorder="1" applyAlignment="1">
      <alignment horizontal="center"/>
    </xf>
    <xf numFmtId="0" fontId="50" fillId="0" borderId="129" xfId="3" applyFont="1" applyBorder="1" applyAlignment="1">
      <alignment horizontal="center"/>
    </xf>
    <xf numFmtId="0" fontId="52" fillId="0" borderId="52" xfId="3" applyFont="1" applyBorder="1" applyAlignment="1">
      <alignment horizontal="center"/>
    </xf>
    <xf numFmtId="0" fontId="52" fillId="0" borderId="0" xfId="3" applyFont="1" applyAlignment="1">
      <alignment horizontal="center"/>
    </xf>
    <xf numFmtId="0" fontId="52" fillId="0" borderId="51" xfId="3" applyFont="1" applyBorder="1" applyAlignment="1">
      <alignment horizontal="center"/>
    </xf>
    <xf numFmtId="0" fontId="54" fillId="0" borderId="52" xfId="3" applyFont="1" applyBorder="1" applyAlignment="1">
      <alignment horizontal="center"/>
    </xf>
    <xf numFmtId="0" fontId="54" fillId="0" borderId="0" xfId="3" applyFont="1" applyAlignment="1">
      <alignment horizontal="center"/>
    </xf>
    <xf numFmtId="0" fontId="54" fillId="0" borderId="51" xfId="3" applyFont="1" applyBorder="1" applyAlignment="1">
      <alignment horizontal="center"/>
    </xf>
    <xf numFmtId="0" fontId="54" fillId="0" borderId="52" xfId="5" applyFont="1" applyBorder="1" applyAlignment="1">
      <alignment horizontal="center"/>
    </xf>
    <xf numFmtId="0" fontId="54" fillId="0" borderId="0" xfId="5" applyFont="1" applyAlignment="1">
      <alignment horizontal="center"/>
    </xf>
    <xf numFmtId="0" fontId="54" fillId="0" borderId="51" xfId="5" applyFont="1" applyBorder="1" applyAlignment="1">
      <alignment horizontal="center"/>
    </xf>
    <xf numFmtId="0" fontId="50" fillId="0" borderId="17" xfId="5" applyFont="1" applyBorder="1" applyAlignment="1">
      <alignment horizontal="center"/>
    </xf>
    <xf numFmtId="0" fontId="50" fillId="0" borderId="128" xfId="5" applyFont="1" applyBorder="1" applyAlignment="1">
      <alignment horizontal="center"/>
    </xf>
    <xf numFmtId="0" fontId="50" fillId="0" borderId="129" xfId="5" applyFont="1" applyBorder="1" applyAlignment="1">
      <alignment horizontal="center"/>
    </xf>
    <xf numFmtId="169" fontId="15" fillId="0" borderId="0" xfId="7" applyNumberFormat="1" applyFont="1" applyAlignment="1">
      <alignment horizontal="center" wrapText="1"/>
    </xf>
    <xf numFmtId="169" fontId="15" fillId="0" borderId="0" xfId="7" applyNumberFormat="1" applyFont="1" applyAlignment="1">
      <alignment horizontal="center"/>
    </xf>
    <xf numFmtId="169" fontId="74" fillId="0" borderId="0" xfId="7" applyNumberFormat="1" applyFont="1" applyAlignment="1">
      <alignment horizontal="center"/>
    </xf>
    <xf numFmtId="169" fontId="76" fillId="0" borderId="147" xfId="6" applyNumberFormat="1" applyFont="1" applyBorder="1" applyAlignment="1">
      <alignment horizontal="right"/>
    </xf>
    <xf numFmtId="169" fontId="76" fillId="0" borderId="128" xfId="6" applyNumberFormat="1" applyFont="1" applyBorder="1" applyAlignment="1">
      <alignment horizontal="right"/>
    </xf>
    <xf numFmtId="172" fontId="15" fillId="0" borderId="128" xfId="6" applyNumberFormat="1" applyFont="1" applyBorder="1" applyAlignment="1">
      <alignment horizontal="center"/>
    </xf>
    <xf numFmtId="172" fontId="15" fillId="0" borderId="16" xfId="6" applyNumberFormat="1" applyFont="1" applyBorder="1" applyAlignment="1">
      <alignment horizontal="center"/>
    </xf>
    <xf numFmtId="169" fontId="76" fillId="0" borderId="132" xfId="6" applyNumberFormat="1" applyFont="1" applyBorder="1" applyAlignment="1">
      <alignment horizontal="right"/>
    </xf>
    <xf numFmtId="169" fontId="76" fillId="0" borderId="130" xfId="6" applyNumberFormat="1" applyFont="1" applyBorder="1" applyAlignment="1">
      <alignment horizontal="right"/>
    </xf>
    <xf numFmtId="172" fontId="15" fillId="0" borderId="130" xfId="6" applyNumberFormat="1" applyFont="1" applyBorder="1" applyAlignment="1">
      <alignment horizontal="center"/>
    </xf>
    <xf numFmtId="172" fontId="15" fillId="0" borderId="32" xfId="6" applyNumberFormat="1" applyFont="1" applyBorder="1" applyAlignment="1">
      <alignment horizontal="center"/>
    </xf>
    <xf numFmtId="183" fontId="15" fillId="0" borderId="128" xfId="6" applyNumberFormat="1" applyFont="1" applyBorder="1" applyAlignment="1">
      <alignment horizontal="center"/>
    </xf>
    <xf numFmtId="183" fontId="15" fillId="0" borderId="16" xfId="6" applyNumberFormat="1" applyFont="1" applyBorder="1" applyAlignment="1">
      <alignment horizontal="center"/>
    </xf>
    <xf numFmtId="175" fontId="15" fillId="0" borderId="128" xfId="6" applyNumberFormat="1" applyFont="1" applyBorder="1" applyAlignment="1">
      <alignment horizontal="center"/>
    </xf>
    <xf numFmtId="175" fontId="15" fillId="0" borderId="16" xfId="6" applyNumberFormat="1" applyFont="1" applyBorder="1" applyAlignment="1">
      <alignment horizontal="center"/>
    </xf>
    <xf numFmtId="180" fontId="60" fillId="0" borderId="17" xfId="6" quotePrefix="1" applyNumberFormat="1" applyFont="1" applyBorder="1" applyAlignment="1">
      <alignment horizontal="center"/>
    </xf>
    <xf numFmtId="180" fontId="60" fillId="0" borderId="16" xfId="6" quotePrefix="1" applyNumberFormat="1" applyFont="1" applyBorder="1" applyAlignment="1">
      <alignment horizontal="center"/>
    </xf>
    <xf numFmtId="169" fontId="15" fillId="0" borderId="45" xfId="6" applyNumberFormat="1" applyFont="1" applyBorder="1" applyAlignment="1">
      <alignment horizontal="center"/>
    </xf>
    <xf numFmtId="169" fontId="81" fillId="0" borderId="0" xfId="6" applyNumberFormat="1" applyFont="1" applyAlignment="1">
      <alignment horizontal="center"/>
    </xf>
    <xf numFmtId="169" fontId="81" fillId="0" borderId="21" xfId="6" applyNumberFormat="1" applyFont="1" applyBorder="1" applyAlignment="1">
      <alignment horizontal="center"/>
    </xf>
    <xf numFmtId="169" fontId="15" fillId="0" borderId="0" xfId="6" applyNumberFormat="1" applyFont="1" applyAlignment="1">
      <alignment horizontal="center"/>
    </xf>
    <xf numFmtId="169" fontId="15" fillId="0" borderId="21" xfId="6" applyNumberFormat="1" applyFont="1" applyBorder="1" applyAlignment="1">
      <alignment horizontal="center"/>
    </xf>
    <xf numFmtId="169" fontId="76" fillId="0" borderId="12" xfId="6" applyNumberFormat="1" applyFont="1" applyBorder="1" applyAlignment="1">
      <alignment horizontal="right"/>
    </xf>
    <xf numFmtId="169" fontId="76" fillId="0" borderId="13" xfId="6" applyNumberFormat="1" applyFont="1" applyBorder="1" applyAlignment="1">
      <alignment horizontal="right"/>
    </xf>
    <xf numFmtId="172" fontId="15" fillId="0" borderId="13" xfId="6" applyNumberFormat="1" applyFont="1" applyBorder="1" applyAlignment="1">
      <alignment horizontal="center"/>
    </xf>
    <xf numFmtId="172" fontId="15" fillId="0" borderId="14" xfId="6" applyNumberFormat="1" applyFont="1" applyBorder="1" applyAlignment="1">
      <alignment horizontal="center"/>
    </xf>
    <xf numFmtId="0" fontId="70" fillId="0" borderId="143" xfId="10" applyFont="1" applyBorder="1" applyAlignment="1" applyProtection="1">
      <alignment horizontal="center"/>
      <protection locked="0"/>
    </xf>
    <xf numFmtId="14" fontId="15" fillId="0" borderId="143" xfId="10" quotePrefix="1" applyNumberFormat="1" applyBorder="1" applyAlignment="1" applyProtection="1">
      <alignment horizontal="center"/>
      <protection locked="0"/>
    </xf>
    <xf numFmtId="169" fontId="85" fillId="0" borderId="12" xfId="11" applyNumberFormat="1" applyFont="1" applyBorder="1" applyAlignment="1">
      <alignment horizontal="right"/>
    </xf>
    <xf numFmtId="169" fontId="85" fillId="0" borderId="13" xfId="11" applyNumberFormat="1" applyFont="1" applyBorder="1" applyAlignment="1">
      <alignment horizontal="right"/>
    </xf>
    <xf numFmtId="169" fontId="85" fillId="0" borderId="14" xfId="11" applyNumberFormat="1" applyFont="1" applyBorder="1" applyAlignment="1">
      <alignment horizontal="right"/>
    </xf>
    <xf numFmtId="169" fontId="85" fillId="0" borderId="147" xfId="11" applyNumberFormat="1" applyFont="1" applyBorder="1" applyAlignment="1">
      <alignment horizontal="right"/>
    </xf>
    <xf numFmtId="169" fontId="85" fillId="0" borderId="128" xfId="11" applyNumberFormat="1" applyFont="1" applyBorder="1" applyAlignment="1">
      <alignment horizontal="right"/>
    </xf>
    <xf numFmtId="169" fontId="85" fillId="0" borderId="16" xfId="11" applyNumberFormat="1" applyFont="1" applyBorder="1" applyAlignment="1">
      <alignment horizontal="right"/>
    </xf>
    <xf numFmtId="169" fontId="86" fillId="0" borderId="132" xfId="11" applyNumberFormat="1" applyFont="1" applyBorder="1" applyAlignment="1">
      <alignment horizontal="right"/>
    </xf>
    <xf numFmtId="169" fontId="86" fillId="0" borderId="130" xfId="11" applyNumberFormat="1" applyFont="1" applyBorder="1" applyAlignment="1">
      <alignment horizontal="right"/>
    </xf>
    <xf numFmtId="169" fontId="86" fillId="0" borderId="32" xfId="11" applyNumberFormat="1" applyFont="1" applyBorder="1" applyAlignment="1">
      <alignment horizontal="right"/>
    </xf>
    <xf numFmtId="169" fontId="84" fillId="0" borderId="0" xfId="11" applyNumberFormat="1" applyFont="1" applyAlignment="1">
      <alignment horizontal="center"/>
    </xf>
    <xf numFmtId="169" fontId="58" fillId="0" borderId="46" xfId="11" applyNumberFormat="1" applyBorder="1" applyAlignment="1">
      <alignment horizontal="center"/>
    </xf>
    <xf numFmtId="169" fontId="58" fillId="0" borderId="23" xfId="11" applyNumberFormat="1" applyBorder="1" applyAlignment="1">
      <alignment horizontal="center"/>
    </xf>
    <xf numFmtId="169" fontId="58" fillId="0" borderId="24" xfId="11" applyNumberFormat="1" applyBorder="1" applyAlignment="1">
      <alignment horizontal="center"/>
    </xf>
    <xf numFmtId="0" fontId="89" fillId="0" borderId="0" xfId="11" applyFont="1" applyAlignment="1">
      <alignment horizontal="left"/>
    </xf>
    <xf numFmtId="0" fontId="89" fillId="0" borderId="51" xfId="11" applyFont="1" applyBorder="1" applyAlignment="1">
      <alignment horizontal="left"/>
    </xf>
    <xf numFmtId="0" fontId="89" fillId="0" borderId="21" xfId="11" applyFont="1" applyBorder="1" applyAlignment="1">
      <alignment horizontal="left"/>
    </xf>
    <xf numFmtId="0" fontId="89" fillId="0" borderId="23" xfId="11" applyFont="1" applyBorder="1" applyAlignment="1">
      <alignment horizontal="left"/>
    </xf>
    <xf numFmtId="0" fontId="89" fillId="0" borderId="48" xfId="11" applyFont="1" applyBorder="1" applyAlignment="1">
      <alignment horizontal="left"/>
    </xf>
    <xf numFmtId="0" fontId="89" fillId="0" borderId="24" xfId="11" applyFont="1" applyBorder="1" applyAlignment="1">
      <alignment horizontal="left"/>
    </xf>
    <xf numFmtId="169" fontId="58" fillId="0" borderId="136" xfId="11" applyNumberFormat="1" applyBorder="1" applyAlignment="1">
      <alignment horizontal="center"/>
    </xf>
    <xf numFmtId="169" fontId="58" fillId="0" borderId="137" xfId="11" applyNumberFormat="1" applyBorder="1" applyAlignment="1">
      <alignment horizontal="center"/>
    </xf>
    <xf numFmtId="169" fontId="58" fillId="0" borderId="139" xfId="11" applyNumberFormat="1" applyBorder="1" applyAlignment="1">
      <alignment horizontal="center"/>
    </xf>
    <xf numFmtId="49" fontId="85" fillId="0" borderId="149" xfId="11" applyNumberFormat="1" applyFont="1" applyBorder="1" applyAlignment="1">
      <alignment horizontal="left"/>
    </xf>
    <xf numFmtId="181" fontId="85" fillId="0" borderId="149" xfId="11" applyNumberFormat="1" applyFont="1" applyBorder="1" applyAlignment="1">
      <alignment horizontal="left"/>
    </xf>
    <xf numFmtId="181" fontId="85" fillId="0" borderId="148" xfId="11" applyNumberFormat="1" applyFont="1" applyBorder="1" applyAlignment="1">
      <alignment horizontal="left"/>
    </xf>
    <xf numFmtId="0" fontId="85" fillId="0" borderId="23" xfId="11" applyFont="1" applyBorder="1" applyAlignment="1">
      <alignment horizontal="left"/>
    </xf>
    <xf numFmtId="0" fontId="85" fillId="0" borderId="24" xfId="11" applyFont="1" applyBorder="1" applyAlignment="1">
      <alignment horizontal="left"/>
    </xf>
    <xf numFmtId="169" fontId="85" fillId="0" borderId="23" xfId="11" applyNumberFormat="1" applyFont="1" applyBorder="1" applyAlignment="1">
      <alignment horizontal="center"/>
    </xf>
    <xf numFmtId="169" fontId="85" fillId="0" borderId="24" xfId="11" applyNumberFormat="1" applyFont="1" applyBorder="1" applyAlignment="1">
      <alignment horizontal="center"/>
    </xf>
    <xf numFmtId="169" fontId="87" fillId="0" borderId="156" xfId="11" applyNumberFormat="1" applyFont="1" applyBorder="1" applyAlignment="1">
      <alignment horizontal="center"/>
    </xf>
    <xf numFmtId="169" fontId="87" fillId="0" borderId="152" xfId="11" applyNumberFormat="1" applyFont="1" applyBorder="1" applyAlignment="1">
      <alignment horizontal="center"/>
    </xf>
    <xf numFmtId="169" fontId="87" fillId="0" borderId="155" xfId="11" applyNumberFormat="1" applyFont="1" applyBorder="1" applyAlignment="1">
      <alignment horizontal="center"/>
    </xf>
    <xf numFmtId="169" fontId="87" fillId="0" borderId="153" xfId="11" applyNumberFormat="1" applyFont="1" applyBorder="1" applyAlignment="1">
      <alignment horizontal="center"/>
    </xf>
    <xf numFmtId="169" fontId="87" fillId="0" borderId="151" xfId="11" applyNumberFormat="1" applyFont="1" applyBorder="1" applyAlignment="1">
      <alignment horizontal="center"/>
    </xf>
    <xf numFmtId="0" fontId="89" fillId="0" borderId="64" xfId="11" applyFont="1" applyBorder="1" applyAlignment="1">
      <alignment horizontal="left"/>
    </xf>
    <xf numFmtId="0" fontId="89" fillId="0" borderId="38" xfId="11" applyFont="1" applyBorder="1" applyAlignment="1">
      <alignment horizontal="left"/>
    </xf>
    <xf numFmtId="0" fontId="89" fillId="0" borderId="27" xfId="11" applyFont="1" applyBorder="1" applyAlignment="1">
      <alignment horizontal="left"/>
    </xf>
    <xf numFmtId="0" fontId="85" fillId="0" borderId="153" xfId="11" applyFont="1" applyBorder="1" applyAlignment="1">
      <alignment horizontal="center"/>
    </xf>
    <xf numFmtId="0" fontId="85" fillId="0" borderId="152" xfId="11" applyFont="1" applyBorder="1" applyAlignment="1">
      <alignment horizontal="center"/>
    </xf>
    <xf numFmtId="0" fontId="85" fillId="0" borderId="151" xfId="11" applyFont="1" applyBorder="1" applyAlignment="1">
      <alignment horizontal="center"/>
    </xf>
    <xf numFmtId="169" fontId="60" fillId="0" borderId="50" xfId="11" applyNumberFormat="1" applyFont="1" applyBorder="1" applyAlignment="1">
      <alignment horizontal="center"/>
    </xf>
    <xf numFmtId="169" fontId="60" fillId="0" borderId="14" xfId="11" applyNumberFormat="1" applyFont="1" applyBorder="1" applyAlignment="1">
      <alignment horizontal="center"/>
    </xf>
    <xf numFmtId="169" fontId="60" fillId="0" borderId="17" xfId="11" quotePrefix="1" applyNumberFormat="1" applyFont="1" applyBorder="1" applyAlignment="1">
      <alignment horizontal="center"/>
    </xf>
    <xf numFmtId="169" fontId="58" fillId="0" borderId="16" xfId="11" applyNumberFormat="1" applyBorder="1" applyAlignment="1">
      <alignment horizontal="center"/>
    </xf>
    <xf numFmtId="169" fontId="60" fillId="0" borderId="17" xfId="11" applyNumberFormat="1" applyFont="1" applyBorder="1" applyAlignment="1">
      <alignment horizontal="center"/>
    </xf>
    <xf numFmtId="169" fontId="60" fillId="0" borderId="16" xfId="11" quotePrefix="1" applyNumberFormat="1" applyFont="1" applyBorder="1" applyAlignment="1">
      <alignment horizontal="center"/>
    </xf>
    <xf numFmtId="169" fontId="60" fillId="0" borderId="16" xfId="11" applyNumberFormat="1" applyFont="1" applyBorder="1" applyAlignment="1">
      <alignment horizontal="center"/>
    </xf>
    <xf numFmtId="169" fontId="87" fillId="0" borderId="31" xfId="11" applyNumberFormat="1" applyFont="1" applyBorder="1" applyAlignment="1">
      <alignment horizontal="center"/>
    </xf>
    <xf numFmtId="169" fontId="87" fillId="0" borderId="32" xfId="11" applyNumberFormat="1" applyFont="1" applyBorder="1" applyAlignment="1">
      <alignment horizontal="center"/>
    </xf>
    <xf numFmtId="169" fontId="76" fillId="0" borderId="136" xfId="11" applyNumberFormat="1" applyFont="1" applyBorder="1" applyAlignment="1">
      <alignment horizontal="center"/>
    </xf>
    <xf numFmtId="169" fontId="76" fillId="0" borderId="137" xfId="11" applyNumberFormat="1" applyFont="1" applyBorder="1" applyAlignment="1">
      <alignment horizontal="center"/>
    </xf>
    <xf numFmtId="169" fontId="76" fillId="0" borderId="139" xfId="11" applyNumberFormat="1" applyFont="1" applyBorder="1" applyAlignment="1">
      <alignment horizontal="center"/>
    </xf>
    <xf numFmtId="0" fontId="47" fillId="0" borderId="17" xfId="3" applyFont="1" applyBorder="1" applyAlignment="1">
      <alignment horizontal="right"/>
    </xf>
    <xf numFmtId="0" fontId="47" fillId="0" borderId="128" xfId="3" applyFont="1" applyBorder="1" applyAlignment="1">
      <alignment horizontal="right"/>
    </xf>
    <xf numFmtId="0" fontId="23" fillId="0" borderId="0" xfId="3" applyFont="1" applyAlignment="1">
      <alignment horizontal="center"/>
    </xf>
    <xf numFmtId="0" fontId="53" fillId="0" borderId="0" xfId="3" applyFont="1" applyAlignment="1">
      <alignment horizontal="right"/>
    </xf>
    <xf numFmtId="0" fontId="47" fillId="0" borderId="1" xfId="3" applyFont="1" applyBorder="1" applyAlignment="1">
      <alignment horizontal="center"/>
    </xf>
    <xf numFmtId="0" fontId="23" fillId="0" borderId="17" xfId="3" applyFont="1" applyBorder="1" applyAlignment="1">
      <alignment horizontal="center"/>
    </xf>
    <xf numFmtId="0" fontId="23" fillId="0" borderId="128" xfId="3" applyFont="1" applyBorder="1" applyAlignment="1">
      <alignment horizontal="center"/>
    </xf>
    <xf numFmtId="0" fontId="23" fillId="0" borderId="129" xfId="3" applyFont="1" applyBorder="1" applyAlignment="1">
      <alignment horizontal="center"/>
    </xf>
    <xf numFmtId="0" fontId="53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49" fillId="0" borderId="17" xfId="3" applyFont="1" applyBorder="1" applyAlignment="1">
      <alignment horizontal="center"/>
    </xf>
    <xf numFmtId="0" fontId="47" fillId="0" borderId="1" xfId="3" applyFont="1" applyBorder="1" applyAlignment="1">
      <alignment horizontal="right"/>
    </xf>
    <xf numFmtId="0" fontId="47" fillId="0" borderId="129" xfId="3" applyFont="1" applyBorder="1" applyAlignment="1">
      <alignment horizontal="center"/>
    </xf>
    <xf numFmtId="0" fontId="57" fillId="0" borderId="0" xfId="3" applyFont="1" applyAlignment="1">
      <alignment horizontal="center"/>
    </xf>
    <xf numFmtId="0" fontId="8" fillId="0" borderId="132" xfId="3" applyFont="1" applyBorder="1" applyAlignment="1">
      <alignment horizontal="right"/>
    </xf>
    <xf numFmtId="0" fontId="8" fillId="0" borderId="130" xfId="3" applyFont="1" applyBorder="1" applyAlignment="1">
      <alignment horizontal="right"/>
    </xf>
    <xf numFmtId="0" fontId="23" fillId="0" borderId="130" xfId="3" applyFont="1" applyBorder="1" applyAlignment="1">
      <alignment horizontal="center"/>
    </xf>
    <xf numFmtId="0" fontId="23" fillId="0" borderId="36" xfId="3" applyFont="1" applyBorder="1" applyAlignment="1">
      <alignment horizontal="center"/>
    </xf>
    <xf numFmtId="0" fontId="23" fillId="0" borderId="37" xfId="3" applyFont="1" applyBorder="1" applyAlignment="1">
      <alignment horizontal="center"/>
    </xf>
    <xf numFmtId="0" fontId="23" fillId="0" borderId="46" xfId="3" applyFont="1" applyBorder="1" applyAlignment="1">
      <alignment horizontal="center"/>
    </xf>
    <xf numFmtId="0" fontId="23" fillId="0" borderId="23" xfId="3" applyFont="1" applyBorder="1" applyAlignment="1">
      <alignment horizontal="center"/>
    </xf>
    <xf numFmtId="0" fontId="23" fillId="0" borderId="24" xfId="3" applyFont="1" applyBorder="1" applyAlignment="1">
      <alignment horizontal="center"/>
    </xf>
    <xf numFmtId="0" fontId="48" fillId="0" borderId="12" xfId="3" applyFont="1" applyBorder="1" applyAlignment="1">
      <alignment horizontal="left"/>
    </xf>
    <xf numFmtId="0" fontId="48" fillId="0" borderId="13" xfId="3" applyFont="1" applyBorder="1" applyAlignment="1">
      <alignment horizontal="left"/>
    </xf>
    <xf numFmtId="0" fontId="48" fillId="0" borderId="14" xfId="3" applyFont="1" applyBorder="1" applyAlignment="1">
      <alignment horizontal="left"/>
    </xf>
    <xf numFmtId="0" fontId="49" fillId="0" borderId="63" xfId="3" applyFont="1" applyBorder="1" applyAlignment="1">
      <alignment horizontal="center"/>
    </xf>
    <xf numFmtId="0" fontId="46" fillId="0" borderId="27" xfId="3" applyBorder="1" applyAlignment="1">
      <alignment horizontal="center"/>
    </xf>
    <xf numFmtId="0" fontId="23" fillId="0" borderId="53" xfId="3" applyFont="1" applyBorder="1" applyAlignment="1">
      <alignment horizontal="center"/>
    </xf>
    <xf numFmtId="0" fontId="23" fillId="0" borderId="64" xfId="3" applyFont="1" applyBorder="1" applyAlignment="1">
      <alignment horizontal="center"/>
    </xf>
    <xf numFmtId="0" fontId="23" fillId="0" borderId="27" xfId="3" applyFont="1" applyBorder="1" applyAlignment="1">
      <alignment horizontal="center"/>
    </xf>
    <xf numFmtId="0" fontId="49" fillId="0" borderId="103" xfId="3" applyFont="1" applyBorder="1" applyAlignment="1">
      <alignment horizontal="right"/>
    </xf>
    <xf numFmtId="0" fontId="49" fillId="0" borderId="64" xfId="3" applyFont="1" applyBorder="1" applyAlignment="1">
      <alignment horizontal="right"/>
    </xf>
    <xf numFmtId="0" fontId="49" fillId="0" borderId="46" xfId="3" applyFont="1" applyBorder="1" applyAlignment="1">
      <alignment horizontal="right"/>
    </xf>
    <xf numFmtId="0" fontId="49" fillId="0" borderId="23" xfId="3" applyFont="1" applyBorder="1" applyAlignment="1">
      <alignment horizontal="right"/>
    </xf>
    <xf numFmtId="0" fontId="16" fillId="0" borderId="0" xfId="3" applyFont="1" applyAlignment="1">
      <alignment horizontal="center"/>
    </xf>
    <xf numFmtId="0" fontId="23" fillId="0" borderId="63" xfId="3" applyFont="1" applyBorder="1" applyAlignment="1">
      <alignment horizontal="center"/>
    </xf>
    <xf numFmtId="0" fontId="49" fillId="0" borderId="103" xfId="3" applyFont="1" applyBorder="1" applyAlignment="1">
      <alignment horizontal="center"/>
    </xf>
    <xf numFmtId="0" fontId="49" fillId="0" borderId="64" xfId="3" applyFont="1" applyBorder="1" applyAlignment="1">
      <alignment horizontal="center"/>
    </xf>
    <xf numFmtId="0" fontId="49" fillId="0" borderId="27" xfId="3" applyFont="1" applyBorder="1" applyAlignment="1">
      <alignment horizontal="center"/>
    </xf>
  </cellXfs>
  <cellStyles count="14">
    <cellStyle name="Normal" xfId="0" builtinId="0"/>
    <cellStyle name="Normal 2" xfId="1" xr:uid="{00000000-0005-0000-0000-000001000000}"/>
    <cellStyle name="Normal 2 2" xfId="13" xr:uid="{0CB28610-F811-469F-9CE3-C8FBD93A6161}"/>
    <cellStyle name="Normal 3" xfId="3" xr:uid="{00000000-0005-0000-0000-000002000000}"/>
    <cellStyle name="Normal 3 2" xfId="5" xr:uid="{00000000-0005-0000-0000-000003000000}"/>
    <cellStyle name="Normal 3 2 2" xfId="9" xr:uid="{397BC9B9-7B87-4775-927D-6C4AA153403E}"/>
    <cellStyle name="Normal 4" xfId="4" xr:uid="{00000000-0005-0000-0000-000004000000}"/>
    <cellStyle name="Normal 4 2" xfId="10" xr:uid="{0F131883-02D7-4D13-81F6-95F45B809154}"/>
    <cellStyle name="Normal 5" xfId="8" xr:uid="{651F3C14-79D5-45D7-95B5-EF794EA778FC}"/>
    <cellStyle name="Normal 5 2" xfId="12" xr:uid="{0175C961-73AE-4353-8B2D-822B7D7944AD}"/>
    <cellStyle name="Normal_MPCF1082 2" xfId="11" xr:uid="{56269CF2-9D6C-44A5-B1F0-6C52605F78C1}"/>
    <cellStyle name="Normal_MPCF1109" xfId="6" xr:uid="{D60615C2-9120-4EBE-A280-A56A4F949831}"/>
    <cellStyle name="Normal_OPTEST" xfId="2" xr:uid="{00000000-0005-0000-0000-000005000000}"/>
    <cellStyle name="Normal_Rev. 1" xfId="7" xr:uid="{2CAA2D70-5684-466B-982A-1C9A6423562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('DesignSheet 0.8V'!$A$59:$A$68,'DesignSheet 0.8V'!$D$59:$D$62)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0.01</c:v>
                </c:pt>
                <c:pt idx="2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0.3</c:v>
                </c:pt>
                <c:pt idx="7" formatCode="0.00">
                  <c:v>0.4</c:v>
                </c:pt>
                <c:pt idx="8" formatCode="0.00">
                  <c:v>0.5</c:v>
                </c:pt>
                <c:pt idx="9" formatCode="0.00">
                  <c:v>0.6</c:v>
                </c:pt>
                <c:pt idx="10" formatCode="0.00">
                  <c:v>0.7</c:v>
                </c:pt>
                <c:pt idx="11" formatCode="0.00">
                  <c:v>0.8</c:v>
                </c:pt>
                <c:pt idx="12" formatCode="0.00">
                  <c:v>0.9</c:v>
                </c:pt>
                <c:pt idx="13" formatCode="0.00">
                  <c:v>1</c:v>
                </c:pt>
              </c:numCache>
            </c:numRef>
          </c:xVal>
          <c:yVal>
            <c:numRef>
              <c:f>('DesignSheet 0.8V'!$B$59:$B$68,'DesignSheet 0.8V'!$E$59:$E$62)</c:f>
              <c:numCache>
                <c:formatCode>0.0</c:formatCode>
                <c:ptCount val="14"/>
                <c:pt idx="0">
                  <c:v>0</c:v>
                </c:pt>
                <c:pt idx="1">
                  <c:v>93.6376669887118</c:v>
                </c:pt>
                <c:pt idx="2">
                  <c:v>164.78875454259344</c:v>
                </c:pt>
                <c:pt idx="3">
                  <c:v>119.7538382155461</c:v>
                </c:pt>
                <c:pt idx="4">
                  <c:v>96.80679366107293</c:v>
                </c:pt>
                <c:pt idx="5">
                  <c:v>85.567731978159159</c:v>
                </c:pt>
                <c:pt idx="6">
                  <c:v>75.421010624335651</c:v>
                </c:pt>
                <c:pt idx="7">
                  <c:v>70.117910019188045</c:v>
                </c:pt>
                <c:pt idx="8">
                  <c:v>66.01096859610405</c:v>
                </c:pt>
                <c:pt idx="9">
                  <c:v>62.388983525200679</c:v>
                </c:pt>
                <c:pt idx="10">
                  <c:v>59.160926356597805</c:v>
                </c:pt>
                <c:pt idx="11">
                  <c:v>56.290807874216078</c:v>
                </c:pt>
                <c:pt idx="12">
                  <c:v>53.764356490528407</c:v>
                </c:pt>
                <c:pt idx="13">
                  <c:v>51.54047487285964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C-4098-A347-4B0452C6D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818384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('DesignSheet 0.8V'!$A$59:$A$68,'DesignSheet 0.8V'!$D$59:$D$62)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0.01</c:v>
                </c:pt>
                <c:pt idx="2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0.3</c:v>
                </c:pt>
                <c:pt idx="7" formatCode="0.00">
                  <c:v>0.4</c:v>
                </c:pt>
                <c:pt idx="8" formatCode="0.00">
                  <c:v>0.5</c:v>
                </c:pt>
                <c:pt idx="9" formatCode="0.00">
                  <c:v>0.6</c:v>
                </c:pt>
                <c:pt idx="10" formatCode="0.00">
                  <c:v>0.7</c:v>
                </c:pt>
                <c:pt idx="11" formatCode="0.00">
                  <c:v>0.8</c:v>
                </c:pt>
                <c:pt idx="12" formatCode="0.00">
                  <c:v>0.9</c:v>
                </c:pt>
                <c:pt idx="13" formatCode="0.00">
                  <c:v>1</c:v>
                </c:pt>
              </c:numCache>
            </c:numRef>
          </c:xVal>
          <c:yVal>
            <c:numRef>
              <c:f>('DesignSheet 0.8V'!$C$59:$C$68,'DesignSheet 0.8V'!$F$59:$F$62)</c:f>
              <c:numCache>
                <c:formatCode>0.0</c:formatCode>
                <c:ptCount val="14"/>
                <c:pt idx="0">
                  <c:v>0</c:v>
                </c:pt>
                <c:pt idx="1">
                  <c:v>562.69879150390625</c:v>
                </c:pt>
                <c:pt idx="2">
                  <c:v>1618.563720703125</c:v>
                </c:pt>
                <c:pt idx="3">
                  <c:v>1869.557373046875</c:v>
                </c:pt>
                <c:pt idx="4">
                  <c:v>1944.8304443359375</c:v>
                </c:pt>
                <c:pt idx="5">
                  <c:v>1986.8470458984375</c:v>
                </c:pt>
                <c:pt idx="6">
                  <c:v>2046.8150634765625</c:v>
                </c:pt>
                <c:pt idx="7">
                  <c:v>2094.04833984375</c:v>
                </c:pt>
                <c:pt idx="8">
                  <c:v>2132.248779296875</c:v>
                </c:pt>
                <c:pt idx="9">
                  <c:v>2162.60009765625</c:v>
                </c:pt>
                <c:pt idx="10">
                  <c:v>2186.93505859375</c:v>
                </c:pt>
                <c:pt idx="11">
                  <c:v>2206.46142578125</c:v>
                </c:pt>
                <c:pt idx="12">
                  <c:v>2222.596923828125</c:v>
                </c:pt>
                <c:pt idx="13">
                  <c:v>2236.179443359375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1C-4098-A347-4B0452C6D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558183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5818384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(A)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117.81515039764199</c:v>
                </c:pt>
                <c:pt idx="2">
                  <c:v>209</c:v>
                </c:pt>
                <c:pt idx="3">
                  <c:v>148.61201785760858</c:v>
                </c:pt>
                <c:pt idx="4">
                  <c:v>131.95522232428112</c:v>
                </c:pt>
                <c:pt idx="5">
                  <c:v>126.84344333188668</c:v>
                </c:pt>
                <c:pt idx="6">
                  <c:v>125.14720214597963</c:v>
                </c:pt>
                <c:pt idx="7">
                  <c:v>125.10324425128957</c:v>
                </c:pt>
                <c:pt idx="8">
                  <c:v>125.07052664850416</c:v>
                </c:pt>
                <c:pt idx="9">
                  <c:v>125.04836138942829</c:v>
                </c:pt>
                <c:pt idx="10">
                  <c:v>125.02830383894764</c:v>
                </c:pt>
                <c:pt idx="11">
                  <c:v>125.01583235430658</c:v>
                </c:pt>
                <c:pt idx="12">
                  <c:v>125.00398360489604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63-4F2E-922B-6552F12D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7968"/>
        <c:axId val="9814950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0.25305375456809998</c:v>
                </c:pt>
                <c:pt idx="1">
                  <c:v>140.03630065917969</c:v>
                </c:pt>
                <c:pt idx="2">
                  <c:v>402.85150146484375</c:v>
                </c:pt>
                <c:pt idx="3">
                  <c:v>465.93875122070313</c:v>
                </c:pt>
                <c:pt idx="4">
                  <c:v>484.884033203125</c:v>
                </c:pt>
                <c:pt idx="5">
                  <c:v>495.44305419921875</c:v>
                </c:pt>
                <c:pt idx="6">
                  <c:v>510.4969482421875</c:v>
                </c:pt>
                <c:pt idx="7">
                  <c:v>522.35211181640625</c:v>
                </c:pt>
                <c:pt idx="8">
                  <c:v>531.9515380859375</c:v>
                </c:pt>
                <c:pt idx="9">
                  <c:v>539.56793212890625</c:v>
                </c:pt>
                <c:pt idx="10">
                  <c:v>545.62969970703125</c:v>
                </c:pt>
                <c:pt idx="11">
                  <c:v>550.51708984375</c:v>
                </c:pt>
                <c:pt idx="12">
                  <c:v>554.55633544921875</c:v>
                </c:pt>
                <c:pt idx="13">
                  <c:v>557.956787109375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63-4F2E-922B-6552F12D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51424"/>
        <c:axId val="98218752"/>
      </c:scatterChart>
      <c:valAx>
        <c:axId val="9134796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8149504"/>
        <c:crossesAt val="0"/>
        <c:crossBetween val="midCat"/>
        <c:majorUnit val="0.2"/>
        <c:minorUnit val="0.2"/>
      </c:valAx>
      <c:valAx>
        <c:axId val="9814950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347968"/>
        <c:crosses val="max"/>
        <c:crossBetween val="midCat"/>
        <c:majorUnit val="50"/>
        <c:minorUnit val="50"/>
      </c:valAx>
      <c:valAx>
        <c:axId val="9815142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98218752"/>
        <c:crosses val="autoZero"/>
        <c:crossBetween val="midCat"/>
      </c:valAx>
      <c:valAx>
        <c:axId val="9821875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815142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0.80V)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117.81515039764199</c:v>
                </c:pt>
                <c:pt idx="2">
                  <c:v>205</c:v>
                </c:pt>
                <c:pt idx="3">
                  <c:v>148.61201785760858</c:v>
                </c:pt>
                <c:pt idx="4">
                  <c:v>131.95522232428112</c:v>
                </c:pt>
                <c:pt idx="5">
                  <c:v>126.84344333188668</c:v>
                </c:pt>
                <c:pt idx="6">
                  <c:v>125.14720214597963</c:v>
                </c:pt>
                <c:pt idx="7">
                  <c:v>125.10324425128957</c:v>
                </c:pt>
                <c:pt idx="8">
                  <c:v>125.07052664850416</c:v>
                </c:pt>
                <c:pt idx="9">
                  <c:v>125.04836138942829</c:v>
                </c:pt>
                <c:pt idx="10">
                  <c:v>125.02830383894764</c:v>
                </c:pt>
                <c:pt idx="11">
                  <c:v>125.01583235430658</c:v>
                </c:pt>
                <c:pt idx="12">
                  <c:v>125.00398360489604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B-4D45-AC84-92DBB8E5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7984"/>
        <c:axId val="83744256"/>
      </c:scatterChart>
      <c:scatterChart>
        <c:scatterStyle val="lineMarker"/>
        <c:varyColors val="0"/>
        <c:ser>
          <c:idx val="2"/>
          <c:order val="2"/>
          <c:tx>
            <c:v>Torque (FV / 0.80V)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75.401696254490872</c:v>
                </c:pt>
                <c:pt idx="2">
                  <c:v>131.19999999999999</c:v>
                </c:pt>
                <c:pt idx="3">
                  <c:v>95.111691428869491</c:v>
                </c:pt>
                <c:pt idx="4">
                  <c:v>84.451342287539916</c:v>
                </c:pt>
                <c:pt idx="5">
                  <c:v>81.179803732407478</c:v>
                </c:pt>
                <c:pt idx="6">
                  <c:v>80.094209373426963</c:v>
                </c:pt>
                <c:pt idx="7">
                  <c:v>80.066076320825331</c:v>
                </c:pt>
                <c:pt idx="8">
                  <c:v>80.045137055042659</c:v>
                </c:pt>
                <c:pt idx="9">
                  <c:v>80.03095128923411</c:v>
                </c:pt>
                <c:pt idx="10">
                  <c:v>80.018114456926483</c:v>
                </c:pt>
                <c:pt idx="11">
                  <c:v>80.01013270675621</c:v>
                </c:pt>
                <c:pt idx="12">
                  <c:v>80.002549507133466</c:v>
                </c:pt>
                <c:pt idx="13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C2-4848-994A-A49BC80F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7984"/>
        <c:axId val="83744256"/>
      </c:scatterChart>
      <c:scatterChart>
        <c:scatterStyle val="lineMarker"/>
        <c:varyColors val="0"/>
        <c:ser>
          <c:idx val="1"/>
          <c:order val="1"/>
          <c:tx>
            <c:v>Current (FV / 0.80V)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0.25305375456809998</c:v>
                </c:pt>
                <c:pt idx="1">
                  <c:v>140.03630065917969</c:v>
                </c:pt>
                <c:pt idx="2">
                  <c:v>402.85150146484375</c:v>
                </c:pt>
                <c:pt idx="3">
                  <c:v>465.93875122070313</c:v>
                </c:pt>
                <c:pt idx="4">
                  <c:v>484.884033203125</c:v>
                </c:pt>
                <c:pt idx="5">
                  <c:v>495.44305419921875</c:v>
                </c:pt>
                <c:pt idx="6">
                  <c:v>510.4969482421875</c:v>
                </c:pt>
                <c:pt idx="7">
                  <c:v>522.35211181640625</c:v>
                </c:pt>
                <c:pt idx="8">
                  <c:v>531.9515380859375</c:v>
                </c:pt>
                <c:pt idx="9">
                  <c:v>539.56793212890625</c:v>
                </c:pt>
                <c:pt idx="10">
                  <c:v>545.62969970703125</c:v>
                </c:pt>
                <c:pt idx="11">
                  <c:v>550.51708984375</c:v>
                </c:pt>
                <c:pt idx="12">
                  <c:v>554.55633544921875</c:v>
                </c:pt>
                <c:pt idx="13">
                  <c:v>557.956787109375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CB-4D45-AC84-92DBB8E5B79D}"/>
            </c:ext>
          </c:extLst>
        </c:ser>
        <c:ser>
          <c:idx val="3"/>
          <c:order val="3"/>
          <c:tx>
            <c:v>Current (FV / 0.80V)</c:v>
          </c:tx>
          <c:spPr>
            <a:ln w="25400">
              <a:solidFill>
                <a:schemeClr val="tx1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0.20244300365447998</c:v>
                </c:pt>
                <c:pt idx="1">
                  <c:v>112.02904052734375</c:v>
                </c:pt>
                <c:pt idx="2">
                  <c:v>322.28120117187501</c:v>
                </c:pt>
                <c:pt idx="3">
                  <c:v>372.75100097656252</c:v>
                </c:pt>
                <c:pt idx="4">
                  <c:v>387.9072265625</c:v>
                </c:pt>
                <c:pt idx="5">
                  <c:v>396.35444335937501</c:v>
                </c:pt>
                <c:pt idx="6">
                  <c:v>408.39755859375003</c:v>
                </c:pt>
                <c:pt idx="7">
                  <c:v>417.88168945312503</c:v>
                </c:pt>
                <c:pt idx="8">
                  <c:v>425.56123046875001</c:v>
                </c:pt>
                <c:pt idx="9">
                  <c:v>431.65434570312505</c:v>
                </c:pt>
                <c:pt idx="10">
                  <c:v>436.50375976562503</c:v>
                </c:pt>
                <c:pt idx="11">
                  <c:v>440.41367187500003</c:v>
                </c:pt>
                <c:pt idx="12">
                  <c:v>443.64506835937505</c:v>
                </c:pt>
                <c:pt idx="13">
                  <c:v>446.36542968750001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C2-4848-994A-A49BC80F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6176"/>
        <c:axId val="85591168"/>
      </c:scatterChart>
      <c:valAx>
        <c:axId val="8373798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744256"/>
        <c:crosses val="autoZero"/>
        <c:crossBetween val="midCat"/>
        <c:majorUnit val="20"/>
        <c:minorUnit val="20"/>
      </c:valAx>
      <c:valAx>
        <c:axId val="83744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737984"/>
        <c:crosses val="autoZero"/>
        <c:crossBetween val="midCat"/>
      </c:valAx>
      <c:valAx>
        <c:axId val="8374617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85591168"/>
        <c:crosses val="autoZero"/>
        <c:crossBetween val="midCat"/>
      </c:valAx>
      <c:valAx>
        <c:axId val="85591168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74617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5731049408297645"/>
          <c:y val="0.90304262347434705"/>
          <c:w val="0.6051355159552424"/>
          <c:h val="8.68179595421294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557.95677799607074</c:v>
                </c:pt>
                <c:pt idx="1">
                  <c:v>478.64578388998035</c:v>
                </c:pt>
                <c:pt idx="2">
                  <c:v>399.31099410609039</c:v>
                </c:pt>
                <c:pt idx="3">
                  <c:v>320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47.559872768481348</c:v>
                </c:pt>
                <c:pt idx="2">
                  <c:v>68.335539027272958</c:v>
                </c:pt>
                <c:pt idx="3">
                  <c:v>106.4067559952293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5-4B6E-B0CB-AD1CE640F7EF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557.95677799607074</c:v>
                </c:pt>
                <c:pt idx="1">
                  <c:v>478.64578388998035</c:v>
                </c:pt>
                <c:pt idx="2">
                  <c:v>399.31099410609039</c:v>
                </c:pt>
                <c:pt idx="3">
                  <c:v>320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20.382802615063433</c:v>
                </c:pt>
                <c:pt idx="2">
                  <c:v>29.286659583116979</c:v>
                </c:pt>
                <c:pt idx="3">
                  <c:v>45.602895426526842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5-4B6E-B0CB-AD1CE640F7EF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220</c:v>
                </c:pt>
                <c:pt idx="1">
                  <c:v>120</c:v>
                </c:pt>
                <c:pt idx="2">
                  <c:v>209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106.90543924535493</c:v>
                </c:pt>
                <c:pt idx="3">
                  <c:v>144.12766949618359</c:v>
                </c:pt>
                <c:pt idx="4">
                  <c:v>324.28725636641309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95-4B6E-B0CB-AD1CE640F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68992"/>
        <c:axId val="85670912"/>
      </c:scatterChart>
      <c:valAx>
        <c:axId val="8566899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670912"/>
        <c:crossesAt val="0.1"/>
        <c:crossBetween val="midCat"/>
        <c:majorUnit val="100"/>
      </c:valAx>
      <c:valAx>
        <c:axId val="8567091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66899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94</c:v>
                </c:pt>
                <c:pt idx="2">
                  <c:v>96.3</c:v>
                </c:pt>
                <c:pt idx="3">
                  <c:v>96.9</c:v>
                </c:pt>
                <c:pt idx="4">
                  <c:v>97.1</c:v>
                </c:pt>
                <c:pt idx="5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6-4BBF-A12F-7FF160E339C6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61.6</c:v>
                </c:pt>
                <c:pt idx="1">
                  <c:v>80.099999999999994</c:v>
                </c:pt>
                <c:pt idx="2">
                  <c:v>85.5</c:v>
                </c:pt>
                <c:pt idx="3">
                  <c:v>87.2</c:v>
                </c:pt>
                <c:pt idx="4">
                  <c:v>87.4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E6-4BBF-A12F-7FF160E339C6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88.242844671639389</c:v>
                </c:pt>
                <c:pt idx="2">
                  <c:v>75.754127407891716</c:v>
                </c:pt>
                <c:pt idx="3">
                  <c:v>63.02629872988571</c:v>
                </c:pt>
                <c:pt idx="4">
                  <c:v>50.117962383454476</c:v>
                </c:pt>
                <c:pt idx="5">
                  <c:v>36.903450595071959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E6-4BBF-A12F-7FF160E339C6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0.33256000000000002</c:v>
                </c:pt>
                <c:pt idx="1">
                  <c:v>9.9433018839078606</c:v>
                </c:pt>
                <c:pt idx="2">
                  <c:v>19.366770079161039</c:v>
                </c:pt>
                <c:pt idx="3">
                  <c:v>28.843660267163187</c:v>
                </c:pt>
                <c:pt idx="4">
                  <c:v>38.377859776277667</c:v>
                </c:pt>
                <c:pt idx="5">
                  <c:v>47.97053694693161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E6-4BBF-A12F-7FF160E33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8952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116</c:v>
                </c:pt>
                <c:pt idx="1">
                  <c:v>185</c:v>
                </c:pt>
                <c:pt idx="2">
                  <c:v>279</c:v>
                </c:pt>
                <c:pt idx="3">
                  <c:v>389</c:v>
                </c:pt>
                <c:pt idx="4">
                  <c:v>509</c:v>
                </c:pt>
                <c:pt idx="5">
                  <c:v>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E6-4BBF-A12F-7FF160E33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0568952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68952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7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94</c:v>
                </c:pt>
                <c:pt idx="2">
                  <c:v>96.3</c:v>
                </c:pt>
                <c:pt idx="3">
                  <c:v>96.9</c:v>
                </c:pt>
                <c:pt idx="4">
                  <c:v>97.1</c:v>
                </c:pt>
                <c:pt idx="5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04-4A27-BF7D-58E6064E8676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61.6</c:v>
                </c:pt>
                <c:pt idx="1">
                  <c:v>80.099999999999994</c:v>
                </c:pt>
                <c:pt idx="2">
                  <c:v>85.5</c:v>
                </c:pt>
                <c:pt idx="3">
                  <c:v>87.2</c:v>
                </c:pt>
                <c:pt idx="4">
                  <c:v>87.4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04-4A27-BF7D-58E6064E8676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88.242844671639389</c:v>
                </c:pt>
                <c:pt idx="2">
                  <c:v>75.754127407891716</c:v>
                </c:pt>
                <c:pt idx="3">
                  <c:v>63.02629872988571</c:v>
                </c:pt>
                <c:pt idx="4">
                  <c:v>50.117962383454476</c:v>
                </c:pt>
                <c:pt idx="5">
                  <c:v>36.903450595071959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04-4A27-BF7D-58E6064E8676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0.33256000000000002</c:v>
                </c:pt>
                <c:pt idx="1">
                  <c:v>9.9433018839078606</c:v>
                </c:pt>
                <c:pt idx="2">
                  <c:v>19.366770079161039</c:v>
                </c:pt>
                <c:pt idx="3">
                  <c:v>28.843660267163187</c:v>
                </c:pt>
                <c:pt idx="4">
                  <c:v>38.377859776277667</c:v>
                </c:pt>
                <c:pt idx="5">
                  <c:v>47.97053694693161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04-4A27-BF7D-58E6064E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8952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199</c:v>
                </c:pt>
                <c:pt idx="1">
                  <c:v>321</c:v>
                </c:pt>
                <c:pt idx="2">
                  <c:v>484</c:v>
                </c:pt>
                <c:pt idx="3">
                  <c:v>676</c:v>
                </c:pt>
                <c:pt idx="4">
                  <c:v>884</c:v>
                </c:pt>
                <c:pt idx="5">
                  <c:v>1104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04-4A27-BF7D-58E6064E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0568952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68952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1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79E89-79C8-41D2-9AF5-78C3E8144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8" name="Radiu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9" name="Height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0" name="Thickness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2" name="Radiu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3" name="Clear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4" name="Thicknes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5" name="Radius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7" name="Radiu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8" name="Height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9" name="Clear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30" name="Thickness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786765</xdr:colOff>
      <xdr:row>39</xdr:row>
      <xdr:rowOff>171450</xdr:rowOff>
    </xdr:from>
    <xdr:to>
      <xdr:col>4</xdr:col>
      <xdr:colOff>803926</xdr:colOff>
      <xdr:row>40</xdr:row>
      <xdr:rowOff>104775</xdr:rowOff>
    </xdr:to>
    <xdr:sp macro="" textlink="">
      <xdr:nvSpPr>
        <xdr:cNvPr id="131" name="Text 21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2520315" y="91535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3896</xdr:colOff>
      <xdr:row>43</xdr:row>
      <xdr:rowOff>9525</xdr:rowOff>
    </xdr:to>
    <xdr:sp macro="" textlink="">
      <xdr:nvSpPr>
        <xdr:cNvPr id="132" name="Radiu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5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423.4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33" name="Height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445714</xdr:colOff>
      <xdr:row>41</xdr:row>
      <xdr:rowOff>200025</xdr:rowOff>
    </xdr:to>
    <xdr:sp macro="" textlink="">
      <xdr:nvSpPr>
        <xdr:cNvPr id="134" name="Clear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6473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407670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35" name="Thickness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626870" y="9667875"/>
          <a:ext cx="4286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457200</xdr:colOff>
      <xdr:row>41</xdr:row>
      <xdr:rowOff>161925</xdr:rowOff>
    </xdr:from>
    <xdr:to>
      <xdr:col>2</xdr:col>
      <xdr:colOff>457200</xdr:colOff>
      <xdr:row>42</xdr:row>
      <xdr:rowOff>66675</xdr:rowOff>
    </xdr:to>
    <xdr:sp macro="" textlink="">
      <xdr:nvSpPr>
        <xdr:cNvPr id="136" name="Line 11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ShapeType="1"/>
        </xdr:cNvSpPr>
      </xdr:nvSpPr>
      <xdr:spPr bwMode="auto">
        <a:xfrm flipV="1">
          <a:off x="1676400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37" name="Line 117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38" name="Line 11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39" name="Line 11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0" name="Text 583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285750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41" name="Line 12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ShapeType="1"/>
        </xdr:cNvSpPr>
      </xdr:nvSpPr>
      <xdr:spPr bwMode="auto">
        <a:xfrm flipV="1">
          <a:off x="1095375" y="91440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42" name="Line 12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43" name="Line 12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44" name="Rectangle 124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rrowheads="1"/>
        </xdr:cNvSpPr>
      </xdr:nvSpPr>
      <xdr:spPr bwMode="auto">
        <a:xfrm>
          <a:off x="1676400" y="9153525"/>
          <a:ext cx="3048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45" name="Line 12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46" name="Line 12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47" name="Line 127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48" name="Line 12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39</xdr:row>
      <xdr:rowOff>171450</xdr:rowOff>
    </xdr:from>
    <xdr:to>
      <xdr:col>3</xdr:col>
      <xdr:colOff>504825</xdr:colOff>
      <xdr:row>39</xdr:row>
      <xdr:rowOff>171450</xdr:rowOff>
    </xdr:to>
    <xdr:sp macro="" textlink="">
      <xdr:nvSpPr>
        <xdr:cNvPr id="149" name="Line 12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ShapeType="1"/>
        </xdr:cNvSpPr>
      </xdr:nvSpPr>
      <xdr:spPr bwMode="auto">
        <a:xfrm>
          <a:off x="2019300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50" name="Thickness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51" name="Line 13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52" name="Line 132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866775</xdr:colOff>
      <xdr:row>33</xdr:row>
      <xdr:rowOff>152400</xdr:rowOff>
    </xdr:from>
    <xdr:to>
      <xdr:col>4</xdr:col>
      <xdr:colOff>640108</xdr:colOff>
      <xdr:row>34</xdr:row>
      <xdr:rowOff>95250</xdr:rowOff>
    </xdr:to>
    <xdr:sp macro="" textlink="">
      <xdr:nvSpPr>
        <xdr:cNvPr id="153" name="Text 21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600325" y="776287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4</xdr:col>
      <xdr:colOff>47625</xdr:colOff>
      <xdr:row>27</xdr:row>
      <xdr:rowOff>66675</xdr:rowOff>
    </xdr:from>
    <xdr:to>
      <xdr:col>4</xdr:col>
      <xdr:colOff>697258</xdr:colOff>
      <xdr:row>28</xdr:row>
      <xdr:rowOff>9525</xdr:rowOff>
    </xdr:to>
    <xdr:sp macro="" textlink="">
      <xdr:nvSpPr>
        <xdr:cNvPr id="154" name="Text 219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657475" y="63055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0.59483</cdr:x>
      <cdr:y>0.61105</cdr:y>
    </cdr:from>
    <cdr:to>
      <cdr:x>0.83068</cdr:x>
      <cdr:y>0.63174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78759" y="39344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0.58506</cdr:x>
      <cdr:y>0.51721</cdr:y>
    </cdr:from>
    <cdr:to>
      <cdr:x>0.86788</cdr:x>
      <cdr:y>0.54234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21609" y="33302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944880</xdr:colOff>
      <xdr:row>18</xdr:row>
      <xdr:rowOff>99060</xdr:rowOff>
    </xdr:from>
    <xdr:to>
      <xdr:col>4</xdr:col>
      <xdr:colOff>148428</xdr:colOff>
      <xdr:row>19</xdr:row>
      <xdr:rowOff>40092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4373880" y="444246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rodrigu\Desktop\current%20project\DT4M80U%202300_4160V%20(H230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Data Sheet"/>
      <sheetName val="STCurve"/>
      <sheetName val="Thermdam"/>
      <sheetName val="Performance 4160V"/>
      <sheetName val="Performance 2300V"/>
    </sheetNames>
    <sheetDataSet>
      <sheetData sheetId="0">
        <row r="10">
          <cell r="C10" t="str">
            <v>TIR 42934</v>
          </cell>
        </row>
        <row r="14">
          <cell r="C14" t="str">
            <v>450-1600</v>
          </cell>
          <cell r="F14" t="str">
            <v>WP-II</v>
          </cell>
        </row>
        <row r="17">
          <cell r="C17" t="str">
            <v>TIR 42934</v>
          </cell>
        </row>
        <row r="44">
          <cell r="K44">
            <v>44971</v>
          </cell>
        </row>
      </sheetData>
      <sheetData sheetId="1" refreshError="1"/>
      <sheetData sheetId="2" refreshError="1"/>
      <sheetData sheetId="3">
        <row r="54">
          <cell r="A54">
            <v>0</v>
          </cell>
        </row>
      </sheetData>
      <sheetData sheetId="4">
        <row r="54">
          <cell r="A5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36FB-5B7F-413A-B355-817D3FEB2281}">
  <sheetPr>
    <pageSetUpPr fitToPage="1"/>
  </sheetPr>
  <dimension ref="A1:P71"/>
  <sheetViews>
    <sheetView topLeftCell="A7" zoomScale="95" workbookViewId="0">
      <selection activeCell="F30" sqref="F30"/>
    </sheetView>
  </sheetViews>
  <sheetFormatPr defaultRowHeight="12.75"/>
  <cols>
    <col min="1" max="6" width="12.28515625" style="569" customWidth="1"/>
    <col min="7" max="7" width="12.42578125" style="569" customWidth="1"/>
    <col min="8" max="8" width="12.7109375" style="569" customWidth="1"/>
    <col min="9" max="10" width="12.28515625" style="569" customWidth="1"/>
    <col min="11" max="11" width="9.140625" style="569"/>
    <col min="12" max="12" width="13.42578125" style="569" bestFit="1" customWidth="1"/>
    <col min="13" max="13" width="9" style="569" bestFit="1" customWidth="1"/>
    <col min="14" max="256" width="9.140625" style="569"/>
    <col min="257" max="262" width="12.28515625" style="569" customWidth="1"/>
    <col min="263" max="263" width="12.42578125" style="569" customWidth="1"/>
    <col min="264" max="264" width="12.7109375" style="569" customWidth="1"/>
    <col min="265" max="266" width="12.28515625" style="569" customWidth="1"/>
    <col min="267" max="267" width="9.140625" style="569"/>
    <col min="268" max="268" width="13.42578125" style="569" bestFit="1" customWidth="1"/>
    <col min="269" max="269" width="9" style="569" bestFit="1" customWidth="1"/>
    <col min="270" max="512" width="9.140625" style="569"/>
    <col min="513" max="518" width="12.28515625" style="569" customWidth="1"/>
    <col min="519" max="519" width="12.42578125" style="569" customWidth="1"/>
    <col min="520" max="520" width="12.7109375" style="569" customWidth="1"/>
    <col min="521" max="522" width="12.28515625" style="569" customWidth="1"/>
    <col min="523" max="523" width="9.140625" style="569"/>
    <col min="524" max="524" width="13.42578125" style="569" bestFit="1" customWidth="1"/>
    <col min="525" max="525" width="9" style="569" bestFit="1" customWidth="1"/>
    <col min="526" max="768" width="9.140625" style="569"/>
    <col min="769" max="774" width="12.28515625" style="569" customWidth="1"/>
    <col min="775" max="775" width="12.42578125" style="569" customWidth="1"/>
    <col min="776" max="776" width="12.7109375" style="569" customWidth="1"/>
    <col min="777" max="778" width="12.28515625" style="569" customWidth="1"/>
    <col min="779" max="779" width="9.140625" style="569"/>
    <col min="780" max="780" width="13.42578125" style="569" bestFit="1" customWidth="1"/>
    <col min="781" max="781" width="9" style="569" bestFit="1" customWidth="1"/>
    <col min="782" max="1024" width="9.140625" style="569"/>
    <col min="1025" max="1030" width="12.28515625" style="569" customWidth="1"/>
    <col min="1031" max="1031" width="12.42578125" style="569" customWidth="1"/>
    <col min="1032" max="1032" width="12.7109375" style="569" customWidth="1"/>
    <col min="1033" max="1034" width="12.28515625" style="569" customWidth="1"/>
    <col min="1035" max="1035" width="9.140625" style="569"/>
    <col min="1036" max="1036" width="13.42578125" style="569" bestFit="1" customWidth="1"/>
    <col min="1037" max="1037" width="9" style="569" bestFit="1" customWidth="1"/>
    <col min="1038" max="1280" width="9.140625" style="569"/>
    <col min="1281" max="1286" width="12.28515625" style="569" customWidth="1"/>
    <col min="1287" max="1287" width="12.42578125" style="569" customWidth="1"/>
    <col min="1288" max="1288" width="12.7109375" style="569" customWidth="1"/>
    <col min="1289" max="1290" width="12.28515625" style="569" customWidth="1"/>
    <col min="1291" max="1291" width="9.140625" style="569"/>
    <col min="1292" max="1292" width="13.42578125" style="569" bestFit="1" customWidth="1"/>
    <col min="1293" max="1293" width="9" style="569" bestFit="1" customWidth="1"/>
    <col min="1294" max="1536" width="9.140625" style="569"/>
    <col min="1537" max="1542" width="12.28515625" style="569" customWidth="1"/>
    <col min="1543" max="1543" width="12.42578125" style="569" customWidth="1"/>
    <col min="1544" max="1544" width="12.7109375" style="569" customWidth="1"/>
    <col min="1545" max="1546" width="12.28515625" style="569" customWidth="1"/>
    <col min="1547" max="1547" width="9.140625" style="569"/>
    <col min="1548" max="1548" width="13.42578125" style="569" bestFit="1" customWidth="1"/>
    <col min="1549" max="1549" width="9" style="569" bestFit="1" customWidth="1"/>
    <col min="1550" max="1792" width="9.140625" style="569"/>
    <col min="1793" max="1798" width="12.28515625" style="569" customWidth="1"/>
    <col min="1799" max="1799" width="12.42578125" style="569" customWidth="1"/>
    <col min="1800" max="1800" width="12.7109375" style="569" customWidth="1"/>
    <col min="1801" max="1802" width="12.28515625" style="569" customWidth="1"/>
    <col min="1803" max="1803" width="9.140625" style="569"/>
    <col min="1804" max="1804" width="13.42578125" style="569" bestFit="1" customWidth="1"/>
    <col min="1805" max="1805" width="9" style="569" bestFit="1" customWidth="1"/>
    <col min="1806" max="2048" width="9.140625" style="569"/>
    <col min="2049" max="2054" width="12.28515625" style="569" customWidth="1"/>
    <col min="2055" max="2055" width="12.42578125" style="569" customWidth="1"/>
    <col min="2056" max="2056" width="12.7109375" style="569" customWidth="1"/>
    <col min="2057" max="2058" width="12.28515625" style="569" customWidth="1"/>
    <col min="2059" max="2059" width="9.140625" style="569"/>
    <col min="2060" max="2060" width="13.42578125" style="569" bestFit="1" customWidth="1"/>
    <col min="2061" max="2061" width="9" style="569" bestFit="1" customWidth="1"/>
    <col min="2062" max="2304" width="9.140625" style="569"/>
    <col min="2305" max="2310" width="12.28515625" style="569" customWidth="1"/>
    <col min="2311" max="2311" width="12.42578125" style="569" customWidth="1"/>
    <col min="2312" max="2312" width="12.7109375" style="569" customWidth="1"/>
    <col min="2313" max="2314" width="12.28515625" style="569" customWidth="1"/>
    <col min="2315" max="2315" width="9.140625" style="569"/>
    <col min="2316" max="2316" width="13.42578125" style="569" bestFit="1" customWidth="1"/>
    <col min="2317" max="2317" width="9" style="569" bestFit="1" customWidth="1"/>
    <col min="2318" max="2560" width="9.140625" style="569"/>
    <col min="2561" max="2566" width="12.28515625" style="569" customWidth="1"/>
    <col min="2567" max="2567" width="12.42578125" style="569" customWidth="1"/>
    <col min="2568" max="2568" width="12.7109375" style="569" customWidth="1"/>
    <col min="2569" max="2570" width="12.28515625" style="569" customWidth="1"/>
    <col min="2571" max="2571" width="9.140625" style="569"/>
    <col min="2572" max="2572" width="13.42578125" style="569" bestFit="1" customWidth="1"/>
    <col min="2573" max="2573" width="9" style="569" bestFit="1" customWidth="1"/>
    <col min="2574" max="2816" width="9.140625" style="569"/>
    <col min="2817" max="2822" width="12.28515625" style="569" customWidth="1"/>
    <col min="2823" max="2823" width="12.42578125" style="569" customWidth="1"/>
    <col min="2824" max="2824" width="12.7109375" style="569" customWidth="1"/>
    <col min="2825" max="2826" width="12.28515625" style="569" customWidth="1"/>
    <col min="2827" max="2827" width="9.140625" style="569"/>
    <col min="2828" max="2828" width="13.42578125" style="569" bestFit="1" customWidth="1"/>
    <col min="2829" max="2829" width="9" style="569" bestFit="1" customWidth="1"/>
    <col min="2830" max="3072" width="9.140625" style="569"/>
    <col min="3073" max="3078" width="12.28515625" style="569" customWidth="1"/>
    <col min="3079" max="3079" width="12.42578125" style="569" customWidth="1"/>
    <col min="3080" max="3080" width="12.7109375" style="569" customWidth="1"/>
    <col min="3081" max="3082" width="12.28515625" style="569" customWidth="1"/>
    <col min="3083" max="3083" width="9.140625" style="569"/>
    <col min="3084" max="3084" width="13.42578125" style="569" bestFit="1" customWidth="1"/>
    <col min="3085" max="3085" width="9" style="569" bestFit="1" customWidth="1"/>
    <col min="3086" max="3328" width="9.140625" style="569"/>
    <col min="3329" max="3334" width="12.28515625" style="569" customWidth="1"/>
    <col min="3335" max="3335" width="12.42578125" style="569" customWidth="1"/>
    <col min="3336" max="3336" width="12.7109375" style="569" customWidth="1"/>
    <col min="3337" max="3338" width="12.28515625" style="569" customWidth="1"/>
    <col min="3339" max="3339" width="9.140625" style="569"/>
    <col min="3340" max="3340" width="13.42578125" style="569" bestFit="1" customWidth="1"/>
    <col min="3341" max="3341" width="9" style="569" bestFit="1" customWidth="1"/>
    <col min="3342" max="3584" width="9.140625" style="569"/>
    <col min="3585" max="3590" width="12.28515625" style="569" customWidth="1"/>
    <col min="3591" max="3591" width="12.42578125" style="569" customWidth="1"/>
    <col min="3592" max="3592" width="12.7109375" style="569" customWidth="1"/>
    <col min="3593" max="3594" width="12.28515625" style="569" customWidth="1"/>
    <col min="3595" max="3595" width="9.140625" style="569"/>
    <col min="3596" max="3596" width="13.42578125" style="569" bestFit="1" customWidth="1"/>
    <col min="3597" max="3597" width="9" style="569" bestFit="1" customWidth="1"/>
    <col min="3598" max="3840" width="9.140625" style="569"/>
    <col min="3841" max="3846" width="12.28515625" style="569" customWidth="1"/>
    <col min="3847" max="3847" width="12.42578125" style="569" customWidth="1"/>
    <col min="3848" max="3848" width="12.7109375" style="569" customWidth="1"/>
    <col min="3849" max="3850" width="12.28515625" style="569" customWidth="1"/>
    <col min="3851" max="3851" width="9.140625" style="569"/>
    <col min="3852" max="3852" width="13.42578125" style="569" bestFit="1" customWidth="1"/>
    <col min="3853" max="3853" width="9" style="569" bestFit="1" customWidth="1"/>
    <col min="3854" max="4096" width="9.140625" style="569"/>
    <col min="4097" max="4102" width="12.28515625" style="569" customWidth="1"/>
    <col min="4103" max="4103" width="12.42578125" style="569" customWidth="1"/>
    <col min="4104" max="4104" width="12.7109375" style="569" customWidth="1"/>
    <col min="4105" max="4106" width="12.28515625" style="569" customWidth="1"/>
    <col min="4107" max="4107" width="9.140625" style="569"/>
    <col min="4108" max="4108" width="13.42578125" style="569" bestFit="1" customWidth="1"/>
    <col min="4109" max="4109" width="9" style="569" bestFit="1" customWidth="1"/>
    <col min="4110" max="4352" width="9.140625" style="569"/>
    <col min="4353" max="4358" width="12.28515625" style="569" customWidth="1"/>
    <col min="4359" max="4359" width="12.42578125" style="569" customWidth="1"/>
    <col min="4360" max="4360" width="12.7109375" style="569" customWidth="1"/>
    <col min="4361" max="4362" width="12.28515625" style="569" customWidth="1"/>
    <col min="4363" max="4363" width="9.140625" style="569"/>
    <col min="4364" max="4364" width="13.42578125" style="569" bestFit="1" customWidth="1"/>
    <col min="4365" max="4365" width="9" style="569" bestFit="1" customWidth="1"/>
    <col min="4366" max="4608" width="9.140625" style="569"/>
    <col min="4609" max="4614" width="12.28515625" style="569" customWidth="1"/>
    <col min="4615" max="4615" width="12.42578125" style="569" customWidth="1"/>
    <col min="4616" max="4616" width="12.7109375" style="569" customWidth="1"/>
    <col min="4617" max="4618" width="12.28515625" style="569" customWidth="1"/>
    <col min="4619" max="4619" width="9.140625" style="569"/>
    <col min="4620" max="4620" width="13.42578125" style="569" bestFit="1" customWidth="1"/>
    <col min="4621" max="4621" width="9" style="569" bestFit="1" customWidth="1"/>
    <col min="4622" max="4864" width="9.140625" style="569"/>
    <col min="4865" max="4870" width="12.28515625" style="569" customWidth="1"/>
    <col min="4871" max="4871" width="12.42578125" style="569" customWidth="1"/>
    <col min="4872" max="4872" width="12.7109375" style="569" customWidth="1"/>
    <col min="4873" max="4874" width="12.28515625" style="569" customWidth="1"/>
    <col min="4875" max="4875" width="9.140625" style="569"/>
    <col min="4876" max="4876" width="13.42578125" style="569" bestFit="1" customWidth="1"/>
    <col min="4877" max="4877" width="9" style="569" bestFit="1" customWidth="1"/>
    <col min="4878" max="5120" width="9.140625" style="569"/>
    <col min="5121" max="5126" width="12.28515625" style="569" customWidth="1"/>
    <col min="5127" max="5127" width="12.42578125" style="569" customWidth="1"/>
    <col min="5128" max="5128" width="12.7109375" style="569" customWidth="1"/>
    <col min="5129" max="5130" width="12.28515625" style="569" customWidth="1"/>
    <col min="5131" max="5131" width="9.140625" style="569"/>
    <col min="5132" max="5132" width="13.42578125" style="569" bestFit="1" customWidth="1"/>
    <col min="5133" max="5133" width="9" style="569" bestFit="1" customWidth="1"/>
    <col min="5134" max="5376" width="9.140625" style="569"/>
    <col min="5377" max="5382" width="12.28515625" style="569" customWidth="1"/>
    <col min="5383" max="5383" width="12.42578125" style="569" customWidth="1"/>
    <col min="5384" max="5384" width="12.7109375" style="569" customWidth="1"/>
    <col min="5385" max="5386" width="12.28515625" style="569" customWidth="1"/>
    <col min="5387" max="5387" width="9.140625" style="569"/>
    <col min="5388" max="5388" width="13.42578125" style="569" bestFit="1" customWidth="1"/>
    <col min="5389" max="5389" width="9" style="569" bestFit="1" customWidth="1"/>
    <col min="5390" max="5632" width="9.140625" style="569"/>
    <col min="5633" max="5638" width="12.28515625" style="569" customWidth="1"/>
    <col min="5639" max="5639" width="12.42578125" style="569" customWidth="1"/>
    <col min="5640" max="5640" width="12.7109375" style="569" customWidth="1"/>
    <col min="5641" max="5642" width="12.28515625" style="569" customWidth="1"/>
    <col min="5643" max="5643" width="9.140625" style="569"/>
    <col min="5644" max="5644" width="13.42578125" style="569" bestFit="1" customWidth="1"/>
    <col min="5645" max="5645" width="9" style="569" bestFit="1" customWidth="1"/>
    <col min="5646" max="5888" width="9.140625" style="569"/>
    <col min="5889" max="5894" width="12.28515625" style="569" customWidth="1"/>
    <col min="5895" max="5895" width="12.42578125" style="569" customWidth="1"/>
    <col min="5896" max="5896" width="12.7109375" style="569" customWidth="1"/>
    <col min="5897" max="5898" width="12.28515625" style="569" customWidth="1"/>
    <col min="5899" max="5899" width="9.140625" style="569"/>
    <col min="5900" max="5900" width="13.42578125" style="569" bestFit="1" customWidth="1"/>
    <col min="5901" max="5901" width="9" style="569" bestFit="1" customWidth="1"/>
    <col min="5902" max="6144" width="9.140625" style="569"/>
    <col min="6145" max="6150" width="12.28515625" style="569" customWidth="1"/>
    <col min="6151" max="6151" width="12.42578125" style="569" customWidth="1"/>
    <col min="6152" max="6152" width="12.7109375" style="569" customWidth="1"/>
    <col min="6153" max="6154" width="12.28515625" style="569" customWidth="1"/>
    <col min="6155" max="6155" width="9.140625" style="569"/>
    <col min="6156" max="6156" width="13.42578125" style="569" bestFit="1" customWidth="1"/>
    <col min="6157" max="6157" width="9" style="569" bestFit="1" customWidth="1"/>
    <col min="6158" max="6400" width="9.140625" style="569"/>
    <col min="6401" max="6406" width="12.28515625" style="569" customWidth="1"/>
    <col min="6407" max="6407" width="12.42578125" style="569" customWidth="1"/>
    <col min="6408" max="6408" width="12.7109375" style="569" customWidth="1"/>
    <col min="6409" max="6410" width="12.28515625" style="569" customWidth="1"/>
    <col min="6411" max="6411" width="9.140625" style="569"/>
    <col min="6412" max="6412" width="13.42578125" style="569" bestFit="1" customWidth="1"/>
    <col min="6413" max="6413" width="9" style="569" bestFit="1" customWidth="1"/>
    <col min="6414" max="6656" width="9.140625" style="569"/>
    <col min="6657" max="6662" width="12.28515625" style="569" customWidth="1"/>
    <col min="6663" max="6663" width="12.42578125" style="569" customWidth="1"/>
    <col min="6664" max="6664" width="12.7109375" style="569" customWidth="1"/>
    <col min="6665" max="6666" width="12.28515625" style="569" customWidth="1"/>
    <col min="6667" max="6667" width="9.140625" style="569"/>
    <col min="6668" max="6668" width="13.42578125" style="569" bestFit="1" customWidth="1"/>
    <col min="6669" max="6669" width="9" style="569" bestFit="1" customWidth="1"/>
    <col min="6670" max="6912" width="9.140625" style="569"/>
    <col min="6913" max="6918" width="12.28515625" style="569" customWidth="1"/>
    <col min="6919" max="6919" width="12.42578125" style="569" customWidth="1"/>
    <col min="6920" max="6920" width="12.7109375" style="569" customWidth="1"/>
    <col min="6921" max="6922" width="12.28515625" style="569" customWidth="1"/>
    <col min="6923" max="6923" width="9.140625" style="569"/>
    <col min="6924" max="6924" width="13.42578125" style="569" bestFit="1" customWidth="1"/>
    <col min="6925" max="6925" width="9" style="569" bestFit="1" customWidth="1"/>
    <col min="6926" max="7168" width="9.140625" style="569"/>
    <col min="7169" max="7174" width="12.28515625" style="569" customWidth="1"/>
    <col min="7175" max="7175" width="12.42578125" style="569" customWidth="1"/>
    <col min="7176" max="7176" width="12.7109375" style="569" customWidth="1"/>
    <col min="7177" max="7178" width="12.28515625" style="569" customWidth="1"/>
    <col min="7179" max="7179" width="9.140625" style="569"/>
    <col min="7180" max="7180" width="13.42578125" style="569" bestFit="1" customWidth="1"/>
    <col min="7181" max="7181" width="9" style="569" bestFit="1" customWidth="1"/>
    <col min="7182" max="7424" width="9.140625" style="569"/>
    <col min="7425" max="7430" width="12.28515625" style="569" customWidth="1"/>
    <col min="7431" max="7431" width="12.42578125" style="569" customWidth="1"/>
    <col min="7432" max="7432" width="12.7109375" style="569" customWidth="1"/>
    <col min="7433" max="7434" width="12.28515625" style="569" customWidth="1"/>
    <col min="7435" max="7435" width="9.140625" style="569"/>
    <col min="7436" max="7436" width="13.42578125" style="569" bestFit="1" customWidth="1"/>
    <col min="7437" max="7437" width="9" style="569" bestFit="1" customWidth="1"/>
    <col min="7438" max="7680" width="9.140625" style="569"/>
    <col min="7681" max="7686" width="12.28515625" style="569" customWidth="1"/>
    <col min="7687" max="7687" width="12.42578125" style="569" customWidth="1"/>
    <col min="7688" max="7688" width="12.7109375" style="569" customWidth="1"/>
    <col min="7689" max="7690" width="12.28515625" style="569" customWidth="1"/>
    <col min="7691" max="7691" width="9.140625" style="569"/>
    <col min="7692" max="7692" width="13.42578125" style="569" bestFit="1" customWidth="1"/>
    <col min="7693" max="7693" width="9" style="569" bestFit="1" customWidth="1"/>
    <col min="7694" max="7936" width="9.140625" style="569"/>
    <col min="7937" max="7942" width="12.28515625" style="569" customWidth="1"/>
    <col min="7943" max="7943" width="12.42578125" style="569" customWidth="1"/>
    <col min="7944" max="7944" width="12.7109375" style="569" customWidth="1"/>
    <col min="7945" max="7946" width="12.28515625" style="569" customWidth="1"/>
    <col min="7947" max="7947" width="9.140625" style="569"/>
    <col min="7948" max="7948" width="13.42578125" style="569" bestFit="1" customWidth="1"/>
    <col min="7949" max="7949" width="9" style="569" bestFit="1" customWidth="1"/>
    <col min="7950" max="8192" width="9.140625" style="569"/>
    <col min="8193" max="8198" width="12.28515625" style="569" customWidth="1"/>
    <col min="8199" max="8199" width="12.42578125" style="569" customWidth="1"/>
    <col min="8200" max="8200" width="12.7109375" style="569" customWidth="1"/>
    <col min="8201" max="8202" width="12.28515625" style="569" customWidth="1"/>
    <col min="8203" max="8203" width="9.140625" style="569"/>
    <col min="8204" max="8204" width="13.42578125" style="569" bestFit="1" customWidth="1"/>
    <col min="8205" max="8205" width="9" style="569" bestFit="1" customWidth="1"/>
    <col min="8206" max="8448" width="9.140625" style="569"/>
    <col min="8449" max="8454" width="12.28515625" style="569" customWidth="1"/>
    <col min="8455" max="8455" width="12.42578125" style="569" customWidth="1"/>
    <col min="8456" max="8456" width="12.7109375" style="569" customWidth="1"/>
    <col min="8457" max="8458" width="12.28515625" style="569" customWidth="1"/>
    <col min="8459" max="8459" width="9.140625" style="569"/>
    <col min="8460" max="8460" width="13.42578125" style="569" bestFit="1" customWidth="1"/>
    <col min="8461" max="8461" width="9" style="569" bestFit="1" customWidth="1"/>
    <col min="8462" max="8704" width="9.140625" style="569"/>
    <col min="8705" max="8710" width="12.28515625" style="569" customWidth="1"/>
    <col min="8711" max="8711" width="12.42578125" style="569" customWidth="1"/>
    <col min="8712" max="8712" width="12.7109375" style="569" customWidth="1"/>
    <col min="8713" max="8714" width="12.28515625" style="569" customWidth="1"/>
    <col min="8715" max="8715" width="9.140625" style="569"/>
    <col min="8716" max="8716" width="13.42578125" style="569" bestFit="1" customWidth="1"/>
    <col min="8717" max="8717" width="9" style="569" bestFit="1" customWidth="1"/>
    <col min="8718" max="8960" width="9.140625" style="569"/>
    <col min="8961" max="8966" width="12.28515625" style="569" customWidth="1"/>
    <col min="8967" max="8967" width="12.42578125" style="569" customWidth="1"/>
    <col min="8968" max="8968" width="12.7109375" style="569" customWidth="1"/>
    <col min="8969" max="8970" width="12.28515625" style="569" customWidth="1"/>
    <col min="8971" max="8971" width="9.140625" style="569"/>
    <col min="8972" max="8972" width="13.42578125" style="569" bestFit="1" customWidth="1"/>
    <col min="8973" max="8973" width="9" style="569" bestFit="1" customWidth="1"/>
    <col min="8974" max="9216" width="9.140625" style="569"/>
    <col min="9217" max="9222" width="12.28515625" style="569" customWidth="1"/>
    <col min="9223" max="9223" width="12.42578125" style="569" customWidth="1"/>
    <col min="9224" max="9224" width="12.7109375" style="569" customWidth="1"/>
    <col min="9225" max="9226" width="12.28515625" style="569" customWidth="1"/>
    <col min="9227" max="9227" width="9.140625" style="569"/>
    <col min="9228" max="9228" width="13.42578125" style="569" bestFit="1" customWidth="1"/>
    <col min="9229" max="9229" width="9" style="569" bestFit="1" customWidth="1"/>
    <col min="9230" max="9472" width="9.140625" style="569"/>
    <col min="9473" max="9478" width="12.28515625" style="569" customWidth="1"/>
    <col min="9479" max="9479" width="12.42578125" style="569" customWidth="1"/>
    <col min="9480" max="9480" width="12.7109375" style="569" customWidth="1"/>
    <col min="9481" max="9482" width="12.28515625" style="569" customWidth="1"/>
    <col min="9483" max="9483" width="9.140625" style="569"/>
    <col min="9484" max="9484" width="13.42578125" style="569" bestFit="1" customWidth="1"/>
    <col min="9485" max="9485" width="9" style="569" bestFit="1" customWidth="1"/>
    <col min="9486" max="9728" width="9.140625" style="569"/>
    <col min="9729" max="9734" width="12.28515625" style="569" customWidth="1"/>
    <col min="9735" max="9735" width="12.42578125" style="569" customWidth="1"/>
    <col min="9736" max="9736" width="12.7109375" style="569" customWidth="1"/>
    <col min="9737" max="9738" width="12.28515625" style="569" customWidth="1"/>
    <col min="9739" max="9739" width="9.140625" style="569"/>
    <col min="9740" max="9740" width="13.42578125" style="569" bestFit="1" customWidth="1"/>
    <col min="9741" max="9741" width="9" style="569" bestFit="1" customWidth="1"/>
    <col min="9742" max="9984" width="9.140625" style="569"/>
    <col min="9985" max="9990" width="12.28515625" style="569" customWidth="1"/>
    <col min="9991" max="9991" width="12.42578125" style="569" customWidth="1"/>
    <col min="9992" max="9992" width="12.7109375" style="569" customWidth="1"/>
    <col min="9993" max="9994" width="12.28515625" style="569" customWidth="1"/>
    <col min="9995" max="9995" width="9.140625" style="569"/>
    <col min="9996" max="9996" width="13.42578125" style="569" bestFit="1" customWidth="1"/>
    <col min="9997" max="9997" width="9" style="569" bestFit="1" customWidth="1"/>
    <col min="9998" max="10240" width="9.140625" style="569"/>
    <col min="10241" max="10246" width="12.28515625" style="569" customWidth="1"/>
    <col min="10247" max="10247" width="12.42578125" style="569" customWidth="1"/>
    <col min="10248" max="10248" width="12.7109375" style="569" customWidth="1"/>
    <col min="10249" max="10250" width="12.28515625" style="569" customWidth="1"/>
    <col min="10251" max="10251" width="9.140625" style="569"/>
    <col min="10252" max="10252" width="13.42578125" style="569" bestFit="1" customWidth="1"/>
    <col min="10253" max="10253" width="9" style="569" bestFit="1" customWidth="1"/>
    <col min="10254" max="10496" width="9.140625" style="569"/>
    <col min="10497" max="10502" width="12.28515625" style="569" customWidth="1"/>
    <col min="10503" max="10503" width="12.42578125" style="569" customWidth="1"/>
    <col min="10504" max="10504" width="12.7109375" style="569" customWidth="1"/>
    <col min="10505" max="10506" width="12.28515625" style="569" customWidth="1"/>
    <col min="10507" max="10507" width="9.140625" style="569"/>
    <col min="10508" max="10508" width="13.42578125" style="569" bestFit="1" customWidth="1"/>
    <col min="10509" max="10509" width="9" style="569" bestFit="1" customWidth="1"/>
    <col min="10510" max="10752" width="9.140625" style="569"/>
    <col min="10753" max="10758" width="12.28515625" style="569" customWidth="1"/>
    <col min="10759" max="10759" width="12.42578125" style="569" customWidth="1"/>
    <col min="10760" max="10760" width="12.7109375" style="569" customWidth="1"/>
    <col min="10761" max="10762" width="12.28515625" style="569" customWidth="1"/>
    <col min="10763" max="10763" width="9.140625" style="569"/>
    <col min="10764" max="10764" width="13.42578125" style="569" bestFit="1" customWidth="1"/>
    <col min="10765" max="10765" width="9" style="569" bestFit="1" customWidth="1"/>
    <col min="10766" max="11008" width="9.140625" style="569"/>
    <col min="11009" max="11014" width="12.28515625" style="569" customWidth="1"/>
    <col min="11015" max="11015" width="12.42578125" style="569" customWidth="1"/>
    <col min="11016" max="11016" width="12.7109375" style="569" customWidth="1"/>
    <col min="11017" max="11018" width="12.28515625" style="569" customWidth="1"/>
    <col min="11019" max="11019" width="9.140625" style="569"/>
    <col min="11020" max="11020" width="13.42578125" style="569" bestFit="1" customWidth="1"/>
    <col min="11021" max="11021" width="9" style="569" bestFit="1" customWidth="1"/>
    <col min="11022" max="11264" width="9.140625" style="569"/>
    <col min="11265" max="11270" width="12.28515625" style="569" customWidth="1"/>
    <col min="11271" max="11271" width="12.42578125" style="569" customWidth="1"/>
    <col min="11272" max="11272" width="12.7109375" style="569" customWidth="1"/>
    <col min="11273" max="11274" width="12.28515625" style="569" customWidth="1"/>
    <col min="11275" max="11275" width="9.140625" style="569"/>
    <col min="11276" max="11276" width="13.42578125" style="569" bestFit="1" customWidth="1"/>
    <col min="11277" max="11277" width="9" style="569" bestFit="1" customWidth="1"/>
    <col min="11278" max="11520" width="9.140625" style="569"/>
    <col min="11521" max="11526" width="12.28515625" style="569" customWidth="1"/>
    <col min="11527" max="11527" width="12.42578125" style="569" customWidth="1"/>
    <col min="11528" max="11528" width="12.7109375" style="569" customWidth="1"/>
    <col min="11529" max="11530" width="12.28515625" style="569" customWidth="1"/>
    <col min="11531" max="11531" width="9.140625" style="569"/>
    <col min="11532" max="11532" width="13.42578125" style="569" bestFit="1" customWidth="1"/>
    <col min="11533" max="11533" width="9" style="569" bestFit="1" customWidth="1"/>
    <col min="11534" max="11776" width="9.140625" style="569"/>
    <col min="11777" max="11782" width="12.28515625" style="569" customWidth="1"/>
    <col min="11783" max="11783" width="12.42578125" style="569" customWidth="1"/>
    <col min="11784" max="11784" width="12.7109375" style="569" customWidth="1"/>
    <col min="11785" max="11786" width="12.28515625" style="569" customWidth="1"/>
    <col min="11787" max="11787" width="9.140625" style="569"/>
    <col min="11788" max="11788" width="13.42578125" style="569" bestFit="1" customWidth="1"/>
    <col min="11789" max="11789" width="9" style="569" bestFit="1" customWidth="1"/>
    <col min="11790" max="12032" width="9.140625" style="569"/>
    <col min="12033" max="12038" width="12.28515625" style="569" customWidth="1"/>
    <col min="12039" max="12039" width="12.42578125" style="569" customWidth="1"/>
    <col min="12040" max="12040" width="12.7109375" style="569" customWidth="1"/>
    <col min="12041" max="12042" width="12.28515625" style="569" customWidth="1"/>
    <col min="12043" max="12043" width="9.140625" style="569"/>
    <col min="12044" max="12044" width="13.42578125" style="569" bestFit="1" customWidth="1"/>
    <col min="12045" max="12045" width="9" style="569" bestFit="1" customWidth="1"/>
    <col min="12046" max="12288" width="9.140625" style="569"/>
    <col min="12289" max="12294" width="12.28515625" style="569" customWidth="1"/>
    <col min="12295" max="12295" width="12.42578125" style="569" customWidth="1"/>
    <col min="12296" max="12296" width="12.7109375" style="569" customWidth="1"/>
    <col min="12297" max="12298" width="12.28515625" style="569" customWidth="1"/>
    <col min="12299" max="12299" width="9.140625" style="569"/>
    <col min="12300" max="12300" width="13.42578125" style="569" bestFit="1" customWidth="1"/>
    <col min="12301" max="12301" width="9" style="569" bestFit="1" customWidth="1"/>
    <col min="12302" max="12544" width="9.140625" style="569"/>
    <col min="12545" max="12550" width="12.28515625" style="569" customWidth="1"/>
    <col min="12551" max="12551" width="12.42578125" style="569" customWidth="1"/>
    <col min="12552" max="12552" width="12.7109375" style="569" customWidth="1"/>
    <col min="12553" max="12554" width="12.28515625" style="569" customWidth="1"/>
    <col min="12555" max="12555" width="9.140625" style="569"/>
    <col min="12556" max="12556" width="13.42578125" style="569" bestFit="1" customWidth="1"/>
    <col min="12557" max="12557" width="9" style="569" bestFit="1" customWidth="1"/>
    <col min="12558" max="12800" width="9.140625" style="569"/>
    <col min="12801" max="12806" width="12.28515625" style="569" customWidth="1"/>
    <col min="12807" max="12807" width="12.42578125" style="569" customWidth="1"/>
    <col min="12808" max="12808" width="12.7109375" style="569" customWidth="1"/>
    <col min="12809" max="12810" width="12.28515625" style="569" customWidth="1"/>
    <col min="12811" max="12811" width="9.140625" style="569"/>
    <col min="12812" max="12812" width="13.42578125" style="569" bestFit="1" customWidth="1"/>
    <col min="12813" max="12813" width="9" style="569" bestFit="1" customWidth="1"/>
    <col min="12814" max="13056" width="9.140625" style="569"/>
    <col min="13057" max="13062" width="12.28515625" style="569" customWidth="1"/>
    <col min="13063" max="13063" width="12.42578125" style="569" customWidth="1"/>
    <col min="13064" max="13064" width="12.7109375" style="569" customWidth="1"/>
    <col min="13065" max="13066" width="12.28515625" style="569" customWidth="1"/>
    <col min="13067" max="13067" width="9.140625" style="569"/>
    <col min="13068" max="13068" width="13.42578125" style="569" bestFit="1" customWidth="1"/>
    <col min="13069" max="13069" width="9" style="569" bestFit="1" customWidth="1"/>
    <col min="13070" max="13312" width="9.140625" style="569"/>
    <col min="13313" max="13318" width="12.28515625" style="569" customWidth="1"/>
    <col min="13319" max="13319" width="12.42578125" style="569" customWidth="1"/>
    <col min="13320" max="13320" width="12.7109375" style="569" customWidth="1"/>
    <col min="13321" max="13322" width="12.28515625" style="569" customWidth="1"/>
    <col min="13323" max="13323" width="9.140625" style="569"/>
    <col min="13324" max="13324" width="13.42578125" style="569" bestFit="1" customWidth="1"/>
    <col min="13325" max="13325" width="9" style="569" bestFit="1" customWidth="1"/>
    <col min="13326" max="13568" width="9.140625" style="569"/>
    <col min="13569" max="13574" width="12.28515625" style="569" customWidth="1"/>
    <col min="13575" max="13575" width="12.42578125" style="569" customWidth="1"/>
    <col min="13576" max="13576" width="12.7109375" style="569" customWidth="1"/>
    <col min="13577" max="13578" width="12.28515625" style="569" customWidth="1"/>
    <col min="13579" max="13579" width="9.140625" style="569"/>
    <col min="13580" max="13580" width="13.42578125" style="569" bestFit="1" customWidth="1"/>
    <col min="13581" max="13581" width="9" style="569" bestFit="1" customWidth="1"/>
    <col min="13582" max="13824" width="9.140625" style="569"/>
    <col min="13825" max="13830" width="12.28515625" style="569" customWidth="1"/>
    <col min="13831" max="13831" width="12.42578125" style="569" customWidth="1"/>
    <col min="13832" max="13832" width="12.7109375" style="569" customWidth="1"/>
    <col min="13833" max="13834" width="12.28515625" style="569" customWidth="1"/>
    <col min="13835" max="13835" width="9.140625" style="569"/>
    <col min="13836" max="13836" width="13.42578125" style="569" bestFit="1" customWidth="1"/>
    <col min="13837" max="13837" width="9" style="569" bestFit="1" customWidth="1"/>
    <col min="13838" max="14080" width="9.140625" style="569"/>
    <col min="14081" max="14086" width="12.28515625" style="569" customWidth="1"/>
    <col min="14087" max="14087" width="12.42578125" style="569" customWidth="1"/>
    <col min="14088" max="14088" width="12.7109375" style="569" customWidth="1"/>
    <col min="14089" max="14090" width="12.28515625" style="569" customWidth="1"/>
    <col min="14091" max="14091" width="9.140625" style="569"/>
    <col min="14092" max="14092" width="13.42578125" style="569" bestFit="1" customWidth="1"/>
    <col min="14093" max="14093" width="9" style="569" bestFit="1" customWidth="1"/>
    <col min="14094" max="14336" width="9.140625" style="569"/>
    <col min="14337" max="14342" width="12.28515625" style="569" customWidth="1"/>
    <col min="14343" max="14343" width="12.42578125" style="569" customWidth="1"/>
    <col min="14344" max="14344" width="12.7109375" style="569" customWidth="1"/>
    <col min="14345" max="14346" width="12.28515625" style="569" customWidth="1"/>
    <col min="14347" max="14347" width="9.140625" style="569"/>
    <col min="14348" max="14348" width="13.42578125" style="569" bestFit="1" customWidth="1"/>
    <col min="14349" max="14349" width="9" style="569" bestFit="1" customWidth="1"/>
    <col min="14350" max="14592" width="9.140625" style="569"/>
    <col min="14593" max="14598" width="12.28515625" style="569" customWidth="1"/>
    <col min="14599" max="14599" width="12.42578125" style="569" customWidth="1"/>
    <col min="14600" max="14600" width="12.7109375" style="569" customWidth="1"/>
    <col min="14601" max="14602" width="12.28515625" style="569" customWidth="1"/>
    <col min="14603" max="14603" width="9.140625" style="569"/>
    <col min="14604" max="14604" width="13.42578125" style="569" bestFit="1" customWidth="1"/>
    <col min="14605" max="14605" width="9" style="569" bestFit="1" customWidth="1"/>
    <col min="14606" max="14848" width="9.140625" style="569"/>
    <col min="14849" max="14854" width="12.28515625" style="569" customWidth="1"/>
    <col min="14855" max="14855" width="12.42578125" style="569" customWidth="1"/>
    <col min="14856" max="14856" width="12.7109375" style="569" customWidth="1"/>
    <col min="14857" max="14858" width="12.28515625" style="569" customWidth="1"/>
    <col min="14859" max="14859" width="9.140625" style="569"/>
    <col min="14860" max="14860" width="13.42578125" style="569" bestFit="1" customWidth="1"/>
    <col min="14861" max="14861" width="9" style="569" bestFit="1" customWidth="1"/>
    <col min="14862" max="15104" width="9.140625" style="569"/>
    <col min="15105" max="15110" width="12.28515625" style="569" customWidth="1"/>
    <col min="15111" max="15111" width="12.42578125" style="569" customWidth="1"/>
    <col min="15112" max="15112" width="12.7109375" style="569" customWidth="1"/>
    <col min="15113" max="15114" width="12.28515625" style="569" customWidth="1"/>
    <col min="15115" max="15115" width="9.140625" style="569"/>
    <col min="15116" max="15116" width="13.42578125" style="569" bestFit="1" customWidth="1"/>
    <col min="15117" max="15117" width="9" style="569" bestFit="1" customWidth="1"/>
    <col min="15118" max="15360" width="9.140625" style="569"/>
    <col min="15361" max="15366" width="12.28515625" style="569" customWidth="1"/>
    <col min="15367" max="15367" width="12.42578125" style="569" customWidth="1"/>
    <col min="15368" max="15368" width="12.7109375" style="569" customWidth="1"/>
    <col min="15369" max="15370" width="12.28515625" style="569" customWidth="1"/>
    <col min="15371" max="15371" width="9.140625" style="569"/>
    <col min="15372" max="15372" width="13.42578125" style="569" bestFit="1" customWidth="1"/>
    <col min="15373" max="15373" width="9" style="569" bestFit="1" customWidth="1"/>
    <col min="15374" max="15616" width="9.140625" style="569"/>
    <col min="15617" max="15622" width="12.28515625" style="569" customWidth="1"/>
    <col min="15623" max="15623" width="12.42578125" style="569" customWidth="1"/>
    <col min="15624" max="15624" width="12.7109375" style="569" customWidth="1"/>
    <col min="15625" max="15626" width="12.28515625" style="569" customWidth="1"/>
    <col min="15627" max="15627" width="9.140625" style="569"/>
    <col min="15628" max="15628" width="13.42578125" style="569" bestFit="1" customWidth="1"/>
    <col min="15629" max="15629" width="9" style="569" bestFit="1" customWidth="1"/>
    <col min="15630" max="15872" width="9.140625" style="569"/>
    <col min="15873" max="15878" width="12.28515625" style="569" customWidth="1"/>
    <col min="15879" max="15879" width="12.42578125" style="569" customWidth="1"/>
    <col min="15880" max="15880" width="12.7109375" style="569" customWidth="1"/>
    <col min="15881" max="15882" width="12.28515625" style="569" customWidth="1"/>
    <col min="15883" max="15883" width="9.140625" style="569"/>
    <col min="15884" max="15884" width="13.42578125" style="569" bestFit="1" customWidth="1"/>
    <col min="15885" max="15885" width="9" style="569" bestFit="1" customWidth="1"/>
    <col min="15886" max="16128" width="9.140625" style="569"/>
    <col min="16129" max="16134" width="12.28515625" style="569" customWidth="1"/>
    <col min="16135" max="16135" width="12.42578125" style="569" customWidth="1"/>
    <col min="16136" max="16136" width="12.7109375" style="569" customWidth="1"/>
    <col min="16137" max="16138" width="12.28515625" style="569" customWidth="1"/>
    <col min="16139" max="16139" width="9.140625" style="569"/>
    <col min="16140" max="16140" width="13.42578125" style="569" bestFit="1" customWidth="1"/>
    <col min="16141" max="16141" width="9" style="569" bestFit="1" customWidth="1"/>
    <col min="16142" max="16384" width="9.140625" style="569"/>
  </cols>
  <sheetData>
    <row r="1" spans="1:10" ht="18.75">
      <c r="A1" s="628" t="s">
        <v>167</v>
      </c>
      <c r="B1" s="629"/>
      <c r="C1" s="629"/>
      <c r="D1" s="629"/>
      <c r="E1" s="629"/>
      <c r="F1" s="629"/>
      <c r="G1" s="629"/>
      <c r="H1" s="629"/>
      <c r="I1" s="630" t="s">
        <v>0</v>
      </c>
      <c r="J1" s="630" t="s">
        <v>204</v>
      </c>
    </row>
    <row r="2" spans="1:10" ht="18.75">
      <c r="A2" s="628" t="s">
        <v>173</v>
      </c>
      <c r="B2" s="629"/>
      <c r="C2" s="629"/>
      <c r="D2" s="629"/>
      <c r="E2" s="629"/>
      <c r="F2" s="629"/>
      <c r="G2" s="629"/>
      <c r="H2" s="629"/>
      <c r="I2" s="629"/>
      <c r="J2" s="631" t="s">
        <v>205</v>
      </c>
    </row>
    <row r="3" spans="1:10" ht="15" customHeight="1" thickBot="1">
      <c r="A3" s="632" t="s">
        <v>1</v>
      </c>
      <c r="B3" s="633" t="s">
        <v>818</v>
      </c>
      <c r="C3" s="634"/>
      <c r="D3" s="632"/>
      <c r="E3" s="634"/>
      <c r="F3" s="634"/>
      <c r="G3" s="632" t="s">
        <v>2</v>
      </c>
      <c r="H3" s="635">
        <v>45392</v>
      </c>
      <c r="I3" s="632" t="s">
        <v>3</v>
      </c>
      <c r="J3" s="636">
        <v>0.35114583333333332</v>
      </c>
    </row>
    <row r="4" spans="1:10" ht="15" customHeight="1" thickBot="1">
      <c r="A4" s="637" t="s">
        <v>4</v>
      </c>
      <c r="B4" s="637" t="s">
        <v>171</v>
      </c>
      <c r="C4" s="637" t="s">
        <v>5</v>
      </c>
      <c r="D4" s="637" t="s">
        <v>172</v>
      </c>
      <c r="E4" s="638" t="s">
        <v>6</v>
      </c>
      <c r="F4" s="637" t="s">
        <v>7</v>
      </c>
      <c r="G4" s="637" t="s">
        <v>175</v>
      </c>
      <c r="H4" s="637" t="s">
        <v>8</v>
      </c>
      <c r="I4" s="637" t="s">
        <v>9</v>
      </c>
      <c r="J4" s="637" t="s">
        <v>10</v>
      </c>
    </row>
    <row r="5" spans="1:10" ht="15" customHeight="1" thickBot="1">
      <c r="A5" s="639">
        <v>4</v>
      </c>
      <c r="B5" s="640">
        <v>4000</v>
      </c>
      <c r="C5" s="641">
        <v>1800</v>
      </c>
      <c r="D5" s="639" t="s">
        <v>176</v>
      </c>
      <c r="E5" s="642">
        <v>3200</v>
      </c>
      <c r="F5" s="641">
        <v>60</v>
      </c>
      <c r="G5" s="639">
        <v>105</v>
      </c>
      <c r="H5" s="643" t="s">
        <v>819</v>
      </c>
      <c r="I5" s="644" t="s">
        <v>820</v>
      </c>
      <c r="J5" s="639" t="s">
        <v>177</v>
      </c>
    </row>
    <row r="6" spans="1:10" ht="15" customHeight="1" thickBot="1">
      <c r="A6" s="645" t="s">
        <v>11</v>
      </c>
      <c r="B6" s="646"/>
      <c r="C6" s="647"/>
      <c r="D6" s="648" t="s">
        <v>12</v>
      </c>
      <c r="E6" s="649"/>
      <c r="F6" s="650"/>
      <c r="G6" s="651"/>
      <c r="H6" s="652" t="s">
        <v>13</v>
      </c>
      <c r="I6" s="653"/>
      <c r="J6" s="654"/>
    </row>
    <row r="7" spans="1:10" ht="15" customHeight="1" thickBot="1">
      <c r="A7" s="655"/>
      <c r="B7" s="656" t="s">
        <v>14</v>
      </c>
      <c r="C7" s="657" t="s">
        <v>15</v>
      </c>
      <c r="D7" s="655"/>
      <c r="E7" s="658"/>
      <c r="F7" s="656" t="s">
        <v>16</v>
      </c>
      <c r="G7" s="657" t="s">
        <v>17</v>
      </c>
      <c r="H7" s="659" t="s">
        <v>18</v>
      </c>
      <c r="I7" s="660">
        <v>23.125593055555555</v>
      </c>
      <c r="J7" s="661" t="s">
        <v>19</v>
      </c>
    </row>
    <row r="8" spans="1:10" ht="15" customHeight="1">
      <c r="A8" s="659" t="s">
        <v>20</v>
      </c>
      <c r="B8" s="662">
        <v>3.309999942779541</v>
      </c>
      <c r="C8" s="663"/>
      <c r="D8" s="664"/>
      <c r="E8" s="665"/>
      <c r="F8" s="656"/>
      <c r="G8" s="657"/>
      <c r="H8" s="659" t="s">
        <v>21</v>
      </c>
      <c r="I8" s="660">
        <v>28.349058182060801</v>
      </c>
      <c r="J8" s="666" t="s">
        <v>22</v>
      </c>
    </row>
    <row r="9" spans="1:10" ht="15" customHeight="1" thickBot="1">
      <c r="A9" s="659" t="s">
        <v>23</v>
      </c>
      <c r="B9" s="662">
        <v>0.93000000715255737</v>
      </c>
      <c r="C9" s="663"/>
      <c r="D9" s="659" t="s">
        <v>24</v>
      </c>
      <c r="E9" s="667" t="s">
        <v>184</v>
      </c>
      <c r="F9" s="668" t="s">
        <v>25</v>
      </c>
      <c r="G9" s="669"/>
      <c r="H9" s="659" t="s">
        <v>26</v>
      </c>
      <c r="I9" s="662">
        <v>25.737325618808178</v>
      </c>
      <c r="J9" s="670">
        <v>949.89870396449714</v>
      </c>
    </row>
    <row r="10" spans="1:10" ht="15" customHeight="1">
      <c r="A10" s="659" t="s">
        <v>27</v>
      </c>
      <c r="B10" s="662">
        <v>1110</v>
      </c>
      <c r="C10" s="671">
        <v>1110</v>
      </c>
      <c r="D10" s="664"/>
      <c r="E10" s="665"/>
      <c r="F10" s="672" t="s">
        <v>199</v>
      </c>
      <c r="G10" s="673" t="s">
        <v>200</v>
      </c>
      <c r="H10" s="659" t="s">
        <v>28</v>
      </c>
      <c r="I10" s="660">
        <v>15.409848104495472</v>
      </c>
      <c r="J10" s="666" t="s">
        <v>29</v>
      </c>
    </row>
    <row r="11" spans="1:10" ht="15" customHeight="1" thickBot="1">
      <c r="A11" s="659" t="s">
        <v>30</v>
      </c>
      <c r="B11" s="662">
        <v>815</v>
      </c>
      <c r="C11" s="671">
        <v>523.38000011444092</v>
      </c>
      <c r="D11" s="659" t="s">
        <v>31</v>
      </c>
      <c r="E11" s="660">
        <v>0.83324999999999994</v>
      </c>
      <c r="F11" s="674"/>
      <c r="G11" s="675"/>
      <c r="H11" s="659" t="s">
        <v>32</v>
      </c>
      <c r="I11" s="660">
        <v>27.246162587611465</v>
      </c>
      <c r="J11" s="670">
        <v>153933.23142367526</v>
      </c>
    </row>
    <row r="12" spans="1:10" ht="15" customHeight="1">
      <c r="A12" s="659" t="s">
        <v>33</v>
      </c>
      <c r="B12" s="662">
        <v>530</v>
      </c>
      <c r="C12" s="671">
        <v>300</v>
      </c>
      <c r="D12" s="659" t="s">
        <v>34</v>
      </c>
      <c r="E12" s="676" t="s">
        <v>174</v>
      </c>
      <c r="F12" s="677" t="s">
        <v>192</v>
      </c>
      <c r="G12" s="678" t="s">
        <v>191</v>
      </c>
      <c r="H12" s="659" t="s">
        <v>35</v>
      </c>
      <c r="I12" s="660">
        <v>1.500702206714756</v>
      </c>
      <c r="J12" s="666" t="s">
        <v>36</v>
      </c>
    </row>
    <row r="13" spans="1:10" ht="15" customHeight="1" thickBot="1">
      <c r="A13" s="659" t="s">
        <v>37</v>
      </c>
      <c r="B13" s="662">
        <v>66.5</v>
      </c>
      <c r="C13" s="671">
        <v>71.140000820159912</v>
      </c>
      <c r="D13" s="659" t="s">
        <v>38</v>
      </c>
      <c r="E13" s="679">
        <v>16</v>
      </c>
      <c r="F13" s="677"/>
      <c r="G13" s="678" t="s">
        <v>193</v>
      </c>
      <c r="H13" s="659" t="s">
        <v>40</v>
      </c>
      <c r="I13" s="660">
        <v>1.0404789331673008</v>
      </c>
      <c r="J13" s="670">
        <v>617.3714599609375</v>
      </c>
    </row>
    <row r="14" spans="1:10" ht="15" customHeight="1" thickBot="1">
      <c r="A14" s="680" t="s">
        <v>41</v>
      </c>
      <c r="B14" s="681">
        <v>881.6400146484375</v>
      </c>
      <c r="C14" s="682">
        <v>881.6400146484375</v>
      </c>
      <c r="D14" s="659" t="s">
        <v>42</v>
      </c>
      <c r="E14" s="665" t="s">
        <v>185</v>
      </c>
      <c r="F14" s="665" t="s">
        <v>195</v>
      </c>
      <c r="G14" s="678" t="s">
        <v>194</v>
      </c>
      <c r="H14" s="632" t="s">
        <v>43</v>
      </c>
      <c r="I14" s="660">
        <v>1.5614490310443834</v>
      </c>
      <c r="J14" s="666" t="s">
        <v>44</v>
      </c>
    </row>
    <row r="15" spans="1:10" ht="15" customHeight="1" thickBot="1">
      <c r="A15" s="683" t="s">
        <v>45</v>
      </c>
      <c r="B15" s="684"/>
      <c r="C15" s="685"/>
      <c r="D15" s="659" t="s">
        <v>46</v>
      </c>
      <c r="E15" s="665" t="s">
        <v>186</v>
      </c>
      <c r="F15" s="665"/>
      <c r="G15" s="678"/>
      <c r="H15" s="659" t="s">
        <v>47</v>
      </c>
      <c r="I15" s="660">
        <v>0.96589165240170005</v>
      </c>
      <c r="J15" s="670">
        <v>38.491147359212242</v>
      </c>
    </row>
    <row r="16" spans="1:10" ht="15" customHeight="1">
      <c r="A16" s="659" t="s">
        <v>48</v>
      </c>
      <c r="B16" s="665">
        <v>72</v>
      </c>
      <c r="C16" s="663">
        <v>58</v>
      </c>
      <c r="D16" s="659" t="s">
        <v>49</v>
      </c>
      <c r="E16" s="665">
        <v>4</v>
      </c>
      <c r="F16" s="665"/>
      <c r="G16" s="678"/>
      <c r="H16" s="659" t="s">
        <v>50</v>
      </c>
      <c r="I16" s="660">
        <v>0.95596950205867326</v>
      </c>
      <c r="J16" s="686" t="s">
        <v>51</v>
      </c>
    </row>
    <row r="17" spans="1:16" ht="15" customHeight="1" thickBot="1">
      <c r="A17" s="659" t="s">
        <v>52</v>
      </c>
      <c r="B17" s="665" t="s">
        <v>178</v>
      </c>
      <c r="C17" s="663" t="s">
        <v>179</v>
      </c>
      <c r="D17" s="632" t="s">
        <v>53</v>
      </c>
      <c r="E17" s="665" t="s">
        <v>187</v>
      </c>
      <c r="F17" s="665"/>
      <c r="G17" s="678"/>
      <c r="H17" s="659" t="s">
        <v>54</v>
      </c>
      <c r="I17" s="660">
        <v>0.9233629619890823</v>
      </c>
      <c r="J17" s="670">
        <v>1067.8583826633997</v>
      </c>
    </row>
    <row r="18" spans="1:16" ht="15" customHeight="1">
      <c r="A18" s="659" t="s">
        <v>55</v>
      </c>
      <c r="B18" s="665" t="s">
        <v>174</v>
      </c>
      <c r="C18" s="671">
        <v>0</v>
      </c>
      <c r="D18" s="659" t="s">
        <v>56</v>
      </c>
      <c r="E18" s="687">
        <v>1792</v>
      </c>
      <c r="F18" s="679">
        <v>1286</v>
      </c>
      <c r="G18" s="688"/>
      <c r="H18" s="683" t="s">
        <v>57</v>
      </c>
      <c r="I18" s="689" t="s">
        <v>201</v>
      </c>
      <c r="J18" s="690"/>
    </row>
    <row r="19" spans="1:16" ht="15" customHeight="1">
      <c r="A19" s="659" t="s">
        <v>58</v>
      </c>
      <c r="B19" s="662">
        <v>76</v>
      </c>
      <c r="C19" s="671">
        <v>40.549999237060547</v>
      </c>
      <c r="D19" s="659" t="s">
        <v>59</v>
      </c>
      <c r="E19" s="679">
        <v>96</v>
      </c>
      <c r="F19" s="665"/>
      <c r="G19" s="663"/>
      <c r="H19" s="691"/>
      <c r="I19" s="656" t="s">
        <v>60</v>
      </c>
      <c r="J19" s="692" t="s">
        <v>61</v>
      </c>
    </row>
    <row r="20" spans="1:16" ht="15" customHeight="1">
      <c r="A20" s="659" t="s">
        <v>62</v>
      </c>
      <c r="B20" s="662" t="s">
        <v>180</v>
      </c>
      <c r="C20" s="671">
        <v>12.050000190734863</v>
      </c>
      <c r="D20" s="659" t="s">
        <v>166</v>
      </c>
      <c r="E20" s="693">
        <v>2.1616559158385198E-2</v>
      </c>
      <c r="F20" s="665"/>
      <c r="G20" s="663"/>
      <c r="H20" s="659" t="s">
        <v>63</v>
      </c>
      <c r="I20" s="660">
        <v>14.760526657104492</v>
      </c>
      <c r="J20" s="694">
        <v>14.760526657104492</v>
      </c>
    </row>
    <row r="21" spans="1:16" ht="15" customHeight="1">
      <c r="A21" s="659" t="s">
        <v>64</v>
      </c>
      <c r="B21" s="662">
        <v>15.199999809265137</v>
      </c>
      <c r="C21" s="671">
        <v>5</v>
      </c>
      <c r="D21" s="659" t="s">
        <v>188</v>
      </c>
      <c r="E21" s="695">
        <v>2.8836235105193612E-2</v>
      </c>
      <c r="F21" s="695">
        <v>2.9191918671131134E-2</v>
      </c>
      <c r="G21" s="696">
        <v>2.6723179143394427E-3</v>
      </c>
      <c r="H21" s="659" t="s">
        <v>65</v>
      </c>
      <c r="I21" s="660">
        <v>20.271383285522461</v>
      </c>
      <c r="J21" s="694">
        <v>14.808235168457031</v>
      </c>
    </row>
    <row r="22" spans="1:16" ht="15" customHeight="1">
      <c r="A22" s="659" t="s">
        <v>66</v>
      </c>
      <c r="B22" s="662">
        <v>3.6500000953674316</v>
      </c>
      <c r="C22" s="671">
        <v>5.5</v>
      </c>
      <c r="D22" s="659" t="s">
        <v>67</v>
      </c>
      <c r="E22" s="665" t="s">
        <v>189</v>
      </c>
      <c r="F22" s="665" t="s">
        <v>190</v>
      </c>
      <c r="G22" s="663" t="s">
        <v>190</v>
      </c>
      <c r="H22" s="659" t="s">
        <v>68</v>
      </c>
      <c r="I22" s="660">
        <v>4.4184255599975586</v>
      </c>
      <c r="J22" s="694">
        <v>4.0861725807189941</v>
      </c>
    </row>
    <row r="23" spans="1:16" ht="15" customHeight="1">
      <c r="A23" s="659" t="s">
        <v>69</v>
      </c>
      <c r="B23" s="662">
        <v>7.925593376159668</v>
      </c>
      <c r="C23" s="671">
        <v>11.912208557128906</v>
      </c>
      <c r="D23" s="659" t="s">
        <v>70</v>
      </c>
      <c r="E23" s="660">
        <v>1.7419999837875366</v>
      </c>
      <c r="F23" s="660">
        <v>1.7239999771118164</v>
      </c>
      <c r="G23" s="694">
        <v>1.7239999771118164</v>
      </c>
      <c r="H23" s="659" t="s">
        <v>71</v>
      </c>
      <c r="I23" s="660">
        <v>9.2659512224999077</v>
      </c>
      <c r="J23" s="657" t="s">
        <v>202</v>
      </c>
    </row>
    <row r="24" spans="1:16" ht="15" customHeight="1">
      <c r="A24" s="659" t="s">
        <v>72</v>
      </c>
      <c r="B24" s="662">
        <v>0</v>
      </c>
      <c r="C24" s="671">
        <v>0.80000001192092896</v>
      </c>
      <c r="D24" s="659" t="s">
        <v>73</v>
      </c>
      <c r="E24" s="660">
        <v>8.8900003433227539</v>
      </c>
      <c r="F24" s="660">
        <v>8.8900003433227539</v>
      </c>
      <c r="G24" s="694">
        <v>8.8900003433227539</v>
      </c>
      <c r="H24" s="659" t="s">
        <v>74</v>
      </c>
      <c r="I24" s="660">
        <v>3.2736440920171521</v>
      </c>
      <c r="J24" s="694">
        <v>3.0867549686376785</v>
      </c>
    </row>
    <row r="25" spans="1:16" ht="15" customHeight="1">
      <c r="A25" s="659" t="s">
        <v>75</v>
      </c>
      <c r="B25" s="665" t="s">
        <v>174</v>
      </c>
      <c r="C25" s="671">
        <v>0.80000001192092896</v>
      </c>
      <c r="D25" s="697" t="s">
        <v>76</v>
      </c>
      <c r="E25" s="667"/>
      <c r="F25" s="667"/>
      <c r="G25" s="698"/>
      <c r="H25" s="659" t="s">
        <v>77</v>
      </c>
      <c r="I25" s="660">
        <v>6.0700472444295883E-2</v>
      </c>
      <c r="J25" s="694">
        <v>0.13462261855602264</v>
      </c>
    </row>
    <row r="26" spans="1:16" ht="15" customHeight="1">
      <c r="A26" s="659" t="s">
        <v>78</v>
      </c>
      <c r="B26" s="667" t="s">
        <v>181</v>
      </c>
      <c r="C26" s="698" t="s">
        <v>182</v>
      </c>
      <c r="D26" s="659" t="s">
        <v>79</v>
      </c>
      <c r="E26" s="662">
        <v>299.08932282827942</v>
      </c>
      <c r="F26" s="662">
        <v>294.73871578250885</v>
      </c>
      <c r="G26" s="671">
        <v>99.984177484690463</v>
      </c>
      <c r="H26" s="659" t="s">
        <v>80</v>
      </c>
      <c r="I26" s="660">
        <v>0.99354398250579834</v>
      </c>
      <c r="J26" s="694">
        <v>0.87808763980865479</v>
      </c>
    </row>
    <row r="27" spans="1:16" ht="15" customHeight="1" thickBot="1">
      <c r="A27" s="659" t="s">
        <v>81</v>
      </c>
      <c r="B27" s="665" t="s">
        <v>183</v>
      </c>
      <c r="C27" s="663" t="s">
        <v>183</v>
      </c>
      <c r="D27" s="699" t="s">
        <v>82</v>
      </c>
      <c r="E27" s="700">
        <v>336.97800767327698</v>
      </c>
      <c r="F27" s="700" t="s">
        <v>174</v>
      </c>
      <c r="G27" s="701" t="s">
        <v>174</v>
      </c>
      <c r="H27" s="699" t="s">
        <v>83</v>
      </c>
      <c r="I27" s="702">
        <v>0.99539649486541748</v>
      </c>
      <c r="J27" s="703">
        <v>0.88834744691848755</v>
      </c>
    </row>
    <row r="28" spans="1:16" ht="15" customHeight="1">
      <c r="A28" s="664" t="s">
        <v>84</v>
      </c>
      <c r="B28" s="634"/>
      <c r="C28" s="704"/>
      <c r="D28" s="683" t="s">
        <v>85</v>
      </c>
      <c r="E28" s="705"/>
      <c r="F28" s="706"/>
      <c r="G28" s="707"/>
      <c r="H28" s="651"/>
      <c r="I28" s="708" t="s">
        <v>86</v>
      </c>
      <c r="J28" s="651"/>
    </row>
    <row r="29" spans="1:16" ht="15" customHeight="1">
      <c r="A29" s="709"/>
      <c r="B29" s="710" t="s">
        <v>87</v>
      </c>
      <c r="C29" s="711">
        <v>35.000967785669218</v>
      </c>
      <c r="D29" s="709"/>
      <c r="E29" s="656" t="s">
        <v>88</v>
      </c>
      <c r="F29" s="656" t="s">
        <v>89</v>
      </c>
      <c r="G29" s="656" t="s">
        <v>90</v>
      </c>
      <c r="H29" s="657" t="s">
        <v>91</v>
      </c>
      <c r="I29" s="656" t="s">
        <v>92</v>
      </c>
      <c r="J29" s="657" t="s">
        <v>93</v>
      </c>
      <c r="M29" s="712" t="str">
        <f>RIGHT(F$41,SEARCH("/",F$41,1)-1)</f>
        <v xml:space="preserve"> 1777.9</v>
      </c>
      <c r="N29" s="569" t="s">
        <v>821</v>
      </c>
      <c r="P29" s="656" t="s">
        <v>822</v>
      </c>
    </row>
    <row r="30" spans="1:16" ht="15" customHeight="1" thickBot="1">
      <c r="A30" s="713"/>
      <c r="B30" s="714" t="s">
        <v>94</v>
      </c>
      <c r="C30" s="715">
        <v>35.035971137034089</v>
      </c>
      <c r="D30" s="659" t="s">
        <v>95</v>
      </c>
      <c r="E30" s="716">
        <v>32.004948124999999</v>
      </c>
      <c r="F30" s="716">
        <v>1172.5812194824218</v>
      </c>
      <c r="G30" s="716">
        <v>13.344774891733367</v>
      </c>
      <c r="H30" s="717">
        <v>252.46864136275619</v>
      </c>
      <c r="I30" s="679">
        <v>137865.07104176827</v>
      </c>
      <c r="J30" s="688">
        <v>7805.8897926545587</v>
      </c>
      <c r="M30" s="712" t="str">
        <f>RIGHT(E$41,SEARCH("/",E$41,1)-1)</f>
        <v xml:space="preserve"> 1783.1</v>
      </c>
      <c r="N30" s="569" t="s">
        <v>823</v>
      </c>
      <c r="P30" s="718">
        <f>G30*6.4516</f>
        <v>86.09514969150699</v>
      </c>
    </row>
    <row r="31" spans="1:16" ht="15" customHeight="1">
      <c r="A31" s="645" t="s">
        <v>96</v>
      </c>
      <c r="B31" s="719"/>
      <c r="C31" s="720"/>
      <c r="D31" s="659" t="s">
        <v>97</v>
      </c>
      <c r="E31" s="716">
        <v>7.6000000000000005</v>
      </c>
      <c r="F31" s="716">
        <v>1257.7536468458945</v>
      </c>
      <c r="G31" s="716">
        <v>12.441094848349389</v>
      </c>
      <c r="H31" s="717">
        <v>47.810284989557047</v>
      </c>
      <c r="I31" s="679">
        <v>38235.710864115194</v>
      </c>
      <c r="J31" s="688">
        <v>1932.4311985105824</v>
      </c>
      <c r="M31" s="712" t="str">
        <f>RIGHT(D$41,SEARCH("/",D$41,1)-1)</f>
        <v xml:space="preserve"> 1788.1</v>
      </c>
      <c r="N31" s="569" t="s">
        <v>824</v>
      </c>
      <c r="P31" s="718">
        <f>G31*6.4516</f>
        <v>80.26496752361092</v>
      </c>
    </row>
    <row r="32" spans="1:16" ht="15" customHeight="1">
      <c r="A32" s="664" t="s">
        <v>98</v>
      </c>
      <c r="B32" s="660" t="s">
        <v>825</v>
      </c>
      <c r="C32" s="721"/>
      <c r="D32" s="659" t="s">
        <v>99</v>
      </c>
      <c r="E32" s="716">
        <v>17.368280379415154</v>
      </c>
      <c r="F32" s="716">
        <v>1254.3974273035128</v>
      </c>
      <c r="G32" s="716">
        <v>12.474381783374767</v>
      </c>
      <c r="H32" s="717">
        <v>110.20744251657297</v>
      </c>
      <c r="I32" s="722" t="s">
        <v>100</v>
      </c>
      <c r="J32" s="688">
        <v>9738.3209911651411</v>
      </c>
      <c r="M32" s="712" t="str">
        <f>RIGHT(C$41,SEARCH("/",C$41,1)-1)</f>
        <v xml:space="preserve"> 1792.7</v>
      </c>
      <c r="N32" s="569" t="s">
        <v>826</v>
      </c>
      <c r="P32" s="718">
        <f>G32*6.4516</f>
        <v>80.479721513620646</v>
      </c>
    </row>
    <row r="33" spans="1:16" ht="15" customHeight="1">
      <c r="A33" s="664" t="s">
        <v>101</v>
      </c>
      <c r="B33" s="660" t="s">
        <v>827</v>
      </c>
      <c r="C33" s="723" t="s">
        <v>102</v>
      </c>
      <c r="D33" s="659" t="s">
        <v>97</v>
      </c>
      <c r="E33" s="716">
        <v>4.0549999237060552</v>
      </c>
      <c r="F33" s="716">
        <v>1522.8305603863439</v>
      </c>
      <c r="G33" s="716">
        <v>10.275491458680236</v>
      </c>
      <c r="H33" s="717">
        <v>14.027569279047688</v>
      </c>
      <c r="I33" s="722" t="s">
        <v>103</v>
      </c>
      <c r="J33" s="671" t="s">
        <v>213</v>
      </c>
      <c r="M33" s="712" t="str">
        <f>RIGHT(B$41,SEARCH("/",B$41,1)-1)</f>
        <v xml:space="preserve"> 1797.0</v>
      </c>
      <c r="N33" s="569" t="s">
        <v>828</v>
      </c>
      <c r="P33" s="718">
        <f>G33*6.4516</f>
        <v>66.293360694821402</v>
      </c>
    </row>
    <row r="34" spans="1:16" ht="15" customHeight="1" thickBot="1">
      <c r="A34" s="724" t="s">
        <v>104</v>
      </c>
      <c r="B34" s="702" t="s">
        <v>829</v>
      </c>
      <c r="C34" s="725">
        <v>15.647832416267113</v>
      </c>
      <c r="D34" s="699" t="s">
        <v>20</v>
      </c>
      <c r="E34" s="726">
        <v>0.33099999427795412</v>
      </c>
      <c r="F34" s="727">
        <v>2527.2366375997531</v>
      </c>
      <c r="G34" s="727">
        <v>6.1916767838284699</v>
      </c>
      <c r="H34" s="728">
        <v>1630.8978733843094</v>
      </c>
      <c r="I34" s="722" t="s">
        <v>105</v>
      </c>
      <c r="J34" s="671">
        <v>6.0500001907348633</v>
      </c>
      <c r="P34" s="718">
        <f>G34*6.4516</f>
        <v>39.946221938547758</v>
      </c>
    </row>
    <row r="35" spans="1:16" ht="15" customHeight="1">
      <c r="A35" s="683" t="s">
        <v>106</v>
      </c>
      <c r="B35" s="650"/>
      <c r="C35" s="650"/>
      <c r="D35" s="729" t="s">
        <v>215</v>
      </c>
      <c r="E35" s="730" t="s">
        <v>830</v>
      </c>
      <c r="F35" s="651"/>
      <c r="G35" s="731" t="s">
        <v>107</v>
      </c>
      <c r="H35" s="732" t="s">
        <v>831</v>
      </c>
      <c r="I35" s="659" t="s">
        <v>108</v>
      </c>
      <c r="J35" s="688" t="s">
        <v>832</v>
      </c>
    </row>
    <row r="36" spans="1:16" ht="15" customHeight="1">
      <c r="A36" s="664" t="s">
        <v>109</v>
      </c>
      <c r="B36" s="656">
        <v>25</v>
      </c>
      <c r="C36" s="656">
        <v>50</v>
      </c>
      <c r="D36" s="656">
        <v>75</v>
      </c>
      <c r="E36" s="656">
        <v>100</v>
      </c>
      <c r="F36" s="657">
        <v>125</v>
      </c>
      <c r="G36" s="659" t="s">
        <v>110</v>
      </c>
      <c r="H36" s="688" t="s">
        <v>833</v>
      </c>
      <c r="I36" s="659" t="s">
        <v>111</v>
      </c>
      <c r="J36" s="688" t="s">
        <v>834</v>
      </c>
    </row>
    <row r="37" spans="1:16" ht="15" customHeight="1" thickBot="1">
      <c r="A37" s="659" t="s">
        <v>112</v>
      </c>
      <c r="B37" s="733" t="s">
        <v>835</v>
      </c>
      <c r="C37" s="733" t="s">
        <v>836</v>
      </c>
      <c r="D37" s="733" t="s">
        <v>837</v>
      </c>
      <c r="E37" s="733" t="s">
        <v>838</v>
      </c>
      <c r="F37" s="734" t="s">
        <v>839</v>
      </c>
      <c r="G37" s="659" t="s">
        <v>113</v>
      </c>
      <c r="H37" s="688" t="s">
        <v>840</v>
      </c>
      <c r="I37" s="699" t="s">
        <v>114</v>
      </c>
      <c r="J37" s="735" t="s">
        <v>841</v>
      </c>
      <c r="O37" s="736"/>
    </row>
    <row r="38" spans="1:16" ht="15" customHeight="1" thickBot="1">
      <c r="A38" s="659" t="s">
        <v>115</v>
      </c>
      <c r="B38" s="737" t="s">
        <v>842</v>
      </c>
      <c r="C38" s="737" t="s">
        <v>843</v>
      </c>
      <c r="D38" s="737" t="s">
        <v>844</v>
      </c>
      <c r="E38" s="737" t="s">
        <v>845</v>
      </c>
      <c r="F38" s="738" t="s">
        <v>846</v>
      </c>
      <c r="G38" s="724" t="s">
        <v>116</v>
      </c>
      <c r="H38" s="735" t="s">
        <v>209</v>
      </c>
      <c r="I38" s="739" t="s">
        <v>216</v>
      </c>
      <c r="J38" s="740">
        <v>45185.4765625</v>
      </c>
      <c r="L38" s="569" t="str">
        <f>LEFT(E38,SEARCH("/",E38,1)-1)</f>
        <v xml:space="preserve">0.970 </v>
      </c>
      <c r="M38" s="569" t="str">
        <f>RIGHT(E38,SEARCH("/",E38,1)-1)</f>
        <v xml:space="preserve"> 0.958</v>
      </c>
      <c r="N38" s="741">
        <f>M38/L38</f>
        <v>0.98762886597938149</v>
      </c>
      <c r="O38" s="736" t="s">
        <v>847</v>
      </c>
    </row>
    <row r="39" spans="1:16" ht="15" customHeight="1">
      <c r="A39" s="659" t="s">
        <v>117</v>
      </c>
      <c r="B39" s="737" t="s">
        <v>848</v>
      </c>
      <c r="C39" s="737" t="s">
        <v>849</v>
      </c>
      <c r="D39" s="737" t="s">
        <v>850</v>
      </c>
      <c r="E39" s="737" t="s">
        <v>851</v>
      </c>
      <c r="F39" s="738" t="s">
        <v>852</v>
      </c>
      <c r="G39" s="683" t="s">
        <v>118</v>
      </c>
      <c r="H39" s="650"/>
      <c r="I39" s="742" t="s">
        <v>119</v>
      </c>
      <c r="J39" s="743" t="s">
        <v>120</v>
      </c>
      <c r="L39" s="569" t="str">
        <f>LEFT(E39,SEARCH("/",E39,1)-1)</f>
        <v xml:space="preserve">0.899 </v>
      </c>
      <c r="M39" s="569" t="str">
        <f>RIGHT(E39,SEARCH("/",E39,1)-1)</f>
        <v xml:space="preserve"> 0.873</v>
      </c>
      <c r="N39" s="741">
        <f>M39/L39</f>
        <v>0.97107897664071186</v>
      </c>
      <c r="O39" s="736" t="s">
        <v>853</v>
      </c>
    </row>
    <row r="40" spans="1:16" ht="15" customHeight="1">
      <c r="A40" s="659" t="s">
        <v>119</v>
      </c>
      <c r="B40" s="744" t="s">
        <v>854</v>
      </c>
      <c r="C40" s="744" t="s">
        <v>855</v>
      </c>
      <c r="D40" s="744" t="s">
        <v>856</v>
      </c>
      <c r="E40" s="744" t="s">
        <v>820</v>
      </c>
      <c r="F40" s="745" t="s">
        <v>857</v>
      </c>
      <c r="G40" s="746" t="s">
        <v>121</v>
      </c>
      <c r="H40" s="747" t="s">
        <v>858</v>
      </c>
      <c r="I40" s="748"/>
      <c r="J40" s="749"/>
      <c r="L40" s="569" t="str">
        <f>LEFT(E37,SEARCH("/",E37,1)-1)</f>
        <v xml:space="preserve">617.37 </v>
      </c>
      <c r="M40" s="569" t="str">
        <f>RIGHT(E37,SEARCH("/",E37,1)-1)</f>
        <v xml:space="preserve"> 643.69</v>
      </c>
      <c r="N40" s="741">
        <f>M40/L40</f>
        <v>1.0426324570354892</v>
      </c>
      <c r="O40" s="736" t="s">
        <v>859</v>
      </c>
    </row>
    <row r="41" spans="1:16" ht="15" customHeight="1">
      <c r="A41" s="659" t="s">
        <v>5</v>
      </c>
      <c r="B41" s="750" t="s">
        <v>860</v>
      </c>
      <c r="C41" s="750" t="s">
        <v>861</v>
      </c>
      <c r="D41" s="750" t="s">
        <v>862</v>
      </c>
      <c r="E41" s="750" t="s">
        <v>819</v>
      </c>
      <c r="F41" s="751" t="s">
        <v>863</v>
      </c>
      <c r="G41" s="752" t="s">
        <v>122</v>
      </c>
      <c r="H41" s="753" t="s">
        <v>864</v>
      </c>
      <c r="I41" s="754"/>
      <c r="J41" s="755"/>
      <c r="L41" s="569" t="str">
        <f>LEFT(E41,SEARCH("/",E41,1)-1)</f>
        <v xml:space="preserve">1781.9 </v>
      </c>
      <c r="M41" s="569" t="str">
        <f>RIGHT(E41,SEARCH("/",E41,1)-1)</f>
        <v xml:space="preserve"> 1783.1</v>
      </c>
      <c r="N41" s="741">
        <f>M41/L41</f>
        <v>1.0006734384645601</v>
      </c>
      <c r="O41" s="736" t="s">
        <v>5</v>
      </c>
    </row>
    <row r="42" spans="1:16" ht="15" customHeight="1">
      <c r="A42" s="659" t="s">
        <v>123</v>
      </c>
      <c r="B42" s="737">
        <v>2.0603724241049082</v>
      </c>
      <c r="C42" s="737">
        <v>2.0603724241049082</v>
      </c>
      <c r="D42" s="737">
        <v>2.0603724241049082</v>
      </c>
      <c r="E42" s="737">
        <v>2.0603724241049082</v>
      </c>
      <c r="F42" s="738">
        <v>2.0533752165088686</v>
      </c>
      <c r="G42" s="746" t="s">
        <v>124</v>
      </c>
      <c r="H42" s="747" t="s">
        <v>865</v>
      </c>
      <c r="I42" s="748"/>
      <c r="J42" s="756">
        <v>0.15154727004237389</v>
      </c>
    </row>
    <row r="43" spans="1:16" ht="15" customHeight="1" thickBot="1">
      <c r="A43" s="699" t="s">
        <v>125</v>
      </c>
      <c r="B43" s="757">
        <v>2.0603724241049082</v>
      </c>
      <c r="C43" s="758"/>
      <c r="D43" s="759" t="s">
        <v>866</v>
      </c>
      <c r="E43" s="759"/>
      <c r="F43" s="760"/>
      <c r="G43" s="752" t="s">
        <v>122</v>
      </c>
      <c r="H43" s="753" t="s">
        <v>867</v>
      </c>
      <c r="I43" s="754"/>
      <c r="J43" s="755"/>
    </row>
    <row r="44" spans="1:16" ht="15" customHeight="1">
      <c r="A44" s="761" t="s">
        <v>126</v>
      </c>
      <c r="B44" s="762"/>
      <c r="C44" s="634"/>
      <c r="D44" s="634"/>
      <c r="E44" s="761" t="s">
        <v>127</v>
      </c>
      <c r="F44" s="763"/>
      <c r="G44" s="746" t="s">
        <v>128</v>
      </c>
      <c r="H44" s="764">
        <v>4774.2071220028192</v>
      </c>
      <c r="I44" s="765">
        <v>3.2057791408247389E-2</v>
      </c>
      <c r="J44" s="756">
        <v>0.6434580898740786</v>
      </c>
    </row>
    <row r="45" spans="1:16" ht="15" customHeight="1">
      <c r="A45" s="659" t="s">
        <v>129</v>
      </c>
      <c r="B45" s="660">
        <v>0.14946001768112183</v>
      </c>
      <c r="C45" s="766" t="s">
        <v>130</v>
      </c>
      <c r="D45" s="694">
        <v>9.6892546862363815E-3</v>
      </c>
      <c r="E45" s="659" t="s">
        <v>131</v>
      </c>
      <c r="F45" s="688">
        <v>1344.7424631040449</v>
      </c>
      <c r="G45" s="767" t="s">
        <v>122</v>
      </c>
      <c r="H45" s="768" t="s">
        <v>868</v>
      </c>
      <c r="I45" s="769"/>
      <c r="J45" s="698"/>
    </row>
    <row r="46" spans="1:16" ht="15" customHeight="1">
      <c r="A46" s="659" t="s">
        <v>132</v>
      </c>
      <c r="B46" s="660">
        <v>0.313691645860672</v>
      </c>
      <c r="C46" s="766" t="s">
        <v>133</v>
      </c>
      <c r="D46" s="694">
        <v>1.0060496628284454E-2</v>
      </c>
      <c r="E46" s="659" t="s">
        <v>134</v>
      </c>
      <c r="F46" s="688">
        <v>1910.4701103723366</v>
      </c>
      <c r="G46" s="752" t="s">
        <v>135</v>
      </c>
      <c r="H46" s="770">
        <v>1295.7077912366535</v>
      </c>
      <c r="I46" s="754"/>
      <c r="J46" s="755"/>
      <c r="L46" s="771" t="s">
        <v>869</v>
      </c>
      <c r="M46" s="772">
        <f>B5^0.95</f>
        <v>2642.1470921992141</v>
      </c>
    </row>
    <row r="47" spans="1:16" ht="15" customHeight="1">
      <c r="A47" s="659" t="s">
        <v>136</v>
      </c>
      <c r="B47" s="660">
        <v>0.46315166354179382</v>
      </c>
      <c r="C47" s="766" t="s">
        <v>137</v>
      </c>
      <c r="D47" s="694">
        <v>3.0160858295857906E-3</v>
      </c>
      <c r="E47" s="659" t="s">
        <v>138</v>
      </c>
      <c r="F47" s="688">
        <v>1240.9796126901012</v>
      </c>
      <c r="G47" s="773" t="s">
        <v>139</v>
      </c>
      <c r="H47" s="764">
        <v>4623.6779971650994</v>
      </c>
      <c r="I47" s="765">
        <v>3.1018646802355956E-2</v>
      </c>
      <c r="J47" s="774">
        <v>0.6546770017368172</v>
      </c>
      <c r="L47" s="771" t="s">
        <v>870</v>
      </c>
      <c r="M47" s="772">
        <f>B5^1.5</f>
        <v>252982.21281347031</v>
      </c>
    </row>
    <row r="48" spans="1:16" ht="15" customHeight="1">
      <c r="A48" s="659" t="s">
        <v>140</v>
      </c>
      <c r="B48" s="660">
        <v>6.3175358809530735E-3</v>
      </c>
      <c r="C48" s="766" t="s">
        <v>100</v>
      </c>
      <c r="D48" s="694">
        <v>2.90833730250597E-2</v>
      </c>
      <c r="E48" s="659" t="s">
        <v>141</v>
      </c>
      <c r="F48" s="688">
        <v>348.84087668201022</v>
      </c>
      <c r="G48" s="775" t="s">
        <v>122</v>
      </c>
      <c r="H48" s="768">
        <v>154.94899454306633</v>
      </c>
      <c r="I48" s="769"/>
      <c r="J48" s="698"/>
      <c r="L48" s="771" t="s">
        <v>871</v>
      </c>
      <c r="M48" s="776">
        <f>IF(A5="",0,(7200/(1000*A5))^2.4)</f>
        <v>4.0987743736515299</v>
      </c>
    </row>
    <row r="49" spans="1:13" ht="15" customHeight="1" thickBot="1">
      <c r="A49" s="713"/>
      <c r="B49" s="777"/>
      <c r="C49" s="778" t="s">
        <v>142</v>
      </c>
      <c r="D49" s="703">
        <v>0.97091662883758545</v>
      </c>
      <c r="E49" s="699" t="s">
        <v>143</v>
      </c>
      <c r="F49" s="735">
        <v>876.71154241533338</v>
      </c>
      <c r="G49" s="779" t="s">
        <v>135</v>
      </c>
      <c r="H49" s="770">
        <v>1274.1986701452738</v>
      </c>
      <c r="I49" s="754"/>
      <c r="J49" s="780"/>
      <c r="L49" s="771" t="s">
        <v>872</v>
      </c>
      <c r="M49" s="776">
        <f>IF(A5="",0,(7200/(1000*A5))^1.8)</f>
        <v>2.8806500970683282</v>
      </c>
    </row>
    <row r="50" spans="1:13" ht="15" customHeight="1">
      <c r="A50" s="683" t="s">
        <v>198</v>
      </c>
      <c r="B50" s="650"/>
      <c r="C50" s="650"/>
      <c r="D50" s="650"/>
      <c r="E50" s="650"/>
      <c r="F50" s="651"/>
      <c r="G50" s="683" t="s">
        <v>144</v>
      </c>
      <c r="H50" s="650"/>
      <c r="I50" s="707"/>
      <c r="J50" s="720"/>
      <c r="L50" s="771" t="s">
        <v>351</v>
      </c>
      <c r="M50" s="781">
        <f>IF(A5=2,27,24)</f>
        <v>24</v>
      </c>
    </row>
    <row r="51" spans="1:13" ht="15" customHeight="1">
      <c r="A51" s="659" t="s">
        <v>145</v>
      </c>
      <c r="B51" s="665">
        <v>58</v>
      </c>
      <c r="C51" s="722" t="s">
        <v>146</v>
      </c>
      <c r="D51" s="662" t="s">
        <v>174</v>
      </c>
      <c r="E51" s="722" t="s">
        <v>147</v>
      </c>
      <c r="F51" s="671" t="s">
        <v>174</v>
      </c>
      <c r="G51" s="722" t="s">
        <v>148</v>
      </c>
      <c r="H51" s="695">
        <v>0.13686212979627807</v>
      </c>
      <c r="I51" s="782" t="s">
        <v>149</v>
      </c>
      <c r="J51" s="704"/>
      <c r="L51" s="771" t="s">
        <v>873</v>
      </c>
      <c r="M51" s="781">
        <v>6.8500000000000005E-2</v>
      </c>
    </row>
    <row r="52" spans="1:13" ht="15" customHeight="1">
      <c r="A52" s="659" t="s">
        <v>58</v>
      </c>
      <c r="B52" s="662">
        <v>40.549999237060547</v>
      </c>
      <c r="C52" s="722" t="s">
        <v>150</v>
      </c>
      <c r="D52" s="662" t="s">
        <v>174</v>
      </c>
      <c r="E52" s="722" t="s">
        <v>151</v>
      </c>
      <c r="F52" s="671" t="s">
        <v>174</v>
      </c>
      <c r="G52" s="722" t="s">
        <v>168</v>
      </c>
      <c r="H52" s="662">
        <v>259682.44004476297</v>
      </c>
      <c r="I52" s="783" t="s">
        <v>874</v>
      </c>
      <c r="J52" s="784"/>
      <c r="L52" s="771" t="s">
        <v>875</v>
      </c>
      <c r="M52" s="785">
        <f>F5</f>
        <v>60</v>
      </c>
    </row>
    <row r="53" spans="1:13" ht="15" customHeight="1">
      <c r="A53" s="659" t="s">
        <v>64</v>
      </c>
      <c r="B53" s="662">
        <v>5</v>
      </c>
      <c r="C53" s="722" t="s">
        <v>152</v>
      </c>
      <c r="D53" s="662" t="s">
        <v>174</v>
      </c>
      <c r="E53" s="722" t="s">
        <v>153</v>
      </c>
      <c r="F53" s="671" t="s">
        <v>174</v>
      </c>
      <c r="G53" s="722" t="s">
        <v>169</v>
      </c>
      <c r="H53" s="660">
        <v>270.30894675246554</v>
      </c>
      <c r="I53" s="782" t="s">
        <v>154</v>
      </c>
      <c r="J53" s="704"/>
      <c r="L53" s="771" t="s">
        <v>876</v>
      </c>
      <c r="M53" s="712">
        <f>IF(F5=60,M50*M46/M48-M51*M47/M49,IF(F5&lt;&gt;60,(60/M52)^2*(M50*M46/M48-M51*M47/M49),0))</f>
        <v>9455.0978992357341</v>
      </c>
    </row>
    <row r="54" spans="1:13" ht="15" customHeight="1">
      <c r="A54" s="659" t="s">
        <v>66</v>
      </c>
      <c r="B54" s="662">
        <v>5.5</v>
      </c>
      <c r="C54" s="722" t="s">
        <v>155</v>
      </c>
      <c r="D54" s="662" t="s">
        <v>174</v>
      </c>
      <c r="E54" s="722" t="s">
        <v>153</v>
      </c>
      <c r="F54" s="671" t="s">
        <v>174</v>
      </c>
      <c r="G54" s="722" t="s">
        <v>170</v>
      </c>
      <c r="H54" s="679">
        <v>629685.30000000005</v>
      </c>
      <c r="I54" s="786" t="s">
        <v>877</v>
      </c>
      <c r="J54" s="755" t="s">
        <v>196</v>
      </c>
    </row>
    <row r="55" spans="1:13" ht="15" customHeight="1">
      <c r="A55" s="659" t="s">
        <v>156</v>
      </c>
      <c r="B55" s="662">
        <v>12.050000190734863</v>
      </c>
      <c r="C55" s="722" t="s">
        <v>157</v>
      </c>
      <c r="D55" s="662" t="s">
        <v>174</v>
      </c>
      <c r="E55" s="722" t="s">
        <v>158</v>
      </c>
      <c r="F55" s="671" t="s">
        <v>174</v>
      </c>
      <c r="G55" s="722" t="s">
        <v>159</v>
      </c>
      <c r="H55" s="662">
        <v>1</v>
      </c>
      <c r="I55" s="782" t="s">
        <v>160</v>
      </c>
      <c r="J55" s="704"/>
    </row>
    <row r="56" spans="1:13" ht="15" customHeight="1" thickBot="1">
      <c r="A56" s="699" t="s">
        <v>161</v>
      </c>
      <c r="B56" s="700" t="s">
        <v>174</v>
      </c>
      <c r="C56" s="787" t="s">
        <v>162</v>
      </c>
      <c r="D56" s="700" t="s">
        <v>174</v>
      </c>
      <c r="E56" s="787" t="s">
        <v>163</v>
      </c>
      <c r="F56" s="701" t="s">
        <v>174</v>
      </c>
      <c r="G56" s="787" t="s">
        <v>164</v>
      </c>
      <c r="H56" s="702">
        <v>0.87493749999999992</v>
      </c>
      <c r="I56" s="788" t="s">
        <v>878</v>
      </c>
      <c r="J56" s="780" t="s">
        <v>197</v>
      </c>
    </row>
    <row r="57" spans="1:13" ht="15" customHeight="1">
      <c r="A57" s="645" t="s">
        <v>879</v>
      </c>
      <c r="B57" s="707"/>
      <c r="C57" s="707"/>
      <c r="D57" s="707"/>
      <c r="E57" s="707"/>
      <c r="F57" s="720"/>
      <c r="G57" s="789"/>
      <c r="H57" s="790"/>
      <c r="I57" s="790"/>
      <c r="J57" s="791"/>
    </row>
    <row r="58" spans="1:13" ht="15" customHeight="1">
      <c r="A58" s="792" t="s">
        <v>119</v>
      </c>
      <c r="B58" s="656" t="s">
        <v>165</v>
      </c>
      <c r="C58" s="657" t="s">
        <v>135</v>
      </c>
      <c r="D58" s="656" t="s">
        <v>119</v>
      </c>
      <c r="E58" s="656" t="s">
        <v>165</v>
      </c>
      <c r="F58" s="657" t="s">
        <v>135</v>
      </c>
      <c r="G58" s="793"/>
      <c r="H58" s="794"/>
      <c r="I58" s="794"/>
      <c r="J58" s="795"/>
    </row>
    <row r="59" spans="1:13" ht="15" customHeight="1">
      <c r="A59" s="796">
        <v>0</v>
      </c>
      <c r="B59" s="768">
        <v>0</v>
      </c>
      <c r="C59" s="797">
        <v>0</v>
      </c>
      <c r="D59" s="798">
        <v>0.7</v>
      </c>
      <c r="E59" s="768">
        <v>59.160926356597805</v>
      </c>
      <c r="F59" s="797">
        <v>2186.93505859375</v>
      </c>
      <c r="G59" s="793"/>
      <c r="H59" s="794"/>
      <c r="I59" s="794"/>
      <c r="J59" s="795"/>
    </row>
    <row r="60" spans="1:13" ht="15" customHeight="1">
      <c r="A60" s="799">
        <v>0.01</v>
      </c>
      <c r="B60" s="768">
        <v>93.6376669887118</v>
      </c>
      <c r="C60" s="797">
        <v>562.69879150390625</v>
      </c>
      <c r="D60" s="798">
        <v>0.8</v>
      </c>
      <c r="E60" s="768">
        <v>56.290807874216078</v>
      </c>
      <c r="F60" s="797">
        <v>2206.46142578125</v>
      </c>
      <c r="G60" s="793"/>
      <c r="H60" s="794"/>
      <c r="I60" s="794"/>
      <c r="J60" s="795"/>
    </row>
    <row r="61" spans="1:13" ht="15" customHeight="1">
      <c r="A61" s="799">
        <v>0.05</v>
      </c>
      <c r="B61" s="768">
        <v>164.78875454259344</v>
      </c>
      <c r="C61" s="797">
        <v>1618.563720703125</v>
      </c>
      <c r="D61" s="798">
        <v>0.9</v>
      </c>
      <c r="E61" s="768">
        <v>53.764356490528407</v>
      </c>
      <c r="F61" s="797">
        <v>2222.596923828125</v>
      </c>
      <c r="G61" s="793"/>
      <c r="H61" s="794"/>
      <c r="I61" s="794"/>
      <c r="J61" s="795"/>
    </row>
    <row r="62" spans="1:13" ht="15" customHeight="1">
      <c r="A62" s="796">
        <v>0.1</v>
      </c>
      <c r="B62" s="768">
        <v>119.7538382155461</v>
      </c>
      <c r="C62" s="797">
        <v>1869.557373046875</v>
      </c>
      <c r="D62" s="800">
        <v>1</v>
      </c>
      <c r="E62" s="768">
        <v>51.54047487285964</v>
      </c>
      <c r="F62" s="797">
        <v>2236.179443359375</v>
      </c>
      <c r="G62" s="793"/>
      <c r="H62" s="794"/>
      <c r="I62" s="794"/>
      <c r="J62" s="795"/>
    </row>
    <row r="63" spans="1:13" ht="15" customHeight="1">
      <c r="A63" s="796">
        <v>0.15</v>
      </c>
      <c r="B63" s="768">
        <v>96.80679366107293</v>
      </c>
      <c r="C63" s="797">
        <v>1944.8304443359375</v>
      </c>
      <c r="D63" s="800"/>
      <c r="E63" s="768"/>
      <c r="F63" s="797"/>
      <c r="G63" s="793"/>
      <c r="H63" s="794"/>
      <c r="I63" s="794"/>
      <c r="J63" s="795"/>
    </row>
    <row r="64" spans="1:13" ht="15" customHeight="1">
      <c r="A64" s="796">
        <v>0.2</v>
      </c>
      <c r="B64" s="768">
        <v>85.567731978159159</v>
      </c>
      <c r="C64" s="797">
        <v>1986.8470458984375</v>
      </c>
      <c r="D64" s="800"/>
      <c r="E64" s="768"/>
      <c r="F64" s="797"/>
      <c r="G64" s="793"/>
      <c r="H64" s="794"/>
      <c r="I64" s="794"/>
      <c r="J64" s="795"/>
    </row>
    <row r="65" spans="1:10" ht="15" customHeight="1">
      <c r="A65" s="796">
        <v>0.3</v>
      </c>
      <c r="B65" s="768">
        <v>75.421010624335651</v>
      </c>
      <c r="C65" s="797">
        <v>2046.8150634765625</v>
      </c>
      <c r="D65" s="800"/>
      <c r="E65" s="768"/>
      <c r="F65" s="797"/>
      <c r="G65" s="793"/>
      <c r="H65" s="794"/>
      <c r="I65" s="794"/>
      <c r="J65" s="795"/>
    </row>
    <row r="66" spans="1:10" ht="15" customHeight="1">
      <c r="A66" s="796">
        <v>0.4</v>
      </c>
      <c r="B66" s="768">
        <v>70.117910019188045</v>
      </c>
      <c r="C66" s="797">
        <v>2094.04833984375</v>
      </c>
      <c r="D66" s="800"/>
      <c r="E66" s="768"/>
      <c r="F66" s="797"/>
      <c r="G66" s="793"/>
      <c r="H66" s="794"/>
      <c r="I66" s="794"/>
      <c r="J66" s="795"/>
    </row>
    <row r="67" spans="1:10" ht="15" customHeight="1">
      <c r="A67" s="796">
        <v>0.5</v>
      </c>
      <c r="B67" s="768">
        <v>66.01096859610405</v>
      </c>
      <c r="C67" s="797">
        <v>2132.248779296875</v>
      </c>
      <c r="D67" s="800"/>
      <c r="E67" s="768"/>
      <c r="F67" s="797"/>
      <c r="G67" s="793"/>
      <c r="H67" s="794"/>
      <c r="I67" s="794"/>
      <c r="J67" s="795"/>
    </row>
    <row r="68" spans="1:10" ht="15" customHeight="1" thickBot="1">
      <c r="A68" s="801">
        <v>0.6</v>
      </c>
      <c r="B68" s="802">
        <v>62.388983525200679</v>
      </c>
      <c r="C68" s="803">
        <v>2162.60009765625</v>
      </c>
      <c r="D68" s="804"/>
      <c r="E68" s="802"/>
      <c r="F68" s="803"/>
      <c r="G68" s="805"/>
      <c r="H68" s="806"/>
      <c r="I68" s="806"/>
      <c r="J68" s="807"/>
    </row>
    <row r="69" spans="1:10" ht="15" customHeight="1">
      <c r="A69" s="808"/>
      <c r="B69" s="809"/>
      <c r="C69" s="794"/>
      <c r="D69" s="794"/>
      <c r="E69" s="794"/>
      <c r="F69" s="794"/>
      <c r="G69" s="794"/>
      <c r="H69" s="794"/>
      <c r="I69" s="794"/>
      <c r="J69" s="794"/>
    </row>
    <row r="70" spans="1:10" ht="15" customHeight="1">
      <c r="A70" s="794"/>
      <c r="B70" s="794"/>
      <c r="C70" s="794"/>
      <c r="D70" s="794"/>
      <c r="E70" s="794"/>
      <c r="F70" s="794"/>
      <c r="G70" s="794"/>
      <c r="H70" s="794"/>
      <c r="I70" s="794"/>
      <c r="J70" s="794"/>
    </row>
    <row r="71" spans="1:10">
      <c r="A71" s="634"/>
      <c r="B71" s="634"/>
      <c r="C71" s="634"/>
      <c r="D71" s="634"/>
      <c r="E71" s="634"/>
      <c r="F71" s="634"/>
      <c r="G71" s="634"/>
      <c r="H71" s="634"/>
      <c r="I71" s="634"/>
      <c r="J71" s="634"/>
    </row>
  </sheetData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7" zoomScale="95" zoomScaleNormal="95" workbookViewId="0">
      <selection activeCell="D43" sqref="D4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204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205</v>
      </c>
    </row>
    <row r="3" spans="1:10" ht="15" customHeight="1" thickBot="1">
      <c r="A3" s="49" t="s">
        <v>1</v>
      </c>
      <c r="B3" s="96" t="s">
        <v>203</v>
      </c>
      <c r="C3" s="1"/>
      <c r="D3" s="49"/>
      <c r="E3" s="1"/>
      <c r="F3" s="1"/>
      <c r="G3" s="49" t="s">
        <v>2</v>
      </c>
      <c r="H3" s="149">
        <v>41885</v>
      </c>
      <c r="I3" s="49" t="s">
        <v>3</v>
      </c>
      <c r="J3" s="150">
        <v>0.44773148148148145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3">
        <v>4000</v>
      </c>
      <c r="C5" s="143">
        <v>1800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238</v>
      </c>
      <c r="I5" s="77" t="s">
        <v>243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23.125593055555555</v>
      </c>
      <c r="J7" s="106" t="s">
        <v>19</v>
      </c>
    </row>
    <row r="8" spans="1:10" ht="15" customHeight="1">
      <c r="A8" s="6" t="s">
        <v>20</v>
      </c>
      <c r="B8" s="69">
        <v>3.309999942779541</v>
      </c>
      <c r="C8" s="52"/>
      <c r="D8" s="6"/>
      <c r="E8" s="51"/>
      <c r="F8" s="3"/>
      <c r="G8" s="16"/>
      <c r="H8" s="10" t="s">
        <v>21</v>
      </c>
      <c r="I8" s="68">
        <v>28.349058182060801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184</v>
      </c>
      <c r="F9" s="107" t="s">
        <v>25</v>
      </c>
      <c r="G9" s="30"/>
      <c r="H9" s="10" t="s">
        <v>26</v>
      </c>
      <c r="I9" s="69">
        <v>25.737325618808178</v>
      </c>
      <c r="J9" s="104">
        <v>750.59353295930725</v>
      </c>
    </row>
    <row r="10" spans="1:10" ht="15" customHeight="1">
      <c r="A10" s="6" t="s">
        <v>27</v>
      </c>
      <c r="B10" s="69">
        <v>1110</v>
      </c>
      <c r="C10" s="73">
        <v>1110</v>
      </c>
      <c r="D10" s="6"/>
      <c r="E10" s="51"/>
      <c r="F10" s="117" t="s">
        <v>199</v>
      </c>
      <c r="G10" s="115" t="s">
        <v>200</v>
      </c>
      <c r="H10" s="10" t="s">
        <v>28</v>
      </c>
      <c r="I10" s="68">
        <v>15.409848104495472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523.38000011444092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27.246162587611465</v>
      </c>
      <c r="J11" s="104">
        <v>97875.382004430445</v>
      </c>
    </row>
    <row r="12" spans="1:10" ht="15" customHeight="1">
      <c r="A12" s="6" t="s">
        <v>33</v>
      </c>
      <c r="B12" s="69">
        <v>530</v>
      </c>
      <c r="C12" s="73">
        <v>300</v>
      </c>
      <c r="D12" s="6" t="s">
        <v>34</v>
      </c>
      <c r="E12" s="138" t="s">
        <v>174</v>
      </c>
      <c r="F12" s="124" t="s">
        <v>192</v>
      </c>
      <c r="G12" s="116" t="s">
        <v>191</v>
      </c>
      <c r="H12" s="10" t="s">
        <v>35</v>
      </c>
      <c r="I12" s="68">
        <v>1.500702206714756</v>
      </c>
      <c r="J12" s="103" t="s">
        <v>36</v>
      </c>
    </row>
    <row r="13" spans="1:10" ht="15" customHeight="1" thickBot="1">
      <c r="A13" s="6" t="s">
        <v>37</v>
      </c>
      <c r="B13" s="69">
        <v>66.5</v>
      </c>
      <c r="C13" s="73">
        <v>71.140000820159912</v>
      </c>
      <c r="D13" s="6" t="s">
        <v>38</v>
      </c>
      <c r="E13" s="70">
        <v>16</v>
      </c>
      <c r="F13" s="124"/>
      <c r="G13" s="116" t="s">
        <v>193</v>
      </c>
      <c r="H13" s="10" t="s">
        <v>40</v>
      </c>
      <c r="I13" s="68">
        <v>1.0404789331673008</v>
      </c>
      <c r="J13" s="104">
        <v>492.28555297851563</v>
      </c>
    </row>
    <row r="14" spans="1:10" ht="15" customHeight="1" thickBot="1">
      <c r="A14" s="134" t="s">
        <v>41</v>
      </c>
      <c r="B14" s="135">
        <v>881.6400146484375</v>
      </c>
      <c r="C14" s="136">
        <v>881.6400146484375</v>
      </c>
      <c r="D14" s="6" t="s">
        <v>42</v>
      </c>
      <c r="E14" s="51" t="s">
        <v>185</v>
      </c>
      <c r="F14" s="51" t="s">
        <v>195</v>
      </c>
      <c r="G14" s="116" t="s">
        <v>194</v>
      </c>
      <c r="H14" s="49" t="s">
        <v>43</v>
      </c>
      <c r="I14" s="68">
        <v>1.5614490310443834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186</v>
      </c>
      <c r="F15" s="51"/>
      <c r="G15" s="116"/>
      <c r="H15" s="10" t="s">
        <v>47</v>
      </c>
      <c r="I15" s="68">
        <v>0.96589165240170005</v>
      </c>
      <c r="J15" s="104">
        <v>48.113932291666664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4</v>
      </c>
      <c r="F16" s="51"/>
      <c r="G16" s="116"/>
      <c r="H16" s="10" t="s">
        <v>50</v>
      </c>
      <c r="I16" s="68">
        <v>0.95596950205867326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187</v>
      </c>
      <c r="F17" s="51"/>
      <c r="G17" s="116"/>
      <c r="H17" s="10" t="s">
        <v>54</v>
      </c>
      <c r="I17" s="68">
        <v>0.9233629619890823</v>
      </c>
      <c r="J17" s="104">
        <v>851.49911925869833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1792</v>
      </c>
      <c r="F18" s="70">
        <v>1286</v>
      </c>
      <c r="G18" s="74"/>
      <c r="H18" s="13" t="s">
        <v>57</v>
      </c>
      <c r="I18" s="132" t="s">
        <v>201</v>
      </c>
      <c r="J18" s="133"/>
    </row>
    <row r="19" spans="1:10" ht="15" customHeight="1">
      <c r="A19" s="6" t="s">
        <v>58</v>
      </c>
      <c r="B19" s="69">
        <v>76</v>
      </c>
      <c r="C19" s="73">
        <v>40.549999237060547</v>
      </c>
      <c r="D19" s="6" t="s">
        <v>59</v>
      </c>
      <c r="E19" s="70">
        <v>96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>
        <v>12.050000190734863</v>
      </c>
      <c r="D20" s="6" t="s">
        <v>166</v>
      </c>
      <c r="E20" s="67">
        <v>2.1616559158385198E-2</v>
      </c>
      <c r="F20" s="51"/>
      <c r="G20" s="52"/>
      <c r="H20" s="10" t="s">
        <v>63</v>
      </c>
      <c r="I20" s="68">
        <v>14.760526657104492</v>
      </c>
      <c r="J20" s="72">
        <v>14.760526657104492</v>
      </c>
    </row>
    <row r="21" spans="1:10" ht="15" customHeight="1">
      <c r="A21" s="6" t="s">
        <v>64</v>
      </c>
      <c r="B21" s="69">
        <v>15.199999809265137</v>
      </c>
      <c r="C21" s="73">
        <v>5</v>
      </c>
      <c r="D21" s="10" t="s">
        <v>188</v>
      </c>
      <c r="E21" s="67">
        <v>2.8836235105193612E-2</v>
      </c>
      <c r="F21" s="67">
        <v>2.9191918671131134E-2</v>
      </c>
      <c r="G21" s="71">
        <v>2.6723179143394427E-3</v>
      </c>
      <c r="H21" s="10" t="s">
        <v>65</v>
      </c>
      <c r="I21" s="68">
        <v>20.271383285522461</v>
      </c>
      <c r="J21" s="72">
        <v>14.808235168457031</v>
      </c>
    </row>
    <row r="22" spans="1:10" ht="15" customHeight="1">
      <c r="A22" s="6" t="s">
        <v>66</v>
      </c>
      <c r="B22" s="69">
        <v>3.6500000953674316</v>
      </c>
      <c r="C22" s="73">
        <v>5.5</v>
      </c>
      <c r="D22" s="6" t="s">
        <v>67</v>
      </c>
      <c r="E22" s="51" t="s">
        <v>189</v>
      </c>
      <c r="F22" s="51" t="s">
        <v>190</v>
      </c>
      <c r="G22" s="52" t="s">
        <v>190</v>
      </c>
      <c r="H22" s="10" t="s">
        <v>68</v>
      </c>
      <c r="I22" s="68">
        <v>4.4184255599975586</v>
      </c>
      <c r="J22" s="72">
        <v>3.8419954776763916</v>
      </c>
    </row>
    <row r="23" spans="1:10" ht="15" customHeight="1">
      <c r="A23" s="6" t="s">
        <v>69</v>
      </c>
      <c r="B23" s="69">
        <v>7.925593376159668</v>
      </c>
      <c r="C23" s="73">
        <v>11.912208557128906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9.2659512224999077</v>
      </c>
      <c r="J23" s="16" t="s">
        <v>202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3.2736440920171521</v>
      </c>
      <c r="J24" s="72">
        <v>2.9191220177025716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6.0700472444295883E-2</v>
      </c>
      <c r="J25" s="72">
        <v>0.13462261855602264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299.08932282827942</v>
      </c>
      <c r="F26" s="69">
        <v>294.73871578250885</v>
      </c>
      <c r="G26" s="73">
        <v>99.984177484690463</v>
      </c>
      <c r="H26" s="10" t="s">
        <v>80</v>
      </c>
      <c r="I26" s="68">
        <v>0.99354398250579834</v>
      </c>
      <c r="J26" s="72">
        <v>0.86996406316757202</v>
      </c>
    </row>
    <row r="27" spans="1:10" ht="15" customHeight="1" thickBot="1">
      <c r="A27" s="6" t="s">
        <v>81</v>
      </c>
      <c r="B27" s="51" t="s">
        <v>183</v>
      </c>
      <c r="C27" s="52" t="s">
        <v>183</v>
      </c>
      <c r="D27" s="11" t="s">
        <v>82</v>
      </c>
      <c r="E27" s="80">
        <v>336.97800767327698</v>
      </c>
      <c r="F27" s="80" t="s">
        <v>174</v>
      </c>
      <c r="G27" s="82" t="s">
        <v>174</v>
      </c>
      <c r="H27" s="11" t="s">
        <v>83</v>
      </c>
      <c r="I27" s="79">
        <v>0.99539649486541748</v>
      </c>
      <c r="J27" s="81">
        <v>0.88031852245330811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32.004948124999999</v>
      </c>
      <c r="F30" s="69">
        <v>1172.5812194824218</v>
      </c>
      <c r="G30" s="69">
        <v>16.680967953394184</v>
      </c>
      <c r="H30" s="74">
        <v>623.14649611230527</v>
      </c>
      <c r="I30" s="70">
        <v>137865.07104176827</v>
      </c>
      <c r="J30" s="74">
        <v>11205.122494039655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7.6000000000000005</v>
      </c>
      <c r="F31" s="69">
        <v>1257.7536468458945</v>
      </c>
      <c r="G31" s="69">
        <v>15.551367943944193</v>
      </c>
      <c r="H31" s="74">
        <v>103.919354180025</v>
      </c>
      <c r="I31" s="70">
        <v>38235.710864115194</v>
      </c>
      <c r="J31" s="74">
        <v>2773.9474763006269</v>
      </c>
    </row>
    <row r="32" spans="1:10" ht="15" customHeight="1">
      <c r="A32" s="6" t="s">
        <v>98</v>
      </c>
      <c r="B32" s="68" t="s">
        <v>245</v>
      </c>
      <c r="C32" s="110"/>
      <c r="D32" s="10" t="s">
        <v>99</v>
      </c>
      <c r="E32" s="69">
        <v>17.368280379415154</v>
      </c>
      <c r="F32" s="69">
        <v>1254.3974273035128</v>
      </c>
      <c r="G32" s="69">
        <v>15.592976611076452</v>
      </c>
      <c r="H32" s="74">
        <v>240.63480065922548</v>
      </c>
      <c r="I32" s="9" t="s">
        <v>100</v>
      </c>
      <c r="J32" s="74">
        <v>13979.069970340282</v>
      </c>
    </row>
    <row r="33" spans="1:10" ht="15" customHeight="1">
      <c r="A33" s="6" t="s">
        <v>101</v>
      </c>
      <c r="B33" s="68" t="s">
        <v>246</v>
      </c>
      <c r="C33" s="111" t="s">
        <v>102</v>
      </c>
      <c r="D33" s="10" t="s">
        <v>97</v>
      </c>
      <c r="E33" s="69">
        <v>4.0549999237060552</v>
      </c>
      <c r="F33" s="69">
        <v>1522.8305603863439</v>
      </c>
      <c r="G33" s="69">
        <v>12.84436381416972</v>
      </c>
      <c r="H33" s="74">
        <v>28.277494357628029</v>
      </c>
      <c r="I33" s="9" t="s">
        <v>103</v>
      </c>
      <c r="J33" s="73" t="s">
        <v>213</v>
      </c>
    </row>
    <row r="34" spans="1:10" ht="15" customHeight="1" thickBot="1">
      <c r="A34" s="17" t="s">
        <v>104</v>
      </c>
      <c r="B34" s="79" t="s">
        <v>247</v>
      </c>
      <c r="C34" s="112">
        <v>19.559789744938151</v>
      </c>
      <c r="D34" s="11" t="s">
        <v>20</v>
      </c>
      <c r="E34" s="79">
        <v>0.33099999427795412</v>
      </c>
      <c r="F34" s="80">
        <v>2527.2366375997531</v>
      </c>
      <c r="G34" s="80">
        <v>7.7395956729699398</v>
      </c>
      <c r="H34" s="83">
        <v>2038.6222609146394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215</v>
      </c>
      <c r="E35" s="148" t="s">
        <v>214</v>
      </c>
      <c r="F35" s="15"/>
      <c r="G35" s="26" t="s">
        <v>107</v>
      </c>
      <c r="H35" s="85" t="s">
        <v>208</v>
      </c>
      <c r="I35" s="10" t="s">
        <v>108</v>
      </c>
      <c r="J35" s="74" t="s">
        <v>212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206</v>
      </c>
      <c r="I36" s="10" t="s">
        <v>111</v>
      </c>
      <c r="J36" s="74" t="s">
        <v>211</v>
      </c>
    </row>
    <row r="37" spans="1:10" ht="15" customHeight="1" thickBot="1">
      <c r="A37" s="6" t="s">
        <v>112</v>
      </c>
      <c r="B37" s="69" t="s">
        <v>227</v>
      </c>
      <c r="C37" s="69" t="s">
        <v>228</v>
      </c>
      <c r="D37" s="69" t="s">
        <v>229</v>
      </c>
      <c r="E37" s="69" t="s">
        <v>230</v>
      </c>
      <c r="F37" s="73" t="s">
        <v>231</v>
      </c>
      <c r="G37" s="10" t="s">
        <v>113</v>
      </c>
      <c r="H37" s="74" t="s">
        <v>207</v>
      </c>
      <c r="I37" s="11" t="s">
        <v>114</v>
      </c>
      <c r="J37" s="83" t="s">
        <v>210</v>
      </c>
    </row>
    <row r="38" spans="1:10" ht="15" customHeight="1" thickBot="1">
      <c r="A38" s="6" t="s">
        <v>115</v>
      </c>
      <c r="B38" s="68" t="s">
        <v>217</v>
      </c>
      <c r="C38" s="68" t="s">
        <v>218</v>
      </c>
      <c r="D38" s="68" t="s">
        <v>219</v>
      </c>
      <c r="E38" s="68" t="s">
        <v>220</v>
      </c>
      <c r="F38" s="72" t="s">
        <v>221</v>
      </c>
      <c r="G38" s="17" t="s">
        <v>116</v>
      </c>
      <c r="H38" s="83" t="s">
        <v>209</v>
      </c>
      <c r="I38" s="139" t="s">
        <v>216</v>
      </c>
      <c r="J38" s="84">
        <v>26327.263671875</v>
      </c>
    </row>
    <row r="39" spans="1:10" ht="15" customHeight="1">
      <c r="A39" s="6" t="s">
        <v>117</v>
      </c>
      <c r="B39" s="68" t="s">
        <v>222</v>
      </c>
      <c r="C39" s="68" t="s">
        <v>223</v>
      </c>
      <c r="D39" s="68" t="s">
        <v>224</v>
      </c>
      <c r="E39" s="68" t="s">
        <v>225</v>
      </c>
      <c r="F39" s="72" t="s">
        <v>226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240</v>
      </c>
      <c r="C40" s="67" t="s">
        <v>241</v>
      </c>
      <c r="D40" s="67" t="s">
        <v>242</v>
      </c>
      <c r="E40" s="67" t="s">
        <v>243</v>
      </c>
      <c r="F40" s="71" t="s">
        <v>244</v>
      </c>
      <c r="G40" s="36" t="s">
        <v>121</v>
      </c>
      <c r="H40" s="91" t="s">
        <v>248</v>
      </c>
      <c r="I40" s="55"/>
      <c r="J40" s="56"/>
    </row>
    <row r="41" spans="1:10" ht="15" customHeight="1">
      <c r="A41" s="6" t="s">
        <v>5</v>
      </c>
      <c r="B41" s="70" t="s">
        <v>235</v>
      </c>
      <c r="C41" s="70" t="s">
        <v>236</v>
      </c>
      <c r="D41" s="70" t="s">
        <v>237</v>
      </c>
      <c r="E41" s="70" t="s">
        <v>238</v>
      </c>
      <c r="F41" s="74" t="s">
        <v>239</v>
      </c>
      <c r="G41" s="37" t="s">
        <v>122</v>
      </c>
      <c r="H41" s="92" t="s">
        <v>249</v>
      </c>
      <c r="I41" s="57"/>
      <c r="J41" s="58"/>
    </row>
    <row r="42" spans="1:10" ht="15" customHeight="1">
      <c r="A42" s="6" t="s">
        <v>123</v>
      </c>
      <c r="B42" s="68">
        <v>2.0603724241049082</v>
      </c>
      <c r="C42" s="68">
        <v>2.0603724241049082</v>
      </c>
      <c r="D42" s="68">
        <v>2.0603724241049082</v>
      </c>
      <c r="E42" s="68">
        <v>2.0603724241049082</v>
      </c>
      <c r="F42" s="72">
        <v>2.0603724241049082</v>
      </c>
      <c r="G42" s="36" t="s">
        <v>124</v>
      </c>
      <c r="H42" s="91" t="s">
        <v>250</v>
      </c>
      <c r="I42" s="55"/>
      <c r="J42" s="97">
        <v>0.1529294533692491</v>
      </c>
    </row>
    <row r="43" spans="1:10" ht="15" customHeight="1" thickBot="1">
      <c r="A43" s="17" t="s">
        <v>125</v>
      </c>
      <c r="B43" s="79">
        <v>2.0603724241049082</v>
      </c>
      <c r="C43" s="79"/>
      <c r="D43" s="79" t="s">
        <v>253</v>
      </c>
      <c r="E43" s="79"/>
      <c r="F43" s="81"/>
      <c r="G43" s="37" t="s">
        <v>122</v>
      </c>
      <c r="H43" s="92" t="s">
        <v>251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7394.9742756900732</v>
      </c>
      <c r="I44" s="90">
        <v>3.2057791408247389E-2</v>
      </c>
      <c r="J44" s="97">
        <v>0.63787515241234161</v>
      </c>
    </row>
    <row r="45" spans="1:10" ht="15" customHeight="1">
      <c r="A45" s="6" t="s">
        <v>129</v>
      </c>
      <c r="B45" s="68">
        <v>0.28908413648605347</v>
      </c>
      <c r="C45" s="4" t="s">
        <v>130</v>
      </c>
      <c r="D45" s="72">
        <v>6.1319861561059952E-3</v>
      </c>
      <c r="E45" s="6" t="s">
        <v>131</v>
      </c>
      <c r="F45" s="74">
        <v>2101.1599320102941</v>
      </c>
      <c r="G45" s="38" t="s">
        <v>122</v>
      </c>
      <c r="H45" s="86" t="s">
        <v>252</v>
      </c>
      <c r="I45" s="59"/>
      <c r="J45" s="60"/>
    </row>
    <row r="46" spans="1:10" ht="15" customHeight="1">
      <c r="A46" s="6" t="s">
        <v>132</v>
      </c>
      <c r="B46" s="68">
        <v>0.19155627489089966</v>
      </c>
      <c r="C46" s="4" t="s">
        <v>133</v>
      </c>
      <c r="D46" s="72">
        <v>6.143457256257534E-3</v>
      </c>
      <c r="E46" s="6" t="s">
        <v>134</v>
      </c>
      <c r="F46" s="74">
        <v>2985.1093107833626</v>
      </c>
      <c r="G46" s="37" t="s">
        <v>135</v>
      </c>
      <c r="H46" s="94">
        <v>1619.6346748397161</v>
      </c>
      <c r="I46" s="57"/>
      <c r="J46" s="58"/>
    </row>
    <row r="47" spans="1:10" ht="15" customHeight="1">
      <c r="A47" s="6" t="s">
        <v>136</v>
      </c>
      <c r="B47" s="68">
        <v>0.48064041137695313</v>
      </c>
      <c r="C47" s="4" t="s">
        <v>137</v>
      </c>
      <c r="D47" s="72">
        <v>3.0160858295857906E-3</v>
      </c>
      <c r="E47" s="6" t="s">
        <v>138</v>
      </c>
      <c r="F47" s="74">
        <v>1939.0304910928865</v>
      </c>
      <c r="G47" s="64" t="s">
        <v>139</v>
      </c>
      <c r="H47" s="93">
        <v>7161.8132549235288</v>
      </c>
      <c r="I47" s="90">
        <v>3.1018646802355956E-2</v>
      </c>
      <c r="J47" s="95">
        <v>0.64899672385104301</v>
      </c>
    </row>
    <row r="48" spans="1:10" ht="15" customHeight="1">
      <c r="A48" s="6" t="s">
        <v>140</v>
      </c>
      <c r="B48" s="68">
        <v>9.4966934993863106E-3</v>
      </c>
      <c r="C48" s="4" t="s">
        <v>100</v>
      </c>
      <c r="D48" s="72">
        <v>2.4788223206996918E-2</v>
      </c>
      <c r="E48" s="6" t="s">
        <v>141</v>
      </c>
      <c r="F48" s="74">
        <v>545.06382660043403</v>
      </c>
      <c r="G48" s="65" t="s">
        <v>122</v>
      </c>
      <c r="H48" s="86">
        <v>240.0071466127188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0.97521179914474487</v>
      </c>
      <c r="E49" s="17" t="s">
        <v>143</v>
      </c>
      <c r="F49" s="83">
        <v>1369.8616764149242</v>
      </c>
      <c r="G49" s="66" t="s">
        <v>135</v>
      </c>
      <c r="H49" s="94">
        <v>1592.7482745413311</v>
      </c>
      <c r="I49" s="57"/>
      <c r="J49" s="61"/>
    </row>
    <row r="50" spans="1:10" ht="15" customHeight="1">
      <c r="A50" s="13" t="s">
        <v>198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8.7021061741255762E-2</v>
      </c>
      <c r="I51" s="45" t="s">
        <v>149</v>
      </c>
      <c r="J51" s="39"/>
    </row>
    <row r="52" spans="1:10" ht="15" customHeight="1">
      <c r="A52" s="10" t="s">
        <v>58</v>
      </c>
      <c r="B52" s="69">
        <v>40.549999237060547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259682.44004476297</v>
      </c>
      <c r="I52" s="98" t="s">
        <v>232</v>
      </c>
      <c r="J52" s="62"/>
    </row>
    <row r="53" spans="1:10" ht="15" customHeight="1">
      <c r="A53" s="10" t="s">
        <v>64</v>
      </c>
      <c r="B53" s="69">
        <v>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270.30894675246554</v>
      </c>
      <c r="I53" s="44" t="s">
        <v>154</v>
      </c>
      <c r="J53" s="39"/>
    </row>
    <row r="54" spans="1:10" ht="15" customHeight="1">
      <c r="A54" s="10" t="s">
        <v>66</v>
      </c>
      <c r="B54" s="69">
        <v>5.5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629685.30000000005</v>
      </c>
      <c r="I54" s="99" t="s">
        <v>233</v>
      </c>
      <c r="J54" s="100" t="s">
        <v>196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234</v>
      </c>
      <c r="J56" s="61" t="s">
        <v>197</v>
      </c>
    </row>
    <row r="57" spans="1:10" ht="15" customHeight="1">
      <c r="A57" s="23" t="s">
        <v>254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255</v>
      </c>
      <c r="D58" s="3" t="s">
        <v>119</v>
      </c>
      <c r="E58" s="3" t="s">
        <v>165</v>
      </c>
      <c r="F58" s="16" t="s">
        <v>256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0.25305375456809998</v>
      </c>
      <c r="D59" s="128">
        <v>0.68736839294433594</v>
      </c>
      <c r="E59" s="86">
        <v>125.02830383894764</v>
      </c>
      <c r="F59" s="87">
        <v>545.62969970703125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117.81515039764199</v>
      </c>
      <c r="C60" s="87">
        <v>140.03630065917969</v>
      </c>
      <c r="D60" s="128">
        <v>0.79157894849777222</v>
      </c>
      <c r="E60" s="86">
        <v>125.01583235430658</v>
      </c>
      <c r="F60" s="87">
        <v>550.51708984375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209</v>
      </c>
      <c r="C61" s="87">
        <v>402.85150146484375</v>
      </c>
      <c r="D61" s="128">
        <v>0.89578944444656372</v>
      </c>
      <c r="E61" s="86">
        <v>125.00398360489604</v>
      </c>
      <c r="F61" s="87">
        <v>554.55633544921875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148.61201785760858</v>
      </c>
      <c r="C62" s="87">
        <v>465.93875122070313</v>
      </c>
      <c r="D62" s="129">
        <v>1</v>
      </c>
      <c r="E62" s="86">
        <v>125</v>
      </c>
      <c r="F62" s="87">
        <v>557.956787109375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131.95522232428112</v>
      </c>
      <c r="C63" s="87">
        <v>484.884033203125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126.84344333188668</v>
      </c>
      <c r="C64" s="87">
        <v>495.44305419921875</v>
      </c>
      <c r="D64" s="154" t="s">
        <v>264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125.14720214597963</v>
      </c>
      <c r="C65" s="87">
        <v>510.4969482421875</v>
      </c>
      <c r="D65" s="156" t="s">
        <v>258</v>
      </c>
      <c r="E65" s="158" t="s">
        <v>262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125.10324425128957</v>
      </c>
      <c r="C66" s="87">
        <v>522.35211181640625</v>
      </c>
      <c r="D66" s="156" t="s">
        <v>259</v>
      </c>
      <c r="E66" s="158" t="s">
        <v>263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125.07052664850416</v>
      </c>
      <c r="C67" s="87">
        <v>531.9515380859375</v>
      </c>
      <c r="D67" s="156" t="s">
        <v>260</v>
      </c>
      <c r="E67" s="158" t="s">
        <v>265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125.04836138942829</v>
      </c>
      <c r="C68" s="89">
        <v>539.56793212890625</v>
      </c>
      <c r="D68" s="157" t="s">
        <v>261</v>
      </c>
      <c r="E68" s="159" t="s">
        <v>266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257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opLeftCell="A28" workbookViewId="0">
      <selection activeCell="F28" sqref="F28"/>
    </sheetView>
  </sheetViews>
  <sheetFormatPr defaultColWidth="9.140625"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8" width="7.85546875" style="309" customWidth="1"/>
    <col min="9" max="9" width="6.570312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877" t="s">
        <v>267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</row>
    <row r="2" spans="1:26" ht="20.25" customHeight="1">
      <c r="A2" s="878" t="s">
        <v>268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</row>
    <row r="3" spans="1:26" ht="18.75" customHeight="1" thickBot="1">
      <c r="A3" s="162" t="s">
        <v>1</v>
      </c>
      <c r="B3" s="163" t="s">
        <v>353</v>
      </c>
      <c r="C3" s="164"/>
      <c r="D3" s="164"/>
      <c r="E3" s="164"/>
      <c r="F3" s="165"/>
      <c r="G3" s="164"/>
      <c r="H3" s="164"/>
      <c r="I3" s="162" t="s">
        <v>269</v>
      </c>
      <c r="J3" s="879" t="s">
        <v>611</v>
      </c>
      <c r="K3" s="879"/>
    </row>
    <row r="4" spans="1:26" s="174" customFormat="1" ht="18.399999999999999" customHeight="1" thickBot="1">
      <c r="A4" s="166" t="s">
        <v>735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270</v>
      </c>
      <c r="R4" s="172"/>
      <c r="S4" s="170"/>
      <c r="T4" s="171" t="s">
        <v>271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880" t="s">
        <v>272</v>
      </c>
      <c r="B5" s="881"/>
      <c r="C5" s="881"/>
      <c r="D5" s="175"/>
      <c r="E5" s="176"/>
      <c r="F5" s="177" t="s">
        <v>273</v>
      </c>
      <c r="G5" s="164"/>
      <c r="H5" s="164"/>
      <c r="I5" s="178"/>
      <c r="J5" s="179" t="s">
        <v>274</v>
      </c>
      <c r="K5" s="180" t="s">
        <v>275</v>
      </c>
      <c r="L5" s="170"/>
      <c r="M5" s="170"/>
      <c r="N5" s="170"/>
      <c r="O5" s="170"/>
      <c r="P5" s="170"/>
      <c r="Q5" s="181" t="s">
        <v>276</v>
      </c>
      <c r="R5" s="182"/>
      <c r="S5" s="170"/>
      <c r="T5" s="181" t="s">
        <v>277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882" t="s">
        <v>67</v>
      </c>
      <c r="B6" s="883"/>
      <c r="C6" s="883"/>
      <c r="D6" s="884" t="s">
        <v>281</v>
      </c>
      <c r="E6" s="885"/>
      <c r="F6" s="812" t="s">
        <v>279</v>
      </c>
      <c r="G6" s="813"/>
      <c r="H6" s="813"/>
      <c r="I6" s="813"/>
      <c r="J6" s="813"/>
      <c r="K6" s="814"/>
      <c r="L6" s="170"/>
      <c r="M6" s="170"/>
      <c r="N6" s="170"/>
      <c r="O6" s="170"/>
      <c r="P6" s="170"/>
      <c r="Q6" s="181" t="s">
        <v>280</v>
      </c>
      <c r="R6" s="182"/>
      <c r="S6" s="170"/>
      <c r="T6" s="181" t="s">
        <v>281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873" t="s">
        <v>20</v>
      </c>
      <c r="B7" s="874"/>
      <c r="C7" s="874"/>
      <c r="D7" s="875">
        <v>3.3099999427795401</v>
      </c>
      <c r="E7" s="876"/>
      <c r="F7" s="184" t="s">
        <v>282</v>
      </c>
      <c r="G7" s="185"/>
      <c r="H7" s="186"/>
      <c r="I7" s="187"/>
      <c r="J7" s="188">
        <v>116</v>
      </c>
      <c r="K7" s="189" t="s">
        <v>174</v>
      </c>
      <c r="L7" s="170"/>
      <c r="M7" s="170"/>
      <c r="N7" s="170"/>
      <c r="O7" s="170"/>
      <c r="P7" s="170"/>
      <c r="Q7" s="181" t="s">
        <v>283</v>
      </c>
      <c r="R7" s="182"/>
      <c r="S7" s="170"/>
      <c r="T7" s="181" t="s">
        <v>278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873" t="s">
        <v>284</v>
      </c>
      <c r="B8" s="874"/>
      <c r="C8" s="874"/>
      <c r="D8" s="859">
        <v>1110</v>
      </c>
      <c r="E8" s="855"/>
      <c r="F8" s="190" t="s">
        <v>285</v>
      </c>
      <c r="G8" s="191"/>
      <c r="H8" s="192"/>
      <c r="I8" s="193"/>
      <c r="J8" s="194">
        <v>24169</v>
      </c>
      <c r="K8" s="195" t="s">
        <v>174</v>
      </c>
      <c r="L8" s="170"/>
      <c r="M8" s="170"/>
      <c r="N8" s="170"/>
      <c r="O8" s="170"/>
      <c r="P8" s="170"/>
      <c r="Q8" s="181" t="s">
        <v>286</v>
      </c>
      <c r="R8" s="182"/>
      <c r="S8" s="170"/>
      <c r="T8" s="181" t="s">
        <v>287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868" t="s">
        <v>288</v>
      </c>
      <c r="B9" s="869"/>
      <c r="C9" s="870"/>
      <c r="D9" s="859">
        <v>8</v>
      </c>
      <c r="E9" s="855"/>
      <c r="F9" s="184" t="s">
        <v>289</v>
      </c>
      <c r="G9" s="185"/>
      <c r="H9" s="196">
        <v>3</v>
      </c>
      <c r="I9" s="197" t="s">
        <v>290</v>
      </c>
      <c r="J9" s="198">
        <v>754</v>
      </c>
      <c r="K9" s="195" t="s">
        <v>174</v>
      </c>
      <c r="L9" s="170"/>
      <c r="M9" s="170"/>
      <c r="N9" s="170"/>
      <c r="O9" s="170"/>
      <c r="P9" s="170"/>
      <c r="Q9" s="181" t="s">
        <v>291</v>
      </c>
      <c r="R9" s="182"/>
      <c r="S9" s="170"/>
      <c r="T9" s="181" t="s">
        <v>292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868" t="s">
        <v>293</v>
      </c>
      <c r="B10" s="869"/>
      <c r="C10" s="870"/>
      <c r="D10" s="842" t="s">
        <v>185</v>
      </c>
      <c r="E10" s="843"/>
      <c r="F10" s="184" t="s">
        <v>294</v>
      </c>
      <c r="G10" s="185"/>
      <c r="H10" s="196">
        <v>3</v>
      </c>
      <c r="I10" s="197" t="s">
        <v>290</v>
      </c>
      <c r="J10" s="198">
        <v>1150</v>
      </c>
      <c r="K10" s="195" t="s">
        <v>174</v>
      </c>
      <c r="L10" s="170"/>
      <c r="M10" s="170"/>
      <c r="N10" s="170"/>
      <c r="O10" s="170"/>
      <c r="P10" s="170"/>
      <c r="Q10" s="181" t="s">
        <v>295</v>
      </c>
      <c r="R10" s="182"/>
      <c r="S10" s="170"/>
      <c r="T10" s="199" t="s">
        <v>296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868" t="s">
        <v>297</v>
      </c>
      <c r="B11" s="869"/>
      <c r="C11" s="870"/>
      <c r="D11" s="837" t="s">
        <v>186</v>
      </c>
      <c r="E11" s="838"/>
      <c r="F11" s="201" t="s">
        <v>298</v>
      </c>
      <c r="G11" s="202"/>
      <c r="H11" s="203">
        <v>3</v>
      </c>
      <c r="I11" s="197" t="s">
        <v>290</v>
      </c>
      <c r="J11" s="204">
        <v>97875</v>
      </c>
      <c r="K11" s="205" t="s">
        <v>174</v>
      </c>
      <c r="L11" s="170"/>
      <c r="M11" s="170"/>
      <c r="N11" s="170"/>
      <c r="O11" s="170"/>
      <c r="P11" s="170"/>
      <c r="Q11" s="199" t="s">
        <v>299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300</v>
      </c>
      <c r="C12" s="208"/>
      <c r="D12" s="871" t="s">
        <v>174</v>
      </c>
      <c r="E12" s="872"/>
      <c r="F12" s="839" t="s">
        <v>301</v>
      </c>
      <c r="G12" s="840"/>
      <c r="H12" s="840"/>
      <c r="I12" s="840"/>
      <c r="J12" s="840"/>
      <c r="K12" s="841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868" t="s">
        <v>53</v>
      </c>
      <c r="B13" s="869"/>
      <c r="C13" s="870"/>
      <c r="D13" s="862" t="s">
        <v>734</v>
      </c>
      <c r="E13" s="863"/>
      <c r="F13" s="209"/>
      <c r="G13" s="210" t="s">
        <v>302</v>
      </c>
      <c r="H13" s="211"/>
      <c r="I13" s="212" t="s">
        <v>303</v>
      </c>
      <c r="J13" s="213" t="s">
        <v>612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868" t="s">
        <v>56</v>
      </c>
      <c r="B14" s="869"/>
      <c r="C14" s="870"/>
      <c r="D14" s="871">
        <v>1792</v>
      </c>
      <c r="E14" s="872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856" t="s">
        <v>304</v>
      </c>
      <c r="B15" s="857"/>
      <c r="C15" s="858"/>
      <c r="D15" s="835">
        <v>17.13079833984375</v>
      </c>
      <c r="E15" s="836"/>
      <c r="F15" s="209"/>
      <c r="G15" s="215" t="s">
        <v>305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832" t="s">
        <v>306</v>
      </c>
      <c r="B16" s="833"/>
      <c r="C16" s="834"/>
      <c r="D16" s="835">
        <v>3.8017997741699219</v>
      </c>
      <c r="E16" s="836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 t="s">
        <v>812</v>
      </c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307</v>
      </c>
      <c r="B17" s="221"/>
      <c r="C17" s="222"/>
      <c r="D17" s="837" t="s">
        <v>354</v>
      </c>
      <c r="E17" s="838"/>
      <c r="F17" s="839" t="s">
        <v>308</v>
      </c>
      <c r="G17" s="840"/>
      <c r="H17" s="840"/>
      <c r="I17" s="840"/>
      <c r="J17" s="840"/>
      <c r="K17" s="841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309</v>
      </c>
      <c r="B18" s="224"/>
      <c r="C18" s="222"/>
      <c r="D18" s="842" t="s">
        <v>174</v>
      </c>
      <c r="E18" s="843"/>
      <c r="F18" s="844"/>
      <c r="G18" s="845"/>
      <c r="H18" s="225" t="s">
        <v>310</v>
      </c>
      <c r="I18" s="226"/>
      <c r="J18" s="194" t="s">
        <v>618</v>
      </c>
      <c r="K18" s="195"/>
      <c r="L18" s="170"/>
      <c r="M18" s="170" t="e">
        <f>J18*6.5</f>
        <v>#VALUE!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850" t="s">
        <v>311</v>
      </c>
      <c r="B19" s="851"/>
      <c r="C19" s="852"/>
      <c r="D19" s="853" t="s">
        <v>174</v>
      </c>
      <c r="E19" s="838"/>
      <c r="F19" s="846"/>
      <c r="G19" s="847"/>
      <c r="H19" s="225" t="s">
        <v>5</v>
      </c>
      <c r="I19" s="187"/>
      <c r="J19" s="194">
        <v>1790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312</v>
      </c>
      <c r="C20" s="228"/>
      <c r="D20" s="854" t="s">
        <v>184</v>
      </c>
      <c r="E20" s="855"/>
      <c r="F20" s="846"/>
      <c r="G20" s="847"/>
      <c r="H20" s="225" t="s">
        <v>313</v>
      </c>
      <c r="I20" s="187"/>
      <c r="J20" s="198" t="s">
        <v>349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856" t="s">
        <v>314</v>
      </c>
      <c r="B21" s="857"/>
      <c r="C21" s="858"/>
      <c r="D21" s="859" t="s">
        <v>174</v>
      </c>
      <c r="E21" s="855"/>
      <c r="F21" s="846"/>
      <c r="G21" s="847"/>
      <c r="H21" s="229" t="s">
        <v>315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316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317</v>
      </c>
      <c r="B22" s="230"/>
      <c r="C22" s="230"/>
      <c r="D22" s="860">
        <v>2.2200000000000001E-2</v>
      </c>
      <c r="E22" s="861"/>
      <c r="F22" s="846"/>
      <c r="G22" s="847"/>
      <c r="H22" s="225" t="s">
        <v>274</v>
      </c>
      <c r="I22" s="187"/>
      <c r="J22" s="198" t="s">
        <v>613</v>
      </c>
      <c r="K22" s="195"/>
      <c r="L22" s="170"/>
      <c r="M22" s="170"/>
      <c r="N22" s="170"/>
      <c r="O22" s="170"/>
      <c r="P22" s="170"/>
      <c r="Q22" s="181" t="s">
        <v>318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319</v>
      </c>
      <c r="B23" s="232" t="s">
        <v>320</v>
      </c>
      <c r="C23" s="233"/>
      <c r="D23" s="862">
        <v>682</v>
      </c>
      <c r="E23" s="863"/>
      <c r="F23" s="846"/>
      <c r="G23" s="847"/>
      <c r="H23" s="234" t="s">
        <v>321</v>
      </c>
      <c r="I23" s="235"/>
      <c r="J23" s="236"/>
      <c r="K23" s="237"/>
      <c r="L23" s="170"/>
      <c r="Q23" s="181" t="s">
        <v>322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323</v>
      </c>
      <c r="B24" s="239" t="s">
        <v>324</v>
      </c>
      <c r="C24" s="240"/>
      <c r="D24" s="864">
        <v>765</v>
      </c>
      <c r="E24" s="865"/>
      <c r="F24" s="846"/>
      <c r="G24" s="847"/>
      <c r="H24" s="225" t="s">
        <v>325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326</v>
      </c>
      <c r="B25" s="246"/>
      <c r="C25" s="246"/>
      <c r="D25" s="247"/>
      <c r="E25" s="247" t="s">
        <v>327</v>
      </c>
      <c r="F25" s="846"/>
      <c r="G25" s="847"/>
      <c r="H25" s="225" t="s">
        <v>328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329</v>
      </c>
      <c r="B26" s="250"/>
      <c r="C26" s="251"/>
      <c r="D26" s="252" t="s">
        <v>356</v>
      </c>
      <c r="E26" s="252" t="s">
        <v>357</v>
      </c>
      <c r="F26" s="848"/>
      <c r="G26" s="849"/>
      <c r="H26" s="866"/>
      <c r="I26" s="867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810" t="s">
        <v>330</v>
      </c>
      <c r="B27" s="811"/>
      <c r="C27" s="811"/>
      <c r="D27" s="811"/>
      <c r="E27" s="811"/>
      <c r="F27" s="812" t="s">
        <v>331</v>
      </c>
      <c r="G27" s="813"/>
      <c r="H27" s="813"/>
      <c r="I27" s="813"/>
      <c r="J27" s="813"/>
      <c r="K27" s="814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817"/>
      <c r="B28" s="818"/>
      <c r="C28" s="818"/>
      <c r="D28" s="818"/>
      <c r="E28" s="819"/>
      <c r="F28" s="255"/>
      <c r="G28" s="256"/>
      <c r="H28" s="215" t="s">
        <v>332</v>
      </c>
      <c r="I28" s="257" t="s">
        <v>355</v>
      </c>
      <c r="J28" s="194" t="s">
        <v>619</v>
      </c>
      <c r="K28" s="258" t="s">
        <v>174</v>
      </c>
      <c r="M28" s="174" t="e">
        <f>(J28/J18)*100</f>
        <v>#VALUE!</v>
      </c>
      <c r="N28" s="259"/>
      <c r="O28" s="259"/>
      <c r="P28" s="174" t="s">
        <v>813</v>
      </c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817"/>
      <c r="B29" s="818"/>
      <c r="C29" s="818"/>
      <c r="D29" s="818"/>
      <c r="E29" s="819"/>
      <c r="F29" s="260"/>
      <c r="G29" s="261"/>
      <c r="H29" s="215" t="s">
        <v>333</v>
      </c>
      <c r="I29" s="262">
        <v>60</v>
      </c>
      <c r="J29" s="194">
        <v>125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817"/>
      <c r="B30" s="818"/>
      <c r="C30" s="818"/>
      <c r="D30" s="818"/>
      <c r="E30" s="819"/>
      <c r="F30" s="260"/>
      <c r="G30" s="261"/>
      <c r="H30" s="215" t="s">
        <v>334</v>
      </c>
      <c r="I30" s="262">
        <v>175</v>
      </c>
      <c r="J30" s="194">
        <v>209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817"/>
      <c r="B31" s="818"/>
      <c r="C31" s="818"/>
      <c r="D31" s="818"/>
      <c r="E31" s="819"/>
      <c r="F31" s="260"/>
      <c r="G31" s="261"/>
      <c r="H31" s="215" t="s">
        <v>335</v>
      </c>
      <c r="I31" s="216"/>
      <c r="J31" s="265">
        <v>0.54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820"/>
      <c r="B32" s="821"/>
      <c r="C32" s="821"/>
      <c r="D32" s="821"/>
      <c r="E32" s="822"/>
      <c r="F32" s="260"/>
      <c r="G32" s="266" t="s">
        <v>336</v>
      </c>
      <c r="H32" s="215" t="s">
        <v>337</v>
      </c>
      <c r="I32" s="267"/>
      <c r="J32" s="188">
        <v>97.1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810" t="s">
        <v>338</v>
      </c>
      <c r="B33" s="811"/>
      <c r="C33" s="811"/>
      <c r="D33" s="811"/>
      <c r="E33" s="823"/>
      <c r="F33" s="269"/>
      <c r="G33" s="270"/>
      <c r="H33" s="271" t="s">
        <v>339</v>
      </c>
      <c r="I33" s="272"/>
      <c r="J33" s="273">
        <v>87.2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817"/>
      <c r="B34" s="818"/>
      <c r="C34" s="818"/>
      <c r="D34" s="818"/>
      <c r="E34" s="819"/>
      <c r="F34" s="190" t="s">
        <v>340</v>
      </c>
      <c r="G34" s="275"/>
      <c r="H34" s="276" t="s">
        <v>14</v>
      </c>
      <c r="I34" s="277"/>
      <c r="J34" s="278">
        <v>23007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817"/>
      <c r="B35" s="818"/>
      <c r="C35" s="818"/>
      <c r="D35" s="818"/>
      <c r="E35" s="819"/>
      <c r="F35" s="209"/>
      <c r="G35" s="282"/>
      <c r="H35" s="283" t="s">
        <v>15</v>
      </c>
      <c r="I35" s="284"/>
      <c r="J35" s="194">
        <v>17259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817"/>
      <c r="B36" s="818"/>
      <c r="C36" s="818"/>
      <c r="D36" s="818"/>
      <c r="E36" s="819"/>
      <c r="F36" s="209"/>
      <c r="G36" s="282"/>
      <c r="H36" s="283" t="s">
        <v>341</v>
      </c>
      <c r="I36" s="284"/>
      <c r="J36" s="194">
        <v>15254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817"/>
      <c r="B37" s="818"/>
      <c r="C37" s="818"/>
      <c r="D37" s="818"/>
      <c r="E37" s="819"/>
      <c r="F37" s="260"/>
      <c r="G37" s="282"/>
      <c r="H37" s="283" t="s">
        <v>342</v>
      </c>
      <c r="I37" s="284"/>
      <c r="J37" s="194">
        <v>8017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820"/>
      <c r="B38" s="821"/>
      <c r="C38" s="821"/>
      <c r="D38" s="821"/>
      <c r="E38" s="822"/>
      <c r="F38" s="217"/>
      <c r="G38" s="286"/>
      <c r="H38" s="287" t="s">
        <v>343</v>
      </c>
      <c r="I38" s="288"/>
      <c r="J38" s="289">
        <v>26327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810" t="s">
        <v>344</v>
      </c>
      <c r="B39" s="811"/>
      <c r="C39" s="811"/>
      <c r="D39" s="811"/>
      <c r="E39" s="811"/>
      <c r="F39" s="291" t="s">
        <v>345</v>
      </c>
      <c r="G39" s="292"/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824"/>
      <c r="B40" s="825"/>
      <c r="C40" s="825"/>
      <c r="D40" s="825"/>
      <c r="E40" s="826"/>
      <c r="F40" s="294"/>
      <c r="G40" s="295"/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824"/>
      <c r="B41" s="825"/>
      <c r="C41" s="825"/>
      <c r="D41" s="825"/>
      <c r="E41" s="826"/>
      <c r="F41" s="294"/>
      <c r="G41" s="297" t="s">
        <v>614</v>
      </c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824"/>
      <c r="B42" s="825"/>
      <c r="C42" s="825"/>
      <c r="D42" s="825"/>
      <c r="E42" s="826"/>
      <c r="F42" s="294"/>
      <c r="G42" s="297"/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824"/>
      <c r="B43" s="825"/>
      <c r="C43" s="825"/>
      <c r="D43" s="825"/>
      <c r="E43" s="826"/>
      <c r="F43" s="294"/>
      <c r="G43" s="297"/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827"/>
      <c r="B44" s="828"/>
      <c r="C44" s="828"/>
      <c r="D44" s="828"/>
      <c r="E44" s="829"/>
      <c r="F44" s="294"/>
      <c r="G44" s="297"/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346</v>
      </c>
      <c r="B45" s="830" t="s">
        <v>617</v>
      </c>
      <c r="C45" s="831"/>
      <c r="D45" s="301" t="s">
        <v>347</v>
      </c>
      <c r="E45" s="374" t="s">
        <v>615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348</v>
      </c>
      <c r="B46" s="815">
        <v>41941</v>
      </c>
      <c r="C46" s="816"/>
      <c r="D46" s="304" t="s">
        <v>348</v>
      </c>
      <c r="E46" s="305">
        <v>41885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 t="s">
        <v>736</v>
      </c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 t="s">
        <v>737</v>
      </c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zoomScaleNormal="100" workbookViewId="0">
      <selection activeCell="J29" sqref="J29"/>
    </sheetView>
  </sheetViews>
  <sheetFormatPr defaultColWidth="12" defaultRowHeight="15.75"/>
  <cols>
    <col min="1" max="3" width="6.7109375" style="382" customWidth="1"/>
    <col min="4" max="4" width="9.28515625" style="382" bestFit="1" customWidth="1"/>
    <col min="5" max="14" width="6.7109375" style="382" customWidth="1"/>
    <col min="15" max="256" width="12" style="382"/>
    <col min="257" max="270" width="6.7109375" style="382" customWidth="1"/>
    <col min="271" max="512" width="12" style="382"/>
    <col min="513" max="526" width="6.7109375" style="382" customWidth="1"/>
    <col min="527" max="768" width="12" style="382"/>
    <col min="769" max="782" width="6.7109375" style="382" customWidth="1"/>
    <col min="783" max="1024" width="12" style="382"/>
    <col min="1025" max="1038" width="6.7109375" style="382" customWidth="1"/>
    <col min="1039" max="1280" width="12" style="382"/>
    <col min="1281" max="1294" width="6.7109375" style="382" customWidth="1"/>
    <col min="1295" max="1536" width="12" style="382"/>
    <col min="1537" max="1550" width="6.7109375" style="382" customWidth="1"/>
    <col min="1551" max="1792" width="12" style="382"/>
    <col min="1793" max="1806" width="6.7109375" style="382" customWidth="1"/>
    <col min="1807" max="2048" width="12" style="382"/>
    <col min="2049" max="2062" width="6.7109375" style="382" customWidth="1"/>
    <col min="2063" max="2304" width="12" style="382"/>
    <col min="2305" max="2318" width="6.7109375" style="382" customWidth="1"/>
    <col min="2319" max="2560" width="12" style="382"/>
    <col min="2561" max="2574" width="6.7109375" style="382" customWidth="1"/>
    <col min="2575" max="2816" width="12" style="382"/>
    <col min="2817" max="2830" width="6.7109375" style="382" customWidth="1"/>
    <col min="2831" max="3072" width="12" style="382"/>
    <col min="3073" max="3086" width="6.7109375" style="382" customWidth="1"/>
    <col min="3087" max="3328" width="12" style="382"/>
    <col min="3329" max="3342" width="6.7109375" style="382" customWidth="1"/>
    <col min="3343" max="3584" width="12" style="382"/>
    <col min="3585" max="3598" width="6.7109375" style="382" customWidth="1"/>
    <col min="3599" max="3840" width="12" style="382"/>
    <col min="3841" max="3854" width="6.7109375" style="382" customWidth="1"/>
    <col min="3855" max="4096" width="12" style="382"/>
    <col min="4097" max="4110" width="6.7109375" style="382" customWidth="1"/>
    <col min="4111" max="4352" width="12" style="382"/>
    <col min="4353" max="4366" width="6.7109375" style="382" customWidth="1"/>
    <col min="4367" max="4608" width="12" style="382"/>
    <col min="4609" max="4622" width="6.7109375" style="382" customWidth="1"/>
    <col min="4623" max="4864" width="12" style="382"/>
    <col min="4865" max="4878" width="6.7109375" style="382" customWidth="1"/>
    <col min="4879" max="5120" width="12" style="382"/>
    <col min="5121" max="5134" width="6.7109375" style="382" customWidth="1"/>
    <col min="5135" max="5376" width="12" style="382"/>
    <col min="5377" max="5390" width="6.7109375" style="382" customWidth="1"/>
    <col min="5391" max="5632" width="12" style="382"/>
    <col min="5633" max="5646" width="6.7109375" style="382" customWidth="1"/>
    <col min="5647" max="5888" width="12" style="382"/>
    <col min="5889" max="5902" width="6.7109375" style="382" customWidth="1"/>
    <col min="5903" max="6144" width="12" style="382"/>
    <col min="6145" max="6158" width="6.7109375" style="382" customWidth="1"/>
    <col min="6159" max="6400" width="12" style="382"/>
    <col min="6401" max="6414" width="6.7109375" style="382" customWidth="1"/>
    <col min="6415" max="6656" width="12" style="382"/>
    <col min="6657" max="6670" width="6.7109375" style="382" customWidth="1"/>
    <col min="6671" max="6912" width="12" style="382"/>
    <col min="6913" max="6926" width="6.7109375" style="382" customWidth="1"/>
    <col min="6927" max="7168" width="12" style="382"/>
    <col min="7169" max="7182" width="6.7109375" style="382" customWidth="1"/>
    <col min="7183" max="7424" width="12" style="382"/>
    <col min="7425" max="7438" width="6.7109375" style="382" customWidth="1"/>
    <col min="7439" max="7680" width="12" style="382"/>
    <col min="7681" max="7694" width="6.7109375" style="382" customWidth="1"/>
    <col min="7695" max="7936" width="12" style="382"/>
    <col min="7937" max="7950" width="6.7109375" style="382" customWidth="1"/>
    <col min="7951" max="8192" width="12" style="382"/>
    <col min="8193" max="8206" width="6.7109375" style="382" customWidth="1"/>
    <col min="8207" max="8448" width="12" style="382"/>
    <col min="8449" max="8462" width="6.7109375" style="382" customWidth="1"/>
    <col min="8463" max="8704" width="12" style="382"/>
    <col min="8705" max="8718" width="6.7109375" style="382" customWidth="1"/>
    <col min="8719" max="8960" width="12" style="382"/>
    <col min="8961" max="8974" width="6.7109375" style="382" customWidth="1"/>
    <col min="8975" max="9216" width="12" style="382"/>
    <col min="9217" max="9230" width="6.7109375" style="382" customWidth="1"/>
    <col min="9231" max="9472" width="12" style="382"/>
    <col min="9473" max="9486" width="6.7109375" style="382" customWidth="1"/>
    <col min="9487" max="9728" width="12" style="382"/>
    <col min="9729" max="9742" width="6.7109375" style="382" customWidth="1"/>
    <col min="9743" max="9984" width="12" style="382"/>
    <col min="9985" max="9998" width="6.7109375" style="382" customWidth="1"/>
    <col min="9999" max="10240" width="12" style="382"/>
    <col min="10241" max="10254" width="6.7109375" style="382" customWidth="1"/>
    <col min="10255" max="10496" width="12" style="382"/>
    <col min="10497" max="10510" width="6.7109375" style="382" customWidth="1"/>
    <col min="10511" max="10752" width="12" style="382"/>
    <col min="10753" max="10766" width="6.7109375" style="382" customWidth="1"/>
    <col min="10767" max="11008" width="12" style="382"/>
    <col min="11009" max="11022" width="6.7109375" style="382" customWidth="1"/>
    <col min="11023" max="11264" width="12" style="382"/>
    <col min="11265" max="11278" width="6.7109375" style="382" customWidth="1"/>
    <col min="11279" max="11520" width="12" style="382"/>
    <col min="11521" max="11534" width="6.7109375" style="382" customWidth="1"/>
    <col min="11535" max="11776" width="12" style="382"/>
    <col min="11777" max="11790" width="6.7109375" style="382" customWidth="1"/>
    <col min="11791" max="12032" width="12" style="382"/>
    <col min="12033" max="12046" width="6.7109375" style="382" customWidth="1"/>
    <col min="12047" max="12288" width="12" style="382"/>
    <col min="12289" max="12302" width="6.7109375" style="382" customWidth="1"/>
    <col min="12303" max="12544" width="12" style="382"/>
    <col min="12545" max="12558" width="6.7109375" style="382" customWidth="1"/>
    <col min="12559" max="12800" width="12" style="382"/>
    <col min="12801" max="12814" width="6.7109375" style="382" customWidth="1"/>
    <col min="12815" max="13056" width="12" style="382"/>
    <col min="13057" max="13070" width="6.7109375" style="382" customWidth="1"/>
    <col min="13071" max="13312" width="12" style="382"/>
    <col min="13313" max="13326" width="6.7109375" style="382" customWidth="1"/>
    <col min="13327" max="13568" width="12" style="382"/>
    <col min="13569" max="13582" width="6.7109375" style="382" customWidth="1"/>
    <col min="13583" max="13824" width="12" style="382"/>
    <col min="13825" max="13838" width="6.7109375" style="382" customWidth="1"/>
    <col min="13839" max="14080" width="12" style="382"/>
    <col min="14081" max="14094" width="6.7109375" style="382" customWidth="1"/>
    <col min="14095" max="14336" width="12" style="382"/>
    <col min="14337" max="14350" width="6.7109375" style="382" customWidth="1"/>
    <col min="14351" max="14592" width="12" style="382"/>
    <col min="14593" max="14606" width="6.7109375" style="382" customWidth="1"/>
    <col min="14607" max="14848" width="12" style="382"/>
    <col min="14849" max="14862" width="6.7109375" style="382" customWidth="1"/>
    <col min="14863" max="15104" width="12" style="382"/>
    <col min="15105" max="15118" width="6.7109375" style="382" customWidth="1"/>
    <col min="15119" max="15360" width="12" style="382"/>
    <col min="15361" max="15374" width="6.7109375" style="382" customWidth="1"/>
    <col min="15375" max="15616" width="12" style="382"/>
    <col min="15617" max="15630" width="6.7109375" style="382" customWidth="1"/>
    <col min="15631" max="15872" width="12" style="382"/>
    <col min="15873" max="15886" width="6.7109375" style="382" customWidth="1"/>
    <col min="15887" max="16128" width="12" style="382"/>
    <col min="16129" max="16142" width="6.7109375" style="382" customWidth="1"/>
    <col min="16143" max="16384" width="12" style="382"/>
  </cols>
  <sheetData>
    <row r="1" spans="1:14" ht="17.100000000000001" customHeight="1">
      <c r="A1" s="375" t="s">
        <v>267</v>
      </c>
      <c r="B1" s="376"/>
      <c r="C1" s="376"/>
      <c r="D1" s="376"/>
      <c r="E1" s="376"/>
      <c r="F1" s="376"/>
      <c r="G1" s="376"/>
      <c r="H1" s="376"/>
      <c r="I1" s="376"/>
      <c r="J1" s="377" t="s">
        <v>620</v>
      </c>
      <c r="K1" s="378"/>
      <c r="L1" s="379" t="s">
        <v>621</v>
      </c>
      <c r="M1" s="380"/>
      <c r="N1" s="381"/>
    </row>
    <row r="2" spans="1:14" ht="17.100000000000001" customHeight="1">
      <c r="A2" s="383" t="s">
        <v>622</v>
      </c>
      <c r="B2" s="384"/>
      <c r="C2" s="384"/>
      <c r="D2" s="384"/>
      <c r="E2" s="384"/>
      <c r="F2" s="384"/>
      <c r="G2" s="384"/>
      <c r="H2" s="384"/>
      <c r="I2" s="384"/>
      <c r="J2" s="385" t="s">
        <v>623</v>
      </c>
      <c r="K2" s="386"/>
      <c r="L2" s="387" t="s">
        <v>624</v>
      </c>
      <c r="M2" s="388"/>
      <c r="N2" s="381"/>
    </row>
    <row r="3" spans="1:14" ht="15.95" customHeight="1">
      <c r="A3" s="389"/>
      <c r="B3" s="390"/>
      <c r="C3" s="390"/>
      <c r="D3" s="390"/>
      <c r="E3" s="390"/>
      <c r="F3" s="390"/>
      <c r="G3" s="390"/>
      <c r="H3" s="390"/>
      <c r="I3" s="390"/>
      <c r="J3" s="385" t="s">
        <v>625</v>
      </c>
      <c r="K3" s="386"/>
      <c r="L3" s="391" t="s">
        <v>626</v>
      </c>
      <c r="M3" s="388"/>
      <c r="N3" s="381"/>
    </row>
    <row r="4" spans="1:14" ht="15.95" customHeight="1">
      <c r="A4" s="392"/>
      <c r="B4" s="390"/>
      <c r="C4" s="390"/>
      <c r="D4" s="390"/>
      <c r="E4" s="390"/>
      <c r="F4" s="390"/>
      <c r="G4" s="390"/>
      <c r="H4" s="390"/>
      <c r="I4" s="390"/>
      <c r="J4" s="385" t="s">
        <v>627</v>
      </c>
      <c r="K4" s="386"/>
      <c r="L4" s="391" t="s">
        <v>628</v>
      </c>
      <c r="M4" s="388"/>
      <c r="N4" s="381"/>
    </row>
    <row r="5" spans="1:14" ht="15.95" customHeight="1">
      <c r="A5" s="389"/>
      <c r="B5" s="390"/>
      <c r="C5" s="390"/>
      <c r="D5" s="390"/>
      <c r="E5" s="390"/>
      <c r="F5" s="390"/>
      <c r="G5" s="390"/>
      <c r="H5" s="390"/>
      <c r="I5" s="390"/>
      <c r="J5" s="385" t="s">
        <v>629</v>
      </c>
      <c r="K5" s="386"/>
      <c r="L5" s="387">
        <v>2</v>
      </c>
      <c r="M5" s="388"/>
      <c r="N5" s="381"/>
    </row>
    <row r="6" spans="1:14" ht="15.95" customHeight="1">
      <c r="A6" s="393" t="s">
        <v>630</v>
      </c>
      <c r="B6" s="390"/>
      <c r="C6" s="390"/>
      <c r="D6" s="390"/>
      <c r="E6" s="390"/>
      <c r="F6" s="390"/>
      <c r="G6" s="390"/>
      <c r="H6" s="390"/>
      <c r="I6" s="390"/>
      <c r="J6" s="385" t="s">
        <v>631</v>
      </c>
      <c r="K6" s="386"/>
      <c r="L6" s="387" t="s">
        <v>632</v>
      </c>
      <c r="M6" s="388"/>
      <c r="N6" s="381"/>
    </row>
    <row r="7" spans="1:14" ht="15.95" customHeight="1" thickBot="1">
      <c r="A7" s="394" t="s">
        <v>633</v>
      </c>
      <c r="B7" s="395"/>
      <c r="C7" s="395"/>
      <c r="D7" s="395"/>
      <c r="E7" s="395"/>
      <c r="F7" s="395"/>
      <c r="G7" s="395"/>
      <c r="H7" s="395"/>
      <c r="I7" s="395"/>
      <c r="J7" s="396" t="s">
        <v>634</v>
      </c>
      <c r="K7" s="397"/>
      <c r="L7" s="398" t="s">
        <v>635</v>
      </c>
      <c r="M7" s="399"/>
      <c r="N7" s="381"/>
    </row>
    <row r="8" spans="1:14" ht="15.95" customHeight="1">
      <c r="A8" s="400"/>
      <c r="B8" s="390"/>
      <c r="C8" s="390"/>
      <c r="D8" s="390"/>
      <c r="E8" s="390"/>
      <c r="F8" s="390"/>
      <c r="G8" s="390"/>
      <c r="H8" s="390"/>
      <c r="I8" s="390"/>
      <c r="J8" s="390"/>
      <c r="K8" s="401"/>
      <c r="L8" s="402"/>
      <c r="M8" s="403"/>
      <c r="N8" s="390"/>
    </row>
    <row r="9" spans="1:14" ht="12" customHeight="1">
      <c r="A9" s="404"/>
      <c r="B9" s="405" t="s">
        <v>636</v>
      </c>
      <c r="C9" s="406" t="s">
        <v>738</v>
      </c>
      <c r="D9" s="407"/>
      <c r="E9" s="407"/>
      <c r="F9" s="407"/>
      <c r="G9" s="407"/>
      <c r="H9" s="407"/>
      <c r="I9" s="407"/>
      <c r="J9" s="407"/>
      <c r="K9" s="408"/>
      <c r="L9" s="404"/>
      <c r="M9" s="407"/>
      <c r="N9" s="390"/>
    </row>
    <row r="10" spans="1:14" ht="12" customHeight="1">
      <c r="A10" s="404"/>
      <c r="B10" s="405" t="s">
        <v>637</v>
      </c>
      <c r="C10" s="409" t="s">
        <v>739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2"/>
    </row>
    <row r="11" spans="1:14" ht="16.5" thickBot="1">
      <c r="A11" s="402"/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2"/>
    </row>
    <row r="12" spans="1:14" ht="20.100000000000001" customHeight="1" thickBot="1">
      <c r="A12" s="410" t="s">
        <v>638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2"/>
      <c r="N12" s="381"/>
    </row>
    <row r="13" spans="1:14" ht="12.95" customHeight="1" thickTop="1">
      <c r="A13" s="413"/>
      <c r="B13" s="405" t="s">
        <v>639</v>
      </c>
      <c r="C13" s="414">
        <v>4000</v>
      </c>
      <c r="D13" s="404"/>
      <c r="E13" s="405" t="s">
        <v>640</v>
      </c>
      <c r="F13" s="414">
        <v>4000</v>
      </c>
      <c r="G13" s="404"/>
      <c r="H13" s="405" t="s">
        <v>641</v>
      </c>
      <c r="I13" s="414" t="s">
        <v>725</v>
      </c>
      <c r="J13" s="404"/>
      <c r="K13" s="404"/>
      <c r="L13" s="405" t="s">
        <v>642</v>
      </c>
      <c r="M13" s="415">
        <v>1800</v>
      </c>
      <c r="N13" s="381"/>
    </row>
    <row r="14" spans="1:14" ht="12.95" customHeight="1">
      <c r="A14" s="413"/>
      <c r="B14" s="405" t="s">
        <v>643</v>
      </c>
      <c r="C14" s="414" t="s">
        <v>177</v>
      </c>
      <c r="D14" s="404"/>
      <c r="E14" s="405" t="s">
        <v>644</v>
      </c>
      <c r="F14" s="416" t="s">
        <v>726</v>
      </c>
      <c r="G14" s="404"/>
      <c r="H14" s="405" t="s">
        <v>645</v>
      </c>
      <c r="I14" s="414">
        <v>509</v>
      </c>
      <c r="J14" s="404"/>
      <c r="K14" s="404"/>
      <c r="L14" s="405" t="s">
        <v>397</v>
      </c>
      <c r="M14" s="415">
        <v>1790</v>
      </c>
      <c r="N14" s="381"/>
    </row>
    <row r="15" spans="1:14" ht="12.95" customHeight="1">
      <c r="A15" s="413"/>
      <c r="B15" s="405" t="s">
        <v>646</v>
      </c>
      <c r="C15" s="414" t="s">
        <v>176</v>
      </c>
      <c r="D15" s="404"/>
      <c r="E15" s="405" t="s">
        <v>647</v>
      </c>
      <c r="F15" s="417" t="s">
        <v>743</v>
      </c>
      <c r="G15" s="404"/>
      <c r="H15" s="405" t="s">
        <v>648</v>
      </c>
      <c r="I15" s="416" t="s">
        <v>613</v>
      </c>
      <c r="J15" s="404"/>
      <c r="K15" s="404"/>
      <c r="L15" s="405" t="s">
        <v>649</v>
      </c>
      <c r="M15" s="415" t="s">
        <v>350</v>
      </c>
      <c r="N15" s="381"/>
    </row>
    <row r="16" spans="1:14" ht="12.95" customHeight="1">
      <c r="A16" s="413"/>
      <c r="B16" s="405" t="s">
        <v>650</v>
      </c>
      <c r="C16" s="414" t="s">
        <v>742</v>
      </c>
      <c r="D16" s="404"/>
      <c r="E16" s="405" t="s">
        <v>651</v>
      </c>
      <c r="F16" s="418">
        <v>40</v>
      </c>
      <c r="G16" s="404"/>
      <c r="H16" s="419" t="s">
        <v>652</v>
      </c>
      <c r="I16" s="420" t="s">
        <v>349</v>
      </c>
      <c r="J16" s="404"/>
      <c r="K16" s="404"/>
      <c r="L16" s="405" t="s">
        <v>653</v>
      </c>
      <c r="M16" s="415" t="s">
        <v>654</v>
      </c>
      <c r="N16" s="381"/>
    </row>
    <row r="17" spans="1:14" ht="12.95" customHeight="1">
      <c r="A17" s="413"/>
      <c r="B17" s="405" t="s">
        <v>655</v>
      </c>
      <c r="C17" s="406" t="s">
        <v>740</v>
      </c>
      <c r="D17" s="404"/>
      <c r="E17" s="405"/>
      <c r="F17" s="416"/>
      <c r="G17" s="404"/>
      <c r="H17" s="405" t="s">
        <v>656</v>
      </c>
      <c r="I17" s="420" t="s">
        <v>174</v>
      </c>
      <c r="J17" s="404"/>
      <c r="K17" s="404"/>
      <c r="L17" s="405"/>
      <c r="M17" s="421"/>
      <c r="N17" s="381"/>
    </row>
    <row r="18" spans="1:14" ht="12.95" customHeight="1" thickBot="1">
      <c r="A18" s="422"/>
      <c r="B18" s="423" t="s">
        <v>657</v>
      </c>
      <c r="C18" s="424">
        <v>96.2</v>
      </c>
      <c r="D18" s="425"/>
      <c r="E18" s="423" t="s">
        <v>658</v>
      </c>
      <c r="F18" s="424" t="s">
        <v>174</v>
      </c>
      <c r="G18" s="426"/>
      <c r="H18" s="423" t="s">
        <v>659</v>
      </c>
      <c r="I18" s="424" t="s">
        <v>741</v>
      </c>
      <c r="J18" s="425"/>
      <c r="K18" s="425"/>
      <c r="L18" s="425"/>
      <c r="M18" s="427"/>
      <c r="N18" s="381"/>
    </row>
    <row r="19" spans="1:14" ht="16.5" thickBot="1">
      <c r="A19" s="38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</row>
    <row r="20" spans="1:14" ht="20.100000000000001" customHeight="1" thickBot="1">
      <c r="A20" s="410"/>
      <c r="B20" s="411"/>
      <c r="C20" s="411"/>
      <c r="D20" s="411"/>
      <c r="E20" s="411"/>
      <c r="F20" s="411"/>
      <c r="G20" s="411"/>
      <c r="H20" s="411"/>
      <c r="I20" s="411"/>
      <c r="J20" s="411"/>
      <c r="K20" s="411"/>
      <c r="L20" s="411"/>
      <c r="M20" s="412"/>
    </row>
    <row r="21" spans="1:14" ht="15.95" customHeight="1" thickTop="1">
      <c r="A21" s="428" t="s">
        <v>660</v>
      </c>
      <c r="B21" s="429"/>
      <c r="C21" s="402"/>
      <c r="D21" s="430"/>
      <c r="E21" s="431" t="s">
        <v>661</v>
      </c>
      <c r="F21" s="432"/>
      <c r="G21" s="432"/>
      <c r="H21" s="433"/>
      <c r="I21" s="434" t="s">
        <v>662</v>
      </c>
      <c r="J21" s="432"/>
      <c r="K21" s="432"/>
      <c r="L21" s="402"/>
      <c r="M21" s="435"/>
    </row>
    <row r="22" spans="1:14" ht="15.95" customHeight="1">
      <c r="A22" s="436"/>
      <c r="B22" s="404"/>
      <c r="C22" s="405" t="s">
        <v>663</v>
      </c>
      <c r="D22" s="437">
        <v>2840</v>
      </c>
      <c r="E22" s="405"/>
      <c r="G22" s="419" t="s">
        <v>664</v>
      </c>
      <c r="H22" s="438">
        <v>11736</v>
      </c>
      <c r="I22" s="405"/>
      <c r="J22" s="404"/>
      <c r="K22" s="405" t="s">
        <v>665</v>
      </c>
      <c r="L22" s="404"/>
      <c r="M22" s="421"/>
    </row>
    <row r="23" spans="1:14" ht="15.95" customHeight="1">
      <c r="A23" s="436"/>
      <c r="B23" s="405"/>
      <c r="C23" s="408"/>
      <c r="D23" s="439"/>
      <c r="E23" s="405"/>
      <c r="G23" s="405" t="s">
        <v>666</v>
      </c>
      <c r="H23" s="437">
        <v>125</v>
      </c>
      <c r="I23" s="404"/>
      <c r="J23" s="404"/>
      <c r="K23" s="405" t="s">
        <v>667</v>
      </c>
      <c r="L23" s="404"/>
      <c r="M23" s="421"/>
    </row>
    <row r="24" spans="1:14" ht="15.95" customHeight="1">
      <c r="A24" s="413"/>
      <c r="B24" s="405"/>
      <c r="C24" s="404"/>
      <c r="D24" s="439"/>
      <c r="E24" s="405"/>
      <c r="G24" s="419" t="s">
        <v>668</v>
      </c>
      <c r="H24" s="437">
        <v>205</v>
      </c>
      <c r="I24" s="404"/>
      <c r="J24" s="405"/>
      <c r="K24" s="404"/>
      <c r="L24" s="404"/>
      <c r="M24" s="421"/>
    </row>
    <row r="25" spans="1:14" ht="15.95" customHeight="1" thickBot="1">
      <c r="A25" s="422"/>
      <c r="B25" s="423"/>
      <c r="C25" s="425"/>
      <c r="D25" s="440"/>
      <c r="E25" s="423"/>
      <c r="F25" s="423"/>
      <c r="G25" s="423"/>
      <c r="H25" s="441"/>
      <c r="I25" s="425"/>
      <c r="J25" s="423"/>
      <c r="K25" s="425"/>
      <c r="L25" s="425"/>
      <c r="M25" s="427"/>
    </row>
    <row r="26" spans="1:14" ht="18.95" customHeight="1" thickBot="1">
      <c r="A26" s="400"/>
      <c r="B26" s="400"/>
      <c r="C26" s="400"/>
      <c r="D26" s="381"/>
      <c r="E26" s="381"/>
      <c r="F26" s="381"/>
      <c r="G26" s="381"/>
      <c r="H26" s="381"/>
      <c r="I26" s="381"/>
      <c r="J26" s="381"/>
      <c r="K26" s="381"/>
      <c r="L26" s="381"/>
      <c r="M26" s="381"/>
      <c r="N26" s="381"/>
    </row>
    <row r="27" spans="1:14" ht="20.100000000000001" customHeight="1" thickBot="1">
      <c r="A27" s="442"/>
      <c r="B27" s="443"/>
      <c r="C27" s="443"/>
      <c r="D27" s="443"/>
      <c r="E27" s="443"/>
      <c r="F27" s="443"/>
      <c r="G27" s="444"/>
      <c r="H27" s="443"/>
      <c r="I27" s="443"/>
      <c r="J27" s="443"/>
      <c r="K27" s="443"/>
      <c r="L27" s="443"/>
      <c r="M27" s="445"/>
    </row>
    <row r="28" spans="1:14" ht="15.95" customHeight="1" thickTop="1">
      <c r="A28" s="446" t="s">
        <v>669</v>
      </c>
      <c r="B28" s="429"/>
      <c r="C28" s="402"/>
      <c r="D28" s="402"/>
      <c r="E28" s="432"/>
      <c r="F28" s="432"/>
      <c r="G28" s="447"/>
      <c r="H28" s="431" t="s">
        <v>670</v>
      </c>
      <c r="I28" s="432"/>
      <c r="J28" s="432"/>
      <c r="K28" s="431"/>
      <c r="L28" s="432"/>
      <c r="M28" s="435"/>
    </row>
    <row r="29" spans="1:14" ht="15.95" customHeight="1">
      <c r="A29" s="413"/>
      <c r="B29" s="405"/>
      <c r="C29" s="405" t="s">
        <v>671</v>
      </c>
      <c r="D29" s="448">
        <v>97.1</v>
      </c>
      <c r="E29" s="405"/>
      <c r="F29" s="405"/>
      <c r="G29" s="447"/>
      <c r="H29" s="419"/>
      <c r="I29" s="405"/>
      <c r="J29" s="405" t="s">
        <v>671</v>
      </c>
      <c r="K29" s="448">
        <v>87.2</v>
      </c>
      <c r="L29" s="404"/>
      <c r="M29" s="421"/>
    </row>
    <row r="30" spans="1:14" ht="15.95" customHeight="1">
      <c r="A30" s="449"/>
      <c r="B30" s="404"/>
      <c r="C30" s="405" t="s">
        <v>672</v>
      </c>
      <c r="D30" s="448">
        <v>96.9</v>
      </c>
      <c r="E30" s="405"/>
      <c r="F30" s="405"/>
      <c r="G30" s="447"/>
      <c r="H30" s="405"/>
      <c r="I30" s="404"/>
      <c r="J30" s="405" t="s">
        <v>672</v>
      </c>
      <c r="K30" s="448">
        <v>85.5</v>
      </c>
      <c r="L30" s="404"/>
      <c r="M30" s="421"/>
    </row>
    <row r="31" spans="1:14" ht="15.95" customHeight="1">
      <c r="A31" s="413"/>
      <c r="B31" s="405"/>
      <c r="C31" s="405" t="s">
        <v>673</v>
      </c>
      <c r="D31" s="448">
        <v>96.3</v>
      </c>
      <c r="E31" s="405"/>
      <c r="F31" s="405"/>
      <c r="G31" s="447"/>
      <c r="H31" s="405"/>
      <c r="I31" s="404"/>
      <c r="J31" s="405" t="s">
        <v>673</v>
      </c>
      <c r="K31" s="448">
        <v>80.099999999999994</v>
      </c>
      <c r="L31" s="405"/>
      <c r="M31" s="421"/>
    </row>
    <row r="32" spans="1:14" ht="15.95" customHeight="1" thickBot="1">
      <c r="A32" s="422"/>
      <c r="B32" s="423"/>
      <c r="C32" s="425"/>
      <c r="D32" s="425"/>
      <c r="E32" s="423"/>
      <c r="F32" s="423"/>
      <c r="G32" s="450"/>
      <c r="H32" s="423"/>
      <c r="I32" s="425"/>
      <c r="J32" s="423"/>
      <c r="K32" s="425"/>
      <c r="L32" s="423"/>
      <c r="M32" s="427"/>
    </row>
    <row r="33" spans="1:14" ht="20.100000000000001" customHeight="1" thickBot="1">
      <c r="A33" s="451"/>
      <c r="B33" s="451"/>
      <c r="C33" s="45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</row>
    <row r="34" spans="1:14" ht="20.100000000000001" customHeight="1" thickBot="1">
      <c r="A34" s="452"/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4"/>
    </row>
    <row r="35" spans="1:14" ht="15.95" customHeight="1" thickTop="1">
      <c r="A35" s="455" t="s">
        <v>674</v>
      </c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56"/>
    </row>
    <row r="36" spans="1:14" ht="15.95" customHeight="1">
      <c r="A36" s="449" t="s">
        <v>675</v>
      </c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56"/>
    </row>
    <row r="37" spans="1:14" ht="15.95" customHeight="1">
      <c r="A37" s="457" t="s">
        <v>676</v>
      </c>
      <c r="B37" s="408"/>
      <c r="C37" s="408"/>
      <c r="D37" s="408"/>
      <c r="E37" s="458"/>
      <c r="F37" s="408"/>
      <c r="G37" s="408"/>
      <c r="H37" s="408"/>
      <c r="I37" s="408"/>
      <c r="J37" s="408"/>
      <c r="K37" s="408"/>
      <c r="L37" s="408"/>
      <c r="M37" s="456"/>
    </row>
    <row r="38" spans="1:14" ht="15.95" customHeight="1">
      <c r="A38" s="459" t="s">
        <v>677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56"/>
    </row>
    <row r="39" spans="1:14" ht="15.95" customHeight="1">
      <c r="A39" s="460" t="s">
        <v>678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56"/>
    </row>
    <row r="40" spans="1:14" ht="15.95" customHeight="1" thickBot="1">
      <c r="A40" s="461" t="s">
        <v>679</v>
      </c>
      <c r="B40" s="462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3"/>
    </row>
    <row r="41" spans="1:14" ht="15.95" customHeight="1"/>
    <row r="42" spans="1:14" ht="18">
      <c r="A42" s="464"/>
      <c r="B42" s="464"/>
      <c r="C42" s="464"/>
      <c r="D42" s="464"/>
      <c r="E42" s="464"/>
      <c r="F42" s="464"/>
      <c r="G42" s="464"/>
      <c r="H42" s="381"/>
      <c r="I42" s="381"/>
      <c r="J42" s="465" t="s">
        <v>680</v>
      </c>
      <c r="K42" s="886" t="s">
        <v>681</v>
      </c>
      <c r="L42" s="886"/>
      <c r="M42" s="886"/>
      <c r="N42" s="464"/>
    </row>
    <row r="43" spans="1:14" ht="7.5" customHeight="1">
      <c r="H43" s="381"/>
      <c r="I43" s="381"/>
      <c r="J43" s="381"/>
      <c r="K43" s="381"/>
      <c r="L43" s="381"/>
      <c r="M43" s="381"/>
    </row>
    <row r="44" spans="1:14" ht="16.5">
      <c r="H44" s="381"/>
      <c r="I44" s="381"/>
      <c r="J44" s="465" t="s">
        <v>682</v>
      </c>
      <c r="K44" s="887">
        <v>44971</v>
      </c>
      <c r="L44" s="887"/>
      <c r="M44" s="887"/>
    </row>
    <row r="59" spans="1:5">
      <c r="A59" s="382" t="s">
        <v>174</v>
      </c>
      <c r="B59" s="382" t="s">
        <v>683</v>
      </c>
      <c r="D59" s="382">
        <v>1</v>
      </c>
      <c r="E59" s="466" t="s">
        <v>174</v>
      </c>
    </row>
    <row r="60" spans="1:5">
      <c r="A60" s="382" t="s">
        <v>684</v>
      </c>
      <c r="B60" s="382" t="s">
        <v>685</v>
      </c>
      <c r="D60" s="382">
        <v>1.1499999999999999</v>
      </c>
      <c r="E60" s="466" t="s">
        <v>351</v>
      </c>
    </row>
    <row r="61" spans="1:5">
      <c r="A61" s="382" t="s">
        <v>686</v>
      </c>
      <c r="B61" s="382" t="s">
        <v>687</v>
      </c>
      <c r="E61" s="466" t="s">
        <v>688</v>
      </c>
    </row>
    <row r="62" spans="1:5">
      <c r="B62" s="382" t="s">
        <v>689</v>
      </c>
    </row>
    <row r="63" spans="1:5">
      <c r="B63" s="382" t="s">
        <v>690</v>
      </c>
    </row>
    <row r="64" spans="1:5">
      <c r="B64" s="382" t="s">
        <v>691</v>
      </c>
    </row>
    <row r="65" spans="2:2">
      <c r="B65" s="382" t="s">
        <v>692</v>
      </c>
    </row>
    <row r="66" spans="2:2">
      <c r="B66" s="382" t="s">
        <v>693</v>
      </c>
    </row>
    <row r="67" spans="2:2">
      <c r="B67" s="382" t="s">
        <v>694</v>
      </c>
    </row>
    <row r="68" spans="2:2">
      <c r="B68" s="382" t="s">
        <v>695</v>
      </c>
    </row>
    <row r="69" spans="2:2">
      <c r="B69" s="382" t="s">
        <v>696</v>
      </c>
    </row>
    <row r="70" spans="2:2">
      <c r="B70" s="382" t="s">
        <v>697</v>
      </c>
    </row>
    <row r="71" spans="2:2">
      <c r="B71" s="382" t="s">
        <v>698</v>
      </c>
    </row>
    <row r="72" spans="2:2">
      <c r="B72" s="382" t="s">
        <v>699</v>
      </c>
    </row>
    <row r="73" spans="2:2">
      <c r="B73" s="382" t="s">
        <v>700</v>
      </c>
    </row>
    <row r="74" spans="2:2">
      <c r="B74" s="382" t="s">
        <v>701</v>
      </c>
    </row>
    <row r="75" spans="2:2">
      <c r="B75" s="382" t="s">
        <v>702</v>
      </c>
    </row>
    <row r="76" spans="2:2">
      <c r="B76" s="382" t="s">
        <v>703</v>
      </c>
    </row>
    <row r="77" spans="2:2">
      <c r="B77" s="382" t="s">
        <v>704</v>
      </c>
    </row>
    <row r="78" spans="2:2">
      <c r="B78" s="382" t="s">
        <v>705</v>
      </c>
    </row>
    <row r="79" spans="2:2">
      <c r="B79" s="382" t="s">
        <v>706</v>
      </c>
    </row>
    <row r="80" spans="2:2">
      <c r="B80" s="382">
        <v>6312</v>
      </c>
    </row>
    <row r="81" spans="2:2">
      <c r="B81" s="382" t="s">
        <v>707</v>
      </c>
    </row>
    <row r="82" spans="2:2">
      <c r="B82" s="382" t="s">
        <v>708</v>
      </c>
    </row>
    <row r="83" spans="2:2">
      <c r="B83" s="382" t="s">
        <v>709</v>
      </c>
    </row>
    <row r="84" spans="2:2">
      <c r="B84" s="382" t="s">
        <v>710</v>
      </c>
    </row>
    <row r="85" spans="2:2">
      <c r="B85" s="382">
        <v>6313</v>
      </c>
    </row>
    <row r="86" spans="2:2">
      <c r="B86" s="382" t="s">
        <v>711</v>
      </c>
    </row>
    <row r="87" spans="2:2">
      <c r="B87" s="382" t="s">
        <v>712</v>
      </c>
    </row>
    <row r="88" spans="2:2">
      <c r="B88" s="382" t="s">
        <v>713</v>
      </c>
    </row>
    <row r="89" spans="2:2">
      <c r="B89" s="382">
        <v>6314</v>
      </c>
    </row>
    <row r="90" spans="2:2">
      <c r="B90" s="382" t="s">
        <v>714</v>
      </c>
    </row>
    <row r="91" spans="2:2">
      <c r="B91" s="382">
        <v>6317</v>
      </c>
    </row>
    <row r="92" spans="2:2">
      <c r="B92" s="382" t="s">
        <v>715</v>
      </c>
    </row>
    <row r="93" spans="2:2">
      <c r="B93" s="382">
        <v>6318</v>
      </c>
    </row>
    <row r="94" spans="2:2">
      <c r="B94" s="382" t="s">
        <v>716</v>
      </c>
    </row>
    <row r="95" spans="2:2">
      <c r="B95" s="382" t="s">
        <v>717</v>
      </c>
    </row>
    <row r="96" spans="2:2">
      <c r="B96" s="382" t="s">
        <v>718</v>
      </c>
    </row>
    <row r="97" spans="2:2">
      <c r="B97" s="382">
        <v>6320</v>
      </c>
    </row>
    <row r="98" spans="2:2">
      <c r="B98" s="382" t="s">
        <v>719</v>
      </c>
    </row>
    <row r="99" spans="2:2">
      <c r="B99" s="382" t="s">
        <v>720</v>
      </c>
    </row>
    <row r="100" spans="2:2">
      <c r="B100" s="382" t="s">
        <v>721</v>
      </c>
    </row>
    <row r="101" spans="2:2">
      <c r="B101" s="382" t="s">
        <v>722</v>
      </c>
    </row>
    <row r="102" spans="2:2">
      <c r="B102" s="382" t="s">
        <v>722</v>
      </c>
    </row>
    <row r="118" spans="2:2">
      <c r="B118" s="382" t="s">
        <v>723</v>
      </c>
    </row>
    <row r="120" spans="2:2">
      <c r="B120" s="382" t="s">
        <v>724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topLeftCell="A16" workbookViewId="0">
      <selection activeCell="A39" sqref="A39:F43"/>
    </sheetView>
  </sheetViews>
  <sheetFormatPr defaultColWidth="9.140625" defaultRowHeight="12.75"/>
  <cols>
    <col min="1" max="6" width="16.7109375" style="310" customWidth="1"/>
    <col min="7" max="16384" width="9.140625" style="310"/>
  </cols>
  <sheetData>
    <row r="1" spans="1:6" ht="18.95" customHeight="1">
      <c r="A1" s="328"/>
      <c r="B1" s="329"/>
      <c r="C1" s="329"/>
      <c r="D1" s="329"/>
      <c r="E1" s="329"/>
      <c r="F1" s="330"/>
    </row>
    <row r="2" spans="1:6" ht="26.1" customHeight="1">
      <c r="A2" s="331" t="s">
        <v>267</v>
      </c>
      <c r="B2" s="332"/>
      <c r="C2" s="332"/>
      <c r="D2" s="332"/>
      <c r="E2" s="332"/>
      <c r="F2" s="333"/>
    </row>
    <row r="3" spans="1:6" ht="18.95" customHeight="1">
      <c r="A3" s="334" t="s">
        <v>385</v>
      </c>
      <c r="B3" s="332"/>
      <c r="C3" s="332"/>
      <c r="D3" s="332"/>
      <c r="E3" s="332"/>
      <c r="F3" s="333"/>
    </row>
    <row r="4" spans="1:6" ht="18.95" customHeight="1">
      <c r="A4" s="335"/>
      <c r="B4" s="336"/>
      <c r="C4" s="336"/>
      <c r="D4" s="336"/>
      <c r="E4" s="336"/>
      <c r="F4" s="337"/>
    </row>
    <row r="5" spans="1:6" ht="18.95" customHeight="1">
      <c r="A5" s="335"/>
      <c r="B5" s="336"/>
      <c r="C5" s="336"/>
      <c r="D5" s="336"/>
      <c r="E5" s="336"/>
      <c r="F5" s="337"/>
    </row>
    <row r="6" spans="1:6" ht="18.95" customHeight="1">
      <c r="A6" s="338" t="s">
        <v>386</v>
      </c>
      <c r="B6" s="888" t="s">
        <v>611</v>
      </c>
      <c r="C6" s="889"/>
      <c r="D6" s="890"/>
      <c r="E6" s="338" t="s">
        <v>387</v>
      </c>
      <c r="F6" s="339" t="str">
        <f>'Performance Data Sheet'!I14 &amp; " A"</f>
        <v>509 A</v>
      </c>
    </row>
    <row r="7" spans="1:6" ht="18.95" customHeight="1">
      <c r="A7" s="338" t="s">
        <v>388</v>
      </c>
      <c r="B7" s="339" t="str">
        <f>'Performance Data Sheet'!F14</f>
        <v>WP-II</v>
      </c>
      <c r="C7" s="338" t="s">
        <v>389</v>
      </c>
      <c r="D7" s="339" t="str">
        <f>'Performance Data Sheet'!F13 &amp; " V"</f>
        <v>4000 V</v>
      </c>
      <c r="E7" s="338" t="s">
        <v>390</v>
      </c>
      <c r="F7" s="339" t="str">
        <f>'Performance Data Sheet'!C14</f>
        <v>450-1600</v>
      </c>
    </row>
    <row r="8" spans="1:6" ht="18.95" customHeight="1">
      <c r="A8" s="338" t="s">
        <v>391</v>
      </c>
      <c r="B8" s="339">
        <v>4</v>
      </c>
      <c r="C8" s="338" t="s">
        <v>392</v>
      </c>
      <c r="D8" s="339" t="s">
        <v>393</v>
      </c>
      <c r="E8" s="338" t="s">
        <v>394</v>
      </c>
      <c r="F8" s="339" t="s">
        <v>350</v>
      </c>
    </row>
    <row r="9" spans="1:6" ht="18.95" customHeight="1">
      <c r="A9" s="338" t="s">
        <v>395</v>
      </c>
      <c r="B9" s="339">
        <v>4000</v>
      </c>
      <c r="C9" s="338" t="s">
        <v>396</v>
      </c>
      <c r="D9" s="339" t="s">
        <v>408</v>
      </c>
      <c r="E9" s="338" t="s">
        <v>2</v>
      </c>
      <c r="F9" s="340">
        <f>'Performance Data Sheet'!K44</f>
        <v>44971</v>
      </c>
    </row>
    <row r="10" spans="1:6" ht="18.95" customHeight="1">
      <c r="A10" s="338" t="s">
        <v>397</v>
      </c>
      <c r="B10" s="339">
        <v>1790</v>
      </c>
      <c r="C10" s="338" t="s">
        <v>259</v>
      </c>
      <c r="D10" s="339" t="s">
        <v>398</v>
      </c>
      <c r="E10" s="338" t="s">
        <v>1</v>
      </c>
      <c r="F10" s="339" t="s">
        <v>353</v>
      </c>
    </row>
    <row r="11" spans="1:6" ht="18.95" customHeight="1">
      <c r="A11" s="335"/>
      <c r="B11" s="336"/>
      <c r="C11" s="336"/>
      <c r="D11" s="336"/>
      <c r="E11" s="336"/>
      <c r="F11" s="337"/>
    </row>
    <row r="12" spans="1:6" ht="18.95" customHeight="1">
      <c r="A12" s="335"/>
      <c r="B12" s="341" t="s">
        <v>399</v>
      </c>
      <c r="C12" s="342" t="str">
        <f>'Performance Data Sheet'!D22 &amp; " A"</f>
        <v>2840 A</v>
      </c>
      <c r="D12" s="341" t="s">
        <v>258</v>
      </c>
      <c r="E12" s="342" t="s">
        <v>398</v>
      </c>
      <c r="F12" s="337"/>
    </row>
    <row r="13" spans="1:6" ht="18.95" customHeight="1">
      <c r="A13" s="335"/>
      <c r="B13" s="341" t="s">
        <v>400</v>
      </c>
      <c r="C13" s="343">
        <v>1.25</v>
      </c>
      <c r="D13" s="341" t="s">
        <v>401</v>
      </c>
      <c r="E13" s="327" t="s">
        <v>398</v>
      </c>
      <c r="F13" s="337"/>
    </row>
    <row r="14" spans="1:6" ht="18.95" customHeight="1">
      <c r="A14" s="335"/>
      <c r="B14" s="341" t="s">
        <v>402</v>
      </c>
      <c r="C14" s="343">
        <v>2.0499999999999998</v>
      </c>
      <c r="D14" s="341" t="s">
        <v>260</v>
      </c>
      <c r="E14" s="327" t="s">
        <v>398</v>
      </c>
      <c r="F14" s="337"/>
    </row>
    <row r="15" spans="1:6" ht="18.95" customHeight="1">
      <c r="A15" s="335"/>
      <c r="B15" s="341" t="s">
        <v>261</v>
      </c>
      <c r="C15" s="342" t="s">
        <v>409</v>
      </c>
      <c r="D15" s="336"/>
      <c r="E15" s="336"/>
      <c r="F15" s="337"/>
    </row>
    <row r="16" spans="1:6" ht="18.95" customHeight="1">
      <c r="A16" s="335"/>
      <c r="B16" s="336"/>
      <c r="C16" s="336"/>
      <c r="D16" s="336"/>
      <c r="E16" s="336"/>
      <c r="F16" s="337"/>
    </row>
    <row r="17" spans="1:6" ht="18.95" customHeight="1">
      <c r="A17" s="335"/>
      <c r="B17" s="336"/>
      <c r="C17" s="336"/>
      <c r="D17" s="336"/>
      <c r="E17" s="336"/>
      <c r="F17" s="337"/>
    </row>
    <row r="18" spans="1:6" ht="18.95" customHeight="1">
      <c r="A18" s="335"/>
      <c r="B18" s="336"/>
      <c r="C18" s="336"/>
      <c r="D18" s="336"/>
      <c r="E18" s="336"/>
      <c r="F18" s="337"/>
    </row>
    <row r="19" spans="1:6" ht="18.95" customHeight="1">
      <c r="A19" s="335"/>
      <c r="B19" s="336"/>
      <c r="C19" s="336"/>
      <c r="D19" s="336"/>
      <c r="E19" s="336"/>
      <c r="F19" s="337"/>
    </row>
    <row r="20" spans="1:6" ht="18.95" customHeight="1">
      <c r="A20" s="335"/>
      <c r="B20" s="336"/>
      <c r="C20" s="336"/>
      <c r="D20" s="336"/>
      <c r="E20" s="336"/>
      <c r="F20" s="337"/>
    </row>
    <row r="21" spans="1:6" ht="18.95" customHeight="1">
      <c r="A21" s="335"/>
      <c r="B21" s="336"/>
      <c r="C21" s="336"/>
      <c r="D21" s="336"/>
      <c r="E21" s="336"/>
      <c r="F21" s="337"/>
    </row>
    <row r="22" spans="1:6" ht="18.95" customHeight="1">
      <c r="A22" s="335"/>
      <c r="B22" s="336"/>
      <c r="C22" s="336"/>
      <c r="D22" s="336"/>
      <c r="E22" s="336"/>
      <c r="F22" s="337"/>
    </row>
    <row r="23" spans="1:6" ht="18.95" customHeight="1">
      <c r="A23" s="335"/>
      <c r="B23" s="336"/>
      <c r="C23" s="336"/>
      <c r="D23" s="336"/>
      <c r="E23" s="336"/>
      <c r="F23" s="337"/>
    </row>
    <row r="24" spans="1:6" ht="18.95" customHeight="1">
      <c r="A24" s="335"/>
      <c r="B24" s="336"/>
      <c r="C24" s="336"/>
      <c r="D24" s="336"/>
      <c r="E24" s="336"/>
      <c r="F24" s="337"/>
    </row>
    <row r="25" spans="1:6" ht="18.95" customHeight="1">
      <c r="A25" s="335"/>
      <c r="B25" s="336"/>
      <c r="C25" s="336"/>
      <c r="D25" s="336"/>
      <c r="E25" s="336"/>
      <c r="F25" s="337"/>
    </row>
    <row r="26" spans="1:6" ht="18.95" customHeight="1">
      <c r="A26" s="335"/>
      <c r="B26" s="336"/>
      <c r="C26" s="336"/>
      <c r="D26" s="336"/>
      <c r="E26" s="336"/>
      <c r="F26" s="337"/>
    </row>
    <row r="27" spans="1:6" ht="18.95" customHeight="1">
      <c r="A27" s="335"/>
      <c r="B27" s="336"/>
      <c r="C27" s="336"/>
      <c r="D27" s="336"/>
      <c r="E27" s="336"/>
      <c r="F27" s="337"/>
    </row>
    <row r="28" spans="1:6" ht="18.95" customHeight="1">
      <c r="A28" s="335"/>
      <c r="B28" s="336"/>
      <c r="C28" s="336"/>
      <c r="D28" s="336"/>
      <c r="E28" s="336"/>
      <c r="F28" s="337"/>
    </row>
    <row r="29" spans="1:6" ht="18.95" customHeight="1">
      <c r="A29" s="335"/>
      <c r="B29" s="336"/>
      <c r="C29" s="336"/>
      <c r="D29" s="336"/>
      <c r="E29" s="336"/>
      <c r="F29" s="337"/>
    </row>
    <row r="30" spans="1:6" ht="18.95" customHeight="1">
      <c r="A30" s="335"/>
      <c r="B30" s="336"/>
      <c r="C30" s="336"/>
      <c r="D30" s="336"/>
      <c r="E30" s="336"/>
      <c r="F30" s="337"/>
    </row>
    <row r="31" spans="1:6" ht="18.95" customHeight="1">
      <c r="A31" s="335"/>
      <c r="B31" s="336"/>
      <c r="C31" s="336"/>
      <c r="D31" s="336"/>
      <c r="E31" s="336"/>
      <c r="F31" s="337"/>
    </row>
    <row r="32" spans="1:6" ht="18.95" customHeight="1">
      <c r="A32" s="335"/>
      <c r="B32" s="336"/>
      <c r="C32" s="336"/>
      <c r="D32" s="336"/>
      <c r="E32" s="336"/>
      <c r="F32" s="337"/>
    </row>
    <row r="33" spans="1:6" ht="18.95" customHeight="1">
      <c r="A33" s="335"/>
      <c r="B33" s="336"/>
      <c r="C33" s="336"/>
      <c r="D33" s="336"/>
      <c r="E33" s="336"/>
      <c r="F33" s="337"/>
    </row>
    <row r="34" spans="1:6" ht="18.95" customHeight="1">
      <c r="A34" s="335"/>
      <c r="B34" s="336"/>
      <c r="C34" s="336"/>
      <c r="D34" s="336"/>
      <c r="E34" s="336"/>
      <c r="F34" s="337"/>
    </row>
    <row r="35" spans="1:6" ht="18.95" customHeight="1">
      <c r="A35" s="335"/>
      <c r="B35" s="336"/>
      <c r="C35" s="336"/>
      <c r="D35" s="336"/>
      <c r="E35" s="336"/>
      <c r="F35" s="337"/>
    </row>
    <row r="36" spans="1:6" ht="18.95" customHeight="1">
      <c r="A36" s="335"/>
      <c r="B36" s="336"/>
      <c r="C36" s="336"/>
      <c r="D36" s="336"/>
      <c r="E36" s="336"/>
      <c r="F36" s="337"/>
    </row>
    <row r="37" spans="1:6" ht="18.95" customHeight="1">
      <c r="A37" s="335"/>
      <c r="B37" s="336"/>
      <c r="C37" s="336"/>
      <c r="D37" s="336"/>
      <c r="E37" s="336"/>
      <c r="F37" s="337"/>
    </row>
    <row r="38" spans="1:6" ht="18.95" customHeight="1">
      <c r="A38" s="335"/>
      <c r="B38" s="336"/>
      <c r="C38" s="336"/>
      <c r="D38" s="336"/>
      <c r="E38" s="336"/>
      <c r="F38" s="337"/>
    </row>
    <row r="39" spans="1:6" ht="18.95" customHeight="1">
      <c r="A39" s="344" t="s">
        <v>403</v>
      </c>
      <c r="B39" s="345" t="s">
        <v>352</v>
      </c>
      <c r="C39" s="467" t="str">
        <f>'Performance Data Sheet'!C10</f>
        <v>2326400.3</v>
      </c>
      <c r="D39" s="336"/>
      <c r="E39" s="341" t="s">
        <v>404</v>
      </c>
      <c r="F39" s="346"/>
    </row>
    <row r="40" spans="1:6" ht="18.95" customHeight="1">
      <c r="A40" s="335"/>
      <c r="B40" s="345"/>
      <c r="C40" s="345"/>
      <c r="D40" s="336"/>
      <c r="E40" s="336"/>
      <c r="F40" s="337"/>
    </row>
    <row r="41" spans="1:6" ht="18.95" customHeight="1">
      <c r="A41" s="335"/>
      <c r="B41" s="345"/>
      <c r="C41" s="345"/>
      <c r="D41" s="336"/>
      <c r="E41" s="336"/>
      <c r="F41" s="337"/>
    </row>
    <row r="42" spans="1:6" ht="18.95" customHeight="1">
      <c r="A42" s="335"/>
      <c r="B42" s="336"/>
      <c r="C42" s="336"/>
      <c r="D42" s="336"/>
      <c r="E42" s="336"/>
      <c r="F42" s="337"/>
    </row>
    <row r="43" spans="1:6" ht="18.95" customHeight="1">
      <c r="A43" s="347"/>
      <c r="B43" s="345"/>
      <c r="C43" s="348" t="s">
        <v>405</v>
      </c>
      <c r="D43" s="349" t="str">
        <f>'Performance Data Sheet'!K42</f>
        <v>Jerry R</v>
      </c>
      <c r="E43" s="348" t="s">
        <v>406</v>
      </c>
      <c r="F43" s="34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257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50">
        <v>100</v>
      </c>
      <c r="B54" s="151">
        <v>0</v>
      </c>
      <c r="C54" s="151">
        <v>0.25305375456809998</v>
      </c>
      <c r="D54" s="151">
        <v>100</v>
      </c>
      <c r="E54" s="151">
        <f>0.64*B54</f>
        <v>0</v>
      </c>
      <c r="F54" s="151">
        <f>0.8*C54</f>
        <v>0.20244300365447998</v>
      </c>
      <c r="G54" s="151"/>
      <c r="H54" s="151"/>
      <c r="I54" s="151"/>
      <c r="J54" s="151"/>
      <c r="K54" s="151"/>
      <c r="L54" s="151"/>
    </row>
    <row r="55" spans="1:12" ht="15" customHeight="1">
      <c r="A55" s="350">
        <v>99.799999967217445</v>
      </c>
      <c r="B55" s="151">
        <v>117.81515039764199</v>
      </c>
      <c r="C55" s="151">
        <v>140.03630065917969</v>
      </c>
      <c r="D55" s="151">
        <v>99.599998474121094</v>
      </c>
      <c r="E55" s="151">
        <f t="shared" ref="E55:E67" si="0">0.64*B55</f>
        <v>75.401696254490872</v>
      </c>
      <c r="F55" s="151">
        <f t="shared" ref="F55:F67" si="1">0.8*C55</f>
        <v>112.02904052734375</v>
      </c>
      <c r="G55" s="151"/>
      <c r="H55" s="151"/>
      <c r="I55" s="151"/>
      <c r="J55" s="151"/>
      <c r="K55" s="151"/>
      <c r="L55" s="151"/>
    </row>
    <row r="56" spans="1:12" ht="15" customHeight="1">
      <c r="A56" s="350">
        <v>98.999999836087227</v>
      </c>
      <c r="B56" s="151">
        <v>205</v>
      </c>
      <c r="C56" s="151">
        <v>402.85150146484375</v>
      </c>
      <c r="D56" s="151">
        <v>98</v>
      </c>
      <c r="E56" s="151">
        <f t="shared" si="0"/>
        <v>131.19999999999999</v>
      </c>
      <c r="F56" s="151">
        <f t="shared" si="1"/>
        <v>322.28120117187501</v>
      </c>
      <c r="G56" s="151"/>
      <c r="H56" s="151"/>
      <c r="I56" s="151"/>
      <c r="J56" s="151"/>
      <c r="K56" s="151"/>
      <c r="L56" s="151"/>
    </row>
    <row r="57" spans="1:12">
      <c r="A57" s="350">
        <v>93.789473548531532</v>
      </c>
      <c r="B57" s="151">
        <v>148.61201785760858</v>
      </c>
      <c r="C57" s="151">
        <v>465.93875122070313</v>
      </c>
      <c r="D57" s="151">
        <v>83.852630615234375</v>
      </c>
      <c r="E57" s="151">
        <f t="shared" si="0"/>
        <v>95.111691428869491</v>
      </c>
      <c r="F57" s="151">
        <f t="shared" si="1"/>
        <v>372.75100097656252</v>
      </c>
      <c r="G57" s="151"/>
      <c r="H57" s="151"/>
      <c r="I57" s="151"/>
      <c r="J57" s="151"/>
      <c r="K57" s="151"/>
      <c r="L57" s="151"/>
    </row>
    <row r="58" spans="1:12">
      <c r="A58" s="350">
        <v>88.578946888446808</v>
      </c>
      <c r="B58" s="151">
        <v>131.95522232428112</v>
      </c>
      <c r="C58" s="151">
        <v>484.884033203125</v>
      </c>
      <c r="D58" s="151">
        <v>70.305259704589844</v>
      </c>
      <c r="E58" s="151">
        <f t="shared" si="0"/>
        <v>84.451342287539916</v>
      </c>
      <c r="F58" s="151">
        <f t="shared" si="1"/>
        <v>387.9072265625</v>
      </c>
      <c r="G58" s="151"/>
      <c r="H58" s="151"/>
      <c r="I58" s="151"/>
      <c r="J58" s="151"/>
      <c r="K58" s="151"/>
      <c r="L58" s="151"/>
    </row>
    <row r="59" spans="1:12">
      <c r="A59" s="350">
        <v>83.368420600891113</v>
      </c>
      <c r="B59" s="151">
        <v>126.84344333188668</v>
      </c>
      <c r="C59" s="151">
        <v>495.44305419921875</v>
      </c>
      <c r="D59" s="151">
        <v>57.410526275634766</v>
      </c>
      <c r="E59" s="151">
        <f t="shared" si="0"/>
        <v>81.179803732407478</v>
      </c>
      <c r="F59" s="151">
        <f t="shared" si="1"/>
        <v>396.35444335937501</v>
      </c>
      <c r="G59" s="151"/>
      <c r="H59" s="151"/>
      <c r="I59" s="151"/>
      <c r="J59" s="151"/>
      <c r="K59" s="151"/>
      <c r="L59" s="151"/>
    </row>
    <row r="60" spans="1:12">
      <c r="A60" s="350">
        <v>72.947368025779724</v>
      </c>
      <c r="B60" s="151">
        <v>125.14720214597963</v>
      </c>
      <c r="C60" s="151">
        <v>510.4969482421875</v>
      </c>
      <c r="D60" s="151">
        <v>38.010524749755859</v>
      </c>
      <c r="E60" s="151">
        <f t="shared" si="0"/>
        <v>80.094209373426963</v>
      </c>
      <c r="F60" s="151">
        <f t="shared" si="1"/>
        <v>408.39755859375003</v>
      </c>
      <c r="G60" s="151"/>
      <c r="H60" s="151"/>
      <c r="I60" s="151"/>
      <c r="J60" s="151"/>
      <c r="K60" s="151"/>
      <c r="L60" s="151"/>
    </row>
    <row r="61" spans="1:12">
      <c r="A61" s="350">
        <v>62.526315450668335</v>
      </c>
      <c r="B61" s="151">
        <v>125.10324425128957</v>
      </c>
      <c r="C61" s="151">
        <v>522.35211181640625</v>
      </c>
      <c r="D61" s="151">
        <v>24.778947830200195</v>
      </c>
      <c r="E61" s="151">
        <f t="shared" si="0"/>
        <v>80.066076320825331</v>
      </c>
      <c r="F61" s="151">
        <f t="shared" si="1"/>
        <v>417.88168945312503</v>
      </c>
      <c r="G61" s="151"/>
      <c r="H61" s="151"/>
      <c r="I61" s="151"/>
      <c r="J61" s="151"/>
      <c r="K61" s="151"/>
      <c r="L61" s="151"/>
    </row>
    <row r="62" spans="1:12">
      <c r="A62" s="350">
        <v>52.105262875556946</v>
      </c>
      <c r="B62" s="151">
        <v>125.07052664850416</v>
      </c>
      <c r="C62" s="151">
        <v>531.9515380859375</v>
      </c>
      <c r="D62" s="151">
        <v>15.684209823608398</v>
      </c>
      <c r="E62" s="151">
        <f t="shared" si="0"/>
        <v>80.045137055042659</v>
      </c>
      <c r="F62" s="151">
        <f t="shared" si="1"/>
        <v>425.56123046875001</v>
      </c>
      <c r="G62" s="151"/>
      <c r="H62" s="151"/>
      <c r="I62" s="151"/>
      <c r="J62" s="151"/>
      <c r="K62" s="151"/>
      <c r="L62" s="151"/>
    </row>
    <row r="63" spans="1:12">
      <c r="A63" s="350">
        <v>41.684210300445557</v>
      </c>
      <c r="B63" s="151">
        <v>125.04836138942829</v>
      </c>
      <c r="C63" s="151">
        <v>539.56793212890625</v>
      </c>
      <c r="D63" s="151">
        <v>9.0105257034301758</v>
      </c>
      <c r="E63" s="151">
        <f t="shared" si="0"/>
        <v>80.03095128923411</v>
      </c>
      <c r="F63" s="151">
        <f t="shared" si="1"/>
        <v>431.65434570312505</v>
      </c>
      <c r="G63" s="151"/>
      <c r="H63" s="151"/>
      <c r="I63" s="151"/>
      <c r="J63" s="151"/>
      <c r="K63" s="151"/>
      <c r="L63" s="151"/>
    </row>
    <row r="64" spans="1:12">
      <c r="A64" s="350">
        <v>31.263160705566406</v>
      </c>
      <c r="B64" s="151">
        <v>125.02830383894764</v>
      </c>
      <c r="C64" s="151">
        <v>545.62969970703125</v>
      </c>
      <c r="D64" s="151">
        <v>6.2526321411132813</v>
      </c>
      <c r="E64" s="151">
        <f t="shared" si="0"/>
        <v>80.018114456926483</v>
      </c>
      <c r="F64" s="151">
        <f t="shared" si="1"/>
        <v>436.50375976562503</v>
      </c>
      <c r="G64" s="151"/>
      <c r="H64" s="151"/>
      <c r="I64" s="151"/>
      <c r="J64" s="151"/>
      <c r="K64" s="151"/>
      <c r="L64" s="151"/>
    </row>
    <row r="65" spans="1:12">
      <c r="A65" s="350">
        <v>20.842105150222778</v>
      </c>
      <c r="B65" s="151">
        <v>125.01583235430658</v>
      </c>
      <c r="C65" s="151">
        <v>550.51708984375</v>
      </c>
      <c r="D65" s="151">
        <v>7.8315787315368652</v>
      </c>
      <c r="E65" s="151">
        <f t="shared" si="0"/>
        <v>80.01013270675621</v>
      </c>
      <c r="F65" s="151">
        <f t="shared" si="1"/>
        <v>440.41367187500003</v>
      </c>
      <c r="G65" s="151"/>
      <c r="H65" s="151"/>
      <c r="I65" s="151"/>
      <c r="J65" s="151"/>
      <c r="K65" s="151"/>
      <c r="L65" s="151"/>
    </row>
    <row r="66" spans="1:12">
      <c r="A66" s="350">
        <v>10.421055555343628</v>
      </c>
      <c r="B66" s="151">
        <v>125.00398360489604</v>
      </c>
      <c r="C66" s="151">
        <v>554.55633544921875</v>
      </c>
      <c r="D66" s="151">
        <v>14.70526123046875</v>
      </c>
      <c r="E66" s="151">
        <f t="shared" si="0"/>
        <v>80.002549507133466</v>
      </c>
      <c r="F66" s="151">
        <f t="shared" si="1"/>
        <v>443.64506835937505</v>
      </c>
      <c r="G66" s="151"/>
      <c r="H66" s="151"/>
      <c r="I66" s="151"/>
      <c r="J66" s="151"/>
      <c r="K66" s="151"/>
      <c r="L66" s="151"/>
    </row>
    <row r="67" spans="1:12">
      <c r="A67" s="351">
        <v>0</v>
      </c>
      <c r="B67" s="151">
        <v>125</v>
      </c>
      <c r="C67" s="151">
        <v>557.956787109375</v>
      </c>
      <c r="D67" s="151">
        <v>30</v>
      </c>
      <c r="E67" s="151">
        <f t="shared" si="0"/>
        <v>80</v>
      </c>
      <c r="F67" s="151">
        <f t="shared" si="1"/>
        <v>446.36542968750001</v>
      </c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24" workbookViewId="0">
      <selection activeCell="E42" sqref="E42"/>
    </sheetView>
  </sheetViews>
  <sheetFormatPr defaultColWidth="9.140625" defaultRowHeight="12.75"/>
  <cols>
    <col min="1" max="6" width="16.7109375" style="310" customWidth="1"/>
    <col min="7" max="16384" width="9.140625" style="310"/>
  </cols>
  <sheetData>
    <row r="1" spans="1:6" ht="18.95" customHeight="1">
      <c r="A1" s="328"/>
      <c r="B1" s="329"/>
      <c r="C1" s="329"/>
      <c r="D1" s="329"/>
      <c r="E1" s="329"/>
      <c r="F1" s="330"/>
    </row>
    <row r="2" spans="1:6" ht="26.1" customHeight="1">
      <c r="A2" s="331" t="s">
        <v>267</v>
      </c>
      <c r="B2" s="332"/>
      <c r="C2" s="332"/>
      <c r="D2" s="332"/>
      <c r="E2" s="332"/>
      <c r="F2" s="333"/>
    </row>
    <row r="3" spans="1:6" ht="18.95" customHeight="1">
      <c r="A3" s="891" t="s">
        <v>567</v>
      </c>
      <c r="B3" s="892"/>
      <c r="C3" s="892"/>
      <c r="D3" s="892"/>
      <c r="E3" s="892"/>
      <c r="F3" s="893"/>
    </row>
    <row r="4" spans="1:6" ht="18.95" customHeight="1">
      <c r="A4" s="894" t="s">
        <v>568</v>
      </c>
      <c r="B4" s="895"/>
      <c r="C4" s="895"/>
      <c r="D4" s="895"/>
      <c r="E4" s="895"/>
      <c r="F4" s="896"/>
    </row>
    <row r="5" spans="1:6" ht="18.95" customHeight="1">
      <c r="A5" s="335"/>
      <c r="B5" s="336"/>
      <c r="C5" s="336"/>
      <c r="D5" s="336"/>
      <c r="E5" s="336"/>
      <c r="F5" s="337"/>
    </row>
    <row r="6" spans="1:6" ht="18.95" customHeight="1">
      <c r="A6" s="338" t="s">
        <v>386</v>
      </c>
      <c r="B6" s="888" t="s">
        <v>611</v>
      </c>
      <c r="C6" s="889"/>
      <c r="D6" s="890"/>
      <c r="E6" s="338" t="s">
        <v>387</v>
      </c>
      <c r="F6" s="339" t="str">
        <f>'Performance Data Sheet'!I14 &amp; " A"</f>
        <v>509 A</v>
      </c>
    </row>
    <row r="7" spans="1:6" ht="18.95" customHeight="1">
      <c r="A7" s="338" t="s">
        <v>388</v>
      </c>
      <c r="B7" s="339" t="str">
        <f>'Performance Data Sheet'!F14</f>
        <v>WP-II</v>
      </c>
      <c r="C7" s="338" t="s">
        <v>389</v>
      </c>
      <c r="D7" s="339" t="str">
        <f>'Performance Data Sheet'!F13 &amp; " V"</f>
        <v>4000 V</v>
      </c>
      <c r="E7" s="338" t="s">
        <v>390</v>
      </c>
      <c r="F7" s="339" t="str">
        <f>'Performance Data Sheet'!C14</f>
        <v>450-1600</v>
      </c>
    </row>
    <row r="8" spans="1:6" ht="18.95" customHeight="1">
      <c r="A8" s="338" t="s">
        <v>391</v>
      </c>
      <c r="B8" s="339">
        <v>4</v>
      </c>
      <c r="C8" s="338" t="s">
        <v>392</v>
      </c>
      <c r="D8" s="339" t="s">
        <v>393</v>
      </c>
      <c r="E8" s="338" t="s">
        <v>394</v>
      </c>
      <c r="F8" s="339" t="s">
        <v>350</v>
      </c>
    </row>
    <row r="9" spans="1:6" ht="18.95" customHeight="1">
      <c r="A9" s="338" t="s">
        <v>395</v>
      </c>
      <c r="B9" s="339">
        <v>4000</v>
      </c>
      <c r="C9" s="338" t="s">
        <v>396</v>
      </c>
      <c r="D9" s="339" t="s">
        <v>408</v>
      </c>
      <c r="E9" s="338" t="s">
        <v>2</v>
      </c>
      <c r="F9" s="340">
        <f>'Performance Data Sheet'!K44</f>
        <v>44971</v>
      </c>
    </row>
    <row r="10" spans="1:6" ht="18.95" customHeight="1">
      <c r="A10" s="338" t="s">
        <v>397</v>
      </c>
      <c r="B10" s="339">
        <v>1790</v>
      </c>
      <c r="C10" s="338" t="s">
        <v>259</v>
      </c>
      <c r="D10" s="339" t="s">
        <v>398</v>
      </c>
      <c r="E10" s="338" t="s">
        <v>1</v>
      </c>
      <c r="F10" s="339" t="s">
        <v>353</v>
      </c>
    </row>
    <row r="11" spans="1:6" ht="18.95" customHeight="1">
      <c r="A11" s="335"/>
      <c r="B11" s="336"/>
      <c r="C11" s="336"/>
      <c r="D11" s="336"/>
      <c r="E11" s="336"/>
      <c r="F11" s="337"/>
    </row>
    <row r="12" spans="1:6" ht="18.95" customHeight="1">
      <c r="A12" s="335"/>
      <c r="B12" s="341"/>
      <c r="C12" s="342"/>
      <c r="D12" s="341"/>
      <c r="E12" s="342"/>
      <c r="F12" s="337"/>
    </row>
    <row r="13" spans="1:6" ht="18.95" customHeight="1">
      <c r="A13" s="335"/>
      <c r="B13" s="341"/>
      <c r="C13" s="343"/>
      <c r="D13" s="341"/>
      <c r="E13" s="342"/>
      <c r="F13" s="337"/>
    </row>
    <row r="14" spans="1:6" ht="18.95" customHeight="1">
      <c r="A14" s="335"/>
      <c r="B14" s="341"/>
      <c r="C14" s="343"/>
      <c r="D14" s="341"/>
      <c r="E14" s="342"/>
      <c r="F14" s="337"/>
    </row>
    <row r="15" spans="1:6" ht="18.95" customHeight="1">
      <c r="A15" s="335"/>
      <c r="B15" s="341"/>
      <c r="C15" s="342"/>
      <c r="D15" s="336"/>
      <c r="E15" s="336"/>
      <c r="F15" s="337"/>
    </row>
    <row r="16" spans="1:6" ht="18.95" customHeight="1">
      <c r="A16" s="335"/>
      <c r="B16" s="336"/>
      <c r="C16" s="336"/>
      <c r="D16" s="336"/>
      <c r="E16" s="336"/>
      <c r="F16" s="337"/>
    </row>
    <row r="17" spans="1:6" ht="18.95" customHeight="1">
      <c r="A17" s="335"/>
      <c r="B17" s="336"/>
      <c r="C17" s="336"/>
      <c r="D17" s="336"/>
      <c r="E17" s="336"/>
      <c r="F17" s="337"/>
    </row>
    <row r="18" spans="1:6" ht="18.95" customHeight="1">
      <c r="A18" s="335"/>
      <c r="B18" s="336"/>
      <c r="C18" s="336"/>
      <c r="D18" s="336"/>
      <c r="E18" s="336"/>
      <c r="F18" s="337"/>
    </row>
    <row r="19" spans="1:6" ht="18.95" customHeight="1">
      <c r="A19" s="335"/>
      <c r="B19" s="336"/>
      <c r="C19" s="336"/>
      <c r="D19" s="336"/>
      <c r="E19" s="336"/>
      <c r="F19" s="337"/>
    </row>
    <row r="20" spans="1:6" ht="18.95" customHeight="1">
      <c r="A20" s="335"/>
      <c r="B20" s="336"/>
      <c r="C20" s="336"/>
      <c r="D20" s="336"/>
      <c r="E20" s="336"/>
      <c r="F20" s="337"/>
    </row>
    <row r="21" spans="1:6" ht="18.95" customHeight="1">
      <c r="A21" s="335"/>
      <c r="B21" s="336"/>
      <c r="C21" s="336"/>
      <c r="D21" s="336"/>
      <c r="E21" s="336"/>
      <c r="F21" s="337"/>
    </row>
    <row r="22" spans="1:6" ht="18.95" customHeight="1">
      <c r="A22" s="335"/>
      <c r="B22" s="336"/>
      <c r="C22" s="336"/>
      <c r="D22" s="336"/>
      <c r="E22" s="336"/>
      <c r="F22" s="337"/>
    </row>
    <row r="23" spans="1:6" ht="18.95" customHeight="1">
      <c r="A23" s="335"/>
      <c r="B23" s="336"/>
      <c r="C23" s="336"/>
      <c r="D23" s="336"/>
      <c r="E23" s="336"/>
      <c r="F23" s="337"/>
    </row>
    <row r="24" spans="1:6" ht="18.95" customHeight="1">
      <c r="A24" s="335"/>
      <c r="B24" s="336"/>
      <c r="C24" s="336"/>
      <c r="D24" s="336"/>
      <c r="E24" s="336"/>
      <c r="F24" s="337"/>
    </row>
    <row r="25" spans="1:6" ht="18.95" customHeight="1">
      <c r="A25" s="335"/>
      <c r="B25" s="336"/>
      <c r="C25" s="336"/>
      <c r="D25" s="336"/>
      <c r="E25" s="336"/>
      <c r="F25" s="337"/>
    </row>
    <row r="26" spans="1:6" ht="18.95" customHeight="1">
      <c r="A26" s="335"/>
      <c r="B26" s="336"/>
      <c r="C26" s="336"/>
      <c r="D26" s="336"/>
      <c r="E26" s="336"/>
      <c r="F26" s="337"/>
    </row>
    <row r="27" spans="1:6" ht="18.95" customHeight="1">
      <c r="A27" s="335"/>
      <c r="B27" s="336"/>
      <c r="C27" s="336"/>
      <c r="D27" s="336"/>
      <c r="E27" s="336"/>
      <c r="F27" s="337"/>
    </row>
    <row r="28" spans="1:6" ht="18.95" customHeight="1">
      <c r="A28" s="335"/>
      <c r="B28" s="336"/>
      <c r="C28" s="336"/>
      <c r="D28" s="336"/>
      <c r="E28" s="336"/>
      <c r="F28" s="337"/>
    </row>
    <row r="29" spans="1:6" ht="18.95" customHeight="1">
      <c r="A29" s="335"/>
      <c r="B29" s="336"/>
      <c r="C29" s="336"/>
      <c r="D29" s="336"/>
      <c r="E29" s="336"/>
      <c r="F29" s="337"/>
    </row>
    <row r="30" spans="1:6" ht="18.95" customHeight="1">
      <c r="A30" s="335"/>
      <c r="B30" s="336"/>
      <c r="C30" s="336"/>
      <c r="D30" s="336"/>
      <c r="E30" s="336"/>
      <c r="F30" s="337"/>
    </row>
    <row r="31" spans="1:6" ht="18.95" customHeight="1">
      <c r="A31" s="335"/>
      <c r="B31" s="336"/>
      <c r="C31" s="336"/>
      <c r="D31" s="336"/>
      <c r="E31" s="336"/>
      <c r="F31" s="337"/>
    </row>
    <row r="32" spans="1:6" ht="18.95" customHeight="1">
      <c r="A32" s="335"/>
      <c r="B32" s="336"/>
      <c r="C32" s="336"/>
      <c r="D32" s="336"/>
      <c r="E32" s="336"/>
      <c r="F32" s="337"/>
    </row>
    <row r="33" spans="1:6" ht="18.95" customHeight="1">
      <c r="A33" s="335"/>
      <c r="B33" s="336"/>
      <c r="C33" s="336"/>
      <c r="D33" s="336"/>
      <c r="E33" s="336"/>
      <c r="F33" s="337"/>
    </row>
    <row r="34" spans="1:6" ht="18.95" customHeight="1">
      <c r="A34" s="335"/>
      <c r="B34" s="336"/>
      <c r="C34" s="336"/>
      <c r="D34" s="336"/>
      <c r="E34" s="336"/>
      <c r="F34" s="337"/>
    </row>
    <row r="35" spans="1:6" ht="18.95" customHeight="1">
      <c r="A35" s="335"/>
      <c r="B35" s="336"/>
      <c r="C35" s="336"/>
      <c r="D35" s="336"/>
      <c r="E35" s="336"/>
      <c r="F35" s="337"/>
    </row>
    <row r="36" spans="1:6" ht="18.95" customHeight="1">
      <c r="A36" s="335"/>
      <c r="B36" s="336"/>
      <c r="C36" s="336"/>
      <c r="D36" s="336"/>
      <c r="E36" s="336"/>
      <c r="F36" s="337"/>
    </row>
    <row r="37" spans="1:6" ht="18.95" customHeight="1">
      <c r="A37" s="335"/>
      <c r="B37" s="336"/>
      <c r="C37" s="336"/>
      <c r="D37" s="336"/>
      <c r="E37" s="336"/>
      <c r="F37" s="337"/>
    </row>
    <row r="38" spans="1:6" ht="18.95" customHeight="1">
      <c r="A38" s="335"/>
      <c r="B38" s="336"/>
      <c r="C38" s="336"/>
      <c r="D38" s="336"/>
      <c r="E38" s="336"/>
      <c r="F38" s="337"/>
    </row>
    <row r="39" spans="1:6" ht="18.95" customHeight="1">
      <c r="A39" s="344" t="s">
        <v>403</v>
      </c>
      <c r="B39" s="345"/>
      <c r="C39" s="467" t="str">
        <f>'Performance Data Sheet'!C10</f>
        <v>2326400.3</v>
      </c>
      <c r="D39" s="336"/>
      <c r="E39" s="341" t="s">
        <v>404</v>
      </c>
      <c r="F39" s="346"/>
    </row>
    <row r="40" spans="1:6" ht="18.95" customHeight="1">
      <c r="A40" s="335"/>
      <c r="B40" s="345"/>
      <c r="C40" s="345"/>
      <c r="D40" s="336"/>
      <c r="E40" s="336"/>
      <c r="F40" s="337"/>
    </row>
    <row r="41" spans="1:6" ht="18.95" customHeight="1">
      <c r="A41" s="335"/>
      <c r="B41" s="345"/>
      <c r="C41" s="345"/>
      <c r="D41" s="336"/>
      <c r="E41" s="336"/>
      <c r="F41" s="337"/>
    </row>
    <row r="42" spans="1:6" ht="18.95" customHeight="1">
      <c r="A42" s="335"/>
      <c r="B42" s="336"/>
      <c r="C42" s="336"/>
      <c r="D42" s="336"/>
      <c r="E42" s="336"/>
      <c r="F42" s="337"/>
    </row>
    <row r="43" spans="1:6" ht="18.95" customHeight="1">
      <c r="A43" s="347"/>
      <c r="B43" s="345"/>
      <c r="C43" s="348" t="s">
        <v>405</v>
      </c>
      <c r="D43" s="349" t="str">
        <f>'Performance Data Sheet'!K42</f>
        <v>Jerry R</v>
      </c>
      <c r="E43" s="348" t="s">
        <v>406</v>
      </c>
      <c r="F43" s="34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63" t="e">
        <f>5252.1*B50/D53</f>
        <v>#DIV/0!</v>
      </c>
      <c r="G50" s="363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64"/>
    </row>
    <row r="63" spans="6:9">
      <c r="I63" s="310" t="s">
        <v>39</v>
      </c>
    </row>
    <row r="66" spans="1:6">
      <c r="D66" s="363" t="e">
        <f>D65/D64</f>
        <v>#DIV/0!</v>
      </c>
    </row>
    <row r="67" spans="1:6">
      <c r="A67" s="365" t="s">
        <v>255</v>
      </c>
      <c r="B67" s="365" t="s">
        <v>569</v>
      </c>
      <c r="C67" s="365" t="s">
        <v>570</v>
      </c>
      <c r="E67" s="365" t="s">
        <v>571</v>
      </c>
      <c r="F67" s="365" t="s">
        <v>572</v>
      </c>
    </row>
    <row r="68" spans="1:6">
      <c r="A68" s="366">
        <v>557.95677799607074</v>
      </c>
      <c r="B68" s="367">
        <v>35</v>
      </c>
      <c r="C68" s="367">
        <v>15</v>
      </c>
      <c r="E68" s="366">
        <f>A68</f>
        <v>557.95677799607074</v>
      </c>
      <c r="F68" s="367">
        <v>1E-4</v>
      </c>
    </row>
    <row r="69" spans="1:6">
      <c r="A69" s="366">
        <v>478.64578388998035</v>
      </c>
      <c r="B69" s="367">
        <f>((A68/A69)^2)*B68</f>
        <v>47.559872768481348</v>
      </c>
      <c r="C69" s="367">
        <f>((A68/A69)^2)*C68</f>
        <v>20.382802615063433</v>
      </c>
      <c r="E69" s="366">
        <v>556.24754420432225</v>
      </c>
      <c r="F69" s="367">
        <v>0.55699998140335083</v>
      </c>
    </row>
    <row r="70" spans="1:6">
      <c r="A70" s="366">
        <v>399.31099410609039</v>
      </c>
      <c r="B70" s="367">
        <f>((A68/A70)^2)*B68</f>
        <v>68.335539027272958</v>
      </c>
      <c r="C70" s="367">
        <f>((A68/A70)^2)*C68</f>
        <v>29.286659583116979</v>
      </c>
      <c r="E70" s="366">
        <v>552.53438113948914</v>
      </c>
      <c r="F70" s="367">
        <v>1.059999942779541</v>
      </c>
    </row>
    <row r="71" spans="1:6">
      <c r="A71" s="366">
        <v>320</v>
      </c>
      <c r="B71" s="367">
        <f>((A68/A71)^2)*B68</f>
        <v>106.4067559952293</v>
      </c>
      <c r="C71" s="367">
        <f>((A68/A71)^2)*C68</f>
        <v>45.602895426526842</v>
      </c>
      <c r="E71" s="366">
        <v>548.0746561886051</v>
      </c>
      <c r="F71" s="367">
        <v>1.5449999570846558</v>
      </c>
    </row>
    <row r="72" spans="1:6">
      <c r="A72" s="366">
        <f>A71-100</f>
        <v>220</v>
      </c>
      <c r="B72" s="367">
        <f>((A68/A72)^2)*B68</f>
        <v>225.12503747750992</v>
      </c>
      <c r="C72" s="367"/>
      <c r="E72" s="366">
        <v>542.59332023575644</v>
      </c>
      <c r="F72" s="367">
        <v>2.0320000648498535</v>
      </c>
    </row>
    <row r="73" spans="1:6">
      <c r="A73" s="366">
        <f>A72-100</f>
        <v>120</v>
      </c>
      <c r="B73" s="367">
        <f>((A68/A73)^2)*B68</f>
        <v>756.67026485496388</v>
      </c>
      <c r="C73" s="367"/>
      <c r="E73" s="366">
        <v>535.75638506876226</v>
      </c>
      <c r="F73" s="367">
        <v>2.5390000343322754</v>
      </c>
    </row>
    <row r="74" spans="1:6">
      <c r="A74" s="366">
        <v>209</v>
      </c>
      <c r="B74" s="367">
        <f>((A68/A74)^2)*B68</f>
        <v>249.44602490582815</v>
      </c>
      <c r="C74" s="367">
        <f>((A68/A74)^2)*C68</f>
        <v>106.90543924535493</v>
      </c>
      <c r="E74" s="366">
        <v>527.15127701375241</v>
      </c>
      <c r="F74" s="367">
        <v>3.0840001106262207</v>
      </c>
    </row>
    <row r="75" spans="1:6">
      <c r="A75" s="368">
        <v>180</v>
      </c>
      <c r="B75" s="367">
        <f>((A68/A75)^2)*B69</f>
        <v>456.97957491041478</v>
      </c>
      <c r="C75" s="367">
        <f>((A68/A75)^2)*C68</f>
        <v>144.12766949618359</v>
      </c>
      <c r="E75" s="366">
        <v>516.4243614931238</v>
      </c>
      <c r="F75" s="367">
        <v>3.6940000057220459</v>
      </c>
    </row>
    <row r="76" spans="1:6">
      <c r="A76" s="368">
        <v>120</v>
      </c>
      <c r="B76" s="367">
        <f>((A68/A76)^2)*B68</f>
        <v>756.67026485496388</v>
      </c>
      <c r="C76" s="367">
        <f>((A68/A76)^2)*C68</f>
        <v>324.28725636641309</v>
      </c>
      <c r="E76" s="366">
        <v>502.9666011787819</v>
      </c>
      <c r="F76" s="367">
        <v>4.4239997863769531</v>
      </c>
    </row>
    <row r="77" spans="1:6">
      <c r="A77" s="368">
        <v>110</v>
      </c>
      <c r="B77" s="367"/>
      <c r="C77" s="366">
        <f>CEILING(C76*2,100)</f>
        <v>700</v>
      </c>
      <c r="E77" s="366">
        <v>490.15717092337917</v>
      </c>
      <c r="F77" s="367">
        <v>4.860999584197998</v>
      </c>
    </row>
    <row r="78" spans="1:6">
      <c r="A78" s="368">
        <v>110</v>
      </c>
      <c r="B78" s="367"/>
      <c r="C78" s="366">
        <f>2*C77</f>
        <v>1400</v>
      </c>
      <c r="E78" s="366">
        <v>475.40275049115917</v>
      </c>
      <c r="F78" s="367">
        <v>5.3129997253417969</v>
      </c>
    </row>
    <row r="79" spans="1:6">
      <c r="A79" s="368">
        <v>110</v>
      </c>
      <c r="B79" s="368"/>
      <c r="C79" s="368">
        <v>10000</v>
      </c>
      <c r="E79" s="366">
        <v>434.40078585461691</v>
      </c>
      <c r="F79" s="367">
        <v>5.6379995346069336</v>
      </c>
    </row>
    <row r="80" spans="1:6">
      <c r="E80" s="366">
        <v>271.43418467583496</v>
      </c>
      <c r="F80" s="367">
        <v>5.7059993743896484</v>
      </c>
    </row>
    <row r="81" spans="5:6">
      <c r="E81" s="366">
        <v>0</v>
      </c>
      <c r="F81" s="367">
        <v>5.8269991874694824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67"/>
  <sheetViews>
    <sheetView topLeftCell="A27" workbookViewId="0">
      <selection activeCell="A39" sqref="A39:F43"/>
    </sheetView>
  </sheetViews>
  <sheetFormatPr defaultRowHeight="12.75"/>
  <cols>
    <col min="1" max="6" width="16.7109375" style="471" customWidth="1"/>
    <col min="7" max="256" width="8.85546875" style="471"/>
    <col min="257" max="262" width="16.7109375" style="471" customWidth="1"/>
    <col min="263" max="512" width="8.85546875" style="471"/>
    <col min="513" max="518" width="16.7109375" style="471" customWidth="1"/>
    <col min="519" max="768" width="8.85546875" style="471"/>
    <col min="769" max="774" width="16.7109375" style="471" customWidth="1"/>
    <col min="775" max="1024" width="8.85546875" style="471"/>
    <col min="1025" max="1030" width="16.7109375" style="471" customWidth="1"/>
    <col min="1031" max="1280" width="8.85546875" style="471"/>
    <col min="1281" max="1286" width="16.7109375" style="471" customWidth="1"/>
    <col min="1287" max="1536" width="8.85546875" style="471"/>
    <col min="1537" max="1542" width="16.7109375" style="471" customWidth="1"/>
    <col min="1543" max="1792" width="8.85546875" style="471"/>
    <col min="1793" max="1798" width="16.7109375" style="471" customWidth="1"/>
    <col min="1799" max="2048" width="8.85546875" style="471"/>
    <col min="2049" max="2054" width="16.7109375" style="471" customWidth="1"/>
    <col min="2055" max="2304" width="8.85546875" style="471"/>
    <col min="2305" max="2310" width="16.7109375" style="471" customWidth="1"/>
    <col min="2311" max="2560" width="8.85546875" style="471"/>
    <col min="2561" max="2566" width="16.7109375" style="471" customWidth="1"/>
    <col min="2567" max="2816" width="8.85546875" style="471"/>
    <col min="2817" max="2822" width="16.7109375" style="471" customWidth="1"/>
    <col min="2823" max="3072" width="8.85546875" style="471"/>
    <col min="3073" max="3078" width="16.7109375" style="471" customWidth="1"/>
    <col min="3079" max="3328" width="8.85546875" style="471"/>
    <col min="3329" max="3334" width="16.7109375" style="471" customWidth="1"/>
    <col min="3335" max="3584" width="8.85546875" style="471"/>
    <col min="3585" max="3590" width="16.7109375" style="471" customWidth="1"/>
    <col min="3591" max="3840" width="8.85546875" style="471"/>
    <col min="3841" max="3846" width="16.7109375" style="471" customWidth="1"/>
    <col min="3847" max="4096" width="8.85546875" style="471"/>
    <col min="4097" max="4102" width="16.7109375" style="471" customWidth="1"/>
    <col min="4103" max="4352" width="8.85546875" style="471"/>
    <col min="4353" max="4358" width="16.7109375" style="471" customWidth="1"/>
    <col min="4359" max="4608" width="8.85546875" style="471"/>
    <col min="4609" max="4614" width="16.7109375" style="471" customWidth="1"/>
    <col min="4615" max="4864" width="8.85546875" style="471"/>
    <col min="4865" max="4870" width="16.7109375" style="471" customWidth="1"/>
    <col min="4871" max="5120" width="8.85546875" style="471"/>
    <col min="5121" max="5126" width="16.7109375" style="471" customWidth="1"/>
    <col min="5127" max="5376" width="8.85546875" style="471"/>
    <col min="5377" max="5382" width="16.7109375" style="471" customWidth="1"/>
    <col min="5383" max="5632" width="8.85546875" style="471"/>
    <col min="5633" max="5638" width="16.7109375" style="471" customWidth="1"/>
    <col min="5639" max="5888" width="8.85546875" style="471"/>
    <col min="5889" max="5894" width="16.7109375" style="471" customWidth="1"/>
    <col min="5895" max="6144" width="8.85546875" style="471"/>
    <col min="6145" max="6150" width="16.7109375" style="471" customWidth="1"/>
    <col min="6151" max="6400" width="8.85546875" style="471"/>
    <col min="6401" max="6406" width="16.7109375" style="471" customWidth="1"/>
    <col min="6407" max="6656" width="8.85546875" style="471"/>
    <col min="6657" max="6662" width="16.7109375" style="471" customWidth="1"/>
    <col min="6663" max="6912" width="8.85546875" style="471"/>
    <col min="6913" max="6918" width="16.7109375" style="471" customWidth="1"/>
    <col min="6919" max="7168" width="8.85546875" style="471"/>
    <col min="7169" max="7174" width="16.7109375" style="471" customWidth="1"/>
    <col min="7175" max="7424" width="8.85546875" style="471"/>
    <col min="7425" max="7430" width="16.7109375" style="471" customWidth="1"/>
    <col min="7431" max="7680" width="8.85546875" style="471"/>
    <col min="7681" max="7686" width="16.7109375" style="471" customWidth="1"/>
    <col min="7687" max="7936" width="8.85546875" style="471"/>
    <col min="7937" max="7942" width="16.7109375" style="471" customWidth="1"/>
    <col min="7943" max="8192" width="8.85546875" style="471"/>
    <col min="8193" max="8198" width="16.7109375" style="471" customWidth="1"/>
    <col min="8199" max="8448" width="8.85546875" style="471"/>
    <col min="8449" max="8454" width="16.7109375" style="471" customWidth="1"/>
    <col min="8455" max="8704" width="8.85546875" style="471"/>
    <col min="8705" max="8710" width="16.7109375" style="471" customWidth="1"/>
    <col min="8711" max="8960" width="8.85546875" style="471"/>
    <col min="8961" max="8966" width="16.7109375" style="471" customWidth="1"/>
    <col min="8967" max="9216" width="8.85546875" style="471"/>
    <col min="9217" max="9222" width="16.7109375" style="471" customWidth="1"/>
    <col min="9223" max="9472" width="8.85546875" style="471"/>
    <col min="9473" max="9478" width="16.7109375" style="471" customWidth="1"/>
    <col min="9479" max="9728" width="8.85546875" style="471"/>
    <col min="9729" max="9734" width="16.7109375" style="471" customWidth="1"/>
    <col min="9735" max="9984" width="8.85546875" style="471"/>
    <col min="9985" max="9990" width="16.7109375" style="471" customWidth="1"/>
    <col min="9991" max="10240" width="8.85546875" style="471"/>
    <col min="10241" max="10246" width="16.7109375" style="471" customWidth="1"/>
    <col min="10247" max="10496" width="8.85546875" style="471"/>
    <col min="10497" max="10502" width="16.7109375" style="471" customWidth="1"/>
    <col min="10503" max="10752" width="8.85546875" style="471"/>
    <col min="10753" max="10758" width="16.7109375" style="471" customWidth="1"/>
    <col min="10759" max="11008" width="8.85546875" style="471"/>
    <col min="11009" max="11014" width="16.7109375" style="471" customWidth="1"/>
    <col min="11015" max="11264" width="8.85546875" style="471"/>
    <col min="11265" max="11270" width="16.7109375" style="471" customWidth="1"/>
    <col min="11271" max="11520" width="8.85546875" style="471"/>
    <col min="11521" max="11526" width="16.7109375" style="471" customWidth="1"/>
    <col min="11527" max="11776" width="8.85546875" style="471"/>
    <col min="11777" max="11782" width="16.7109375" style="471" customWidth="1"/>
    <col min="11783" max="12032" width="8.85546875" style="471"/>
    <col min="12033" max="12038" width="16.7109375" style="471" customWidth="1"/>
    <col min="12039" max="12288" width="8.85546875" style="471"/>
    <col min="12289" max="12294" width="16.7109375" style="471" customWidth="1"/>
    <col min="12295" max="12544" width="8.85546875" style="471"/>
    <col min="12545" max="12550" width="16.7109375" style="471" customWidth="1"/>
    <col min="12551" max="12800" width="8.85546875" style="471"/>
    <col min="12801" max="12806" width="16.7109375" style="471" customWidth="1"/>
    <col min="12807" max="13056" width="8.85546875" style="471"/>
    <col min="13057" max="13062" width="16.7109375" style="471" customWidth="1"/>
    <col min="13063" max="13312" width="8.85546875" style="471"/>
    <col min="13313" max="13318" width="16.7109375" style="471" customWidth="1"/>
    <col min="13319" max="13568" width="8.85546875" style="471"/>
    <col min="13569" max="13574" width="16.7109375" style="471" customWidth="1"/>
    <col min="13575" max="13824" width="8.85546875" style="471"/>
    <col min="13825" max="13830" width="16.7109375" style="471" customWidth="1"/>
    <col min="13831" max="14080" width="8.85546875" style="471"/>
    <col min="14081" max="14086" width="16.7109375" style="471" customWidth="1"/>
    <col min="14087" max="14336" width="8.85546875" style="471"/>
    <col min="14337" max="14342" width="16.7109375" style="471" customWidth="1"/>
    <col min="14343" max="14592" width="8.85546875" style="471"/>
    <col min="14593" max="14598" width="16.7109375" style="471" customWidth="1"/>
    <col min="14599" max="14848" width="8.85546875" style="471"/>
    <col min="14849" max="14854" width="16.7109375" style="471" customWidth="1"/>
    <col min="14855" max="15104" width="8.85546875" style="471"/>
    <col min="15105" max="15110" width="16.7109375" style="471" customWidth="1"/>
    <col min="15111" max="15360" width="8.85546875" style="471"/>
    <col min="15361" max="15366" width="16.7109375" style="471" customWidth="1"/>
    <col min="15367" max="15616" width="8.85546875" style="471"/>
    <col min="15617" max="15622" width="16.7109375" style="471" customWidth="1"/>
    <col min="15623" max="15872" width="8.85546875" style="471"/>
    <col min="15873" max="15878" width="16.7109375" style="471" customWidth="1"/>
    <col min="15879" max="16128" width="8.85546875" style="471"/>
    <col min="16129" max="16134" width="16.7109375" style="471" customWidth="1"/>
    <col min="16135" max="16384" width="8.85546875" style="471"/>
  </cols>
  <sheetData>
    <row r="1" spans="1:6" ht="18.95" customHeight="1">
      <c r="A1" s="468"/>
      <c r="B1" s="469"/>
      <c r="C1" s="469"/>
      <c r="D1" s="469"/>
      <c r="E1" s="469"/>
      <c r="F1" s="470"/>
    </row>
    <row r="2" spans="1:6" ht="26.1" customHeight="1">
      <c r="A2" s="472" t="s">
        <v>267</v>
      </c>
      <c r="B2" s="473"/>
      <c r="C2" s="473"/>
      <c r="D2" s="473"/>
      <c r="E2" s="473"/>
      <c r="F2" s="474"/>
    </row>
    <row r="3" spans="1:6" ht="18.95" customHeight="1">
      <c r="A3" s="475" t="s">
        <v>727</v>
      </c>
      <c r="B3" s="473"/>
      <c r="C3" s="473"/>
      <c r="D3" s="473"/>
      <c r="E3" s="473"/>
      <c r="F3" s="474"/>
    </row>
    <row r="4" spans="1:6" ht="18.95" customHeight="1">
      <c r="A4" s="897" t="s">
        <v>568</v>
      </c>
      <c r="B4" s="898"/>
      <c r="C4" s="898"/>
      <c r="D4" s="898"/>
      <c r="E4" s="898"/>
      <c r="F4" s="899"/>
    </row>
    <row r="5" spans="1:6" ht="18.95" customHeight="1">
      <c r="A5" s="476"/>
      <c r="B5" s="477"/>
      <c r="C5" s="477"/>
      <c r="D5" s="477"/>
      <c r="E5" s="477"/>
      <c r="F5" s="478"/>
    </row>
    <row r="6" spans="1:6" ht="18.95" customHeight="1">
      <c r="A6" s="479" t="s">
        <v>386</v>
      </c>
      <c r="B6" s="900" t="str">
        <f>'[1]Performance Data Sheet'!C17</f>
        <v>TIR 42934</v>
      </c>
      <c r="C6" s="901"/>
      <c r="D6" s="902"/>
      <c r="E6" s="479" t="s">
        <v>387</v>
      </c>
      <c r="F6" s="480" t="s">
        <v>733</v>
      </c>
    </row>
    <row r="7" spans="1:6" ht="18.95" customHeight="1">
      <c r="A7" s="479" t="s">
        <v>388</v>
      </c>
      <c r="B7" s="480" t="str">
        <f>'[1]Performance Data Sheet'!F14</f>
        <v>WP-II</v>
      </c>
      <c r="C7" s="479" t="s">
        <v>389</v>
      </c>
      <c r="D7" s="480" t="s">
        <v>407</v>
      </c>
      <c r="E7" s="479" t="s">
        <v>390</v>
      </c>
      <c r="F7" s="480" t="str">
        <f>'[1]Performance Data Sheet'!C14</f>
        <v>450-1600</v>
      </c>
    </row>
    <row r="8" spans="1:6" ht="18.95" customHeight="1">
      <c r="A8" s="479" t="s">
        <v>391</v>
      </c>
      <c r="B8" s="480">
        <v>4</v>
      </c>
      <c r="C8" s="479" t="s">
        <v>392</v>
      </c>
      <c r="D8" s="480" t="s">
        <v>393</v>
      </c>
      <c r="E8" s="479" t="s">
        <v>394</v>
      </c>
      <c r="F8" s="480" t="s">
        <v>350</v>
      </c>
    </row>
    <row r="9" spans="1:6" ht="18.95" customHeight="1">
      <c r="A9" s="479" t="s">
        <v>395</v>
      </c>
      <c r="B9" s="480">
        <v>4000</v>
      </c>
      <c r="C9" s="479" t="s">
        <v>396</v>
      </c>
      <c r="D9" s="480" t="s">
        <v>408</v>
      </c>
      <c r="E9" s="479" t="s">
        <v>2</v>
      </c>
      <c r="F9" s="481">
        <f>'[1]Performance Data Sheet'!K44</f>
        <v>44971</v>
      </c>
    </row>
    <row r="10" spans="1:6" ht="18.95" customHeight="1">
      <c r="A10" s="479" t="s">
        <v>397</v>
      </c>
      <c r="B10" s="480">
        <v>1790</v>
      </c>
      <c r="C10" s="479" t="s">
        <v>259</v>
      </c>
      <c r="D10" s="480" t="s">
        <v>398</v>
      </c>
      <c r="E10" s="479" t="s">
        <v>1</v>
      </c>
      <c r="F10" s="480" t="s">
        <v>728</v>
      </c>
    </row>
    <row r="11" spans="1:6" ht="18.95" customHeight="1">
      <c r="A11" s="476"/>
      <c r="B11" s="477"/>
      <c r="C11" s="477"/>
      <c r="D11" s="477"/>
      <c r="E11" s="477"/>
      <c r="F11" s="478"/>
    </row>
    <row r="12" spans="1:6" ht="18.95" customHeight="1">
      <c r="A12" s="476"/>
      <c r="B12" s="341" t="s">
        <v>399</v>
      </c>
      <c r="C12" s="342" t="s">
        <v>410</v>
      </c>
      <c r="D12" s="341" t="s">
        <v>258</v>
      </c>
      <c r="E12" s="342" t="s">
        <v>398</v>
      </c>
      <c r="F12" s="478"/>
    </row>
    <row r="13" spans="1:6" ht="18.95" customHeight="1">
      <c r="A13" s="476"/>
      <c r="B13" s="341" t="s">
        <v>400</v>
      </c>
      <c r="C13" s="343">
        <v>1.25</v>
      </c>
      <c r="D13" s="341" t="s">
        <v>401</v>
      </c>
      <c r="E13" s="327" t="s">
        <v>398</v>
      </c>
      <c r="F13" s="478"/>
    </row>
    <row r="14" spans="1:6" ht="18.95" customHeight="1">
      <c r="A14" s="476"/>
      <c r="B14" s="341" t="s">
        <v>402</v>
      </c>
      <c r="C14" s="343">
        <v>2.0499999999999998</v>
      </c>
      <c r="D14" s="341" t="s">
        <v>260</v>
      </c>
      <c r="E14" s="327" t="s">
        <v>398</v>
      </c>
      <c r="F14" s="478"/>
    </row>
    <row r="15" spans="1:6" ht="18.95" customHeight="1">
      <c r="A15" s="476"/>
      <c r="B15" s="341" t="s">
        <v>261</v>
      </c>
      <c r="C15" s="342" t="s">
        <v>409</v>
      </c>
      <c r="D15" s="336"/>
      <c r="E15" s="336"/>
      <c r="F15" s="478"/>
    </row>
    <row r="16" spans="1:6" ht="18.95" customHeight="1">
      <c r="A16" s="476"/>
      <c r="B16" s="477"/>
      <c r="C16" s="477"/>
      <c r="D16" s="477"/>
      <c r="E16" s="477"/>
      <c r="F16" s="478"/>
    </row>
    <row r="17" spans="1:8" ht="18.95" customHeight="1">
      <c r="A17" s="476"/>
      <c r="B17" s="477"/>
      <c r="C17" s="477"/>
      <c r="D17" s="477"/>
      <c r="E17" s="477"/>
      <c r="F17" s="478"/>
    </row>
    <row r="18" spans="1:8" ht="18.95" customHeight="1">
      <c r="A18" s="476"/>
      <c r="B18" s="477"/>
      <c r="C18" s="477"/>
      <c r="D18" s="477"/>
      <c r="E18" s="477"/>
      <c r="F18" s="478"/>
    </row>
    <row r="19" spans="1:8" ht="18.95" customHeight="1">
      <c r="A19" s="476"/>
      <c r="B19" s="477"/>
      <c r="C19" s="477"/>
      <c r="D19" s="477"/>
      <c r="E19" s="477"/>
      <c r="F19" s="478"/>
    </row>
    <row r="20" spans="1:8" ht="18.95" customHeight="1">
      <c r="A20" s="476"/>
      <c r="B20" s="477"/>
      <c r="C20" s="477"/>
      <c r="D20" s="477"/>
      <c r="E20" s="477"/>
      <c r="F20" s="478"/>
    </row>
    <row r="21" spans="1:8" ht="18.95" customHeight="1">
      <c r="A21" s="476"/>
      <c r="B21" s="477"/>
      <c r="C21" s="477"/>
      <c r="D21" s="477"/>
      <c r="E21" s="477"/>
      <c r="F21" s="478"/>
    </row>
    <row r="22" spans="1:8" ht="18.95" customHeight="1">
      <c r="A22" s="476"/>
      <c r="B22" s="477"/>
      <c r="C22" s="477"/>
      <c r="D22" s="477"/>
      <c r="E22" s="477"/>
      <c r="F22" s="478"/>
    </row>
    <row r="23" spans="1:8" ht="18.95" customHeight="1">
      <c r="A23" s="476"/>
      <c r="B23" s="477"/>
      <c r="C23" s="477"/>
      <c r="D23" s="477"/>
      <c r="E23" s="477"/>
      <c r="F23" s="478"/>
    </row>
    <row r="24" spans="1:8" ht="18.95" customHeight="1">
      <c r="A24" s="476"/>
      <c r="B24" s="477"/>
      <c r="C24" s="477"/>
      <c r="D24" s="477"/>
      <c r="E24" s="477"/>
      <c r="F24" s="478"/>
      <c r="H24" s="485"/>
    </row>
    <row r="25" spans="1:8" ht="18.95" customHeight="1">
      <c r="A25" s="476"/>
      <c r="B25" s="477"/>
      <c r="C25" s="477"/>
      <c r="D25" s="477"/>
      <c r="E25" s="477"/>
      <c r="F25" s="478"/>
    </row>
    <row r="26" spans="1:8" ht="18.95" customHeight="1">
      <c r="A26" s="476"/>
      <c r="B26" s="477"/>
      <c r="C26" s="477"/>
      <c r="D26" s="477"/>
      <c r="E26" s="477"/>
      <c r="F26" s="478"/>
    </row>
    <row r="27" spans="1:8" ht="18.95" customHeight="1">
      <c r="A27" s="476"/>
      <c r="B27" s="477"/>
      <c r="C27" s="477"/>
      <c r="D27" s="477"/>
      <c r="E27" s="477"/>
      <c r="F27" s="478"/>
    </row>
    <row r="28" spans="1:8" ht="18.95" customHeight="1">
      <c r="A28" s="476"/>
      <c r="B28" s="477"/>
      <c r="C28" s="477"/>
      <c r="D28" s="477"/>
      <c r="E28" s="477"/>
      <c r="F28" s="478"/>
    </row>
    <row r="29" spans="1:8" ht="18.95" customHeight="1">
      <c r="A29" s="476"/>
      <c r="B29" s="477"/>
      <c r="C29" s="477"/>
      <c r="D29" s="477"/>
      <c r="E29" s="477"/>
      <c r="F29" s="478"/>
    </row>
    <row r="30" spans="1:8" ht="18.95" customHeight="1">
      <c r="A30" s="476"/>
      <c r="B30" s="477"/>
      <c r="C30" s="477"/>
      <c r="D30" s="477"/>
      <c r="E30" s="477"/>
      <c r="F30" s="478"/>
    </row>
    <row r="31" spans="1:8" ht="18.95" customHeight="1">
      <c r="A31" s="476"/>
      <c r="B31" s="477"/>
      <c r="C31" s="477"/>
      <c r="D31" s="477"/>
      <c r="E31" s="477"/>
      <c r="F31" s="478"/>
    </row>
    <row r="32" spans="1:8" ht="18.95" customHeight="1">
      <c r="A32" s="476"/>
      <c r="B32" s="477"/>
      <c r="C32" s="477"/>
      <c r="D32" s="477"/>
      <c r="E32" s="477"/>
      <c r="F32" s="478"/>
    </row>
    <row r="33" spans="1:6" ht="18.95" customHeight="1">
      <c r="A33" s="476"/>
      <c r="B33" s="477"/>
      <c r="C33" s="477"/>
      <c r="D33" s="477"/>
      <c r="E33" s="477"/>
      <c r="F33" s="478"/>
    </row>
    <row r="34" spans="1:6" ht="18.95" customHeight="1">
      <c r="A34" s="476"/>
      <c r="B34" s="477"/>
      <c r="C34" s="477"/>
      <c r="D34" s="477"/>
      <c r="E34" s="477"/>
      <c r="F34" s="478"/>
    </row>
    <row r="35" spans="1:6" ht="18.95" customHeight="1">
      <c r="A35" s="476"/>
      <c r="B35" s="477"/>
      <c r="C35" s="477"/>
      <c r="D35" s="477"/>
      <c r="E35" s="477"/>
      <c r="F35" s="478"/>
    </row>
    <row r="36" spans="1:6" ht="18.95" customHeight="1">
      <c r="A36" s="476"/>
      <c r="B36" s="477"/>
      <c r="C36" s="477"/>
      <c r="D36" s="477"/>
      <c r="E36" s="477"/>
      <c r="F36" s="478"/>
    </row>
    <row r="37" spans="1:6" ht="18.95" customHeight="1">
      <c r="A37" s="476"/>
      <c r="B37" s="477"/>
      <c r="C37" s="477"/>
      <c r="D37" s="477"/>
      <c r="E37" s="477"/>
      <c r="F37" s="478"/>
    </row>
    <row r="38" spans="1:6" ht="18.95" customHeight="1">
      <c r="A38" s="476"/>
      <c r="B38" s="477"/>
      <c r="C38" s="477"/>
      <c r="D38" s="477"/>
      <c r="E38" s="477"/>
      <c r="F38" s="478"/>
    </row>
    <row r="39" spans="1:6" ht="18.95" customHeight="1">
      <c r="A39" s="344" t="s">
        <v>403</v>
      </c>
      <c r="B39" s="345" t="s">
        <v>352</v>
      </c>
      <c r="C39" s="467" t="str">
        <f>'Performance Data Sheet'!C10</f>
        <v>2326400.3</v>
      </c>
      <c r="D39" s="336"/>
      <c r="E39" s="341" t="s">
        <v>404</v>
      </c>
      <c r="F39" s="346"/>
    </row>
    <row r="40" spans="1:6" ht="18.95" customHeight="1">
      <c r="A40" s="335"/>
      <c r="B40" s="345"/>
      <c r="C40" s="345"/>
      <c r="D40" s="336"/>
      <c r="E40" s="336"/>
      <c r="F40" s="337"/>
    </row>
    <row r="41" spans="1:6" ht="18.95" customHeight="1">
      <c r="A41" s="335"/>
      <c r="B41" s="345"/>
      <c r="C41" s="345"/>
      <c r="D41" s="336"/>
      <c r="E41" s="336"/>
      <c r="F41" s="337"/>
    </row>
    <row r="42" spans="1:6" ht="18.95" customHeight="1">
      <c r="A42" s="335"/>
      <c r="B42" s="336"/>
      <c r="C42" s="336"/>
      <c r="D42" s="336"/>
      <c r="E42" s="336"/>
      <c r="F42" s="337"/>
    </row>
    <row r="43" spans="1:6" ht="18.95" customHeight="1">
      <c r="A43" s="347"/>
      <c r="B43" s="345"/>
      <c r="C43" s="348" t="s">
        <v>405</v>
      </c>
      <c r="D43" s="349" t="str">
        <f>'Performance Data Sheet'!K42</f>
        <v>Jerry R</v>
      </c>
      <c r="E43" s="348" t="s">
        <v>406</v>
      </c>
      <c r="F43" s="34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86" t="s">
        <v>257</v>
      </c>
      <c r="B53" s="486" t="s">
        <v>142</v>
      </c>
      <c r="C53" s="486" t="s">
        <v>120</v>
      </c>
      <c r="D53" s="486" t="s">
        <v>135</v>
      </c>
      <c r="E53" s="486" t="s">
        <v>5</v>
      </c>
      <c r="F53" s="487" t="s">
        <v>729</v>
      </c>
    </row>
    <row r="54" spans="1:6" ht="15" customHeight="1">
      <c r="A54" s="488">
        <v>0</v>
      </c>
      <c r="B54" s="489"/>
      <c r="C54" s="490"/>
      <c r="D54" s="490">
        <v>116</v>
      </c>
      <c r="E54" s="490">
        <v>100</v>
      </c>
      <c r="F54" s="491">
        <v>0.33256000000000002</v>
      </c>
    </row>
    <row r="55" spans="1:6" ht="15" customHeight="1">
      <c r="A55" s="492">
        <v>25</v>
      </c>
      <c r="B55" s="493">
        <v>94</v>
      </c>
      <c r="C55" s="494">
        <v>61.6</v>
      </c>
      <c r="D55" s="494">
        <v>185</v>
      </c>
      <c r="E55" s="494">
        <v>88.242844671639389</v>
      </c>
      <c r="F55" s="495">
        <v>9.9433018839078606</v>
      </c>
    </row>
    <row r="56" spans="1:6" ht="15" customHeight="1">
      <c r="A56" s="492">
        <v>50</v>
      </c>
      <c r="B56" s="493">
        <v>96.3</v>
      </c>
      <c r="C56" s="494">
        <v>80.099999999999994</v>
      </c>
      <c r="D56" s="494">
        <v>279</v>
      </c>
      <c r="E56" s="494">
        <v>75.754127407891716</v>
      </c>
      <c r="F56" s="495">
        <v>19.366770079161039</v>
      </c>
    </row>
    <row r="57" spans="1:6">
      <c r="A57" s="492">
        <v>75</v>
      </c>
      <c r="B57" s="493">
        <v>96.9</v>
      </c>
      <c r="C57" s="494">
        <v>85.5</v>
      </c>
      <c r="D57" s="494">
        <v>389</v>
      </c>
      <c r="E57" s="494">
        <v>63.02629872988571</v>
      </c>
      <c r="F57" s="495">
        <v>28.843660267163187</v>
      </c>
    </row>
    <row r="58" spans="1:6">
      <c r="A58" s="492">
        <v>100</v>
      </c>
      <c r="B58" s="493">
        <v>97.1</v>
      </c>
      <c r="C58" s="494">
        <v>87.2</v>
      </c>
      <c r="D58" s="494">
        <v>509</v>
      </c>
      <c r="E58" s="494">
        <v>50.117962383454476</v>
      </c>
      <c r="F58" s="495">
        <v>38.377859776277667</v>
      </c>
    </row>
    <row r="59" spans="1:6" ht="13.5" thickBot="1">
      <c r="A59" s="496">
        <v>125</v>
      </c>
      <c r="B59" s="497">
        <v>97</v>
      </c>
      <c r="C59" s="498">
        <v>87.4</v>
      </c>
      <c r="D59" s="498">
        <v>635</v>
      </c>
      <c r="E59" s="498">
        <v>36.903450595071959</v>
      </c>
      <c r="F59" s="499">
        <v>47.97053694693161</v>
      </c>
    </row>
    <row r="60" spans="1:6">
      <c r="A60" s="500"/>
      <c r="B60" s="501"/>
      <c r="C60" s="501"/>
    </row>
    <row r="61" spans="1:6">
      <c r="A61" s="500"/>
      <c r="B61" s="501"/>
      <c r="C61" s="501"/>
    </row>
    <row r="62" spans="1:6">
      <c r="A62" s="500"/>
      <c r="B62" s="501"/>
      <c r="C62" s="501"/>
    </row>
    <row r="63" spans="1:6">
      <c r="A63" s="500"/>
      <c r="B63" s="501"/>
      <c r="C63" s="501"/>
    </row>
    <row r="64" spans="1:6">
      <c r="A64" s="500"/>
      <c r="B64" s="501"/>
      <c r="C64" s="501"/>
    </row>
    <row r="65" spans="1:3">
      <c r="A65" s="500"/>
      <c r="B65" s="501"/>
      <c r="C65" s="501"/>
    </row>
    <row r="66" spans="1:3">
      <c r="A66" s="500"/>
      <c r="B66" s="501"/>
      <c r="C66" s="501"/>
    </row>
    <row r="67" spans="1:3">
      <c r="A67" s="502"/>
      <c r="B67" s="501"/>
      <c r="C67" s="50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67"/>
  <sheetViews>
    <sheetView workbookViewId="0">
      <selection activeCell="H39" sqref="H39"/>
    </sheetView>
  </sheetViews>
  <sheetFormatPr defaultRowHeight="12.75"/>
  <cols>
    <col min="1" max="6" width="16.7109375" style="471" customWidth="1"/>
    <col min="7" max="256" width="8.85546875" style="471"/>
    <col min="257" max="262" width="16.7109375" style="471" customWidth="1"/>
    <col min="263" max="512" width="8.85546875" style="471"/>
    <col min="513" max="518" width="16.7109375" style="471" customWidth="1"/>
    <col min="519" max="768" width="8.85546875" style="471"/>
    <col min="769" max="774" width="16.7109375" style="471" customWidth="1"/>
    <col min="775" max="1024" width="8.85546875" style="471"/>
    <col min="1025" max="1030" width="16.7109375" style="471" customWidth="1"/>
    <col min="1031" max="1280" width="8.85546875" style="471"/>
    <col min="1281" max="1286" width="16.7109375" style="471" customWidth="1"/>
    <col min="1287" max="1536" width="8.85546875" style="471"/>
    <col min="1537" max="1542" width="16.7109375" style="471" customWidth="1"/>
    <col min="1543" max="1792" width="8.85546875" style="471"/>
    <col min="1793" max="1798" width="16.7109375" style="471" customWidth="1"/>
    <col min="1799" max="2048" width="8.85546875" style="471"/>
    <col min="2049" max="2054" width="16.7109375" style="471" customWidth="1"/>
    <col min="2055" max="2304" width="8.85546875" style="471"/>
    <col min="2305" max="2310" width="16.7109375" style="471" customWidth="1"/>
    <col min="2311" max="2560" width="8.85546875" style="471"/>
    <col min="2561" max="2566" width="16.7109375" style="471" customWidth="1"/>
    <col min="2567" max="2816" width="8.85546875" style="471"/>
    <col min="2817" max="2822" width="16.7109375" style="471" customWidth="1"/>
    <col min="2823" max="3072" width="8.85546875" style="471"/>
    <col min="3073" max="3078" width="16.7109375" style="471" customWidth="1"/>
    <col min="3079" max="3328" width="8.85546875" style="471"/>
    <col min="3329" max="3334" width="16.7109375" style="471" customWidth="1"/>
    <col min="3335" max="3584" width="8.85546875" style="471"/>
    <col min="3585" max="3590" width="16.7109375" style="471" customWidth="1"/>
    <col min="3591" max="3840" width="8.85546875" style="471"/>
    <col min="3841" max="3846" width="16.7109375" style="471" customWidth="1"/>
    <col min="3847" max="4096" width="8.85546875" style="471"/>
    <col min="4097" max="4102" width="16.7109375" style="471" customWidth="1"/>
    <col min="4103" max="4352" width="8.85546875" style="471"/>
    <col min="4353" max="4358" width="16.7109375" style="471" customWidth="1"/>
    <col min="4359" max="4608" width="8.85546875" style="471"/>
    <col min="4609" max="4614" width="16.7109375" style="471" customWidth="1"/>
    <col min="4615" max="4864" width="8.85546875" style="471"/>
    <col min="4865" max="4870" width="16.7109375" style="471" customWidth="1"/>
    <col min="4871" max="5120" width="8.85546875" style="471"/>
    <col min="5121" max="5126" width="16.7109375" style="471" customWidth="1"/>
    <col min="5127" max="5376" width="8.85546875" style="471"/>
    <col min="5377" max="5382" width="16.7109375" style="471" customWidth="1"/>
    <col min="5383" max="5632" width="8.85546875" style="471"/>
    <col min="5633" max="5638" width="16.7109375" style="471" customWidth="1"/>
    <col min="5639" max="5888" width="8.85546875" style="471"/>
    <col min="5889" max="5894" width="16.7109375" style="471" customWidth="1"/>
    <col min="5895" max="6144" width="8.85546875" style="471"/>
    <col min="6145" max="6150" width="16.7109375" style="471" customWidth="1"/>
    <col min="6151" max="6400" width="8.85546875" style="471"/>
    <col min="6401" max="6406" width="16.7109375" style="471" customWidth="1"/>
    <col min="6407" max="6656" width="8.85546875" style="471"/>
    <col min="6657" max="6662" width="16.7109375" style="471" customWidth="1"/>
    <col min="6663" max="6912" width="8.85546875" style="471"/>
    <col min="6913" max="6918" width="16.7109375" style="471" customWidth="1"/>
    <col min="6919" max="7168" width="8.85546875" style="471"/>
    <col min="7169" max="7174" width="16.7109375" style="471" customWidth="1"/>
    <col min="7175" max="7424" width="8.85546875" style="471"/>
    <col min="7425" max="7430" width="16.7109375" style="471" customWidth="1"/>
    <col min="7431" max="7680" width="8.85546875" style="471"/>
    <col min="7681" max="7686" width="16.7109375" style="471" customWidth="1"/>
    <col min="7687" max="7936" width="8.85546875" style="471"/>
    <col min="7937" max="7942" width="16.7109375" style="471" customWidth="1"/>
    <col min="7943" max="8192" width="8.85546875" style="471"/>
    <col min="8193" max="8198" width="16.7109375" style="471" customWidth="1"/>
    <col min="8199" max="8448" width="8.85546875" style="471"/>
    <col min="8449" max="8454" width="16.7109375" style="471" customWidth="1"/>
    <col min="8455" max="8704" width="8.85546875" style="471"/>
    <col min="8705" max="8710" width="16.7109375" style="471" customWidth="1"/>
    <col min="8711" max="8960" width="8.85546875" style="471"/>
    <col min="8961" max="8966" width="16.7109375" style="471" customWidth="1"/>
    <col min="8967" max="9216" width="8.85546875" style="471"/>
    <col min="9217" max="9222" width="16.7109375" style="471" customWidth="1"/>
    <col min="9223" max="9472" width="8.85546875" style="471"/>
    <col min="9473" max="9478" width="16.7109375" style="471" customWidth="1"/>
    <col min="9479" max="9728" width="8.85546875" style="471"/>
    <col min="9729" max="9734" width="16.7109375" style="471" customWidth="1"/>
    <col min="9735" max="9984" width="8.85546875" style="471"/>
    <col min="9985" max="9990" width="16.7109375" style="471" customWidth="1"/>
    <col min="9991" max="10240" width="8.85546875" style="471"/>
    <col min="10241" max="10246" width="16.7109375" style="471" customWidth="1"/>
    <col min="10247" max="10496" width="8.85546875" style="471"/>
    <col min="10497" max="10502" width="16.7109375" style="471" customWidth="1"/>
    <col min="10503" max="10752" width="8.85546875" style="471"/>
    <col min="10753" max="10758" width="16.7109375" style="471" customWidth="1"/>
    <col min="10759" max="11008" width="8.85546875" style="471"/>
    <col min="11009" max="11014" width="16.7109375" style="471" customWidth="1"/>
    <col min="11015" max="11264" width="8.85546875" style="471"/>
    <col min="11265" max="11270" width="16.7109375" style="471" customWidth="1"/>
    <col min="11271" max="11520" width="8.85546875" style="471"/>
    <col min="11521" max="11526" width="16.7109375" style="471" customWidth="1"/>
    <col min="11527" max="11776" width="8.85546875" style="471"/>
    <col min="11777" max="11782" width="16.7109375" style="471" customWidth="1"/>
    <col min="11783" max="12032" width="8.85546875" style="471"/>
    <col min="12033" max="12038" width="16.7109375" style="471" customWidth="1"/>
    <col min="12039" max="12288" width="8.85546875" style="471"/>
    <col min="12289" max="12294" width="16.7109375" style="471" customWidth="1"/>
    <col min="12295" max="12544" width="8.85546875" style="471"/>
    <col min="12545" max="12550" width="16.7109375" style="471" customWidth="1"/>
    <col min="12551" max="12800" width="8.85546875" style="471"/>
    <col min="12801" max="12806" width="16.7109375" style="471" customWidth="1"/>
    <col min="12807" max="13056" width="8.85546875" style="471"/>
    <col min="13057" max="13062" width="16.7109375" style="471" customWidth="1"/>
    <col min="13063" max="13312" width="8.85546875" style="471"/>
    <col min="13313" max="13318" width="16.7109375" style="471" customWidth="1"/>
    <col min="13319" max="13568" width="8.85546875" style="471"/>
    <col min="13569" max="13574" width="16.7109375" style="471" customWidth="1"/>
    <col min="13575" max="13824" width="8.85546875" style="471"/>
    <col min="13825" max="13830" width="16.7109375" style="471" customWidth="1"/>
    <col min="13831" max="14080" width="8.85546875" style="471"/>
    <col min="14081" max="14086" width="16.7109375" style="471" customWidth="1"/>
    <col min="14087" max="14336" width="8.85546875" style="471"/>
    <col min="14337" max="14342" width="16.7109375" style="471" customWidth="1"/>
    <col min="14343" max="14592" width="8.85546875" style="471"/>
    <col min="14593" max="14598" width="16.7109375" style="471" customWidth="1"/>
    <col min="14599" max="14848" width="8.85546875" style="471"/>
    <col min="14849" max="14854" width="16.7109375" style="471" customWidth="1"/>
    <col min="14855" max="15104" width="8.85546875" style="471"/>
    <col min="15105" max="15110" width="16.7109375" style="471" customWidth="1"/>
    <col min="15111" max="15360" width="8.85546875" style="471"/>
    <col min="15361" max="15366" width="16.7109375" style="471" customWidth="1"/>
    <col min="15367" max="15616" width="8.85546875" style="471"/>
    <col min="15617" max="15622" width="16.7109375" style="471" customWidth="1"/>
    <col min="15623" max="15872" width="8.85546875" style="471"/>
    <col min="15873" max="15878" width="16.7109375" style="471" customWidth="1"/>
    <col min="15879" max="16128" width="8.85546875" style="471"/>
    <col min="16129" max="16134" width="16.7109375" style="471" customWidth="1"/>
    <col min="16135" max="16384" width="8.85546875" style="471"/>
  </cols>
  <sheetData>
    <row r="1" spans="1:6" ht="18.95" customHeight="1">
      <c r="A1" s="468"/>
      <c r="B1" s="469"/>
      <c r="C1" s="469"/>
      <c r="D1" s="469"/>
      <c r="E1" s="469"/>
      <c r="F1" s="470"/>
    </row>
    <row r="2" spans="1:6" ht="26.1" customHeight="1">
      <c r="A2" s="472" t="s">
        <v>267</v>
      </c>
      <c r="B2" s="473"/>
      <c r="C2" s="473"/>
      <c r="D2" s="473"/>
      <c r="E2" s="473"/>
      <c r="F2" s="474"/>
    </row>
    <row r="3" spans="1:6" ht="18.95" customHeight="1">
      <c r="A3" s="475" t="s">
        <v>727</v>
      </c>
      <c r="B3" s="473"/>
      <c r="C3" s="473"/>
      <c r="D3" s="473"/>
      <c r="E3" s="473"/>
      <c r="F3" s="474"/>
    </row>
    <row r="4" spans="1:6" ht="18.95" customHeight="1">
      <c r="A4" s="897" t="s">
        <v>568</v>
      </c>
      <c r="B4" s="898"/>
      <c r="C4" s="898"/>
      <c r="D4" s="898"/>
      <c r="E4" s="898"/>
      <c r="F4" s="899"/>
    </row>
    <row r="5" spans="1:6" ht="18.95" customHeight="1">
      <c r="A5" s="476"/>
      <c r="B5" s="477"/>
      <c r="C5" s="477"/>
      <c r="D5" s="477"/>
      <c r="E5" s="477"/>
      <c r="F5" s="478"/>
    </row>
    <row r="6" spans="1:6" ht="18.95" customHeight="1">
      <c r="A6" s="479" t="s">
        <v>386</v>
      </c>
      <c r="B6" s="900" t="str">
        <f>'[1]Performance Data Sheet'!C17</f>
        <v>TIR 42934</v>
      </c>
      <c r="C6" s="901"/>
      <c r="D6" s="902"/>
      <c r="E6" s="479" t="s">
        <v>387</v>
      </c>
      <c r="F6" s="480" t="s">
        <v>730</v>
      </c>
    </row>
    <row r="7" spans="1:6" ht="18.95" customHeight="1">
      <c r="A7" s="479" t="s">
        <v>388</v>
      </c>
      <c r="B7" s="480" t="str">
        <f>'[1]Performance Data Sheet'!F14</f>
        <v>WP-II</v>
      </c>
      <c r="C7" s="479" t="s">
        <v>389</v>
      </c>
      <c r="D7" s="480" t="s">
        <v>731</v>
      </c>
      <c r="E7" s="479" t="s">
        <v>390</v>
      </c>
      <c r="F7" s="480" t="str">
        <f>'[1]Performance Data Sheet'!C14</f>
        <v>450-1600</v>
      </c>
    </row>
    <row r="8" spans="1:6" ht="18.95" customHeight="1">
      <c r="A8" s="479" t="s">
        <v>391</v>
      </c>
      <c r="B8" s="480">
        <v>4</v>
      </c>
      <c r="C8" s="479" t="s">
        <v>392</v>
      </c>
      <c r="D8" s="480" t="s">
        <v>393</v>
      </c>
      <c r="E8" s="479" t="s">
        <v>394</v>
      </c>
      <c r="F8" s="480" t="s">
        <v>350</v>
      </c>
    </row>
    <row r="9" spans="1:6" ht="18.95" customHeight="1">
      <c r="A9" s="479" t="s">
        <v>395</v>
      </c>
      <c r="B9" s="480">
        <v>4000</v>
      </c>
      <c r="C9" s="479" t="s">
        <v>396</v>
      </c>
      <c r="D9" s="480" t="s">
        <v>408</v>
      </c>
      <c r="E9" s="479" t="s">
        <v>2</v>
      </c>
      <c r="F9" s="481">
        <f>'[1]Performance Data Sheet'!K44</f>
        <v>44971</v>
      </c>
    </row>
    <row r="10" spans="1:6" ht="18.95" customHeight="1">
      <c r="A10" s="479" t="s">
        <v>397</v>
      </c>
      <c r="B10" s="480">
        <v>1790</v>
      </c>
      <c r="C10" s="479" t="s">
        <v>259</v>
      </c>
      <c r="D10" s="480" t="s">
        <v>398</v>
      </c>
      <c r="E10" s="479" t="s">
        <v>1</v>
      </c>
      <c r="F10" s="480" t="s">
        <v>728</v>
      </c>
    </row>
    <row r="11" spans="1:6" ht="18.95" customHeight="1">
      <c r="A11" s="476"/>
      <c r="B11" s="477"/>
      <c r="C11" s="477"/>
      <c r="D11" s="477"/>
      <c r="E11" s="477"/>
      <c r="F11" s="478"/>
    </row>
    <row r="12" spans="1:6" ht="18.95" customHeight="1">
      <c r="A12" s="476"/>
      <c r="B12" s="482" t="s">
        <v>399</v>
      </c>
      <c r="C12" s="483" t="s">
        <v>732</v>
      </c>
      <c r="D12" s="482" t="s">
        <v>258</v>
      </c>
      <c r="E12" s="483" t="s">
        <v>398</v>
      </c>
      <c r="F12" s="478"/>
    </row>
    <row r="13" spans="1:6" ht="18.95" customHeight="1">
      <c r="A13" s="476"/>
      <c r="B13" s="482" t="s">
        <v>400</v>
      </c>
      <c r="C13" s="484">
        <v>1.35</v>
      </c>
      <c r="D13" s="482" t="s">
        <v>401</v>
      </c>
      <c r="E13" s="483" t="s">
        <v>398</v>
      </c>
      <c r="F13" s="478"/>
    </row>
    <row r="14" spans="1:6" ht="18.95" customHeight="1">
      <c r="A14" s="476"/>
      <c r="B14" s="482" t="s">
        <v>402</v>
      </c>
      <c r="C14" s="484">
        <v>2.25</v>
      </c>
      <c r="D14" s="482" t="s">
        <v>260</v>
      </c>
      <c r="E14" s="483" t="s">
        <v>398</v>
      </c>
      <c r="F14" s="478"/>
    </row>
    <row r="15" spans="1:6" ht="18.95" customHeight="1">
      <c r="A15" s="476"/>
      <c r="B15" s="482" t="s">
        <v>261</v>
      </c>
      <c r="C15" s="483" t="s">
        <v>409</v>
      </c>
      <c r="D15" s="477"/>
      <c r="E15" s="477"/>
      <c r="F15" s="478"/>
    </row>
    <row r="16" spans="1:6" ht="18.95" customHeight="1">
      <c r="A16" s="476"/>
      <c r="B16" s="477"/>
      <c r="C16" s="477"/>
      <c r="D16" s="477"/>
      <c r="E16" s="477"/>
      <c r="F16" s="478"/>
    </row>
    <row r="17" spans="1:8" ht="18.95" customHeight="1">
      <c r="A17" s="476"/>
      <c r="B17" s="477"/>
      <c r="C17" s="477"/>
      <c r="D17" s="477"/>
      <c r="E17" s="477"/>
      <c r="F17" s="478"/>
    </row>
    <row r="18" spans="1:8" ht="18.95" customHeight="1">
      <c r="A18" s="476"/>
      <c r="B18" s="477"/>
      <c r="C18" s="477"/>
      <c r="D18" s="477"/>
      <c r="E18" s="477"/>
      <c r="F18" s="478"/>
    </row>
    <row r="19" spans="1:8" ht="18.95" customHeight="1">
      <c r="A19" s="476"/>
      <c r="B19" s="477"/>
      <c r="C19" s="477"/>
      <c r="D19" s="477"/>
      <c r="E19" s="477"/>
      <c r="F19" s="478"/>
    </row>
    <row r="20" spans="1:8" ht="18.95" customHeight="1">
      <c r="A20" s="476"/>
      <c r="B20" s="477"/>
      <c r="C20" s="477"/>
      <c r="D20" s="477"/>
      <c r="E20" s="477"/>
      <c r="F20" s="478"/>
    </row>
    <row r="21" spans="1:8" ht="18.95" customHeight="1">
      <c r="A21" s="476"/>
      <c r="B21" s="477"/>
      <c r="C21" s="477"/>
      <c r="D21" s="477"/>
      <c r="E21" s="477"/>
      <c r="F21" s="478"/>
    </row>
    <row r="22" spans="1:8" ht="18.95" customHeight="1">
      <c r="A22" s="476"/>
      <c r="B22" s="477"/>
      <c r="C22" s="477"/>
      <c r="D22" s="477"/>
      <c r="E22" s="477"/>
      <c r="F22" s="478"/>
    </row>
    <row r="23" spans="1:8" ht="18.95" customHeight="1">
      <c r="A23" s="476"/>
      <c r="B23" s="477"/>
      <c r="C23" s="477"/>
      <c r="D23" s="477"/>
      <c r="E23" s="477"/>
      <c r="F23" s="478"/>
    </row>
    <row r="24" spans="1:8" ht="18.95" customHeight="1">
      <c r="A24" s="476"/>
      <c r="B24" s="477"/>
      <c r="C24" s="477"/>
      <c r="D24" s="477"/>
      <c r="E24" s="477"/>
      <c r="F24" s="478"/>
      <c r="H24" s="485"/>
    </row>
    <row r="25" spans="1:8" ht="18.95" customHeight="1">
      <c r="A25" s="476"/>
      <c r="B25" s="477"/>
      <c r="C25" s="477"/>
      <c r="D25" s="477"/>
      <c r="E25" s="477"/>
      <c r="F25" s="478"/>
    </row>
    <row r="26" spans="1:8" ht="18.95" customHeight="1">
      <c r="A26" s="476"/>
      <c r="B26" s="477"/>
      <c r="C26" s="477"/>
      <c r="D26" s="477"/>
      <c r="E26" s="477"/>
      <c r="F26" s="478"/>
    </row>
    <row r="27" spans="1:8" ht="18.95" customHeight="1">
      <c r="A27" s="476"/>
      <c r="B27" s="477"/>
      <c r="C27" s="477"/>
      <c r="D27" s="477"/>
      <c r="E27" s="477"/>
      <c r="F27" s="478"/>
    </row>
    <row r="28" spans="1:8" ht="18.95" customHeight="1">
      <c r="A28" s="476"/>
      <c r="B28" s="477"/>
      <c r="C28" s="477"/>
      <c r="D28" s="477"/>
      <c r="E28" s="477"/>
      <c r="F28" s="478"/>
    </row>
    <row r="29" spans="1:8" ht="18.95" customHeight="1">
      <c r="A29" s="476"/>
      <c r="B29" s="477"/>
      <c r="C29" s="477"/>
      <c r="D29" s="477"/>
      <c r="E29" s="477"/>
      <c r="F29" s="478"/>
    </row>
    <row r="30" spans="1:8" ht="18.95" customHeight="1">
      <c r="A30" s="476"/>
      <c r="B30" s="477"/>
      <c r="C30" s="477"/>
      <c r="D30" s="477"/>
      <c r="E30" s="477"/>
      <c r="F30" s="478"/>
    </row>
    <row r="31" spans="1:8" ht="18.95" customHeight="1">
      <c r="A31" s="476"/>
      <c r="B31" s="477"/>
      <c r="C31" s="477"/>
      <c r="D31" s="477"/>
      <c r="E31" s="477"/>
      <c r="F31" s="478"/>
    </row>
    <row r="32" spans="1:8" ht="18.95" customHeight="1">
      <c r="A32" s="476"/>
      <c r="B32" s="477"/>
      <c r="C32" s="477"/>
      <c r="D32" s="477"/>
      <c r="E32" s="477"/>
      <c r="F32" s="478"/>
    </row>
    <row r="33" spans="1:6" ht="18.95" customHeight="1">
      <c r="A33" s="476"/>
      <c r="B33" s="477"/>
      <c r="C33" s="477"/>
      <c r="D33" s="477"/>
      <c r="E33" s="477"/>
      <c r="F33" s="478"/>
    </row>
    <row r="34" spans="1:6" ht="18.95" customHeight="1">
      <c r="A34" s="476"/>
      <c r="B34" s="477"/>
      <c r="C34" s="477"/>
      <c r="D34" s="477"/>
      <c r="E34" s="477"/>
      <c r="F34" s="478"/>
    </row>
    <row r="35" spans="1:6" ht="18.95" customHeight="1">
      <c r="A35" s="476"/>
      <c r="B35" s="477"/>
      <c r="C35" s="477"/>
      <c r="D35" s="477"/>
      <c r="E35" s="477"/>
      <c r="F35" s="478"/>
    </row>
    <row r="36" spans="1:6" ht="18.95" customHeight="1">
      <c r="A36" s="476"/>
      <c r="B36" s="477"/>
      <c r="C36" s="477"/>
      <c r="D36" s="477"/>
      <c r="E36" s="477"/>
      <c r="F36" s="478"/>
    </row>
    <row r="37" spans="1:6" ht="18.95" customHeight="1">
      <c r="A37" s="476"/>
      <c r="B37" s="477"/>
      <c r="C37" s="477"/>
      <c r="D37" s="477"/>
      <c r="E37" s="477"/>
      <c r="F37" s="478"/>
    </row>
    <row r="38" spans="1:6" ht="18.95" customHeight="1">
      <c r="A38" s="476"/>
      <c r="B38" s="477"/>
      <c r="C38" s="477"/>
      <c r="D38" s="477"/>
      <c r="E38" s="477"/>
      <c r="F38" s="478"/>
    </row>
    <row r="39" spans="1:6" ht="18.95" customHeight="1">
      <c r="A39" s="344" t="s">
        <v>403</v>
      </c>
      <c r="B39" s="345" t="s">
        <v>352</v>
      </c>
      <c r="C39" s="467" t="str">
        <f>'Performance Data Sheet'!C10</f>
        <v>2326400.3</v>
      </c>
      <c r="D39" s="336"/>
      <c r="E39" s="341" t="s">
        <v>404</v>
      </c>
      <c r="F39" s="346"/>
    </row>
    <row r="40" spans="1:6" ht="18.95" customHeight="1">
      <c r="A40" s="335"/>
      <c r="B40" s="345"/>
      <c r="C40" s="345"/>
      <c r="D40" s="336"/>
      <c r="E40" s="336"/>
      <c r="F40" s="337"/>
    </row>
    <row r="41" spans="1:6" ht="18.95" customHeight="1">
      <c r="A41" s="335"/>
      <c r="B41" s="345"/>
      <c r="C41" s="345"/>
      <c r="D41" s="336"/>
      <c r="E41" s="336"/>
      <c r="F41" s="337"/>
    </row>
    <row r="42" spans="1:6" ht="18.95" customHeight="1">
      <c r="A42" s="335"/>
      <c r="B42" s="336"/>
      <c r="C42" s="336"/>
      <c r="D42" s="336"/>
      <c r="E42" s="336"/>
      <c r="F42" s="337"/>
    </row>
    <row r="43" spans="1:6" ht="18.95" customHeight="1">
      <c r="A43" s="347"/>
      <c r="B43" s="345"/>
      <c r="C43" s="348" t="s">
        <v>405</v>
      </c>
      <c r="D43" s="349" t="str">
        <f>'Performance Data Sheet'!K42</f>
        <v>Jerry R</v>
      </c>
      <c r="E43" s="348" t="s">
        <v>406</v>
      </c>
      <c r="F43" s="34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86" t="s">
        <v>257</v>
      </c>
      <c r="B53" s="486" t="s">
        <v>142</v>
      </c>
      <c r="C53" s="486" t="s">
        <v>120</v>
      </c>
      <c r="D53" s="486" t="s">
        <v>135</v>
      </c>
      <c r="E53" s="486" t="s">
        <v>5</v>
      </c>
      <c r="F53" s="487" t="s">
        <v>729</v>
      </c>
    </row>
    <row r="54" spans="1:6" ht="15" customHeight="1">
      <c r="A54" s="488">
        <v>0</v>
      </c>
      <c r="B54" s="489"/>
      <c r="C54" s="490"/>
      <c r="D54" s="490">
        <v>199</v>
      </c>
      <c r="E54" s="490">
        <v>100</v>
      </c>
      <c r="F54" s="491">
        <v>0.33256000000000002</v>
      </c>
    </row>
    <row r="55" spans="1:6" ht="15" customHeight="1">
      <c r="A55" s="492">
        <v>25</v>
      </c>
      <c r="B55" s="493">
        <v>94</v>
      </c>
      <c r="C55" s="494">
        <v>61.6</v>
      </c>
      <c r="D55" s="494">
        <v>321</v>
      </c>
      <c r="E55" s="494">
        <v>88.242844671639389</v>
      </c>
      <c r="F55" s="495">
        <v>9.9433018839078606</v>
      </c>
    </row>
    <row r="56" spans="1:6" ht="15" customHeight="1">
      <c r="A56" s="492">
        <v>50</v>
      </c>
      <c r="B56" s="493">
        <v>96.3</v>
      </c>
      <c r="C56" s="494">
        <v>80.099999999999994</v>
      </c>
      <c r="D56" s="494">
        <v>484</v>
      </c>
      <c r="E56" s="494">
        <v>75.754127407891716</v>
      </c>
      <c r="F56" s="495">
        <v>19.366770079161039</v>
      </c>
    </row>
    <row r="57" spans="1:6">
      <c r="A57" s="492">
        <v>75</v>
      </c>
      <c r="B57" s="493">
        <v>96.9</v>
      </c>
      <c r="C57" s="494">
        <v>85.5</v>
      </c>
      <c r="D57" s="494">
        <v>676</v>
      </c>
      <c r="E57" s="494">
        <v>63.02629872988571</v>
      </c>
      <c r="F57" s="495">
        <v>28.843660267163187</v>
      </c>
    </row>
    <row r="58" spans="1:6">
      <c r="A58" s="492">
        <v>100</v>
      </c>
      <c r="B58" s="493">
        <v>97.1</v>
      </c>
      <c r="C58" s="494">
        <v>87.2</v>
      </c>
      <c r="D58" s="494">
        <v>884</v>
      </c>
      <c r="E58" s="494">
        <v>50.117962383454476</v>
      </c>
      <c r="F58" s="495">
        <v>38.377859776277667</v>
      </c>
    </row>
    <row r="59" spans="1:6" ht="13.5" thickBot="1">
      <c r="A59" s="496">
        <v>125</v>
      </c>
      <c r="B59" s="497">
        <v>97</v>
      </c>
      <c r="C59" s="498">
        <v>87.4</v>
      </c>
      <c r="D59" s="498">
        <v>1104</v>
      </c>
      <c r="E59" s="498">
        <v>36.903450595071959</v>
      </c>
      <c r="F59" s="499">
        <v>47.97053694693161</v>
      </c>
    </row>
    <row r="60" spans="1:6">
      <c r="A60" s="500"/>
      <c r="B60" s="501"/>
      <c r="C60" s="501"/>
    </row>
    <row r="61" spans="1:6">
      <c r="A61" s="500"/>
      <c r="B61" s="501"/>
      <c r="C61" s="501"/>
    </row>
    <row r="62" spans="1:6">
      <c r="A62" s="500"/>
      <c r="B62" s="501"/>
      <c r="C62" s="501"/>
    </row>
    <row r="63" spans="1:6">
      <c r="A63" s="500"/>
      <c r="B63" s="501"/>
      <c r="C63" s="501"/>
    </row>
    <row r="64" spans="1:6">
      <c r="A64" s="500"/>
      <c r="B64" s="501"/>
      <c r="C64" s="501"/>
    </row>
    <row r="65" spans="1:3">
      <c r="A65" s="500"/>
      <c r="B65" s="501"/>
      <c r="C65" s="501"/>
    </row>
    <row r="66" spans="1:3">
      <c r="A66" s="500"/>
      <c r="B66" s="501"/>
      <c r="C66" s="501"/>
    </row>
    <row r="67" spans="1:3">
      <c r="A67" s="502"/>
      <c r="B67" s="501"/>
      <c r="C67" s="50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64C4-CFC1-4B52-8D9C-8CD20035720A}">
  <sheetPr syncVertical="1" syncRef="A14" transitionEvaluation="1"/>
  <dimension ref="A1:AB43"/>
  <sheetViews>
    <sheetView showGridLines="0" tabSelected="1" topLeftCell="A14" zoomScaleNormal="100" workbookViewId="0">
      <selection activeCell="N44" sqref="N44"/>
    </sheetView>
  </sheetViews>
  <sheetFormatPr defaultColWidth="9.7109375" defaultRowHeight="12.75"/>
  <cols>
    <col min="1" max="13" width="6.5703125" style="503" customWidth="1"/>
    <col min="14" max="14" width="6.42578125" style="503" customWidth="1"/>
    <col min="15" max="16" width="9.7109375" style="503"/>
    <col min="17" max="17" width="12.85546875" style="503" bestFit="1" customWidth="1"/>
    <col min="18" max="16384" width="9.7109375" style="503"/>
  </cols>
  <sheetData>
    <row r="1" spans="1:17" ht="15.75" customHeight="1">
      <c r="A1" s="559" t="s">
        <v>267</v>
      </c>
      <c r="B1" s="558"/>
      <c r="C1" s="558"/>
      <c r="D1" s="558"/>
      <c r="E1" s="558"/>
      <c r="F1" s="558"/>
      <c r="G1" s="558"/>
      <c r="H1" s="558"/>
      <c r="I1" s="558"/>
      <c r="J1" s="557" t="s">
        <v>620</v>
      </c>
      <c r="K1" s="556"/>
      <c r="L1" s="555" t="s">
        <v>761</v>
      </c>
      <c r="M1" s="554"/>
    </row>
    <row r="2" spans="1:17" ht="15.75" customHeight="1">
      <c r="A2" s="553" t="s">
        <v>622</v>
      </c>
      <c r="B2" s="552"/>
      <c r="C2" s="552"/>
      <c r="D2" s="552"/>
      <c r="E2" s="552"/>
      <c r="F2" s="552"/>
      <c r="G2" s="552"/>
      <c r="H2" s="552"/>
      <c r="I2" s="552"/>
      <c r="J2" s="549" t="s">
        <v>623</v>
      </c>
      <c r="K2" s="548"/>
      <c r="L2" s="547" t="s">
        <v>624</v>
      </c>
      <c r="M2" s="546"/>
    </row>
    <row r="3" spans="1:17" ht="15.75" customHeight="1">
      <c r="A3" s="551"/>
      <c r="B3" s="506"/>
      <c r="C3" s="506"/>
      <c r="D3" s="506"/>
      <c r="E3" s="506"/>
      <c r="F3" s="506"/>
      <c r="G3" s="506"/>
      <c r="H3" s="506"/>
      <c r="I3" s="506"/>
      <c r="J3" s="549" t="s">
        <v>625</v>
      </c>
      <c r="K3" s="548"/>
      <c r="L3" s="918">
        <v>38309</v>
      </c>
      <c r="M3" s="919"/>
    </row>
    <row r="4" spans="1:17" ht="15.75" customHeight="1">
      <c r="A4" s="920" t="s">
        <v>760</v>
      </c>
      <c r="B4" s="921"/>
      <c r="C4" s="921"/>
      <c r="D4" s="921"/>
      <c r="E4" s="921"/>
      <c r="F4" s="921"/>
      <c r="G4" s="921"/>
      <c r="H4" s="921"/>
      <c r="I4" s="922"/>
      <c r="J4" s="549" t="s">
        <v>627</v>
      </c>
      <c r="K4" s="548"/>
      <c r="L4" s="547" t="s">
        <v>759</v>
      </c>
      <c r="M4" s="546"/>
    </row>
    <row r="5" spans="1:17" ht="15.75" customHeight="1">
      <c r="A5" s="920"/>
      <c r="B5" s="923"/>
      <c r="C5" s="923"/>
      <c r="D5" s="923"/>
      <c r="E5" s="923"/>
      <c r="F5" s="923"/>
      <c r="G5" s="923"/>
      <c r="H5" s="923"/>
      <c r="I5" s="924"/>
      <c r="J5" s="549" t="s">
        <v>629</v>
      </c>
      <c r="K5" s="548"/>
      <c r="L5" s="547" t="s">
        <v>758</v>
      </c>
      <c r="M5" s="546"/>
    </row>
    <row r="6" spans="1:17" ht="15.75" customHeight="1">
      <c r="A6" s="550"/>
      <c r="B6" s="506"/>
      <c r="C6" s="506"/>
      <c r="D6" s="506"/>
      <c r="E6" s="506"/>
      <c r="F6" s="506"/>
      <c r="G6" s="506"/>
      <c r="H6" s="506"/>
      <c r="I6" s="506"/>
      <c r="J6" s="549" t="s">
        <v>631</v>
      </c>
      <c r="K6" s="548"/>
      <c r="L6" s="547" t="s">
        <v>632</v>
      </c>
      <c r="M6" s="546"/>
    </row>
    <row r="7" spans="1:17" ht="15.75" customHeight="1" thickBot="1">
      <c r="A7" s="545" t="s">
        <v>757</v>
      </c>
      <c r="B7" s="544"/>
      <c r="C7" s="544"/>
      <c r="D7" s="544"/>
      <c r="E7" s="544"/>
      <c r="F7" s="544"/>
      <c r="G7" s="544"/>
      <c r="H7" s="544"/>
      <c r="I7" s="544"/>
      <c r="J7" s="543" t="s">
        <v>634</v>
      </c>
      <c r="K7" s="542"/>
      <c r="L7" s="541" t="s">
        <v>756</v>
      </c>
      <c r="M7" s="540"/>
    </row>
    <row r="8" spans="1:17" ht="15.75" customHeight="1">
      <c r="A8" s="400"/>
      <c r="B8" s="390"/>
      <c r="C8" s="390"/>
      <c r="D8" s="390"/>
      <c r="E8" s="390"/>
      <c r="F8" s="390"/>
      <c r="G8" s="390"/>
      <c r="H8" s="390"/>
      <c r="I8" s="390"/>
      <c r="J8" s="390"/>
      <c r="K8" s="401"/>
      <c r="L8" s="402"/>
      <c r="M8" s="403"/>
      <c r="N8" s="507"/>
    </row>
    <row r="9" spans="1:17" ht="15.75" customHeight="1">
      <c r="A9" s="404"/>
      <c r="B9" s="405" t="s">
        <v>636</v>
      </c>
      <c r="C9" s="406" t="s">
        <v>738</v>
      </c>
      <c r="D9" s="407"/>
      <c r="E9" s="407"/>
      <c r="F9" s="407"/>
      <c r="G9" s="407"/>
      <c r="H9" s="407"/>
      <c r="I9" s="407"/>
      <c r="J9" s="407"/>
      <c r="K9" s="408"/>
      <c r="L9" s="404"/>
      <c r="M9" s="407"/>
      <c r="N9" s="507"/>
    </row>
    <row r="10" spans="1:17" ht="15.75" customHeight="1">
      <c r="A10" s="404"/>
      <c r="B10" s="405" t="s">
        <v>637</v>
      </c>
      <c r="C10" s="409" t="s">
        <v>739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507"/>
    </row>
    <row r="11" spans="1:17" ht="15.75" customHeight="1" thickBot="1">
      <c r="A11" s="402"/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507"/>
    </row>
    <row r="12" spans="1:17" ht="15.75" customHeight="1" thickBot="1">
      <c r="A12" s="410" t="s">
        <v>638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2"/>
    </row>
    <row r="13" spans="1:17" ht="14.1" customHeight="1" thickTop="1">
      <c r="A13" s="413"/>
      <c r="B13" s="405" t="s">
        <v>639</v>
      </c>
      <c r="C13" s="414">
        <v>4000</v>
      </c>
      <c r="D13" s="404"/>
      <c r="E13" s="405" t="s">
        <v>640</v>
      </c>
      <c r="F13" s="414">
        <v>4000</v>
      </c>
      <c r="G13" s="404"/>
      <c r="H13" s="405" t="s">
        <v>641</v>
      </c>
      <c r="I13" s="414" t="s">
        <v>725</v>
      </c>
      <c r="J13" s="404"/>
      <c r="K13" s="404"/>
      <c r="L13" s="405" t="s">
        <v>642</v>
      </c>
      <c r="M13" s="415">
        <v>1800</v>
      </c>
    </row>
    <row r="14" spans="1:17" ht="14.1" customHeight="1">
      <c r="A14" s="413"/>
      <c r="B14" s="405" t="s">
        <v>643</v>
      </c>
      <c r="C14" s="414" t="s">
        <v>177</v>
      </c>
      <c r="D14" s="404"/>
      <c r="E14" s="405" t="s">
        <v>644</v>
      </c>
      <c r="F14" s="416" t="s">
        <v>726</v>
      </c>
      <c r="G14" s="404"/>
      <c r="H14" s="405" t="s">
        <v>645</v>
      </c>
      <c r="I14" s="414">
        <v>509</v>
      </c>
      <c r="J14" s="404"/>
      <c r="K14" s="404"/>
      <c r="L14" s="405" t="s">
        <v>397</v>
      </c>
      <c r="M14" s="415">
        <v>1790</v>
      </c>
    </row>
    <row r="15" spans="1:17" ht="14.1" customHeight="1">
      <c r="A15" s="413"/>
      <c r="B15" s="405" t="s">
        <v>646</v>
      </c>
      <c r="C15" s="414" t="s">
        <v>176</v>
      </c>
      <c r="D15" s="404"/>
      <c r="E15" s="405" t="s">
        <v>647</v>
      </c>
      <c r="F15" s="417" t="s">
        <v>743</v>
      </c>
      <c r="G15" s="404"/>
      <c r="H15" s="405" t="s">
        <v>648</v>
      </c>
      <c r="I15" s="416" t="s">
        <v>613</v>
      </c>
      <c r="J15" s="404"/>
      <c r="K15" s="404"/>
      <c r="L15" s="405" t="s">
        <v>649</v>
      </c>
      <c r="M15" s="415" t="s">
        <v>350</v>
      </c>
      <c r="Q15" s="539"/>
    </row>
    <row r="16" spans="1:17" ht="14.1" customHeight="1">
      <c r="A16" s="413"/>
      <c r="B16" s="405" t="s">
        <v>650</v>
      </c>
      <c r="C16" s="414" t="s">
        <v>742</v>
      </c>
      <c r="D16" s="404"/>
      <c r="E16" s="405" t="s">
        <v>651</v>
      </c>
      <c r="F16" s="418">
        <v>40</v>
      </c>
      <c r="G16" s="404"/>
      <c r="H16" s="419" t="s">
        <v>652</v>
      </c>
      <c r="I16" s="420" t="s">
        <v>349</v>
      </c>
      <c r="J16" s="404"/>
      <c r="K16" s="404"/>
      <c r="L16" s="405" t="s">
        <v>653</v>
      </c>
      <c r="M16" s="415" t="s">
        <v>654</v>
      </c>
    </row>
    <row r="17" spans="1:19" ht="14.1" customHeight="1">
      <c r="A17" s="413"/>
      <c r="B17" s="405" t="s">
        <v>655</v>
      </c>
      <c r="C17" s="406" t="s">
        <v>740</v>
      </c>
      <c r="D17" s="404"/>
      <c r="E17" s="405"/>
      <c r="F17" s="416"/>
      <c r="G17" s="404"/>
      <c r="H17" s="405" t="s">
        <v>656</v>
      </c>
      <c r="I17" s="420" t="s">
        <v>174</v>
      </c>
      <c r="J17" s="404"/>
      <c r="K17" s="404"/>
      <c r="L17" s="405"/>
      <c r="M17" s="421"/>
    </row>
    <row r="18" spans="1:19" ht="14.1" customHeight="1" thickBot="1">
      <c r="A18" s="422"/>
      <c r="B18" s="423" t="s">
        <v>657</v>
      </c>
      <c r="C18" s="424">
        <v>96.2</v>
      </c>
      <c r="D18" s="425"/>
      <c r="E18" s="423" t="s">
        <v>658</v>
      </c>
      <c r="F18" s="424" t="s">
        <v>174</v>
      </c>
      <c r="G18" s="426"/>
      <c r="H18" s="423" t="s">
        <v>659</v>
      </c>
      <c r="I18" s="424" t="s">
        <v>741</v>
      </c>
      <c r="J18" s="425"/>
      <c r="K18" s="425"/>
      <c r="L18" s="425"/>
      <c r="M18" s="427"/>
    </row>
    <row r="19" spans="1:19" ht="15.75" customHeight="1">
      <c r="A19" s="507"/>
      <c r="B19" s="507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7"/>
    </row>
    <row r="20" spans="1:19" ht="15.75" customHeight="1" thickBot="1">
      <c r="A20" s="538"/>
      <c r="B20" s="538"/>
      <c r="C20" s="538"/>
      <c r="D20" s="538"/>
      <c r="E20" s="538"/>
      <c r="F20" s="538"/>
      <c r="G20" s="538"/>
      <c r="H20" s="538"/>
      <c r="I20" s="538"/>
      <c r="J20" s="538"/>
      <c r="K20" s="538"/>
      <c r="L20" s="538"/>
      <c r="M20" s="538"/>
    </row>
    <row r="21" spans="1:19" ht="15.75" customHeight="1">
      <c r="A21" s="925" t="s">
        <v>755</v>
      </c>
      <c r="B21" s="926"/>
      <c r="C21" s="926"/>
      <c r="D21" s="926"/>
      <c r="E21" s="926"/>
      <c r="F21" s="926"/>
      <c r="G21" s="927">
        <v>2.9000000000000001E-2</v>
      </c>
      <c r="H21" s="927"/>
      <c r="I21" s="927"/>
      <c r="J21" s="928"/>
      <c r="K21" s="522"/>
      <c r="L21" s="522"/>
      <c r="M21" s="522"/>
    </row>
    <row r="22" spans="1:19" ht="15.75" customHeight="1">
      <c r="A22" s="906" t="s">
        <v>754</v>
      </c>
      <c r="B22" s="907"/>
      <c r="C22" s="907"/>
      <c r="D22" s="907"/>
      <c r="E22" s="907"/>
      <c r="F22" s="907"/>
      <c r="G22" s="908">
        <v>3.2000000000000001E-2</v>
      </c>
      <c r="H22" s="908"/>
      <c r="I22" s="908"/>
      <c r="J22" s="909"/>
      <c r="K22" s="537"/>
      <c r="L22" s="537"/>
      <c r="M22" s="537"/>
    </row>
    <row r="23" spans="1:19" ht="15.75" customHeight="1">
      <c r="A23" s="906" t="s">
        <v>753</v>
      </c>
      <c r="B23" s="907"/>
      <c r="C23" s="907"/>
      <c r="D23" s="907"/>
      <c r="E23" s="907"/>
      <c r="F23" s="907"/>
      <c r="G23" s="908">
        <v>0.106</v>
      </c>
      <c r="H23" s="908"/>
      <c r="I23" s="908"/>
      <c r="J23" s="909"/>
      <c r="K23" s="536"/>
      <c r="L23" s="536"/>
      <c r="M23" s="536"/>
      <c r="Q23" s="535"/>
    </row>
    <row r="24" spans="1:19" ht="15.75" customHeight="1">
      <c r="A24" s="906"/>
      <c r="B24" s="907"/>
      <c r="C24" s="907"/>
      <c r="D24" s="907"/>
      <c r="E24" s="907"/>
      <c r="F24" s="907"/>
      <c r="G24" s="916"/>
      <c r="H24" s="916"/>
      <c r="I24" s="916"/>
      <c r="J24" s="917"/>
      <c r="K24" s="534"/>
      <c r="L24" s="534"/>
      <c r="M24" s="515"/>
      <c r="N24" s="507"/>
      <c r="P24" s="533"/>
      <c r="S24" s="533"/>
    </row>
    <row r="25" spans="1:19" ht="15.75" customHeight="1">
      <c r="A25" s="906" t="s">
        <v>752</v>
      </c>
      <c r="B25" s="907"/>
      <c r="C25" s="907"/>
      <c r="D25" s="907"/>
      <c r="E25" s="907"/>
      <c r="F25" s="907"/>
      <c r="G25" s="908">
        <v>0.55700000000000005</v>
      </c>
      <c r="H25" s="908"/>
      <c r="I25" s="908"/>
      <c r="J25" s="909"/>
      <c r="K25" s="528"/>
      <c r="L25" s="528"/>
      <c r="M25" s="522"/>
      <c r="N25" s="507"/>
      <c r="Q25" s="532"/>
    </row>
    <row r="26" spans="1:19" ht="15.75" customHeight="1">
      <c r="A26" s="906" t="s">
        <v>751</v>
      </c>
      <c r="B26" s="907"/>
      <c r="C26" s="907"/>
      <c r="D26" s="907"/>
      <c r="E26" s="907"/>
      <c r="F26" s="907"/>
      <c r="G26" s="908">
        <v>0.61099999999999999</v>
      </c>
      <c r="H26" s="908"/>
      <c r="I26" s="908"/>
      <c r="J26" s="909"/>
      <c r="K26" s="531"/>
      <c r="L26" s="531"/>
      <c r="M26" s="522"/>
      <c r="N26" s="507"/>
      <c r="P26" s="530"/>
    </row>
    <row r="27" spans="1:19" ht="15.75" customHeight="1">
      <c r="A27" s="906" t="s">
        <v>750</v>
      </c>
      <c r="B27" s="907"/>
      <c r="C27" s="907"/>
      <c r="D27" s="907"/>
      <c r="E27" s="907"/>
      <c r="F27" s="907"/>
      <c r="G27" s="908">
        <v>0.40400000000000003</v>
      </c>
      <c r="H27" s="908"/>
      <c r="I27" s="908"/>
      <c r="J27" s="909"/>
      <c r="K27" s="523"/>
      <c r="L27" s="523"/>
      <c r="M27" s="522"/>
      <c r="N27" s="507"/>
    </row>
    <row r="28" spans="1:19" ht="15.75" customHeight="1">
      <c r="A28" s="906"/>
      <c r="B28" s="907"/>
      <c r="C28" s="907"/>
      <c r="D28" s="907"/>
      <c r="E28" s="907"/>
      <c r="F28" s="907"/>
      <c r="G28" s="916"/>
      <c r="H28" s="916"/>
      <c r="I28" s="916"/>
      <c r="J28" s="917"/>
      <c r="K28" s="523"/>
      <c r="L28" s="522"/>
      <c r="M28" s="522"/>
      <c r="N28" s="507"/>
    </row>
    <row r="29" spans="1:19" ht="15.75" customHeight="1">
      <c r="A29" s="906" t="s">
        <v>749</v>
      </c>
      <c r="B29" s="907"/>
      <c r="C29" s="907"/>
      <c r="D29" s="907"/>
      <c r="E29" s="907"/>
      <c r="F29" s="907"/>
      <c r="G29" s="914">
        <v>19.899999999999999</v>
      </c>
      <c r="H29" s="914"/>
      <c r="I29" s="914"/>
      <c r="J29" s="915"/>
      <c r="K29" s="522"/>
      <c r="L29" s="522"/>
      <c r="M29" s="516"/>
      <c r="N29" s="507"/>
      <c r="P29" s="529"/>
    </row>
    <row r="30" spans="1:19" ht="15.75" customHeight="1">
      <c r="A30" s="906"/>
      <c r="B30" s="907"/>
      <c r="C30" s="907"/>
      <c r="D30" s="907"/>
      <c r="E30" s="907"/>
      <c r="F30" s="907"/>
      <c r="G30" s="916"/>
      <c r="H30" s="916"/>
      <c r="I30" s="916"/>
      <c r="J30" s="917"/>
      <c r="K30" s="528"/>
      <c r="L30" s="528"/>
      <c r="M30" s="515"/>
      <c r="N30" s="507"/>
    </row>
    <row r="31" spans="1:19" ht="15.75" customHeight="1">
      <c r="A31" s="906" t="s">
        <v>748</v>
      </c>
      <c r="B31" s="907"/>
      <c r="C31" s="907"/>
      <c r="D31" s="907"/>
      <c r="E31" s="907"/>
      <c r="F31" s="907"/>
      <c r="G31" s="908">
        <v>1.1499999999999999</v>
      </c>
      <c r="H31" s="908"/>
      <c r="I31" s="908"/>
      <c r="J31" s="909"/>
      <c r="K31" s="522"/>
      <c r="L31" s="522"/>
      <c r="M31" s="515"/>
      <c r="N31" s="507"/>
      <c r="P31" s="527"/>
    </row>
    <row r="32" spans="1:19" ht="15.75" customHeight="1">
      <c r="A32" s="906" t="s">
        <v>747</v>
      </c>
      <c r="B32" s="907"/>
      <c r="C32" s="907"/>
      <c r="D32" s="907"/>
      <c r="E32" s="907"/>
      <c r="F32" s="907"/>
      <c r="G32" s="908">
        <v>0.79700000000000004</v>
      </c>
      <c r="H32" s="908"/>
      <c r="I32" s="908"/>
      <c r="J32" s="909"/>
      <c r="K32" s="522"/>
      <c r="L32" s="522"/>
      <c r="M32" s="515"/>
      <c r="N32" s="507"/>
    </row>
    <row r="33" spans="1:28" ht="15.75" customHeight="1">
      <c r="A33" s="906" t="s">
        <v>746</v>
      </c>
      <c r="B33" s="907"/>
      <c r="C33" s="907"/>
      <c r="D33" s="907"/>
      <c r="E33" s="907"/>
      <c r="F33" s="907"/>
      <c r="G33" s="908">
        <v>9.6000000000000002E-2</v>
      </c>
      <c r="H33" s="908"/>
      <c r="I33" s="908"/>
      <c r="J33" s="909"/>
      <c r="K33" s="515"/>
      <c r="L33" s="515"/>
      <c r="M33" s="515"/>
      <c r="N33" s="507"/>
      <c r="P33" s="527"/>
    </row>
    <row r="34" spans="1:28" ht="15.75" customHeight="1">
      <c r="A34" s="906" t="s">
        <v>745</v>
      </c>
      <c r="B34" s="907"/>
      <c r="C34" s="907"/>
      <c r="D34" s="907"/>
      <c r="E34" s="907"/>
      <c r="F34" s="907"/>
      <c r="G34" s="908">
        <v>1.7000000000000001E-2</v>
      </c>
      <c r="H34" s="908"/>
      <c r="I34" s="908"/>
      <c r="J34" s="909"/>
      <c r="M34" s="515"/>
      <c r="N34" s="507"/>
    </row>
    <row r="35" spans="1:28" ht="15.75" customHeight="1" thickBot="1">
      <c r="A35" s="910" t="s">
        <v>744</v>
      </c>
      <c r="B35" s="911"/>
      <c r="C35" s="911"/>
      <c r="D35" s="911"/>
      <c r="E35" s="911"/>
      <c r="F35" s="911"/>
      <c r="G35" s="912">
        <v>1.708</v>
      </c>
      <c r="H35" s="912"/>
      <c r="I35" s="912"/>
      <c r="J35" s="913"/>
      <c r="M35" s="515"/>
      <c r="N35" s="507"/>
      <c r="T35" s="526"/>
      <c r="U35" s="526"/>
      <c r="V35" s="520"/>
      <c r="W35" s="520"/>
      <c r="X35" s="520"/>
      <c r="Y35" s="520"/>
      <c r="Z35" s="525"/>
      <c r="AA35" s="524"/>
      <c r="AB35" s="521"/>
    </row>
    <row r="36" spans="1:28" ht="15.75" customHeight="1">
      <c r="A36" s="519"/>
      <c r="E36" s="523"/>
      <c r="F36" s="523"/>
      <c r="G36" s="523"/>
      <c r="H36" s="522"/>
      <c r="I36" s="522"/>
      <c r="M36" s="515"/>
      <c r="N36" s="507"/>
      <c r="T36" s="520"/>
      <c r="U36" s="520"/>
      <c r="V36" s="520"/>
      <c r="W36" s="520"/>
      <c r="X36" s="521"/>
      <c r="Y36" s="520"/>
      <c r="Z36" s="904"/>
      <c r="AA36" s="904"/>
      <c r="AB36" s="903"/>
    </row>
    <row r="37" spans="1:28" ht="15.75" customHeight="1">
      <c r="A37" s="519"/>
      <c r="E37" s="517"/>
      <c r="F37" s="517"/>
      <c r="G37" s="517"/>
      <c r="H37" s="516"/>
      <c r="I37" s="516"/>
      <c r="M37" s="515"/>
      <c r="N37" s="507"/>
      <c r="T37" s="520"/>
      <c r="U37" s="520"/>
      <c r="V37" s="520"/>
      <c r="W37" s="520"/>
      <c r="X37" s="520"/>
      <c r="Y37" s="520"/>
      <c r="Z37" s="904"/>
      <c r="AA37" s="904"/>
      <c r="AB37" s="903"/>
    </row>
    <row r="38" spans="1:28" ht="15.75" customHeight="1">
      <c r="A38" s="519"/>
      <c r="B38" s="515"/>
      <c r="C38" s="515"/>
      <c r="D38" s="518"/>
      <c r="E38" s="517"/>
      <c r="F38" s="517"/>
      <c r="G38" s="517"/>
      <c r="H38" s="516"/>
      <c r="I38" s="516"/>
      <c r="J38" s="515"/>
      <c r="K38" s="515"/>
      <c r="L38" s="515"/>
      <c r="M38" s="515"/>
      <c r="N38" s="507"/>
      <c r="T38" s="514"/>
      <c r="U38" s="514"/>
      <c r="V38" s="514"/>
      <c r="W38" s="514"/>
      <c r="X38" s="514"/>
      <c r="Y38" s="514"/>
      <c r="Z38" s="905"/>
      <c r="AA38" s="905"/>
      <c r="AB38" s="513"/>
    </row>
    <row r="39" spans="1:28" ht="15.75" customHeight="1">
      <c r="A39" s="507"/>
      <c r="B39" s="507"/>
      <c r="C39" s="507"/>
      <c r="D39" s="507"/>
      <c r="E39" s="507"/>
      <c r="F39" s="507"/>
      <c r="G39" s="507"/>
      <c r="H39" s="507"/>
      <c r="I39" s="507"/>
      <c r="J39" s="507"/>
      <c r="K39" s="507"/>
      <c r="L39" s="507"/>
      <c r="M39" s="507"/>
      <c r="N39" s="506"/>
    </row>
    <row r="40" spans="1:28" ht="15.75" customHeight="1">
      <c r="A40" s="512"/>
      <c r="B40" s="507"/>
      <c r="C40" s="511"/>
      <c r="D40" s="510"/>
      <c r="E40" s="507"/>
      <c r="F40" s="507"/>
      <c r="G40" s="507"/>
      <c r="H40" s="506"/>
      <c r="I40" s="505" t="s">
        <v>680</v>
      </c>
      <c r="J40" s="509" t="s">
        <v>814</v>
      </c>
      <c r="K40" s="508"/>
      <c r="L40" s="508"/>
      <c r="M40" s="508"/>
      <c r="N40" s="507"/>
    </row>
    <row r="41" spans="1:28" ht="15.75" customHeight="1">
      <c r="A41" s="507"/>
      <c r="B41" s="507"/>
      <c r="C41" s="507"/>
      <c r="D41" s="507"/>
      <c r="E41" s="507"/>
      <c r="F41" s="507"/>
      <c r="G41" s="507"/>
      <c r="H41" s="507"/>
      <c r="I41" s="507"/>
      <c r="J41" s="506"/>
      <c r="K41" s="506"/>
      <c r="L41" s="506"/>
      <c r="M41" s="506"/>
    </row>
    <row r="42" spans="1:28" ht="15.75" customHeight="1">
      <c r="A42" s="507"/>
      <c r="B42" s="507"/>
      <c r="C42" s="507"/>
      <c r="D42" s="507"/>
      <c r="E42" s="507"/>
      <c r="F42" s="507"/>
      <c r="G42" s="507"/>
      <c r="H42" s="506"/>
      <c r="I42" s="505" t="s">
        <v>682</v>
      </c>
      <c r="J42" s="504">
        <v>47218</v>
      </c>
      <c r="K42" s="504"/>
      <c r="L42" s="504"/>
      <c r="M42" s="504"/>
    </row>
    <row r="43" spans="1:28" ht="15.95" customHeight="1"/>
  </sheetData>
  <mergeCells count="37">
    <mergeCell ref="A22:F22"/>
    <mergeCell ref="G22:J22"/>
    <mergeCell ref="L3:M3"/>
    <mergeCell ref="A4:I4"/>
    <mergeCell ref="A5:I5"/>
    <mergeCell ref="A21:F21"/>
    <mergeCell ref="G21:J21"/>
    <mergeCell ref="A23:F23"/>
    <mergeCell ref="G23:J23"/>
    <mergeCell ref="A24:F24"/>
    <mergeCell ref="G24:J24"/>
    <mergeCell ref="A25:F25"/>
    <mergeCell ref="G25:J25"/>
    <mergeCell ref="A26:F26"/>
    <mergeCell ref="G26:J26"/>
    <mergeCell ref="A27:F27"/>
    <mergeCell ref="G27:J27"/>
    <mergeCell ref="A28:F28"/>
    <mergeCell ref="G28:J28"/>
    <mergeCell ref="A29:F29"/>
    <mergeCell ref="G29:J29"/>
    <mergeCell ref="A30:F30"/>
    <mergeCell ref="G30:J30"/>
    <mergeCell ref="A31:F31"/>
    <mergeCell ref="G31:J31"/>
    <mergeCell ref="AB36:AB37"/>
    <mergeCell ref="Z37:AA37"/>
    <mergeCell ref="Z38:AA38"/>
    <mergeCell ref="A32:F32"/>
    <mergeCell ref="G32:J32"/>
    <mergeCell ref="A33:F33"/>
    <mergeCell ref="G33:J33"/>
    <mergeCell ref="A34:F34"/>
    <mergeCell ref="G34:J34"/>
    <mergeCell ref="A35:F35"/>
    <mergeCell ref="G35:J35"/>
    <mergeCell ref="Z36:AA36"/>
  </mergeCells>
  <dataValidations count="3">
    <dataValidation type="list" allowBlank="1" showInputMessage="1" showErrorMessage="1" prompt="Pick one!" sqref="I15" xr:uid="{00000000-0002-0000-0A00-000002000000}">
      <formula1>$E$60:$E$62</formula1>
    </dataValidation>
    <dataValidation type="list" allowBlank="1" showInputMessage="1" showErrorMessage="1" prompt="Pick from list" sqref="F15" xr:uid="{00000000-0002-0000-0A00-000001000000}">
      <formula1>$D$60:$D$61</formula1>
    </dataValidation>
    <dataValidation type="list" errorStyle="warning" allowBlank="1" showInputMessage="1" showErrorMessage="1" error="You should choose from the list!" prompt="Choose Enclosure Type" sqref="F14" xr:uid="{00000000-0002-0000-0A00-000000000000}">
      <formula1>$A$60:$A$62</formula1>
    </dataValidation>
  </dataValidation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F7F7-B492-4EE7-AA4F-E57A99986500}">
  <sheetPr syncVertical="1" syncRef="A1" transitionEvaluation="1"/>
  <dimension ref="A1:U54"/>
  <sheetViews>
    <sheetView showGridLines="0" tabSelected="1" zoomScaleNormal="100" workbookViewId="0">
      <selection activeCell="N44" sqref="N44"/>
    </sheetView>
  </sheetViews>
  <sheetFormatPr defaultColWidth="12.5703125" defaultRowHeight="15.75"/>
  <cols>
    <col min="1" max="3" width="7" style="560" customWidth="1"/>
    <col min="4" max="4" width="8.28515625" style="560" customWidth="1"/>
    <col min="5" max="5" width="7" style="560" customWidth="1"/>
    <col min="6" max="6" width="7.5703125" style="560" customWidth="1"/>
    <col min="7" max="13" width="7" style="560" customWidth="1"/>
    <col min="14" max="14" width="7.140625" style="560" customWidth="1"/>
    <col min="15" max="16384" width="12.5703125" style="560"/>
  </cols>
  <sheetData>
    <row r="1" spans="1:17" ht="17.100000000000001" customHeight="1">
      <c r="A1" s="627" t="s">
        <v>267</v>
      </c>
      <c r="B1" s="626"/>
      <c r="C1" s="626"/>
      <c r="D1" s="626"/>
      <c r="E1" s="626"/>
      <c r="F1" s="626"/>
      <c r="G1" s="626"/>
      <c r="H1" s="626"/>
      <c r="I1" s="626"/>
      <c r="J1" s="625" t="s">
        <v>620</v>
      </c>
      <c r="K1" s="624"/>
      <c r="L1" s="971" t="s">
        <v>811</v>
      </c>
      <c r="M1" s="972"/>
      <c r="N1" s="608"/>
    </row>
    <row r="2" spans="1:17" ht="17.100000000000001" customHeight="1">
      <c r="A2" s="623" t="s">
        <v>622</v>
      </c>
      <c r="B2" s="622"/>
      <c r="C2" s="622"/>
      <c r="D2" s="622"/>
      <c r="E2" s="622"/>
      <c r="F2" s="622"/>
      <c r="G2" s="622"/>
      <c r="H2" s="622"/>
      <c r="I2" s="622"/>
      <c r="J2" s="616" t="s">
        <v>623</v>
      </c>
      <c r="K2" s="615"/>
      <c r="L2" s="621" t="s">
        <v>624</v>
      </c>
      <c r="M2" s="620"/>
      <c r="N2" s="608"/>
    </row>
    <row r="3" spans="1:17" ht="15.95" customHeight="1">
      <c r="A3" s="618"/>
      <c r="B3" s="610"/>
      <c r="C3" s="610"/>
      <c r="D3" s="610"/>
      <c r="E3" s="610"/>
      <c r="F3" s="610"/>
      <c r="G3" s="610"/>
      <c r="H3" s="610"/>
      <c r="I3" s="610"/>
      <c r="J3" s="616" t="s">
        <v>625</v>
      </c>
      <c r="K3" s="615"/>
      <c r="L3" s="973" t="s">
        <v>810</v>
      </c>
      <c r="M3" s="974"/>
      <c r="N3" s="608"/>
    </row>
    <row r="4" spans="1:17" ht="15.95" customHeight="1">
      <c r="A4" s="619"/>
      <c r="B4" s="610"/>
      <c r="C4" s="610"/>
      <c r="D4" s="610"/>
      <c r="E4" s="610"/>
      <c r="F4" s="610"/>
      <c r="G4" s="610"/>
      <c r="H4" s="610"/>
      <c r="I4" s="610"/>
      <c r="J4" s="616" t="s">
        <v>627</v>
      </c>
      <c r="K4" s="615"/>
      <c r="L4" s="975" t="s">
        <v>759</v>
      </c>
      <c r="M4" s="976"/>
      <c r="N4" s="608"/>
    </row>
    <row r="5" spans="1:17" ht="15.95" customHeight="1">
      <c r="A5" s="618"/>
      <c r="B5" s="610"/>
      <c r="C5" s="610"/>
      <c r="D5" s="610"/>
      <c r="E5" s="610"/>
      <c r="F5" s="610"/>
      <c r="G5" s="610"/>
      <c r="H5" s="610"/>
      <c r="I5" s="610"/>
      <c r="J5" s="616" t="s">
        <v>629</v>
      </c>
      <c r="K5" s="615"/>
      <c r="L5" s="975">
        <v>0</v>
      </c>
      <c r="M5" s="977"/>
      <c r="N5" s="608"/>
    </row>
    <row r="6" spans="1:17" ht="15.95" customHeight="1">
      <c r="A6" s="617" t="s">
        <v>630</v>
      </c>
      <c r="B6" s="610"/>
      <c r="C6" s="610"/>
      <c r="D6" s="610"/>
      <c r="E6" s="610"/>
      <c r="F6" s="610"/>
      <c r="G6" s="610"/>
      <c r="H6" s="610"/>
      <c r="I6" s="610"/>
      <c r="J6" s="616" t="s">
        <v>631</v>
      </c>
      <c r="K6" s="615"/>
      <c r="L6" s="975" t="s">
        <v>809</v>
      </c>
      <c r="M6" s="977"/>
      <c r="N6" s="608"/>
    </row>
    <row r="7" spans="1:17" ht="15.95" customHeight="1" thickBot="1">
      <c r="A7" s="614" t="s">
        <v>808</v>
      </c>
      <c r="B7" s="613"/>
      <c r="C7" s="613"/>
      <c r="D7" s="613"/>
      <c r="E7" s="613"/>
      <c r="F7" s="613"/>
      <c r="G7" s="613"/>
      <c r="H7" s="613"/>
      <c r="I7" s="613"/>
      <c r="J7" s="612" t="s">
        <v>634</v>
      </c>
      <c r="K7" s="611"/>
      <c r="L7" s="978" t="s">
        <v>807</v>
      </c>
      <c r="M7" s="979"/>
      <c r="N7" s="608"/>
    </row>
    <row r="8" spans="1:17" ht="6.75" customHeight="1">
      <c r="A8" s="400"/>
      <c r="B8" s="390"/>
      <c r="C8" s="390"/>
      <c r="D8" s="390"/>
      <c r="E8" s="390"/>
      <c r="F8" s="390"/>
      <c r="G8" s="390"/>
      <c r="H8" s="390"/>
      <c r="I8" s="390"/>
      <c r="J8" s="390"/>
      <c r="K8" s="401"/>
      <c r="L8" s="402"/>
      <c r="M8" s="403"/>
      <c r="N8" s="610"/>
    </row>
    <row r="9" spans="1:17" ht="12" customHeight="1">
      <c r="A9" s="404"/>
      <c r="B9" s="405" t="s">
        <v>636</v>
      </c>
      <c r="C9" s="406" t="s">
        <v>738</v>
      </c>
      <c r="D9" s="407"/>
      <c r="E9" s="407"/>
      <c r="F9" s="407"/>
      <c r="G9" s="407"/>
      <c r="H9" s="407"/>
      <c r="I9" s="407"/>
      <c r="J9" s="407"/>
      <c r="K9" s="408"/>
      <c r="L9" s="404"/>
      <c r="M9" s="407"/>
      <c r="N9" s="610"/>
    </row>
    <row r="10" spans="1:17" ht="12" customHeight="1">
      <c r="A10" s="404"/>
      <c r="B10" s="405" t="s">
        <v>637</v>
      </c>
      <c r="C10" s="409" t="s">
        <v>739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609"/>
    </row>
    <row r="11" spans="1:17" ht="6.75" customHeight="1" thickBot="1">
      <c r="A11" s="402"/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609"/>
    </row>
    <row r="12" spans="1:17" ht="20.100000000000001" customHeight="1" thickBot="1">
      <c r="A12" s="410" t="s">
        <v>638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2"/>
      <c r="N12" s="608"/>
    </row>
    <row r="13" spans="1:17" ht="12.95" customHeight="1" thickTop="1">
      <c r="A13" s="413"/>
      <c r="B13" s="405" t="s">
        <v>639</v>
      </c>
      <c r="C13" s="414">
        <v>4000</v>
      </c>
      <c r="D13" s="404"/>
      <c r="E13" s="405" t="s">
        <v>640</v>
      </c>
      <c r="F13" s="414">
        <v>4000</v>
      </c>
      <c r="G13" s="404"/>
      <c r="H13" s="405" t="s">
        <v>641</v>
      </c>
      <c r="I13" s="414" t="s">
        <v>725</v>
      </c>
      <c r="J13" s="404"/>
      <c r="K13" s="404"/>
      <c r="L13" s="405" t="s">
        <v>642</v>
      </c>
      <c r="M13" s="415">
        <v>1800</v>
      </c>
      <c r="N13" s="608"/>
    </row>
    <row r="14" spans="1:17" ht="12.95" customHeight="1">
      <c r="A14" s="413"/>
      <c r="B14" s="405" t="s">
        <v>643</v>
      </c>
      <c r="C14" s="414" t="s">
        <v>177</v>
      </c>
      <c r="D14" s="404"/>
      <c r="E14" s="405" t="s">
        <v>644</v>
      </c>
      <c r="F14" s="416" t="s">
        <v>726</v>
      </c>
      <c r="G14" s="404"/>
      <c r="H14" s="405" t="s">
        <v>645</v>
      </c>
      <c r="I14" s="414">
        <v>509</v>
      </c>
      <c r="J14" s="404"/>
      <c r="K14" s="404"/>
      <c r="L14" s="405" t="s">
        <v>397</v>
      </c>
      <c r="M14" s="415">
        <v>1790</v>
      </c>
      <c r="N14" s="608"/>
    </row>
    <row r="15" spans="1:17" ht="12.95" customHeight="1">
      <c r="A15" s="413"/>
      <c r="B15" s="405" t="s">
        <v>646</v>
      </c>
      <c r="C15" s="414" t="s">
        <v>176</v>
      </c>
      <c r="D15" s="404"/>
      <c r="E15" s="405" t="s">
        <v>647</v>
      </c>
      <c r="F15" s="417" t="s">
        <v>743</v>
      </c>
      <c r="G15" s="404"/>
      <c r="H15" s="405" t="s">
        <v>648</v>
      </c>
      <c r="I15" s="416" t="s">
        <v>613</v>
      </c>
      <c r="J15" s="404"/>
      <c r="K15" s="404"/>
      <c r="L15" s="405" t="s">
        <v>649</v>
      </c>
      <c r="M15" s="415" t="s">
        <v>350</v>
      </c>
      <c r="N15" s="608"/>
      <c r="Q15" s="539"/>
    </row>
    <row r="16" spans="1:17" ht="12.95" customHeight="1">
      <c r="A16" s="413"/>
      <c r="B16" s="405" t="s">
        <v>650</v>
      </c>
      <c r="C16" s="414" t="s">
        <v>742</v>
      </c>
      <c r="D16" s="404"/>
      <c r="E16" s="405" t="s">
        <v>651</v>
      </c>
      <c r="F16" s="418">
        <v>40</v>
      </c>
      <c r="G16" s="404"/>
      <c r="H16" s="419" t="s">
        <v>652</v>
      </c>
      <c r="I16" s="420" t="s">
        <v>349</v>
      </c>
      <c r="J16" s="404"/>
      <c r="K16" s="404"/>
      <c r="L16" s="405" t="s">
        <v>653</v>
      </c>
      <c r="M16" s="415" t="s">
        <v>654</v>
      </c>
      <c r="N16" s="608"/>
    </row>
    <row r="17" spans="1:14" ht="12.95" customHeight="1">
      <c r="A17" s="413"/>
      <c r="B17" s="405" t="s">
        <v>655</v>
      </c>
      <c r="C17" s="406" t="s">
        <v>740</v>
      </c>
      <c r="D17" s="404"/>
      <c r="E17" s="405"/>
      <c r="F17" s="416"/>
      <c r="G17" s="404"/>
      <c r="H17" s="405" t="s">
        <v>656</v>
      </c>
      <c r="I17" s="420" t="s">
        <v>174</v>
      </c>
      <c r="J17" s="404"/>
      <c r="K17" s="404"/>
      <c r="L17" s="405"/>
      <c r="M17" s="421"/>
      <c r="N17" s="608"/>
    </row>
    <row r="18" spans="1:14" ht="12.95" customHeight="1" thickBot="1">
      <c r="A18" s="422"/>
      <c r="B18" s="423" t="s">
        <v>657</v>
      </c>
      <c r="C18" s="424">
        <v>96.2</v>
      </c>
      <c r="D18" s="425"/>
      <c r="E18" s="423" t="s">
        <v>658</v>
      </c>
      <c r="F18" s="424" t="s">
        <v>174</v>
      </c>
      <c r="G18" s="426"/>
      <c r="H18" s="423" t="s">
        <v>659</v>
      </c>
      <c r="I18" s="424" t="s">
        <v>741</v>
      </c>
      <c r="J18" s="425"/>
      <c r="K18" s="425"/>
      <c r="L18" s="425"/>
      <c r="M18" s="427"/>
      <c r="N18" s="608"/>
    </row>
    <row r="19" spans="1:14" ht="16.5" thickBot="1"/>
    <row r="20" spans="1:14" ht="16.5" thickBot="1">
      <c r="A20" s="980" t="s">
        <v>806</v>
      </c>
      <c r="B20" s="981"/>
      <c r="C20" s="981"/>
      <c r="D20" s="981"/>
      <c r="E20" s="981"/>
      <c r="F20" s="981"/>
      <c r="G20" s="981"/>
      <c r="H20" s="981"/>
      <c r="I20" s="981"/>
      <c r="J20" s="981"/>
      <c r="K20" s="981"/>
      <c r="L20" s="981"/>
      <c r="M20" s="982"/>
    </row>
    <row r="21" spans="1:14" ht="16.5" thickTop="1">
      <c r="A21" s="607"/>
      <c r="B21" s="606"/>
      <c r="C21" s="583"/>
      <c r="D21" s="582" t="s">
        <v>805</v>
      </c>
      <c r="E21" s="605" t="s">
        <v>410</v>
      </c>
      <c r="F21" s="603"/>
      <c r="G21" s="583"/>
      <c r="H21" s="583"/>
      <c r="I21" s="582" t="s">
        <v>804</v>
      </c>
      <c r="J21" s="604">
        <v>0.216</v>
      </c>
      <c r="K21" s="603"/>
      <c r="L21" s="603"/>
      <c r="M21" s="602"/>
    </row>
    <row r="22" spans="1:14" ht="16.5" thickBot="1">
      <c r="A22" s="581"/>
      <c r="B22" s="579"/>
      <c r="C22" s="579"/>
      <c r="D22" s="578" t="s">
        <v>803</v>
      </c>
      <c r="E22" s="601" t="s">
        <v>880</v>
      </c>
      <c r="F22" s="600"/>
      <c r="G22" s="579"/>
      <c r="H22" s="579"/>
      <c r="I22" s="579"/>
      <c r="J22" s="579"/>
      <c r="K22" s="579"/>
      <c r="L22" s="579"/>
      <c r="M22" s="599"/>
    </row>
    <row r="23" spans="1:14" ht="16.5" thickBot="1"/>
    <row r="24" spans="1:14" ht="16.5" thickBot="1">
      <c r="A24" s="980" t="s">
        <v>802</v>
      </c>
      <c r="B24" s="981"/>
      <c r="C24" s="981"/>
      <c r="D24" s="981"/>
      <c r="E24" s="981"/>
      <c r="F24" s="982"/>
      <c r="G24" s="598"/>
      <c r="H24" s="980" t="s">
        <v>801</v>
      </c>
      <c r="I24" s="981"/>
      <c r="J24" s="981"/>
      <c r="K24" s="981"/>
      <c r="L24" s="981"/>
      <c r="M24" s="982"/>
    </row>
    <row r="25" spans="1:14" ht="17.25" thickTop="1" thickBot="1">
      <c r="A25" s="586"/>
      <c r="B25" s="583"/>
      <c r="C25" s="582"/>
      <c r="D25" s="582"/>
      <c r="E25" s="582" t="s">
        <v>800</v>
      </c>
      <c r="F25" s="585">
        <v>11736</v>
      </c>
      <c r="G25" s="597"/>
      <c r="H25" s="583"/>
      <c r="I25" s="583"/>
      <c r="J25" s="584" t="s">
        <v>799</v>
      </c>
      <c r="K25" s="968" t="s">
        <v>353</v>
      </c>
      <c r="L25" s="969"/>
      <c r="M25" s="970"/>
    </row>
    <row r="26" spans="1:14" ht="17.25" thickTop="1" thickBot="1">
      <c r="A26" s="591"/>
      <c r="D26" s="589"/>
      <c r="E26" s="589" t="s">
        <v>798</v>
      </c>
      <c r="F26" s="596">
        <v>125</v>
      </c>
      <c r="G26" s="594"/>
      <c r="J26" s="595" t="s">
        <v>797</v>
      </c>
      <c r="K26" s="968" t="s">
        <v>353</v>
      </c>
      <c r="L26" s="969"/>
      <c r="M26" s="970"/>
    </row>
    <row r="27" spans="1:14" ht="16.5" thickTop="1">
      <c r="A27" s="591"/>
      <c r="D27" s="589"/>
      <c r="E27" s="589" t="s">
        <v>796</v>
      </c>
      <c r="F27" s="596">
        <v>125</v>
      </c>
      <c r="G27" s="594"/>
      <c r="J27" s="595" t="s">
        <v>795</v>
      </c>
      <c r="K27" s="968" t="s">
        <v>174</v>
      </c>
      <c r="L27" s="969"/>
      <c r="M27" s="970"/>
    </row>
    <row r="28" spans="1:14" ht="16.5" thickBot="1">
      <c r="A28" s="581"/>
      <c r="B28" s="579"/>
      <c r="C28" s="579"/>
      <c r="D28" s="578"/>
      <c r="E28" s="578" t="s">
        <v>794</v>
      </c>
      <c r="F28" s="580">
        <v>205</v>
      </c>
      <c r="G28" s="594"/>
      <c r="H28" s="579"/>
      <c r="I28" s="579"/>
      <c r="J28" s="593"/>
      <c r="K28" s="958"/>
      <c r="L28" s="958"/>
      <c r="M28" s="959"/>
    </row>
    <row r="29" spans="1:14" ht="16.5" thickBot="1"/>
    <row r="30" spans="1:14" ht="16.5" thickBot="1">
      <c r="A30" s="950" t="s">
        <v>793</v>
      </c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2"/>
    </row>
    <row r="31" spans="1:14" ht="16.5" thickTop="1">
      <c r="A31" s="960" t="s">
        <v>792</v>
      </c>
      <c r="B31" s="961"/>
      <c r="C31" s="961"/>
      <c r="D31" s="961"/>
      <c r="E31" s="961"/>
      <c r="F31" s="962"/>
      <c r="G31" s="592"/>
      <c r="H31" s="963" t="s">
        <v>791</v>
      </c>
      <c r="I31" s="961"/>
      <c r="J31" s="961"/>
      <c r="K31" s="961"/>
      <c r="L31" s="961"/>
      <c r="M31" s="964"/>
    </row>
    <row r="32" spans="1:14">
      <c r="A32" s="591"/>
      <c r="B32" s="590"/>
      <c r="C32" s="589" t="s">
        <v>789</v>
      </c>
      <c r="D32" s="965" t="s">
        <v>790</v>
      </c>
      <c r="E32" s="965"/>
      <c r="F32" s="966"/>
      <c r="G32" s="587"/>
      <c r="J32" s="589" t="s">
        <v>789</v>
      </c>
      <c r="K32" s="965" t="s">
        <v>788</v>
      </c>
      <c r="L32" s="965"/>
      <c r="M32" s="967"/>
    </row>
    <row r="33" spans="1:21">
      <c r="A33" s="591"/>
      <c r="B33" s="590"/>
      <c r="C33" s="589" t="s">
        <v>786</v>
      </c>
      <c r="D33" s="944" t="s">
        <v>787</v>
      </c>
      <c r="E33" s="944"/>
      <c r="F33" s="945"/>
      <c r="G33" s="587"/>
      <c r="J33" s="589" t="s">
        <v>786</v>
      </c>
      <c r="K33" s="944" t="s">
        <v>785</v>
      </c>
      <c r="L33" s="944"/>
      <c r="M33" s="946"/>
    </row>
    <row r="34" spans="1:21">
      <c r="A34" s="591"/>
      <c r="B34" s="590"/>
      <c r="C34" s="589" t="s">
        <v>783</v>
      </c>
      <c r="D34" s="944" t="s">
        <v>784</v>
      </c>
      <c r="E34" s="944"/>
      <c r="F34" s="945"/>
      <c r="G34" s="587"/>
      <c r="J34" s="589" t="s">
        <v>783</v>
      </c>
      <c r="K34" s="944" t="s">
        <v>782</v>
      </c>
      <c r="L34" s="944"/>
      <c r="M34" s="946"/>
    </row>
    <row r="35" spans="1:21" ht="16.5" thickBot="1">
      <c r="A35" s="581"/>
      <c r="B35" s="588"/>
      <c r="C35" s="578" t="s">
        <v>780</v>
      </c>
      <c r="D35" s="947" t="s">
        <v>781</v>
      </c>
      <c r="E35" s="947"/>
      <c r="F35" s="948"/>
      <c r="G35" s="587"/>
      <c r="H35" s="579"/>
      <c r="I35" s="579"/>
      <c r="J35" s="578" t="s">
        <v>780</v>
      </c>
      <c r="K35" s="947" t="s">
        <v>779</v>
      </c>
      <c r="L35" s="947"/>
      <c r="M35" s="949"/>
    </row>
    <row r="36" spans="1:21" ht="16.5" thickBot="1"/>
    <row r="37" spans="1:21" ht="16.5" thickBot="1">
      <c r="A37" s="950" t="s">
        <v>778</v>
      </c>
      <c r="B37" s="951"/>
      <c r="C37" s="951"/>
      <c r="D37" s="951"/>
      <c r="E37" s="951"/>
      <c r="F37" s="951"/>
      <c r="G37" s="951"/>
      <c r="H37" s="951"/>
      <c r="I37" s="951"/>
      <c r="J37" s="951"/>
      <c r="K37" s="951"/>
      <c r="L37" s="951"/>
      <c r="M37" s="952"/>
      <c r="P37" s="471"/>
      <c r="Q37" s="471"/>
      <c r="R37" s="471"/>
      <c r="S37" s="471"/>
      <c r="T37" s="471"/>
      <c r="U37" s="471"/>
    </row>
    <row r="38" spans="1:21" ht="16.5" thickTop="1">
      <c r="A38" s="586"/>
      <c r="B38" s="585"/>
      <c r="C38" s="584" t="s">
        <v>777</v>
      </c>
      <c r="D38" s="953" t="s">
        <v>815</v>
      </c>
      <c r="E38" s="953"/>
      <c r="F38" s="953"/>
      <c r="G38" s="953"/>
      <c r="H38" s="583"/>
      <c r="I38" s="583"/>
      <c r="J38" s="582" t="s">
        <v>776</v>
      </c>
      <c r="K38" s="954" t="s">
        <v>817</v>
      </c>
      <c r="L38" s="954"/>
      <c r="M38" s="955"/>
      <c r="P38" s="471"/>
      <c r="Q38" s="471"/>
      <c r="R38" s="471"/>
      <c r="S38" s="471"/>
      <c r="T38" s="471"/>
      <c r="U38" s="471"/>
    </row>
    <row r="39" spans="1:21" ht="16.5" thickBot="1">
      <c r="A39" s="581"/>
      <c r="B39" s="579"/>
      <c r="C39" s="580" t="s">
        <v>775</v>
      </c>
      <c r="D39" s="956" t="s">
        <v>816</v>
      </c>
      <c r="E39" s="956"/>
      <c r="F39" s="956"/>
      <c r="G39" s="956"/>
      <c r="H39" s="579"/>
      <c r="I39" s="579"/>
      <c r="J39" s="578" t="s">
        <v>774</v>
      </c>
      <c r="K39" s="956" t="s">
        <v>174</v>
      </c>
      <c r="L39" s="956"/>
      <c r="M39" s="957"/>
      <c r="O39" s="471"/>
      <c r="P39" s="471"/>
      <c r="Q39" s="471"/>
      <c r="R39" s="471"/>
      <c r="S39" s="471"/>
      <c r="T39" s="471"/>
      <c r="U39" s="471"/>
    </row>
    <row r="40" spans="1:21" ht="16.5" thickBot="1">
      <c r="A40" s="577"/>
      <c r="B40" s="577"/>
      <c r="C40" s="577"/>
      <c r="D40" s="941" t="s">
        <v>773</v>
      </c>
      <c r="E40" s="942"/>
      <c r="F40" s="942"/>
      <c r="G40" s="942"/>
      <c r="H40" s="942"/>
      <c r="I40" s="942"/>
      <c r="J40" s="943"/>
      <c r="K40" s="577"/>
      <c r="L40" s="577"/>
      <c r="M40" s="577"/>
      <c r="O40" s="569"/>
      <c r="P40" s="569"/>
      <c r="Q40" s="569"/>
      <c r="R40" s="569"/>
      <c r="S40" s="471"/>
      <c r="T40" s="471"/>
      <c r="U40" s="471"/>
    </row>
    <row r="41" spans="1:21">
      <c r="D41" s="931" t="s">
        <v>772</v>
      </c>
      <c r="E41" s="932"/>
      <c r="F41" s="933"/>
      <c r="G41" s="576" t="s">
        <v>771</v>
      </c>
      <c r="H41" s="575" t="s">
        <v>770</v>
      </c>
      <c r="I41" s="574" t="s">
        <v>769</v>
      </c>
      <c r="J41" s="573" t="s">
        <v>768</v>
      </c>
      <c r="N41" s="569"/>
      <c r="O41" s="569"/>
      <c r="P41" s="569"/>
      <c r="Q41" s="569"/>
      <c r="R41" s="569"/>
      <c r="S41" s="471"/>
      <c r="T41" s="471"/>
      <c r="U41" s="471"/>
    </row>
    <row r="42" spans="1:21">
      <c r="D42" s="934" t="s">
        <v>767</v>
      </c>
      <c r="E42" s="935"/>
      <c r="F42" s="936"/>
      <c r="G42" s="572">
        <v>279.10000000000002</v>
      </c>
      <c r="H42" s="571">
        <v>389.6</v>
      </c>
      <c r="I42" s="571">
        <v>508.8</v>
      </c>
      <c r="J42" s="570" t="s">
        <v>174</v>
      </c>
      <c r="N42" s="569"/>
      <c r="O42" s="569"/>
      <c r="P42" s="569"/>
      <c r="Q42" s="569"/>
      <c r="R42" s="569"/>
      <c r="S42" s="471"/>
      <c r="T42" s="471"/>
      <c r="U42" s="471"/>
    </row>
    <row r="43" spans="1:21">
      <c r="D43" s="934" t="s">
        <v>766</v>
      </c>
      <c r="E43" s="935"/>
      <c r="F43" s="936"/>
      <c r="G43" s="572">
        <v>96.3</v>
      </c>
      <c r="H43" s="571">
        <v>96.9</v>
      </c>
      <c r="I43" s="571">
        <v>97.1</v>
      </c>
      <c r="J43" s="570" t="s">
        <v>174</v>
      </c>
      <c r="N43" s="569"/>
      <c r="O43" s="569"/>
      <c r="P43" s="569"/>
      <c r="Q43" s="569"/>
      <c r="R43" s="569"/>
      <c r="S43" s="471"/>
      <c r="T43" s="471"/>
      <c r="U43" s="471"/>
    </row>
    <row r="44" spans="1:21">
      <c r="D44" s="934" t="s">
        <v>765</v>
      </c>
      <c r="E44" s="935"/>
      <c r="F44" s="936"/>
      <c r="G44" s="572">
        <v>80.099999999999994</v>
      </c>
      <c r="H44" s="571">
        <v>85.5</v>
      </c>
      <c r="I44" s="571">
        <v>87.2</v>
      </c>
      <c r="J44" s="570" t="s">
        <v>174</v>
      </c>
      <c r="N44" s="569"/>
      <c r="O44" s="569"/>
      <c r="P44" s="569"/>
      <c r="Q44" s="569"/>
      <c r="R44" s="569"/>
      <c r="S44" s="471"/>
      <c r="T44" s="471"/>
      <c r="U44" s="471"/>
    </row>
    <row r="45" spans="1:21" ht="16.5" thickBot="1">
      <c r="D45" s="937" t="s">
        <v>764</v>
      </c>
      <c r="E45" s="938"/>
      <c r="F45" s="939"/>
      <c r="G45" s="568" t="s">
        <v>174</v>
      </c>
      <c r="H45" s="567" t="s">
        <v>174</v>
      </c>
      <c r="I45" s="567" t="s">
        <v>174</v>
      </c>
      <c r="J45" s="566" t="s">
        <v>174</v>
      </c>
      <c r="O45" s="471"/>
      <c r="P45" s="471"/>
      <c r="Q45" s="471"/>
      <c r="R45" s="471"/>
      <c r="S45" s="471"/>
      <c r="T45" s="471"/>
      <c r="U45" s="471"/>
    </row>
    <row r="46" spans="1:21">
      <c r="A46" s="940" t="s">
        <v>763</v>
      </c>
      <c r="B46" s="940"/>
      <c r="C46" s="940"/>
      <c r="D46" s="940"/>
      <c r="E46" s="940"/>
      <c r="F46" s="940"/>
      <c r="G46" s="940"/>
      <c r="H46" s="940"/>
      <c r="I46" s="940"/>
      <c r="J46" s="940"/>
      <c r="K46" s="940"/>
      <c r="L46" s="940"/>
      <c r="M46" s="940"/>
      <c r="P46" s="471"/>
      <c r="Q46" s="471"/>
      <c r="R46" s="471"/>
      <c r="S46" s="471"/>
      <c r="T46" s="471"/>
    </row>
    <row r="48" spans="1:21" ht="18">
      <c r="J48" s="564" t="s">
        <v>680</v>
      </c>
      <c r="K48" s="929" t="s">
        <v>814</v>
      </c>
      <c r="L48" s="929"/>
      <c r="M48" s="929"/>
    </row>
    <row r="49" spans="1:13">
      <c r="K49" s="565"/>
      <c r="L49" s="565"/>
      <c r="M49" s="565"/>
    </row>
    <row r="50" spans="1:13">
      <c r="J50" s="564" t="s">
        <v>682</v>
      </c>
      <c r="K50" s="930">
        <v>45392</v>
      </c>
      <c r="L50" s="930"/>
      <c r="M50" s="930"/>
    </row>
    <row r="52" spans="1:13">
      <c r="A52" s="563"/>
    </row>
    <row r="53" spans="1:13">
      <c r="A53" s="562" t="s">
        <v>762</v>
      </c>
    </row>
    <row r="54" spans="1:13">
      <c r="A54" s="561"/>
    </row>
  </sheetData>
  <mergeCells count="38">
    <mergeCell ref="K25:M25"/>
    <mergeCell ref="K26:M26"/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8:M28"/>
    <mergeCell ref="A30:M30"/>
    <mergeCell ref="A31:F31"/>
    <mergeCell ref="H31:M31"/>
    <mergeCell ref="D32:F32"/>
    <mergeCell ref="K32:M32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48:M48"/>
    <mergeCell ref="K50:M50"/>
    <mergeCell ref="D41:F41"/>
    <mergeCell ref="D42:F42"/>
    <mergeCell ref="D43:F43"/>
    <mergeCell ref="D44:F44"/>
    <mergeCell ref="D45:F45"/>
    <mergeCell ref="A46:M46"/>
  </mergeCells>
  <dataValidations count="3">
    <dataValidation type="list" allowBlank="1" showInputMessage="1" showErrorMessage="1" prompt="Pick one!" sqref="I15" xr:uid="{00000000-0002-0000-0B00-000002000000}">
      <formula1>$E$60:$E$62</formula1>
    </dataValidation>
    <dataValidation type="list" allowBlank="1" showInputMessage="1" showErrorMessage="1" prompt="Pick from list" sqref="F15" xr:uid="{00000000-0002-0000-0B00-000001000000}">
      <formula1>$D$60:$D$61</formula1>
    </dataValidation>
    <dataValidation type="list" errorStyle="warning" allowBlank="1" showInputMessage="1" showErrorMessage="1" error="You should choose from the list!" prompt="Choose Enclosure Type" sqref="F14" xr:uid="{00000000-0002-0000-0B00-000000000000}">
      <formula1>$A$60:$A$62</formula1>
    </dataValidation>
  </dataValidation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1"/>
  <sheetViews>
    <sheetView topLeftCell="A10" workbookViewId="0"/>
  </sheetViews>
  <sheetFormatPr defaultColWidth="9.140625" defaultRowHeight="12.75"/>
  <cols>
    <col min="1" max="1" width="19.7109375" style="310" customWidth="1"/>
    <col min="2" max="7" width="10.7109375" style="310" customWidth="1"/>
    <col min="8" max="16384" width="9.140625" style="310"/>
  </cols>
  <sheetData>
    <row r="1" spans="1:12" ht="21" customHeight="1">
      <c r="A1" s="352" t="s">
        <v>411</v>
      </c>
      <c r="B1" s="992" t="s">
        <v>450</v>
      </c>
      <c r="C1" s="992"/>
      <c r="D1" s="992"/>
      <c r="E1" s="992"/>
      <c r="F1" s="992"/>
      <c r="G1" s="992"/>
    </row>
    <row r="2" spans="1:12" ht="15" customHeight="1"/>
    <row r="3" spans="1:12" ht="20.25">
      <c r="A3" s="353" t="s">
        <v>412</v>
      </c>
    </row>
    <row r="4" spans="1:12" ht="12" customHeight="1">
      <c r="A4" s="311"/>
      <c r="B4" s="311"/>
      <c r="C4" s="311"/>
      <c r="D4" s="311" t="s">
        <v>464</v>
      </c>
      <c r="E4" s="311"/>
      <c r="F4" s="311"/>
      <c r="G4" s="311"/>
      <c r="H4" s="311"/>
      <c r="I4" s="311"/>
      <c r="J4" s="311"/>
      <c r="K4" s="311"/>
      <c r="L4" s="311"/>
    </row>
    <row r="5" spans="1:12" ht="15.6" customHeight="1">
      <c r="A5" s="354" t="s">
        <v>5</v>
      </c>
      <c r="B5" s="354" t="s">
        <v>413</v>
      </c>
      <c r="C5" s="354" t="s">
        <v>414</v>
      </c>
      <c r="D5" s="354" t="s">
        <v>415</v>
      </c>
      <c r="E5" s="354" t="s">
        <v>416</v>
      </c>
      <c r="F5" s="354" t="s">
        <v>417</v>
      </c>
      <c r="G5" s="354" t="s">
        <v>418</v>
      </c>
      <c r="H5" s="311"/>
      <c r="I5" s="311"/>
      <c r="J5" s="311"/>
      <c r="K5" s="311"/>
      <c r="L5" s="311"/>
    </row>
    <row r="6" spans="1:12" ht="15.6" customHeight="1">
      <c r="A6" s="355" t="s">
        <v>419</v>
      </c>
      <c r="B6" s="355" t="s">
        <v>165</v>
      </c>
      <c r="C6" s="355" t="s">
        <v>165</v>
      </c>
      <c r="D6" s="355" t="s">
        <v>420</v>
      </c>
      <c r="E6" s="355" t="s">
        <v>135</v>
      </c>
      <c r="F6" s="355" t="s">
        <v>421</v>
      </c>
      <c r="G6" s="355" t="s">
        <v>421</v>
      </c>
      <c r="H6" s="311"/>
      <c r="I6" s="311"/>
      <c r="J6" s="311"/>
      <c r="K6" s="311"/>
      <c r="L6" s="311"/>
    </row>
    <row r="7" spans="1:12" ht="15.95" customHeight="1">
      <c r="A7" s="356" t="s">
        <v>451</v>
      </c>
      <c r="B7" s="356" t="s">
        <v>465</v>
      </c>
      <c r="C7" s="356" t="s">
        <v>473</v>
      </c>
      <c r="D7" s="356" t="s">
        <v>486</v>
      </c>
      <c r="E7" s="356" t="s">
        <v>499</v>
      </c>
      <c r="F7" s="356" t="s">
        <v>512</v>
      </c>
      <c r="G7" s="356" t="s">
        <v>525</v>
      </c>
      <c r="H7" s="311"/>
      <c r="I7" s="311"/>
      <c r="J7" s="311"/>
      <c r="K7" s="311"/>
      <c r="L7" s="311"/>
    </row>
    <row r="8" spans="1:12" ht="15.95" customHeight="1">
      <c r="A8" s="356" t="s">
        <v>452</v>
      </c>
      <c r="B8" s="356" t="s">
        <v>465</v>
      </c>
      <c r="C8" s="356" t="s">
        <v>474</v>
      </c>
      <c r="D8" s="356" t="s">
        <v>487</v>
      </c>
      <c r="E8" s="356" t="s">
        <v>500</v>
      </c>
      <c r="F8" s="356" t="s">
        <v>513</v>
      </c>
      <c r="G8" s="356" t="s">
        <v>526</v>
      </c>
      <c r="H8" s="311"/>
      <c r="I8" s="311"/>
      <c r="J8" s="311"/>
      <c r="K8" s="311"/>
      <c r="L8" s="311"/>
    </row>
    <row r="9" spans="1:12" ht="15.95" customHeight="1">
      <c r="A9" s="356" t="s">
        <v>453</v>
      </c>
      <c r="B9" s="356" t="s">
        <v>465</v>
      </c>
      <c r="C9" s="356" t="s">
        <v>475</v>
      </c>
      <c r="D9" s="356" t="s">
        <v>488</v>
      </c>
      <c r="E9" s="356" t="s">
        <v>501</v>
      </c>
      <c r="F9" s="356" t="s">
        <v>514</v>
      </c>
      <c r="G9" s="356" t="s">
        <v>527</v>
      </c>
      <c r="H9" s="311"/>
      <c r="I9" s="311"/>
      <c r="J9" s="311"/>
      <c r="K9" s="311"/>
      <c r="L9" s="311"/>
    </row>
    <row r="10" spans="1:12" ht="15.95" customHeight="1">
      <c r="A10" s="356" t="s">
        <v>454</v>
      </c>
      <c r="B10" s="356" t="s">
        <v>465</v>
      </c>
      <c r="C10" s="356" t="s">
        <v>476</v>
      </c>
      <c r="D10" s="356" t="s">
        <v>489</v>
      </c>
      <c r="E10" s="356" t="s">
        <v>502</v>
      </c>
      <c r="F10" s="356" t="s">
        <v>515</v>
      </c>
      <c r="G10" s="356" t="s">
        <v>528</v>
      </c>
      <c r="H10" s="311"/>
      <c r="I10" s="311"/>
      <c r="J10" s="311"/>
      <c r="K10" s="311"/>
      <c r="L10" s="311"/>
    </row>
    <row r="11" spans="1:12" ht="15.95" customHeight="1">
      <c r="A11" s="356" t="s">
        <v>455</v>
      </c>
      <c r="B11" s="356" t="s">
        <v>466</v>
      </c>
      <c r="C11" s="356" t="s">
        <v>477</v>
      </c>
      <c r="D11" s="356" t="s">
        <v>490</v>
      </c>
      <c r="E11" s="356" t="s">
        <v>503</v>
      </c>
      <c r="F11" s="356" t="s">
        <v>516</v>
      </c>
      <c r="G11" s="356" t="s">
        <v>529</v>
      </c>
      <c r="H11" s="311"/>
      <c r="I11" s="311"/>
      <c r="J11" s="311"/>
      <c r="K11" s="311"/>
      <c r="L11" s="311"/>
    </row>
    <row r="12" spans="1:12" ht="15.95" customHeight="1">
      <c r="A12" s="356" t="s">
        <v>456</v>
      </c>
      <c r="B12" s="356" t="s">
        <v>466</v>
      </c>
      <c r="C12" s="356" t="s">
        <v>478</v>
      </c>
      <c r="D12" s="356" t="s">
        <v>491</v>
      </c>
      <c r="E12" s="356" t="s">
        <v>504</v>
      </c>
      <c r="F12" s="356" t="s">
        <v>517</v>
      </c>
      <c r="G12" s="356" t="s">
        <v>530</v>
      </c>
      <c r="H12" s="311"/>
      <c r="I12" s="311"/>
      <c r="J12" s="311"/>
      <c r="K12" s="311"/>
      <c r="L12" s="311"/>
    </row>
    <row r="13" spans="1:12" ht="15.95" customHeight="1">
      <c r="A13" s="356" t="s">
        <v>457</v>
      </c>
      <c r="B13" s="356" t="s">
        <v>466</v>
      </c>
      <c r="C13" s="356" t="s">
        <v>479</v>
      </c>
      <c r="D13" s="356" t="s">
        <v>492</v>
      </c>
      <c r="E13" s="356" t="s">
        <v>505</v>
      </c>
      <c r="F13" s="356" t="s">
        <v>518</v>
      </c>
      <c r="G13" s="356" t="s">
        <v>531</v>
      </c>
      <c r="H13" s="311"/>
      <c r="I13" s="311"/>
      <c r="J13" s="311"/>
      <c r="K13" s="311"/>
      <c r="L13" s="311"/>
    </row>
    <row r="14" spans="1:12" ht="15.95" customHeight="1">
      <c r="A14" s="356" t="s">
        <v>458</v>
      </c>
      <c r="B14" s="356" t="s">
        <v>467</v>
      </c>
      <c r="C14" s="356" t="s">
        <v>480</v>
      </c>
      <c r="D14" s="356" t="s">
        <v>493</v>
      </c>
      <c r="E14" s="356" t="s">
        <v>506</v>
      </c>
      <c r="F14" s="356" t="s">
        <v>519</v>
      </c>
      <c r="G14" s="356" t="s">
        <v>532</v>
      </c>
      <c r="H14" s="311"/>
      <c r="I14" s="311"/>
      <c r="J14" s="311"/>
      <c r="K14" s="311"/>
      <c r="L14" s="311"/>
    </row>
    <row r="15" spans="1:12" ht="15.95" customHeight="1">
      <c r="A15" s="356" t="s">
        <v>459</v>
      </c>
      <c r="B15" s="356" t="s">
        <v>468</v>
      </c>
      <c r="C15" s="356" t="s">
        <v>481</v>
      </c>
      <c r="D15" s="356" t="s">
        <v>494</v>
      </c>
      <c r="E15" s="356" t="s">
        <v>507</v>
      </c>
      <c r="F15" s="356" t="s">
        <v>520</v>
      </c>
      <c r="G15" s="356" t="s">
        <v>533</v>
      </c>
      <c r="H15" s="311"/>
      <c r="I15" s="311"/>
      <c r="J15" s="311"/>
      <c r="K15" s="311"/>
      <c r="L15" s="311"/>
    </row>
    <row r="16" spans="1:12" ht="15.95" customHeight="1">
      <c r="A16" s="356" t="s">
        <v>460</v>
      </c>
      <c r="B16" s="356" t="s">
        <v>469</v>
      </c>
      <c r="C16" s="356" t="s">
        <v>482</v>
      </c>
      <c r="D16" s="356" t="s">
        <v>495</v>
      </c>
      <c r="E16" s="356" t="s">
        <v>508</v>
      </c>
      <c r="F16" s="356" t="s">
        <v>521</v>
      </c>
      <c r="G16" s="356" t="s">
        <v>534</v>
      </c>
      <c r="H16" s="311"/>
      <c r="I16" s="311"/>
      <c r="J16" s="311"/>
      <c r="K16" s="311"/>
      <c r="L16" s="311"/>
    </row>
    <row r="17" spans="1:12" ht="15.95" customHeight="1">
      <c r="A17" s="356" t="s">
        <v>461</v>
      </c>
      <c r="B17" s="356" t="s">
        <v>470</v>
      </c>
      <c r="C17" s="356" t="s">
        <v>483</v>
      </c>
      <c r="D17" s="356" t="s">
        <v>496</v>
      </c>
      <c r="E17" s="356" t="s">
        <v>509</v>
      </c>
      <c r="F17" s="356" t="s">
        <v>522</v>
      </c>
      <c r="G17" s="356" t="s">
        <v>535</v>
      </c>
      <c r="H17" s="311"/>
      <c r="I17" s="311"/>
      <c r="J17" s="311"/>
      <c r="K17" s="311"/>
      <c r="L17" s="311"/>
    </row>
    <row r="18" spans="1:12" ht="15.95" customHeight="1">
      <c r="A18" s="356" t="s">
        <v>462</v>
      </c>
      <c r="B18" s="356" t="s">
        <v>471</v>
      </c>
      <c r="C18" s="356" t="s">
        <v>484</v>
      </c>
      <c r="D18" s="356" t="s">
        <v>497</v>
      </c>
      <c r="E18" s="356" t="s">
        <v>510</v>
      </c>
      <c r="F18" s="356" t="s">
        <v>523</v>
      </c>
      <c r="G18" s="356" t="s">
        <v>536</v>
      </c>
      <c r="H18" s="311"/>
      <c r="I18" s="311"/>
      <c r="J18" s="311"/>
      <c r="K18" s="311"/>
      <c r="L18" s="311"/>
    </row>
    <row r="19" spans="1:12" ht="15.95" customHeight="1">
      <c r="A19" s="356" t="s">
        <v>463</v>
      </c>
      <c r="B19" s="356" t="s">
        <v>472</v>
      </c>
      <c r="C19" s="356" t="s">
        <v>485</v>
      </c>
      <c r="D19" s="356" t="s">
        <v>498</v>
      </c>
      <c r="E19" s="356" t="s">
        <v>511</v>
      </c>
      <c r="F19" s="356" t="s">
        <v>524</v>
      </c>
      <c r="G19" s="356" t="s">
        <v>537</v>
      </c>
      <c r="H19" s="311"/>
      <c r="I19" s="311"/>
      <c r="J19" s="311"/>
      <c r="K19" s="311"/>
      <c r="L19" s="311"/>
    </row>
    <row r="20" spans="1:12" ht="15.75">
      <c r="A20" s="311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</row>
    <row r="21" spans="1:12" ht="15.75">
      <c r="A21" s="311"/>
      <c r="B21" s="311"/>
      <c r="C21" s="311"/>
      <c r="D21" s="993" t="s">
        <v>547</v>
      </c>
      <c r="E21" s="989"/>
      <c r="F21" s="989"/>
      <c r="G21" s="990"/>
      <c r="H21" s="311"/>
      <c r="I21" s="311"/>
      <c r="J21" s="311"/>
      <c r="K21" s="311"/>
      <c r="L21" s="311"/>
    </row>
    <row r="22" spans="1:12" ht="17.25" customHeight="1">
      <c r="A22" s="311"/>
      <c r="B22" s="991" t="s">
        <v>422</v>
      </c>
      <c r="C22" s="991"/>
      <c r="D22" s="991" t="s">
        <v>423</v>
      </c>
      <c r="E22" s="991"/>
      <c r="F22" s="991" t="s">
        <v>424</v>
      </c>
      <c r="G22" s="991"/>
      <c r="H22" s="311"/>
      <c r="I22" s="311"/>
      <c r="J22" s="311"/>
      <c r="K22" s="311"/>
      <c r="L22" s="311"/>
    </row>
    <row r="23" spans="1:12" ht="15.75">
      <c r="A23" s="357" t="s">
        <v>425</v>
      </c>
      <c r="B23" s="987" t="s">
        <v>538</v>
      </c>
      <c r="C23" s="987"/>
      <c r="D23" s="987" t="s">
        <v>541</v>
      </c>
      <c r="E23" s="987"/>
      <c r="F23" s="987" t="s">
        <v>544</v>
      </c>
      <c r="G23" s="987"/>
      <c r="H23" s="311"/>
      <c r="I23" s="311"/>
      <c r="J23" s="311"/>
      <c r="K23" s="311"/>
      <c r="L23" s="311"/>
    </row>
    <row r="24" spans="1:12" ht="18" customHeight="1">
      <c r="A24" s="357" t="s">
        <v>426</v>
      </c>
      <c r="B24" s="987" t="s">
        <v>539</v>
      </c>
      <c r="C24" s="987"/>
      <c r="D24" s="987" t="s">
        <v>542</v>
      </c>
      <c r="E24" s="987"/>
      <c r="F24" s="987" t="s">
        <v>545</v>
      </c>
      <c r="G24" s="987"/>
      <c r="H24" s="311"/>
      <c r="I24" s="311"/>
      <c r="J24" s="311"/>
      <c r="K24" s="311"/>
      <c r="L24" s="311"/>
    </row>
    <row r="25" spans="1:12" ht="15.75">
      <c r="A25" s="357" t="s">
        <v>427</v>
      </c>
      <c r="B25" s="987" t="s">
        <v>540</v>
      </c>
      <c r="C25" s="987"/>
      <c r="D25" s="987" t="s">
        <v>543</v>
      </c>
      <c r="E25" s="987"/>
      <c r="F25" s="987" t="s">
        <v>546</v>
      </c>
      <c r="G25" s="987"/>
      <c r="H25" s="311"/>
      <c r="I25" s="311"/>
      <c r="J25" s="311"/>
      <c r="K25" s="311"/>
      <c r="L25" s="311"/>
    </row>
    <row r="26" spans="1:12" ht="15.75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</row>
    <row r="27" spans="1:12" ht="20.25">
      <c r="A27" s="353" t="s">
        <v>428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</row>
    <row r="28" spans="1:12" ht="15.75">
      <c r="A28" s="311"/>
      <c r="B28" s="311"/>
      <c r="C28" s="311"/>
      <c r="D28" s="311"/>
      <c r="E28" s="988" t="s">
        <v>429</v>
      </c>
      <c r="F28" s="989"/>
      <c r="G28" s="990"/>
      <c r="H28" s="311"/>
      <c r="I28" s="311"/>
      <c r="J28" s="311"/>
      <c r="K28" s="311"/>
      <c r="L28" s="311"/>
    </row>
    <row r="29" spans="1:12" ht="15.75">
      <c r="A29" s="311"/>
      <c r="B29" s="991" t="s">
        <v>430</v>
      </c>
      <c r="C29" s="991"/>
      <c r="D29" s="358" t="s">
        <v>431</v>
      </c>
      <c r="E29" s="358" t="s">
        <v>432</v>
      </c>
      <c r="F29" s="991" t="s">
        <v>433</v>
      </c>
      <c r="G29" s="991"/>
      <c r="H29" s="311"/>
      <c r="I29" s="311"/>
      <c r="J29" s="311"/>
      <c r="K29" s="311"/>
      <c r="L29" s="311"/>
    </row>
    <row r="30" spans="1:12" ht="15.75">
      <c r="A30" s="357" t="s">
        <v>434</v>
      </c>
      <c r="B30" s="987" t="s">
        <v>548</v>
      </c>
      <c r="C30" s="987"/>
      <c r="D30" s="356" t="s">
        <v>551</v>
      </c>
      <c r="E30" s="356" t="s">
        <v>435</v>
      </c>
      <c r="F30" s="987" t="s">
        <v>554</v>
      </c>
      <c r="G30" s="987"/>
      <c r="H30" s="311"/>
      <c r="I30" s="311"/>
      <c r="J30" s="311"/>
      <c r="K30" s="311"/>
      <c r="L30" s="311"/>
    </row>
    <row r="31" spans="1:12" ht="15.75">
      <c r="A31" s="357" t="s">
        <v>436</v>
      </c>
      <c r="B31" s="987" t="s">
        <v>549</v>
      </c>
      <c r="C31" s="987"/>
      <c r="D31" s="356" t="s">
        <v>552</v>
      </c>
      <c r="E31" s="356" t="s">
        <v>437</v>
      </c>
      <c r="F31" s="987" t="s">
        <v>555</v>
      </c>
      <c r="G31" s="987"/>
      <c r="H31" s="311"/>
      <c r="I31" s="311"/>
      <c r="J31" s="311"/>
      <c r="K31" s="311"/>
      <c r="L31" s="311"/>
    </row>
    <row r="32" spans="1:12" ht="15.75">
      <c r="A32" s="357" t="s">
        <v>438</v>
      </c>
      <c r="B32" s="987" t="s">
        <v>550</v>
      </c>
      <c r="C32" s="987"/>
      <c r="D32" s="356" t="s">
        <v>553</v>
      </c>
      <c r="E32" s="356" t="s">
        <v>439</v>
      </c>
      <c r="F32" s="987" t="s">
        <v>556</v>
      </c>
      <c r="G32" s="987"/>
      <c r="H32" s="311"/>
      <c r="I32" s="311"/>
      <c r="J32" s="311"/>
      <c r="K32" s="311"/>
      <c r="L32" s="311"/>
    </row>
    <row r="33" spans="1:12" ht="15.75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</row>
    <row r="34" spans="1:12" ht="15.75">
      <c r="A34" s="311"/>
      <c r="B34" s="311"/>
      <c r="C34" s="311"/>
      <c r="D34" s="311"/>
      <c r="E34" s="988" t="s">
        <v>440</v>
      </c>
      <c r="F34" s="989"/>
      <c r="G34" s="990"/>
      <c r="H34" s="311"/>
      <c r="I34" s="311"/>
      <c r="J34" s="311"/>
      <c r="K34" s="311"/>
      <c r="L34" s="311"/>
    </row>
    <row r="35" spans="1:12" ht="15.75">
      <c r="A35" s="311"/>
      <c r="B35" s="991" t="s">
        <v>441</v>
      </c>
      <c r="C35" s="991"/>
      <c r="D35" s="358" t="s">
        <v>432</v>
      </c>
      <c r="E35" s="358" t="s">
        <v>442</v>
      </c>
      <c r="F35" s="358" t="s">
        <v>100</v>
      </c>
      <c r="G35" s="358" t="s">
        <v>443</v>
      </c>
      <c r="H35" s="311"/>
      <c r="I35" s="311"/>
      <c r="J35" s="311"/>
      <c r="K35" s="311"/>
      <c r="L35" s="311"/>
    </row>
    <row r="36" spans="1:12" ht="15.75">
      <c r="A36" s="357" t="s">
        <v>434</v>
      </c>
      <c r="B36" s="983" t="s">
        <v>557</v>
      </c>
      <c r="C36" s="984"/>
      <c r="D36" s="359" t="s">
        <v>559</v>
      </c>
      <c r="E36" s="359" t="s">
        <v>444</v>
      </c>
      <c r="F36" s="360" t="s">
        <v>445</v>
      </c>
      <c r="G36" s="356" t="s">
        <v>562</v>
      </c>
      <c r="H36" s="311"/>
      <c r="I36" s="311"/>
      <c r="J36" s="311"/>
      <c r="K36" s="311"/>
      <c r="L36" s="311"/>
    </row>
    <row r="37" spans="1:12" ht="15.75">
      <c r="A37" s="357" t="s">
        <v>436</v>
      </c>
      <c r="B37" s="983" t="s">
        <v>558</v>
      </c>
      <c r="C37" s="984"/>
      <c r="D37" s="359" t="s">
        <v>560</v>
      </c>
      <c r="E37" s="359" t="s">
        <v>444</v>
      </c>
      <c r="F37" s="360" t="s">
        <v>446</v>
      </c>
      <c r="G37" s="361" t="s">
        <v>563</v>
      </c>
      <c r="H37" s="311"/>
      <c r="I37" s="311"/>
      <c r="J37" s="311"/>
      <c r="K37" s="311"/>
      <c r="L37" s="311"/>
    </row>
    <row r="38" spans="1:12" ht="15.75">
      <c r="A38" s="357" t="s">
        <v>438</v>
      </c>
      <c r="B38" s="983" t="s">
        <v>558</v>
      </c>
      <c r="C38" s="984"/>
      <c r="D38" s="359" t="s">
        <v>561</v>
      </c>
      <c r="E38" s="359" t="s">
        <v>444</v>
      </c>
      <c r="F38" s="360" t="s">
        <v>447</v>
      </c>
      <c r="G38" s="356" t="s">
        <v>564</v>
      </c>
      <c r="H38" s="311"/>
      <c r="I38" s="311"/>
      <c r="J38" s="311"/>
      <c r="K38" s="311"/>
      <c r="L38" s="311"/>
    </row>
    <row r="39" spans="1:12" ht="15.75">
      <c r="A39" s="311"/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</row>
    <row r="40" spans="1:12" ht="15.75">
      <c r="A40" s="362" t="s">
        <v>448</v>
      </c>
      <c r="B40" s="985" t="s">
        <v>565</v>
      </c>
      <c r="C40" s="985"/>
      <c r="D40" s="986" t="s">
        <v>449</v>
      </c>
      <c r="E40" s="986"/>
      <c r="F40" s="985" t="s">
        <v>566</v>
      </c>
      <c r="G40" s="985"/>
      <c r="H40" s="311"/>
      <c r="I40" s="311"/>
      <c r="J40" s="311"/>
      <c r="K40" s="311"/>
      <c r="L40" s="311"/>
    </row>
    <row r="41" spans="1:12" ht="15.75">
      <c r="A41" s="311"/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</row>
    <row r="42" spans="1:12" ht="15.75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</row>
    <row r="43" spans="1:12" ht="15.75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</row>
    <row r="44" spans="1:12" ht="15.75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</row>
    <row r="45" spans="1:12" ht="15.75">
      <c r="A45" s="311"/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</row>
    <row r="46" spans="1:12" ht="15.75">
      <c r="A46" s="311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</row>
    <row r="47" spans="1:12" ht="15.75">
      <c r="A47" s="311"/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</row>
    <row r="48" spans="1:12" ht="15.75">
      <c r="A48" s="311"/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</row>
    <row r="49" spans="1:12" ht="15.75">
      <c r="A49" s="31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</row>
    <row r="50" spans="1:12" ht="15.75">
      <c r="A50" s="311"/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</row>
    <row r="51" spans="1:12" ht="15.75">
      <c r="A51" s="311"/>
      <c r="B51" s="311"/>
      <c r="C51" s="311"/>
      <c r="D51" s="311"/>
      <c r="E51" s="311"/>
      <c r="F51" s="311"/>
      <c r="G51" s="311"/>
      <c r="H51" s="311"/>
      <c r="I51" s="311"/>
      <c r="J51" s="311"/>
      <c r="K51" s="311"/>
      <c r="L51" s="311"/>
    </row>
    <row r="52" spans="1:12" ht="15.75">
      <c r="A52" s="311"/>
      <c r="B52" s="311"/>
      <c r="C52" s="311"/>
      <c r="D52" s="311"/>
      <c r="E52" s="311"/>
      <c r="F52" s="311"/>
      <c r="G52" s="311"/>
      <c r="H52" s="311"/>
      <c r="I52" s="311"/>
      <c r="J52" s="311"/>
      <c r="K52" s="311"/>
      <c r="L52" s="311"/>
    </row>
    <row r="53" spans="1:12" ht="15.75">
      <c r="A53" s="311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</row>
    <row r="54" spans="1:12" ht="15.75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</row>
    <row r="55" spans="1:12" ht="15.75">
      <c r="A55" s="311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</row>
    <row r="56" spans="1:12" ht="15.75">
      <c r="A56" s="311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</row>
    <row r="57" spans="1:12" ht="15.75">
      <c r="A57" s="311"/>
      <c r="B57" s="311"/>
      <c r="C57" s="311"/>
      <c r="D57" s="311"/>
      <c r="E57" s="311"/>
      <c r="F57" s="311"/>
      <c r="G57" s="311"/>
      <c r="H57" s="311"/>
      <c r="I57" s="311"/>
      <c r="J57" s="311"/>
      <c r="K57" s="311"/>
      <c r="L57" s="311"/>
    </row>
    <row r="58" spans="1:12" ht="15.75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</row>
    <row r="59" spans="1:12" ht="15.75">
      <c r="A59" s="311"/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</row>
    <row r="60" spans="1:12" ht="15.75">
      <c r="A60" s="311"/>
      <c r="B60" s="311"/>
      <c r="C60" s="311"/>
      <c r="D60" s="311"/>
      <c r="E60" s="311"/>
      <c r="F60" s="311"/>
      <c r="G60" s="311"/>
      <c r="H60" s="311"/>
      <c r="I60" s="311"/>
      <c r="J60" s="311"/>
      <c r="K60" s="311"/>
      <c r="L60" s="311"/>
    </row>
    <row r="61" spans="1:12" ht="15.75">
      <c r="A61" s="311"/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3"/>
  <sheetViews>
    <sheetView workbookViewId="0">
      <selection sqref="A1:K1"/>
    </sheetView>
  </sheetViews>
  <sheetFormatPr defaultColWidth="9.140625" defaultRowHeight="12.75"/>
  <cols>
    <col min="1" max="1" width="9.5703125" style="310" customWidth="1"/>
    <col min="2" max="11" width="7.7109375" style="310" customWidth="1"/>
    <col min="12" max="16384" width="9.140625" style="310"/>
  </cols>
  <sheetData>
    <row r="1" spans="1:12" ht="20.25">
      <c r="A1" s="996" t="s">
        <v>573</v>
      </c>
      <c r="B1" s="996"/>
      <c r="C1" s="996"/>
      <c r="D1" s="996"/>
      <c r="E1" s="996"/>
      <c r="F1" s="996"/>
      <c r="G1" s="996"/>
      <c r="H1" s="996"/>
      <c r="I1" s="996"/>
      <c r="J1" s="996"/>
      <c r="K1" s="996"/>
      <c r="L1" s="311"/>
    </row>
    <row r="2" spans="1:12" ht="30" customHeigh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</row>
    <row r="3" spans="1:12" ht="19.5">
      <c r="A3" s="341" t="s">
        <v>411</v>
      </c>
      <c r="B3" s="369" t="s">
        <v>450</v>
      </c>
      <c r="C3" s="311"/>
      <c r="D3" s="311"/>
      <c r="E3" s="311"/>
      <c r="F3" s="311"/>
      <c r="G3" s="311"/>
      <c r="H3" s="311"/>
      <c r="I3" s="311"/>
      <c r="J3" s="311"/>
      <c r="K3" s="311"/>
      <c r="L3" s="311"/>
    </row>
    <row r="4" spans="1:12" ht="12" customHeight="1">
      <c r="A4" s="311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</row>
    <row r="5" spans="1:12" ht="19.5">
      <c r="A5" s="370" t="s">
        <v>574</v>
      </c>
      <c r="B5" s="336"/>
      <c r="C5" s="336"/>
      <c r="D5" s="336"/>
      <c r="E5" s="336"/>
      <c r="F5" s="311"/>
      <c r="G5" s="311"/>
      <c r="H5" s="311"/>
      <c r="I5" s="311"/>
      <c r="J5" s="311"/>
      <c r="K5" s="311"/>
      <c r="L5" s="311"/>
    </row>
    <row r="6" spans="1:12" ht="17.25" customHeight="1">
      <c r="A6" s="311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</row>
    <row r="7" spans="1:12" ht="15.75">
      <c r="A7" s="311"/>
      <c r="B7" s="371" t="s">
        <v>575</v>
      </c>
      <c r="C7" s="372">
        <v>0</v>
      </c>
      <c r="D7" s="371" t="s">
        <v>575</v>
      </c>
      <c r="E7" s="373" t="s">
        <v>576</v>
      </c>
      <c r="F7" s="371" t="s">
        <v>575</v>
      </c>
      <c r="G7" s="373" t="s">
        <v>577</v>
      </c>
      <c r="H7" s="371" t="s">
        <v>578</v>
      </c>
      <c r="I7" s="373">
        <v>0</v>
      </c>
      <c r="J7" s="371" t="s">
        <v>578</v>
      </c>
      <c r="K7" s="373">
        <v>6.0000000000000001E-3</v>
      </c>
      <c r="L7" s="311"/>
    </row>
    <row r="8" spans="1:12" ht="15.75">
      <c r="A8" s="356" t="s">
        <v>579</v>
      </c>
      <c r="B8" s="987">
        <v>10</v>
      </c>
      <c r="C8" s="987"/>
      <c r="D8" s="987">
        <v>22</v>
      </c>
      <c r="E8" s="987"/>
      <c r="F8" s="987">
        <v>2</v>
      </c>
      <c r="G8" s="987"/>
      <c r="H8" s="987" t="s">
        <v>594</v>
      </c>
      <c r="I8" s="987"/>
      <c r="J8" s="987" t="s">
        <v>595</v>
      </c>
      <c r="K8" s="987"/>
      <c r="L8" s="311"/>
    </row>
    <row r="9" spans="1:12" ht="15.75">
      <c r="A9" s="356" t="s">
        <v>580</v>
      </c>
      <c r="B9" s="987">
        <v>18</v>
      </c>
      <c r="C9" s="987"/>
      <c r="D9" s="987">
        <v>30</v>
      </c>
      <c r="E9" s="987"/>
      <c r="F9" s="987">
        <v>6</v>
      </c>
      <c r="G9" s="987"/>
      <c r="H9" s="987" t="s">
        <v>596</v>
      </c>
      <c r="I9" s="987"/>
      <c r="J9" s="987" t="s">
        <v>597</v>
      </c>
      <c r="K9" s="987"/>
      <c r="L9" s="311"/>
    </row>
    <row r="10" spans="1:12" ht="15.75">
      <c r="A10" s="356" t="s">
        <v>581</v>
      </c>
      <c r="B10" s="987">
        <v>14</v>
      </c>
      <c r="C10" s="987"/>
      <c r="D10" s="987">
        <v>26</v>
      </c>
      <c r="E10" s="987"/>
      <c r="F10" s="987">
        <v>2</v>
      </c>
      <c r="G10" s="987"/>
      <c r="H10" s="987" t="s">
        <v>598</v>
      </c>
      <c r="I10" s="987"/>
      <c r="J10" s="987" t="s">
        <v>599</v>
      </c>
      <c r="K10" s="987"/>
      <c r="L10" s="311"/>
    </row>
    <row r="11" spans="1:12" ht="26.25" customHeight="1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</row>
    <row r="12" spans="1:12" ht="19.5">
      <c r="A12" s="370" t="s">
        <v>582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</row>
    <row r="13" spans="1:12" ht="15.75">
      <c r="A13" s="311"/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</row>
    <row r="14" spans="1:12" ht="15.75">
      <c r="A14" s="311"/>
      <c r="B14" s="994" t="s">
        <v>583</v>
      </c>
      <c r="C14" s="983"/>
      <c r="D14" s="995" t="s">
        <v>600</v>
      </c>
      <c r="E14" s="987"/>
      <c r="F14" s="994" t="s">
        <v>584</v>
      </c>
      <c r="G14" s="983"/>
      <c r="H14" s="995" t="s">
        <v>605</v>
      </c>
      <c r="I14" s="987"/>
      <c r="J14" s="311"/>
      <c r="K14" s="311"/>
      <c r="L14" s="311"/>
    </row>
    <row r="15" spans="1:12" ht="15.75">
      <c r="A15" s="311"/>
      <c r="B15" s="994" t="s">
        <v>585</v>
      </c>
      <c r="C15" s="983"/>
      <c r="D15" s="995" t="s">
        <v>601</v>
      </c>
      <c r="E15" s="987"/>
      <c r="F15" s="994" t="s">
        <v>586</v>
      </c>
      <c r="G15" s="983"/>
      <c r="H15" s="995" t="s">
        <v>606</v>
      </c>
      <c r="I15" s="987"/>
      <c r="J15" s="311"/>
      <c r="K15" s="311"/>
      <c r="L15" s="311"/>
    </row>
    <row r="16" spans="1:12" ht="15.75">
      <c r="A16" s="311"/>
      <c r="B16" s="994" t="s">
        <v>587</v>
      </c>
      <c r="C16" s="983"/>
      <c r="D16" s="995" t="s">
        <v>602</v>
      </c>
      <c r="E16" s="987"/>
      <c r="F16" s="994" t="s">
        <v>588</v>
      </c>
      <c r="G16" s="983"/>
      <c r="H16" s="995" t="s">
        <v>607</v>
      </c>
      <c r="I16" s="987"/>
      <c r="J16" s="311"/>
      <c r="K16" s="311"/>
      <c r="L16" s="311"/>
    </row>
    <row r="17" spans="1:12" ht="15.75">
      <c r="A17" s="311"/>
      <c r="B17" s="994" t="s">
        <v>589</v>
      </c>
      <c r="C17" s="983"/>
      <c r="D17" s="995" t="s">
        <v>603</v>
      </c>
      <c r="E17" s="987"/>
      <c r="F17" s="994" t="s">
        <v>590</v>
      </c>
      <c r="G17" s="983"/>
      <c r="H17" s="995" t="s">
        <v>608</v>
      </c>
      <c r="I17" s="987"/>
      <c r="J17" s="311"/>
      <c r="K17" s="311"/>
      <c r="L17" s="311"/>
    </row>
    <row r="18" spans="1:12" ht="15.75">
      <c r="A18" s="311"/>
      <c r="B18" s="994" t="s">
        <v>591</v>
      </c>
      <c r="C18" s="983"/>
      <c r="D18" s="995" t="s">
        <v>604</v>
      </c>
      <c r="E18" s="987"/>
      <c r="F18" s="994" t="s">
        <v>592</v>
      </c>
      <c r="G18" s="983"/>
      <c r="H18" s="995" t="s">
        <v>609</v>
      </c>
      <c r="I18" s="987"/>
      <c r="J18" s="311"/>
      <c r="K18" s="311"/>
      <c r="L18" s="311"/>
    </row>
    <row r="19" spans="1:12" ht="27" customHeight="1">
      <c r="A19" s="311"/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</row>
    <row r="20" spans="1:12" ht="19.5">
      <c r="A20" s="370" t="s">
        <v>593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</row>
    <row r="21" spans="1:12" ht="15.75">
      <c r="A21" s="311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</row>
    <row r="22" spans="1:12" ht="19.5">
      <c r="A22" s="311"/>
      <c r="B22" s="370" t="s">
        <v>610</v>
      </c>
      <c r="C22" s="311"/>
      <c r="D22" s="311"/>
      <c r="E22" s="311"/>
      <c r="F22" s="311"/>
      <c r="G22" s="311"/>
      <c r="H22" s="311"/>
      <c r="I22" s="311"/>
      <c r="J22" s="311"/>
      <c r="K22" s="311"/>
      <c r="L22" s="311"/>
    </row>
    <row r="23" spans="1:12" ht="15.75">
      <c r="A23" s="311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</row>
    <row r="24" spans="1:12" ht="15.75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</row>
    <row r="25" spans="1:12" ht="15.75">
      <c r="A25" s="31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</row>
    <row r="26" spans="1:12" ht="15.75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</row>
    <row r="27" spans="1:12" ht="15.75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</row>
    <row r="28" spans="1:12" ht="15.75">
      <c r="A28" s="311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</row>
    <row r="29" spans="1:12" ht="15.75">
      <c r="A29" s="311"/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</row>
    <row r="30" spans="1:12" ht="15.75">
      <c r="A30" s="311"/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</row>
    <row r="31" spans="1:12" ht="15.75">
      <c r="A31" s="311"/>
      <c r="B31" s="311"/>
      <c r="C31" s="311"/>
      <c r="D31" s="311"/>
      <c r="E31" s="311"/>
      <c r="F31" s="311"/>
      <c r="G31" s="311"/>
      <c r="H31" s="311"/>
      <c r="I31" s="311"/>
      <c r="J31" s="311"/>
      <c r="K31" s="311"/>
      <c r="L31" s="311"/>
    </row>
    <row r="32" spans="1:12" ht="15.75">
      <c r="A32" s="311"/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</row>
    <row r="33" spans="1:12" ht="15.75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C15" sqref="C15"/>
    </sheetView>
  </sheetViews>
  <sheetFormatPr defaultColWidth="9.140625" defaultRowHeight="12.75"/>
  <cols>
    <col min="1" max="6" width="14.7109375" style="310" customWidth="1"/>
    <col min="7" max="16384" width="9.140625" style="310"/>
  </cols>
  <sheetData>
    <row r="1" spans="1:7" ht="20.25">
      <c r="A1" s="1017" t="s">
        <v>358</v>
      </c>
      <c r="B1" s="1017"/>
      <c r="C1" s="1017"/>
      <c r="D1" s="1017"/>
      <c r="E1" s="1017"/>
      <c r="F1" s="1017"/>
    </row>
    <row r="2" spans="1:7" ht="19.5" thickBot="1">
      <c r="A2" s="311"/>
      <c r="B2" s="311"/>
      <c r="C2" s="992" t="s">
        <v>370</v>
      </c>
      <c r="D2" s="992"/>
      <c r="E2" s="311"/>
      <c r="F2" s="311"/>
      <c r="G2" s="311"/>
    </row>
    <row r="3" spans="1:7" ht="19.5">
      <c r="A3" s="1005" t="s">
        <v>359</v>
      </c>
      <c r="B3" s="1006"/>
      <c r="C3" s="1007"/>
      <c r="D3" s="1005" t="s">
        <v>360</v>
      </c>
      <c r="E3" s="1006"/>
      <c r="F3" s="1007"/>
      <c r="G3" s="311"/>
    </row>
    <row r="4" spans="1:7" ht="15.75">
      <c r="A4" s="312" t="s">
        <v>371</v>
      </c>
      <c r="B4" s="1018" t="s">
        <v>373</v>
      </c>
      <c r="C4" s="1012"/>
      <c r="D4" s="1019" t="s">
        <v>616</v>
      </c>
      <c r="E4" s="1020"/>
      <c r="F4" s="1021"/>
      <c r="G4" s="311"/>
    </row>
    <row r="5" spans="1:7" ht="16.5" thickBot="1">
      <c r="A5" s="313" t="s">
        <v>372</v>
      </c>
      <c r="B5" s="1000" t="s">
        <v>372</v>
      </c>
      <c r="C5" s="1001"/>
      <c r="D5" s="1002">
        <v>6.3000000000000003E-4</v>
      </c>
      <c r="E5" s="1003"/>
      <c r="F5" s="1004"/>
      <c r="G5" s="311"/>
    </row>
    <row r="6" spans="1:7" ht="19.5">
      <c r="A6" s="1005" t="s">
        <v>361</v>
      </c>
      <c r="B6" s="1006"/>
      <c r="C6" s="1006"/>
      <c r="D6" s="1006"/>
      <c r="E6" s="1006"/>
      <c r="F6" s="1007"/>
      <c r="G6" s="311"/>
    </row>
    <row r="7" spans="1:7" ht="15.75">
      <c r="A7" s="314" t="s">
        <v>362</v>
      </c>
      <c r="B7" s="315" t="s">
        <v>374</v>
      </c>
      <c r="C7" s="316" t="s">
        <v>363</v>
      </c>
      <c r="D7" s="317" t="s">
        <v>375</v>
      </c>
      <c r="E7" s="1008" t="s">
        <v>364</v>
      </c>
      <c r="F7" s="1009"/>
      <c r="G7" s="311"/>
    </row>
    <row r="8" spans="1:7" ht="16.5" thickBot="1">
      <c r="A8" s="318"/>
      <c r="B8" s="319" t="s">
        <v>372</v>
      </c>
      <c r="C8" s="320"/>
      <c r="D8" s="321" t="s">
        <v>372</v>
      </c>
      <c r="E8" s="1010" t="s">
        <v>376</v>
      </c>
      <c r="F8" s="1004"/>
      <c r="G8" s="311"/>
    </row>
    <row r="9" spans="1:7" ht="19.5">
      <c r="A9" s="1005" t="s">
        <v>365</v>
      </c>
      <c r="B9" s="1006"/>
      <c r="C9" s="1007"/>
      <c r="D9" s="1005" t="s">
        <v>366</v>
      </c>
      <c r="E9" s="1006"/>
      <c r="F9" s="1007"/>
      <c r="G9" s="311"/>
    </row>
    <row r="10" spans="1:7" ht="15.75">
      <c r="A10" s="322" t="s">
        <v>367</v>
      </c>
      <c r="B10" s="1011" t="s">
        <v>377</v>
      </c>
      <c r="C10" s="1012"/>
      <c r="D10" s="1013" t="s">
        <v>379</v>
      </c>
      <c r="E10" s="1014"/>
      <c r="F10" s="323" t="s">
        <v>381</v>
      </c>
      <c r="G10" s="311"/>
    </row>
    <row r="11" spans="1:7" ht="16.5" thickBot="1">
      <c r="A11" s="324" t="s">
        <v>368</v>
      </c>
      <c r="B11" s="1003" t="s">
        <v>378</v>
      </c>
      <c r="C11" s="1004"/>
      <c r="D11" s="1015" t="s">
        <v>380</v>
      </c>
      <c r="E11" s="1016"/>
      <c r="F11" s="325" t="s">
        <v>382</v>
      </c>
      <c r="G11" s="311"/>
    </row>
    <row r="12" spans="1:7" ht="19.5">
      <c r="A12" s="1005" t="s">
        <v>369</v>
      </c>
      <c r="B12" s="1006"/>
      <c r="C12" s="1006"/>
      <c r="D12" s="1006"/>
      <c r="E12" s="1006"/>
      <c r="F12" s="1007"/>
      <c r="G12" s="311"/>
    </row>
    <row r="13" spans="1:7" ht="16.5" thickBot="1">
      <c r="A13" s="997" t="s">
        <v>383</v>
      </c>
      <c r="B13" s="998"/>
      <c r="C13" s="999" t="s">
        <v>384</v>
      </c>
      <c r="D13" s="999"/>
      <c r="E13" s="999"/>
      <c r="F13" s="326"/>
      <c r="G13" s="311"/>
    </row>
    <row r="14" spans="1:7" ht="18.95" customHeight="1">
      <c r="A14" s="327"/>
      <c r="B14" s="327"/>
      <c r="C14" s="327"/>
      <c r="D14" s="327"/>
      <c r="E14" s="327"/>
      <c r="F14" s="327"/>
      <c r="G14" s="311"/>
    </row>
    <row r="15" spans="1:7" ht="15.75">
      <c r="G15" s="311"/>
    </row>
    <row r="16" spans="1:7" ht="15.75">
      <c r="G16" s="311"/>
    </row>
    <row r="17" spans="7:7" ht="15.75">
      <c r="G17" s="311"/>
    </row>
    <row r="18" spans="7:7" ht="15.75">
      <c r="G18" s="311"/>
    </row>
    <row r="19" spans="7:7" ht="15.75">
      <c r="G19" s="311"/>
    </row>
    <row r="20" spans="7:7" ht="15.75">
      <c r="G20" s="311"/>
    </row>
    <row r="21" spans="7:7" ht="15.75">
      <c r="G21" s="311"/>
    </row>
    <row r="22" spans="7:7" ht="15.75">
      <c r="G22" s="311"/>
    </row>
    <row r="23" spans="7:7" ht="15.75">
      <c r="G23" s="311"/>
    </row>
    <row r="24" spans="7:7" ht="15.75">
      <c r="G24" s="311"/>
    </row>
    <row r="25" spans="7:7" ht="15.75">
      <c r="G25" s="311"/>
    </row>
    <row r="26" spans="7:7" ht="15.75">
      <c r="G26" s="311"/>
    </row>
    <row r="27" spans="7:7" ht="18.95" customHeight="1">
      <c r="G27" s="311"/>
    </row>
    <row r="28" spans="7:7" ht="15.75">
      <c r="G28" s="311"/>
    </row>
    <row r="29" spans="7:7" ht="15.75">
      <c r="G29" s="311"/>
    </row>
    <row r="30" spans="7:7" ht="15.75">
      <c r="G30" s="311"/>
    </row>
    <row r="31" spans="7:7" ht="15.75">
      <c r="G31" s="311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DesignSheet 0.8V</vt:lpstr>
      <vt:lpstr>DesignSheet</vt:lpstr>
      <vt:lpstr>Data Sheet</vt:lpstr>
      <vt:lpstr>Performance Data Sheet</vt:lpstr>
      <vt:lpstr>STCurve</vt:lpstr>
      <vt:lpstr>Thermdam</vt:lpstr>
      <vt:lpstr>Performance 4000V</vt:lpstr>
      <vt:lpstr>Performance 2300V</vt:lpstr>
      <vt:lpstr>Circuit Param</vt:lpstr>
      <vt:lpstr>Performance API</vt:lpstr>
      <vt:lpstr>StallTime</vt:lpstr>
      <vt:lpstr>MagNoise</vt:lpstr>
      <vt:lpstr>Form</vt:lpstr>
      <vt:lpstr>'Circuit Param'!Print_Area</vt:lpstr>
      <vt:lpstr>'Data Sheet'!Print_Area</vt:lpstr>
      <vt:lpstr>DesignSheet!Print_Area</vt:lpstr>
      <vt:lpstr>'DesignSheet 0.8V'!Print_Area</vt:lpstr>
      <vt:lpstr>Form!Print_Area</vt:lpstr>
      <vt:lpstr>'Performance 2300V'!Print_Area</vt:lpstr>
      <vt:lpstr>'Performance 4000V'!Print_Area</vt:lpstr>
      <vt:lpstr>'Performance API'!Print_Area</vt:lpstr>
      <vt:lpstr>'Performance Data Sheet'!Print_Area</vt:lpstr>
      <vt:lpstr>StallTime!Print_Area</vt:lpstr>
      <vt:lpstr>STCurve!Print_Area</vt:lpstr>
      <vt:lpstr>Thermdam!Print_Area</vt:lpstr>
      <vt:lpstr>'Circuit Param'!Print_Area_MI</vt:lpstr>
      <vt:lpstr>'Performance API'!Print_Area_MI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2014-10-29T12:35:36Z</cp:lastPrinted>
  <dcterms:created xsi:type="dcterms:W3CDTF">1997-10-03T20:37:30Z</dcterms:created>
  <dcterms:modified xsi:type="dcterms:W3CDTF">2024-04-10T18:46:57Z</dcterms:modified>
</cp:coreProperties>
</file>