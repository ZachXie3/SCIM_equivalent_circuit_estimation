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I:\ELECTRICAL DESIGN\Design Database\TIC\Form Wound\4 Pole\DT4M30U\"/>
    </mc:Choice>
  </mc:AlternateContent>
  <xr:revisionPtr revIDLastSave="0" documentId="13_ncr:1_{8AD4A9E1-AF18-41BB-BC58-69813B76DDBC}" xr6:coauthVersionLast="47" xr6:coauthVersionMax="47" xr10:uidLastSave="{00000000-0000-0000-0000-000000000000}"/>
  <bookViews>
    <workbookView xWindow="-120" yWindow="-120" windowWidth="29040" windowHeight="17520" firstSheet="1" activeTab="1" xr2:uid="{00000000-000D-0000-FFFF-FFFF00000000}"/>
  </bookViews>
  <sheets>
    <sheet name="DesignSheet" sheetId="2" r:id="rId1"/>
    <sheet name="Data Sheet" sheetId="3" r:id="rId2"/>
    <sheet name="LoginSheet" sheetId="4" r:id="rId3"/>
    <sheet name="StallTime" sheetId="5" r:id="rId4"/>
    <sheet name="MagNoise" sheetId="6" r:id="rId5"/>
    <sheet name="Performance Data Sheet" sheetId="10" r:id="rId6"/>
    <sheet name="STCurve" sheetId="7" r:id="rId7"/>
    <sheet name="Thermdam" sheetId="8" r:id="rId8"/>
    <sheet name="Performance" sheetId="9" r:id="rId9"/>
  </sheets>
  <definedNames>
    <definedName name="_Regression_Int" localSheetId="5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8">Performance!$A$1:$F$43</definedName>
    <definedName name="_xlnm.Print_Area" localSheetId="5">'Performance Data Sheet'!$A$1:$M$44</definedName>
    <definedName name="_xlnm.Print_Area" localSheetId="3">StallTime!$A$1:$G$40</definedName>
    <definedName name="_xlnm.Print_Area" localSheetId="6">STCurve!$A$1:$F$43</definedName>
    <definedName name="_xlnm.Print_Area" localSheetId="7">Thermdam!$A$1:$F$43</definedName>
    <definedName name="Print_Area_MI">'Performance Data Sheet'!$A$10:$N$42</definedName>
    <definedName name="Z_852987ED_B4F5_11D1_ABEC_0000832EB49E_.wvu.PrintArea" localSheetId="8" hidden="1">Performance!$A$1:$F$43</definedName>
    <definedName name="Z_852987ED_B4F5_11D1_ABEC_0000832EB49E_.wvu.PrintArea" localSheetId="6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9" l="1"/>
  <c r="F58" i="9"/>
  <c r="F57" i="9"/>
  <c r="F56" i="9"/>
  <c r="F55" i="9"/>
  <c r="E55" i="9"/>
  <c r="F54" i="9"/>
  <c r="O47" i="9"/>
  <c r="N47" i="9"/>
  <c r="O46" i="9"/>
  <c r="N46" i="9"/>
  <c r="O45" i="9"/>
  <c r="N45" i="9"/>
  <c r="O44" i="9"/>
  <c r="N44" i="9"/>
  <c r="O43" i="9"/>
  <c r="N43" i="9"/>
  <c r="O42" i="9"/>
  <c r="N42" i="9"/>
  <c r="O41" i="9"/>
  <c r="N41" i="9"/>
  <c r="O40" i="9"/>
  <c r="N40" i="9"/>
  <c r="O39" i="9"/>
  <c r="N39" i="9"/>
  <c r="O38" i="9"/>
  <c r="N38" i="9"/>
  <c r="O37" i="9"/>
  <c r="N37" i="9"/>
  <c r="D43" i="9"/>
  <c r="D43" i="8"/>
  <c r="D43" i="7"/>
  <c r="C39" i="9"/>
  <c r="C39" i="8"/>
  <c r="C39" i="7"/>
  <c r="C15" i="9"/>
  <c r="C15" i="8"/>
  <c r="C15" i="7"/>
  <c r="C13" i="9"/>
  <c r="C13" i="8"/>
  <c r="C13" i="7"/>
  <c r="C12" i="9"/>
  <c r="C12" i="8"/>
  <c r="C12" i="7"/>
  <c r="F39" i="9"/>
  <c r="F39" i="8"/>
  <c r="F39" i="7"/>
  <c r="F9" i="9"/>
  <c r="F9" i="8"/>
  <c r="F9" i="7"/>
  <c r="F8" i="9"/>
  <c r="F8" i="8"/>
  <c r="F8" i="7"/>
  <c r="F7" i="9"/>
  <c r="F7" i="8"/>
  <c r="F7" i="7"/>
  <c r="F6" i="9"/>
  <c r="F6" i="8"/>
  <c r="F6" i="7"/>
  <c r="D7" i="9"/>
  <c r="D7" i="8"/>
  <c r="D7" i="7"/>
  <c r="B10" i="9"/>
  <c r="E59" i="9" s="1"/>
  <c r="B10" i="8"/>
  <c r="B10" i="7"/>
  <c r="B9" i="9"/>
  <c r="B9" i="8"/>
  <c r="B9" i="7"/>
  <c r="B7" i="9"/>
  <c r="B7" i="8"/>
  <c r="B7" i="7"/>
  <c r="B6" i="9"/>
  <c r="B6" i="8"/>
  <c r="B6" i="7"/>
  <c r="C76" i="8"/>
  <c r="C77" i="8" s="1"/>
  <c r="C78" i="8" s="1"/>
  <c r="B76" i="8"/>
  <c r="C75" i="8"/>
  <c r="C74" i="8"/>
  <c r="B74" i="8"/>
  <c r="E68" i="8"/>
  <c r="D66" i="8"/>
  <c r="F50" i="8"/>
  <c r="M28" i="3"/>
  <c r="M18" i="3"/>
  <c r="P31" i="2"/>
  <c r="P32" i="2"/>
  <c r="P33" i="2"/>
  <c r="P34" i="2"/>
  <c r="P30" i="2"/>
  <c r="M52" i="2"/>
  <c r="M41" i="2"/>
  <c r="L41" i="2"/>
  <c r="M40" i="2"/>
  <c r="N40" i="2" s="1"/>
  <c r="L40" i="2"/>
  <c r="M39" i="2"/>
  <c r="L39" i="2"/>
  <c r="M38" i="2"/>
  <c r="N38" i="2" s="1"/>
  <c r="L38" i="2"/>
  <c r="M33" i="2"/>
  <c r="M32" i="2"/>
  <c r="M31" i="2"/>
  <c r="M30" i="2"/>
  <c r="M29" i="2"/>
  <c r="M50" i="2"/>
  <c r="M53" i="2" s="1"/>
  <c r="M49" i="2"/>
  <c r="M48" i="2"/>
  <c r="M46" i="2"/>
  <c r="M47" i="2"/>
  <c r="E56" i="9" l="1"/>
  <c r="E57" i="9"/>
  <c r="E58" i="9"/>
  <c r="B70" i="8"/>
  <c r="C70" i="8"/>
  <c r="B69" i="8"/>
  <c r="B75" i="8" s="1"/>
  <c r="C69" i="8"/>
  <c r="N41" i="2"/>
  <c r="N39" i="2"/>
  <c r="B71" i="8" l="1"/>
  <c r="A72" i="8"/>
  <c r="C71" i="8"/>
  <c r="A73" i="8" l="1"/>
  <c r="B73" i="8" s="1"/>
  <c r="B7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<sst xmlns="http://schemas.openxmlformats.org/spreadsheetml/2006/main" count="998" uniqueCount="762">
  <si>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</si>
  <si>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</si>
  <si>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</si>
  <si>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</si>
  <si>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</si>
  <si>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</si>
  <si>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</si>
  <si>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</si>
  <si>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</si>
  <si>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</si>
  <si>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</si>
  <si>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</si>
  <si>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</si>
  <si>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</si>
  <si>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</si>
  <si>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</si>
  <si>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</si>
  <si>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</si>
  <si>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</si>
  <si>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</si>
  <si>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</si>
  <si>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</si>
  <si>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</si>
  <si>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</si>
  <si>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</si>
  <si>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</si>
  <si>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</si>
  <si>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</si>
  <si>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</si>
  <si>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</si>
  <si>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</si>
  <si>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</si>
  <si>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</si>
  <si>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</si>
  <si>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</si>
  <si>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</si>
  <si>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</si>
  <si>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</si>
  <si>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</si>
  <si>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</si>
  <si>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</si>
  <si>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</si>
  <si>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</si>
  <si>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</si>
  <si>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</si>
  <si>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</si>
  <si>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</si>
  <si>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</si>
  <si>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</si>
  <si>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</si>
  <si>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</si>
  <si>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</si>
  <si>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</si>
  <si>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</si>
  <si>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</si>
  <si>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</si>
  <si>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</si>
  <si>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</si>
  <si>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</si>
  <si>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</si>
  <si>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</si>
  <si>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</si>
  <si>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</si>
  <si>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</si>
  <si>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</si>
  <si>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</si>
  <si>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</si>
  <si>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</si>
  <si>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</si>
  <si>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</si>
  <si>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</si>
  <si>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</si>
  <si>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</si>
  <si>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</si>
  <si>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</si>
  <si>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</si>
  <si>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</si>
  <si>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</si>
  <si>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</si>
  <si>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</si>
  <si>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</si>
  <si>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</si>
  <si>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</si>
  <si>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</si>
  <si>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</si>
  <si>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</si>
  <si>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</si>
  <si>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</si>
  <si>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</si>
  <si>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</si>
  <si>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</si>
  <si>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</si>
  <si>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</si>
  <si>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</si>
  <si>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</si>
  <si>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</si>
  <si>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</si>
  <si>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</si>
  <si>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</si>
  <si>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</si>
  <si>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</si>
  <si>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</si>
  <si>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</si>
  <si>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</si>
  <si>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</si>
  <si>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</si>
  <si>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</si>
  <si>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</si>
  <si>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</si>
  <si>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</si>
  <si>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</si>
  <si>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</si>
  <si>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</si>
  <si>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</si>
  <si>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</si>
  <si>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</si>
  <si>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</si>
  <si>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</si>
  <si>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</si>
  <si>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</si>
  <si>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</si>
  <si>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</si>
  <si>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</si>
  <si>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</si>
  <si>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</si>
  <si>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</si>
  <si>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</si>
  <si>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</si>
  <si>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</si>
  <si>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</si>
  <si>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</si>
  <si>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</si>
  <si>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</si>
  <si>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</si>
  <si>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</si>
  <si>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</si>
  <si>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</si>
  <si>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</si>
  <si>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</si>
  <si>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</si>
  <si>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</si>
  <si>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</si>
  <si>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</si>
  <si>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</si>
  <si>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</si>
  <si>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</si>
  <si>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</si>
  <si>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</si>
  <si>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</si>
  <si>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</si>
  <si>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</si>
  <si>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</si>
  <si>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</si>
  <si>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</si>
  <si>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</si>
  <si>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</si>
  <si>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</si>
  <si>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</si>
  <si>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</si>
  <si>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</si>
  <si>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</si>
  <si>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</si>
  <si>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</si>
  <si>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</si>
  <si>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</si>
  <si>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</si>
  <si>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</si>
  <si>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</si>
  <si>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</si>
  <si>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</si>
  <si>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</si>
  <si>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</si>
  <si>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</si>
  <si>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</si>
  <si>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</si>
  <si>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</si>
  <si>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</si>
  <si>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</si>
  <si>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</si>
  <si>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</si>
  <si>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</si>
  <si>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</si>
  <si>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</si>
  <si>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</si>
  <si>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</si>
  <si>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</si>
  <si>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</si>
  <si>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</si>
  <si>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</si>
  <si>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</si>
  <si>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</si>
  <si>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</si>
  <si>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</si>
  <si>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DCW4</t>
  </si>
  <si>
    <t>5811/12</t>
  </si>
  <si>
    <t>Open</t>
  </si>
  <si>
    <t>Rectang</t>
  </si>
  <si>
    <t>8.79 - 8.79</t>
  </si>
  <si>
    <t>2.40 - 2.00</t>
  </si>
  <si>
    <t>Magnetic</t>
  </si>
  <si>
    <t>13 x 10</t>
  </si>
  <si>
    <t>1 ~ 14</t>
  </si>
  <si>
    <t>(.081"x.162")x1</t>
  </si>
  <si>
    <t>(.081"x.182")x1</t>
  </si>
  <si>
    <t>Wye</t>
  </si>
  <si>
    <t>(105°C)</t>
  </si>
  <si>
    <t>CU</t>
  </si>
  <si>
    <t>ERD1: 342.8</t>
  </si>
  <si>
    <t>EBL: 45.0</t>
  </si>
  <si>
    <t>ERT: 48.00</t>
  </si>
  <si>
    <t>ERH: 38.00</t>
  </si>
  <si>
    <t>(10 x 35)</t>
  </si>
  <si>
    <t>LB:  -</t>
  </si>
  <si>
    <t>LER:  -</t>
  </si>
  <si>
    <t>Single Cage Data</t>
  </si>
  <si>
    <t>UB: 345.0</t>
  </si>
  <si>
    <t>UER: 1824.0</t>
  </si>
  <si>
    <t>(Coeff.: 0.0429)</t>
  </si>
  <si>
    <t>Skew R.: 0.00</t>
  </si>
  <si>
    <t>G:\DESPRO\RAT FILES\DT4M30U_ERchange.rat</t>
  </si>
  <si>
    <t>2-2-2-0-1-2</t>
  </si>
  <si>
    <t>B.L.-1  P.F.-1</t>
  </si>
  <si>
    <t>14511.9 / 14895.7</t>
  </si>
  <si>
    <t>9907.9 / 7201.2</t>
  </si>
  <si>
    <t>13968.2 / 10312.0</t>
  </si>
  <si>
    <t>2000.0 / 2758.0</t>
  </si>
  <si>
    <t>11088.9 / 6218.6</t>
  </si>
  <si>
    <t>2137.9 / 1198.9</t>
  </si>
  <si>
    <t>8951.0 / 5019.7</t>
  </si>
  <si>
    <t>1.50 / 0.84</t>
  </si>
  <si>
    <t>90 / 85</t>
  </si>
  <si>
    <t>Temp. Rise @ 100%:</t>
  </si>
  <si>
    <t>Stray Loss</t>
  </si>
  <si>
    <t>0.947 / 0.941</t>
  </si>
  <si>
    <t>0.966 / 0.960</t>
  </si>
  <si>
    <t>0.970 / 0.963</t>
  </si>
  <si>
    <t>0.969 / 0.962</t>
  </si>
  <si>
    <t>0.597 / 0.596</t>
  </si>
  <si>
    <t>0.801 / 0.801</t>
  </si>
  <si>
    <t>0.865 / 0.865</t>
  </si>
  <si>
    <t>0.887 / 0.886</t>
  </si>
  <si>
    <t>0.890 / 0.890</t>
  </si>
  <si>
    <t>71.45 / 71.94</t>
  </si>
  <si>
    <t>104.35 / 105.07</t>
  </si>
  <si>
    <t>144.36 / 145.36</t>
  </si>
  <si>
    <t>188.08 / 189.38</t>
  </si>
  <si>
    <t>234.86 / 236.48</t>
  </si>
  <si>
    <t>5.42 / 5.45</t>
  </si>
  <si>
    <t>UB: 5.61 / 5.64</t>
  </si>
  <si>
    <t>UER: 3.73 / 3.75</t>
  </si>
  <si>
    <t>1796.3 / 1800.2</t>
  </si>
  <si>
    <t>1792.5 / 1796.5</t>
  </si>
  <si>
    <t>1788.7 / 1792.6</t>
  </si>
  <si>
    <t>1784.7 / 1788.6</t>
  </si>
  <si>
    <t>1780.8 / 1784.7</t>
  </si>
  <si>
    <t>0.0021 / -0.0001</t>
  </si>
  <si>
    <t>0.0042 / 0.0020</t>
  </si>
  <si>
    <t>0.0063 / 0.0041</t>
  </si>
  <si>
    <t>0.0085 / 0.0063</t>
  </si>
  <si>
    <t>0.0107 / 0.0085</t>
  </si>
  <si>
    <t>53.470 / 48.449</t>
  </si>
  <si>
    <t>1.599 / 1.449</t>
  </si>
  <si>
    <t>53.49 / 48.47</t>
  </si>
  <si>
    <t>1037.5 / 1258.9</t>
  </si>
  <si>
    <t>551.6 / 669.4</t>
  </si>
  <si>
    <t>646.7 / 836.4</t>
  </si>
  <si>
    <t>105.9 / 137.0</t>
  </si>
  <si>
    <t>237.3 / 265.6</t>
  </si>
  <si>
    <t>Correlated to: H080104_LAB 3095, 3134_RM.dat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</si>
  <si>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</si>
  <si>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</si>
  <si>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</si>
  <si>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</si>
  <si>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</si>
  <si>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</si>
  <si>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</si>
  <si>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</si>
  <si>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</si>
  <si>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</si>
  <si>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</si>
  <si>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</si>
  <si>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</si>
  <si>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</si>
  <si>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</si>
  <si>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</si>
  <si>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</si>
  <si>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</si>
  <si>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</si>
  <si>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</si>
  <si>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</si>
  <si>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</si>
  <si>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</si>
  <si>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</si>
  <si>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</si>
  <si>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</si>
  <si>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</si>
  <si>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</si>
  <si>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</si>
  <si>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</si>
  <si>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</si>
  <si>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</si>
  <si>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</si>
  <si>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</si>
  <si>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</si>
  <si>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</si>
  <si>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</si>
  <si>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</si>
  <si>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</si>
  <si>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</si>
  <si>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</si>
  <si>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</si>
  <si>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</si>
  <si>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</si>
  <si>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</si>
  <si>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</si>
  <si>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</si>
  <si>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</si>
  <si>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</si>
  <si>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</si>
  <si>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</si>
  <si>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</si>
  <si>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</si>
  <si>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</si>
  <si>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</si>
  <si>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</si>
  <si>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</si>
  <si>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</si>
  <si>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</si>
  <si>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</si>
  <si>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</si>
  <si>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</si>
  <si>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</si>
  <si>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</si>
  <si>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</si>
  <si>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</si>
  <si>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</si>
  <si>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</si>
  <si>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</si>
  <si>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</si>
  <si>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</si>
  <si>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</si>
  <si>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</si>
  <si>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</si>
  <si>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</si>
  <si>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</si>
  <si>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</si>
  <si>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</si>
  <si>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</si>
  <si>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</si>
  <si>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</si>
  <si>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</si>
  <si>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</si>
  <si>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</si>
  <si>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</si>
  <si>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</si>
  <si>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</si>
  <si>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</si>
  <si>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</si>
  <si>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</si>
  <si>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</si>
  <si>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</si>
  <si>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</si>
  <si>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</si>
  <si>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</si>
  <si>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</si>
  <si>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</si>
  <si>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</si>
  <si>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</si>
  <si>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</si>
  <si>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</si>
  <si>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</si>
  <si>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</si>
  <si>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</si>
  <si>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</si>
  <si>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</si>
  <si>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</si>
  <si>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</si>
  <si>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</si>
  <si>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</si>
  <si>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</si>
  <si>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</si>
  <si>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DT4M30U_ERchange</t>
  </si>
  <si>
    <t>Type: TIKE - Form: DCW4 - 4 Pole - 1500 HP - 4000 V - 60 Hz - 5811/12 - Class F</t>
  </si>
  <si>
    <t>18 x 2</t>
  </si>
  <si>
    <t>2 x Wye</t>
  </si>
  <si>
    <t xml:space="preserve"> - </t>
  </si>
  <si>
    <t>545 / 3630</t>
  </si>
  <si>
    <t>G</t>
  </si>
  <si>
    <t>564 / 375</t>
  </si>
  <si>
    <t>M305WTAL11E-C</t>
  </si>
  <si>
    <t>LINK:</t>
  </si>
  <si>
    <t>H080104 ER_end of bar.rat with H080104_LAB 3095, 3134_RM.dat</t>
  </si>
  <si>
    <t>Run DT4M30U_ERchange.rat</t>
  </si>
  <si>
    <t>H080104 --&gt;  A1-10018167 SEE BUILT DETAILS</t>
  </si>
  <si>
    <t>Rev.1 change ER to end of bar in compliance with API;</t>
  </si>
  <si>
    <t>Update perf corr based on 3095, 3134.  Z.X 04/07/20</t>
  </si>
  <si>
    <t>Rev.2 update rat file from 0.091x0.182 x 2 to match WIPS and BOM. Z.X 10/04/21</t>
  </si>
  <si>
    <t>A. GRACIA</t>
  </si>
  <si>
    <t>90 / -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</si>
  <si>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</si>
  <si>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</si>
  <si>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</si>
  <si>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</si>
  <si>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</si>
  <si>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</si>
  <si>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</si>
  <si>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</si>
  <si>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</si>
  <si>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794.3 kg.m²</t>
  </si>
  <si>
    <t>Acceleration Data (FV V)</t>
  </si>
  <si>
    <t>5.8 (s)</t>
  </si>
  <si>
    <t>610.7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</si>
  <si>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</si>
  <si>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</si>
  <si>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</si>
  <si>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</si>
  <si>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</si>
  <si>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</si>
  <si>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</si>
  <si>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</si>
  <si>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</si>
  <si>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</si>
  <si>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</si>
  <si>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</si>
  <si>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</si>
  <si>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</si>
  <si>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</si>
  <si>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</si>
  <si>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</si>
  <si>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</si>
  <si>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</si>
  <si>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</si>
  <si>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</si>
  <si>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</si>
  <si>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</si>
  <si>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</si>
  <si>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</si>
  <si>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</si>
  <si>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</si>
  <si>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</si>
  <si>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</si>
  <si>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</si>
  <si>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</si>
  <si>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</si>
  <si>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</si>
  <si>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</si>
  <si>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</si>
  <si>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</si>
  <si>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</si>
  <si>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</si>
  <si>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</si>
  <si>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- 1500.0 HP - 1800 RPM - 4000 V - 60 Hz</t>
  </si>
  <si>
    <t>0~180</t>
  </si>
  <si>
    <t>180~360</t>
  </si>
  <si>
    <t>360~540</t>
  </si>
  <si>
    <t>540~720</t>
  </si>
  <si>
    <t>720~900</t>
  </si>
  <si>
    <t>900~1080</t>
  </si>
  <si>
    <t>1080~1260</t>
  </si>
  <si>
    <t>1260~1440</t>
  </si>
  <si>
    <t>1440~1530</t>
  </si>
  <si>
    <t>1530~1620</t>
  </si>
  <si>
    <t>1620~1710</t>
  </si>
  <si>
    <t>1710~1782</t>
  </si>
  <si>
    <t>1782~1785</t>
  </si>
  <si>
    <t>Load Type: Fan / Pump - 4712.0 lb-ft²</t>
  </si>
  <si>
    <t>135.1</t>
  </si>
  <si>
    <t>135.3</t>
  </si>
  <si>
    <t>135.8</t>
  </si>
  <si>
    <t>136.5</t>
  </si>
  <si>
    <t>137.8</t>
  </si>
  <si>
    <t>139.7</t>
  </si>
  <si>
    <t>143.0</t>
  </si>
  <si>
    <t>150.2</t>
  </si>
  <si>
    <t>163.6</t>
  </si>
  <si>
    <t>190.6</t>
  </si>
  <si>
    <t>237.1</t>
  </si>
  <si>
    <t>185.1</t>
  </si>
  <si>
    <t>102.6</t>
  </si>
  <si>
    <t>22.5</t>
  </si>
  <si>
    <t>11.5</t>
  </si>
  <si>
    <t>7.0</t>
  </si>
  <si>
    <t>11.0</t>
  </si>
  <si>
    <t>18.0</t>
  </si>
  <si>
    <t>27.5</t>
  </si>
  <si>
    <t>41.5</t>
  </si>
  <si>
    <t>55.5</t>
  </si>
  <si>
    <t>67.5</t>
  </si>
  <si>
    <t>80.5</t>
  </si>
  <si>
    <t>92.5</t>
  </si>
  <si>
    <t>99.0</t>
  </si>
  <si>
    <t>0.595</t>
  </si>
  <si>
    <t>0.541</t>
  </si>
  <si>
    <t>0.520</t>
  </si>
  <si>
    <t>0.518</t>
  </si>
  <si>
    <t>0.529</t>
  </si>
  <si>
    <t>0.551</t>
  </si>
  <si>
    <t>0.580</t>
  </si>
  <si>
    <t>0.617</t>
  </si>
  <si>
    <t>0.310</t>
  </si>
  <si>
    <t>0.272</t>
  </si>
  <si>
    <t>0.214</t>
  </si>
  <si>
    <t>0.290</t>
  </si>
  <si>
    <t>0.281</t>
  </si>
  <si>
    <t>1253.9</t>
  </si>
  <si>
    <t>1242.8</t>
  </si>
  <si>
    <t>1229.5</t>
  </si>
  <si>
    <t>1213.1</t>
  </si>
  <si>
    <t>1192.6</t>
  </si>
  <si>
    <t>1167.2</t>
  </si>
  <si>
    <t>1135.9</t>
  </si>
  <si>
    <t>1095.1</t>
  </si>
  <si>
    <t>1053.7</t>
  </si>
  <si>
    <t>1001.6</t>
  </si>
  <si>
    <t>866.8</t>
  </si>
  <si>
    <t>496.9</t>
  </si>
  <si>
    <t>164.4</t>
  </si>
  <si>
    <t>387.0</t>
  </si>
  <si>
    <t>346.3</t>
  </si>
  <si>
    <t>326.5</t>
  </si>
  <si>
    <t>317.1</t>
  </si>
  <si>
    <t>314.3</t>
  </si>
  <si>
    <t>315.2</t>
  </si>
  <si>
    <t>316.6</t>
  </si>
  <si>
    <t>316.4</t>
  </si>
  <si>
    <t>146.1</t>
  </si>
  <si>
    <t>119.8</t>
  </si>
  <si>
    <t>82.2</t>
  </si>
  <si>
    <t>69.7</t>
  </si>
  <si>
    <t>4.1</t>
  </si>
  <si>
    <t>821.0</t>
  </si>
  <si>
    <t>673.0</t>
  </si>
  <si>
    <t>576.3</t>
  </si>
  <si>
    <t>503.7</t>
  </si>
  <si>
    <t>444.0</t>
  </si>
  <si>
    <t>389.7</t>
  </si>
  <si>
    <t>334.2</t>
  </si>
  <si>
    <t>274.3</t>
  </si>
  <si>
    <t>196.6</t>
  </si>
  <si>
    <t>143.6</t>
  </si>
  <si>
    <t>91.4</t>
  </si>
  <si>
    <t>98.0</t>
  </si>
  <si>
    <t>169.8</t>
  </si>
  <si>
    <t>3061 kW / s</t>
  </si>
  <si>
    <t>4068 kW / s</t>
  </si>
  <si>
    <t>647 kW / s</t>
  </si>
  <si>
    <t>42°C</t>
  </si>
  <si>
    <t>97°C</t>
  </si>
  <si>
    <t>43°C</t>
  </si>
  <si>
    <t>84°C</t>
  </si>
  <si>
    <t>194°C</t>
  </si>
  <si>
    <t>86°C</t>
  </si>
  <si>
    <t>Acceleration Time:  5.8 s</t>
  </si>
  <si>
    <t>11.2°C / s</t>
  </si>
  <si>
    <t>31.1°C / s</t>
  </si>
  <si>
    <t>13.8°C / s</t>
  </si>
  <si>
    <t>813.2 kW</t>
  </si>
  <si>
    <t>1303.3 kW</t>
  </si>
  <si>
    <t>207.4 kW</t>
  </si>
  <si>
    <t>14.3 s</t>
  </si>
  <si>
    <t>8.4 s</t>
  </si>
  <si>
    <t>13.0 s</t>
  </si>
  <si>
    <t>90°C    +</t>
  </si>
  <si>
    <t>125°C    +</t>
  </si>
  <si>
    <t>70°C    +</t>
  </si>
  <si>
    <t>135°C   +</t>
  </si>
  <si>
    <t>55°C   +</t>
  </si>
  <si>
    <t>6.3 s</t>
  </si>
  <si>
    <t>4.3 s</t>
  </si>
  <si>
    <t>4.0 s</t>
  </si>
  <si>
    <t>15.8 s</t>
  </si>
  <si>
    <t>4.8 s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</si>
  <si>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</si>
  <si>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</si>
  <si>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</si>
  <si>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</si>
  <si>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</si>
  <si>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</si>
  <si>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</si>
  <si>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</si>
  <si>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</si>
  <si>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</si>
  <si>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</si>
  <si>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</si>
  <si>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</si>
  <si>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</si>
  <si>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</si>
  <si>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</si>
  <si>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</si>
  <si>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</si>
  <si>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</si>
  <si>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</si>
  <si>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</si>
  <si>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1440.0 Hz</t>
  </si>
  <si>
    <t>1428.8 Hz</t>
  </si>
  <si>
    <t>1200.0 Hz</t>
  </si>
  <si>
    <t>1188.8 Hz</t>
  </si>
  <si>
    <t>1320.0 Hz</t>
  </si>
  <si>
    <t>1308.8 Hz</t>
  </si>
  <si>
    <t>1663.1 Hz</t>
  </si>
  <si>
    <t>277.1 Hz</t>
  </si>
  <si>
    <t>783.8 Hz</t>
  </si>
  <si>
    <t>1502.9 Hz</t>
  </si>
  <si>
    <t>2430.6 Hz</t>
  </si>
  <si>
    <t>3565.6 Hz</t>
  </si>
  <si>
    <t>4907.6 Hz</t>
  </si>
  <si>
    <t>6456.4 Hz</t>
  </si>
  <si>
    <t>8211.8 Hz</t>
  </si>
  <si>
    <t>10174.0 Hz</t>
  </si>
  <si>
    <t>Matching frequencies detected!!!</t>
  </si>
  <si>
    <t>Please check slot combination!!!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</si>
  <si>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</si>
  <si>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</si>
  <si>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</si>
  <si>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</si>
  <si>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</si>
  <si>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</si>
  <si>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</si>
  <si>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</si>
  <si>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</si>
  <si>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</si>
  <si>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</si>
  <si>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</si>
  <si>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</si>
  <si>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</si>
  <si>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</si>
  <si>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</si>
  <si>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</si>
  <si>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</si>
  <si>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</si>
  <si>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</si>
  <si>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</si>
  <si>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346.3 lb-ft²</t>
  </si>
  <si>
    <t>4712.0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</si>
  <si>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</si>
  <si>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</si>
  <si>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</si>
  <si>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</si>
  <si>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</si>
  <si>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</si>
  <si>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</si>
  <si>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</si>
  <si>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</si>
  <si>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</si>
  <si>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</si>
  <si>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</si>
  <si>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</si>
  <si>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</si>
  <si>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</si>
  <si>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</si>
  <si>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</si>
  <si>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</si>
  <si>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</si>
  <si>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</si>
  <si>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</si>
  <si>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</si>
  <si>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</si>
  <si>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</si>
  <si>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</si>
  <si>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</si>
  <si>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</si>
  <si>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</si>
  <si>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</si>
  <si>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</si>
  <si>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</si>
  <si>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</si>
  <si>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</si>
  <si>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</si>
  <si>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</si>
  <si>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</si>
  <si>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</si>
  <si>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</si>
  <si>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</si>
  <si>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</si>
  <si>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</si>
  <si>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</si>
  <si>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</si>
  <si>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</si>
  <si>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</si>
  <si>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</si>
  <si>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</si>
  <si>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</si>
  <si>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</si>
  <si>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</si>
  <si>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</si>
  <si>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</si>
  <si>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</si>
  <si>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</si>
  <si>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</si>
  <si>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</si>
  <si>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</si>
  <si>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</si>
  <si>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</si>
  <si>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</si>
  <si>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</si>
  <si>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</si>
  <si>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</si>
  <si>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</si>
  <si>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</si>
  <si>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</si>
  <si>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</si>
  <si>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</si>
  <si>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</si>
  <si>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</si>
  <si>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</si>
  <si>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</si>
  <si>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</si>
  <si>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</si>
  <si>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</si>
  <si>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</si>
  <si>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</si>
  <si>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</si>
  <si>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</si>
  <si>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</si>
  <si>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</si>
  <si>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</si>
  <si>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</si>
  <si>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</si>
  <si>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</si>
  <si>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</si>
  <si>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</si>
  <si>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</si>
  <si>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</si>
  <si>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</si>
  <si>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</si>
  <si>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</si>
  <si>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</si>
  <si>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</si>
  <si>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</si>
  <si>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</si>
  <si>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</si>
  <si>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</si>
  <si>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</si>
  <si>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</si>
  <si>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</si>
  <si>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</si>
  <si>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</si>
  <si>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</si>
  <si>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</si>
  <si>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</si>
  <si>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</si>
  <si>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</si>
  <si>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</si>
  <si>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</si>
  <si>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</si>
  <si>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</si>
  <si>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</si>
  <si>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</si>
  <si>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</si>
  <si>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</si>
  <si>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5812US</t>
  </si>
  <si>
    <t>WP-II</t>
  </si>
  <si>
    <t>1.0</t>
  </si>
  <si>
    <t>ADJUSTED</t>
  </si>
  <si>
    <t>ORIGINAL</t>
  </si>
  <si>
    <t>SYNC SPEED</t>
  </si>
  <si>
    <t>NEW SPEED LOWER RANGE</t>
  </si>
  <si>
    <t>NEW kW UPPER RANGE</t>
  </si>
  <si>
    <t>SPEED</t>
  </si>
  <si>
    <t>KW</t>
  </si>
  <si>
    <t>DT4M30U</t>
  </si>
  <si>
    <t>Note: there is potential to use 0.091 thick wire to improve thermal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</si>
</sst>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</numFmts>
  <fonts count="80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0"/>
      <color indexed="8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6"/>
      <name val="Times New Roman"/>
      <family val="1"/>
    </font>
    <font>
      <b/>
      <i/>
      <sz val="14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172" fontId="67" fillId="0" borderId="0"/>
  </cellStyleXfs>
  <cellXfs count="680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/>
    <xf numFmtId="0" fontId="3" fillId="0" borderId="11" xfId="0" applyFont="1" applyBorder="1"/>
    <xf numFmtId="1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7" fontId="1" fillId="0" borderId="9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67" fontId="1" fillId="0" borderId="33" xfId="0" applyNumberFormat="1" applyFont="1" applyBorder="1" applyAlignment="1">
      <alignment horizontal="center"/>
    </xf>
    <xf numFmtId="0" fontId="1" fillId="0" borderId="0" xfId="0" applyFont="1"/>
    <xf numFmtId="167" fontId="1" fillId="0" borderId="0" xfId="0" applyNumberFormat="1" applyFont="1"/>
    <xf numFmtId="167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166" fontId="22" fillId="0" borderId="9" xfId="0" applyNumberFormat="1" applyFont="1" applyBorder="1" applyAlignment="1">
      <alignment horizontal="center"/>
    </xf>
    <xf numFmtId="165" fontId="22" fillId="0" borderId="1" xfId="0" applyNumberFormat="1" applyFont="1" applyBorder="1" applyAlignment="1">
      <alignment horizontal="center"/>
    </xf>
    <xf numFmtId="165" fontId="22" fillId="0" borderId="9" xfId="0" applyNumberFormat="1" applyFont="1" applyBorder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2" fillId="0" borderId="9" xfId="0" applyNumberFormat="1" applyFont="1" applyBorder="1" applyAlignment="1">
      <alignment horizontal="center"/>
    </xf>
    <xf numFmtId="166" fontId="22" fillId="0" borderId="11" xfId="0" applyNumberFormat="1" applyFont="1" applyBorder="1" applyAlignment="1">
      <alignment horizontal="center"/>
    </xf>
    <xf numFmtId="166" fontId="23" fillId="0" borderId="31" xfId="0" applyNumberFormat="1" applyFont="1" applyBorder="1" applyAlignment="1">
      <alignment horizontal="center"/>
    </xf>
    <xf numFmtId="166" fontId="23" fillId="0" borderId="51" xfId="0" applyNumberFormat="1" applyFont="1" applyBorder="1" applyAlignment="1">
      <alignment horizontal="center"/>
    </xf>
    <xf numFmtId="166" fontId="23" fillId="0" borderId="32" xfId="0" applyNumberFormat="1" applyFont="1" applyBorder="1" applyAlignment="1">
      <alignment horizontal="center"/>
    </xf>
    <xf numFmtId="0" fontId="26" fillId="0" borderId="0" xfId="1" applyFont="1"/>
    <xf numFmtId="0" fontId="27" fillId="0" borderId="0" xfId="1" applyFont="1"/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28" fillId="5" borderId="0" xfId="1" applyFont="1" applyFill="1" applyAlignment="1">
      <alignment horizontal="center"/>
    </xf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19" fillId="0" borderId="0" xfId="1" applyFont="1"/>
    <xf numFmtId="0" fontId="33" fillId="0" borderId="52" xfId="1" applyFont="1" applyBorder="1"/>
    <xf numFmtId="0" fontId="19" fillId="0" borderId="54" xfId="1" applyFont="1" applyBorder="1"/>
    <xf numFmtId="0" fontId="33" fillId="0" borderId="54" xfId="1" applyFont="1" applyBorder="1"/>
    <xf numFmtId="0" fontId="34" fillId="0" borderId="0" xfId="1" applyFont="1"/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Alignment="1">
      <alignment horizontal="left"/>
    </xf>
    <xf numFmtId="0" fontId="18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Border="1"/>
    <xf numFmtId="0" fontId="19" fillId="0" borderId="21" xfId="1" applyFont="1" applyBorder="1"/>
    <xf numFmtId="0" fontId="33" fillId="0" borderId="21" xfId="1" applyFont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3" fillId="0" borderId="46" xfId="1" applyFont="1" applyBorder="1"/>
    <xf numFmtId="0" fontId="33" fillId="0" borderId="24" xfId="1" applyFont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4" fillId="0" borderId="69" xfId="1" applyFont="1" applyBorder="1"/>
    <xf numFmtId="0" fontId="19" fillId="0" borderId="24" xfId="1" applyFont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20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20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4" fillId="0" borderId="93" xfId="1" applyFont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4" fillId="0" borderId="96" xfId="1" applyFont="1" applyBorder="1"/>
    <xf numFmtId="0" fontId="38" fillId="0" borderId="96" xfId="1" applyFont="1" applyBorder="1" applyAlignment="1">
      <alignment horizontal="center"/>
    </xf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Font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3" fillId="0" borderId="24" xfId="1" applyFont="1" applyBorder="1"/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1" fillId="5" borderId="103" xfId="1" applyFont="1" applyFill="1" applyBorder="1" applyAlignment="1">
      <alignment horizontal="center"/>
    </xf>
    <xf numFmtId="167" fontId="38" fillId="0" borderId="69" xfId="1" applyNumberFormat="1" applyFont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4" fillId="0" borderId="78" xfId="1" applyFont="1" applyBorder="1"/>
    <xf numFmtId="0" fontId="34" fillId="0" borderId="79" xfId="1" applyFont="1" applyBorder="1"/>
    <xf numFmtId="0" fontId="34" fillId="0" borderId="87" xfId="1" applyFont="1" applyBorder="1"/>
    <xf numFmtId="0" fontId="36" fillId="5" borderId="96" xfId="1" applyFont="1" applyFill="1" applyBorder="1"/>
    <xf numFmtId="0" fontId="20" fillId="5" borderId="64" xfId="1" applyFont="1" applyFill="1" applyBorder="1" applyAlignment="1">
      <alignment horizontal="right" shrinkToFit="1"/>
    </xf>
    <xf numFmtId="1" fontId="38" fillId="5" borderId="70" xfId="1" quotePrefix="1" applyNumberFormat="1" applyFont="1" applyFill="1" applyBorder="1" applyAlignment="1">
      <alignment horizontal="center"/>
    </xf>
    <xf numFmtId="2" fontId="34" fillId="0" borderId="0" xfId="1" applyNumberFormat="1" applyFont="1"/>
    <xf numFmtId="0" fontId="36" fillId="5" borderId="83" xfId="1" applyFont="1" applyFill="1" applyBorder="1"/>
    <xf numFmtId="0" fontId="36" fillId="5" borderId="56" xfId="1" applyFont="1" applyFill="1" applyBorder="1"/>
    <xf numFmtId="0" fontId="20" fillId="5" borderId="64" xfId="1" applyFont="1" applyFill="1" applyBorder="1" applyAlignment="1">
      <alignment horizontal="right"/>
    </xf>
    <xf numFmtId="2" fontId="38" fillId="5" borderId="70" xfId="1" quotePrefix="1" applyNumberFormat="1" applyFont="1" applyFill="1" applyBorder="1" applyAlignment="1">
      <alignment horizontal="center"/>
    </xf>
    <xf numFmtId="0" fontId="38" fillId="5" borderId="70" xfId="1" quotePrefix="1" applyFont="1" applyFill="1" applyBorder="1" applyAlignment="1">
      <alignment horizontal="center"/>
    </xf>
    <xf numFmtId="2" fontId="38" fillId="5" borderId="64" xfId="1" applyNumberFormat="1" applyFont="1" applyFill="1" applyBorder="1" applyAlignment="1">
      <alignment horizontal="center"/>
    </xf>
    <xf numFmtId="0" fontId="20" fillId="5" borderId="56" xfId="1" applyFont="1" applyFill="1" applyBorder="1" applyAlignment="1">
      <alignment horizontal="right"/>
    </xf>
    <xf numFmtId="0" fontId="20" fillId="5" borderId="64" xfId="1" applyFont="1" applyFill="1" applyBorder="1"/>
    <xf numFmtId="0" fontId="45" fillId="0" borderId="0" xfId="1" applyFont="1"/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20" fillId="5" borderId="112" xfId="1" applyFont="1" applyFill="1" applyBorder="1"/>
    <xf numFmtId="167" fontId="38" fillId="5" borderId="112" xfId="1" applyNumberFormat="1" applyFont="1" applyFill="1" applyBorder="1" applyAlignment="1">
      <alignment horizontal="center"/>
    </xf>
    <xf numFmtId="0" fontId="38" fillId="5" borderId="113" xfId="1" quotePrefix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6" fillId="0" borderId="0" xfId="1" applyFont="1" applyAlignment="1">
      <alignment horizontal="right"/>
    </xf>
    <xf numFmtId="2" fontId="34" fillId="0" borderId="0" xfId="2" applyNumberFormat="1" applyFont="1"/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4" fillId="0" borderId="0" xfId="1" applyFont="1" applyAlignment="1">
      <alignment horizontal="righ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29" fillId="5" borderId="81" xfId="1" applyFont="1" applyFill="1" applyBorder="1" applyAlignment="1">
      <alignment horizontal="left"/>
    </xf>
    <xf numFmtId="0" fontId="29" fillId="5" borderId="82" xfId="1" applyFont="1" applyFill="1" applyBorder="1" applyAlignment="1">
      <alignment horizontal="left"/>
    </xf>
    <xf numFmtId="0" fontId="31" fillId="5" borderId="83" xfId="1" applyFont="1" applyFill="1" applyBorder="1"/>
    <xf numFmtId="0" fontId="34" fillId="5" borderId="72" xfId="1" applyFont="1" applyFill="1" applyBorder="1" applyAlignment="1">
      <alignment horizontal="left"/>
    </xf>
    <xf numFmtId="0" fontId="34" fillId="5" borderId="84" xfId="1" applyFont="1" applyFill="1" applyBorder="1" applyAlignment="1">
      <alignment horizontal="left"/>
    </xf>
    <xf numFmtId="0" fontId="31" fillId="5" borderId="68" xfId="1" applyFont="1" applyFill="1" applyBorder="1" applyAlignment="1">
      <alignment horizontal="left"/>
    </xf>
    <xf numFmtId="0" fontId="31" fillId="5" borderId="74" xfId="1" applyFont="1" applyFill="1" applyBorder="1" applyAlignment="1">
      <alignment horizontal="left"/>
    </xf>
    <xf numFmtId="0" fontId="47" fillId="0" borderId="0" xfId="1" applyFont="1"/>
    <xf numFmtId="0" fontId="36" fillId="0" borderId="116" xfId="1" applyFont="1" applyBorder="1"/>
    <xf numFmtId="0" fontId="36" fillId="5" borderId="119" xfId="1" applyFont="1" applyFill="1" applyBorder="1"/>
    <xf numFmtId="0" fontId="31" fillId="5" borderId="45" xfId="1" applyFont="1" applyFill="1" applyBorder="1"/>
    <xf numFmtId="0" fontId="36" fillId="5" borderId="121" xfId="1" applyFont="1" applyFill="1" applyBorder="1"/>
    <xf numFmtId="0" fontId="36" fillId="5" borderId="23" xfId="1" applyFont="1" applyFill="1" applyBorder="1"/>
    <xf numFmtId="0" fontId="31" fillId="0" borderId="23" xfId="1" applyFont="1" applyBorder="1"/>
    <xf numFmtId="0" fontId="31" fillId="0" borderId="0" xfId="1" applyFont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51" fillId="0" borderId="41" xfId="3" applyFont="1" applyBorder="1" applyAlignment="1">
      <alignment horizontal="center"/>
    </xf>
    <xf numFmtId="0" fontId="1" fillId="0" borderId="0" xfId="3"/>
    <xf numFmtId="0" fontId="52" fillId="0" borderId="125" xfId="3" applyFont="1" applyBorder="1" applyAlignment="1">
      <alignment horizontal="center"/>
    </xf>
    <xf numFmtId="0" fontId="1" fillId="0" borderId="125" xfId="3" applyBorder="1" applyAlignment="1">
      <alignment horizontal="center"/>
    </xf>
    <xf numFmtId="0" fontId="51" fillId="0" borderId="125" xfId="3" applyFont="1" applyBorder="1" applyAlignment="1">
      <alignment horizontal="center"/>
    </xf>
    <xf numFmtId="0" fontId="52" fillId="0" borderId="45" xfId="3" applyFont="1" applyBorder="1" applyAlignment="1">
      <alignment horizontal="center"/>
    </xf>
    <xf numFmtId="0" fontId="52" fillId="0" borderId="0" xfId="3" applyFont="1" applyAlignment="1">
      <alignment horizontal="center"/>
    </xf>
    <xf numFmtId="0" fontId="1" fillId="0" borderId="45" xfId="3" applyBorder="1"/>
    <xf numFmtId="0" fontId="53" fillId="0" borderId="0" xfId="3" applyFont="1"/>
    <xf numFmtId="0" fontId="1" fillId="0" borderId="125" xfId="3" applyBorder="1"/>
    <xf numFmtId="0" fontId="51" fillId="0" borderId="0" xfId="3" applyFont="1"/>
    <xf numFmtId="0" fontId="51" fillId="0" borderId="125" xfId="3" applyFont="1" applyBorder="1"/>
    <xf numFmtId="170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51" fillId="0" borderId="1" xfId="3" applyNumberFormat="1" applyFont="1" applyBorder="1"/>
    <xf numFmtId="171" fontId="51" fillId="0" borderId="1" xfId="3" applyNumberFormat="1" applyFont="1" applyBorder="1"/>
    <xf numFmtId="0" fontId="1" fillId="0" borderId="1" xfId="3" applyBorder="1"/>
    <xf numFmtId="0" fontId="1" fillId="0" borderId="9" xfId="3" applyBorder="1"/>
    <xf numFmtId="171" fontId="1" fillId="0" borderId="1" xfId="3" applyNumberFormat="1" applyBorder="1"/>
    <xf numFmtId="0" fontId="1" fillId="0" borderId="1" xfId="3" applyBorder="1" applyAlignment="1">
      <alignment horizontal="center"/>
    </xf>
    <xf numFmtId="170" fontId="1" fillId="0" borderId="18" xfId="3" applyNumberFormat="1" applyBorder="1"/>
    <xf numFmtId="49" fontId="1" fillId="0" borderId="26" xfId="3" applyNumberFormat="1" applyBorder="1"/>
    <xf numFmtId="171" fontId="1" fillId="0" borderId="26" xfId="3" applyNumberFormat="1" applyBorder="1"/>
    <xf numFmtId="0" fontId="1" fillId="0" borderId="26" xfId="3" applyBorder="1"/>
    <xf numFmtId="0" fontId="1" fillId="0" borderId="126" xfId="3" applyBorder="1"/>
    <xf numFmtId="0" fontId="51" fillId="0" borderId="127" xfId="3" applyFont="1" applyBorder="1" applyAlignment="1">
      <alignment horizontal="center"/>
    </xf>
    <xf numFmtId="0" fontId="51" fillId="0" borderId="128" xfId="3" applyFont="1" applyBorder="1" applyAlignment="1">
      <alignment horizontal="center"/>
    </xf>
    <xf numFmtId="49" fontId="51" fillId="0" borderId="2" xfId="3" applyNumberFormat="1" applyFont="1" applyBorder="1" applyAlignment="1">
      <alignment horizontal="center"/>
    </xf>
    <xf numFmtId="0" fontId="1" fillId="0" borderId="55" xfId="3" applyBorder="1" applyAlignment="1">
      <alignment horizontal="left"/>
    </xf>
    <xf numFmtId="49" fontId="1" fillId="0" borderId="3" xfId="3" applyNumberFormat="1" applyBorder="1"/>
    <xf numFmtId="0" fontId="1" fillId="0" borderId="130" xfId="3" applyBorder="1" applyAlignment="1">
      <alignment horizontal="left"/>
    </xf>
    <xf numFmtId="49" fontId="1" fillId="0" borderId="4" xfId="3" applyNumberFormat="1" applyBorder="1"/>
    <xf numFmtId="0" fontId="1" fillId="0" borderId="131" xfId="3" applyBorder="1" applyAlignment="1">
      <alignment horizontal="left"/>
    </xf>
    <xf numFmtId="0" fontId="34" fillId="5" borderId="68" xfId="1" applyFont="1" applyFill="1" applyBorder="1" applyAlignment="1">
      <alignment horizontal="left"/>
    </xf>
    <xf numFmtId="0" fontId="34" fillId="5" borderId="23" xfId="1" applyFont="1" applyFill="1" applyBorder="1" applyAlignment="1">
      <alignment horizontal="left"/>
    </xf>
    <xf numFmtId="0" fontId="31" fillId="5" borderId="23" xfId="1" applyFont="1" applyFill="1" applyBorder="1" applyAlignment="1">
      <alignment horizontal="left"/>
    </xf>
    <xf numFmtId="0" fontId="31" fillId="5" borderId="24" xfId="1" applyFont="1" applyFill="1" applyBorder="1" applyAlignment="1">
      <alignment horizontal="left"/>
    </xf>
    <xf numFmtId="0" fontId="54" fillId="5" borderId="120" xfId="2" applyFont="1" applyFill="1" applyBorder="1" applyAlignment="1">
      <alignment horizontal="center"/>
    </xf>
    <xf numFmtId="14" fontId="19" fillId="5" borderId="124" xfId="2" applyNumberFormat="1" applyFont="1" applyFill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7" fontId="2" fillId="0" borderId="132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7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centerContinuous"/>
    </xf>
    <xf numFmtId="167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1" fillId="0" borderId="0" xfId="4"/>
    <xf numFmtId="0" fontId="25" fillId="0" borderId="0" xfId="4" applyFont="1"/>
    <xf numFmtId="0" fontId="55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55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55" fillId="0" borderId="129" xfId="4" applyFont="1" applyBorder="1" applyAlignment="1">
      <alignment horizontal="center"/>
    </xf>
    <xf numFmtId="0" fontId="55" fillId="0" borderId="130" xfId="4" quotePrefix="1" applyFont="1" applyBorder="1" applyAlignment="1">
      <alignment horizontal="center"/>
    </xf>
    <xf numFmtId="0" fontId="55" fillId="0" borderId="130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9" fillId="0" borderId="0" xfId="4" applyFont="1" applyAlignment="1">
      <alignment horizontal="right"/>
    </xf>
    <xf numFmtId="0" fontId="6" fillId="0" borderId="0" xfId="4" applyFont="1"/>
    <xf numFmtId="0" fontId="59" fillId="0" borderId="0" xfId="4" applyFont="1"/>
    <xf numFmtId="0" fontId="60" fillId="0" borderId="0" xfId="4" applyFont="1"/>
    <xf numFmtId="0" fontId="32" fillId="0" borderId="17" xfId="4" applyFont="1" applyBorder="1" applyAlignment="1">
      <alignment horizontal="right"/>
    </xf>
    <xf numFmtId="0" fontId="32" fillId="0" borderId="130" xfId="4" applyFont="1" applyBorder="1" applyAlignment="1">
      <alignment horizontal="left"/>
    </xf>
    <xf numFmtId="0" fontId="32" fillId="0" borderId="130" xfId="4" quotePrefix="1" applyFont="1" applyBorder="1" applyAlignment="1">
      <alignment horizontal="left"/>
    </xf>
    <xf numFmtId="0" fontId="60" fillId="0" borderId="61" xfId="4" applyFont="1" applyBorder="1"/>
    <xf numFmtId="0" fontId="60" fillId="0" borderId="62" xfId="4" applyFont="1" applyBorder="1"/>
    <xf numFmtId="0" fontId="60" fillId="0" borderId="38" xfId="4" applyFont="1" applyBorder="1"/>
    <xf numFmtId="0" fontId="61" fillId="0" borderId="83" xfId="4" applyFont="1" applyBorder="1" applyAlignment="1">
      <alignment horizontal="centerContinuous"/>
    </xf>
    <xf numFmtId="0" fontId="60" fillId="0" borderId="0" xfId="4" applyFont="1" applyAlignment="1">
      <alignment horizontal="centerContinuous"/>
    </xf>
    <xf numFmtId="0" fontId="60" fillId="0" borderId="108" xfId="4" applyFont="1" applyBorder="1" applyAlignment="1">
      <alignment horizontal="centerContinuous"/>
    </xf>
    <xf numFmtId="0" fontId="62" fillId="0" borderId="83" xfId="4" applyFont="1" applyBorder="1" applyAlignment="1">
      <alignment horizontal="centerContinuous"/>
    </xf>
    <xf numFmtId="0" fontId="60" fillId="0" borderId="83" xfId="4" applyFont="1" applyBorder="1"/>
    <xf numFmtId="0" fontId="60" fillId="0" borderId="108" xfId="4" applyFont="1" applyBorder="1"/>
    <xf numFmtId="0" fontId="59" fillId="0" borderId="1" xfId="4" applyFont="1" applyBorder="1" applyAlignment="1">
      <alignment horizontal="right"/>
    </xf>
    <xf numFmtId="0" fontId="60" fillId="0" borderId="1" xfId="4" applyFont="1" applyBorder="1" applyAlignment="1">
      <alignment horizontal="center"/>
    </xf>
    <xf numFmtId="14" fontId="60" fillId="0" borderId="1" xfId="4" applyNumberFormat="1" applyFont="1" applyBorder="1" applyAlignment="1">
      <alignment horizontal="center"/>
    </xf>
    <xf numFmtId="0" fontId="60" fillId="0" borderId="0" xfId="4" applyFont="1" applyAlignment="1">
      <alignment horizontal="center"/>
    </xf>
    <xf numFmtId="9" fontId="60" fillId="0" borderId="0" xfId="4" applyNumberFormat="1" applyFont="1" applyAlignment="1">
      <alignment horizontal="center"/>
    </xf>
    <xf numFmtId="0" fontId="59" fillId="0" borderId="83" xfId="4" applyFont="1" applyBorder="1" applyAlignment="1">
      <alignment horizontal="right"/>
    </xf>
    <xf numFmtId="0" fontId="60" fillId="0" borderId="40" xfId="4" applyFont="1" applyBorder="1"/>
    <xf numFmtId="0" fontId="60" fillId="0" borderId="39" xfId="4" applyFont="1" applyBorder="1" applyAlignment="1">
      <alignment horizontal="center"/>
    </xf>
    <xf numFmtId="0" fontId="60" fillId="0" borderId="85" xfId="4" applyFont="1" applyBorder="1"/>
    <xf numFmtId="0" fontId="59" fillId="0" borderId="17" xfId="4" applyFont="1" applyBorder="1" applyAlignment="1">
      <alignment horizontal="right"/>
    </xf>
    <xf numFmtId="0" fontId="60" fillId="0" borderId="130" xfId="4" applyFont="1" applyBorder="1"/>
    <xf numFmtId="167" fontId="3" fillId="0" borderId="0" xfId="4" quotePrefix="1" applyNumberFormat="1" applyFont="1" applyAlignment="1">
      <alignment horizontal="center"/>
    </xf>
    <xf numFmtId="167" fontId="2" fillId="0" borderId="0" xfId="4" applyNumberFormat="1" applyFont="1" applyAlignment="1">
      <alignment horizontal="center"/>
    </xf>
    <xf numFmtId="167" fontId="3" fillId="0" borderId="0" xfId="0" quotePrefix="1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64" fillId="0" borderId="0" xfId="4" applyFont="1"/>
    <xf numFmtId="0" fontId="65" fillId="0" borderId="0" xfId="4" applyFont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66" fillId="0" borderId="0" xfId="4" applyFont="1"/>
    <xf numFmtId="167" fontId="3" fillId="0" borderId="133" xfId="4" quotePrefix="1" applyNumberFormat="1" applyFont="1" applyBorder="1" applyAlignment="1">
      <alignment horizontal="center"/>
    </xf>
    <xf numFmtId="167" fontId="2" fillId="0" borderId="39" xfId="4" applyNumberFormat="1" applyFont="1" applyBorder="1" applyAlignment="1">
      <alignment horizontal="center"/>
    </xf>
    <xf numFmtId="167" fontId="2" fillId="0" borderId="28" xfId="4" applyNumberFormat="1" applyFont="1" applyBorder="1" applyAlignment="1">
      <alignment horizontal="center"/>
    </xf>
    <xf numFmtId="167" fontId="2" fillId="0" borderId="134" xfId="4" applyNumberFormat="1" applyFont="1" applyBorder="1" applyAlignment="1">
      <alignment horizontal="center"/>
    </xf>
    <xf numFmtId="167" fontId="3" fillId="0" borderId="135" xfId="4" quotePrefix="1" applyNumberFormat="1" applyFont="1" applyBorder="1" applyAlignment="1">
      <alignment horizontal="center"/>
    </xf>
    <xf numFmtId="167" fontId="2" fillId="0" borderId="130" xfId="4" applyNumberFormat="1" applyFont="1" applyBorder="1" applyAlignment="1">
      <alignment horizontal="center"/>
    </xf>
    <xf numFmtId="167" fontId="2" fillId="0" borderId="1" xfId="4" applyNumberFormat="1" applyFont="1" applyBorder="1" applyAlignment="1">
      <alignment horizontal="center"/>
    </xf>
    <xf numFmtId="167" fontId="2" fillId="0" borderId="9" xfId="4" applyNumberFormat="1" applyFont="1" applyBorder="1" applyAlignment="1">
      <alignment horizontal="center"/>
    </xf>
    <xf numFmtId="167" fontId="3" fillId="0" borderId="25" xfId="4" quotePrefix="1" applyNumberFormat="1" applyFont="1" applyBorder="1" applyAlignment="1">
      <alignment horizontal="center"/>
    </xf>
    <xf numFmtId="167" fontId="2" fillId="0" borderId="131" xfId="4" applyNumberFormat="1" applyFont="1" applyBorder="1" applyAlignment="1">
      <alignment horizontal="center"/>
    </xf>
    <xf numFmtId="167" fontId="2" fillId="0" borderId="11" xfId="4" applyNumberFormat="1" applyFont="1" applyBorder="1" applyAlignment="1">
      <alignment horizontal="center"/>
    </xf>
    <xf numFmtId="167" fontId="2" fillId="0" borderId="33" xfId="4" applyNumberFormat="1" applyFont="1" applyBorder="1" applyAlignment="1">
      <alignment horizontal="center"/>
    </xf>
    <xf numFmtId="172" fontId="68" fillId="0" borderId="6" xfId="5" applyFont="1" applyBorder="1" applyAlignment="1">
      <alignment horizontal="centerContinuous"/>
    </xf>
    <xf numFmtId="172" fontId="68" fillId="0" borderId="7" xfId="5" applyFont="1" applyBorder="1" applyAlignment="1">
      <alignment horizontal="centerContinuous"/>
    </xf>
    <xf numFmtId="172" fontId="69" fillId="0" borderId="12" xfId="5" applyFont="1" applyBorder="1" applyAlignment="1">
      <alignment horizontal="left"/>
    </xf>
    <xf numFmtId="172" fontId="70" fillId="0" borderId="55" xfId="5" applyFont="1" applyBorder="1"/>
    <xf numFmtId="172" fontId="69" fillId="0" borderId="13" xfId="5" applyFont="1" applyBorder="1" applyAlignment="1">
      <alignment horizontal="centerContinuous"/>
    </xf>
    <xf numFmtId="172" fontId="70" fillId="0" borderId="14" xfId="5" applyFont="1" applyBorder="1" applyAlignment="1">
      <alignment horizontal="centerContinuous"/>
    </xf>
    <xf numFmtId="172" fontId="71" fillId="0" borderId="0" xfId="5" applyFont="1"/>
    <xf numFmtId="172" fontId="67" fillId="0" borderId="0" xfId="5"/>
    <xf numFmtId="172" fontId="68" fillId="0" borderId="45" xfId="5" applyFont="1" applyBorder="1" applyAlignment="1">
      <alignment horizontal="centerContinuous"/>
    </xf>
    <xf numFmtId="172" fontId="68" fillId="0" borderId="0" xfId="5" applyFont="1" applyAlignment="1">
      <alignment horizontal="centerContinuous"/>
    </xf>
    <xf numFmtId="172" fontId="69" fillId="0" borderId="109" xfId="5" applyFont="1" applyBorder="1" applyAlignment="1">
      <alignment horizontal="left"/>
    </xf>
    <xf numFmtId="172" fontId="70" fillId="0" borderId="39" xfId="5" applyFont="1" applyBorder="1"/>
    <xf numFmtId="172" fontId="69" fillId="0" borderId="40" xfId="5" applyFont="1" applyBorder="1" applyAlignment="1">
      <alignment horizontal="centerContinuous"/>
    </xf>
    <xf numFmtId="172" fontId="70" fillId="0" borderId="29" xfId="5" applyFont="1" applyBorder="1" applyAlignment="1">
      <alignment horizontal="centerContinuous"/>
    </xf>
    <xf numFmtId="172" fontId="70" fillId="0" borderId="45" xfId="5" applyFont="1" applyBorder="1" applyAlignment="1">
      <alignment horizontal="centerContinuous"/>
    </xf>
    <xf numFmtId="172" fontId="70" fillId="0" borderId="0" xfId="5" applyFont="1" applyAlignment="1">
      <alignment horizontal="centerContinuous"/>
    </xf>
    <xf numFmtId="172" fontId="69" fillId="0" borderId="40" xfId="5" quotePrefix="1" applyFont="1" applyBorder="1" applyAlignment="1">
      <alignment horizontal="centerContinuous"/>
    </xf>
    <xf numFmtId="172" fontId="72" fillId="0" borderId="45" xfId="5" applyFont="1" applyBorder="1" applyAlignment="1">
      <alignment horizontal="centerContinuous"/>
    </xf>
    <xf numFmtId="172" fontId="71" fillId="0" borderId="45" xfId="5" applyFont="1" applyBorder="1" applyAlignment="1">
      <alignment horizontal="centerContinuous"/>
    </xf>
    <xf numFmtId="172" fontId="71" fillId="0" borderId="46" xfId="5" applyFont="1" applyBorder="1" applyAlignment="1">
      <alignment horizontal="centerContinuous"/>
    </xf>
    <xf numFmtId="172" fontId="70" fillId="0" borderId="23" xfId="5" applyFont="1" applyBorder="1" applyAlignment="1">
      <alignment horizontal="centerContinuous"/>
    </xf>
    <xf numFmtId="172" fontId="69" fillId="0" borderId="46" xfId="5" applyFont="1" applyBorder="1" applyAlignment="1">
      <alignment horizontal="left"/>
    </xf>
    <xf numFmtId="172" fontId="70" fillId="0" borderId="48" xfId="5" applyFont="1" applyBorder="1"/>
    <xf numFmtId="172" fontId="73" fillId="0" borderId="23" xfId="5" applyFont="1" applyBorder="1" applyAlignment="1">
      <alignment horizontal="centerContinuous"/>
    </xf>
    <xf numFmtId="172" fontId="70" fillId="0" borderId="24" xfId="5" applyFont="1" applyBorder="1" applyAlignment="1">
      <alignment horizontal="centerContinuous"/>
    </xf>
    <xf numFmtId="172" fontId="71" fillId="0" borderId="0" xfId="5" applyFont="1" applyAlignment="1">
      <alignment horizontal="centerContinuous"/>
    </xf>
    <xf numFmtId="172" fontId="69" fillId="0" borderId="0" xfId="5" applyFont="1" applyAlignment="1">
      <alignment horizontal="left"/>
    </xf>
    <xf numFmtId="172" fontId="70" fillId="0" borderId="0" xfId="5" applyFont="1"/>
    <xf numFmtId="172" fontId="69" fillId="0" borderId="0" xfId="5" applyFont="1" applyAlignment="1">
      <alignment horizontal="centerContinuous"/>
    </xf>
    <xf numFmtId="172" fontId="74" fillId="0" borderId="0" xfId="5" applyFont="1"/>
    <xf numFmtId="172" fontId="74" fillId="0" borderId="0" xfId="5" applyFont="1" applyAlignment="1">
      <alignment horizontal="right"/>
    </xf>
    <xf numFmtId="172" fontId="74" fillId="0" borderId="0" xfId="5" applyFont="1" applyAlignment="1" applyProtection="1">
      <alignment horizontal="left"/>
      <protection locked="0"/>
    </xf>
    <xf numFmtId="172" fontId="74" fillId="0" borderId="0" xfId="5" applyFont="1" applyAlignment="1">
      <alignment horizontal="centerContinuous"/>
    </xf>
    <xf numFmtId="172" fontId="74" fillId="0" borderId="0" xfId="5" applyFont="1" applyAlignment="1">
      <alignment horizontal="left"/>
    </xf>
    <xf numFmtId="49" fontId="74" fillId="0" borderId="0" xfId="5" quotePrefix="1" applyNumberFormat="1" applyFont="1" applyAlignment="1" applyProtection="1">
      <alignment horizontal="left"/>
      <protection locked="0"/>
    </xf>
    <xf numFmtId="172" fontId="75" fillId="0" borderId="136" xfId="5" applyFont="1" applyBorder="1" applyAlignment="1">
      <alignment horizontal="centerContinuous"/>
    </xf>
    <xf numFmtId="172" fontId="71" fillId="0" borderId="137" xfId="5" applyFont="1" applyBorder="1" applyAlignment="1">
      <alignment horizontal="centerContinuous"/>
    </xf>
    <xf numFmtId="172" fontId="71" fillId="0" borderId="138" xfId="5" applyFont="1" applyBorder="1" applyAlignment="1">
      <alignment horizontal="centerContinuous"/>
    </xf>
    <xf numFmtId="172" fontId="74" fillId="0" borderId="45" xfId="5" applyFont="1" applyBorder="1"/>
    <xf numFmtId="172" fontId="74" fillId="0" borderId="0" xfId="5" applyFont="1" applyAlignment="1" applyProtection="1">
      <alignment horizontal="center"/>
      <protection locked="0"/>
    </xf>
    <xf numFmtId="172" fontId="74" fillId="0" borderId="21" xfId="5" applyFont="1" applyBorder="1" applyAlignment="1" applyProtection="1">
      <alignment horizontal="center"/>
      <protection locked="0"/>
    </xf>
    <xf numFmtId="172" fontId="74" fillId="0" borderId="0" xfId="5" applyFont="1" applyAlignment="1">
      <alignment horizontal="center"/>
    </xf>
    <xf numFmtId="49" fontId="74" fillId="0" borderId="0" xfId="5" applyNumberFormat="1" applyFont="1" applyAlignment="1">
      <alignment horizontal="center"/>
    </xf>
    <xf numFmtId="172" fontId="74" fillId="0" borderId="0" xfId="5" quotePrefix="1" applyFont="1" applyAlignment="1">
      <alignment horizontal="right"/>
    </xf>
    <xf numFmtId="172" fontId="74" fillId="0" borderId="0" xfId="5" quotePrefix="1" applyFont="1" applyAlignment="1" applyProtection="1">
      <alignment horizontal="center"/>
      <protection locked="0"/>
    </xf>
    <xf numFmtId="172" fontId="74" fillId="0" borderId="21" xfId="5" applyFont="1" applyBorder="1"/>
    <xf numFmtId="172" fontId="74" fillId="0" borderId="46" xfId="5" applyFont="1" applyBorder="1"/>
    <xf numFmtId="172" fontId="74" fillId="0" borderId="23" xfId="5" applyFont="1" applyBorder="1" applyAlignment="1">
      <alignment horizontal="right"/>
    </xf>
    <xf numFmtId="167" fontId="74" fillId="0" borderId="23" xfId="5" quotePrefix="1" applyNumberFormat="1" applyFont="1" applyBorder="1" applyAlignment="1" applyProtection="1">
      <alignment horizontal="center"/>
      <protection locked="0"/>
    </xf>
    <xf numFmtId="172" fontId="74" fillId="0" borderId="23" xfId="5" applyFont="1" applyBorder="1"/>
    <xf numFmtId="167" fontId="74" fillId="0" borderId="23" xfId="5" applyNumberFormat="1" applyFont="1" applyBorder="1"/>
    <xf numFmtId="172" fontId="74" fillId="0" borderId="24" xfId="5" applyFont="1" applyBorder="1"/>
    <xf numFmtId="172" fontId="76" fillId="0" borderId="45" xfId="5" quotePrefix="1" applyFont="1" applyBorder="1" applyAlignment="1">
      <alignment horizontal="left"/>
    </xf>
    <xf numFmtId="172" fontId="70" fillId="0" borderId="0" xfId="5" quotePrefix="1" applyFont="1" applyAlignment="1">
      <alignment horizontal="right"/>
    </xf>
    <xf numFmtId="172" fontId="70" fillId="0" borderId="108" xfId="5" applyFont="1" applyBorder="1"/>
    <xf numFmtId="172" fontId="76" fillId="0" borderId="0" xfId="5" applyFont="1" applyAlignment="1">
      <alignment horizontal="left"/>
    </xf>
    <xf numFmtId="172" fontId="70" fillId="0" borderId="0" xfId="5" applyFont="1" applyAlignment="1">
      <alignment horizontal="right"/>
    </xf>
    <xf numFmtId="172" fontId="70" fillId="0" borderId="108" xfId="5" applyFont="1" applyBorder="1" applyAlignment="1">
      <alignment horizontal="right"/>
    </xf>
    <xf numFmtId="172" fontId="76" fillId="0" borderId="0" xfId="5" quotePrefix="1" applyFont="1" applyAlignment="1">
      <alignment horizontal="left"/>
    </xf>
    <xf numFmtId="172" fontId="70" fillId="0" borderId="21" xfId="5" applyFont="1" applyBorder="1"/>
    <xf numFmtId="172" fontId="67" fillId="0" borderId="45" xfId="5" applyBorder="1"/>
    <xf numFmtId="172" fontId="74" fillId="0" borderId="108" xfId="5" applyFont="1" applyBorder="1" applyAlignment="1" applyProtection="1">
      <alignment horizontal="center"/>
      <protection locked="0"/>
    </xf>
    <xf numFmtId="1" fontId="74" fillId="0" borderId="108" xfId="5" applyNumberFormat="1" applyFont="1" applyBorder="1" applyAlignment="1">
      <alignment horizontal="center"/>
    </xf>
    <xf numFmtId="172" fontId="74" fillId="0" borderId="108" xfId="5" applyFont="1" applyBorder="1"/>
    <xf numFmtId="172" fontId="74" fillId="0" borderId="48" xfId="5" applyFont="1" applyBorder="1"/>
    <xf numFmtId="172" fontId="74" fillId="0" borderId="48" xfId="5" applyFont="1" applyBorder="1" applyAlignment="1">
      <alignment horizontal="left"/>
    </xf>
    <xf numFmtId="172" fontId="75" fillId="0" borderId="139" xfId="5" applyFont="1" applyBorder="1" applyAlignment="1">
      <alignment horizontal="centerContinuous"/>
    </xf>
    <xf numFmtId="172" fontId="71" fillId="0" borderId="140" xfId="5" applyFont="1" applyBorder="1" applyAlignment="1">
      <alignment horizontal="centerContinuous"/>
    </xf>
    <xf numFmtId="172" fontId="67" fillId="0" borderId="141" xfId="5" applyBorder="1"/>
    <xf numFmtId="172" fontId="71" fillId="0" borderId="142" xfId="5" applyFont="1" applyBorder="1" applyAlignment="1">
      <alignment horizontal="centerContinuous"/>
    </xf>
    <xf numFmtId="172" fontId="76" fillId="0" borderId="45" xfId="5" applyFont="1" applyBorder="1" applyAlignment="1">
      <alignment horizontal="left"/>
    </xf>
    <xf numFmtId="172" fontId="67" fillId="0" borderId="108" xfId="5" applyBorder="1"/>
    <xf numFmtId="167" fontId="74" fillId="0" borderId="0" xfId="5" applyNumberFormat="1" applyFont="1" applyAlignment="1" applyProtection="1">
      <alignment horizontal="center"/>
      <protection locked="0"/>
    </xf>
    <xf numFmtId="172" fontId="74" fillId="0" borderId="45" xfId="5" applyFont="1" applyBorder="1" applyAlignment="1">
      <alignment horizontal="left"/>
    </xf>
    <xf numFmtId="172" fontId="67" fillId="0" borderId="48" xfId="5" applyBorder="1"/>
    <xf numFmtId="172" fontId="71" fillId="0" borderId="0" xfId="5" applyFont="1" applyAlignment="1">
      <alignment horizontal="left"/>
    </xf>
    <xf numFmtId="172" fontId="71" fillId="0" borderId="139" xfId="5" applyFont="1" applyBorder="1"/>
    <xf numFmtId="172" fontId="70" fillId="0" borderId="140" xfId="5" applyFont="1" applyBorder="1" applyAlignment="1">
      <alignment horizontal="left"/>
    </xf>
    <xf numFmtId="172" fontId="70" fillId="0" borderId="142" xfId="5" applyFont="1" applyBorder="1" applyAlignment="1">
      <alignment horizontal="left"/>
    </xf>
    <xf numFmtId="172" fontId="74" fillId="0" borderId="45" xfId="5" quotePrefix="1" applyFont="1" applyBorder="1" applyAlignment="1">
      <alignment horizontal="left"/>
    </xf>
    <xf numFmtId="172" fontId="74" fillId="0" borderId="21" xfId="5" applyFont="1" applyBorder="1" applyAlignment="1">
      <alignment horizontal="left"/>
    </xf>
    <xf numFmtId="172" fontId="77" fillId="0" borderId="143" xfId="5" applyFont="1" applyBorder="1"/>
    <xf numFmtId="172" fontId="74" fillId="0" borderId="0" xfId="5" quotePrefix="1" applyFont="1" applyAlignment="1">
      <alignment horizontal="left"/>
    </xf>
    <xf numFmtId="172" fontId="74" fillId="0" borderId="144" xfId="5" quotePrefix="1" applyFont="1" applyBorder="1" applyAlignment="1">
      <alignment horizontal="left"/>
    </xf>
    <xf numFmtId="172" fontId="74" fillId="0" borderId="145" xfId="5" quotePrefix="1" applyFont="1" applyBorder="1" applyAlignment="1">
      <alignment horizontal="left"/>
    </xf>
    <xf numFmtId="172" fontId="74" fillId="0" borderId="46" xfId="5" applyFont="1" applyBorder="1" applyAlignment="1">
      <alignment horizontal="left"/>
    </xf>
    <xf numFmtId="172" fontId="74" fillId="0" borderId="23" xfId="5" applyFont="1" applyBorder="1" applyAlignment="1">
      <alignment horizontal="left"/>
    </xf>
    <xf numFmtId="172" fontId="74" fillId="0" borderId="24" xfId="5" applyFont="1" applyBorder="1" applyAlignment="1">
      <alignment horizontal="left"/>
    </xf>
    <xf numFmtId="172" fontId="70" fillId="0" borderId="0" xfId="5" applyFont="1" applyAlignment="1">
      <alignment horizontal="left"/>
    </xf>
    <xf numFmtId="172" fontId="78" fillId="0" borderId="0" xfId="5" applyFont="1" applyAlignment="1">
      <alignment horizontal="right"/>
    </xf>
    <xf numFmtId="172" fontId="67" fillId="0" borderId="0" xfId="5" applyAlignment="1">
      <alignment horizontal="right"/>
    </xf>
    <xf numFmtId="49" fontId="60" fillId="0" borderId="40" xfId="4" applyNumberFormat="1" applyFont="1" applyBorder="1"/>
    <xf numFmtId="0" fontId="1" fillId="0" borderId="0" xfId="4" applyAlignment="1">
      <alignment horizontal="center"/>
    </xf>
    <xf numFmtId="0" fontId="2" fillId="0" borderId="42" xfId="4" applyFont="1" applyBorder="1" applyAlignment="1">
      <alignment horizontal="center"/>
    </xf>
    <xf numFmtId="0" fontId="2" fillId="0" borderId="24" xfId="4" applyFont="1" applyBorder="1" applyAlignment="1">
      <alignment horizontal="center"/>
    </xf>
    <xf numFmtId="0" fontId="1" fillId="0" borderId="0" xfId="4" applyAlignment="1">
      <alignment horizontal="right"/>
    </xf>
    <xf numFmtId="0" fontId="1" fillId="6" borderId="0" xfId="4" applyFill="1"/>
    <xf numFmtId="0" fontId="1" fillId="7" borderId="0" xfId="4" applyFill="1"/>
    <xf numFmtId="167" fontId="1" fillId="0" borderId="0" xfId="4" applyNumberFormat="1" applyAlignment="1">
      <alignment horizontal="center"/>
    </xf>
    <xf numFmtId="0" fontId="34" fillId="0" borderId="107" xfId="1" applyFont="1" applyBorder="1" applyAlignment="1">
      <alignment horizontal="left"/>
    </xf>
    <xf numFmtId="0" fontId="34" fillId="0" borderId="77" xfId="1" applyFont="1" applyBorder="1" applyAlignment="1">
      <alignment horizontal="left"/>
    </xf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4" fillId="0" borderId="45" xfId="1" applyFont="1" applyBorder="1" applyAlignment="1">
      <alignment horizontal="center"/>
    </xf>
    <xf numFmtId="0" fontId="34" fillId="0" borderId="0" xfId="1" applyFont="1" applyAlignment="1">
      <alignment horizontal="center"/>
    </xf>
    <xf numFmtId="0" fontId="34" fillId="0" borderId="108" xfId="1" applyFont="1" applyBorder="1" applyAlignment="1">
      <alignment horizontal="center"/>
    </xf>
    <xf numFmtId="0" fontId="34" fillId="0" borderId="109" xfId="1" applyFont="1" applyBorder="1" applyAlignment="1">
      <alignment horizontal="center"/>
    </xf>
    <xf numFmtId="0" fontId="34" fillId="0" borderId="40" xfId="1" applyFont="1" applyBorder="1" applyAlignment="1">
      <alignment horizontal="center"/>
    </xf>
    <xf numFmtId="0" fontId="34" fillId="0" borderId="39" xfId="1" applyFont="1" applyBorder="1" applyAlignment="1">
      <alignment horizontal="center"/>
    </xf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9" fillId="0" borderId="38" xfId="1" applyFont="1" applyBorder="1" applyAlignment="1">
      <alignment horizontal="left"/>
    </xf>
    <xf numFmtId="0" fontId="34" fillId="0" borderId="46" xfId="1" applyFont="1" applyBorder="1" applyAlignment="1">
      <alignment horizontal="center"/>
    </xf>
    <xf numFmtId="0" fontId="34" fillId="0" borderId="23" xfId="1" applyFont="1" applyBorder="1" applyAlignment="1">
      <alignment horizontal="center"/>
    </xf>
    <xf numFmtId="0" fontId="34" fillId="0" borderId="48" xfId="1" applyFont="1" applyBorder="1" applyAlignment="1">
      <alignment horizontal="center"/>
    </xf>
    <xf numFmtId="0" fontId="48" fillId="5" borderId="117" xfId="1" applyFont="1" applyFill="1" applyBorder="1" applyAlignment="1">
      <alignment horizontal="center"/>
    </xf>
    <xf numFmtId="0" fontId="48" fillId="5" borderId="118" xfId="1" applyFont="1" applyFill="1" applyBorder="1" applyAlignment="1">
      <alignment horizontal="center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29" fillId="0" borderId="80" xfId="1" applyFont="1" applyBorder="1" applyAlignment="1">
      <alignment horizontal="left"/>
    </xf>
    <xf numFmtId="0" fontId="29" fillId="0" borderId="81" xfId="1" applyFont="1" applyBorder="1" applyAlignment="1">
      <alignment horizontal="left"/>
    </xf>
    <xf numFmtId="0" fontId="29" fillId="0" borderId="82" xfId="1" applyFont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8" fillId="0" borderId="65" xfId="1" applyFont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167" fontId="38" fillId="0" borderId="65" xfId="1" applyNumberFormat="1" applyFont="1" applyBorder="1" applyAlignment="1">
      <alignment horizontal="center"/>
    </xf>
    <xf numFmtId="167" fontId="38" fillId="0" borderId="66" xfId="1" applyNumberFormat="1" applyFont="1" applyBorder="1" applyAlignment="1">
      <alignment horizontal="center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8" fillId="5" borderId="0" xfId="1" applyFont="1" applyFill="1" applyAlignment="1">
      <alignment horizontal="center"/>
    </xf>
    <xf numFmtId="0" fontId="30" fillId="5" borderId="23" xfId="2" applyFont="1" applyFill="1" applyBorder="1" applyAlignment="1">
      <alignment horizontal="center"/>
    </xf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37" fillId="5" borderId="60" xfId="2" applyFont="1" applyFill="1" applyBorder="1" applyAlignment="1">
      <alignment horizontal="center"/>
    </xf>
    <xf numFmtId="0" fontId="37" fillId="5" borderId="56" xfId="2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29" xfId="3" applyBorder="1" applyAlignment="1">
      <alignment horizontal="left"/>
    </xf>
    <xf numFmtId="170" fontId="1" fillId="0" borderId="17" xfId="3" applyNumberFormat="1" applyBorder="1" applyAlignment="1">
      <alignment horizontal="center"/>
    </xf>
    <xf numFmtId="170" fontId="1" fillId="0" borderId="129" xfId="3" applyNumberFormat="1" applyBorder="1" applyAlignment="1">
      <alignment horizontal="center"/>
    </xf>
    <xf numFmtId="170" fontId="1" fillId="0" borderId="130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29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51" xfId="3" applyBorder="1" applyAlignment="1">
      <alignment horizontal="left"/>
    </xf>
    <xf numFmtId="170" fontId="1" fillId="0" borderId="31" xfId="3" applyNumberFormat="1" applyBorder="1" applyAlignment="1">
      <alignment horizontal="center"/>
    </xf>
    <xf numFmtId="170" fontId="1" fillId="0" borderId="51" xfId="3" applyNumberFormat="1" applyBorder="1" applyAlignment="1">
      <alignment horizontal="center"/>
    </xf>
    <xf numFmtId="170" fontId="1" fillId="0" borderId="131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51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70" fontId="1" fillId="0" borderId="50" xfId="3" applyNumberFormat="1" applyBorder="1" applyAlignment="1">
      <alignment horizontal="center"/>
    </xf>
    <xf numFmtId="170" fontId="1" fillId="0" borderId="13" xfId="3" applyNumberFormat="1" applyBorder="1" applyAlignment="1">
      <alignment horizontal="center"/>
    </xf>
    <xf numFmtId="170" fontId="1" fillId="0" borderId="55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52" fillId="0" borderId="45" xfId="3" applyFont="1" applyBorder="1" applyAlignment="1">
      <alignment horizontal="center"/>
    </xf>
    <xf numFmtId="0" fontId="52" fillId="0" borderId="0" xfId="3" applyFont="1" applyAlignment="1">
      <alignment horizontal="center"/>
    </xf>
    <xf numFmtId="0" fontId="52" fillId="0" borderId="53" xfId="3" applyFont="1" applyBorder="1" applyAlignment="1">
      <alignment horizontal="center"/>
    </xf>
    <xf numFmtId="0" fontId="51" fillId="0" borderId="15" xfId="3" applyFont="1" applyBorder="1" applyAlignment="1">
      <alignment horizontal="center"/>
    </xf>
    <xf numFmtId="0" fontId="51" fillId="0" borderId="7" xfId="3" applyFont="1" applyBorder="1" applyAlignment="1">
      <alignment horizontal="center"/>
    </xf>
    <xf numFmtId="0" fontId="51" fillId="0" borderId="128" xfId="3" applyFont="1" applyBorder="1" applyAlignment="1">
      <alignment horizontal="center"/>
    </xf>
    <xf numFmtId="0" fontId="51" fillId="0" borderId="8" xfId="3" applyFont="1" applyBorder="1" applyAlignment="1">
      <alignment horizontal="center"/>
    </xf>
    <xf numFmtId="0" fontId="55" fillId="0" borderId="17" xfId="4" applyFont="1" applyBorder="1" applyAlignment="1">
      <alignment horizontal="right"/>
    </xf>
    <xf numFmtId="0" fontId="55" fillId="0" borderId="129" xfId="4" applyFont="1" applyBorder="1" applyAlignment="1">
      <alignment horizontal="right"/>
    </xf>
    <xf numFmtId="0" fontId="32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0" fontId="55" fillId="0" borderId="1" xfId="4" applyFont="1" applyBorder="1" applyAlignment="1">
      <alignment horizontal="center"/>
    </xf>
    <xf numFmtId="0" fontId="32" fillId="0" borderId="17" xfId="4" applyFont="1" applyBorder="1" applyAlignment="1">
      <alignment horizontal="center"/>
    </xf>
    <xf numFmtId="0" fontId="32" fillId="0" borderId="129" xfId="4" applyFont="1" applyBorder="1" applyAlignment="1">
      <alignment horizontal="center"/>
    </xf>
    <xf numFmtId="0" fontId="32" fillId="0" borderId="130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7" fillId="0" borderId="17" xfId="4" applyFont="1" applyBorder="1" applyAlignment="1">
      <alignment horizontal="center"/>
    </xf>
    <xf numFmtId="0" fontId="55" fillId="0" borderId="1" xfId="4" applyFont="1" applyBorder="1" applyAlignment="1">
      <alignment horizontal="right"/>
    </xf>
    <xf numFmtId="0" fontId="55" fillId="0" borderId="130" xfId="4" applyFont="1" applyBorder="1" applyAlignment="1">
      <alignment horizontal="center"/>
    </xf>
    <xf numFmtId="0" fontId="58" fillId="0" borderId="0" xfId="4" applyFont="1" applyAlignment="1">
      <alignment horizontal="center"/>
    </xf>
    <xf numFmtId="172" fontId="79" fillId="0" borderId="146" xfId="5" applyFont="1" applyBorder="1" applyAlignment="1" applyProtection="1">
      <alignment horizontal="center"/>
      <protection locked="0"/>
    </xf>
    <xf numFmtId="14" fontId="24" fillId="0" borderId="146" xfId="5" quotePrefix="1" applyNumberFormat="1" applyFont="1" applyBorder="1" applyAlignment="1" applyProtection="1">
      <alignment horizontal="center"/>
      <protection locked="0"/>
    </xf>
    <xf numFmtId="0" fontId="60" fillId="0" borderId="17" xfId="4" applyFont="1" applyBorder="1" applyAlignment="1">
      <alignment horizontal="center"/>
    </xf>
    <xf numFmtId="0" fontId="60" fillId="0" borderId="129" xfId="4" applyFont="1" applyBorder="1" applyAlignment="1">
      <alignment horizontal="center"/>
    </xf>
    <xf numFmtId="0" fontId="60" fillId="0" borderId="130" xfId="4" applyFont="1" applyBorder="1" applyAlignment="1">
      <alignment horizontal="center"/>
    </xf>
    <xf numFmtId="0" fontId="62" fillId="0" borderId="83" xfId="4" applyFont="1" applyBorder="1" applyAlignment="1">
      <alignment horizontal="center"/>
    </xf>
    <xf numFmtId="0" fontId="62" fillId="0" borderId="0" xfId="4" applyFont="1" applyAlignment="1">
      <alignment horizontal="center"/>
    </xf>
    <xf numFmtId="0" fontId="62" fillId="0" borderId="108" xfId="4" applyFont="1" applyBorder="1" applyAlignment="1">
      <alignment horizontal="center"/>
    </xf>
    <xf numFmtId="0" fontId="63" fillId="0" borderId="83" xfId="4" applyFont="1" applyBorder="1" applyAlignment="1">
      <alignment horizontal="center"/>
    </xf>
    <xf numFmtId="0" fontId="63" fillId="0" borderId="0" xfId="4" applyFont="1" applyAlignment="1">
      <alignment horizontal="center"/>
    </xf>
    <xf numFmtId="0" fontId="63" fillId="0" borderId="108" xfId="4" applyFont="1" applyBorder="1" applyAlignment="1">
      <alignment horizontal="center"/>
    </xf>
    <xf numFmtId="0" fontId="1" fillId="0" borderId="52" xfId="4" applyBorder="1" applyAlignment="1">
      <alignment horizontal="center"/>
    </xf>
    <xf numFmtId="0" fontId="1" fillId="0" borderId="53" xfId="4" applyBorder="1" applyAlignment="1">
      <alignment horizontal="center"/>
    </xf>
    <xf numFmtId="0" fontId="1" fillId="0" borderId="54" xfId="4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4" xr:uid="{00000000-0005-0000-0000-000002000000}"/>
    <cellStyle name="Normal 4" xfId="5" xr:uid="{00000000-0005-0000-0000-000003000000}"/>
    <cellStyle name="Normal_OPTEST" xfId="2" xr:uid="{00000000-0005-0000-0000-000004000000}"/>
    <cellStyle name="Normal_PROJ_REV_HIST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9.9999997764825821E-3</c:v>
                </c:pt>
                <c:pt idx="2">
                  <c:v>5.000000074505806E-2</c:v>
                </c:pt>
                <c:pt idx="3" formatCode="0.00">
                  <c:v>0.10000000149011612</c:v>
                </c:pt>
                <c:pt idx="4" formatCode="0.00">
                  <c:v>0.15000000596046448</c:v>
                </c:pt>
                <c:pt idx="5" formatCode="0.00">
                  <c:v>0.20000000298023224</c:v>
                </c:pt>
                <c:pt idx="6" formatCode="0.00">
                  <c:v>0.30000001192092896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105.17015989326237</c:v>
                </c:pt>
                <c:pt idx="2">
                  <c:v>265</c:v>
                </c:pt>
                <c:pt idx="3">
                  <c:v>209.1216843252318</c:v>
                </c:pt>
                <c:pt idx="4">
                  <c:v>172.04139965533895</c:v>
                </c:pt>
                <c:pt idx="5">
                  <c:v>155.17249936487752</c:v>
                </c:pt>
                <c:pt idx="6">
                  <c:v>145.14623985929501</c:v>
                </c:pt>
                <c:pt idx="7">
                  <c:v>140.91642005674527</c:v>
                </c:pt>
                <c:pt idx="8">
                  <c:v>138.5036864446688</c:v>
                </c:pt>
                <c:pt idx="9">
                  <c:v>137.00332099769417</c:v>
                </c:pt>
                <c:pt idx="10">
                  <c:v>136.0653806652679</c:v>
                </c:pt>
                <c:pt idx="11">
                  <c:v>135.4971130913309</c:v>
                </c:pt>
                <c:pt idx="12">
                  <c:v>135.17351237216693</c:v>
                </c:pt>
                <c:pt idx="13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2C-4C19-B2DF-1E107AC2FEFB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9.9999997764825821E-3</c:v>
                </c:pt>
                <c:pt idx="2">
                  <c:v>5.000000074505806E-2</c:v>
                </c:pt>
                <c:pt idx="3" formatCode="0.00">
                  <c:v>0.10000000149011612</c:v>
                </c:pt>
                <c:pt idx="4" formatCode="0.00">
                  <c:v>0.15000000596046448</c:v>
                </c:pt>
                <c:pt idx="5" formatCode="0.00">
                  <c:v>0.20000000298023224</c:v>
                </c:pt>
                <c:pt idx="6" formatCode="0.00">
                  <c:v>0.30000001192092896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</c:v>
                </c:pt>
                <c:pt idx="2">
                  <c:v>87</c:v>
                </c:pt>
                <c:pt idx="3">
                  <c:v>74</c:v>
                </c:pt>
                <c:pt idx="4">
                  <c:v>61</c:v>
                </c:pt>
                <c:pt idx="5">
                  <c:v>50</c:v>
                </c:pt>
                <c:pt idx="6">
                  <c:v>33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2C-4C19-B2DF-1E107AC2F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150936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9.9999997764825821E-3</c:v>
                </c:pt>
                <c:pt idx="2">
                  <c:v>5.000000074505806E-2</c:v>
                </c:pt>
                <c:pt idx="3" formatCode="0.00">
                  <c:v>0.10000000149011612</c:v>
                </c:pt>
                <c:pt idx="4" formatCode="0.00">
                  <c:v>0.15000000596046448</c:v>
                </c:pt>
                <c:pt idx="5" formatCode="0.00">
                  <c:v>0.20000000298023224</c:v>
                </c:pt>
                <c:pt idx="6" formatCode="0.00">
                  <c:v>0.30000001192092896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0.28303822875022888</c:v>
                </c:pt>
                <c:pt idx="1">
                  <c:v>120.48179626464844</c:v>
                </c:pt>
                <c:pt idx="2">
                  <c:v>405.32623291015625</c:v>
                </c:pt>
                <c:pt idx="3">
                  <c:v>511.8990478515625</c:v>
                </c:pt>
                <c:pt idx="4">
                  <c:v>547.99273681640625</c:v>
                </c:pt>
                <c:pt idx="5">
                  <c:v>567.07476806640625</c:v>
                </c:pt>
                <c:pt idx="6">
                  <c:v>591.78045654296875</c:v>
                </c:pt>
                <c:pt idx="7">
                  <c:v>610.1898193359375</c:v>
                </c:pt>
                <c:pt idx="8">
                  <c:v>624.99493408203125</c:v>
                </c:pt>
                <c:pt idx="9">
                  <c:v>637.03631591796875</c:v>
                </c:pt>
                <c:pt idx="10">
                  <c:v>646.6693115234375</c:v>
                </c:pt>
                <c:pt idx="11">
                  <c:v>654.35308837890625</c:v>
                </c:pt>
                <c:pt idx="12">
                  <c:v>660.740234375</c:v>
                </c:pt>
                <c:pt idx="13">
                  <c:v>666.1375732421875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2C-4C19-B2DF-1E107AC2F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17150936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17150936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99.000000022351742</c:v>
                </c:pt>
                <c:pt idx="2">
                  <c:v>94.999999925494194</c:v>
                </c:pt>
                <c:pt idx="3">
                  <c:v>89.999999850988388</c:v>
                </c:pt>
                <c:pt idx="4">
                  <c:v>84.999999403953552</c:v>
                </c:pt>
                <c:pt idx="5">
                  <c:v>79.999999701976776</c:v>
                </c:pt>
                <c:pt idx="6">
                  <c:v>69.999998807907104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98</c:v>
                </c:pt>
                <c:pt idx="2">
                  <c:v>87</c:v>
                </c:pt>
                <c:pt idx="3">
                  <c:v>74</c:v>
                </c:pt>
                <c:pt idx="4">
                  <c:v>61</c:v>
                </c:pt>
                <c:pt idx="5">
                  <c:v>50</c:v>
                </c:pt>
                <c:pt idx="6">
                  <c:v>33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BA-45B9-98D5-57DD1E460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951288"/>
        <c:axId val="1"/>
      </c:scatterChar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99.000000022351742</c:v>
                </c:pt>
                <c:pt idx="2">
                  <c:v>94.999999925494194</c:v>
                </c:pt>
                <c:pt idx="3">
                  <c:v>89.999999850988388</c:v>
                </c:pt>
                <c:pt idx="4">
                  <c:v>84.999999403953552</c:v>
                </c:pt>
                <c:pt idx="5">
                  <c:v>79.999999701976776</c:v>
                </c:pt>
                <c:pt idx="6">
                  <c:v>69.999998807907104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105.17015989326237</c:v>
                </c:pt>
                <c:pt idx="2">
                  <c:v>265</c:v>
                </c:pt>
                <c:pt idx="3">
                  <c:v>209.1216843252318</c:v>
                </c:pt>
                <c:pt idx="4">
                  <c:v>172.04139965533895</c:v>
                </c:pt>
                <c:pt idx="5">
                  <c:v>155.17249936487752</c:v>
                </c:pt>
                <c:pt idx="6">
                  <c:v>145.14623985929501</c:v>
                </c:pt>
                <c:pt idx="7">
                  <c:v>140.91642005674527</c:v>
                </c:pt>
                <c:pt idx="8">
                  <c:v>138.5036864446688</c:v>
                </c:pt>
                <c:pt idx="9">
                  <c:v>137.00332099769417</c:v>
                </c:pt>
                <c:pt idx="10">
                  <c:v>136.0653806652679</c:v>
                </c:pt>
                <c:pt idx="11">
                  <c:v>135.4971130913309</c:v>
                </c:pt>
                <c:pt idx="12">
                  <c:v>135.17351237216693</c:v>
                </c:pt>
                <c:pt idx="13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BA-45B9-98D5-57DD1E460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951288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99.000000022351742</c:v>
                </c:pt>
                <c:pt idx="2">
                  <c:v>94.999999925494194</c:v>
                </c:pt>
                <c:pt idx="3">
                  <c:v>89.999999850988388</c:v>
                </c:pt>
                <c:pt idx="4">
                  <c:v>84.999999403953552</c:v>
                </c:pt>
                <c:pt idx="5">
                  <c:v>79.999999701976776</c:v>
                </c:pt>
                <c:pt idx="6">
                  <c:v>69.999998807907104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0.28303822875022888</c:v>
                </c:pt>
                <c:pt idx="1">
                  <c:v>120.48179626464844</c:v>
                </c:pt>
                <c:pt idx="2">
                  <c:v>405.32623291015625</c:v>
                </c:pt>
                <c:pt idx="3">
                  <c:v>511.8990478515625</c:v>
                </c:pt>
                <c:pt idx="4">
                  <c:v>547.99273681640625</c:v>
                </c:pt>
                <c:pt idx="5">
                  <c:v>567.07476806640625</c:v>
                </c:pt>
                <c:pt idx="6">
                  <c:v>591.78045654296875</c:v>
                </c:pt>
                <c:pt idx="7">
                  <c:v>610.1898193359375</c:v>
                </c:pt>
                <c:pt idx="8">
                  <c:v>624.99493408203125</c:v>
                </c:pt>
                <c:pt idx="9">
                  <c:v>637.03631591796875</c:v>
                </c:pt>
                <c:pt idx="10">
                  <c:v>646.6693115234375</c:v>
                </c:pt>
                <c:pt idx="11">
                  <c:v>654.35308837890625</c:v>
                </c:pt>
                <c:pt idx="12">
                  <c:v>660.740234375</c:v>
                </c:pt>
                <c:pt idx="13">
                  <c:v>666.1375732421875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BA-45B9-98D5-57DD1E460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77951288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7951288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8852986437531809"/>
          <c:w val="0.23762674402541786"/>
          <c:h val="0.1147013562468189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666.13756613756618</c:v>
                </c:pt>
                <c:pt idx="1">
                  <c:v>604.09791534391536</c:v>
                </c:pt>
                <c:pt idx="2">
                  <c:v>542.03965079365082</c:v>
                </c:pt>
                <c:pt idx="3">
                  <c:v>480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22.555086953299387</c:v>
                </c:pt>
                <c:pt idx="1">
                  <c:v>27.425697624607643</c:v>
                </c:pt>
                <c:pt idx="2">
                  <c:v>34.065145162203777</c:v>
                </c:pt>
                <c:pt idx="3">
                  <c:v>43.440006626177762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9B-45F5-963F-56CCFCCA22E7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666.13756613756618</c:v>
                </c:pt>
                <c:pt idx="1">
                  <c:v>604.09791534391536</c:v>
                </c:pt>
                <c:pt idx="2">
                  <c:v>542.03965079365082</c:v>
                </c:pt>
                <c:pt idx="3">
                  <c:v>480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6.8749128069196432</c:v>
                </c:pt>
                <c:pt idx="1">
                  <c:v>8.3595013501173625</c:v>
                </c:pt>
                <c:pt idx="2">
                  <c:v>10.383240961567349</c:v>
                </c:pt>
                <c:pt idx="3">
                  <c:v>13.240749570388923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9B-45F5-963F-56CCFCCA22E7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380</c:v>
                </c:pt>
                <c:pt idx="1">
                  <c:v>280</c:v>
                </c:pt>
                <c:pt idx="2">
                  <c:v>265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43.44134853709658</c:v>
                </c:pt>
                <c:pt idx="3">
                  <c:v>94.156441389432331</c:v>
                </c:pt>
                <c:pt idx="4">
                  <c:v>211.85199312622277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9B-45F5-963F-56CCFCCA22E7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666.13756613756618</c:v>
                </c:pt>
                <c:pt idx="1">
                  <c:v>663.43915343915353</c:v>
                </c:pt>
                <c:pt idx="2">
                  <c:v>657.56613756613751</c:v>
                </c:pt>
                <c:pt idx="3">
                  <c:v>650.52910052910056</c:v>
                </c:pt>
                <c:pt idx="4">
                  <c:v>641.85185185185173</c:v>
                </c:pt>
                <c:pt idx="5">
                  <c:v>631.00529100529093</c:v>
                </c:pt>
                <c:pt idx="6">
                  <c:v>617.56613756613751</c:v>
                </c:pt>
                <c:pt idx="7">
                  <c:v>601.00529100529104</c:v>
                </c:pt>
                <c:pt idx="8">
                  <c:v>579.41798941798936</c:v>
                </c:pt>
                <c:pt idx="9">
                  <c:v>557.51322751322755</c:v>
                </c:pt>
                <c:pt idx="10">
                  <c:v>529.94708994708992</c:v>
                </c:pt>
                <c:pt idx="11">
                  <c:v>458.62433862433863</c:v>
                </c:pt>
                <c:pt idx="12">
                  <c:v>262.91005291005291</c:v>
                </c:pt>
                <c:pt idx="13">
                  <c:v>86.809589185764082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0.59500002861022949</c:v>
                </c:pt>
                <c:pt idx="2">
                  <c:v>1.1360000371932983</c:v>
                </c:pt>
                <c:pt idx="3">
                  <c:v>1.656000018119812</c:v>
                </c:pt>
                <c:pt idx="4">
                  <c:v>2.1740000247955322</c:v>
                </c:pt>
                <c:pt idx="5">
                  <c:v>2.7030000686645508</c:v>
                </c:pt>
                <c:pt idx="6">
                  <c:v>3.254000186920166</c:v>
                </c:pt>
                <c:pt idx="7">
                  <c:v>3.8340001106262207</c:v>
                </c:pt>
                <c:pt idx="8">
                  <c:v>4.4510002136230469</c:v>
                </c:pt>
                <c:pt idx="9">
                  <c:v>4.7610001564025879</c:v>
                </c:pt>
                <c:pt idx="10">
                  <c:v>5.0329999923706055</c:v>
                </c:pt>
                <c:pt idx="11">
                  <c:v>5.2470002174377441</c:v>
                </c:pt>
                <c:pt idx="12">
                  <c:v>5.5370001792907715</c:v>
                </c:pt>
                <c:pt idx="13">
                  <c:v>5.818000316619873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9B-45F5-963F-56CCFCCA2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172240"/>
        <c:axId val="1"/>
      </c:scatterChart>
      <c:valAx>
        <c:axId val="592172240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2172240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94.099998474121094</c:v>
                </c:pt>
                <c:pt idx="2">
                  <c:v>96</c:v>
                </c:pt>
                <c:pt idx="3">
                  <c:v>96.300003051757813</c:v>
                </c:pt>
                <c:pt idx="4">
                  <c:v>96.200004577636719</c:v>
                </c:pt>
                <c:pt idx="5">
                  <c:v>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89-4EE5-86F6-AFBC0528DD8E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59.600002288818359</c:v>
                </c:pt>
                <c:pt idx="1">
                  <c:v>80.099998474121094</c:v>
                </c:pt>
                <c:pt idx="2">
                  <c:v>86.5</c:v>
                </c:pt>
                <c:pt idx="3">
                  <c:v>88.599998474121094</c:v>
                </c:pt>
                <c:pt idx="4">
                  <c:v>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89-4EE5-86F6-AFBC0528DD8E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86.699829101521573</c:v>
                </c:pt>
                <c:pt idx="2">
                  <c:v>73.039550781282969</c:v>
                </c:pt>
                <c:pt idx="3">
                  <c:v>59.379272460953416</c:v>
                </c:pt>
                <c:pt idx="4">
                  <c:v>45</c:v>
                </c:pt>
                <c:pt idx="5">
                  <c:v>30.980834960942051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89-4EE5-86F6-AFBC0528DD8E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0.25779999999999997</c:v>
                </c:pt>
                <c:pt idx="1">
                  <c:v>7.426382499999999</c:v>
                </c:pt>
                <c:pt idx="2">
                  <c:v>14.577124999999999</c:v>
                </c:pt>
                <c:pt idx="3">
                  <c:v>21.778185000000001</c:v>
                </c:pt>
                <c:pt idx="4">
                  <c:v>29.062200000000001</c:v>
                </c:pt>
                <c:pt idx="5">
                  <c:v>36.454000000000001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89-4EE5-86F6-AFBC0528D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159776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49</c:v>
                </c:pt>
                <c:pt idx="1">
                  <c:v>71.94000244140625</c:v>
                </c:pt>
                <c:pt idx="2">
                  <c:v>105.06999969482422</c:v>
                </c:pt>
                <c:pt idx="3">
                  <c:v>145.36000061035156</c:v>
                </c:pt>
                <c:pt idx="4">
                  <c:v>189.3800048828125</c:v>
                </c:pt>
                <c:pt idx="5">
                  <c:v>236.47999572753906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89-4EE5-86F6-AFBC0528D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592159776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2159776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6" name="Chart 1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37.05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2.00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10.05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12.7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179294</xdr:colOff>
      <xdr:row>42</xdr:row>
      <xdr:rowOff>66114</xdr:rowOff>
    </xdr:from>
    <xdr:to>
      <xdr:col>3</xdr:col>
      <xdr:colOff>503144</xdr:colOff>
      <xdr:row>42</xdr:row>
      <xdr:rowOff>191060</xdr:rowOff>
    </xdr:to>
    <xdr:sp macro="" textlink="">
      <xdr:nvSpPr>
        <xdr:cNvPr id="69" name="Radius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1912844" y="9733989"/>
          <a:ext cx="323850" cy="12494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342.8</a:t>
          </a:r>
        </a:p>
      </xdr:txBody>
    </xdr:sp>
    <xdr:clientData/>
  </xdr:twoCellAnchor>
  <xdr:twoCellAnchor>
    <xdr:from>
      <xdr:col>3</xdr:col>
      <xdr:colOff>333376</xdr:colOff>
      <xdr:row>40</xdr:row>
      <xdr:rowOff>64247</xdr:rowOff>
    </xdr:from>
    <xdr:to>
      <xdr:col>3</xdr:col>
      <xdr:colOff>598955</xdr:colOff>
      <xdr:row>40</xdr:row>
      <xdr:rowOff>158376</xdr:rowOff>
    </xdr:to>
    <xdr:sp macro="" textlink="">
      <xdr:nvSpPr>
        <xdr:cNvPr id="70" name="Height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2066926" y="9274922"/>
          <a:ext cx="265579" cy="94129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38.0</a:t>
          </a:r>
        </a:p>
      </xdr:txBody>
    </xdr:sp>
    <xdr:clientData/>
  </xdr:twoCellAnchor>
  <xdr:twoCellAnchor>
    <xdr:from>
      <xdr:col>2</xdr:col>
      <xdr:colOff>130548</xdr:colOff>
      <xdr:row>41</xdr:row>
      <xdr:rowOff>52107</xdr:rowOff>
    </xdr:from>
    <xdr:to>
      <xdr:col>2</xdr:col>
      <xdr:colOff>387723</xdr:colOff>
      <xdr:row>41</xdr:row>
      <xdr:rowOff>166407</xdr:rowOff>
    </xdr:to>
    <xdr:sp macro="" textlink="">
      <xdr:nvSpPr>
        <xdr:cNvPr id="71" name="Clear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1349748" y="9491382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45.0</a:t>
          </a:r>
        </a:p>
      </xdr:txBody>
    </xdr:sp>
    <xdr:clientData/>
  </xdr:twoCellAnchor>
  <xdr:twoCellAnchor>
    <xdr:from>
      <xdr:col>2</xdr:col>
      <xdr:colOff>418353</xdr:colOff>
      <xdr:row>41</xdr:row>
      <xdr:rowOff>169582</xdr:rowOff>
    </xdr:from>
    <xdr:to>
      <xdr:col>3</xdr:col>
      <xdr:colOff>190874</xdr:colOff>
      <xdr:row>42</xdr:row>
      <xdr:rowOff>45757</xdr:rowOff>
    </xdr:to>
    <xdr:sp macro="" textlink="">
      <xdr:nvSpPr>
        <xdr:cNvPr id="72" name="Thickness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1637553" y="9608857"/>
          <a:ext cx="286871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48.0</a:t>
          </a:r>
        </a:p>
      </xdr:txBody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73" name="Rectangle 210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74" name="Rectangle 21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75" name="Rectangle 212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76" name="Rectangle 213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77" name="Rectangle 214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238125</xdr:colOff>
      <xdr:row>39</xdr:row>
      <xdr:rowOff>104775</xdr:rowOff>
    </xdr:from>
    <xdr:to>
      <xdr:col>3</xdr:col>
      <xdr:colOff>428625</xdr:colOff>
      <xdr:row>42</xdr:row>
      <xdr:rowOff>152400</xdr:rowOff>
    </xdr:to>
    <xdr:grpSp>
      <xdr:nvGrpSpPr>
        <xdr:cNvPr id="78" name="Group 104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GrpSpPr>
          <a:grpSpLocks/>
        </xdr:cNvGrpSpPr>
      </xdr:nvGrpSpPr>
      <xdr:grpSpPr bwMode="auto">
        <a:xfrm>
          <a:off x="1047750" y="9086850"/>
          <a:ext cx="1114425" cy="733425"/>
          <a:chOff x="921807" y="9129183"/>
          <a:chExt cx="1110192" cy="729192"/>
        </a:xfrm>
      </xdr:grpSpPr>
      <xdr:grpSp>
        <xdr:nvGrpSpPr>
          <xdr:cNvPr id="79" name="Group 112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GrpSpPr>
            <a:grpSpLocks/>
          </xdr:cNvGrpSpPr>
        </xdr:nvGrpSpPr>
        <xdr:grpSpPr bwMode="auto">
          <a:xfrm>
            <a:off x="921807" y="9129183"/>
            <a:ext cx="887941" cy="729192"/>
            <a:chOff x="13440000" y="15720000"/>
            <a:chExt cx="1904539" cy="1540000"/>
          </a:xfrm>
        </xdr:grpSpPr>
        <xdr:grpSp>
          <xdr:nvGrpSpPr>
            <xdr:cNvPr id="90" name="Group 113">
              <a:extLst>
                <a:ext uri="{FF2B5EF4-FFF2-40B4-BE49-F238E27FC236}">
                  <a16:creationId xmlns:a16="http://schemas.microsoft.com/office/drawing/2014/main" id="{00000000-0008-0000-0100-00005A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440000" y="15720000"/>
              <a:ext cx="1904539" cy="1540000"/>
              <a:chOff x="13440000" y="15720000"/>
              <a:chExt cx="1904539" cy="1540000"/>
            </a:xfrm>
          </xdr:grpSpPr>
          <xdr:sp macro="" textlink="">
            <xdr:nvSpPr>
              <xdr:cNvPr id="92" name="Line 114">
                <a:extLst>
                  <a:ext uri="{FF2B5EF4-FFF2-40B4-BE49-F238E27FC236}">
                    <a16:creationId xmlns:a16="http://schemas.microsoft.com/office/drawing/2014/main" id="{00000000-0008-0000-0100-00005C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3" name="Line 115">
                <a:extLst>
                  <a:ext uri="{FF2B5EF4-FFF2-40B4-BE49-F238E27FC236}">
                    <a16:creationId xmlns:a16="http://schemas.microsoft.com/office/drawing/2014/main" id="{00000000-0008-0000-0100-00005D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4" name="Line 116">
                <a:extLst>
                  <a:ext uri="{FF2B5EF4-FFF2-40B4-BE49-F238E27FC236}">
                    <a16:creationId xmlns:a16="http://schemas.microsoft.com/office/drawing/2014/main" id="{00000000-0008-0000-0100-00005E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4059999" y="15818346"/>
                <a:ext cx="1284540" cy="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5" name="Line 117">
                <a:extLst>
                  <a:ext uri="{FF2B5EF4-FFF2-40B4-BE49-F238E27FC236}">
                    <a16:creationId xmlns:a16="http://schemas.microsoft.com/office/drawing/2014/main" id="{00000000-0008-0000-0100-00005F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6" name="Line 118">
                <a:extLst>
                  <a:ext uri="{FF2B5EF4-FFF2-40B4-BE49-F238E27FC236}">
                    <a16:creationId xmlns:a16="http://schemas.microsoft.com/office/drawing/2014/main" id="{00000000-0008-0000-0100-00006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060000" y="16259998"/>
                <a:ext cx="644580" cy="74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7" name="Line 119">
                <a:extLst>
                  <a:ext uri="{FF2B5EF4-FFF2-40B4-BE49-F238E27FC236}">
                    <a16:creationId xmlns:a16="http://schemas.microsoft.com/office/drawing/2014/main" id="{00000000-0008-0000-0100-00006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686237" y="15818346"/>
                <a:ext cx="13764" cy="82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1" name="Line 120">
              <a:extLst>
                <a:ext uri="{FF2B5EF4-FFF2-40B4-BE49-F238E27FC236}">
                  <a16:creationId xmlns:a16="http://schemas.microsoft.com/office/drawing/2014/main" id="{00000000-0008-0000-0100-00005B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0" name="Group 106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GrpSpPr>
            <a:grpSpLocks/>
          </xdr:cNvGrpSpPr>
        </xdr:nvGrpSpPr>
        <xdr:grpSpPr bwMode="auto">
          <a:xfrm>
            <a:off x="1214967" y="9175750"/>
            <a:ext cx="817032" cy="597957"/>
            <a:chOff x="1214967" y="9175750"/>
            <a:chExt cx="817032" cy="597957"/>
          </a:xfrm>
        </xdr:grpSpPr>
        <xdr:sp macro="" textlink="">
          <xdr:nvSpPr>
            <xdr:cNvPr id="81" name="Line 121">
              <a:extLst>
                <a:ext uri="{FF2B5EF4-FFF2-40B4-BE49-F238E27FC236}">
                  <a16:creationId xmlns:a16="http://schemas.microsoft.com/office/drawing/2014/main" id="{00000000-0008-0000-0100-000051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214967" y="9479492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82" name="Group 108">
              <a:extLst>
                <a:ext uri="{FF2B5EF4-FFF2-40B4-BE49-F238E27FC236}">
                  <a16:creationId xmlns:a16="http://schemas.microsoft.com/office/drawing/2014/main" id="{00000000-0008-0000-0100-000052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00717" y="9175750"/>
              <a:ext cx="531282" cy="597957"/>
              <a:chOff x="1500717" y="9175750"/>
              <a:chExt cx="531282" cy="597957"/>
            </a:xfrm>
          </xdr:grpSpPr>
          <xdr:sp macro="" textlink="">
            <xdr:nvSpPr>
              <xdr:cNvPr id="83" name="Line 102">
                <a:extLst>
                  <a:ext uri="{FF2B5EF4-FFF2-40B4-BE49-F238E27FC236}">
                    <a16:creationId xmlns:a16="http://schemas.microsoft.com/office/drawing/2014/main" id="{00000000-0008-0000-0100-000053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841499" y="9559925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4" name="Line 103">
                <a:extLst>
                  <a:ext uri="{FF2B5EF4-FFF2-40B4-BE49-F238E27FC236}">
                    <a16:creationId xmlns:a16="http://schemas.microsoft.com/office/drawing/2014/main" id="{00000000-0008-0000-0100-000054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500717" y="9584267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5" name="Line 104">
                <a:extLst>
                  <a:ext uri="{FF2B5EF4-FFF2-40B4-BE49-F238E27FC236}">
                    <a16:creationId xmlns:a16="http://schemas.microsoft.com/office/drawing/2014/main" id="{00000000-0008-0000-0100-000055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807633" y="9593792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6" name="Line 105">
                <a:extLst>
                  <a:ext uri="{FF2B5EF4-FFF2-40B4-BE49-F238E27FC236}">
                    <a16:creationId xmlns:a16="http://schemas.microsoft.com/office/drawing/2014/main" id="{00000000-0008-0000-0100-000056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510242" y="9630833"/>
                <a:ext cx="28786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7" name="Line 106">
                <a:extLst>
                  <a:ext uri="{FF2B5EF4-FFF2-40B4-BE49-F238E27FC236}">
                    <a16:creationId xmlns:a16="http://schemas.microsoft.com/office/drawing/2014/main" id="{00000000-0008-0000-0100-00005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940982" y="9572624"/>
                <a:ext cx="1059" cy="20108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8" name="Line 107">
                <a:extLst>
                  <a:ext uri="{FF2B5EF4-FFF2-40B4-BE49-F238E27FC236}">
                    <a16:creationId xmlns:a16="http://schemas.microsoft.com/office/drawing/2014/main" id="{00000000-0008-0000-0100-00005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942041" y="9191624"/>
                <a:ext cx="5292" cy="3524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9" name="Line 102">
                <a:extLst>
                  <a:ext uri="{FF2B5EF4-FFF2-40B4-BE49-F238E27FC236}">
                    <a16:creationId xmlns:a16="http://schemas.microsoft.com/office/drawing/2014/main" id="{00000000-0008-0000-0100-000059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825625" y="9175750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</xdr:grp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98" name="Radius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99" name="Thickness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100" name="Radius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101" name="Thickness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102" name="Radius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103" name="Thickness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304800</xdr:colOff>
      <xdr:row>53</xdr:row>
      <xdr:rowOff>47625</xdr:rowOff>
    </xdr:to>
    <xdr:sp macro="" textlink="">
      <xdr:nvSpPr>
        <xdr:cNvPr id="104" name="Radius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4133850" y="11906250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352425</xdr:colOff>
      <xdr:row>52</xdr:row>
      <xdr:rowOff>19050</xdr:rowOff>
    </xdr:from>
    <xdr:to>
      <xdr:col>6</xdr:col>
      <xdr:colOff>47625</xdr:colOff>
      <xdr:row>52</xdr:row>
      <xdr:rowOff>123825</xdr:rowOff>
    </xdr:to>
    <xdr:sp macro="" textlink="">
      <xdr:nvSpPr>
        <xdr:cNvPr id="105" name="Thickness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3838575" y="11772900"/>
          <a:ext cx="3238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381000</xdr:colOff>
      <xdr:row>52</xdr:row>
      <xdr:rowOff>133350</xdr:rowOff>
    </xdr:from>
    <xdr:to>
      <xdr:col>6</xdr:col>
      <xdr:colOff>504825</xdr:colOff>
      <xdr:row>53</xdr:row>
      <xdr:rowOff>0</xdr:rowOff>
    </xdr:to>
    <xdr:sp macro="" textlink="">
      <xdr:nvSpPr>
        <xdr:cNvPr id="106" name="Text 583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4495800" y="11887200"/>
          <a:ext cx="0" cy="666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695325</xdr:colOff>
      <xdr:row>28</xdr:row>
      <xdr:rowOff>190500</xdr:rowOff>
    </xdr:from>
    <xdr:to>
      <xdr:col>4</xdr:col>
      <xdr:colOff>722098</xdr:colOff>
      <xdr:row>29</xdr:row>
      <xdr:rowOff>123825</xdr:rowOff>
    </xdr:to>
    <xdr:sp macro="" textlink="">
      <xdr:nvSpPr>
        <xdr:cNvPr id="107" name="Text 219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2428875" y="66579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695325</xdr:colOff>
      <xdr:row>34</xdr:row>
      <xdr:rowOff>200025</xdr:rowOff>
    </xdr:from>
    <xdr:to>
      <xdr:col>4</xdr:col>
      <xdr:colOff>722098</xdr:colOff>
      <xdr:row>35</xdr:row>
      <xdr:rowOff>133350</xdr:rowOff>
    </xdr:to>
    <xdr:sp macro="" textlink="">
      <xdr:nvSpPr>
        <xdr:cNvPr id="108" name="Text 219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2428875" y="80391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695325</xdr:colOff>
      <xdr:row>40</xdr:row>
      <xdr:rowOff>142875</xdr:rowOff>
    </xdr:from>
    <xdr:to>
      <xdr:col>4</xdr:col>
      <xdr:colOff>722098</xdr:colOff>
      <xdr:row>41</xdr:row>
      <xdr:rowOff>76200</xdr:rowOff>
    </xdr:to>
    <xdr:sp macro="" textlink="">
      <xdr:nvSpPr>
        <xdr:cNvPr id="109" name="Text 219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2428875" y="93535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603409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$N$37">
      <xdr:nvSpPr>
        <xdr:cNvPr id="3" name="RPM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603409" y="39624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1BCF86B-D6A6-4134-B688-F8298D51868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1800</a:t>
          </a:fld>
          <a:endParaRPr lang="en-US"/>
        </a:p>
      </xdr:txBody>
    </xdr:sp>
    <xdr:clientData/>
  </xdr:twoCellAnchor>
  <xdr:twoCellAnchor>
    <xdr:from>
      <xdr:col>0</xdr:col>
      <xdr:colOff>593884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$N$38">
      <xdr:nvSpPr>
        <xdr:cNvPr id="4" name="RPM10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593884" y="43815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D3B4ACE-DD88-4983-960F-A8539F8379D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1798</a:t>
          </a:fld>
          <a:endParaRPr lang="en-US"/>
        </a:p>
      </xdr:txBody>
    </xdr:sp>
    <xdr:clientData/>
  </xdr:twoCellAnchor>
  <xdr:twoCellAnchor>
    <xdr:from>
      <xdr:col>0</xdr:col>
      <xdr:colOff>584359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$N$39">
      <xdr:nvSpPr>
        <xdr:cNvPr id="5" name="RPM9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584359" y="47910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407B01A0-12B1-40B9-8107-C55241BCFC8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1796</a:t>
          </a:fld>
          <a:endParaRPr lang="en-US"/>
        </a:p>
      </xdr:txBody>
    </xdr:sp>
    <xdr:clientData/>
  </xdr:twoCellAnchor>
  <xdr:twoCellAnchor>
    <xdr:from>
      <xdr:col>0</xdr:col>
      <xdr:colOff>584359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$N$40">
      <xdr:nvSpPr>
        <xdr:cNvPr id="6" name="RPM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584359" y="52006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9A41EA9-58CC-46D4-B5E5-E36EC676D86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1794</a:t>
          </a:fld>
          <a:endParaRPr lang="en-US"/>
        </a:p>
      </xdr:txBody>
    </xdr:sp>
    <xdr:clientData/>
  </xdr:twoCellAnchor>
  <xdr:twoCellAnchor>
    <xdr:from>
      <xdr:col>0</xdr:col>
      <xdr:colOff>593884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$N$41">
      <xdr:nvSpPr>
        <xdr:cNvPr id="7" name="RPM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593884" y="56102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5AB935C-9A12-45F6-930D-02AF798C1E1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1792</a:t>
          </a:fld>
          <a:endParaRPr lang="en-US"/>
        </a:p>
      </xdr:txBody>
    </xdr:sp>
    <xdr:clientData/>
  </xdr:twoCellAnchor>
  <xdr:twoCellAnchor>
    <xdr:from>
      <xdr:col>0</xdr:col>
      <xdr:colOff>593884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$N$42">
      <xdr:nvSpPr>
        <xdr:cNvPr id="8" name="RPM6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593884" y="60198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33E068E-1D70-471F-957B-95E1E7C0EC9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1790</a:t>
          </a:fld>
          <a:endParaRPr lang="en-US"/>
        </a:p>
      </xdr:txBody>
    </xdr:sp>
    <xdr:clientData/>
  </xdr:twoCellAnchor>
  <xdr:twoCellAnchor>
    <xdr:from>
      <xdr:col>0</xdr:col>
      <xdr:colOff>584359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$N$43">
      <xdr:nvSpPr>
        <xdr:cNvPr id="9" name="RPM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584359" y="64293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C21AEB1-04C8-4FF4-9A9C-89411824260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1788</a:t>
          </a:fld>
          <a:endParaRPr lang="en-US"/>
        </a:p>
      </xdr:txBody>
    </xdr:sp>
    <xdr:clientData/>
  </xdr:twoCellAnchor>
  <xdr:twoCellAnchor>
    <xdr:from>
      <xdr:col>0</xdr:col>
      <xdr:colOff>574834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$N$44">
      <xdr:nvSpPr>
        <xdr:cNvPr id="10" name="RPM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574834" y="68389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02F224A-EEF6-44DF-9226-37E91DB99F9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1786</a:t>
          </a:fld>
          <a:endParaRPr lang="en-US"/>
        </a:p>
      </xdr:txBody>
    </xdr:sp>
    <xdr:clientData/>
  </xdr:twoCellAnchor>
  <xdr:twoCellAnchor>
    <xdr:from>
      <xdr:col>0</xdr:col>
      <xdr:colOff>574834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$N$45">
      <xdr:nvSpPr>
        <xdr:cNvPr id="11" name="RPM3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574834" y="72580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EA054D9-EB51-41CF-BE90-182F3A68150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1784</a:t>
          </a:fld>
          <a:endParaRPr lang="en-US"/>
        </a:p>
      </xdr:txBody>
    </xdr:sp>
    <xdr:clientData/>
  </xdr:twoCellAnchor>
  <xdr:twoCellAnchor>
    <xdr:from>
      <xdr:col>0</xdr:col>
      <xdr:colOff>574834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$N$46">
      <xdr:nvSpPr>
        <xdr:cNvPr id="12" name="RPM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574834" y="76676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A2CD496-D7ED-4641-A6D2-9A79CC56477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1782</a:t>
          </a:fld>
          <a:endParaRPr lang="en-US"/>
        </a:p>
      </xdr:txBody>
    </xdr:sp>
    <xdr:clientData/>
  </xdr:twoCellAnchor>
  <xdr:twoCellAnchor>
    <xdr:from>
      <xdr:col>0</xdr:col>
      <xdr:colOff>584359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$N$47">
      <xdr:nvSpPr>
        <xdr:cNvPr id="13" name="RPM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584359" y="80772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D727B19-856D-455E-9159-93B900F9CEF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1780</a:t>
          </a:fld>
          <a:endParaRPr lang="en-US"/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352425</xdr:colOff>
      <xdr:row>16</xdr:row>
      <xdr:rowOff>85725</xdr:rowOff>
    </xdr:from>
    <xdr:to>
      <xdr:col>5</xdr:col>
      <xdr:colOff>853916</xdr:colOff>
      <xdr:row>17</xdr:row>
      <xdr:rowOff>38100</xdr:rowOff>
    </xdr:to>
    <xdr:sp macro="" textlink="$O$37">
      <xdr:nvSpPr>
        <xdr:cNvPr id="15" name="Watts11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5924550" y="39814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4ADB567-D67F-42A1-9528-81945F4B76B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4000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946785</xdr:colOff>
      <xdr:row>25</xdr:row>
      <xdr:rowOff>200025</xdr:rowOff>
    </xdr:to>
    <xdr:sp macro="" textlink="$O$42">
      <xdr:nvSpPr>
        <xdr:cNvPr id="16" name="Watts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56578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4630F3D-BE5D-48E4-A309-AF18FAD87F1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2000</a:t>
          </a:fld>
          <a:endParaRPr lang="en-US"/>
        </a:p>
      </xdr:txBody>
    </xdr:sp>
    <xdr:clientData/>
  </xdr:twoCellAnchor>
  <xdr:twoCellAnchor>
    <xdr:from>
      <xdr:col>5</xdr:col>
      <xdr:colOff>371475</xdr:colOff>
      <xdr:row>26</xdr:row>
      <xdr:rowOff>180975</xdr:rowOff>
    </xdr:from>
    <xdr:to>
      <xdr:col>5</xdr:col>
      <xdr:colOff>872966</xdr:colOff>
      <xdr:row>27</xdr:row>
      <xdr:rowOff>133350</xdr:rowOff>
    </xdr:to>
    <xdr:sp macro="" textlink="$O$43">
      <xdr:nvSpPr>
        <xdr:cNvPr id="17" name="Watts5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5943600" y="64579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F70EE54E-C71A-4DFF-953A-5F03891AF16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1600</a:t>
          </a:fld>
          <a:endParaRPr lang="en-US"/>
        </a:p>
      </xdr:txBody>
    </xdr:sp>
    <xdr:clientData/>
  </xdr:twoCellAnchor>
  <xdr:twoCellAnchor>
    <xdr:from>
      <xdr:col>5</xdr:col>
      <xdr:colOff>381000</xdr:colOff>
      <xdr:row>28</xdr:row>
      <xdr:rowOff>114300</xdr:rowOff>
    </xdr:from>
    <xdr:to>
      <xdr:col>5</xdr:col>
      <xdr:colOff>882491</xdr:colOff>
      <xdr:row>29</xdr:row>
      <xdr:rowOff>66675</xdr:rowOff>
    </xdr:to>
    <xdr:sp macro="" textlink="$O$44">
      <xdr:nvSpPr>
        <xdr:cNvPr id="18" name="Watts4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5953125" y="68675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771E65A-183F-4C36-B805-139585075BE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1200</a:t>
          </a:fld>
          <a:endParaRPr lang="en-US"/>
        </a:p>
      </xdr:txBody>
    </xdr:sp>
    <xdr:clientData/>
  </xdr:twoCellAnchor>
  <xdr:twoCellAnchor>
    <xdr:from>
      <xdr:col>5</xdr:col>
      <xdr:colOff>371475</xdr:colOff>
      <xdr:row>30</xdr:row>
      <xdr:rowOff>38100</xdr:rowOff>
    </xdr:from>
    <xdr:to>
      <xdr:col>5</xdr:col>
      <xdr:colOff>872966</xdr:colOff>
      <xdr:row>30</xdr:row>
      <xdr:rowOff>228600</xdr:rowOff>
    </xdr:to>
    <xdr:sp macro="" textlink="$O$45">
      <xdr:nvSpPr>
        <xdr:cNvPr id="19" name="Watts3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5943600" y="72675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07A8052-4904-42D9-9800-95AF87A59F1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800</a:t>
          </a:fld>
          <a:endParaRPr lang="en-US"/>
        </a:p>
      </xdr:txBody>
    </xdr:sp>
    <xdr:clientData/>
  </xdr:twoCellAnchor>
  <xdr:twoCellAnchor>
    <xdr:from>
      <xdr:col>5</xdr:col>
      <xdr:colOff>371475</xdr:colOff>
      <xdr:row>31</xdr:row>
      <xdr:rowOff>219075</xdr:rowOff>
    </xdr:from>
    <xdr:to>
      <xdr:col>5</xdr:col>
      <xdr:colOff>872966</xdr:colOff>
      <xdr:row>32</xdr:row>
      <xdr:rowOff>171450</xdr:rowOff>
    </xdr:to>
    <xdr:sp macro="" textlink="$O$46">
      <xdr:nvSpPr>
        <xdr:cNvPr id="20" name="Watts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5943600" y="76866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203AC89-BF5A-4D09-B6D0-C5DD024120D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400</a:t>
          </a:fld>
          <a:endParaRPr lang="en-US"/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371475</xdr:colOff>
      <xdr:row>23</xdr:row>
      <xdr:rowOff>66675</xdr:rowOff>
    </xdr:from>
    <xdr:to>
      <xdr:col>5</xdr:col>
      <xdr:colOff>872966</xdr:colOff>
      <xdr:row>24</xdr:row>
      <xdr:rowOff>19050</xdr:rowOff>
    </xdr:to>
    <xdr:sp macro="" textlink="$O$41">
      <xdr:nvSpPr>
        <xdr:cNvPr id="22" name="Watts7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5943600" y="56292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C128BF3-A679-464F-A334-BFBE1535DB9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2400</a:t>
          </a:fld>
          <a:endParaRPr lang="en-US"/>
        </a:p>
      </xdr:txBody>
    </xdr:sp>
    <xdr:clientData/>
  </xdr:twoCellAnchor>
  <xdr:twoCellAnchor>
    <xdr:from>
      <xdr:col>5</xdr:col>
      <xdr:colOff>371475</xdr:colOff>
      <xdr:row>21</xdr:row>
      <xdr:rowOff>133350</xdr:rowOff>
    </xdr:from>
    <xdr:to>
      <xdr:col>5</xdr:col>
      <xdr:colOff>872966</xdr:colOff>
      <xdr:row>22</xdr:row>
      <xdr:rowOff>85725</xdr:rowOff>
    </xdr:to>
    <xdr:sp macro="" textlink="$O$40">
      <xdr:nvSpPr>
        <xdr:cNvPr id="23" name="Watts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5943600" y="521970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4B930C9-AE3E-4CED-A8F1-156D9626A5D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2800</a:t>
          </a:fld>
          <a:endParaRPr lang="en-US"/>
        </a:p>
      </xdr:txBody>
    </xdr:sp>
    <xdr:clientData/>
  </xdr:twoCellAnchor>
  <xdr:twoCellAnchor>
    <xdr:from>
      <xdr:col>5</xdr:col>
      <xdr:colOff>361950</xdr:colOff>
      <xdr:row>19</xdr:row>
      <xdr:rowOff>200025</xdr:rowOff>
    </xdr:from>
    <xdr:to>
      <xdr:col>5</xdr:col>
      <xdr:colOff>863441</xdr:colOff>
      <xdr:row>20</xdr:row>
      <xdr:rowOff>152400</xdr:rowOff>
    </xdr:to>
    <xdr:sp macro="" textlink="$O$39">
      <xdr:nvSpPr>
        <xdr:cNvPr id="24" name="Watts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5934075" y="48101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E0FAB14-269B-4E6F-B2E1-4ECE1CA0FAD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3200</a:t>
          </a:fld>
          <a:endParaRPr lang="en-US"/>
        </a:p>
      </xdr:txBody>
    </xdr:sp>
    <xdr:clientData/>
  </xdr:twoCellAnchor>
  <xdr:twoCellAnchor>
    <xdr:from>
      <xdr:col>5</xdr:col>
      <xdr:colOff>361950</xdr:colOff>
      <xdr:row>18</xdr:row>
      <xdr:rowOff>28575</xdr:rowOff>
    </xdr:from>
    <xdr:to>
      <xdr:col>5</xdr:col>
      <xdr:colOff>863441</xdr:colOff>
      <xdr:row>18</xdr:row>
      <xdr:rowOff>219075</xdr:rowOff>
    </xdr:to>
    <xdr:sp macro="" textlink="$O$38">
      <xdr:nvSpPr>
        <xdr:cNvPr id="25" name="Watts1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5934075" y="44005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05364E6-1E0E-4FFB-A641-82BCE66819A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3600</a:t>
          </a:fld>
          <a:endParaRPr lang="en-US"/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904875</xdr:colOff>
      <xdr:row>19</xdr:row>
      <xdr:rowOff>133350</xdr:rowOff>
    </xdr:from>
    <xdr:to>
      <xdr:col>4</xdr:col>
      <xdr:colOff>123825</xdr:colOff>
      <xdr:row>20</xdr:row>
      <xdr:rowOff>66675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47434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923925</xdr:colOff>
      <xdr:row>23</xdr:row>
      <xdr:rowOff>228600</xdr:rowOff>
    </xdr:from>
    <xdr:to>
      <xdr:col>3</xdr:col>
      <xdr:colOff>152400</xdr:colOff>
      <xdr:row>24</xdr:row>
      <xdr:rowOff>133350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3152775" y="57912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971550</xdr:colOff>
      <xdr:row>31</xdr:row>
      <xdr:rowOff>180975</xdr:rowOff>
    </xdr:from>
    <xdr:to>
      <xdr:col>3</xdr:col>
      <xdr:colOff>361950</xdr:colOff>
      <xdr:row>32</xdr:row>
      <xdr:rowOff>95250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3200400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889159</xdr:colOff>
      <xdr:row>34</xdr:row>
      <xdr:rowOff>104775</xdr:rowOff>
    </xdr:to>
    <xdr:sp macro="" textlink="$O$47">
      <xdr:nvSpPr>
        <xdr:cNvPr id="31" name="Watts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5934075" y="8086725"/>
          <a:ext cx="527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BF01617-5888-4E81-A166-608390EAA9F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0.0</a:t>
          </a:fld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Q113"/>
  <sheetViews>
    <sheetView topLeftCell="A4" zoomScale="95" zoomScaleNormal="95" workbookViewId="0">
      <selection activeCell="O29" sqref="O29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2" t="s">
        <v>167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220</v>
      </c>
    </row>
    <row r="2" spans="1:10" ht="18.75">
      <c r="A2" s="32" t="s">
        <v>173</v>
      </c>
      <c r="B2" s="2"/>
      <c r="C2" s="2"/>
      <c r="D2" s="2"/>
      <c r="E2" s="2"/>
      <c r="F2" s="2"/>
      <c r="G2" s="2"/>
      <c r="H2" s="2"/>
      <c r="I2" s="2"/>
      <c r="J2" s="128" t="s">
        <v>221</v>
      </c>
    </row>
    <row r="3" spans="1:10" ht="15" customHeight="1" thickBot="1">
      <c r="A3" s="47" t="s">
        <v>1</v>
      </c>
      <c r="B3" s="94" t="s">
        <v>219</v>
      </c>
      <c r="C3" s="1"/>
      <c r="D3" s="47"/>
      <c r="E3" s="1"/>
      <c r="F3" s="1"/>
      <c r="G3" s="47" t="s">
        <v>2</v>
      </c>
      <c r="H3" s="172">
        <v>44473</v>
      </c>
      <c r="I3" s="47" t="s">
        <v>3</v>
      </c>
      <c r="J3" s="173">
        <v>0.65065972222222224</v>
      </c>
    </row>
    <row r="4" spans="1:10" ht="15" customHeight="1" thickBot="1">
      <c r="A4" s="11" t="s">
        <v>4</v>
      </c>
      <c r="B4" s="11" t="s">
        <v>171</v>
      </c>
      <c r="C4" s="11" t="s">
        <v>5</v>
      </c>
      <c r="D4" s="11" t="s">
        <v>172</v>
      </c>
      <c r="E4" s="155" t="s">
        <v>6</v>
      </c>
      <c r="F4" s="11" t="s">
        <v>7</v>
      </c>
      <c r="G4" s="11" t="s">
        <v>175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4</v>
      </c>
      <c r="B5" s="110">
        <v>1500</v>
      </c>
      <c r="C5" s="138">
        <v>1800</v>
      </c>
      <c r="D5" s="48" t="s">
        <v>193</v>
      </c>
      <c r="E5" s="156">
        <v>4000</v>
      </c>
      <c r="F5" s="138">
        <v>60</v>
      </c>
      <c r="G5" s="48">
        <v>105</v>
      </c>
      <c r="H5" s="76" t="s">
        <v>253</v>
      </c>
      <c r="I5" s="75" t="s">
        <v>258</v>
      </c>
      <c r="J5" s="48" t="s">
        <v>194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/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22.252929166666664</v>
      </c>
      <c r="J7" s="104" t="s">
        <v>19</v>
      </c>
    </row>
    <row r="8" spans="1:10" ht="15" customHeight="1">
      <c r="A8" s="9" t="s">
        <v>20</v>
      </c>
      <c r="B8" s="67">
        <v>2.0999999046325684</v>
      </c>
      <c r="C8" s="50"/>
      <c r="D8" s="5"/>
      <c r="E8" s="49"/>
      <c r="F8" s="3"/>
      <c r="G8" s="15"/>
      <c r="H8" s="9" t="s">
        <v>21</v>
      </c>
      <c r="I8" s="66">
        <v>30.045024377254787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201</v>
      </c>
      <c r="F9" s="105" t="s">
        <v>25</v>
      </c>
      <c r="G9" s="29"/>
      <c r="H9" s="9" t="s">
        <v>26</v>
      </c>
      <c r="I9" s="67">
        <v>26.148976771960726</v>
      </c>
      <c r="J9" s="102">
        <v>725.15334311674451</v>
      </c>
    </row>
    <row r="10" spans="1:10" ht="15" customHeight="1">
      <c r="A10" s="9" t="s">
        <v>27</v>
      </c>
      <c r="B10" s="67">
        <v>620</v>
      </c>
      <c r="C10" s="71">
        <v>620</v>
      </c>
      <c r="D10" s="5"/>
      <c r="E10" s="49"/>
      <c r="F10" s="114" t="s">
        <v>215</v>
      </c>
      <c r="G10" s="112" t="s">
        <v>216</v>
      </c>
      <c r="H10" s="9" t="s">
        <v>28</v>
      </c>
      <c r="I10" s="66">
        <v>13.46034202175197</v>
      </c>
      <c r="J10" s="101" t="s">
        <v>29</v>
      </c>
    </row>
    <row r="11" spans="1:10" ht="15" customHeight="1" thickBot="1">
      <c r="A11" s="9" t="s">
        <v>30</v>
      </c>
      <c r="B11" s="67">
        <v>670</v>
      </c>
      <c r="C11" s="71">
        <v>420.80000019073486</v>
      </c>
      <c r="D11" s="9" t="s">
        <v>31</v>
      </c>
      <c r="E11" s="66">
        <v>0.86657999999999991</v>
      </c>
      <c r="F11" s="115"/>
      <c r="G11" s="111"/>
      <c r="H11" s="9" t="s">
        <v>32</v>
      </c>
      <c r="I11" s="66">
        <v>29.414491096603793</v>
      </c>
      <c r="J11" s="102">
        <v>53711.685661358788</v>
      </c>
    </row>
    <row r="12" spans="1:10" ht="15" customHeight="1">
      <c r="A12" s="9" t="s">
        <v>33</v>
      </c>
      <c r="B12" s="67">
        <v>425</v>
      </c>
      <c r="C12" s="71">
        <v>220</v>
      </c>
      <c r="D12" s="9" t="s">
        <v>34</v>
      </c>
      <c r="E12" s="151" t="s">
        <v>174</v>
      </c>
      <c r="F12" s="121" t="s">
        <v>208</v>
      </c>
      <c r="G12" s="113" t="s">
        <v>207</v>
      </c>
      <c r="H12" s="9" t="s">
        <v>35</v>
      </c>
      <c r="I12" s="66">
        <v>1.2098288333249432</v>
      </c>
      <c r="J12" s="101" t="s">
        <v>36</v>
      </c>
    </row>
    <row r="13" spans="1:10" ht="15" customHeight="1" thickBot="1">
      <c r="A13" s="9" t="s">
        <v>37</v>
      </c>
      <c r="B13" s="67">
        <v>65.5</v>
      </c>
      <c r="C13" s="71">
        <v>63.350000858306885</v>
      </c>
      <c r="D13" s="9" t="s">
        <v>38</v>
      </c>
      <c r="E13" s="68">
        <v>18</v>
      </c>
      <c r="F13" s="121"/>
      <c r="G13" s="113" t="s">
        <v>209</v>
      </c>
      <c r="H13" s="9" t="s">
        <v>40</v>
      </c>
      <c r="I13" s="66">
        <v>1.0214361444697506</v>
      </c>
      <c r="J13" s="102">
        <v>188.07933044433594</v>
      </c>
    </row>
    <row r="14" spans="1:10" ht="15" customHeight="1" thickBot="1">
      <c r="A14" s="158" t="s">
        <v>41</v>
      </c>
      <c r="B14" s="131">
        <v>455.70001220703125</v>
      </c>
      <c r="C14" s="132">
        <v>455.70001220703125</v>
      </c>
      <c r="D14" s="9" t="s">
        <v>42</v>
      </c>
      <c r="E14" s="49" t="s">
        <v>202</v>
      </c>
      <c r="F14" s="49" t="s">
        <v>211</v>
      </c>
      <c r="G14" s="113" t="s">
        <v>210</v>
      </c>
      <c r="H14" s="47" t="s">
        <v>43</v>
      </c>
      <c r="I14" s="66">
        <v>1.2357628989797664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203</v>
      </c>
      <c r="F15" s="49"/>
      <c r="G15" s="113"/>
      <c r="H15" s="9" t="s">
        <v>47</v>
      </c>
      <c r="I15" s="66">
        <v>0.97811904826498275</v>
      </c>
      <c r="J15" s="102">
        <v>25.660763888888887</v>
      </c>
    </row>
    <row r="16" spans="1:10" ht="15" customHeight="1">
      <c r="A16" s="9" t="s">
        <v>48</v>
      </c>
      <c r="B16" s="49">
        <v>60</v>
      </c>
      <c r="C16" s="50">
        <v>44</v>
      </c>
      <c r="D16" s="9" t="s">
        <v>49</v>
      </c>
      <c r="E16" s="49">
        <v>2</v>
      </c>
      <c r="F16" s="49"/>
      <c r="G16" s="113"/>
      <c r="H16" s="9" t="s">
        <v>50</v>
      </c>
      <c r="I16" s="66">
        <v>0.95650599867242181</v>
      </c>
      <c r="J16" s="103" t="s">
        <v>51</v>
      </c>
    </row>
    <row r="17" spans="1:17" ht="15" customHeight="1" thickBot="1">
      <c r="A17" s="9" t="s">
        <v>52</v>
      </c>
      <c r="B17" s="49" t="s">
        <v>195</v>
      </c>
      <c r="C17" s="50" t="s">
        <v>196</v>
      </c>
      <c r="D17" s="47" t="s">
        <v>53</v>
      </c>
      <c r="E17" s="49" t="s">
        <v>204</v>
      </c>
      <c r="F17" s="49"/>
      <c r="G17" s="113"/>
      <c r="H17" s="9" t="s">
        <v>54</v>
      </c>
      <c r="I17" s="66">
        <v>0.93557673708121603</v>
      </c>
      <c r="J17" s="102">
        <v>760.67018472992345</v>
      </c>
    </row>
    <row r="18" spans="1:17" ht="15" customHeight="1">
      <c r="A18" s="9" t="s">
        <v>55</v>
      </c>
      <c r="B18" s="49" t="s">
        <v>174</v>
      </c>
      <c r="C18" s="71">
        <v>0</v>
      </c>
      <c r="D18" s="9" t="s">
        <v>56</v>
      </c>
      <c r="E18" s="135">
        <v>1135</v>
      </c>
      <c r="F18" s="68">
        <v>758</v>
      </c>
      <c r="G18" s="72"/>
      <c r="H18" s="12" t="s">
        <v>57</v>
      </c>
      <c r="I18" s="129" t="s">
        <v>217</v>
      </c>
      <c r="J18" s="130"/>
    </row>
    <row r="19" spans="1:17" ht="15" customHeight="1">
      <c r="A19" s="9" t="s">
        <v>58</v>
      </c>
      <c r="B19" s="67">
        <v>57</v>
      </c>
      <c r="C19" s="71">
        <v>37.049999237060547</v>
      </c>
      <c r="D19" s="9" t="s">
        <v>59</v>
      </c>
      <c r="E19" s="68">
        <v>180</v>
      </c>
      <c r="F19" s="49"/>
      <c r="G19" s="50"/>
      <c r="H19" s="141"/>
      <c r="I19" s="3" t="s">
        <v>60</v>
      </c>
      <c r="J19" s="30" t="s">
        <v>61</v>
      </c>
    </row>
    <row r="20" spans="1:17" ht="15" customHeight="1">
      <c r="A20" s="9" t="s">
        <v>62</v>
      </c>
      <c r="B20" s="67" t="s">
        <v>197</v>
      </c>
      <c r="C20" s="71">
        <v>10.050000190734863</v>
      </c>
      <c r="D20" s="9" t="s">
        <v>166</v>
      </c>
      <c r="E20" s="163">
        <v>0.10251083141876655</v>
      </c>
      <c r="F20" s="49"/>
      <c r="G20" s="50"/>
      <c r="H20" s="9" t="s">
        <v>63</v>
      </c>
      <c r="I20" s="66">
        <v>19.604923248291016</v>
      </c>
      <c r="J20" s="70">
        <v>19.604923248291016</v>
      </c>
    </row>
    <row r="21" spans="1:17" ht="15" customHeight="1">
      <c r="A21" s="9" t="s">
        <v>64</v>
      </c>
      <c r="B21" s="67">
        <v>12.699999809265137</v>
      </c>
      <c r="C21" s="71">
        <v>3</v>
      </c>
      <c r="D21" s="9" t="s">
        <v>205</v>
      </c>
      <c r="E21" s="65">
        <v>0.13674824073348227</v>
      </c>
      <c r="F21" s="65">
        <v>0.10042371600866318</v>
      </c>
      <c r="G21" s="69">
        <v>1.5977098541378229E-2</v>
      </c>
      <c r="H21" s="9" t="s">
        <v>65</v>
      </c>
      <c r="I21" s="66">
        <v>19.673128128051758</v>
      </c>
      <c r="J21" s="70">
        <v>12.498244285583496</v>
      </c>
    </row>
    <row r="22" spans="1:17" ht="15" customHeight="1">
      <c r="A22" s="9" t="s">
        <v>66</v>
      </c>
      <c r="B22" s="67">
        <v>2.8299999237060547</v>
      </c>
      <c r="C22" s="71">
        <v>2</v>
      </c>
      <c r="D22" s="9" t="s">
        <v>67</v>
      </c>
      <c r="E22" s="49" t="s">
        <v>206</v>
      </c>
      <c r="F22" s="49" t="s">
        <v>206</v>
      </c>
      <c r="G22" s="50" t="s">
        <v>206</v>
      </c>
      <c r="H22" s="9" t="s">
        <v>68</v>
      </c>
      <c r="I22" s="66">
        <v>6.6992859840393066</v>
      </c>
      <c r="J22" s="70">
        <v>4.1079082489013672</v>
      </c>
    </row>
    <row r="23" spans="1:17" ht="15" customHeight="1">
      <c r="A23" s="9" t="s">
        <v>69</v>
      </c>
      <c r="B23" s="67">
        <v>9.5529289245605469</v>
      </c>
      <c r="C23" s="71">
        <v>14.708880424499512</v>
      </c>
      <c r="D23" s="9" t="s">
        <v>70</v>
      </c>
      <c r="E23" s="66">
        <v>1.7419999837875366</v>
      </c>
      <c r="F23" s="66">
        <v>1.7419999837875366</v>
      </c>
      <c r="G23" s="70">
        <v>1.7419999837875366</v>
      </c>
      <c r="H23" s="9" t="s">
        <v>71</v>
      </c>
      <c r="I23" s="66">
        <v>11.437057617524234</v>
      </c>
      <c r="J23" s="15" t="s">
        <v>218</v>
      </c>
    </row>
    <row r="24" spans="1:17" ht="15" customHeight="1">
      <c r="A24" s="9" t="s">
        <v>72</v>
      </c>
      <c r="B24" s="67">
        <v>0</v>
      </c>
      <c r="C24" s="71">
        <v>0.80000001192092896</v>
      </c>
      <c r="D24" s="9" t="s">
        <v>73</v>
      </c>
      <c r="E24" s="66">
        <v>8.8900003433227539</v>
      </c>
      <c r="F24" s="66">
        <v>8.8900003433227539</v>
      </c>
      <c r="G24" s="70">
        <v>8.8900003433227539</v>
      </c>
      <c r="H24" s="9" t="s">
        <v>74</v>
      </c>
      <c r="I24" s="66">
        <v>4.774262119883101</v>
      </c>
      <c r="J24" s="70">
        <v>3.1450257706635636</v>
      </c>
    </row>
    <row r="25" spans="1:17" ht="15" customHeight="1">
      <c r="A25" s="9" t="s">
        <v>75</v>
      </c>
      <c r="B25" s="49" t="s">
        <v>174</v>
      </c>
      <c r="C25" s="71">
        <v>0.80000001192092896</v>
      </c>
      <c r="D25" s="107" t="s">
        <v>76</v>
      </c>
      <c r="E25" s="51"/>
      <c r="F25" s="51"/>
      <c r="G25" s="58"/>
      <c r="H25" s="9" t="s">
        <v>77</v>
      </c>
      <c r="I25" s="66">
        <v>0.25314906239509583</v>
      </c>
      <c r="J25" s="70">
        <v>0.50613385438919067</v>
      </c>
    </row>
    <row r="26" spans="1:17" ht="15" customHeight="1">
      <c r="A26" s="9" t="s">
        <v>78</v>
      </c>
      <c r="B26" s="51" t="s">
        <v>198</v>
      </c>
      <c r="C26" s="58" t="s">
        <v>199</v>
      </c>
      <c r="D26" s="9" t="s">
        <v>79</v>
      </c>
      <c r="E26" s="67">
        <v>88.8871894946287</v>
      </c>
      <c r="F26" s="67">
        <v>108.76986540058135</v>
      </c>
      <c r="G26" s="71">
        <v>38.894228389122041</v>
      </c>
      <c r="H26" s="9" t="s">
        <v>80</v>
      </c>
      <c r="I26" s="66">
        <v>2.665536642074585</v>
      </c>
      <c r="J26" s="70">
        <v>2.167778491973877</v>
      </c>
    </row>
    <row r="27" spans="1:17" ht="15" customHeight="1" thickBot="1">
      <c r="A27" s="9" t="s">
        <v>81</v>
      </c>
      <c r="B27" s="49" t="s">
        <v>200</v>
      </c>
      <c r="C27" s="50" t="s">
        <v>200</v>
      </c>
      <c r="D27" s="10" t="s">
        <v>82</v>
      </c>
      <c r="E27" s="78">
        <v>100.27666570983163</v>
      </c>
      <c r="F27" s="78" t="s">
        <v>174</v>
      </c>
      <c r="G27" s="80" t="s">
        <v>174</v>
      </c>
      <c r="H27" s="10" t="s">
        <v>83</v>
      </c>
      <c r="I27" s="77">
        <v>2.6775305271148682</v>
      </c>
      <c r="J27" s="79">
        <v>2.2260806560516357</v>
      </c>
      <c r="M27" s="169"/>
      <c r="N27" s="169"/>
      <c r="O27" s="169"/>
      <c r="P27" s="169"/>
      <c r="Q27" s="169"/>
    </row>
    <row r="28" spans="1:17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  <c r="M28" s="169"/>
      <c r="N28" s="169"/>
      <c r="O28" s="169"/>
      <c r="P28" s="169"/>
      <c r="Q28" s="169"/>
    </row>
    <row r="29" spans="1:17" ht="15" customHeight="1">
      <c r="A29" s="6"/>
      <c r="B29" s="33" t="s">
        <v>87</v>
      </c>
      <c r="C29" s="73">
        <v>35.001719239581497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70" t="str">
        <f>RIGHT(F$41,SEARCH("/",F$41,1)-1)</f>
        <v xml:space="preserve"> 1784.7</v>
      </c>
      <c r="N29" s="169" t="s">
        <v>186</v>
      </c>
      <c r="O29" s="169"/>
      <c r="P29" s="3" t="s">
        <v>192</v>
      </c>
      <c r="Q29" s="169"/>
    </row>
    <row r="30" spans="1:17" ht="15" customHeight="1" thickBot="1">
      <c r="A30" s="7"/>
      <c r="B30" s="61" t="s">
        <v>94</v>
      </c>
      <c r="C30" s="74">
        <v>35.036186419923645</v>
      </c>
      <c r="D30" s="9" t="s">
        <v>95</v>
      </c>
      <c r="E30" s="164">
        <v>26.310816250000002</v>
      </c>
      <c r="F30" s="164">
        <v>596.96701599121093</v>
      </c>
      <c r="G30" s="164">
        <v>17.246684138895294</v>
      </c>
      <c r="H30" s="165">
        <v>606.6535748605238</v>
      </c>
      <c r="I30" s="68">
        <v>56684.738994782616</v>
      </c>
      <c r="J30" s="72">
        <v>4862.8757897972155</v>
      </c>
      <c r="M30" s="170" t="str">
        <f>RIGHT(E$41,SEARCH("/",E$41,1)-1)</f>
        <v xml:space="preserve"> 1788.6</v>
      </c>
      <c r="N30" s="169" t="s">
        <v>187</v>
      </c>
      <c r="O30" s="169"/>
      <c r="P30" s="171">
        <f>G30*6.4516</f>
        <v>111.26870739049687</v>
      </c>
      <c r="Q30" s="169"/>
    </row>
    <row r="31" spans="1:17" ht="15" customHeight="1">
      <c r="A31" s="22" t="s">
        <v>96</v>
      </c>
      <c r="B31" s="142"/>
      <c r="C31" s="26"/>
      <c r="D31" s="9" t="s">
        <v>97</v>
      </c>
      <c r="E31" s="164">
        <v>5.7</v>
      </c>
      <c r="F31" s="164">
        <v>652.99047413027154</v>
      </c>
      <c r="G31" s="164">
        <v>15.767001164683572</v>
      </c>
      <c r="H31" s="165">
        <v>83.445922086911523</v>
      </c>
      <c r="I31" s="68">
        <v>14888.182810170192</v>
      </c>
      <c r="J31" s="72">
        <v>1104.4833471329976</v>
      </c>
      <c r="M31" s="170" t="str">
        <f>RIGHT(D$41,SEARCH("/",D$41,1)-1)</f>
        <v xml:space="preserve"> 1792.6</v>
      </c>
      <c r="N31" s="169" t="s">
        <v>188</v>
      </c>
      <c r="O31" s="169"/>
      <c r="P31" s="171">
        <f>G31*6.4516</f>
        <v>101.72238471407253</v>
      </c>
      <c r="Q31" s="169"/>
    </row>
    <row r="32" spans="1:17" ht="15" customHeight="1">
      <c r="A32" s="5" t="s">
        <v>98</v>
      </c>
      <c r="B32" s="66" t="s">
        <v>260</v>
      </c>
      <c r="C32" s="108"/>
      <c r="D32" s="9" t="s">
        <v>99</v>
      </c>
      <c r="E32" s="164">
        <v>13.614865729911209</v>
      </c>
      <c r="F32" s="164">
        <v>577.37192328891774</v>
      </c>
      <c r="G32" s="164">
        <v>17.832009404771984</v>
      </c>
      <c r="H32" s="165">
        <v>370.98835827251901</v>
      </c>
      <c r="I32" s="8" t="s">
        <v>100</v>
      </c>
      <c r="J32" s="72">
        <v>5967.359136930213</v>
      </c>
      <c r="M32" s="170" t="str">
        <f>RIGHT(C$41,SEARCH("/",C$41,1)-1)</f>
        <v xml:space="preserve"> 1796.5</v>
      </c>
      <c r="N32" s="169" t="s">
        <v>189</v>
      </c>
      <c r="O32" s="169"/>
      <c r="P32" s="171">
        <f>G32*6.4516</f>
        <v>115.04499187582694</v>
      </c>
      <c r="Q32" s="169"/>
    </row>
    <row r="33" spans="1:17" ht="15" customHeight="1">
      <c r="A33" s="5" t="s">
        <v>101</v>
      </c>
      <c r="B33" s="66" t="s">
        <v>261</v>
      </c>
      <c r="C33" s="109" t="s">
        <v>102</v>
      </c>
      <c r="D33" s="9" t="s">
        <v>97</v>
      </c>
      <c r="E33" s="164">
        <v>3.7049999237060547</v>
      </c>
      <c r="F33" s="164">
        <v>737.31206878958096</v>
      </c>
      <c r="G33" s="164">
        <v>13.963831601239564</v>
      </c>
      <c r="H33" s="165">
        <v>33.805318083387988</v>
      </c>
      <c r="I33" s="8" t="s">
        <v>103</v>
      </c>
      <c r="J33" s="71" t="s">
        <v>229</v>
      </c>
      <c r="M33" s="170" t="str">
        <f>RIGHT(B$41,SEARCH("/",B$41,1)-1)</f>
        <v xml:space="preserve"> 1800.2</v>
      </c>
      <c r="N33" s="169" t="s">
        <v>190</v>
      </c>
      <c r="O33" s="169"/>
      <c r="P33" s="171">
        <f>G33*6.4516</f>
        <v>90.089055958557168</v>
      </c>
      <c r="Q33" s="169"/>
    </row>
    <row r="34" spans="1:17" ht="15" customHeight="1" thickBot="1">
      <c r="A34" s="16" t="s">
        <v>104</v>
      </c>
      <c r="B34" s="77" t="s">
        <v>262</v>
      </c>
      <c r="C34" s="162">
        <v>10.29570156613927</v>
      </c>
      <c r="D34" s="10" t="s">
        <v>20</v>
      </c>
      <c r="E34" s="166">
        <v>0.20999999046325685</v>
      </c>
      <c r="F34" s="167">
        <v>1323.5470130235558</v>
      </c>
      <c r="G34" s="167">
        <v>7.778871067541016</v>
      </c>
      <c r="H34" s="168">
        <v>1299.9491101627823</v>
      </c>
      <c r="I34" s="8" t="s">
        <v>105</v>
      </c>
      <c r="J34" s="71">
        <v>6.0500001907348633</v>
      </c>
      <c r="M34" s="169"/>
      <c r="N34" s="169"/>
      <c r="O34" s="169"/>
      <c r="P34" s="171">
        <f>G34*6.4516</f>
        <v>50.186164579347619</v>
      </c>
      <c r="Q34" s="169"/>
    </row>
    <row r="35" spans="1:17" ht="15" customHeight="1">
      <c r="A35" s="12" t="s">
        <v>106</v>
      </c>
      <c r="B35" s="13"/>
      <c r="C35" s="13"/>
      <c r="D35" s="133" t="s">
        <v>231</v>
      </c>
      <c r="E35" s="143" t="s">
        <v>230</v>
      </c>
      <c r="F35" s="14"/>
      <c r="G35" s="25" t="s">
        <v>107</v>
      </c>
      <c r="H35" s="83" t="s">
        <v>224</v>
      </c>
      <c r="I35" s="9" t="s">
        <v>108</v>
      </c>
      <c r="J35" s="72" t="s">
        <v>228</v>
      </c>
      <c r="M35" s="169"/>
      <c r="N35" s="169"/>
      <c r="O35" s="169"/>
      <c r="P35" s="169"/>
      <c r="Q35" s="169"/>
    </row>
    <row r="36" spans="1:17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222</v>
      </c>
      <c r="I36" s="9" t="s">
        <v>111</v>
      </c>
      <c r="J36" s="72" t="s">
        <v>227</v>
      </c>
      <c r="M36" s="169"/>
      <c r="N36" s="169"/>
      <c r="O36" s="169"/>
      <c r="P36" s="169"/>
      <c r="Q36" s="169"/>
    </row>
    <row r="37" spans="1:17" ht="15" customHeight="1" thickBot="1">
      <c r="A37" s="9" t="s">
        <v>112</v>
      </c>
      <c r="B37" s="174" t="s">
        <v>242</v>
      </c>
      <c r="C37" s="174" t="s">
        <v>243</v>
      </c>
      <c r="D37" s="174" t="s">
        <v>244</v>
      </c>
      <c r="E37" s="174" t="s">
        <v>245</v>
      </c>
      <c r="F37" s="175" t="s">
        <v>246</v>
      </c>
      <c r="G37" s="9" t="s">
        <v>113</v>
      </c>
      <c r="H37" s="72" t="s">
        <v>223</v>
      </c>
      <c r="I37" s="10" t="s">
        <v>114</v>
      </c>
      <c r="J37" s="81" t="s">
        <v>226</v>
      </c>
      <c r="O37" s="148"/>
    </row>
    <row r="38" spans="1:17" ht="15" customHeight="1" thickBot="1">
      <c r="A38" s="9" t="s">
        <v>115</v>
      </c>
      <c r="B38" s="176" t="s">
        <v>233</v>
      </c>
      <c r="C38" s="176" t="s">
        <v>234</v>
      </c>
      <c r="D38" s="176" t="s">
        <v>235</v>
      </c>
      <c r="E38" s="176" t="s">
        <v>236</v>
      </c>
      <c r="F38" s="177" t="s">
        <v>234</v>
      </c>
      <c r="G38" s="16" t="s">
        <v>116</v>
      </c>
      <c r="H38" s="81" t="s">
        <v>225</v>
      </c>
      <c r="I38" s="134" t="s">
        <v>232</v>
      </c>
      <c r="J38" s="82">
        <v>12858.1279296875</v>
      </c>
      <c r="L38" t="str">
        <f>LEFT(E38,SEARCH("/",E38,1)-1)</f>
        <v xml:space="preserve">0.969 </v>
      </c>
      <c r="M38" t="str">
        <f>RIGHT(E38,SEARCH("/",E38,1)-1)</f>
        <v xml:space="preserve"> 0.962</v>
      </c>
      <c r="N38" s="149">
        <f>M38/L38</f>
        <v>0.99277605779153766</v>
      </c>
      <c r="O38" s="148" t="s">
        <v>177</v>
      </c>
    </row>
    <row r="39" spans="1:17" ht="15" customHeight="1">
      <c r="A39" s="9" t="s">
        <v>117</v>
      </c>
      <c r="B39" s="176" t="s">
        <v>237</v>
      </c>
      <c r="C39" s="176" t="s">
        <v>238</v>
      </c>
      <c r="D39" s="176" t="s">
        <v>239</v>
      </c>
      <c r="E39" s="176" t="s">
        <v>240</v>
      </c>
      <c r="F39" s="177" t="s">
        <v>241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0.887 </v>
      </c>
      <c r="M39" t="str">
        <f>RIGHT(E39,SEARCH("/",E39,1)-1)</f>
        <v xml:space="preserve"> 0.886</v>
      </c>
      <c r="N39" s="149">
        <f>M39/L39</f>
        <v>0.99887260428410374</v>
      </c>
      <c r="O39" s="148" t="s">
        <v>178</v>
      </c>
    </row>
    <row r="40" spans="1:17" ht="15" customHeight="1">
      <c r="A40" s="9" t="s">
        <v>119</v>
      </c>
      <c r="B40" s="178" t="s">
        <v>255</v>
      </c>
      <c r="C40" s="178" t="s">
        <v>256</v>
      </c>
      <c r="D40" s="178" t="s">
        <v>257</v>
      </c>
      <c r="E40" s="178" t="s">
        <v>258</v>
      </c>
      <c r="F40" s="179" t="s">
        <v>259</v>
      </c>
      <c r="G40" s="34" t="s">
        <v>121</v>
      </c>
      <c r="H40" s="89" t="s">
        <v>263</v>
      </c>
      <c r="I40" s="53"/>
      <c r="J40" s="54"/>
      <c r="L40" t="str">
        <f>LEFT(E37,SEARCH("/",E37,1)-1)</f>
        <v xml:space="preserve">188.08 </v>
      </c>
      <c r="M40" t="str">
        <f>RIGHT(E37,SEARCH("/",E37,1)-1)</f>
        <v xml:space="preserve"> 189.38</v>
      </c>
      <c r="N40" s="149">
        <f>M40/L40</f>
        <v>1.0069119523606975</v>
      </c>
      <c r="O40" s="148" t="s">
        <v>176</v>
      </c>
    </row>
    <row r="41" spans="1:17" ht="15" customHeight="1">
      <c r="A41" s="9" t="s">
        <v>5</v>
      </c>
      <c r="B41" s="180" t="s">
        <v>250</v>
      </c>
      <c r="C41" s="180" t="s">
        <v>251</v>
      </c>
      <c r="D41" s="180" t="s">
        <v>252</v>
      </c>
      <c r="E41" s="180" t="s">
        <v>253</v>
      </c>
      <c r="F41" s="181" t="s">
        <v>254</v>
      </c>
      <c r="G41" s="35" t="s">
        <v>122</v>
      </c>
      <c r="H41" s="90" t="s">
        <v>264</v>
      </c>
      <c r="I41" s="55"/>
      <c r="J41" s="56"/>
      <c r="L41" t="str">
        <f>LEFT(E41,SEARCH("/",E41,1)-1)</f>
        <v xml:space="preserve">1784.7 </v>
      </c>
      <c r="M41" t="str">
        <f>RIGHT(E41,SEARCH("/",E41,1)-1)</f>
        <v xml:space="preserve"> 1788.6</v>
      </c>
      <c r="N41" s="149">
        <f>M41/L41</f>
        <v>1.0021852412170111</v>
      </c>
      <c r="O41" s="148" t="s">
        <v>5</v>
      </c>
    </row>
    <row r="42" spans="1:17" ht="15" customHeight="1">
      <c r="A42" s="9" t="s">
        <v>123</v>
      </c>
      <c r="B42" s="176">
        <v>5.1765716049173411</v>
      </c>
      <c r="C42" s="176">
        <v>5.1765716049173411</v>
      </c>
      <c r="D42" s="176">
        <v>5.1765716049173411</v>
      </c>
      <c r="E42" s="176">
        <v>5.1587675367783072</v>
      </c>
      <c r="F42" s="177">
        <v>5.1203274571126274</v>
      </c>
      <c r="G42" s="34" t="s">
        <v>124</v>
      </c>
      <c r="H42" s="89" t="s">
        <v>265</v>
      </c>
      <c r="I42" s="53"/>
      <c r="J42" s="95">
        <v>0.22737223660407721</v>
      </c>
    </row>
    <row r="43" spans="1:17" ht="15" customHeight="1" thickBot="1">
      <c r="A43" s="10" t="s">
        <v>125</v>
      </c>
      <c r="B43" s="182">
        <v>5.1765716049173411</v>
      </c>
      <c r="C43" s="183"/>
      <c r="D43" s="184" t="s">
        <v>268</v>
      </c>
      <c r="E43" s="184"/>
      <c r="F43" s="185"/>
      <c r="G43" s="35" t="s">
        <v>122</v>
      </c>
      <c r="H43" s="90" t="s">
        <v>266</v>
      </c>
      <c r="I43" s="55"/>
      <c r="J43" s="56"/>
    </row>
    <row r="44" spans="1:17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2678.1557699657396</v>
      </c>
      <c r="I44" s="88">
        <v>4.3611455945377159E-2</v>
      </c>
      <c r="J44" s="95">
        <v>0.61950540362429618</v>
      </c>
    </row>
    <row r="45" spans="1:17" ht="15" customHeight="1">
      <c r="A45" s="9" t="s">
        <v>129</v>
      </c>
      <c r="B45" s="66">
        <v>0.31743916869163513</v>
      </c>
      <c r="C45" s="159" t="s">
        <v>130</v>
      </c>
      <c r="D45" s="70">
        <v>1.1114292778074741E-2</v>
      </c>
      <c r="E45" s="9" t="s">
        <v>131</v>
      </c>
      <c r="F45" s="72">
        <v>879.74440563735175</v>
      </c>
      <c r="G45" s="36" t="s">
        <v>122</v>
      </c>
      <c r="H45" s="84" t="s">
        <v>267</v>
      </c>
      <c r="I45" s="57"/>
      <c r="J45" s="58"/>
    </row>
    <row r="46" spans="1:17" ht="15" customHeight="1">
      <c r="A46" s="9" t="s">
        <v>132</v>
      </c>
      <c r="B46" s="66">
        <v>0.19441281259059906</v>
      </c>
      <c r="C46" s="159" t="s">
        <v>133</v>
      </c>
      <c r="D46" s="70">
        <v>8.4897764027118683E-3</v>
      </c>
      <c r="E46" s="9" t="s">
        <v>134</v>
      </c>
      <c r="F46" s="72">
        <v>1579.2478800278504</v>
      </c>
      <c r="G46" s="35" t="s">
        <v>135</v>
      </c>
      <c r="H46" s="92">
        <v>596.74907575518023</v>
      </c>
      <c r="I46" s="55"/>
      <c r="J46" s="56"/>
      <c r="L46" s="144" t="s">
        <v>179</v>
      </c>
      <c r="M46" s="146">
        <f>B5^0.95</f>
        <v>1040.606887628888</v>
      </c>
    </row>
    <row r="47" spans="1:17" ht="15" customHeight="1">
      <c r="A47" s="9" t="s">
        <v>136</v>
      </c>
      <c r="B47" s="66">
        <v>0.511851966381073</v>
      </c>
      <c r="C47" s="159" t="s">
        <v>137</v>
      </c>
      <c r="D47" s="70">
        <v>1.7873101169243455E-3</v>
      </c>
      <c r="E47" s="9" t="s">
        <v>138</v>
      </c>
      <c r="F47" s="72">
        <v>1296.1861065581127</v>
      </c>
      <c r="G47" s="62" t="s">
        <v>139</v>
      </c>
      <c r="H47" s="91">
        <v>2564.0276286793787</v>
      </c>
      <c r="I47" s="88">
        <v>4.1662014904297016E-2</v>
      </c>
      <c r="J47" s="93">
        <v>0.634809879430004</v>
      </c>
      <c r="L47" s="144" t="s">
        <v>180</v>
      </c>
      <c r="M47" s="146">
        <f>B5^1.5</f>
        <v>58094.750193111278</v>
      </c>
    </row>
    <row r="48" spans="1:17" ht="15" customHeight="1">
      <c r="A48" s="9" t="s">
        <v>140</v>
      </c>
      <c r="B48" s="66">
        <v>8.5182469338178635E-3</v>
      </c>
      <c r="C48" s="159" t="s">
        <v>100</v>
      </c>
      <c r="D48" s="70">
        <v>2.9909625649452209E-2</v>
      </c>
      <c r="E48" s="9" t="s">
        <v>141</v>
      </c>
      <c r="F48" s="72">
        <v>268.17754785838969</v>
      </c>
      <c r="G48" s="63" t="s">
        <v>122</v>
      </c>
      <c r="H48" s="84">
        <v>229.13562365320632</v>
      </c>
      <c r="I48" s="57"/>
      <c r="J48" s="58"/>
      <c r="L48" s="144" t="s">
        <v>181</v>
      </c>
      <c r="M48" s="145">
        <f>IF(A5="",0,(7200/(1000*A5))^2.4)</f>
        <v>4.0987743736515299</v>
      </c>
    </row>
    <row r="49" spans="1:13" ht="15" customHeight="1" thickBot="1">
      <c r="A49" s="7"/>
      <c r="B49" s="52"/>
      <c r="C49" s="160" t="s">
        <v>142</v>
      </c>
      <c r="D49" s="79">
        <v>0.97009038925170898</v>
      </c>
      <c r="E49" s="10" t="s">
        <v>143</v>
      </c>
      <c r="F49" s="81">
        <v>581.57794017144352</v>
      </c>
      <c r="G49" s="64" t="s">
        <v>135</v>
      </c>
      <c r="H49" s="92">
        <v>582.96929200783779</v>
      </c>
      <c r="I49" s="55"/>
      <c r="J49" s="59"/>
      <c r="L49" s="144" t="s">
        <v>182</v>
      </c>
      <c r="M49" s="145">
        <f>IF(A5="",0,(7200/(1000*A5))^1.8)</f>
        <v>2.8806500970683282</v>
      </c>
    </row>
    <row r="50" spans="1:13" ht="15" customHeight="1">
      <c r="A50" s="12" t="s">
        <v>214</v>
      </c>
      <c r="B50" s="13"/>
      <c r="C50" s="13"/>
      <c r="D50" s="13"/>
      <c r="E50" s="13"/>
      <c r="F50" s="14"/>
      <c r="G50" s="12" t="s">
        <v>144</v>
      </c>
      <c r="H50" s="13"/>
      <c r="I50" s="40"/>
      <c r="J50" s="26"/>
      <c r="L50" s="144" t="s">
        <v>183</v>
      </c>
      <c r="M50" s="147">
        <f>IF(A5=2,27,24)</f>
        <v>24</v>
      </c>
    </row>
    <row r="51" spans="1:13" ht="15" customHeight="1">
      <c r="A51" s="9" t="s">
        <v>145</v>
      </c>
      <c r="B51" s="49">
        <v>44</v>
      </c>
      <c r="C51" s="8" t="s">
        <v>146</v>
      </c>
      <c r="D51" s="67" t="s">
        <v>174</v>
      </c>
      <c r="E51" s="8" t="s">
        <v>147</v>
      </c>
      <c r="F51" s="71" t="s">
        <v>174</v>
      </c>
      <c r="G51" s="8" t="s">
        <v>148</v>
      </c>
      <c r="H51" s="65">
        <v>0.14932790657997697</v>
      </c>
      <c r="I51" s="43" t="s">
        <v>149</v>
      </c>
      <c r="J51" s="37"/>
      <c r="L51" s="144" t="s">
        <v>184</v>
      </c>
      <c r="M51" s="147">
        <v>6.8500000000000005E-2</v>
      </c>
    </row>
    <row r="52" spans="1:13" ht="15" customHeight="1">
      <c r="A52" s="9" t="s">
        <v>58</v>
      </c>
      <c r="B52" s="67">
        <v>37.049999237060547</v>
      </c>
      <c r="C52" s="8" t="s">
        <v>150</v>
      </c>
      <c r="D52" s="67" t="s">
        <v>174</v>
      </c>
      <c r="E52" s="8" t="s">
        <v>151</v>
      </c>
      <c r="F52" s="71" t="s">
        <v>174</v>
      </c>
      <c r="G52" s="8" t="s">
        <v>168</v>
      </c>
      <c r="H52" s="67">
        <v>86765.593678656005</v>
      </c>
      <c r="I52" s="96" t="s">
        <v>247</v>
      </c>
      <c r="J52" s="60"/>
      <c r="L52" s="144" t="s">
        <v>191</v>
      </c>
      <c r="M52" s="161">
        <f>F5</f>
        <v>60</v>
      </c>
    </row>
    <row r="53" spans="1:13" ht="15" customHeight="1">
      <c r="A53" s="9" t="s">
        <v>64</v>
      </c>
      <c r="B53" s="67">
        <v>3</v>
      </c>
      <c r="C53" s="8" t="s">
        <v>152</v>
      </c>
      <c r="D53" s="67" t="s">
        <v>174</v>
      </c>
      <c r="E53" s="8" t="s">
        <v>153</v>
      </c>
      <c r="F53" s="71" t="s">
        <v>174</v>
      </c>
      <c r="G53" s="8" t="s">
        <v>169</v>
      </c>
      <c r="H53" s="66">
        <v>58.382487708940396</v>
      </c>
      <c r="I53" s="42" t="s">
        <v>154</v>
      </c>
      <c r="J53" s="37"/>
      <c r="L53" s="144" t="s">
        <v>185</v>
      </c>
      <c r="M53" s="150">
        <f>IF(F5=60,M50*M46/M48-M51*M47/M49,IF(F5&lt;&gt;60,(60/M52)^2*(M50*M46/M48-M51*M47/M49),0))</f>
        <v>4711.7231823048478</v>
      </c>
    </row>
    <row r="54" spans="1:13" ht="15" customHeight="1">
      <c r="A54" s="9" t="s">
        <v>66</v>
      </c>
      <c r="B54" s="67">
        <v>2</v>
      </c>
      <c r="C54" s="8" t="s">
        <v>155</v>
      </c>
      <c r="D54" s="67" t="s">
        <v>174</v>
      </c>
      <c r="E54" s="8" t="s">
        <v>153</v>
      </c>
      <c r="F54" s="71" t="s">
        <v>174</v>
      </c>
      <c r="G54" s="8" t="s">
        <v>170</v>
      </c>
      <c r="H54" s="68">
        <v>219961</v>
      </c>
      <c r="I54" s="97" t="s">
        <v>248</v>
      </c>
      <c r="J54" s="98" t="s">
        <v>212</v>
      </c>
    </row>
    <row r="55" spans="1:13" ht="15" customHeight="1">
      <c r="A55" s="9" t="s">
        <v>156</v>
      </c>
      <c r="B55" s="67">
        <v>10.050000190734863</v>
      </c>
      <c r="C55" s="8" t="s">
        <v>157</v>
      </c>
      <c r="D55" s="67" t="s">
        <v>174</v>
      </c>
      <c r="E55" s="8" t="s">
        <v>158</v>
      </c>
      <c r="F55" s="71" t="s">
        <v>174</v>
      </c>
      <c r="G55" s="8" t="s">
        <v>159</v>
      </c>
      <c r="H55" s="67">
        <v>1</v>
      </c>
      <c r="I55" s="42" t="s">
        <v>160</v>
      </c>
      <c r="J55" s="37"/>
    </row>
    <row r="56" spans="1:13" ht="15" customHeight="1" thickBot="1">
      <c r="A56" s="10" t="s">
        <v>161</v>
      </c>
      <c r="B56" s="78" t="s">
        <v>174</v>
      </c>
      <c r="C56" s="20" t="s">
        <v>162</v>
      </c>
      <c r="D56" s="78" t="s">
        <v>174</v>
      </c>
      <c r="E56" s="20" t="s">
        <v>163</v>
      </c>
      <c r="F56" s="80" t="s">
        <v>174</v>
      </c>
      <c r="G56" s="20" t="s">
        <v>164</v>
      </c>
      <c r="H56" s="77">
        <v>0.89993499999999993</v>
      </c>
      <c r="I56" s="99" t="s">
        <v>249</v>
      </c>
      <c r="J56" s="59" t="s">
        <v>213</v>
      </c>
    </row>
    <row r="57" spans="1:13" ht="15" customHeight="1">
      <c r="A57" s="22" t="s">
        <v>399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3" ht="15" customHeight="1">
      <c r="A58" s="100" t="s">
        <v>119</v>
      </c>
      <c r="B58" s="3" t="s">
        <v>165</v>
      </c>
      <c r="C58" s="15" t="s">
        <v>400</v>
      </c>
      <c r="D58" s="3" t="s">
        <v>119</v>
      </c>
      <c r="E58" s="3" t="s">
        <v>165</v>
      </c>
      <c r="F58" s="15" t="s">
        <v>401</v>
      </c>
      <c r="G58" s="119"/>
      <c r="H58" s="31"/>
      <c r="I58" s="31"/>
      <c r="J58" s="44"/>
    </row>
    <row r="59" spans="1:13" ht="15" customHeight="1">
      <c r="A59" s="123">
        <v>0</v>
      </c>
      <c r="B59" s="84">
        <v>0</v>
      </c>
      <c r="C59" s="85">
        <v>0.28303822875022888</v>
      </c>
      <c r="D59" s="125">
        <v>0.69999998807907104</v>
      </c>
      <c r="E59" s="84">
        <v>136.0653806652679</v>
      </c>
      <c r="F59" s="85">
        <v>646.6693115234375</v>
      </c>
      <c r="G59" s="119"/>
      <c r="H59" s="31"/>
      <c r="I59" s="31"/>
      <c r="J59" s="44"/>
    </row>
    <row r="60" spans="1:13" ht="15" customHeight="1">
      <c r="A60" s="127">
        <v>9.9999997764825821E-3</v>
      </c>
      <c r="B60" s="84">
        <v>105.17015989326237</v>
      </c>
      <c r="C60" s="85">
        <v>120.48179626464844</v>
      </c>
      <c r="D60" s="125">
        <v>0.80000001192092896</v>
      </c>
      <c r="E60" s="84">
        <v>135.4971130913309</v>
      </c>
      <c r="F60" s="85">
        <v>654.35308837890625</v>
      </c>
      <c r="G60" s="119"/>
      <c r="H60" s="31"/>
      <c r="I60" s="31"/>
      <c r="J60" s="44"/>
    </row>
    <row r="61" spans="1:13" ht="15" customHeight="1">
      <c r="A61" s="127">
        <v>5.000000074505806E-2</v>
      </c>
      <c r="B61" s="84">
        <v>265</v>
      </c>
      <c r="C61" s="85">
        <v>405.32623291015625</v>
      </c>
      <c r="D61" s="125">
        <v>0.89999997615814209</v>
      </c>
      <c r="E61" s="84">
        <v>135.17351237216693</v>
      </c>
      <c r="F61" s="85">
        <v>660.740234375</v>
      </c>
      <c r="G61" s="119"/>
      <c r="H61" s="31"/>
      <c r="I61" s="31"/>
      <c r="J61" s="44"/>
    </row>
    <row r="62" spans="1:13" ht="15" customHeight="1">
      <c r="A62" s="123">
        <v>0.10000000149011612</v>
      </c>
      <c r="B62" s="84">
        <v>209.1216843252318</v>
      </c>
      <c r="C62" s="85">
        <v>511.8990478515625</v>
      </c>
      <c r="D62" s="126">
        <v>1</v>
      </c>
      <c r="E62" s="84">
        <v>135</v>
      </c>
      <c r="F62" s="85">
        <v>666.1375732421875</v>
      </c>
      <c r="G62" s="119"/>
      <c r="H62" s="31"/>
      <c r="I62" s="31"/>
      <c r="J62" s="44"/>
    </row>
    <row r="63" spans="1:13" ht="15" customHeight="1" thickBot="1">
      <c r="A63" s="123">
        <v>0.15000000596046448</v>
      </c>
      <c r="B63" s="84">
        <v>172.04139965533895</v>
      </c>
      <c r="C63" s="85">
        <v>547.99273681640625</v>
      </c>
      <c r="D63" s="378"/>
      <c r="E63" s="86"/>
      <c r="F63" s="379"/>
      <c r="G63" s="119"/>
      <c r="H63" s="31"/>
      <c r="I63" s="31"/>
      <c r="J63" s="44"/>
    </row>
    <row r="64" spans="1:13" ht="15" customHeight="1">
      <c r="A64" s="123">
        <v>0.20000000298023224</v>
      </c>
      <c r="B64" s="84">
        <v>155.17249936487752</v>
      </c>
      <c r="C64" s="85">
        <v>567.07476806640625</v>
      </c>
      <c r="D64" s="380" t="s">
        <v>409</v>
      </c>
      <c r="E64" s="381"/>
      <c r="F64" s="381"/>
      <c r="G64" s="119"/>
      <c r="H64" s="31"/>
      <c r="I64" s="31"/>
      <c r="J64" s="44"/>
    </row>
    <row r="65" spans="1:10" ht="15" customHeight="1">
      <c r="A65" s="123">
        <v>0.30000001192092896</v>
      </c>
      <c r="B65" s="84">
        <v>145.14623985929501</v>
      </c>
      <c r="C65" s="85">
        <v>591.78045654296875</v>
      </c>
      <c r="D65" s="382" t="s">
        <v>403</v>
      </c>
      <c r="E65" s="384" t="s">
        <v>407</v>
      </c>
      <c r="F65" s="384"/>
      <c r="G65" s="119"/>
      <c r="H65" s="31"/>
      <c r="I65" s="31"/>
      <c r="J65" s="44"/>
    </row>
    <row r="66" spans="1:10" ht="15" customHeight="1">
      <c r="A66" s="123">
        <v>0.40000000596046448</v>
      </c>
      <c r="B66" s="84">
        <v>140.91642005674527</v>
      </c>
      <c r="C66" s="85">
        <v>610.1898193359375</v>
      </c>
      <c r="D66" s="382" t="s">
        <v>404</v>
      </c>
      <c r="E66" s="384" t="s">
        <v>408</v>
      </c>
      <c r="F66" s="384"/>
      <c r="G66" s="119"/>
      <c r="H66" s="31"/>
      <c r="I66" s="31"/>
      <c r="J66" s="44"/>
    </row>
    <row r="67" spans="1:10" ht="15" customHeight="1">
      <c r="A67" s="123">
        <v>0.5</v>
      </c>
      <c r="B67" s="84">
        <v>138.5036864446688</v>
      </c>
      <c r="C67" s="85">
        <v>624.99493408203125</v>
      </c>
      <c r="D67" s="382" t="s">
        <v>405</v>
      </c>
      <c r="E67" s="384" t="s">
        <v>410</v>
      </c>
      <c r="F67" s="384"/>
      <c r="G67" s="119"/>
      <c r="H67" s="31"/>
      <c r="I67" s="31"/>
      <c r="J67" s="44"/>
    </row>
    <row r="68" spans="1:10" ht="15" customHeight="1" thickBot="1">
      <c r="A68" s="124">
        <v>0.60000002384185791</v>
      </c>
      <c r="B68" s="86">
        <v>137.00332099769417</v>
      </c>
      <c r="C68" s="87">
        <v>637.03631591796875</v>
      </c>
      <c r="D68" s="383" t="s">
        <v>406</v>
      </c>
      <c r="E68" s="385" t="s">
        <v>411</v>
      </c>
      <c r="F68" s="385"/>
      <c r="G68" s="120"/>
      <c r="H68" s="45"/>
      <c r="I68" s="45"/>
      <c r="J68" s="46"/>
    </row>
    <row r="69" spans="1:10" ht="15" customHeight="1">
      <c r="A69" s="153"/>
      <c r="B69" s="154"/>
      <c r="C69" s="31"/>
      <c r="D69" s="31"/>
      <c r="E69" s="31"/>
      <c r="F69" s="31"/>
      <c r="G69" s="31"/>
      <c r="H69" s="31"/>
      <c r="I69" s="31"/>
      <c r="J69" s="31"/>
    </row>
    <row r="70" spans="1:10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77" t="s">
        <v>402</v>
      </c>
      <c r="B99" s="377"/>
      <c r="C99" s="377"/>
      <c r="D99" s="377"/>
      <c r="E99" s="377"/>
      <c r="F99" s="377"/>
      <c r="G99" s="377"/>
      <c r="H99" s="377"/>
      <c r="I99" s="377"/>
    </row>
    <row r="100" spans="1:9">
      <c r="A100" s="377">
        <v>100</v>
      </c>
      <c r="B100" s="377"/>
      <c r="C100" s="377"/>
      <c r="D100" s="377"/>
      <c r="E100" s="377"/>
      <c r="F100" s="377"/>
      <c r="G100" s="377"/>
      <c r="H100" s="377"/>
      <c r="I100" s="377"/>
    </row>
    <row r="101" spans="1:9">
      <c r="A101" s="377">
        <v>98</v>
      </c>
      <c r="B101" s="377"/>
      <c r="C101" s="377"/>
      <c r="D101" s="377"/>
      <c r="E101" s="377"/>
      <c r="F101" s="377"/>
      <c r="G101" s="377"/>
      <c r="H101" s="377"/>
      <c r="I101" s="377"/>
    </row>
    <row r="102" spans="1:9">
      <c r="A102" s="377">
        <v>87</v>
      </c>
      <c r="B102" s="377"/>
      <c r="C102" s="377"/>
      <c r="D102" s="377"/>
      <c r="E102" s="377"/>
      <c r="F102" s="377"/>
      <c r="G102" s="377"/>
      <c r="H102" s="377"/>
      <c r="I102" s="377"/>
    </row>
    <row r="103" spans="1:9">
      <c r="A103" s="377">
        <v>74</v>
      </c>
      <c r="B103" s="377"/>
      <c r="C103" s="377"/>
      <c r="D103" s="377"/>
      <c r="E103" s="377"/>
      <c r="F103" s="377"/>
      <c r="G103" s="377"/>
      <c r="H103" s="377"/>
      <c r="I103" s="377"/>
    </row>
    <row r="104" spans="1:9">
      <c r="A104" s="377">
        <v>61</v>
      </c>
      <c r="B104" s="377"/>
      <c r="C104" s="377"/>
      <c r="D104" s="377"/>
      <c r="E104" s="377"/>
      <c r="F104" s="377"/>
      <c r="G104" s="377"/>
      <c r="H104" s="377"/>
      <c r="I104" s="377"/>
    </row>
    <row r="105" spans="1:9">
      <c r="A105" s="377">
        <v>50</v>
      </c>
      <c r="B105" s="377"/>
      <c r="C105" s="377"/>
      <c r="D105" s="377"/>
      <c r="E105" s="377"/>
      <c r="F105" s="377"/>
      <c r="G105" s="377"/>
      <c r="H105" s="377"/>
      <c r="I105" s="377"/>
    </row>
    <row r="106" spans="1:9">
      <c r="A106" s="377">
        <v>33</v>
      </c>
      <c r="B106" s="377"/>
      <c r="C106" s="377"/>
      <c r="D106" s="377"/>
      <c r="E106" s="377"/>
      <c r="F106" s="377"/>
      <c r="G106" s="377"/>
      <c r="H106" s="377"/>
      <c r="I106" s="377"/>
    </row>
    <row r="107" spans="1:9">
      <c r="A107" s="377">
        <v>22</v>
      </c>
      <c r="B107" s="377"/>
      <c r="C107" s="377"/>
      <c r="D107" s="377"/>
      <c r="E107" s="377"/>
      <c r="F107" s="377"/>
      <c r="G107" s="377"/>
      <c r="H107" s="377"/>
      <c r="I107" s="377"/>
    </row>
    <row r="108" spans="1:9">
      <c r="A108" s="377">
        <v>14</v>
      </c>
      <c r="B108" s="377"/>
      <c r="C108" s="377"/>
      <c r="D108" s="377"/>
      <c r="E108" s="377"/>
      <c r="F108" s="377"/>
      <c r="G108" s="377"/>
      <c r="H108" s="377"/>
      <c r="I108" s="377"/>
    </row>
    <row r="109" spans="1:9">
      <c r="A109" s="377">
        <v>7.9999995231628418</v>
      </c>
      <c r="B109" s="377"/>
      <c r="C109" s="377"/>
      <c r="D109" s="377"/>
      <c r="E109" s="377"/>
      <c r="F109" s="377"/>
      <c r="G109" s="377"/>
      <c r="H109" s="377"/>
      <c r="I109" s="377"/>
    </row>
    <row r="110" spans="1:9">
      <c r="A110" s="377">
        <v>5.9999995231628418</v>
      </c>
      <c r="B110" s="377"/>
      <c r="C110" s="377"/>
      <c r="D110" s="377"/>
      <c r="E110" s="377"/>
      <c r="F110" s="377"/>
      <c r="G110" s="377"/>
      <c r="H110" s="377"/>
      <c r="I110" s="377"/>
    </row>
    <row r="111" spans="1:9">
      <c r="A111" s="377">
        <v>8.0000009536743164</v>
      </c>
      <c r="B111" s="377"/>
      <c r="C111" s="377"/>
      <c r="D111" s="377"/>
      <c r="E111" s="377"/>
      <c r="F111" s="377"/>
      <c r="G111" s="377"/>
      <c r="H111" s="377"/>
      <c r="I111" s="377"/>
    </row>
    <row r="112" spans="1:9">
      <c r="A112" s="377">
        <v>14.999996185302734</v>
      </c>
      <c r="B112" s="377"/>
      <c r="C112" s="377"/>
      <c r="D112" s="377"/>
      <c r="E112" s="377"/>
      <c r="F112" s="377"/>
      <c r="G112" s="377"/>
      <c r="H112" s="377"/>
      <c r="I112" s="377"/>
    </row>
    <row r="113" spans="1:9">
      <c r="A113" s="377">
        <v>30</v>
      </c>
      <c r="B113" s="377"/>
      <c r="C113" s="377"/>
      <c r="D113" s="377"/>
      <c r="E113" s="377"/>
      <c r="F113" s="377"/>
      <c r="G113" s="377"/>
      <c r="H113" s="377"/>
      <c r="I113" s="377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topLeftCell="A21" zoomScaleNormal="100" workbookViewId="0">
      <selection activeCell="O11" sqref="O11"/>
    </sheetView>
  </sheetViews>
  <sheetFormatPr defaultRowHeight="15.75"/>
  <cols>
    <col min="1" max="1" width="12.140625" style="332" customWidth="1"/>
    <col min="2" max="2" width="6.140625" style="332" customWidth="1"/>
    <col min="3" max="3" width="7.7109375" style="332" customWidth="1"/>
    <col min="4" max="5" width="13.140625" style="332" customWidth="1"/>
    <col min="6" max="6" width="9.42578125" style="332" customWidth="1"/>
    <col min="7" max="7" width="5.7109375" style="332" customWidth="1"/>
    <col min="8" max="8" width="7.85546875" style="332" customWidth="1"/>
    <col min="9" max="9" width="6.5703125" style="332" customWidth="1"/>
    <col min="10" max="11" width="12" style="332" customWidth="1"/>
    <col min="12" max="12" width="16" style="186" customWidth="1"/>
    <col min="13" max="26" width="9.140625" style="186"/>
    <col min="27" max="16384" width="9.140625" style="187"/>
  </cols>
  <sheetData>
    <row r="1" spans="1:26" ht="20.25" customHeight="1">
      <c r="A1" s="612" t="s">
        <v>269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</row>
    <row r="2" spans="1:26" ht="20.25" customHeight="1">
      <c r="A2" s="613" t="s">
        <v>270</v>
      </c>
      <c r="B2" s="613"/>
      <c r="C2" s="613"/>
      <c r="D2" s="613"/>
      <c r="E2" s="613"/>
      <c r="F2" s="613"/>
      <c r="G2" s="613"/>
      <c r="H2" s="613"/>
      <c r="I2" s="613"/>
      <c r="J2" s="613"/>
      <c r="K2" s="613"/>
    </row>
    <row r="3" spans="1:26" ht="18.75" customHeight="1" thickBot="1">
      <c r="A3" s="188" t="s">
        <v>1</v>
      </c>
      <c r="B3" s="189" t="s">
        <v>381</v>
      </c>
      <c r="C3" s="190"/>
      <c r="D3" s="190"/>
      <c r="E3" s="190"/>
      <c r="F3" s="191"/>
      <c r="G3" s="190"/>
      <c r="H3" s="190"/>
      <c r="I3" s="188" t="s">
        <v>271</v>
      </c>
      <c r="J3" s="614" t="s">
        <v>389</v>
      </c>
      <c r="K3" s="614"/>
    </row>
    <row r="4" spans="1:26" s="200" customFormat="1" ht="18.399999999999999" customHeight="1" thickBot="1">
      <c r="A4" s="192" t="s">
        <v>382</v>
      </c>
      <c r="B4" s="193"/>
      <c r="C4" s="194"/>
      <c r="D4" s="194"/>
      <c r="E4" s="194"/>
      <c r="F4" s="194"/>
      <c r="G4" s="194"/>
      <c r="H4" s="194"/>
      <c r="I4" s="194"/>
      <c r="J4" s="194"/>
      <c r="K4" s="195"/>
      <c r="L4" s="196"/>
      <c r="M4" s="196"/>
      <c r="N4" s="196"/>
      <c r="O4" s="196"/>
      <c r="P4" s="196"/>
      <c r="Q4" s="197" t="s">
        <v>272</v>
      </c>
      <c r="R4" s="198"/>
      <c r="S4" s="196"/>
      <c r="T4" s="197" t="s">
        <v>273</v>
      </c>
      <c r="U4" s="199"/>
      <c r="V4" s="196"/>
      <c r="W4" s="196"/>
      <c r="X4" s="196"/>
      <c r="Y4" s="196"/>
      <c r="Z4" s="196"/>
    </row>
    <row r="5" spans="1:26" s="200" customFormat="1" ht="18.399999999999999" customHeight="1">
      <c r="A5" s="615" t="s">
        <v>274</v>
      </c>
      <c r="B5" s="616"/>
      <c r="C5" s="616"/>
      <c r="D5" s="201"/>
      <c r="E5" s="202"/>
      <c r="F5" s="203" t="s">
        <v>275</v>
      </c>
      <c r="G5" s="190"/>
      <c r="H5" s="190"/>
      <c r="I5" s="204"/>
      <c r="J5" s="205" t="s">
        <v>276</v>
      </c>
      <c r="K5" s="206" t="s">
        <v>277</v>
      </c>
      <c r="L5" s="196"/>
      <c r="M5" s="196"/>
      <c r="N5" s="196"/>
      <c r="O5" s="196"/>
      <c r="P5" s="196"/>
      <c r="Q5" s="207" t="s">
        <v>278</v>
      </c>
      <c r="R5" s="208"/>
      <c r="S5" s="196"/>
      <c r="T5" s="207" t="s">
        <v>279</v>
      </c>
      <c r="U5" s="209"/>
      <c r="V5" s="196"/>
      <c r="W5" s="196"/>
      <c r="X5" s="196"/>
      <c r="Y5" s="196"/>
      <c r="Z5" s="196"/>
    </row>
    <row r="6" spans="1:26" s="200" customFormat="1" ht="18.399999999999999" customHeight="1">
      <c r="A6" s="617" t="s">
        <v>67</v>
      </c>
      <c r="B6" s="618"/>
      <c r="C6" s="618"/>
      <c r="D6" s="619" t="s">
        <v>279</v>
      </c>
      <c r="E6" s="620"/>
      <c r="F6" s="566" t="s">
        <v>281</v>
      </c>
      <c r="G6" s="567"/>
      <c r="H6" s="567"/>
      <c r="I6" s="567"/>
      <c r="J6" s="567"/>
      <c r="K6" s="568"/>
      <c r="L6" s="196"/>
      <c r="M6" s="196"/>
      <c r="N6" s="196"/>
      <c r="O6" s="196"/>
      <c r="P6" s="196"/>
      <c r="Q6" s="207" t="s">
        <v>282</v>
      </c>
      <c r="R6" s="208"/>
      <c r="S6" s="196"/>
      <c r="T6" s="207" t="s">
        <v>283</v>
      </c>
      <c r="U6" s="209"/>
      <c r="V6" s="196"/>
      <c r="W6" s="196"/>
      <c r="X6" s="196"/>
      <c r="Y6" s="196"/>
      <c r="Z6" s="196"/>
    </row>
    <row r="7" spans="1:26" s="200" customFormat="1" ht="18.399999999999999" customHeight="1">
      <c r="A7" s="608" t="s">
        <v>20</v>
      </c>
      <c r="B7" s="609"/>
      <c r="C7" s="609"/>
      <c r="D7" s="610">
        <v>2.0999999046325701</v>
      </c>
      <c r="E7" s="611"/>
      <c r="F7" s="210" t="s">
        <v>284</v>
      </c>
      <c r="G7" s="211"/>
      <c r="H7" s="212"/>
      <c r="I7" s="213"/>
      <c r="J7" s="214">
        <v>49</v>
      </c>
      <c r="K7" s="215" t="s">
        <v>174</v>
      </c>
      <c r="L7" s="196"/>
      <c r="M7" s="196"/>
      <c r="N7" s="196"/>
      <c r="O7" s="196"/>
      <c r="P7" s="196"/>
      <c r="Q7" s="207" t="s">
        <v>285</v>
      </c>
      <c r="R7" s="208"/>
      <c r="S7" s="196"/>
      <c r="T7" s="207" t="s">
        <v>280</v>
      </c>
      <c r="U7" s="209"/>
      <c r="V7" s="196"/>
      <c r="W7" s="196"/>
      <c r="X7" s="196"/>
      <c r="Y7" s="196"/>
      <c r="Z7" s="196"/>
    </row>
    <row r="8" spans="1:26" s="200" customFormat="1" ht="18.399999999999999" customHeight="1">
      <c r="A8" s="608" t="s">
        <v>286</v>
      </c>
      <c r="B8" s="609"/>
      <c r="C8" s="609"/>
      <c r="D8" s="596">
        <v>620</v>
      </c>
      <c r="E8" s="592"/>
      <c r="F8" s="216" t="s">
        <v>287</v>
      </c>
      <c r="G8" s="217"/>
      <c r="H8" s="218"/>
      <c r="I8" s="219"/>
      <c r="J8" s="220">
        <v>10312</v>
      </c>
      <c r="K8" s="221" t="s">
        <v>174</v>
      </c>
      <c r="L8" s="196"/>
      <c r="M8" s="196"/>
      <c r="N8" s="196"/>
      <c r="O8" s="196"/>
      <c r="P8" s="196"/>
      <c r="Q8" s="207" t="s">
        <v>288</v>
      </c>
      <c r="R8" s="208"/>
      <c r="S8" s="196"/>
      <c r="T8" s="207" t="s">
        <v>289</v>
      </c>
      <c r="U8" s="209"/>
      <c r="V8" s="196"/>
      <c r="W8" s="196"/>
      <c r="X8" s="196"/>
      <c r="Y8" s="196"/>
      <c r="Z8" s="196"/>
    </row>
    <row r="9" spans="1:26" s="200" customFormat="1" ht="18.399999999999999" customHeight="1">
      <c r="A9" s="603" t="s">
        <v>290</v>
      </c>
      <c r="B9" s="604"/>
      <c r="C9" s="605"/>
      <c r="D9" s="596">
        <v>9</v>
      </c>
      <c r="E9" s="592"/>
      <c r="F9" s="210" t="s">
        <v>291</v>
      </c>
      <c r="G9" s="211"/>
      <c r="H9" s="222">
        <v>3</v>
      </c>
      <c r="I9" s="223" t="s">
        <v>292</v>
      </c>
      <c r="J9" s="224">
        <v>298</v>
      </c>
      <c r="K9" s="221" t="s">
        <v>174</v>
      </c>
      <c r="L9" s="196"/>
      <c r="M9" s="196"/>
      <c r="N9" s="196"/>
      <c r="O9" s="196"/>
      <c r="P9" s="196"/>
      <c r="Q9" s="207" t="s">
        <v>293</v>
      </c>
      <c r="R9" s="208"/>
      <c r="S9" s="196"/>
      <c r="T9" s="207" t="s">
        <v>294</v>
      </c>
      <c r="U9" s="209"/>
      <c r="V9" s="196"/>
      <c r="W9" s="196"/>
      <c r="X9" s="196"/>
      <c r="Y9" s="196"/>
      <c r="Z9" s="196"/>
    </row>
    <row r="10" spans="1:26" s="200" customFormat="1" ht="18.399999999999999" customHeight="1" thickBot="1">
      <c r="A10" s="603" t="s">
        <v>295</v>
      </c>
      <c r="B10" s="604"/>
      <c r="C10" s="605"/>
      <c r="D10" s="579" t="s">
        <v>202</v>
      </c>
      <c r="E10" s="580"/>
      <c r="F10" s="210" t="s">
        <v>296</v>
      </c>
      <c r="G10" s="211"/>
      <c r="H10" s="222">
        <v>3</v>
      </c>
      <c r="I10" s="223" t="s">
        <v>292</v>
      </c>
      <c r="J10" s="224">
        <v>1150</v>
      </c>
      <c r="K10" s="221" t="s">
        <v>174</v>
      </c>
      <c r="L10" s="196"/>
      <c r="M10" s="196"/>
      <c r="N10" s="196"/>
      <c r="O10" s="196"/>
      <c r="P10" s="196"/>
      <c r="Q10" s="207" t="s">
        <v>297</v>
      </c>
      <c r="R10" s="208"/>
      <c r="S10" s="196"/>
      <c r="T10" s="225" t="s">
        <v>298</v>
      </c>
      <c r="U10" s="226"/>
      <c r="V10" s="196"/>
      <c r="W10" s="196"/>
      <c r="X10" s="196"/>
      <c r="Y10" s="196"/>
      <c r="Z10" s="196"/>
    </row>
    <row r="11" spans="1:26" s="200" customFormat="1" ht="18.399999999999999" customHeight="1" thickBot="1">
      <c r="A11" s="603" t="s">
        <v>299</v>
      </c>
      <c r="B11" s="604"/>
      <c r="C11" s="605"/>
      <c r="D11" s="574" t="s">
        <v>203</v>
      </c>
      <c r="E11" s="575"/>
      <c r="F11" s="227" t="s">
        <v>300</v>
      </c>
      <c r="G11" s="228"/>
      <c r="H11" s="229">
        <v>3</v>
      </c>
      <c r="I11" s="223" t="s">
        <v>292</v>
      </c>
      <c r="J11" s="230">
        <v>53712</v>
      </c>
      <c r="K11" s="231" t="s">
        <v>174</v>
      </c>
      <c r="L11" s="196"/>
      <c r="M11" s="196"/>
      <c r="N11" s="196"/>
      <c r="O11" s="196"/>
      <c r="P11" s="196"/>
      <c r="Q11" s="207" t="s">
        <v>301</v>
      </c>
      <c r="R11" s="208"/>
      <c r="S11" s="196"/>
      <c r="T11" s="197" t="s">
        <v>302</v>
      </c>
      <c r="U11" s="199"/>
      <c r="V11" s="196"/>
      <c r="W11" s="196"/>
      <c r="X11" s="196"/>
      <c r="Y11" s="196"/>
      <c r="Z11" s="196"/>
    </row>
    <row r="12" spans="1:26" s="200" customFormat="1" ht="18.399999999999999" customHeight="1" thickBot="1">
      <c r="A12" s="232" t="s">
        <v>303</v>
      </c>
      <c r="C12" s="233"/>
      <c r="D12" s="606" t="s">
        <v>174</v>
      </c>
      <c r="E12" s="607"/>
      <c r="F12" s="576" t="s">
        <v>304</v>
      </c>
      <c r="G12" s="577"/>
      <c r="H12" s="577"/>
      <c r="I12" s="577"/>
      <c r="J12" s="577"/>
      <c r="K12" s="578"/>
      <c r="L12" s="196"/>
      <c r="M12" s="196"/>
      <c r="N12" s="196"/>
      <c r="O12" s="196"/>
      <c r="P12" s="196"/>
      <c r="Q12" s="225" t="s">
        <v>305</v>
      </c>
      <c r="R12" s="234"/>
      <c r="S12" s="196"/>
      <c r="T12" s="196"/>
      <c r="U12" s="196"/>
      <c r="V12" s="196"/>
      <c r="W12" s="196"/>
      <c r="X12" s="196"/>
      <c r="Y12" s="196"/>
      <c r="Z12" s="196"/>
    </row>
    <row r="13" spans="1:26" s="200" customFormat="1" ht="18.399999999999999" customHeight="1">
      <c r="A13" s="603" t="s">
        <v>53</v>
      </c>
      <c r="B13" s="604"/>
      <c r="C13" s="605"/>
      <c r="D13" s="599" t="s">
        <v>384</v>
      </c>
      <c r="E13" s="600"/>
      <c r="F13" s="235"/>
      <c r="G13" s="236" t="s">
        <v>306</v>
      </c>
      <c r="H13" s="237"/>
      <c r="I13" s="238" t="s">
        <v>307</v>
      </c>
      <c r="J13" s="239" t="s">
        <v>398</v>
      </c>
      <c r="K13" s="240" t="s">
        <v>174</v>
      </c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spans="1:26" s="200" customFormat="1" ht="18.399999999999999" customHeight="1">
      <c r="A14" s="603" t="s">
        <v>56</v>
      </c>
      <c r="B14" s="604"/>
      <c r="C14" s="605"/>
      <c r="D14" s="606">
        <v>1135</v>
      </c>
      <c r="E14" s="607"/>
      <c r="F14" s="235"/>
      <c r="G14" s="241" t="s">
        <v>10</v>
      </c>
      <c r="H14" s="242"/>
      <c r="I14" s="242"/>
      <c r="J14" s="224" t="s">
        <v>174</v>
      </c>
      <c r="K14" s="221" t="s">
        <v>174</v>
      </c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spans="1:26" s="200" customFormat="1" ht="18.399999999999999" customHeight="1">
      <c r="A15" s="593" t="s">
        <v>308</v>
      </c>
      <c r="B15" s="594"/>
      <c r="C15" s="595"/>
      <c r="D15" s="572">
        <v>13.536800384521484</v>
      </c>
      <c r="E15" s="573"/>
      <c r="F15" s="235"/>
      <c r="G15" s="241" t="s">
        <v>309</v>
      </c>
      <c r="H15" s="242"/>
      <c r="I15" s="242"/>
      <c r="J15" s="224" t="s">
        <v>174</v>
      </c>
      <c r="K15" s="221" t="s">
        <v>174</v>
      </c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spans="1:26" s="200" customFormat="1" ht="18.399999999999999" customHeight="1">
      <c r="A16" s="569" t="s">
        <v>310</v>
      </c>
      <c r="B16" s="570"/>
      <c r="C16" s="571"/>
      <c r="D16" s="572">
        <v>3.5623998641967773</v>
      </c>
      <c r="E16" s="573"/>
      <c r="F16" s="243"/>
      <c r="G16" s="244" t="s">
        <v>17</v>
      </c>
      <c r="H16" s="245"/>
      <c r="I16" s="245"/>
      <c r="J16" s="230" t="s">
        <v>174</v>
      </c>
      <c r="K16" s="231" t="s">
        <v>174</v>
      </c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spans="1:26" s="200" customFormat="1" ht="18.399999999999999" customHeight="1">
      <c r="A17" s="246" t="s">
        <v>311</v>
      </c>
      <c r="B17" s="247"/>
      <c r="C17" s="248"/>
      <c r="D17" s="574" t="s">
        <v>383</v>
      </c>
      <c r="E17" s="575"/>
      <c r="F17" s="576" t="s">
        <v>312</v>
      </c>
      <c r="G17" s="577"/>
      <c r="H17" s="577"/>
      <c r="I17" s="577"/>
      <c r="J17" s="577"/>
      <c r="K17" s="578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spans="1:26" s="200" customFormat="1" ht="18.399999999999999" customHeight="1">
      <c r="A18" s="249" t="s">
        <v>313</v>
      </c>
      <c r="B18" s="250"/>
      <c r="C18" s="248"/>
      <c r="D18" s="579" t="s">
        <v>174</v>
      </c>
      <c r="E18" s="580"/>
      <c r="F18" s="581"/>
      <c r="G18" s="582"/>
      <c r="H18" s="251" t="s">
        <v>314</v>
      </c>
      <c r="I18" s="252"/>
      <c r="J18" s="220">
        <v>189</v>
      </c>
      <c r="K18" s="221"/>
      <c r="L18" s="196"/>
      <c r="M18" s="196">
        <f>J18*6.5</f>
        <v>1228.5</v>
      </c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spans="1:26" s="200" customFormat="1" ht="18.399999999999999" customHeight="1">
      <c r="A19" s="587" t="s">
        <v>315</v>
      </c>
      <c r="B19" s="588"/>
      <c r="C19" s="589"/>
      <c r="D19" s="590" t="s">
        <v>174</v>
      </c>
      <c r="E19" s="575"/>
      <c r="F19" s="583"/>
      <c r="G19" s="584"/>
      <c r="H19" s="251" t="s">
        <v>5</v>
      </c>
      <c r="I19" s="213"/>
      <c r="J19" s="220">
        <v>1789</v>
      </c>
      <c r="K19" s="221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spans="1:26" s="200" customFormat="1" ht="18.399999999999999" customHeight="1" thickBot="1">
      <c r="A20" s="253" t="s">
        <v>316</v>
      </c>
      <c r="C20" s="254"/>
      <c r="D20" s="591" t="s">
        <v>201</v>
      </c>
      <c r="E20" s="592"/>
      <c r="F20" s="583"/>
      <c r="G20" s="584"/>
      <c r="H20" s="251" t="s">
        <v>317</v>
      </c>
      <c r="I20" s="213"/>
      <c r="J20" s="224" t="s">
        <v>387</v>
      </c>
      <c r="K20" s="221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spans="1:26" s="200" customFormat="1" ht="18.399999999999999" customHeight="1" thickBot="1">
      <c r="A21" s="593" t="s">
        <v>318</v>
      </c>
      <c r="B21" s="594"/>
      <c r="C21" s="595"/>
      <c r="D21" s="596" t="s">
        <v>174</v>
      </c>
      <c r="E21" s="592"/>
      <c r="F21" s="583"/>
      <c r="G21" s="584"/>
      <c r="H21" s="255" t="s">
        <v>319</v>
      </c>
      <c r="I21" s="213"/>
      <c r="J21" s="214">
        <v>1</v>
      </c>
      <c r="K21" s="221"/>
      <c r="L21" s="196"/>
      <c r="M21" s="196"/>
      <c r="N21" s="196"/>
      <c r="O21" s="196"/>
      <c r="P21" s="196"/>
      <c r="Q21" s="197" t="s">
        <v>320</v>
      </c>
      <c r="R21" s="199"/>
      <c r="S21" s="196"/>
      <c r="T21" s="196"/>
      <c r="U21" s="196"/>
      <c r="V21" s="196"/>
      <c r="W21" s="196"/>
      <c r="X21" s="196"/>
      <c r="Y21" s="196"/>
      <c r="Z21" s="196"/>
    </row>
    <row r="22" spans="1:26" s="200" customFormat="1" ht="18.399999999999999" customHeight="1">
      <c r="A22" s="249" t="s">
        <v>321</v>
      </c>
      <c r="B22" s="256"/>
      <c r="C22" s="256"/>
      <c r="D22" s="597">
        <v>0.10249999910593033</v>
      </c>
      <c r="E22" s="598"/>
      <c r="F22" s="583"/>
      <c r="G22" s="584"/>
      <c r="H22" s="251" t="s">
        <v>276</v>
      </c>
      <c r="I22" s="213"/>
      <c r="J22" s="224" t="s">
        <v>174</v>
      </c>
      <c r="K22" s="221"/>
      <c r="L22" s="196"/>
      <c r="M22" s="196"/>
      <c r="N22" s="196"/>
      <c r="O22" s="196"/>
      <c r="P22" s="196"/>
      <c r="Q22" s="207" t="s">
        <v>323</v>
      </c>
      <c r="R22" s="209"/>
      <c r="S22" s="196"/>
      <c r="T22" s="196"/>
      <c r="U22" s="196"/>
      <c r="V22" s="196"/>
      <c r="W22" s="196"/>
      <c r="X22" s="196"/>
      <c r="Y22" s="196"/>
      <c r="Z22" s="196"/>
    </row>
    <row r="23" spans="1:26" s="200" customFormat="1" ht="18.399999999999999" customHeight="1">
      <c r="A23" s="257" t="s">
        <v>324</v>
      </c>
      <c r="B23" s="258" t="s">
        <v>325</v>
      </c>
      <c r="C23" s="259"/>
      <c r="D23" s="599">
        <v>195.6</v>
      </c>
      <c r="E23" s="600"/>
      <c r="F23" s="583"/>
      <c r="G23" s="584"/>
      <c r="H23" s="260" t="s">
        <v>326</v>
      </c>
      <c r="I23" s="261"/>
      <c r="J23" s="262">
        <v>96.2</v>
      </c>
      <c r="K23" s="263"/>
      <c r="L23" s="196"/>
      <c r="Q23" s="207" t="s">
        <v>327</v>
      </c>
      <c r="R23" s="209"/>
      <c r="S23" s="196"/>
      <c r="T23" s="196"/>
      <c r="U23" s="196"/>
      <c r="V23" s="196"/>
      <c r="W23" s="196"/>
      <c r="X23" s="196"/>
      <c r="Y23" s="196"/>
      <c r="Z23" s="196"/>
    </row>
    <row r="24" spans="1:26" s="200" customFormat="1" ht="18.399999999999999" customHeight="1" thickBot="1">
      <c r="A24" s="264" t="s">
        <v>328</v>
      </c>
      <c r="B24" s="265" t="s">
        <v>329</v>
      </c>
      <c r="C24" s="266"/>
      <c r="D24" s="601">
        <v>220.6</v>
      </c>
      <c r="E24" s="602"/>
      <c r="F24" s="583"/>
      <c r="G24" s="584"/>
      <c r="H24" s="251" t="s">
        <v>330</v>
      </c>
      <c r="I24" s="233"/>
      <c r="J24" s="267" t="s">
        <v>174</v>
      </c>
      <c r="K24" s="268"/>
      <c r="Q24" s="269" t="s">
        <v>174</v>
      </c>
      <c r="R24" s="270"/>
      <c r="S24" s="196"/>
      <c r="T24" s="196"/>
      <c r="U24" s="196"/>
      <c r="V24" s="196"/>
      <c r="W24" s="196"/>
      <c r="X24" s="196"/>
      <c r="Y24" s="196"/>
      <c r="Z24" s="196"/>
    </row>
    <row r="25" spans="1:26" s="200" customFormat="1" ht="18.399999999999999" customHeight="1">
      <c r="A25" s="271" t="s">
        <v>331</v>
      </c>
      <c r="B25" s="272"/>
      <c r="C25" s="272"/>
      <c r="D25" s="273"/>
      <c r="E25" s="273" t="s">
        <v>332</v>
      </c>
      <c r="F25" s="583"/>
      <c r="G25" s="584"/>
      <c r="H25" s="251" t="s">
        <v>333</v>
      </c>
      <c r="I25" s="233"/>
      <c r="J25" s="274">
        <v>88.5</v>
      </c>
      <c r="K25" s="268"/>
      <c r="R25" s="196"/>
      <c r="S25" s="196"/>
      <c r="T25" s="196"/>
      <c r="U25" s="196"/>
      <c r="V25" s="196"/>
      <c r="W25" s="196"/>
      <c r="X25" s="196"/>
      <c r="Y25" s="196"/>
      <c r="Z25" s="196"/>
    </row>
    <row r="26" spans="1:26" s="200" customFormat="1" ht="18.399999999999999" customHeight="1">
      <c r="A26" s="275" t="s">
        <v>334</v>
      </c>
      <c r="B26" s="276"/>
      <c r="C26" s="277"/>
      <c r="D26" s="278" t="s">
        <v>386</v>
      </c>
      <c r="E26" s="278" t="s">
        <v>388</v>
      </c>
      <c r="F26" s="585"/>
      <c r="G26" s="586"/>
      <c r="H26" s="548"/>
      <c r="I26" s="549"/>
      <c r="J26" s="279"/>
      <c r="K26" s="280"/>
      <c r="R26" s="196"/>
      <c r="S26" s="196"/>
      <c r="T26" s="196"/>
      <c r="U26" s="196"/>
      <c r="V26" s="196"/>
      <c r="W26" s="196"/>
      <c r="X26" s="196"/>
      <c r="Y26" s="196"/>
      <c r="Z26" s="196"/>
    </row>
    <row r="27" spans="1:26" s="200" customFormat="1" ht="18.399999999999999" customHeight="1">
      <c r="A27" s="558" t="s">
        <v>335</v>
      </c>
      <c r="B27" s="559"/>
      <c r="C27" s="559"/>
      <c r="D27" s="559"/>
      <c r="E27" s="559"/>
      <c r="F27" s="566" t="s">
        <v>336</v>
      </c>
      <c r="G27" s="567"/>
      <c r="H27" s="567"/>
      <c r="I27" s="567"/>
      <c r="J27" s="567"/>
      <c r="K27" s="568"/>
      <c r="R27" s="196"/>
      <c r="S27" s="196"/>
      <c r="T27" s="196"/>
      <c r="U27" s="196"/>
      <c r="V27" s="196"/>
      <c r="W27" s="196"/>
      <c r="X27" s="196"/>
      <c r="Y27" s="196"/>
      <c r="Z27" s="196"/>
    </row>
    <row r="28" spans="1:26" s="200" customFormat="1" ht="18.399999999999999" customHeight="1">
      <c r="A28" s="552"/>
      <c r="B28" s="553"/>
      <c r="C28" s="553"/>
      <c r="D28" s="553"/>
      <c r="E28" s="554"/>
      <c r="F28" s="281"/>
      <c r="G28" s="282"/>
      <c r="H28" s="241" t="s">
        <v>337</v>
      </c>
      <c r="I28" s="283" t="s">
        <v>385</v>
      </c>
      <c r="J28" s="220">
        <v>1259</v>
      </c>
      <c r="K28" s="284" t="s">
        <v>174</v>
      </c>
      <c r="M28" s="200">
        <f>(J28/J18)*100</f>
        <v>666.13756613756618</v>
      </c>
      <c r="N28" s="285"/>
      <c r="O28" s="285"/>
      <c r="R28" s="196"/>
      <c r="S28" s="196"/>
      <c r="T28" s="196"/>
      <c r="U28" s="196"/>
      <c r="V28" s="196"/>
      <c r="W28" s="196"/>
      <c r="X28" s="196"/>
      <c r="Y28" s="196"/>
      <c r="Z28" s="196"/>
    </row>
    <row r="29" spans="1:26" s="200" customFormat="1" ht="18.399999999999999" customHeight="1">
      <c r="A29" s="552"/>
      <c r="B29" s="553"/>
      <c r="C29" s="553"/>
      <c r="D29" s="553"/>
      <c r="E29" s="554"/>
      <c r="F29" s="286"/>
      <c r="G29" s="287"/>
      <c r="H29" s="241" t="s">
        <v>338</v>
      </c>
      <c r="I29" s="288">
        <v>60</v>
      </c>
      <c r="J29" s="220">
        <v>137</v>
      </c>
      <c r="K29" s="289" t="s">
        <v>174</v>
      </c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spans="1:26" s="200" customFormat="1" ht="18.399999999999999" customHeight="1">
      <c r="A30" s="552"/>
      <c r="B30" s="553"/>
      <c r="C30" s="553"/>
      <c r="D30" s="553"/>
      <c r="E30" s="554"/>
      <c r="F30" s="286"/>
      <c r="G30" s="287"/>
      <c r="H30" s="241" t="s">
        <v>339</v>
      </c>
      <c r="I30" s="288">
        <v>175</v>
      </c>
      <c r="J30" s="220">
        <v>265</v>
      </c>
      <c r="K30" s="290" t="s">
        <v>174</v>
      </c>
      <c r="L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spans="1:26" s="200" customFormat="1" ht="18.399999999999999" customHeight="1">
      <c r="A31" s="552"/>
      <c r="B31" s="553"/>
      <c r="C31" s="553"/>
      <c r="D31" s="553"/>
      <c r="E31" s="554"/>
      <c r="F31" s="286"/>
      <c r="G31" s="287"/>
      <c r="H31" s="241" t="s">
        <v>340</v>
      </c>
      <c r="I31" s="242"/>
      <c r="J31" s="291">
        <v>0.63</v>
      </c>
      <c r="K31" s="215" t="s">
        <v>174</v>
      </c>
      <c r="L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spans="1:26" s="200" customFormat="1" ht="18.399999999999999" customHeight="1">
      <c r="A32" s="555"/>
      <c r="B32" s="556"/>
      <c r="C32" s="556"/>
      <c r="D32" s="556"/>
      <c r="E32" s="557"/>
      <c r="F32" s="286"/>
      <c r="G32" s="292" t="s">
        <v>341</v>
      </c>
      <c r="H32" s="241" t="s">
        <v>342</v>
      </c>
      <c r="I32" s="293"/>
      <c r="J32" s="214">
        <v>96.2</v>
      </c>
      <c r="K32" s="289" t="s">
        <v>174</v>
      </c>
      <c r="L32" s="196"/>
      <c r="N32" s="294"/>
      <c r="R32" s="196"/>
      <c r="S32" s="196"/>
      <c r="T32" s="196"/>
      <c r="U32" s="196"/>
      <c r="V32" s="196"/>
      <c r="W32" s="196"/>
      <c r="X32" s="196"/>
      <c r="Y32" s="196"/>
      <c r="Z32" s="196"/>
    </row>
    <row r="33" spans="1:26" s="200" customFormat="1" ht="18.399999999999999" customHeight="1">
      <c r="A33" s="558" t="s">
        <v>343</v>
      </c>
      <c r="B33" s="559"/>
      <c r="C33" s="559"/>
      <c r="D33" s="559"/>
      <c r="E33" s="560"/>
      <c r="F33" s="295"/>
      <c r="G33" s="296"/>
      <c r="H33" s="297" t="s">
        <v>344</v>
      </c>
      <c r="I33" s="298"/>
      <c r="J33" s="299">
        <v>88.6</v>
      </c>
      <c r="K33" s="300" t="s">
        <v>174</v>
      </c>
      <c r="L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spans="1:26" s="200" customFormat="1" ht="18.399999999999999" customHeight="1">
      <c r="A34" s="552"/>
      <c r="B34" s="553"/>
      <c r="C34" s="553"/>
      <c r="D34" s="553"/>
      <c r="E34" s="554"/>
      <c r="F34" s="216" t="s">
        <v>345</v>
      </c>
      <c r="G34" s="301"/>
      <c r="H34" s="302" t="s">
        <v>14</v>
      </c>
      <c r="I34" s="303"/>
      <c r="J34" s="304">
        <v>14896</v>
      </c>
      <c r="K34" s="305" t="s">
        <v>174</v>
      </c>
      <c r="L34" s="306"/>
      <c r="M34" s="307"/>
      <c r="R34" s="196"/>
      <c r="S34" s="196"/>
      <c r="T34" s="196"/>
      <c r="U34" s="196"/>
      <c r="V34" s="196"/>
      <c r="W34" s="196"/>
      <c r="X34" s="196"/>
      <c r="Y34" s="196"/>
      <c r="Z34" s="196"/>
    </row>
    <row r="35" spans="1:26" s="200" customFormat="1" ht="18.399999999999999" customHeight="1">
      <c r="A35" s="552"/>
      <c r="B35" s="553"/>
      <c r="C35" s="553"/>
      <c r="D35" s="553"/>
      <c r="E35" s="554"/>
      <c r="F35" s="235"/>
      <c r="G35" s="308"/>
      <c r="H35" s="309" t="s">
        <v>15</v>
      </c>
      <c r="I35" s="310"/>
      <c r="J35" s="220">
        <v>7201</v>
      </c>
      <c r="K35" s="215" t="s">
        <v>174</v>
      </c>
      <c r="L35" s="311"/>
      <c r="M35" s="307"/>
      <c r="R35" s="196"/>
      <c r="S35" s="196"/>
      <c r="T35" s="196"/>
      <c r="U35" s="196"/>
      <c r="V35" s="196"/>
      <c r="W35" s="196"/>
      <c r="X35" s="196"/>
      <c r="Y35" s="196"/>
      <c r="Z35" s="196"/>
    </row>
    <row r="36" spans="1:26" s="200" customFormat="1" ht="18.399999999999999" customHeight="1">
      <c r="A36" s="552"/>
      <c r="B36" s="553"/>
      <c r="C36" s="553"/>
      <c r="D36" s="553"/>
      <c r="E36" s="554"/>
      <c r="F36" s="235"/>
      <c r="G36" s="308"/>
      <c r="H36" s="309" t="s">
        <v>346</v>
      </c>
      <c r="I36" s="310"/>
      <c r="J36" s="220">
        <v>6219</v>
      </c>
      <c r="K36" s="215" t="s">
        <v>174</v>
      </c>
      <c r="L36" s="311"/>
      <c r="M36" s="285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spans="1:26" s="200" customFormat="1" ht="18.399999999999999" customHeight="1">
      <c r="A37" s="552"/>
      <c r="B37" s="553"/>
      <c r="C37" s="553"/>
      <c r="D37" s="553"/>
      <c r="E37" s="554"/>
      <c r="F37" s="286"/>
      <c r="G37" s="308"/>
      <c r="H37" s="309" t="s">
        <v>347</v>
      </c>
      <c r="I37" s="310"/>
      <c r="J37" s="220">
        <v>2758</v>
      </c>
      <c r="K37" s="215" t="s">
        <v>174</v>
      </c>
      <c r="L37" s="311"/>
      <c r="M37" s="285"/>
      <c r="N37" s="311"/>
      <c r="R37" s="196"/>
      <c r="S37" s="196"/>
      <c r="T37" s="196"/>
      <c r="U37" s="196"/>
      <c r="V37" s="196"/>
      <c r="W37" s="196"/>
      <c r="X37" s="196"/>
      <c r="Y37" s="196"/>
      <c r="Z37" s="196"/>
    </row>
    <row r="38" spans="1:26" s="200" customFormat="1" ht="18.399999999999999" customHeight="1">
      <c r="A38" s="555"/>
      <c r="B38" s="556"/>
      <c r="C38" s="556"/>
      <c r="D38" s="556"/>
      <c r="E38" s="557"/>
      <c r="F38" s="243"/>
      <c r="G38" s="312"/>
      <c r="H38" s="313" t="s">
        <v>348</v>
      </c>
      <c r="I38" s="314"/>
      <c r="J38" s="315">
        <v>12858</v>
      </c>
      <c r="K38" s="316" t="s">
        <v>174</v>
      </c>
      <c r="R38" s="196"/>
      <c r="S38" s="196"/>
      <c r="T38" s="196"/>
      <c r="U38" s="196"/>
      <c r="V38" s="196"/>
      <c r="W38" s="196"/>
      <c r="X38" s="196"/>
      <c r="Y38" s="196"/>
      <c r="Z38" s="196"/>
    </row>
    <row r="39" spans="1:26" s="200" customFormat="1" ht="18.399999999999999" customHeight="1">
      <c r="A39" s="558" t="s">
        <v>349</v>
      </c>
      <c r="B39" s="559"/>
      <c r="C39" s="559"/>
      <c r="D39" s="559"/>
      <c r="E39" s="559"/>
      <c r="F39" s="317" t="s">
        <v>350</v>
      </c>
      <c r="G39" s="318"/>
      <c r="H39" s="321"/>
      <c r="I39" s="318"/>
      <c r="J39" s="318"/>
      <c r="K39" s="319"/>
      <c r="R39" s="196"/>
      <c r="S39" s="196"/>
      <c r="T39" s="196"/>
      <c r="U39" s="196"/>
      <c r="V39" s="196"/>
      <c r="W39" s="196"/>
      <c r="X39" s="196"/>
      <c r="Y39" s="196"/>
      <c r="Z39" s="196"/>
    </row>
    <row r="40" spans="1:26" s="200" customFormat="1" ht="18.399999999999999" customHeight="1">
      <c r="A40" s="552"/>
      <c r="B40" s="553"/>
      <c r="C40" s="553"/>
      <c r="D40" s="553"/>
      <c r="E40" s="554"/>
      <c r="F40" s="320" t="s">
        <v>390</v>
      </c>
      <c r="G40" s="321" t="s">
        <v>391</v>
      </c>
      <c r="H40" s="371"/>
      <c r="I40" s="321"/>
      <c r="J40" s="321"/>
      <c r="K40" s="322"/>
      <c r="R40" s="196"/>
      <c r="S40" s="196"/>
      <c r="T40" s="196"/>
      <c r="U40" s="196"/>
      <c r="V40" s="196"/>
      <c r="W40" s="196"/>
      <c r="X40" s="196"/>
      <c r="Y40" s="196"/>
      <c r="Z40" s="196"/>
    </row>
    <row r="41" spans="1:26" s="200" customFormat="1" ht="18.399999999999999" customHeight="1">
      <c r="A41" s="552"/>
      <c r="B41" s="553"/>
      <c r="C41" s="553"/>
      <c r="D41" s="553"/>
      <c r="E41" s="554"/>
      <c r="F41" s="320"/>
      <c r="G41" s="371" t="s">
        <v>392</v>
      </c>
      <c r="H41" s="371"/>
      <c r="I41" s="323"/>
      <c r="J41" s="323"/>
      <c r="K41" s="324"/>
      <c r="L41" s="325"/>
      <c r="R41" s="196"/>
      <c r="S41" s="196"/>
      <c r="T41" s="196"/>
      <c r="U41" s="196"/>
      <c r="V41" s="196"/>
      <c r="W41" s="196"/>
      <c r="X41" s="196"/>
      <c r="Y41" s="196"/>
      <c r="Z41" s="196"/>
    </row>
    <row r="42" spans="1:26" s="200" customFormat="1" ht="18.399999999999999" customHeight="1">
      <c r="A42" s="552"/>
      <c r="B42" s="553"/>
      <c r="C42" s="553"/>
      <c r="D42" s="553"/>
      <c r="E42" s="554"/>
      <c r="F42" s="320"/>
      <c r="G42" s="371" t="s">
        <v>393</v>
      </c>
      <c r="H42" s="371"/>
      <c r="I42" s="323"/>
      <c r="J42" s="323"/>
      <c r="K42" s="324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spans="1:26" s="200" customFormat="1" ht="18.399999999999999" customHeight="1">
      <c r="A43" s="552"/>
      <c r="B43" s="553"/>
      <c r="C43" s="553"/>
      <c r="D43" s="553"/>
      <c r="E43" s="554"/>
      <c r="F43" s="320"/>
      <c r="G43" s="371"/>
      <c r="H43" s="371"/>
      <c r="I43" s="323"/>
      <c r="J43" s="323"/>
      <c r="K43" s="324"/>
      <c r="L43" s="196"/>
      <c r="M43" s="196"/>
      <c r="N43" s="196"/>
      <c r="O43" s="196"/>
      <c r="P43" s="371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spans="1:26" s="200" customFormat="1" ht="17.100000000000001" customHeight="1" thickBot="1">
      <c r="A44" s="561"/>
      <c r="B44" s="562"/>
      <c r="C44" s="562"/>
      <c r="D44" s="562"/>
      <c r="E44" s="563"/>
      <c r="F44" s="320"/>
      <c r="G44" s="371" t="s">
        <v>396</v>
      </c>
      <c r="H44" s="371"/>
      <c r="I44" s="323"/>
      <c r="J44" s="323"/>
      <c r="K44" s="324"/>
      <c r="L44" s="196"/>
      <c r="M44" s="196"/>
      <c r="N44" s="196"/>
      <c r="O44" s="196" t="s">
        <v>761</v>
      </c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spans="1:26" s="200" customFormat="1" ht="17.100000000000001" customHeight="1">
      <c r="A45" s="326" t="s">
        <v>351</v>
      </c>
      <c r="B45" s="564"/>
      <c r="C45" s="565"/>
      <c r="D45" s="327" t="s">
        <v>352</v>
      </c>
      <c r="E45" s="375" t="s">
        <v>397</v>
      </c>
      <c r="F45" s="328"/>
      <c r="G45" s="371" t="s">
        <v>394</v>
      </c>
      <c r="H45" s="371"/>
      <c r="I45" s="323"/>
      <c r="J45" s="323"/>
      <c r="K45" s="324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spans="1:26" s="200" customFormat="1" ht="17.100000000000001" customHeight="1" thickBot="1">
      <c r="A46" s="329" t="s">
        <v>353</v>
      </c>
      <c r="B46" s="550"/>
      <c r="C46" s="551"/>
      <c r="D46" s="330" t="s">
        <v>353</v>
      </c>
      <c r="E46" s="376">
        <v>37726</v>
      </c>
      <c r="F46" s="331"/>
      <c r="G46" s="372" t="s">
        <v>395</v>
      </c>
      <c r="H46" s="373"/>
      <c r="I46" s="373"/>
      <c r="J46" s="373"/>
      <c r="K46" s="374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spans="1:26" s="200" customFormat="1" ht="17.100000000000001" customHeight="1">
      <c r="F47" s="332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</row>
    <row r="48" spans="1:26" s="200" customFormat="1" ht="17.100000000000001" customHeight="1">
      <c r="F48" s="196"/>
      <c r="G48" s="196"/>
      <c r="H48" s="196"/>
      <c r="I48" s="196"/>
      <c r="J48" s="196"/>
      <c r="K48" s="196"/>
    </row>
    <row r="49" spans="2:26" ht="17.100000000000001" customHeight="1">
      <c r="F49" s="186"/>
      <c r="G49" s="186"/>
      <c r="H49" s="186"/>
      <c r="I49" s="186"/>
      <c r="J49" s="186"/>
      <c r="K49" s="186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spans="2:26">
      <c r="I50" s="186"/>
      <c r="J50" s="186"/>
      <c r="K50" s="186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spans="2:26">
      <c r="I51" s="186"/>
      <c r="J51" s="186"/>
      <c r="K51" s="186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spans="2:26">
      <c r="B52" s="186"/>
      <c r="C52" s="186"/>
      <c r="I52" s="186"/>
      <c r="J52" s="186"/>
      <c r="K52" s="186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spans="2:26">
      <c r="I53" s="186"/>
      <c r="J53" s="186"/>
      <c r="K53" s="186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B46:C46"/>
    <mergeCell ref="A28:E32"/>
    <mergeCell ref="A33:E33"/>
    <mergeCell ref="A34:E38"/>
    <mergeCell ref="A39:E39"/>
    <mergeCell ref="A40:E44"/>
    <mergeCell ref="B45:C45"/>
    <mergeCell ref="A27:E27"/>
    <mergeCell ref="F27:K27"/>
  </mergeCells>
  <dataValidations disablePrompts="1" count="3">
    <dataValidation type="list" allowBlank="1" showErrorMessage="1" error="Choose from list!" sqref="D21" xr:uid="{00000000-0002-0000-0100-000000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1000000}">
      <formula1>$Q$5:$Q$12</formula1>
    </dataValidation>
    <dataValidation type="list" allowBlank="1" showInputMessage="1" sqref="D6:E6" xr:uid="{00000000-0002-0000-0100-000002000000}">
      <formula1>$T$5:$T$10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zoomScale="75" zoomScaleNormal="75" workbookViewId="0">
      <selection activeCell="K4" sqref="K4"/>
    </sheetView>
  </sheetViews>
  <sheetFormatPr defaultColWidth="9.140625" defaultRowHeight="12.75"/>
  <cols>
    <col min="1" max="1" width="9.140625" style="338" customWidth="1"/>
    <col min="2" max="2" width="18.140625" style="338" customWidth="1"/>
    <col min="3" max="3" width="21.5703125" style="338" customWidth="1"/>
    <col min="4" max="4" width="21.28515625" style="338" bestFit="1" customWidth="1"/>
    <col min="5" max="5" width="6.85546875" style="338" bestFit="1" customWidth="1"/>
    <col min="6" max="6" width="29.85546875" style="338" customWidth="1"/>
    <col min="7" max="7" width="43.7109375" style="338" customWidth="1"/>
    <col min="8" max="8" width="17.140625" style="338" customWidth="1"/>
    <col min="9" max="9" width="7.85546875" style="338" customWidth="1"/>
    <col min="10" max="10" width="2.28515625" style="338" bestFit="1" customWidth="1"/>
    <col min="11" max="12" width="2.28515625" style="338" customWidth="1"/>
    <col min="13" max="13" width="2.5703125" style="338" bestFit="1" customWidth="1"/>
    <col min="14" max="14" width="2.28515625" style="338" bestFit="1" customWidth="1"/>
    <col min="15" max="16384" width="9.140625" style="338"/>
  </cols>
  <sheetData>
    <row r="1" spans="2:14" ht="12.75" customHeight="1">
      <c r="B1" s="333"/>
      <c r="C1" s="334"/>
      <c r="D1" s="334"/>
      <c r="E1" s="334"/>
      <c r="F1" s="334"/>
      <c r="G1" s="334"/>
      <c r="H1" s="335"/>
      <c r="I1" s="336"/>
      <c r="J1" s="337" t="s">
        <v>354</v>
      </c>
      <c r="K1" s="337" t="s">
        <v>355</v>
      </c>
      <c r="L1" s="337" t="s">
        <v>356</v>
      </c>
      <c r="M1" s="337" t="s">
        <v>355</v>
      </c>
      <c r="N1" s="337"/>
    </row>
    <row r="2" spans="2:14" ht="12.75" customHeight="1">
      <c r="B2" s="645" t="s">
        <v>357</v>
      </c>
      <c r="C2" s="646"/>
      <c r="D2" s="646"/>
      <c r="E2" s="646"/>
      <c r="F2" s="646"/>
      <c r="G2" s="646"/>
      <c r="H2" s="339"/>
      <c r="I2" s="340"/>
      <c r="J2" s="341" t="s">
        <v>358</v>
      </c>
      <c r="K2" s="341" t="s">
        <v>359</v>
      </c>
      <c r="L2" s="341" t="s">
        <v>360</v>
      </c>
      <c r="M2" s="341" t="s">
        <v>361</v>
      </c>
      <c r="N2" s="341" t="s">
        <v>362</v>
      </c>
    </row>
    <row r="3" spans="2:14" ht="12.75" customHeight="1">
      <c r="B3" s="645"/>
      <c r="C3" s="646"/>
      <c r="D3" s="646"/>
      <c r="E3" s="646"/>
      <c r="F3" s="646"/>
      <c r="G3" s="646"/>
      <c r="H3" s="339"/>
      <c r="I3" s="340"/>
      <c r="J3" s="341" t="s">
        <v>363</v>
      </c>
      <c r="K3" s="341"/>
      <c r="L3" s="341" t="s">
        <v>364</v>
      </c>
      <c r="M3" s="341" t="s">
        <v>354</v>
      </c>
      <c r="N3" s="341"/>
    </row>
    <row r="4" spans="2:14" ht="12.75" customHeight="1">
      <c r="B4" s="645"/>
      <c r="C4" s="646"/>
      <c r="D4" s="646"/>
      <c r="E4" s="646"/>
      <c r="F4" s="646"/>
      <c r="G4" s="646"/>
      <c r="H4" s="339"/>
      <c r="I4" s="340"/>
      <c r="J4" s="341" t="s">
        <v>365</v>
      </c>
      <c r="K4" s="341"/>
      <c r="L4" s="341" t="s">
        <v>360</v>
      </c>
      <c r="M4" s="341" t="s">
        <v>358</v>
      </c>
      <c r="N4" s="341"/>
    </row>
    <row r="5" spans="2:14" ht="12.75" customHeight="1">
      <c r="B5" s="342"/>
      <c r="C5" s="343"/>
      <c r="D5" s="343"/>
      <c r="E5" s="343"/>
      <c r="F5" s="343"/>
      <c r="G5" s="343"/>
      <c r="H5" s="339"/>
      <c r="I5" s="340"/>
      <c r="J5" s="341"/>
      <c r="K5" s="341" t="s">
        <v>366</v>
      </c>
      <c r="L5" s="341" t="s">
        <v>355</v>
      </c>
      <c r="M5" s="341"/>
      <c r="N5" s="341" t="s">
        <v>360</v>
      </c>
    </row>
    <row r="6" spans="2:14" ht="12" customHeight="1">
      <c r="B6" s="344"/>
      <c r="C6" s="345"/>
      <c r="D6" s="345"/>
      <c r="F6" s="345"/>
      <c r="H6" s="346"/>
      <c r="I6" s="340"/>
      <c r="J6" s="341" t="s">
        <v>359</v>
      </c>
      <c r="K6" s="341" t="s">
        <v>367</v>
      </c>
      <c r="L6" s="341"/>
      <c r="M6" s="341" t="s">
        <v>355</v>
      </c>
      <c r="N6" s="341" t="s">
        <v>368</v>
      </c>
    </row>
    <row r="7" spans="2:14" ht="12.75" customHeight="1">
      <c r="B7" s="344"/>
      <c r="D7" s="347"/>
      <c r="H7" s="346"/>
      <c r="I7" s="340"/>
      <c r="J7" s="341" t="s">
        <v>183</v>
      </c>
      <c r="K7" s="341" t="s">
        <v>363</v>
      </c>
      <c r="L7" s="341" t="s">
        <v>363</v>
      </c>
      <c r="M7" s="341" t="s">
        <v>358</v>
      </c>
      <c r="N7" s="341" t="s">
        <v>369</v>
      </c>
    </row>
    <row r="8" spans="2:14" ht="12.75" customHeight="1">
      <c r="B8" s="344"/>
      <c r="G8" s="347"/>
      <c r="H8" s="348"/>
      <c r="I8" s="341" t="s">
        <v>369</v>
      </c>
      <c r="J8" s="341" t="s">
        <v>355</v>
      </c>
      <c r="K8" s="341" t="s">
        <v>370</v>
      </c>
      <c r="L8" s="341" t="s">
        <v>358</v>
      </c>
      <c r="M8" s="341" t="s">
        <v>369</v>
      </c>
      <c r="N8" s="341" t="s">
        <v>367</v>
      </c>
    </row>
    <row r="9" spans="2:14">
      <c r="B9" s="341" t="s">
        <v>371</v>
      </c>
      <c r="C9" s="348" t="s">
        <v>372</v>
      </c>
      <c r="D9" s="348" t="s">
        <v>373</v>
      </c>
      <c r="E9" s="348" t="s">
        <v>374</v>
      </c>
      <c r="F9" s="341" t="s">
        <v>375</v>
      </c>
      <c r="G9" s="341" t="s">
        <v>376</v>
      </c>
      <c r="H9" s="341" t="s">
        <v>377</v>
      </c>
      <c r="I9" s="341" t="s">
        <v>365</v>
      </c>
      <c r="J9" s="341" t="s">
        <v>183</v>
      </c>
      <c r="K9" s="341" t="s">
        <v>358</v>
      </c>
      <c r="L9" s="341" t="s">
        <v>370</v>
      </c>
      <c r="M9" s="341" t="s">
        <v>355</v>
      </c>
      <c r="N9" s="341" t="s">
        <v>356</v>
      </c>
    </row>
    <row r="10" spans="2:14" ht="15" customHeight="1">
      <c r="B10" s="349"/>
      <c r="C10" s="350"/>
      <c r="D10" s="350"/>
      <c r="E10" s="350"/>
      <c r="F10" s="351"/>
      <c r="G10" s="352"/>
      <c r="H10" s="352"/>
      <c r="I10" s="353"/>
      <c r="J10" s="354"/>
      <c r="K10" s="354"/>
      <c r="L10" s="354"/>
      <c r="M10" s="354"/>
      <c r="N10" s="355"/>
    </row>
    <row r="11" spans="2:14" ht="15" customHeight="1">
      <c r="B11" s="349"/>
      <c r="C11" s="351"/>
      <c r="D11" s="351"/>
      <c r="E11" s="351"/>
      <c r="F11" s="351"/>
      <c r="G11" s="351"/>
      <c r="H11" s="351"/>
      <c r="I11" s="356"/>
      <c r="J11" s="354"/>
      <c r="K11" s="354"/>
      <c r="L11" s="354"/>
      <c r="M11" s="354"/>
      <c r="N11" s="355"/>
    </row>
    <row r="12" spans="2:14" ht="15" customHeight="1">
      <c r="B12" s="349"/>
      <c r="C12" s="351"/>
      <c r="D12" s="351"/>
      <c r="E12" s="351"/>
      <c r="F12" s="351"/>
      <c r="G12" s="351"/>
      <c r="H12" s="351"/>
      <c r="I12" s="356"/>
      <c r="J12" s="357"/>
      <c r="K12" s="354"/>
      <c r="L12" s="354"/>
      <c r="M12" s="354"/>
      <c r="N12" s="355"/>
    </row>
    <row r="13" spans="2:14" ht="15" customHeight="1">
      <c r="B13" s="349"/>
      <c r="C13" s="351"/>
      <c r="D13" s="351"/>
      <c r="E13" s="351"/>
      <c r="F13" s="351"/>
      <c r="G13" s="351"/>
      <c r="H13" s="351"/>
      <c r="I13" s="356"/>
      <c r="J13" s="354"/>
      <c r="K13" s="354"/>
      <c r="L13" s="354"/>
      <c r="M13" s="354"/>
      <c r="N13" s="355"/>
    </row>
    <row r="14" spans="2:14" ht="15" customHeight="1">
      <c r="B14" s="349"/>
      <c r="C14" s="351"/>
      <c r="D14" s="351"/>
      <c r="E14" s="351"/>
      <c r="F14" s="351"/>
      <c r="G14" s="351"/>
      <c r="H14" s="351"/>
      <c r="I14" s="356"/>
      <c r="J14" s="354"/>
      <c r="K14" s="354"/>
      <c r="L14" s="354"/>
      <c r="M14" s="354"/>
      <c r="N14" s="355"/>
    </row>
    <row r="15" spans="2:14" ht="15" customHeight="1">
      <c r="B15" s="349"/>
      <c r="C15" s="351"/>
      <c r="D15" s="351"/>
      <c r="E15" s="351"/>
      <c r="F15" s="351"/>
      <c r="G15" s="351"/>
      <c r="H15" s="351"/>
      <c r="I15" s="356"/>
      <c r="J15" s="354"/>
      <c r="K15" s="354"/>
      <c r="L15" s="354"/>
      <c r="M15" s="354"/>
      <c r="N15" s="355"/>
    </row>
    <row r="16" spans="2:14" ht="15" customHeight="1">
      <c r="B16" s="349"/>
      <c r="C16" s="351"/>
      <c r="D16" s="351"/>
      <c r="E16" s="351"/>
      <c r="F16" s="351"/>
      <c r="G16" s="351"/>
      <c r="H16" s="351"/>
      <c r="I16" s="356"/>
      <c r="J16" s="354"/>
      <c r="K16" s="354"/>
      <c r="L16" s="354"/>
      <c r="M16" s="354"/>
      <c r="N16" s="355"/>
    </row>
    <row r="17" spans="2:14" ht="15" customHeight="1">
      <c r="B17" s="349"/>
      <c r="C17" s="351"/>
      <c r="D17" s="351"/>
      <c r="E17" s="351"/>
      <c r="F17" s="351"/>
      <c r="G17" s="351"/>
      <c r="H17" s="351"/>
      <c r="I17" s="356"/>
      <c r="J17" s="354"/>
      <c r="K17" s="354"/>
      <c r="L17" s="354"/>
      <c r="M17" s="354"/>
      <c r="N17" s="355"/>
    </row>
    <row r="18" spans="2:14" ht="15" customHeight="1">
      <c r="B18" s="349"/>
      <c r="C18" s="351"/>
      <c r="D18" s="351"/>
      <c r="E18" s="351"/>
      <c r="F18" s="351"/>
      <c r="G18" s="351"/>
      <c r="H18" s="351"/>
      <c r="I18" s="356"/>
      <c r="J18" s="354"/>
      <c r="K18" s="354"/>
      <c r="L18" s="354"/>
      <c r="M18" s="354"/>
      <c r="N18" s="355"/>
    </row>
    <row r="19" spans="2:14" ht="15" customHeight="1">
      <c r="B19" s="349"/>
      <c r="C19" s="351"/>
      <c r="D19" s="351"/>
      <c r="E19" s="351"/>
      <c r="F19" s="351"/>
      <c r="G19" s="351"/>
      <c r="H19" s="351"/>
      <c r="I19" s="356"/>
      <c r="J19" s="354"/>
      <c r="K19" s="354"/>
      <c r="L19" s="354"/>
      <c r="M19" s="354"/>
      <c r="N19" s="355"/>
    </row>
    <row r="20" spans="2:14" ht="15" customHeight="1">
      <c r="B20" s="349"/>
      <c r="C20" s="351"/>
      <c r="D20" s="351"/>
      <c r="E20" s="351"/>
      <c r="F20" s="351"/>
      <c r="G20" s="351"/>
      <c r="H20" s="351"/>
      <c r="I20" s="356"/>
      <c r="J20" s="354"/>
      <c r="K20" s="354"/>
      <c r="L20" s="354"/>
      <c r="M20" s="354"/>
      <c r="N20" s="355"/>
    </row>
    <row r="21" spans="2:14" ht="15" customHeight="1">
      <c r="B21" s="349"/>
      <c r="C21" s="351"/>
      <c r="D21" s="351"/>
      <c r="E21" s="351"/>
      <c r="F21" s="351"/>
      <c r="G21" s="351"/>
      <c r="H21" s="351"/>
      <c r="I21" s="356"/>
      <c r="J21" s="354"/>
      <c r="K21" s="354"/>
      <c r="L21" s="354"/>
      <c r="M21" s="354"/>
      <c r="N21" s="355"/>
    </row>
    <row r="22" spans="2:14" ht="15" customHeight="1">
      <c r="B22" s="349"/>
      <c r="C22" s="351"/>
      <c r="D22" s="351"/>
      <c r="E22" s="351"/>
      <c r="F22" s="351"/>
      <c r="G22" s="351"/>
      <c r="H22" s="351"/>
      <c r="I22" s="356"/>
      <c r="J22" s="354"/>
      <c r="K22" s="354"/>
      <c r="L22" s="354"/>
      <c r="M22" s="354"/>
      <c r="N22" s="355"/>
    </row>
    <row r="23" spans="2:14" ht="15" customHeight="1">
      <c r="B23" s="349"/>
      <c r="C23" s="351"/>
      <c r="D23" s="351"/>
      <c r="E23" s="351"/>
      <c r="F23" s="351"/>
      <c r="G23" s="351"/>
      <c r="H23" s="351"/>
      <c r="I23" s="356"/>
      <c r="J23" s="354"/>
      <c r="K23" s="354"/>
      <c r="L23" s="354"/>
      <c r="M23" s="354"/>
      <c r="N23" s="355"/>
    </row>
    <row r="24" spans="2:14" ht="15" customHeight="1">
      <c r="B24" s="349"/>
      <c r="C24" s="351"/>
      <c r="D24" s="351"/>
      <c r="E24" s="351"/>
      <c r="F24" s="351"/>
      <c r="G24" s="351"/>
      <c r="H24" s="351"/>
      <c r="I24" s="356"/>
      <c r="J24" s="354"/>
      <c r="K24" s="354"/>
      <c r="L24" s="354"/>
      <c r="M24" s="354"/>
      <c r="N24" s="355"/>
    </row>
    <row r="25" spans="2:14" ht="15" customHeight="1">
      <c r="B25" s="349"/>
      <c r="C25" s="351"/>
      <c r="D25" s="351"/>
      <c r="E25" s="351"/>
      <c r="F25" s="351"/>
      <c r="G25" s="351"/>
      <c r="H25" s="351"/>
      <c r="I25" s="356"/>
      <c r="J25" s="354"/>
      <c r="K25" s="354"/>
      <c r="L25" s="354"/>
      <c r="M25" s="354"/>
      <c r="N25" s="355"/>
    </row>
    <row r="26" spans="2:14" ht="15" customHeight="1">
      <c r="B26" s="349"/>
      <c r="C26" s="351"/>
      <c r="D26" s="351"/>
      <c r="E26" s="351"/>
      <c r="F26" s="351"/>
      <c r="G26" s="351"/>
      <c r="H26" s="351"/>
      <c r="I26" s="356"/>
      <c r="J26" s="354"/>
      <c r="K26" s="354"/>
      <c r="L26" s="354"/>
      <c r="M26" s="354"/>
      <c r="N26" s="355"/>
    </row>
    <row r="27" spans="2:14" ht="15" customHeight="1">
      <c r="B27" s="349"/>
      <c r="C27" s="351"/>
      <c r="D27" s="351"/>
      <c r="E27" s="351"/>
      <c r="F27" s="351"/>
      <c r="G27" s="351"/>
      <c r="H27" s="351"/>
      <c r="I27" s="356"/>
      <c r="J27" s="354"/>
      <c r="K27" s="354"/>
      <c r="L27" s="354"/>
      <c r="M27" s="354"/>
      <c r="N27" s="355"/>
    </row>
    <row r="28" spans="2:14" ht="15" customHeight="1">
      <c r="B28" s="349"/>
      <c r="C28" s="351"/>
      <c r="D28" s="351"/>
      <c r="E28" s="351"/>
      <c r="F28" s="351"/>
      <c r="G28" s="351"/>
      <c r="H28" s="351"/>
      <c r="I28" s="356"/>
      <c r="J28" s="354"/>
      <c r="K28" s="354"/>
      <c r="L28" s="354"/>
      <c r="M28" s="354"/>
      <c r="N28" s="355"/>
    </row>
    <row r="29" spans="2:14" ht="15" customHeight="1">
      <c r="B29" s="349"/>
      <c r="C29" s="351"/>
      <c r="D29" s="351"/>
      <c r="E29" s="351"/>
      <c r="F29" s="351"/>
      <c r="G29" s="351"/>
      <c r="H29" s="351"/>
      <c r="I29" s="356"/>
      <c r="J29" s="354"/>
      <c r="K29" s="354"/>
      <c r="L29" s="354"/>
      <c r="M29" s="354"/>
      <c r="N29" s="355"/>
    </row>
    <row r="30" spans="2:14" ht="15" customHeight="1">
      <c r="B30" s="349"/>
      <c r="C30" s="351"/>
      <c r="D30" s="351"/>
      <c r="E30" s="351"/>
      <c r="F30" s="351"/>
      <c r="G30" s="351"/>
      <c r="H30" s="351"/>
      <c r="I30" s="356"/>
      <c r="J30" s="354"/>
      <c r="K30" s="354"/>
      <c r="L30" s="354"/>
      <c r="M30" s="354"/>
      <c r="N30" s="355"/>
    </row>
    <row r="31" spans="2:14" ht="15" customHeight="1">
      <c r="B31" s="349"/>
      <c r="C31" s="351"/>
      <c r="D31" s="351"/>
      <c r="E31" s="351"/>
      <c r="F31" s="351"/>
      <c r="G31" s="351"/>
      <c r="H31" s="351"/>
      <c r="I31" s="356"/>
      <c r="J31" s="354"/>
      <c r="K31" s="354"/>
      <c r="L31" s="354"/>
      <c r="M31" s="354"/>
      <c r="N31" s="355"/>
    </row>
    <row r="32" spans="2:14" ht="15" customHeight="1">
      <c r="B32" s="349"/>
      <c r="C32" s="351"/>
      <c r="D32" s="351"/>
      <c r="E32" s="351"/>
      <c r="F32" s="351"/>
      <c r="G32" s="351"/>
      <c r="H32" s="351"/>
      <c r="I32" s="356"/>
      <c r="J32" s="354"/>
      <c r="K32" s="354"/>
      <c r="L32" s="354"/>
      <c r="M32" s="354"/>
      <c r="N32" s="355"/>
    </row>
    <row r="33" spans="2:14" ht="15" customHeight="1">
      <c r="B33" s="349"/>
      <c r="C33" s="351"/>
      <c r="D33" s="351"/>
      <c r="E33" s="351"/>
      <c r="F33" s="351"/>
      <c r="G33" s="351"/>
      <c r="H33" s="351"/>
      <c r="I33" s="356"/>
      <c r="J33" s="354"/>
      <c r="K33" s="354"/>
      <c r="L33" s="354"/>
      <c r="M33" s="354"/>
      <c r="N33" s="355"/>
    </row>
    <row r="34" spans="2:14" ht="15" customHeight="1">
      <c r="B34" s="349"/>
      <c r="C34" s="351"/>
      <c r="D34" s="351"/>
      <c r="E34" s="351"/>
      <c r="F34" s="351"/>
      <c r="G34" s="351"/>
      <c r="H34" s="351"/>
      <c r="I34" s="356"/>
      <c r="J34" s="354"/>
      <c r="K34" s="354"/>
      <c r="L34" s="354"/>
      <c r="M34" s="354"/>
      <c r="N34" s="355"/>
    </row>
    <row r="35" spans="2:14" ht="15" customHeight="1">
      <c r="B35" s="349"/>
      <c r="C35" s="351"/>
      <c r="D35" s="351"/>
      <c r="E35" s="351"/>
      <c r="F35" s="351"/>
      <c r="G35" s="351"/>
      <c r="H35" s="351"/>
      <c r="I35" s="356"/>
      <c r="J35" s="354"/>
      <c r="K35" s="354"/>
      <c r="L35" s="354"/>
      <c r="M35" s="354"/>
      <c r="N35" s="355"/>
    </row>
    <row r="36" spans="2:14" ht="15" customHeight="1">
      <c r="B36" s="349"/>
      <c r="C36" s="351"/>
      <c r="D36" s="351"/>
      <c r="E36" s="351"/>
      <c r="F36" s="351"/>
      <c r="G36" s="351"/>
      <c r="H36" s="351"/>
      <c r="I36" s="356"/>
      <c r="J36" s="354"/>
      <c r="K36" s="354"/>
      <c r="L36" s="354"/>
      <c r="M36" s="354"/>
      <c r="N36" s="355"/>
    </row>
    <row r="37" spans="2:14" ht="15" customHeight="1">
      <c r="B37" s="349"/>
      <c r="C37" s="351"/>
      <c r="D37" s="351"/>
      <c r="E37" s="351"/>
      <c r="F37" s="351"/>
      <c r="G37" s="351"/>
      <c r="H37" s="351"/>
      <c r="I37" s="356"/>
      <c r="J37" s="354"/>
      <c r="K37" s="354"/>
      <c r="L37" s="354"/>
      <c r="M37" s="354"/>
      <c r="N37" s="355"/>
    </row>
    <row r="38" spans="2:14" ht="15" customHeight="1">
      <c r="B38" s="349"/>
      <c r="C38" s="351"/>
      <c r="D38" s="351"/>
      <c r="E38" s="351"/>
      <c r="F38" s="351"/>
      <c r="G38" s="351"/>
      <c r="H38" s="351"/>
      <c r="I38" s="356"/>
      <c r="J38" s="354"/>
      <c r="K38" s="354"/>
      <c r="L38" s="354"/>
      <c r="M38" s="354"/>
      <c r="N38" s="355"/>
    </row>
    <row r="39" spans="2:14" ht="15" customHeight="1">
      <c r="B39" s="349"/>
      <c r="C39" s="351"/>
      <c r="D39" s="351"/>
      <c r="E39" s="351"/>
      <c r="F39" s="351"/>
      <c r="G39" s="351"/>
      <c r="H39" s="351"/>
      <c r="I39" s="356"/>
      <c r="J39" s="354"/>
      <c r="K39" s="354"/>
      <c r="L39" s="354"/>
      <c r="M39" s="354"/>
      <c r="N39" s="355"/>
    </row>
    <row r="40" spans="2:14" ht="15" customHeight="1">
      <c r="B40" s="349"/>
      <c r="C40" s="351"/>
      <c r="D40" s="351"/>
      <c r="E40" s="351"/>
      <c r="F40" s="351"/>
      <c r="G40" s="351"/>
      <c r="H40" s="351"/>
      <c r="I40" s="356"/>
      <c r="J40" s="354"/>
      <c r="K40" s="354"/>
      <c r="L40" s="354"/>
      <c r="M40" s="354"/>
      <c r="N40" s="355"/>
    </row>
    <row r="41" spans="2:14" ht="15" customHeight="1">
      <c r="B41" s="349"/>
      <c r="C41" s="351"/>
      <c r="D41" s="351"/>
      <c r="E41" s="351"/>
      <c r="F41" s="351"/>
      <c r="G41" s="351"/>
      <c r="H41" s="351"/>
      <c r="I41" s="356"/>
      <c r="J41" s="354"/>
      <c r="K41" s="354"/>
      <c r="L41" s="354"/>
      <c r="M41" s="354"/>
      <c r="N41" s="355"/>
    </row>
    <row r="42" spans="2:14" ht="15" customHeight="1">
      <c r="B42" s="349"/>
      <c r="C42" s="351"/>
      <c r="D42" s="351"/>
      <c r="E42" s="351"/>
      <c r="F42" s="351"/>
      <c r="G42" s="351"/>
      <c r="H42" s="351"/>
      <c r="I42" s="356"/>
      <c r="J42" s="354"/>
      <c r="K42" s="354"/>
      <c r="L42" s="354"/>
      <c r="M42" s="354"/>
      <c r="N42" s="355"/>
    </row>
    <row r="43" spans="2:14" ht="15" customHeight="1">
      <c r="B43" s="349"/>
      <c r="C43" s="351"/>
      <c r="D43" s="351"/>
      <c r="E43" s="351"/>
      <c r="F43" s="351"/>
      <c r="G43" s="351"/>
      <c r="H43" s="351"/>
      <c r="I43" s="356"/>
      <c r="J43" s="354"/>
      <c r="K43" s="354"/>
      <c r="L43" s="354"/>
      <c r="M43" s="354"/>
      <c r="N43" s="355"/>
    </row>
    <row r="44" spans="2:14" ht="15" customHeight="1">
      <c r="B44" s="349"/>
      <c r="C44" s="351"/>
      <c r="D44" s="351"/>
      <c r="E44" s="351"/>
      <c r="F44" s="351"/>
      <c r="G44" s="351"/>
      <c r="H44" s="351"/>
      <c r="I44" s="356"/>
      <c r="J44" s="354"/>
      <c r="K44" s="354"/>
      <c r="L44" s="354"/>
      <c r="M44" s="354"/>
      <c r="N44" s="355"/>
    </row>
    <row r="45" spans="2:14" ht="15" customHeight="1">
      <c r="B45" s="349"/>
      <c r="C45" s="351"/>
      <c r="D45" s="351"/>
      <c r="E45" s="351"/>
      <c r="F45" s="351"/>
      <c r="G45" s="351"/>
      <c r="H45" s="351"/>
      <c r="I45" s="356"/>
      <c r="J45" s="354"/>
      <c r="K45" s="354"/>
      <c r="L45" s="354"/>
      <c r="M45" s="354"/>
      <c r="N45" s="355"/>
    </row>
    <row r="46" spans="2:14" ht="15" customHeight="1">
      <c r="B46" s="349"/>
      <c r="C46" s="351"/>
      <c r="D46" s="351"/>
      <c r="E46" s="351"/>
      <c r="F46" s="351"/>
      <c r="G46" s="351"/>
      <c r="H46" s="351"/>
      <c r="I46" s="356"/>
      <c r="J46" s="354"/>
      <c r="K46" s="354"/>
      <c r="L46" s="354"/>
      <c r="M46" s="354"/>
      <c r="N46" s="355"/>
    </row>
    <row r="47" spans="2:14" ht="15" customHeight="1">
      <c r="B47" s="349"/>
      <c r="C47" s="351"/>
      <c r="D47" s="351"/>
      <c r="E47" s="351"/>
      <c r="F47" s="351"/>
      <c r="G47" s="351"/>
      <c r="H47" s="351"/>
      <c r="I47" s="356"/>
      <c r="J47" s="354"/>
      <c r="K47" s="354"/>
      <c r="L47" s="354"/>
      <c r="M47" s="354"/>
      <c r="N47" s="355"/>
    </row>
    <row r="48" spans="2:14" ht="15" customHeight="1">
      <c r="B48" s="349"/>
      <c r="C48" s="351"/>
      <c r="D48" s="351"/>
      <c r="E48" s="351"/>
      <c r="F48" s="351"/>
      <c r="G48" s="351"/>
      <c r="H48" s="351"/>
      <c r="I48" s="356"/>
      <c r="J48" s="354"/>
      <c r="K48" s="354"/>
      <c r="L48" s="354"/>
      <c r="M48" s="354"/>
      <c r="N48" s="355"/>
    </row>
    <row r="49" spans="2:14" ht="15" customHeight="1">
      <c r="B49" s="349"/>
      <c r="C49" s="351"/>
      <c r="D49" s="351"/>
      <c r="E49" s="351"/>
      <c r="F49" s="351"/>
      <c r="G49" s="351"/>
      <c r="H49" s="351"/>
      <c r="I49" s="356"/>
      <c r="J49" s="354"/>
      <c r="K49" s="354"/>
      <c r="L49" s="354"/>
      <c r="M49" s="354"/>
      <c r="N49" s="355"/>
    </row>
    <row r="50" spans="2:14" ht="15" customHeight="1">
      <c r="B50" s="349"/>
      <c r="C50" s="351"/>
      <c r="D50" s="351"/>
      <c r="E50" s="351"/>
      <c r="F50" s="351"/>
      <c r="G50" s="351"/>
      <c r="H50" s="351"/>
      <c r="I50" s="356"/>
      <c r="J50" s="354"/>
      <c r="K50" s="354"/>
      <c r="L50" s="354"/>
      <c r="M50" s="354"/>
      <c r="N50" s="355"/>
    </row>
    <row r="51" spans="2:14" ht="15" customHeight="1">
      <c r="B51" s="349"/>
      <c r="C51" s="351"/>
      <c r="D51" s="351"/>
      <c r="E51" s="351"/>
      <c r="F51" s="351"/>
      <c r="G51" s="351"/>
      <c r="H51" s="351"/>
      <c r="I51" s="356"/>
      <c r="J51" s="354"/>
      <c r="K51" s="354"/>
      <c r="L51" s="354"/>
      <c r="M51" s="354"/>
      <c r="N51" s="355"/>
    </row>
    <row r="52" spans="2:14" ht="15" customHeight="1" thickBot="1">
      <c r="B52" s="358"/>
      <c r="C52" s="359"/>
      <c r="D52" s="359"/>
      <c r="E52" s="359"/>
      <c r="F52" s="359"/>
      <c r="G52" s="359"/>
      <c r="H52" s="359"/>
      <c r="I52" s="360"/>
      <c r="J52" s="361"/>
      <c r="K52" s="361"/>
      <c r="L52" s="361"/>
      <c r="M52" s="361"/>
      <c r="N52" s="362"/>
    </row>
    <row r="53" spans="2:14" ht="20.25" customHeight="1" thickBot="1">
      <c r="B53" s="647" t="s">
        <v>378</v>
      </c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</row>
    <row r="54" spans="2:14" ht="15" customHeight="1" thickBot="1">
      <c r="B54" s="363" t="s">
        <v>379</v>
      </c>
      <c r="C54" s="648" t="s">
        <v>376</v>
      </c>
      <c r="D54" s="649"/>
      <c r="E54" s="649"/>
      <c r="F54" s="649"/>
      <c r="G54" s="649"/>
      <c r="H54" s="364"/>
      <c r="I54" s="648" t="s">
        <v>371</v>
      </c>
      <c r="J54" s="649"/>
      <c r="K54" s="650"/>
      <c r="L54" s="648" t="s">
        <v>380</v>
      </c>
      <c r="M54" s="649"/>
      <c r="N54" s="651"/>
    </row>
    <row r="55" spans="2:14" ht="15" customHeight="1">
      <c r="B55" s="365"/>
      <c r="C55" s="637"/>
      <c r="D55" s="638"/>
      <c r="E55" s="638"/>
      <c r="F55" s="638"/>
      <c r="G55" s="638"/>
      <c r="H55" s="366"/>
      <c r="I55" s="639"/>
      <c r="J55" s="640"/>
      <c r="K55" s="641"/>
      <c r="L55" s="642"/>
      <c r="M55" s="643"/>
      <c r="N55" s="644"/>
    </row>
    <row r="56" spans="2:14" ht="15" customHeight="1">
      <c r="B56" s="367"/>
      <c r="C56" s="621"/>
      <c r="D56" s="622"/>
      <c r="E56" s="622"/>
      <c r="F56" s="622"/>
      <c r="G56" s="622"/>
      <c r="H56" s="368"/>
      <c r="I56" s="623"/>
      <c r="J56" s="624"/>
      <c r="K56" s="625"/>
      <c r="L56" s="626"/>
      <c r="M56" s="627"/>
      <c r="N56" s="628"/>
    </row>
    <row r="57" spans="2:14" ht="15" customHeight="1">
      <c r="B57" s="367"/>
      <c r="C57" s="621"/>
      <c r="D57" s="622"/>
      <c r="E57" s="622"/>
      <c r="F57" s="622"/>
      <c r="G57" s="622"/>
      <c r="H57" s="368"/>
      <c r="I57" s="623"/>
      <c r="J57" s="624"/>
      <c r="K57" s="625"/>
      <c r="L57" s="626"/>
      <c r="M57" s="627"/>
      <c r="N57" s="628"/>
    </row>
    <row r="58" spans="2:14" ht="15" customHeight="1">
      <c r="B58" s="367"/>
      <c r="C58" s="621"/>
      <c r="D58" s="622"/>
      <c r="E58" s="622"/>
      <c r="F58" s="622"/>
      <c r="G58" s="622"/>
      <c r="H58" s="368"/>
      <c r="I58" s="623"/>
      <c r="J58" s="624"/>
      <c r="K58" s="625"/>
      <c r="L58" s="626"/>
      <c r="M58" s="627"/>
      <c r="N58" s="628"/>
    </row>
    <row r="59" spans="2:14" ht="15" customHeight="1">
      <c r="B59" s="367"/>
      <c r="C59" s="621"/>
      <c r="D59" s="622"/>
      <c r="E59" s="622"/>
      <c r="F59" s="622"/>
      <c r="G59" s="622"/>
      <c r="H59" s="368"/>
      <c r="I59" s="623"/>
      <c r="J59" s="624"/>
      <c r="K59" s="625"/>
      <c r="L59" s="626"/>
      <c r="M59" s="627"/>
      <c r="N59" s="628"/>
    </row>
    <row r="60" spans="2:14" ht="15" customHeight="1">
      <c r="B60" s="367"/>
      <c r="C60" s="621"/>
      <c r="D60" s="622"/>
      <c r="E60" s="622"/>
      <c r="F60" s="622"/>
      <c r="G60" s="622"/>
      <c r="H60" s="368"/>
      <c r="I60" s="623"/>
      <c r="J60" s="624"/>
      <c r="K60" s="625"/>
      <c r="L60" s="626"/>
      <c r="M60" s="627"/>
      <c r="N60" s="628"/>
    </row>
    <row r="61" spans="2:14" ht="15" customHeight="1">
      <c r="B61" s="367"/>
      <c r="C61" s="621"/>
      <c r="D61" s="622"/>
      <c r="E61" s="622"/>
      <c r="F61" s="622"/>
      <c r="G61" s="622"/>
      <c r="H61" s="368"/>
      <c r="I61" s="623"/>
      <c r="J61" s="624"/>
      <c r="K61" s="625"/>
      <c r="L61" s="626"/>
      <c r="M61" s="627"/>
      <c r="N61" s="628"/>
    </row>
    <row r="62" spans="2:14" ht="15" customHeight="1">
      <c r="B62" s="367"/>
      <c r="C62" s="621"/>
      <c r="D62" s="622"/>
      <c r="E62" s="622"/>
      <c r="F62" s="622"/>
      <c r="G62" s="622"/>
      <c r="H62" s="368"/>
      <c r="I62" s="623"/>
      <c r="J62" s="624"/>
      <c r="K62" s="625"/>
      <c r="L62" s="626"/>
      <c r="M62" s="627"/>
      <c r="N62" s="628"/>
    </row>
    <row r="63" spans="2:14" ht="15" customHeight="1">
      <c r="B63" s="367"/>
      <c r="C63" s="621"/>
      <c r="D63" s="622"/>
      <c r="E63" s="622"/>
      <c r="F63" s="622"/>
      <c r="G63" s="622"/>
      <c r="H63" s="368"/>
      <c r="I63" s="623"/>
      <c r="J63" s="624"/>
      <c r="K63" s="625"/>
      <c r="L63" s="626"/>
      <c r="M63" s="627"/>
      <c r="N63" s="628"/>
    </row>
    <row r="64" spans="2:14" ht="15" customHeight="1">
      <c r="B64" s="367"/>
      <c r="C64" s="621"/>
      <c r="D64" s="622"/>
      <c r="E64" s="622"/>
      <c r="F64" s="622"/>
      <c r="G64" s="622"/>
      <c r="H64" s="368"/>
      <c r="I64" s="623"/>
      <c r="J64" s="624"/>
      <c r="K64" s="625"/>
      <c r="L64" s="626"/>
      <c r="M64" s="627"/>
      <c r="N64" s="628"/>
    </row>
    <row r="65" spans="2:14" ht="15" customHeight="1">
      <c r="B65" s="367"/>
      <c r="C65" s="621"/>
      <c r="D65" s="622"/>
      <c r="E65" s="622"/>
      <c r="F65" s="622"/>
      <c r="G65" s="622"/>
      <c r="H65" s="368"/>
      <c r="I65" s="623"/>
      <c r="J65" s="624"/>
      <c r="K65" s="625"/>
      <c r="L65" s="626"/>
      <c r="M65" s="627"/>
      <c r="N65" s="628"/>
    </row>
    <row r="66" spans="2:14" ht="15" customHeight="1">
      <c r="B66" s="367"/>
      <c r="C66" s="621"/>
      <c r="D66" s="622"/>
      <c r="E66" s="622"/>
      <c r="F66" s="622"/>
      <c r="G66" s="622"/>
      <c r="H66" s="368"/>
      <c r="I66" s="623"/>
      <c r="J66" s="624"/>
      <c r="K66" s="625"/>
      <c r="L66" s="626"/>
      <c r="M66" s="627"/>
      <c r="N66" s="628"/>
    </row>
    <row r="67" spans="2:14" ht="15" customHeight="1">
      <c r="B67" s="367"/>
      <c r="C67" s="621"/>
      <c r="D67" s="622"/>
      <c r="E67" s="622"/>
      <c r="F67" s="622"/>
      <c r="G67" s="622"/>
      <c r="H67" s="368"/>
      <c r="I67" s="623"/>
      <c r="J67" s="624"/>
      <c r="K67" s="625"/>
      <c r="L67" s="626"/>
      <c r="M67" s="627"/>
      <c r="N67" s="628"/>
    </row>
    <row r="68" spans="2:14" ht="15" customHeight="1">
      <c r="B68" s="367"/>
      <c r="C68" s="621"/>
      <c r="D68" s="622"/>
      <c r="E68" s="622"/>
      <c r="F68" s="622"/>
      <c r="G68" s="622"/>
      <c r="H68" s="368"/>
      <c r="I68" s="623"/>
      <c r="J68" s="624"/>
      <c r="K68" s="625"/>
      <c r="L68" s="626"/>
      <c r="M68" s="627"/>
      <c r="N68" s="628"/>
    </row>
    <row r="69" spans="2:14" ht="15" customHeight="1">
      <c r="B69" s="367"/>
      <c r="C69" s="621"/>
      <c r="D69" s="622"/>
      <c r="E69" s="622"/>
      <c r="F69" s="622"/>
      <c r="G69" s="622"/>
      <c r="H69" s="368"/>
      <c r="I69" s="623"/>
      <c r="J69" s="624"/>
      <c r="K69" s="625"/>
      <c r="L69" s="626"/>
      <c r="M69" s="627"/>
      <c r="N69" s="628"/>
    </row>
    <row r="70" spans="2:14" ht="15" customHeight="1">
      <c r="B70" s="367"/>
      <c r="C70" s="621"/>
      <c r="D70" s="622"/>
      <c r="E70" s="622"/>
      <c r="F70" s="622"/>
      <c r="G70" s="622"/>
      <c r="H70" s="368"/>
      <c r="I70" s="623"/>
      <c r="J70" s="624"/>
      <c r="K70" s="625"/>
      <c r="L70" s="626"/>
      <c r="M70" s="627"/>
      <c r="N70" s="628"/>
    </row>
    <row r="71" spans="2:14" ht="15" customHeight="1">
      <c r="B71" s="367"/>
      <c r="C71" s="621"/>
      <c r="D71" s="622"/>
      <c r="E71" s="622"/>
      <c r="F71" s="622"/>
      <c r="G71" s="622"/>
      <c r="H71" s="368"/>
      <c r="I71" s="623"/>
      <c r="J71" s="624"/>
      <c r="K71" s="625"/>
      <c r="L71" s="626"/>
      <c r="M71" s="627"/>
      <c r="N71" s="628"/>
    </row>
    <row r="72" spans="2:14">
      <c r="B72" s="367"/>
      <c r="C72" s="621"/>
      <c r="D72" s="622"/>
      <c r="E72" s="622"/>
      <c r="F72" s="622"/>
      <c r="G72" s="622"/>
      <c r="H72" s="368"/>
      <c r="I72" s="623"/>
      <c r="J72" s="624"/>
      <c r="K72" s="625"/>
      <c r="L72" s="626"/>
      <c r="M72" s="627"/>
      <c r="N72" s="628"/>
    </row>
    <row r="73" spans="2:14">
      <c r="B73" s="367"/>
      <c r="C73" s="621"/>
      <c r="D73" s="622"/>
      <c r="E73" s="622"/>
      <c r="F73" s="622"/>
      <c r="G73" s="622"/>
      <c r="H73" s="368"/>
      <c r="I73" s="623"/>
      <c r="J73" s="624"/>
      <c r="K73" s="625"/>
      <c r="L73" s="626"/>
      <c r="M73" s="627"/>
      <c r="N73" s="628"/>
    </row>
    <row r="74" spans="2:14">
      <c r="B74" s="367"/>
      <c r="C74" s="621"/>
      <c r="D74" s="622"/>
      <c r="E74" s="622"/>
      <c r="F74" s="622"/>
      <c r="G74" s="622"/>
      <c r="H74" s="368"/>
      <c r="I74" s="623"/>
      <c r="J74" s="624"/>
      <c r="K74" s="625"/>
      <c r="L74" s="626"/>
      <c r="M74" s="627"/>
      <c r="N74" s="628"/>
    </row>
    <row r="75" spans="2:14">
      <c r="B75" s="367"/>
      <c r="C75" s="621"/>
      <c r="D75" s="622"/>
      <c r="E75" s="622"/>
      <c r="F75" s="622"/>
      <c r="G75" s="622"/>
      <c r="H75" s="368"/>
      <c r="I75" s="623"/>
      <c r="J75" s="624"/>
      <c r="K75" s="625"/>
      <c r="L75" s="626"/>
      <c r="M75" s="627"/>
      <c r="N75" s="628"/>
    </row>
    <row r="76" spans="2:14">
      <c r="B76" s="367"/>
      <c r="C76" s="621"/>
      <c r="D76" s="622"/>
      <c r="E76" s="622"/>
      <c r="F76" s="622"/>
      <c r="G76" s="622"/>
      <c r="H76" s="368"/>
      <c r="I76" s="623"/>
      <c r="J76" s="624"/>
      <c r="K76" s="625"/>
      <c r="L76" s="626"/>
      <c r="M76" s="627"/>
      <c r="N76" s="628"/>
    </row>
    <row r="77" spans="2:14">
      <c r="B77" s="367"/>
      <c r="C77" s="621"/>
      <c r="D77" s="622"/>
      <c r="E77" s="622"/>
      <c r="F77" s="622"/>
      <c r="G77" s="622"/>
      <c r="H77" s="368"/>
      <c r="I77" s="623"/>
      <c r="J77" s="624"/>
      <c r="K77" s="625"/>
      <c r="L77" s="626"/>
      <c r="M77" s="627"/>
      <c r="N77" s="628"/>
    </row>
    <row r="78" spans="2:14">
      <c r="B78" s="367"/>
      <c r="C78" s="621"/>
      <c r="D78" s="622"/>
      <c r="E78" s="622"/>
      <c r="F78" s="622"/>
      <c r="G78" s="622"/>
      <c r="H78" s="368"/>
      <c r="I78" s="623"/>
      <c r="J78" s="624"/>
      <c r="K78" s="625"/>
      <c r="L78" s="626"/>
      <c r="M78" s="627"/>
      <c r="N78" s="628"/>
    </row>
    <row r="79" spans="2:14" ht="13.5" thickBot="1">
      <c r="B79" s="369"/>
      <c r="C79" s="629"/>
      <c r="D79" s="630"/>
      <c r="E79" s="630"/>
      <c r="F79" s="630"/>
      <c r="G79" s="630"/>
      <c r="H79" s="370"/>
      <c r="I79" s="631"/>
      <c r="J79" s="632"/>
      <c r="K79" s="633"/>
      <c r="L79" s="634"/>
      <c r="M79" s="635"/>
      <c r="N79" s="636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1"/>
  <sheetViews>
    <sheetView topLeftCell="A10" workbookViewId="0"/>
  </sheetViews>
  <sheetFormatPr defaultRowHeight="12.75"/>
  <cols>
    <col min="1" max="1" width="19.7109375" style="387" customWidth="1"/>
    <col min="2" max="7" width="10.7109375" style="387" customWidth="1"/>
    <col min="8" max="16384" width="9.140625" style="387"/>
  </cols>
  <sheetData>
    <row r="1" spans="1:12" ht="21" customHeight="1">
      <c r="A1" s="386" t="s">
        <v>412</v>
      </c>
      <c r="B1" s="661" t="s">
        <v>451</v>
      </c>
      <c r="C1" s="661"/>
      <c r="D1" s="661"/>
      <c r="E1" s="661"/>
      <c r="F1" s="661"/>
      <c r="G1" s="661"/>
    </row>
    <row r="2" spans="1:12" ht="15" customHeight="1"/>
    <row r="3" spans="1:12" ht="20.25">
      <c r="A3" s="388" t="s">
        <v>413</v>
      </c>
    </row>
    <row r="4" spans="1:12" ht="12" customHeight="1">
      <c r="A4" s="389"/>
      <c r="B4" s="389"/>
      <c r="C4" s="389"/>
      <c r="D4" s="389" t="s">
        <v>465</v>
      </c>
      <c r="E4" s="389"/>
      <c r="F4" s="389"/>
      <c r="G4" s="389"/>
      <c r="H4" s="389"/>
      <c r="I4" s="389"/>
      <c r="J4" s="389"/>
      <c r="K4" s="389"/>
      <c r="L4" s="389"/>
    </row>
    <row r="5" spans="1:12" ht="15.6" customHeight="1">
      <c r="A5" s="390" t="s">
        <v>5</v>
      </c>
      <c r="B5" s="390" t="s">
        <v>414</v>
      </c>
      <c r="C5" s="390" t="s">
        <v>415</v>
      </c>
      <c r="D5" s="390" t="s">
        <v>416</v>
      </c>
      <c r="E5" s="390" t="s">
        <v>417</v>
      </c>
      <c r="F5" s="390" t="s">
        <v>418</v>
      </c>
      <c r="G5" s="390" t="s">
        <v>419</v>
      </c>
      <c r="H5" s="389"/>
      <c r="I5" s="389"/>
      <c r="J5" s="389"/>
      <c r="K5" s="389"/>
      <c r="L5" s="389"/>
    </row>
    <row r="6" spans="1:12" ht="15.6" customHeight="1">
      <c r="A6" s="391" t="s">
        <v>420</v>
      </c>
      <c r="B6" s="391" t="s">
        <v>165</v>
      </c>
      <c r="C6" s="391" t="s">
        <v>165</v>
      </c>
      <c r="D6" s="391" t="s">
        <v>421</v>
      </c>
      <c r="E6" s="391" t="s">
        <v>135</v>
      </c>
      <c r="F6" s="391" t="s">
        <v>422</v>
      </c>
      <c r="G6" s="391" t="s">
        <v>422</v>
      </c>
      <c r="H6" s="389"/>
      <c r="I6" s="389"/>
      <c r="J6" s="389"/>
      <c r="K6" s="389"/>
      <c r="L6" s="389"/>
    </row>
    <row r="7" spans="1:12" ht="15.95" customHeight="1">
      <c r="A7" s="392" t="s">
        <v>452</v>
      </c>
      <c r="B7" s="392" t="s">
        <v>466</v>
      </c>
      <c r="C7" s="392" t="s">
        <v>479</v>
      </c>
      <c r="D7" s="392" t="s">
        <v>491</v>
      </c>
      <c r="E7" s="392" t="s">
        <v>504</v>
      </c>
      <c r="F7" s="392" t="s">
        <v>517</v>
      </c>
      <c r="G7" s="392" t="s">
        <v>530</v>
      </c>
      <c r="H7" s="389"/>
      <c r="I7" s="389"/>
      <c r="J7" s="389"/>
      <c r="K7" s="389"/>
      <c r="L7" s="389"/>
    </row>
    <row r="8" spans="1:12" ht="15.95" customHeight="1">
      <c r="A8" s="392" t="s">
        <v>453</v>
      </c>
      <c r="B8" s="392" t="s">
        <v>467</v>
      </c>
      <c r="C8" s="392" t="s">
        <v>480</v>
      </c>
      <c r="D8" s="392" t="s">
        <v>492</v>
      </c>
      <c r="E8" s="392" t="s">
        <v>505</v>
      </c>
      <c r="F8" s="392" t="s">
        <v>518</v>
      </c>
      <c r="G8" s="392" t="s">
        <v>531</v>
      </c>
      <c r="H8" s="389"/>
      <c r="I8" s="389"/>
      <c r="J8" s="389"/>
      <c r="K8" s="389"/>
      <c r="L8" s="389"/>
    </row>
    <row r="9" spans="1:12" ht="15.95" customHeight="1">
      <c r="A9" s="392" t="s">
        <v>454</v>
      </c>
      <c r="B9" s="392" t="s">
        <v>468</v>
      </c>
      <c r="C9" s="392" t="s">
        <v>481</v>
      </c>
      <c r="D9" s="392" t="s">
        <v>493</v>
      </c>
      <c r="E9" s="392" t="s">
        <v>506</v>
      </c>
      <c r="F9" s="392" t="s">
        <v>519</v>
      </c>
      <c r="G9" s="392" t="s">
        <v>532</v>
      </c>
      <c r="H9" s="389"/>
      <c r="I9" s="389"/>
      <c r="J9" s="389"/>
      <c r="K9" s="389"/>
      <c r="L9" s="389"/>
    </row>
    <row r="10" spans="1:12" ht="15.95" customHeight="1">
      <c r="A10" s="392" t="s">
        <v>455</v>
      </c>
      <c r="B10" s="392" t="s">
        <v>469</v>
      </c>
      <c r="C10" s="392" t="s">
        <v>481</v>
      </c>
      <c r="D10" s="392" t="s">
        <v>494</v>
      </c>
      <c r="E10" s="392" t="s">
        <v>507</v>
      </c>
      <c r="F10" s="392" t="s">
        <v>520</v>
      </c>
      <c r="G10" s="392" t="s">
        <v>533</v>
      </c>
      <c r="H10" s="389"/>
      <c r="I10" s="389"/>
      <c r="J10" s="389"/>
      <c r="K10" s="389"/>
      <c r="L10" s="389"/>
    </row>
    <row r="11" spans="1:12" ht="15.95" customHeight="1">
      <c r="A11" s="392" t="s">
        <v>456</v>
      </c>
      <c r="B11" s="392" t="s">
        <v>470</v>
      </c>
      <c r="C11" s="392" t="s">
        <v>482</v>
      </c>
      <c r="D11" s="392" t="s">
        <v>495</v>
      </c>
      <c r="E11" s="392" t="s">
        <v>508</v>
      </c>
      <c r="F11" s="392" t="s">
        <v>521</v>
      </c>
      <c r="G11" s="392" t="s">
        <v>534</v>
      </c>
      <c r="H11" s="389"/>
      <c r="I11" s="389"/>
      <c r="J11" s="389"/>
      <c r="K11" s="389"/>
      <c r="L11" s="389"/>
    </row>
    <row r="12" spans="1:12" ht="15.95" customHeight="1">
      <c r="A12" s="392" t="s">
        <v>457</v>
      </c>
      <c r="B12" s="392" t="s">
        <v>471</v>
      </c>
      <c r="C12" s="392" t="s">
        <v>483</v>
      </c>
      <c r="D12" s="392" t="s">
        <v>496</v>
      </c>
      <c r="E12" s="392" t="s">
        <v>509</v>
      </c>
      <c r="F12" s="392" t="s">
        <v>522</v>
      </c>
      <c r="G12" s="392" t="s">
        <v>535</v>
      </c>
      <c r="H12" s="389"/>
      <c r="I12" s="389"/>
      <c r="J12" s="389"/>
      <c r="K12" s="389"/>
      <c r="L12" s="389"/>
    </row>
    <row r="13" spans="1:12" ht="15.95" customHeight="1">
      <c r="A13" s="392" t="s">
        <v>458</v>
      </c>
      <c r="B13" s="392" t="s">
        <v>472</v>
      </c>
      <c r="C13" s="392" t="s">
        <v>484</v>
      </c>
      <c r="D13" s="392" t="s">
        <v>497</v>
      </c>
      <c r="E13" s="392" t="s">
        <v>510</v>
      </c>
      <c r="F13" s="392" t="s">
        <v>523</v>
      </c>
      <c r="G13" s="392" t="s">
        <v>536</v>
      </c>
      <c r="H13" s="389"/>
      <c r="I13" s="389"/>
      <c r="J13" s="389"/>
      <c r="K13" s="389"/>
      <c r="L13" s="389"/>
    </row>
    <row r="14" spans="1:12" ht="15.95" customHeight="1">
      <c r="A14" s="392" t="s">
        <v>459</v>
      </c>
      <c r="B14" s="392" t="s">
        <v>473</v>
      </c>
      <c r="C14" s="392" t="s">
        <v>485</v>
      </c>
      <c r="D14" s="392" t="s">
        <v>498</v>
      </c>
      <c r="E14" s="392" t="s">
        <v>511</v>
      </c>
      <c r="F14" s="392" t="s">
        <v>524</v>
      </c>
      <c r="G14" s="392" t="s">
        <v>537</v>
      </c>
      <c r="H14" s="389"/>
      <c r="I14" s="389"/>
      <c r="J14" s="389"/>
      <c r="K14" s="389"/>
      <c r="L14" s="389"/>
    </row>
    <row r="15" spans="1:12" ht="15.95" customHeight="1">
      <c r="A15" s="392" t="s">
        <v>460</v>
      </c>
      <c r="B15" s="392" t="s">
        <v>474</v>
      </c>
      <c r="C15" s="392" t="s">
        <v>486</v>
      </c>
      <c r="D15" s="392" t="s">
        <v>499</v>
      </c>
      <c r="E15" s="392" t="s">
        <v>512</v>
      </c>
      <c r="F15" s="392" t="s">
        <v>525</v>
      </c>
      <c r="G15" s="392" t="s">
        <v>538</v>
      </c>
      <c r="H15" s="389"/>
      <c r="I15" s="389"/>
      <c r="J15" s="389"/>
      <c r="K15" s="389"/>
      <c r="L15" s="389"/>
    </row>
    <row r="16" spans="1:12" ht="15.95" customHeight="1">
      <c r="A16" s="392" t="s">
        <v>461</v>
      </c>
      <c r="B16" s="392" t="s">
        <v>475</v>
      </c>
      <c r="C16" s="392" t="s">
        <v>487</v>
      </c>
      <c r="D16" s="392" t="s">
        <v>500</v>
      </c>
      <c r="E16" s="392" t="s">
        <v>513</v>
      </c>
      <c r="F16" s="392" t="s">
        <v>526</v>
      </c>
      <c r="G16" s="392" t="s">
        <v>539</v>
      </c>
      <c r="H16" s="389"/>
      <c r="I16" s="389"/>
      <c r="J16" s="389"/>
      <c r="K16" s="389"/>
      <c r="L16" s="389"/>
    </row>
    <row r="17" spans="1:12" ht="15.95" customHeight="1">
      <c r="A17" s="392" t="s">
        <v>462</v>
      </c>
      <c r="B17" s="392" t="s">
        <v>476</v>
      </c>
      <c r="C17" s="392" t="s">
        <v>488</v>
      </c>
      <c r="D17" s="392" t="s">
        <v>501</v>
      </c>
      <c r="E17" s="392" t="s">
        <v>514</v>
      </c>
      <c r="F17" s="392" t="s">
        <v>527</v>
      </c>
      <c r="G17" s="392" t="s">
        <v>540</v>
      </c>
      <c r="H17" s="389"/>
      <c r="I17" s="389"/>
      <c r="J17" s="389"/>
      <c r="K17" s="389"/>
      <c r="L17" s="389"/>
    </row>
    <row r="18" spans="1:12" ht="15.95" customHeight="1">
      <c r="A18" s="392" t="s">
        <v>463</v>
      </c>
      <c r="B18" s="392" t="s">
        <v>477</v>
      </c>
      <c r="C18" s="392" t="s">
        <v>489</v>
      </c>
      <c r="D18" s="392" t="s">
        <v>502</v>
      </c>
      <c r="E18" s="392" t="s">
        <v>515</v>
      </c>
      <c r="F18" s="392" t="s">
        <v>528</v>
      </c>
      <c r="G18" s="392" t="s">
        <v>541</v>
      </c>
      <c r="H18" s="389"/>
      <c r="I18" s="389"/>
      <c r="J18" s="389"/>
      <c r="K18" s="389"/>
      <c r="L18" s="389"/>
    </row>
    <row r="19" spans="1:12" ht="15.95" customHeight="1">
      <c r="A19" s="392" t="s">
        <v>464</v>
      </c>
      <c r="B19" s="392" t="s">
        <v>478</v>
      </c>
      <c r="C19" s="392" t="s">
        <v>490</v>
      </c>
      <c r="D19" s="392" t="s">
        <v>503</v>
      </c>
      <c r="E19" s="392" t="s">
        <v>516</v>
      </c>
      <c r="F19" s="392" t="s">
        <v>529</v>
      </c>
      <c r="G19" s="392" t="s">
        <v>542</v>
      </c>
      <c r="H19" s="389"/>
      <c r="I19" s="389"/>
      <c r="J19" s="389"/>
      <c r="K19" s="389"/>
      <c r="L19" s="389"/>
    </row>
    <row r="20" spans="1:12" ht="15.75">
      <c r="A20" s="389"/>
      <c r="B20" s="389"/>
      <c r="C20" s="389"/>
      <c r="D20" s="389"/>
      <c r="E20" s="389"/>
      <c r="F20" s="389"/>
      <c r="G20" s="389"/>
      <c r="H20" s="389"/>
      <c r="I20" s="389"/>
      <c r="J20" s="389"/>
      <c r="K20" s="389"/>
      <c r="L20" s="389"/>
    </row>
    <row r="21" spans="1:12" ht="15.75">
      <c r="A21" s="389"/>
      <c r="B21" s="389"/>
      <c r="C21" s="389"/>
      <c r="D21" s="662" t="s">
        <v>552</v>
      </c>
      <c r="E21" s="658"/>
      <c r="F21" s="658"/>
      <c r="G21" s="659"/>
      <c r="H21" s="389"/>
      <c r="I21" s="389"/>
      <c r="J21" s="389"/>
      <c r="K21" s="389"/>
      <c r="L21" s="389"/>
    </row>
    <row r="22" spans="1:12" ht="17.25" customHeight="1">
      <c r="A22" s="389"/>
      <c r="B22" s="660" t="s">
        <v>423</v>
      </c>
      <c r="C22" s="660"/>
      <c r="D22" s="660" t="s">
        <v>424</v>
      </c>
      <c r="E22" s="660"/>
      <c r="F22" s="660" t="s">
        <v>425</v>
      </c>
      <c r="G22" s="660"/>
      <c r="H22" s="389"/>
      <c r="I22" s="389"/>
      <c r="J22" s="389"/>
      <c r="K22" s="389"/>
      <c r="L22" s="389"/>
    </row>
    <row r="23" spans="1:12" ht="15.75">
      <c r="A23" s="393" t="s">
        <v>426</v>
      </c>
      <c r="B23" s="656" t="s">
        <v>543</v>
      </c>
      <c r="C23" s="656"/>
      <c r="D23" s="656" t="s">
        <v>546</v>
      </c>
      <c r="E23" s="656"/>
      <c r="F23" s="656" t="s">
        <v>549</v>
      </c>
      <c r="G23" s="656"/>
      <c r="H23" s="389"/>
      <c r="I23" s="389"/>
      <c r="J23" s="389"/>
      <c r="K23" s="389"/>
      <c r="L23" s="389"/>
    </row>
    <row r="24" spans="1:12" ht="18" customHeight="1">
      <c r="A24" s="393" t="s">
        <v>427</v>
      </c>
      <c r="B24" s="656" t="s">
        <v>544</v>
      </c>
      <c r="C24" s="656"/>
      <c r="D24" s="656" t="s">
        <v>547</v>
      </c>
      <c r="E24" s="656"/>
      <c r="F24" s="656" t="s">
        <v>550</v>
      </c>
      <c r="G24" s="656"/>
      <c r="H24" s="389"/>
      <c r="I24" s="389"/>
      <c r="J24" s="389"/>
      <c r="K24" s="389"/>
      <c r="L24" s="389"/>
    </row>
    <row r="25" spans="1:12" ht="15.75">
      <c r="A25" s="393" t="s">
        <v>428</v>
      </c>
      <c r="B25" s="656" t="s">
        <v>545</v>
      </c>
      <c r="C25" s="656"/>
      <c r="D25" s="656" t="s">
        <v>548</v>
      </c>
      <c r="E25" s="656"/>
      <c r="F25" s="656" t="s">
        <v>551</v>
      </c>
      <c r="G25" s="656"/>
      <c r="H25" s="389"/>
      <c r="I25" s="389"/>
      <c r="J25" s="389"/>
      <c r="K25" s="389"/>
      <c r="L25" s="389"/>
    </row>
    <row r="26" spans="1:12" ht="15.75">
      <c r="A26" s="389"/>
      <c r="B26" s="389"/>
      <c r="C26" s="389"/>
      <c r="D26" s="389"/>
      <c r="E26" s="389"/>
      <c r="F26" s="389"/>
      <c r="G26" s="389"/>
      <c r="H26" s="389"/>
      <c r="I26" s="389"/>
      <c r="J26" s="389"/>
      <c r="K26" s="389"/>
      <c r="L26" s="389"/>
    </row>
    <row r="27" spans="1:12" ht="20.25">
      <c r="A27" s="388" t="s">
        <v>429</v>
      </c>
      <c r="B27" s="389"/>
      <c r="C27" s="389"/>
      <c r="D27" s="389"/>
      <c r="E27" s="389"/>
      <c r="F27" s="389"/>
      <c r="G27" s="389"/>
      <c r="H27" s="389"/>
      <c r="I27" s="389"/>
      <c r="J27" s="389"/>
      <c r="K27" s="389"/>
      <c r="L27" s="389"/>
    </row>
    <row r="28" spans="1:12" ht="15.75">
      <c r="A28" s="389"/>
      <c r="B28" s="389"/>
      <c r="C28" s="389"/>
      <c r="D28" s="389"/>
      <c r="E28" s="657" t="s">
        <v>430</v>
      </c>
      <c r="F28" s="658"/>
      <c r="G28" s="659"/>
      <c r="H28" s="389"/>
      <c r="I28" s="389"/>
      <c r="J28" s="389"/>
      <c r="K28" s="389"/>
      <c r="L28" s="389"/>
    </row>
    <row r="29" spans="1:12" ht="15.75">
      <c r="A29" s="389"/>
      <c r="B29" s="660" t="s">
        <v>431</v>
      </c>
      <c r="C29" s="660"/>
      <c r="D29" s="394" t="s">
        <v>432</v>
      </c>
      <c r="E29" s="394" t="s">
        <v>433</v>
      </c>
      <c r="F29" s="660" t="s">
        <v>434</v>
      </c>
      <c r="G29" s="660"/>
      <c r="H29" s="389"/>
      <c r="I29" s="389"/>
      <c r="J29" s="389"/>
      <c r="K29" s="389"/>
      <c r="L29" s="389"/>
    </row>
    <row r="30" spans="1:12" ht="15.75">
      <c r="A30" s="393" t="s">
        <v>435</v>
      </c>
      <c r="B30" s="656" t="s">
        <v>553</v>
      </c>
      <c r="C30" s="656"/>
      <c r="D30" s="392" t="s">
        <v>556</v>
      </c>
      <c r="E30" s="392" t="s">
        <v>436</v>
      </c>
      <c r="F30" s="656" t="s">
        <v>559</v>
      </c>
      <c r="G30" s="656"/>
      <c r="H30" s="389"/>
      <c r="I30" s="389"/>
      <c r="J30" s="389"/>
      <c r="K30" s="389"/>
      <c r="L30" s="389"/>
    </row>
    <row r="31" spans="1:12" ht="15.75">
      <c r="A31" s="393" t="s">
        <v>437</v>
      </c>
      <c r="B31" s="656" t="s">
        <v>554</v>
      </c>
      <c r="C31" s="656"/>
      <c r="D31" s="392" t="s">
        <v>557</v>
      </c>
      <c r="E31" s="392" t="s">
        <v>438</v>
      </c>
      <c r="F31" s="656" t="s">
        <v>560</v>
      </c>
      <c r="G31" s="656"/>
      <c r="H31" s="389"/>
      <c r="I31" s="389"/>
      <c r="J31" s="389"/>
      <c r="K31" s="389"/>
      <c r="L31" s="389"/>
    </row>
    <row r="32" spans="1:12" ht="15.75">
      <c r="A32" s="393" t="s">
        <v>439</v>
      </c>
      <c r="B32" s="656" t="s">
        <v>555</v>
      </c>
      <c r="C32" s="656"/>
      <c r="D32" s="392" t="s">
        <v>558</v>
      </c>
      <c r="E32" s="392" t="s">
        <v>440</v>
      </c>
      <c r="F32" s="656" t="s">
        <v>561</v>
      </c>
      <c r="G32" s="656"/>
      <c r="H32" s="389"/>
      <c r="I32" s="389"/>
      <c r="J32" s="389"/>
      <c r="K32" s="389"/>
      <c r="L32" s="389"/>
    </row>
    <row r="33" spans="1:12" ht="15.75">
      <c r="A33" s="389"/>
      <c r="B33" s="389"/>
      <c r="C33" s="389"/>
      <c r="D33" s="389"/>
      <c r="E33" s="389"/>
      <c r="F33" s="389"/>
      <c r="G33" s="389"/>
      <c r="H33" s="389"/>
      <c r="I33" s="389"/>
      <c r="J33" s="389"/>
      <c r="K33" s="389"/>
      <c r="L33" s="389"/>
    </row>
    <row r="34" spans="1:12" ht="15.75">
      <c r="A34" s="389"/>
      <c r="B34" s="389"/>
      <c r="C34" s="389"/>
      <c r="D34" s="389"/>
      <c r="E34" s="657" t="s">
        <v>441</v>
      </c>
      <c r="F34" s="658"/>
      <c r="G34" s="659"/>
      <c r="H34" s="389"/>
      <c r="I34" s="389"/>
      <c r="J34" s="389"/>
      <c r="K34" s="389"/>
      <c r="L34" s="389"/>
    </row>
    <row r="35" spans="1:12" ht="15.75">
      <c r="A35" s="389"/>
      <c r="B35" s="660" t="s">
        <v>442</v>
      </c>
      <c r="C35" s="660"/>
      <c r="D35" s="394" t="s">
        <v>433</v>
      </c>
      <c r="E35" s="394" t="s">
        <v>443</v>
      </c>
      <c r="F35" s="394" t="s">
        <v>100</v>
      </c>
      <c r="G35" s="394" t="s">
        <v>444</v>
      </c>
      <c r="H35" s="389"/>
      <c r="I35" s="389"/>
      <c r="J35" s="389"/>
      <c r="K35" s="389"/>
      <c r="L35" s="389"/>
    </row>
    <row r="36" spans="1:12" ht="15.75">
      <c r="A36" s="393" t="s">
        <v>435</v>
      </c>
      <c r="B36" s="652" t="s">
        <v>562</v>
      </c>
      <c r="C36" s="653"/>
      <c r="D36" s="395" t="s">
        <v>564</v>
      </c>
      <c r="E36" s="395" t="s">
        <v>445</v>
      </c>
      <c r="F36" s="396" t="s">
        <v>446</v>
      </c>
      <c r="G36" s="392" t="s">
        <v>567</v>
      </c>
      <c r="H36" s="389"/>
      <c r="I36" s="389"/>
      <c r="J36" s="389"/>
      <c r="K36" s="389"/>
      <c r="L36" s="389"/>
    </row>
    <row r="37" spans="1:12" ht="15.75">
      <c r="A37" s="393" t="s">
        <v>437</v>
      </c>
      <c r="B37" s="652" t="s">
        <v>563</v>
      </c>
      <c r="C37" s="653"/>
      <c r="D37" s="395" t="s">
        <v>565</v>
      </c>
      <c r="E37" s="395" t="s">
        <v>445</v>
      </c>
      <c r="F37" s="396" t="s">
        <v>447</v>
      </c>
      <c r="G37" s="397" t="s">
        <v>568</v>
      </c>
      <c r="H37" s="389"/>
      <c r="I37" s="389"/>
      <c r="J37" s="389"/>
      <c r="K37" s="389"/>
      <c r="L37" s="389"/>
    </row>
    <row r="38" spans="1:12" ht="15.75">
      <c r="A38" s="393" t="s">
        <v>439</v>
      </c>
      <c r="B38" s="652" t="s">
        <v>563</v>
      </c>
      <c r="C38" s="653"/>
      <c r="D38" s="395" t="s">
        <v>566</v>
      </c>
      <c r="E38" s="395" t="s">
        <v>445</v>
      </c>
      <c r="F38" s="396" t="s">
        <v>448</v>
      </c>
      <c r="G38" s="392" t="s">
        <v>569</v>
      </c>
      <c r="H38" s="389"/>
      <c r="I38" s="389"/>
      <c r="J38" s="389"/>
      <c r="K38" s="389"/>
      <c r="L38" s="389"/>
    </row>
    <row r="39" spans="1:12" ht="15.75">
      <c r="A39" s="389"/>
      <c r="B39" s="389"/>
      <c r="C39" s="389"/>
      <c r="D39" s="389"/>
      <c r="E39" s="389"/>
      <c r="F39" s="389"/>
      <c r="G39" s="389"/>
      <c r="H39" s="389"/>
      <c r="I39" s="389"/>
      <c r="J39" s="389"/>
      <c r="K39" s="389"/>
      <c r="L39" s="389"/>
    </row>
    <row r="40" spans="1:12" ht="15.75">
      <c r="A40" s="398" t="s">
        <v>449</v>
      </c>
      <c r="B40" s="654" t="s">
        <v>570</v>
      </c>
      <c r="C40" s="654"/>
      <c r="D40" s="655" t="s">
        <v>450</v>
      </c>
      <c r="E40" s="655"/>
      <c r="F40" s="654" t="s">
        <v>571</v>
      </c>
      <c r="G40" s="654"/>
      <c r="H40" s="389"/>
      <c r="I40" s="389"/>
      <c r="J40" s="389"/>
      <c r="K40" s="389"/>
      <c r="L40" s="389"/>
    </row>
    <row r="41" spans="1:12" ht="15.75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</row>
    <row r="42" spans="1:12" ht="15.75">
      <c r="A42" s="389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</row>
    <row r="43" spans="1:12" ht="15.75">
      <c r="A43" s="389"/>
      <c r="B43" s="389"/>
      <c r="C43" s="389"/>
      <c r="D43" s="389"/>
      <c r="E43" s="389"/>
      <c r="F43" s="389"/>
      <c r="G43" s="389"/>
      <c r="H43" s="389"/>
      <c r="I43" s="389"/>
      <c r="J43" s="389"/>
      <c r="K43" s="389"/>
      <c r="L43" s="389"/>
    </row>
    <row r="44" spans="1:12" ht="15.75">
      <c r="A44" s="389"/>
      <c r="B44" s="389"/>
      <c r="C44" s="389"/>
      <c r="D44" s="389"/>
      <c r="E44" s="389"/>
      <c r="F44" s="389"/>
      <c r="G44" s="389"/>
      <c r="H44" s="389"/>
      <c r="I44" s="389"/>
      <c r="J44" s="389"/>
      <c r="K44" s="389"/>
      <c r="L44" s="389"/>
    </row>
    <row r="45" spans="1:12" ht="15.75">
      <c r="A45" s="389"/>
      <c r="B45" s="389"/>
      <c r="C45" s="389"/>
      <c r="D45" s="389"/>
      <c r="E45" s="389"/>
      <c r="F45" s="389"/>
      <c r="G45" s="389"/>
      <c r="H45" s="389"/>
      <c r="I45" s="389"/>
      <c r="J45" s="389"/>
      <c r="K45" s="389"/>
      <c r="L45" s="389"/>
    </row>
    <row r="46" spans="1:12" ht="15.75">
      <c r="A46" s="389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89"/>
    </row>
    <row r="47" spans="1:12" ht="15.75">
      <c r="A47" s="389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</row>
    <row r="48" spans="1:12" ht="15.75">
      <c r="A48" s="389"/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</row>
    <row r="49" spans="1:12" ht="15.75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</row>
    <row r="50" spans="1:12" ht="15.75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</row>
    <row r="51" spans="1:12" ht="15.75">
      <c r="A51" s="389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</row>
    <row r="52" spans="1:12" ht="15.75">
      <c r="A52" s="389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89"/>
    </row>
    <row r="53" spans="1:12" ht="15.75">
      <c r="A53" s="389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89"/>
    </row>
    <row r="54" spans="1:12" ht="15.75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</row>
    <row r="55" spans="1:12" ht="15.75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</row>
    <row r="56" spans="1:12" ht="15.75">
      <c r="A56" s="389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89"/>
    </row>
    <row r="57" spans="1:12" ht="15.75">
      <c r="A57" s="389"/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</row>
    <row r="58" spans="1:12" ht="15.75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</row>
    <row r="59" spans="1:12" ht="15.75">
      <c r="A59" s="389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</row>
    <row r="60" spans="1:12" ht="15.75">
      <c r="A60" s="389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</row>
    <row r="61" spans="1:12" ht="15.75">
      <c r="A61" s="389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"/>
  <sheetViews>
    <sheetView workbookViewId="0">
      <selection sqref="A1:K1"/>
    </sheetView>
  </sheetViews>
  <sheetFormatPr defaultRowHeight="12.75"/>
  <cols>
    <col min="1" max="1" width="9.5703125" style="387" customWidth="1"/>
    <col min="2" max="11" width="7.7109375" style="387" customWidth="1"/>
    <col min="12" max="16384" width="9.140625" style="387"/>
  </cols>
  <sheetData>
    <row r="1" spans="1:12" ht="20.25">
      <c r="A1" s="665" t="s">
        <v>572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389"/>
    </row>
    <row r="2" spans="1:12" ht="30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</row>
    <row r="3" spans="1:12" ht="19.5">
      <c r="A3" s="399" t="s">
        <v>412</v>
      </c>
      <c r="B3" s="400" t="s">
        <v>451</v>
      </c>
      <c r="C3" s="389"/>
      <c r="D3" s="389"/>
      <c r="E3" s="389"/>
      <c r="F3" s="389"/>
      <c r="G3" s="389"/>
      <c r="H3" s="389"/>
      <c r="I3" s="389"/>
      <c r="J3" s="389"/>
      <c r="K3" s="389"/>
      <c r="L3" s="389"/>
    </row>
    <row r="4" spans="1:12" ht="12" customHeight="1">
      <c r="A4" s="389"/>
      <c r="B4" s="389"/>
      <c r="C4" s="389"/>
      <c r="D4" s="389"/>
      <c r="E4" s="389"/>
      <c r="F4" s="389"/>
      <c r="G4" s="389"/>
      <c r="H4" s="389"/>
      <c r="I4" s="389"/>
      <c r="J4" s="389"/>
      <c r="K4" s="389"/>
      <c r="L4" s="389"/>
    </row>
    <row r="5" spans="1:12" ht="19.5">
      <c r="A5" s="401" t="s">
        <v>573</v>
      </c>
      <c r="B5" s="402"/>
      <c r="C5" s="402"/>
      <c r="D5" s="402"/>
      <c r="E5" s="402"/>
      <c r="F5" s="389"/>
      <c r="G5" s="389"/>
      <c r="H5" s="389"/>
      <c r="I5" s="389"/>
      <c r="J5" s="389"/>
      <c r="K5" s="389"/>
      <c r="L5" s="389"/>
    </row>
    <row r="6" spans="1:12" ht="17.25" customHeight="1">
      <c r="A6" s="389"/>
      <c r="B6" s="389"/>
      <c r="C6" s="389"/>
      <c r="D6" s="389"/>
      <c r="E6" s="389"/>
      <c r="F6" s="389"/>
      <c r="G6" s="389"/>
      <c r="H6" s="389"/>
      <c r="I6" s="389"/>
      <c r="J6" s="389"/>
      <c r="K6" s="389"/>
      <c r="L6" s="389"/>
    </row>
    <row r="7" spans="1:12" ht="15.75">
      <c r="A7" s="389"/>
      <c r="B7" s="403" t="s">
        <v>574</v>
      </c>
      <c r="C7" s="404">
        <v>0</v>
      </c>
      <c r="D7" s="403" t="s">
        <v>574</v>
      </c>
      <c r="E7" s="405" t="s">
        <v>575</v>
      </c>
      <c r="F7" s="403" t="s">
        <v>574</v>
      </c>
      <c r="G7" s="405" t="s">
        <v>576</v>
      </c>
      <c r="H7" s="403" t="s">
        <v>577</v>
      </c>
      <c r="I7" s="405">
        <v>0</v>
      </c>
      <c r="J7" s="403" t="s">
        <v>577</v>
      </c>
      <c r="K7" s="405">
        <v>8.0000000000000002E-3</v>
      </c>
      <c r="L7" s="389"/>
    </row>
    <row r="8" spans="1:12" ht="15.75">
      <c r="A8" s="392" t="s">
        <v>578</v>
      </c>
      <c r="B8" s="656">
        <v>12</v>
      </c>
      <c r="C8" s="656"/>
      <c r="D8" s="656">
        <v>24</v>
      </c>
      <c r="E8" s="656"/>
      <c r="F8" s="656">
        <v>0</v>
      </c>
      <c r="G8" s="656"/>
      <c r="H8" s="656" t="s">
        <v>593</v>
      </c>
      <c r="I8" s="656"/>
      <c r="J8" s="656" t="s">
        <v>594</v>
      </c>
      <c r="K8" s="656"/>
      <c r="L8" s="389"/>
    </row>
    <row r="9" spans="1:12" ht="15.75">
      <c r="A9" s="392" t="s">
        <v>579</v>
      </c>
      <c r="B9" s="656">
        <v>20</v>
      </c>
      <c r="C9" s="656"/>
      <c r="D9" s="656">
        <v>32</v>
      </c>
      <c r="E9" s="656"/>
      <c r="F9" s="656">
        <v>8</v>
      </c>
      <c r="G9" s="656"/>
      <c r="H9" s="656" t="s">
        <v>595</v>
      </c>
      <c r="I9" s="656"/>
      <c r="J9" s="656" t="s">
        <v>596</v>
      </c>
      <c r="K9" s="656"/>
      <c r="L9" s="389"/>
    </row>
    <row r="10" spans="1:12" ht="15.75">
      <c r="A10" s="392" t="s">
        <v>580</v>
      </c>
      <c r="B10" s="656">
        <v>16</v>
      </c>
      <c r="C10" s="656"/>
      <c r="D10" s="656">
        <v>28</v>
      </c>
      <c r="E10" s="656"/>
      <c r="F10" s="656">
        <v>4</v>
      </c>
      <c r="G10" s="656"/>
      <c r="H10" s="656" t="s">
        <v>597</v>
      </c>
      <c r="I10" s="656"/>
      <c r="J10" s="656" t="s">
        <v>598</v>
      </c>
      <c r="K10" s="656"/>
      <c r="L10" s="389"/>
    </row>
    <row r="11" spans="1:12" ht="26.25" customHeight="1">
      <c r="A11" s="389"/>
      <c r="B11" s="389"/>
      <c r="C11" s="389"/>
      <c r="D11" s="389"/>
      <c r="E11" s="389"/>
      <c r="F11" s="389"/>
      <c r="G11" s="389"/>
      <c r="H11" s="389"/>
      <c r="I11" s="389"/>
      <c r="J11" s="389"/>
      <c r="K11" s="389"/>
      <c r="L11" s="389"/>
    </row>
    <row r="12" spans="1:12" ht="19.5">
      <c r="A12" s="401" t="s">
        <v>581</v>
      </c>
      <c r="B12" s="389"/>
      <c r="C12" s="389"/>
      <c r="D12" s="389"/>
      <c r="E12" s="389"/>
      <c r="F12" s="389"/>
      <c r="G12" s="389"/>
      <c r="H12" s="389"/>
      <c r="I12" s="389"/>
      <c r="J12" s="389"/>
      <c r="K12" s="389"/>
      <c r="L12" s="389"/>
    </row>
    <row r="13" spans="1:12" ht="15.75">
      <c r="A13" s="389"/>
      <c r="B13" s="389"/>
      <c r="C13" s="389"/>
      <c r="D13" s="389"/>
      <c r="E13" s="389"/>
      <c r="F13" s="389"/>
      <c r="G13" s="389"/>
      <c r="H13" s="389"/>
      <c r="I13" s="389"/>
      <c r="J13" s="389"/>
      <c r="K13" s="389"/>
      <c r="L13" s="389"/>
    </row>
    <row r="14" spans="1:12" ht="15.75">
      <c r="A14" s="389"/>
      <c r="B14" s="663" t="s">
        <v>582</v>
      </c>
      <c r="C14" s="652"/>
      <c r="D14" s="664" t="s">
        <v>599</v>
      </c>
      <c r="E14" s="656"/>
      <c r="F14" s="663" t="s">
        <v>583</v>
      </c>
      <c r="G14" s="652"/>
      <c r="H14" s="664" t="s">
        <v>604</v>
      </c>
      <c r="I14" s="656"/>
      <c r="J14" s="389"/>
      <c r="K14" s="389"/>
      <c r="L14" s="389"/>
    </row>
    <row r="15" spans="1:12" ht="15.75">
      <c r="A15" s="389"/>
      <c r="B15" s="663" t="s">
        <v>584</v>
      </c>
      <c r="C15" s="652"/>
      <c r="D15" s="664" t="s">
        <v>600</v>
      </c>
      <c r="E15" s="656"/>
      <c r="F15" s="663" t="s">
        <v>585</v>
      </c>
      <c r="G15" s="652"/>
      <c r="H15" s="664" t="s">
        <v>605</v>
      </c>
      <c r="I15" s="656"/>
      <c r="J15" s="389"/>
      <c r="K15" s="389"/>
      <c r="L15" s="389"/>
    </row>
    <row r="16" spans="1:12" ht="15.75">
      <c r="A16" s="389"/>
      <c r="B16" s="663" t="s">
        <v>586</v>
      </c>
      <c r="C16" s="652"/>
      <c r="D16" s="664" t="s">
        <v>601</v>
      </c>
      <c r="E16" s="656"/>
      <c r="F16" s="663" t="s">
        <v>587</v>
      </c>
      <c r="G16" s="652"/>
      <c r="H16" s="664" t="s">
        <v>606</v>
      </c>
      <c r="I16" s="656"/>
      <c r="J16" s="389"/>
      <c r="K16" s="389"/>
      <c r="L16" s="389"/>
    </row>
    <row r="17" spans="1:12" ht="15.75">
      <c r="A17" s="389"/>
      <c r="B17" s="663" t="s">
        <v>588</v>
      </c>
      <c r="C17" s="652"/>
      <c r="D17" s="664" t="s">
        <v>602</v>
      </c>
      <c r="E17" s="656"/>
      <c r="F17" s="663" t="s">
        <v>589</v>
      </c>
      <c r="G17" s="652"/>
      <c r="H17" s="664" t="s">
        <v>607</v>
      </c>
      <c r="I17" s="656"/>
      <c r="J17" s="389"/>
      <c r="K17" s="389"/>
      <c r="L17" s="389"/>
    </row>
    <row r="18" spans="1:12" ht="15.75">
      <c r="A18" s="389"/>
      <c r="B18" s="663" t="s">
        <v>590</v>
      </c>
      <c r="C18" s="652"/>
      <c r="D18" s="664" t="s">
        <v>603</v>
      </c>
      <c r="E18" s="656"/>
      <c r="F18" s="663" t="s">
        <v>591</v>
      </c>
      <c r="G18" s="652"/>
      <c r="H18" s="664" t="s">
        <v>608</v>
      </c>
      <c r="I18" s="656"/>
      <c r="J18" s="389"/>
      <c r="K18" s="389"/>
      <c r="L18" s="389"/>
    </row>
    <row r="19" spans="1:12" ht="27" customHeight="1">
      <c r="A19" s="389"/>
      <c r="B19" s="389"/>
      <c r="C19" s="389"/>
      <c r="D19" s="389"/>
      <c r="E19" s="389"/>
      <c r="F19" s="389"/>
      <c r="G19" s="389"/>
      <c r="H19" s="389"/>
      <c r="I19" s="389"/>
      <c r="J19" s="389"/>
      <c r="K19" s="389"/>
      <c r="L19" s="389"/>
    </row>
    <row r="20" spans="1:12" ht="19.5">
      <c r="A20" s="401" t="s">
        <v>592</v>
      </c>
      <c r="B20" s="389"/>
      <c r="C20" s="389"/>
      <c r="D20" s="389"/>
      <c r="E20" s="389"/>
      <c r="F20" s="389"/>
      <c r="G20" s="389"/>
      <c r="H20" s="389"/>
      <c r="I20" s="389"/>
      <c r="J20" s="389"/>
      <c r="K20" s="389"/>
      <c r="L20" s="389"/>
    </row>
    <row r="21" spans="1:12" ht="15.75">
      <c r="A21" s="389"/>
      <c r="B21" s="389"/>
      <c r="C21" s="389"/>
      <c r="D21" s="389"/>
      <c r="E21" s="389"/>
      <c r="F21" s="389"/>
      <c r="G21" s="389"/>
      <c r="H21" s="389"/>
      <c r="I21" s="389"/>
      <c r="J21" s="389"/>
      <c r="K21" s="389"/>
      <c r="L21" s="389"/>
    </row>
    <row r="22" spans="1:12" ht="19.5">
      <c r="A22" s="389"/>
      <c r="B22" s="401" t="s">
        <v>609</v>
      </c>
      <c r="C22" s="389"/>
      <c r="D22" s="389"/>
      <c r="E22" s="389"/>
      <c r="F22" s="389"/>
      <c r="G22" s="389"/>
      <c r="H22" s="389"/>
      <c r="I22" s="389"/>
      <c r="J22" s="389"/>
      <c r="K22" s="389"/>
      <c r="L22" s="389"/>
    </row>
    <row r="23" spans="1:12" ht="15.75">
      <c r="A23" s="389"/>
      <c r="B23" s="389" t="s">
        <v>610</v>
      </c>
      <c r="C23" s="389"/>
      <c r="D23" s="389"/>
      <c r="E23" s="389"/>
      <c r="F23" s="389"/>
      <c r="G23" s="389"/>
      <c r="H23" s="389"/>
      <c r="I23" s="389"/>
      <c r="J23" s="389"/>
      <c r="K23" s="389"/>
      <c r="L23" s="389"/>
    </row>
    <row r="24" spans="1:12" ht="15.75">
      <c r="A24" s="389"/>
      <c r="B24" s="389"/>
      <c r="C24" s="389"/>
      <c r="D24" s="389"/>
      <c r="E24" s="389"/>
      <c r="F24" s="389"/>
      <c r="G24" s="389"/>
      <c r="H24" s="389"/>
      <c r="I24" s="389"/>
      <c r="J24" s="389"/>
      <c r="K24" s="389"/>
      <c r="L24" s="389"/>
    </row>
    <row r="25" spans="1:12" ht="15.75">
      <c r="A25" s="389"/>
      <c r="B25" s="389"/>
      <c r="C25" s="389"/>
      <c r="D25" s="389"/>
      <c r="E25" s="389"/>
      <c r="F25" s="389"/>
      <c r="G25" s="389"/>
      <c r="H25" s="389"/>
      <c r="I25" s="389"/>
      <c r="J25" s="389"/>
      <c r="K25" s="389"/>
      <c r="L25" s="389"/>
    </row>
    <row r="26" spans="1:12" ht="15.75">
      <c r="A26" s="389"/>
      <c r="B26" s="389"/>
      <c r="C26" s="389"/>
      <c r="D26" s="389"/>
      <c r="E26" s="389"/>
      <c r="F26" s="389"/>
      <c r="G26" s="389"/>
      <c r="H26" s="389"/>
      <c r="I26" s="389"/>
      <c r="J26" s="389"/>
      <c r="K26" s="389"/>
      <c r="L26" s="389"/>
    </row>
    <row r="27" spans="1:12" ht="15.75">
      <c r="A27" s="389"/>
      <c r="B27" s="389"/>
      <c r="C27" s="389"/>
      <c r="D27" s="389"/>
      <c r="E27" s="389"/>
      <c r="F27" s="389"/>
      <c r="G27" s="389"/>
      <c r="H27" s="389"/>
      <c r="I27" s="389"/>
      <c r="J27" s="389"/>
      <c r="K27" s="389"/>
      <c r="L27" s="389"/>
    </row>
    <row r="28" spans="1:12" ht="15.75">
      <c r="A28" s="389"/>
      <c r="B28" s="389"/>
      <c r="C28" s="389"/>
      <c r="D28" s="389"/>
      <c r="E28" s="389"/>
      <c r="F28" s="389"/>
      <c r="G28" s="389"/>
      <c r="H28" s="389"/>
      <c r="I28" s="389"/>
      <c r="J28" s="389"/>
      <c r="K28" s="389"/>
      <c r="L28" s="389"/>
    </row>
    <row r="29" spans="1:12" ht="15.75">
      <c r="A29" s="389"/>
      <c r="B29" s="389"/>
      <c r="C29" s="389"/>
      <c r="D29" s="389"/>
      <c r="E29" s="389"/>
      <c r="F29" s="389"/>
      <c r="G29" s="389"/>
      <c r="H29" s="389"/>
      <c r="I29" s="389"/>
      <c r="J29" s="389"/>
      <c r="K29" s="389"/>
      <c r="L29" s="389"/>
    </row>
    <row r="30" spans="1:12" ht="15.75">
      <c r="A30" s="389"/>
      <c r="B30" s="389"/>
      <c r="C30" s="389"/>
      <c r="D30" s="389"/>
      <c r="E30" s="389"/>
      <c r="F30" s="389"/>
      <c r="G30" s="389"/>
      <c r="H30" s="389"/>
      <c r="I30" s="389"/>
      <c r="J30" s="389"/>
      <c r="K30" s="389"/>
      <c r="L30" s="389"/>
    </row>
    <row r="31" spans="1:12" ht="15.75">
      <c r="A31" s="389"/>
      <c r="B31" s="389"/>
      <c r="C31" s="389"/>
      <c r="D31" s="389"/>
      <c r="E31" s="389"/>
      <c r="F31" s="389"/>
      <c r="G31" s="389"/>
      <c r="H31" s="389"/>
      <c r="I31" s="389"/>
      <c r="J31" s="389"/>
      <c r="K31" s="389"/>
      <c r="L31" s="389"/>
    </row>
    <row r="32" spans="1:12" ht="15.75">
      <c r="A32" s="389"/>
      <c r="B32" s="389"/>
      <c r="C32" s="389"/>
      <c r="D32" s="389"/>
      <c r="E32" s="389"/>
      <c r="F32" s="389"/>
      <c r="G32" s="389"/>
      <c r="H32" s="389"/>
      <c r="I32" s="389"/>
      <c r="J32" s="389"/>
      <c r="K32" s="389"/>
      <c r="L32" s="389"/>
    </row>
    <row r="33" spans="1:12" ht="15.75">
      <c r="A33" s="389"/>
      <c r="B33" s="389"/>
      <c r="C33" s="389"/>
      <c r="D33" s="389"/>
      <c r="E33" s="389"/>
      <c r="F33" s="389"/>
      <c r="G33" s="389"/>
      <c r="H33" s="389"/>
      <c r="I33" s="389"/>
      <c r="J33" s="389"/>
      <c r="K33" s="389"/>
      <c r="L33" s="389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syncVertical="1" syncRef="A1" transitionEvaluation="1"/>
  <dimension ref="A1:N120"/>
  <sheetViews>
    <sheetView showGridLines="0" zoomScaleNormal="100" workbookViewId="0">
      <selection activeCell="S20" sqref="S20"/>
    </sheetView>
  </sheetViews>
  <sheetFormatPr defaultColWidth="12.5703125" defaultRowHeight="15.75"/>
  <cols>
    <col min="1" max="13" width="7" style="456" customWidth="1"/>
    <col min="14" max="14" width="7.140625" style="456" customWidth="1"/>
    <col min="15" max="16384" width="12.5703125" style="456"/>
  </cols>
  <sheetData>
    <row r="1" spans="1:14" ht="17.100000000000001" customHeight="1">
      <c r="A1" s="449" t="s">
        <v>269</v>
      </c>
      <c r="B1" s="450"/>
      <c r="C1" s="450"/>
      <c r="D1" s="450"/>
      <c r="E1" s="450"/>
      <c r="F1" s="450"/>
      <c r="G1" s="450"/>
      <c r="H1" s="450"/>
      <c r="I1" s="450"/>
      <c r="J1" s="451" t="s">
        <v>643</v>
      </c>
      <c r="K1" s="452"/>
      <c r="L1" s="453" t="s">
        <v>644</v>
      </c>
      <c r="M1" s="454"/>
      <c r="N1" s="455"/>
    </row>
    <row r="2" spans="1:14" ht="17.100000000000001" customHeight="1">
      <c r="A2" s="457" t="s">
        <v>645</v>
      </c>
      <c r="B2" s="458"/>
      <c r="C2" s="458"/>
      <c r="D2" s="458"/>
      <c r="E2" s="458"/>
      <c r="F2" s="458"/>
      <c r="G2" s="458"/>
      <c r="H2" s="458"/>
      <c r="I2" s="458"/>
      <c r="J2" s="459" t="s">
        <v>646</v>
      </c>
      <c r="K2" s="460"/>
      <c r="L2" s="461" t="s">
        <v>647</v>
      </c>
      <c r="M2" s="462"/>
      <c r="N2" s="455"/>
    </row>
    <row r="3" spans="1:14" ht="15.95" customHeight="1">
      <c r="A3" s="463"/>
      <c r="B3" s="464"/>
      <c r="C3" s="464"/>
      <c r="D3" s="464"/>
      <c r="E3" s="464"/>
      <c r="F3" s="464"/>
      <c r="G3" s="464"/>
      <c r="H3" s="464"/>
      <c r="I3" s="464"/>
      <c r="J3" s="459" t="s">
        <v>648</v>
      </c>
      <c r="K3" s="460"/>
      <c r="L3" s="465" t="s">
        <v>649</v>
      </c>
      <c r="M3" s="462"/>
      <c r="N3" s="455"/>
    </row>
    <row r="4" spans="1:14" ht="15.95" customHeight="1">
      <c r="A4" s="466"/>
      <c r="B4" s="464"/>
      <c r="C4" s="464"/>
      <c r="D4" s="464"/>
      <c r="E4" s="464"/>
      <c r="F4" s="464"/>
      <c r="G4" s="464"/>
      <c r="H4" s="464"/>
      <c r="I4" s="464"/>
      <c r="J4" s="459" t="s">
        <v>650</v>
      </c>
      <c r="K4" s="460"/>
      <c r="L4" s="465" t="s">
        <v>651</v>
      </c>
      <c r="M4" s="462"/>
      <c r="N4" s="455"/>
    </row>
    <row r="5" spans="1:14" ht="15.95" customHeight="1">
      <c r="A5" s="463"/>
      <c r="B5" s="464"/>
      <c r="C5" s="464"/>
      <c r="D5" s="464"/>
      <c r="E5" s="464"/>
      <c r="F5" s="464"/>
      <c r="G5" s="464"/>
      <c r="H5" s="464"/>
      <c r="I5" s="464"/>
      <c r="J5" s="459" t="s">
        <v>652</v>
      </c>
      <c r="K5" s="460"/>
      <c r="L5" s="461">
        <v>2</v>
      </c>
      <c r="M5" s="462"/>
      <c r="N5" s="455"/>
    </row>
    <row r="6" spans="1:14" ht="15.95" customHeight="1">
      <c r="A6" s="467" t="s">
        <v>653</v>
      </c>
      <c r="B6" s="464"/>
      <c r="C6" s="464"/>
      <c r="D6" s="464"/>
      <c r="E6" s="464"/>
      <c r="F6" s="464"/>
      <c r="G6" s="464"/>
      <c r="H6" s="464"/>
      <c r="I6" s="464"/>
      <c r="J6" s="459" t="s">
        <v>654</v>
      </c>
      <c r="K6" s="460"/>
      <c r="L6" s="461" t="s">
        <v>655</v>
      </c>
      <c r="M6" s="462"/>
      <c r="N6" s="455"/>
    </row>
    <row r="7" spans="1:14" ht="15.95" customHeight="1" thickBot="1">
      <c r="A7" s="468" t="s">
        <v>656</v>
      </c>
      <c r="B7" s="469"/>
      <c r="C7" s="469"/>
      <c r="D7" s="469"/>
      <c r="E7" s="469"/>
      <c r="F7" s="469"/>
      <c r="G7" s="469"/>
      <c r="H7" s="469"/>
      <c r="I7" s="469"/>
      <c r="J7" s="470" t="s">
        <v>657</v>
      </c>
      <c r="K7" s="471"/>
      <c r="L7" s="472" t="s">
        <v>658</v>
      </c>
      <c r="M7" s="473"/>
      <c r="N7" s="455"/>
    </row>
    <row r="8" spans="1:14" ht="15.95" customHeight="1">
      <c r="A8" s="474"/>
      <c r="B8" s="464"/>
      <c r="C8" s="464"/>
      <c r="D8" s="464"/>
      <c r="E8" s="464"/>
      <c r="F8" s="464"/>
      <c r="G8" s="464"/>
      <c r="H8" s="464"/>
      <c r="I8" s="464"/>
      <c r="J8" s="464"/>
      <c r="K8" s="475"/>
      <c r="L8" s="476"/>
      <c r="M8" s="477"/>
      <c r="N8" s="464"/>
    </row>
    <row r="9" spans="1:14" ht="12" customHeight="1">
      <c r="A9" s="478"/>
      <c r="B9" s="479" t="s">
        <v>659</v>
      </c>
      <c r="C9" s="480" t="s">
        <v>174</v>
      </c>
      <c r="D9" s="481"/>
      <c r="E9" s="481"/>
      <c r="F9" s="481"/>
      <c r="G9" s="481"/>
      <c r="H9" s="481"/>
      <c r="I9" s="481"/>
      <c r="J9" s="481"/>
      <c r="K9" s="482"/>
      <c r="L9" s="478"/>
      <c r="M9" s="481"/>
      <c r="N9" s="464"/>
    </row>
    <row r="10" spans="1:14" ht="12" customHeight="1">
      <c r="A10" s="478"/>
      <c r="B10" s="479" t="s">
        <v>660</v>
      </c>
      <c r="C10" s="483" t="s">
        <v>174</v>
      </c>
      <c r="D10" s="478"/>
      <c r="E10" s="478"/>
      <c r="F10" s="478"/>
      <c r="G10" s="478"/>
      <c r="H10" s="478"/>
      <c r="I10" s="478"/>
      <c r="J10" s="478"/>
      <c r="K10" s="478"/>
      <c r="L10" s="478"/>
      <c r="M10" s="478"/>
      <c r="N10" s="476"/>
    </row>
    <row r="11" spans="1:14" ht="16.5" thickBot="1">
      <c r="A11" s="476"/>
      <c r="B11" s="476"/>
      <c r="C11" s="476"/>
      <c r="D11" s="476"/>
      <c r="E11" s="476"/>
      <c r="F11" s="476"/>
      <c r="G11" s="476"/>
      <c r="H11" s="476"/>
      <c r="I11" s="476"/>
      <c r="J11" s="476"/>
      <c r="K11" s="476"/>
      <c r="L11" s="476"/>
      <c r="M11" s="476"/>
      <c r="N11" s="476"/>
    </row>
    <row r="12" spans="1:14" ht="20.100000000000001" customHeight="1" thickBot="1">
      <c r="A12" s="484" t="s">
        <v>661</v>
      </c>
      <c r="B12" s="485"/>
      <c r="C12" s="485"/>
      <c r="D12" s="485"/>
      <c r="E12" s="485"/>
      <c r="F12" s="485"/>
      <c r="G12" s="485"/>
      <c r="H12" s="485"/>
      <c r="I12" s="485"/>
      <c r="J12" s="485"/>
      <c r="K12" s="485"/>
      <c r="L12" s="485"/>
      <c r="M12" s="486"/>
      <c r="N12" s="455"/>
    </row>
    <row r="13" spans="1:14" ht="12.95" customHeight="1" thickTop="1">
      <c r="A13" s="487"/>
      <c r="B13" s="479" t="s">
        <v>662</v>
      </c>
      <c r="C13" s="488">
        <v>1500</v>
      </c>
      <c r="D13" s="478"/>
      <c r="E13" s="479" t="s">
        <v>663</v>
      </c>
      <c r="F13" s="488">
        <v>4000</v>
      </c>
      <c r="G13" s="478"/>
      <c r="H13" s="479" t="s">
        <v>664</v>
      </c>
      <c r="I13" s="488" t="s">
        <v>749</v>
      </c>
      <c r="J13" s="478"/>
      <c r="K13" s="478"/>
      <c r="L13" s="479" t="s">
        <v>665</v>
      </c>
      <c r="M13" s="489">
        <v>1800</v>
      </c>
      <c r="N13" s="455"/>
    </row>
    <row r="14" spans="1:14" ht="12.95" customHeight="1">
      <c r="A14" s="487"/>
      <c r="B14" s="479" t="s">
        <v>666</v>
      </c>
      <c r="C14" s="488" t="s">
        <v>750</v>
      </c>
      <c r="D14" s="478"/>
      <c r="E14" s="479" t="s">
        <v>667</v>
      </c>
      <c r="F14" s="490" t="s">
        <v>751</v>
      </c>
      <c r="G14" s="478"/>
      <c r="H14" s="479" t="s">
        <v>668</v>
      </c>
      <c r="I14" s="488">
        <v>189</v>
      </c>
      <c r="J14" s="478"/>
      <c r="K14" s="478"/>
      <c r="L14" s="479" t="s">
        <v>623</v>
      </c>
      <c r="M14" s="489">
        <v>1789</v>
      </c>
      <c r="N14" s="455"/>
    </row>
    <row r="15" spans="1:14" ht="12.95" customHeight="1">
      <c r="A15" s="487"/>
      <c r="B15" s="479" t="s">
        <v>669</v>
      </c>
      <c r="C15" s="488" t="s">
        <v>193</v>
      </c>
      <c r="D15" s="478"/>
      <c r="E15" s="479" t="s">
        <v>670</v>
      </c>
      <c r="F15" s="491" t="s">
        <v>752</v>
      </c>
      <c r="G15" s="478"/>
      <c r="H15" s="479" t="s">
        <v>671</v>
      </c>
      <c r="I15" s="490" t="s">
        <v>174</v>
      </c>
      <c r="J15" s="478"/>
      <c r="K15" s="478"/>
      <c r="L15" s="479" t="s">
        <v>672</v>
      </c>
      <c r="M15" s="489" t="s">
        <v>365</v>
      </c>
      <c r="N15" s="455"/>
    </row>
    <row r="16" spans="1:14" ht="12.95" customHeight="1">
      <c r="A16" s="487"/>
      <c r="B16" s="479" t="s">
        <v>673</v>
      </c>
      <c r="C16" s="488" t="s">
        <v>748</v>
      </c>
      <c r="D16" s="478"/>
      <c r="E16" s="479" t="s">
        <v>674</v>
      </c>
      <c r="F16" s="488" t="s">
        <v>445</v>
      </c>
      <c r="G16" s="478"/>
      <c r="H16" s="492" t="s">
        <v>675</v>
      </c>
      <c r="I16" s="493" t="s">
        <v>387</v>
      </c>
      <c r="J16" s="478"/>
      <c r="K16" s="478"/>
      <c r="L16" s="479" t="s">
        <v>676</v>
      </c>
      <c r="M16" s="489" t="s">
        <v>677</v>
      </c>
      <c r="N16" s="455"/>
    </row>
    <row r="17" spans="1:14" ht="12.95" customHeight="1">
      <c r="A17" s="487"/>
      <c r="B17" s="479" t="s">
        <v>678</v>
      </c>
      <c r="C17" s="480" t="s">
        <v>389</v>
      </c>
      <c r="D17" s="478"/>
      <c r="E17" s="479"/>
      <c r="F17" s="490"/>
      <c r="G17" s="478"/>
      <c r="H17" s="479" t="s">
        <v>679</v>
      </c>
      <c r="I17" s="493" t="s">
        <v>174</v>
      </c>
      <c r="J17" s="478"/>
      <c r="K17" s="478"/>
      <c r="L17" s="479"/>
      <c r="M17" s="494"/>
      <c r="N17" s="455"/>
    </row>
    <row r="18" spans="1:14" ht="12.95" customHeight="1" thickBot="1">
      <c r="A18" s="495"/>
      <c r="B18" s="496" t="s">
        <v>680</v>
      </c>
      <c r="C18" s="497" t="s">
        <v>174</v>
      </c>
      <c r="D18" s="498"/>
      <c r="E18" s="496" t="s">
        <v>681</v>
      </c>
      <c r="F18" s="497" t="s">
        <v>174</v>
      </c>
      <c r="G18" s="499"/>
      <c r="H18" s="496" t="s">
        <v>682</v>
      </c>
      <c r="I18" s="497" t="s">
        <v>174</v>
      </c>
      <c r="J18" s="498"/>
      <c r="K18" s="498"/>
      <c r="L18" s="498"/>
      <c r="M18" s="500"/>
      <c r="N18" s="455"/>
    </row>
    <row r="19" spans="1:14" ht="16.5" thickBot="1">
      <c r="A19" s="455"/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</row>
    <row r="20" spans="1:14" ht="20.100000000000001" customHeight="1" thickBot="1">
      <c r="A20" s="484"/>
      <c r="B20" s="485"/>
      <c r="C20" s="485"/>
      <c r="D20" s="485"/>
      <c r="E20" s="485"/>
      <c r="F20" s="485"/>
      <c r="G20" s="485"/>
      <c r="H20" s="485"/>
      <c r="I20" s="485"/>
      <c r="J20" s="485"/>
      <c r="K20" s="485"/>
      <c r="L20" s="485"/>
      <c r="M20" s="486"/>
    </row>
    <row r="21" spans="1:14" ht="15.95" customHeight="1" thickTop="1">
      <c r="A21" s="501" t="s">
        <v>683</v>
      </c>
      <c r="B21" s="502"/>
      <c r="C21" s="476"/>
      <c r="D21" s="503"/>
      <c r="E21" s="504" t="s">
        <v>684</v>
      </c>
      <c r="F21" s="505"/>
      <c r="G21" s="505"/>
      <c r="H21" s="506"/>
      <c r="I21" s="507" t="s">
        <v>685</v>
      </c>
      <c r="J21" s="505"/>
      <c r="K21" s="505"/>
      <c r="L21" s="476"/>
      <c r="M21" s="508"/>
    </row>
    <row r="22" spans="1:14" ht="15.95" customHeight="1">
      <c r="A22" s="509"/>
      <c r="B22" s="478"/>
      <c r="C22" s="479" t="s">
        <v>686</v>
      </c>
      <c r="D22" s="510">
        <v>1259</v>
      </c>
      <c r="E22" s="479"/>
      <c r="G22" s="492" t="s">
        <v>687</v>
      </c>
      <c r="H22" s="511">
        <v>4404</v>
      </c>
      <c r="I22" s="479"/>
      <c r="J22" s="478"/>
      <c r="K22" s="479" t="s">
        <v>688</v>
      </c>
      <c r="L22" s="478" t="s">
        <v>689</v>
      </c>
      <c r="M22" s="494"/>
    </row>
    <row r="23" spans="1:14" ht="15.95" customHeight="1">
      <c r="A23" s="509"/>
      <c r="B23" s="479"/>
      <c r="C23" s="482"/>
      <c r="D23" s="512"/>
      <c r="E23" s="479"/>
      <c r="G23" s="479" t="s">
        <v>690</v>
      </c>
      <c r="H23" s="510">
        <v>135</v>
      </c>
      <c r="I23" s="478"/>
      <c r="J23" s="478"/>
      <c r="K23" s="479" t="s">
        <v>691</v>
      </c>
      <c r="L23" s="478" t="s">
        <v>689</v>
      </c>
      <c r="M23" s="494"/>
    </row>
    <row r="24" spans="1:14" ht="15.95" customHeight="1">
      <c r="A24" s="487"/>
      <c r="B24" s="479"/>
      <c r="C24" s="478"/>
      <c r="D24" s="512"/>
      <c r="E24" s="479"/>
      <c r="G24" s="492" t="s">
        <v>692</v>
      </c>
      <c r="H24" s="510">
        <v>265</v>
      </c>
      <c r="I24" s="478"/>
      <c r="J24" s="479"/>
      <c r="K24" s="478"/>
      <c r="L24" s="478"/>
      <c r="M24" s="494"/>
    </row>
    <row r="25" spans="1:14" ht="15.95" customHeight="1" thickBot="1">
      <c r="A25" s="495"/>
      <c r="B25" s="496"/>
      <c r="C25" s="498"/>
      <c r="D25" s="513"/>
      <c r="E25" s="496"/>
      <c r="F25" s="496"/>
      <c r="G25" s="496"/>
      <c r="H25" s="514"/>
      <c r="I25" s="498"/>
      <c r="J25" s="496"/>
      <c r="K25" s="498"/>
      <c r="L25" s="498"/>
      <c r="M25" s="500"/>
    </row>
    <row r="26" spans="1:14" ht="18.95" customHeight="1" thickBot="1">
      <c r="A26" s="474"/>
      <c r="B26" s="474"/>
      <c r="C26" s="474"/>
      <c r="D26" s="455"/>
      <c r="E26" s="455"/>
      <c r="F26" s="455"/>
      <c r="G26" s="455"/>
      <c r="H26" s="455"/>
      <c r="I26" s="455"/>
      <c r="J26" s="455"/>
      <c r="K26" s="455"/>
      <c r="L26" s="455"/>
      <c r="M26" s="455"/>
      <c r="N26" s="455"/>
    </row>
    <row r="27" spans="1:14" ht="20.100000000000001" customHeight="1" thickBot="1">
      <c r="A27" s="515"/>
      <c r="B27" s="516"/>
      <c r="C27" s="516"/>
      <c r="D27" s="516"/>
      <c r="E27" s="516"/>
      <c r="F27" s="516"/>
      <c r="G27" s="517"/>
      <c r="H27" s="516"/>
      <c r="I27" s="516"/>
      <c r="J27" s="516"/>
      <c r="K27" s="516"/>
      <c r="L27" s="516"/>
      <c r="M27" s="518"/>
    </row>
    <row r="28" spans="1:14" ht="15.95" customHeight="1" thickTop="1">
      <c r="A28" s="519" t="s">
        <v>693</v>
      </c>
      <c r="B28" s="502"/>
      <c r="C28" s="476"/>
      <c r="D28" s="476"/>
      <c r="E28" s="505"/>
      <c r="F28" s="505"/>
      <c r="G28" s="520"/>
      <c r="H28" s="504" t="s">
        <v>694</v>
      </c>
      <c r="I28" s="505"/>
      <c r="J28" s="505"/>
      <c r="K28" s="504"/>
      <c r="L28" s="505"/>
      <c r="M28" s="508"/>
    </row>
    <row r="29" spans="1:14" ht="15.95" customHeight="1">
      <c r="A29" s="487"/>
      <c r="B29" s="479"/>
      <c r="C29" s="479" t="s">
        <v>695</v>
      </c>
      <c r="D29" s="521">
        <v>96.2</v>
      </c>
      <c r="E29" s="479"/>
      <c r="F29" s="479"/>
      <c r="G29" s="520"/>
      <c r="H29" s="492"/>
      <c r="I29" s="479"/>
      <c r="J29" s="479" t="s">
        <v>695</v>
      </c>
      <c r="K29" s="521">
        <v>88.6</v>
      </c>
      <c r="L29" s="478"/>
      <c r="M29" s="494"/>
    </row>
    <row r="30" spans="1:14" ht="15.95" customHeight="1">
      <c r="A30" s="522"/>
      <c r="B30" s="478"/>
      <c r="C30" s="479" t="s">
        <v>696</v>
      </c>
      <c r="D30" s="521">
        <v>96.3</v>
      </c>
      <c r="E30" s="479"/>
      <c r="F30" s="479"/>
      <c r="G30" s="520"/>
      <c r="H30" s="479"/>
      <c r="I30" s="478"/>
      <c r="J30" s="479" t="s">
        <v>696</v>
      </c>
      <c r="K30" s="521">
        <v>86.4</v>
      </c>
      <c r="L30" s="478"/>
      <c r="M30" s="494"/>
    </row>
    <row r="31" spans="1:14" ht="15.95" customHeight="1">
      <c r="A31" s="487"/>
      <c r="B31" s="479"/>
      <c r="C31" s="479" t="s">
        <v>697</v>
      </c>
      <c r="D31" s="521">
        <v>95.9</v>
      </c>
      <c r="E31" s="479"/>
      <c r="F31" s="479"/>
      <c r="G31" s="520"/>
      <c r="H31" s="479"/>
      <c r="I31" s="478"/>
      <c r="J31" s="479" t="s">
        <v>697</v>
      </c>
      <c r="K31" s="521">
        <v>80</v>
      </c>
      <c r="L31" s="479"/>
      <c r="M31" s="494"/>
    </row>
    <row r="32" spans="1:14" ht="15.95" customHeight="1" thickBot="1">
      <c r="A32" s="495"/>
      <c r="B32" s="496"/>
      <c r="C32" s="498"/>
      <c r="D32" s="498"/>
      <c r="E32" s="496"/>
      <c r="F32" s="496"/>
      <c r="G32" s="523"/>
      <c r="H32" s="496"/>
      <c r="I32" s="498"/>
      <c r="J32" s="496"/>
      <c r="K32" s="498"/>
      <c r="L32" s="496"/>
      <c r="M32" s="500"/>
    </row>
    <row r="33" spans="1:14" ht="20.100000000000001" customHeight="1" thickBot="1">
      <c r="A33" s="524"/>
      <c r="B33" s="524"/>
      <c r="C33" s="524"/>
      <c r="D33" s="524"/>
      <c r="E33" s="524"/>
      <c r="F33" s="524"/>
      <c r="G33" s="524"/>
      <c r="H33" s="524"/>
      <c r="I33" s="524"/>
      <c r="J33" s="524"/>
      <c r="K33" s="524"/>
      <c r="L33" s="524"/>
      <c r="M33" s="524"/>
      <c r="N33" s="524"/>
    </row>
    <row r="34" spans="1:14" ht="20.100000000000001" customHeight="1" thickBot="1">
      <c r="A34" s="525"/>
      <c r="B34" s="526"/>
      <c r="C34" s="526"/>
      <c r="D34" s="526"/>
      <c r="E34" s="526"/>
      <c r="F34" s="526"/>
      <c r="G34" s="526"/>
      <c r="H34" s="526"/>
      <c r="I34" s="526"/>
      <c r="J34" s="526"/>
      <c r="K34" s="526"/>
      <c r="L34" s="526"/>
      <c r="M34" s="527"/>
    </row>
    <row r="35" spans="1:14" ht="15.95" customHeight="1" thickTop="1">
      <c r="A35" s="528" t="s">
        <v>698</v>
      </c>
      <c r="B35" s="482"/>
      <c r="C35" s="482"/>
      <c r="D35" s="482"/>
      <c r="E35" s="482"/>
      <c r="F35" s="482"/>
      <c r="G35" s="482"/>
      <c r="H35" s="482"/>
      <c r="I35" s="482"/>
      <c r="J35" s="482"/>
      <c r="K35" s="482"/>
      <c r="L35" s="482"/>
      <c r="M35" s="529"/>
    </row>
    <row r="36" spans="1:14" ht="15.95" customHeight="1">
      <c r="A36" s="522" t="s">
        <v>699</v>
      </c>
      <c r="B36" s="482"/>
      <c r="C36" s="482"/>
      <c r="D36" s="482"/>
      <c r="E36" s="482"/>
      <c r="F36" s="482"/>
      <c r="G36" s="482"/>
      <c r="H36" s="482"/>
      <c r="I36" s="482"/>
      <c r="J36" s="482"/>
      <c r="K36" s="482"/>
      <c r="L36" s="482"/>
      <c r="M36" s="529"/>
    </row>
    <row r="37" spans="1:14" ht="15.95" customHeight="1">
      <c r="A37" s="530" t="s">
        <v>700</v>
      </c>
      <c r="B37" s="482"/>
      <c r="C37" s="482"/>
      <c r="D37" s="482"/>
      <c r="E37" s="531"/>
      <c r="F37" s="482"/>
      <c r="G37" s="482"/>
      <c r="H37" s="482"/>
      <c r="I37" s="482"/>
      <c r="J37" s="482"/>
      <c r="K37" s="482"/>
      <c r="L37" s="482"/>
      <c r="M37" s="529"/>
    </row>
    <row r="38" spans="1:14" ht="15.95" customHeight="1">
      <c r="A38" s="532" t="s">
        <v>701</v>
      </c>
      <c r="B38" s="482"/>
      <c r="C38" s="482"/>
      <c r="D38" s="482"/>
      <c r="E38" s="482"/>
      <c r="F38" s="482"/>
      <c r="G38" s="482"/>
      <c r="H38" s="482"/>
      <c r="I38" s="482"/>
      <c r="J38" s="482"/>
      <c r="K38" s="482"/>
      <c r="L38" s="482"/>
      <c r="M38" s="529"/>
    </row>
    <row r="39" spans="1:14" ht="15.95" customHeight="1">
      <c r="A39" s="533" t="s">
        <v>702</v>
      </c>
      <c r="B39" s="482"/>
      <c r="C39" s="482"/>
      <c r="D39" s="482"/>
      <c r="E39" s="482"/>
      <c r="F39" s="482"/>
      <c r="G39" s="482"/>
      <c r="H39" s="482"/>
      <c r="I39" s="482"/>
      <c r="J39" s="482"/>
      <c r="K39" s="482"/>
      <c r="L39" s="482"/>
      <c r="M39" s="529"/>
    </row>
    <row r="40" spans="1:14" ht="15.95" customHeight="1" thickBot="1">
      <c r="A40" s="534" t="s">
        <v>703</v>
      </c>
      <c r="B40" s="535"/>
      <c r="C40" s="535"/>
      <c r="D40" s="535"/>
      <c r="E40" s="535"/>
      <c r="F40" s="535"/>
      <c r="G40" s="535"/>
      <c r="H40" s="535"/>
      <c r="I40" s="535"/>
      <c r="J40" s="535"/>
      <c r="K40" s="535"/>
      <c r="L40" s="535"/>
      <c r="M40" s="536"/>
    </row>
    <row r="41" spans="1:14" ht="15.95" customHeight="1"/>
    <row r="42" spans="1:14" ht="18">
      <c r="A42" s="537"/>
      <c r="B42" s="537"/>
      <c r="C42" s="537"/>
      <c r="D42" s="537"/>
      <c r="E42" s="537"/>
      <c r="F42" s="537"/>
      <c r="G42" s="537"/>
      <c r="H42" s="455"/>
      <c r="I42" s="455"/>
      <c r="J42" s="538" t="s">
        <v>704</v>
      </c>
      <c r="K42" s="666" t="s">
        <v>705</v>
      </c>
      <c r="L42" s="666"/>
      <c r="M42" s="666"/>
      <c r="N42" s="537"/>
    </row>
    <row r="43" spans="1:14" ht="7.5" customHeight="1">
      <c r="H43" s="455"/>
      <c r="I43" s="455"/>
      <c r="J43" s="455"/>
      <c r="K43" s="455"/>
      <c r="L43" s="455"/>
      <c r="M43" s="455"/>
    </row>
    <row r="44" spans="1:14" ht="16.5">
      <c r="H44" s="455"/>
      <c r="I44" s="455"/>
      <c r="J44" s="538" t="s">
        <v>706</v>
      </c>
      <c r="K44" s="667">
        <v>44473</v>
      </c>
      <c r="L44" s="667"/>
      <c r="M44" s="667"/>
    </row>
    <row r="59" spans="1:5">
      <c r="A59" s="456" t="s">
        <v>174</v>
      </c>
      <c r="B59" s="456" t="s">
        <v>707</v>
      </c>
      <c r="D59" s="456">
        <v>1</v>
      </c>
      <c r="E59" s="539" t="s">
        <v>174</v>
      </c>
    </row>
    <row r="60" spans="1:5">
      <c r="A60" s="456" t="s">
        <v>708</v>
      </c>
      <c r="B60" s="456" t="s">
        <v>709</v>
      </c>
      <c r="D60" s="456">
        <v>1.1499999999999999</v>
      </c>
      <c r="E60" s="539" t="s">
        <v>183</v>
      </c>
    </row>
    <row r="61" spans="1:5">
      <c r="A61" s="456" t="s">
        <v>710</v>
      </c>
      <c r="B61" s="456" t="s">
        <v>711</v>
      </c>
      <c r="E61" s="539" t="s">
        <v>322</v>
      </c>
    </row>
    <row r="62" spans="1:5">
      <c r="B62" s="456" t="s">
        <v>712</v>
      </c>
    </row>
    <row r="63" spans="1:5">
      <c r="B63" s="456" t="s">
        <v>713</v>
      </c>
    </row>
    <row r="64" spans="1:5">
      <c r="B64" s="456" t="s">
        <v>714</v>
      </c>
    </row>
    <row r="65" spans="2:2">
      <c r="B65" s="456" t="s">
        <v>715</v>
      </c>
    </row>
    <row r="66" spans="2:2">
      <c r="B66" s="456" t="s">
        <v>716</v>
      </c>
    </row>
    <row r="67" spans="2:2">
      <c r="B67" s="456" t="s">
        <v>717</v>
      </c>
    </row>
    <row r="68" spans="2:2">
      <c r="B68" s="456" t="s">
        <v>718</v>
      </c>
    </row>
    <row r="69" spans="2:2">
      <c r="B69" s="456" t="s">
        <v>719</v>
      </c>
    </row>
    <row r="70" spans="2:2">
      <c r="B70" s="456" t="s">
        <v>720</v>
      </c>
    </row>
    <row r="71" spans="2:2">
      <c r="B71" s="456" t="s">
        <v>721</v>
      </c>
    </row>
    <row r="72" spans="2:2">
      <c r="B72" s="456" t="s">
        <v>722</v>
      </c>
    </row>
    <row r="73" spans="2:2">
      <c r="B73" s="456" t="s">
        <v>723</v>
      </c>
    </row>
    <row r="74" spans="2:2">
      <c r="B74" s="456" t="s">
        <v>724</v>
      </c>
    </row>
    <row r="75" spans="2:2">
      <c r="B75" s="456" t="s">
        <v>725</v>
      </c>
    </row>
    <row r="76" spans="2:2">
      <c r="B76" s="456" t="s">
        <v>726</v>
      </c>
    </row>
    <row r="77" spans="2:2">
      <c r="B77" s="456" t="s">
        <v>727</v>
      </c>
    </row>
    <row r="78" spans="2:2">
      <c r="B78" s="456" t="s">
        <v>728</v>
      </c>
    </row>
    <row r="79" spans="2:2">
      <c r="B79" s="456" t="s">
        <v>729</v>
      </c>
    </row>
    <row r="80" spans="2:2">
      <c r="B80" s="456">
        <v>6312</v>
      </c>
    </row>
    <row r="81" spans="2:2">
      <c r="B81" s="456" t="s">
        <v>730</v>
      </c>
    </row>
    <row r="82" spans="2:2">
      <c r="B82" s="456" t="s">
        <v>731</v>
      </c>
    </row>
    <row r="83" spans="2:2">
      <c r="B83" s="456" t="s">
        <v>732</v>
      </c>
    </row>
    <row r="84" spans="2:2">
      <c r="B84" s="456" t="s">
        <v>733</v>
      </c>
    </row>
    <row r="85" spans="2:2">
      <c r="B85" s="456">
        <v>6313</v>
      </c>
    </row>
    <row r="86" spans="2:2">
      <c r="B86" s="456" t="s">
        <v>734</v>
      </c>
    </row>
    <row r="87" spans="2:2">
      <c r="B87" s="456" t="s">
        <v>735</v>
      </c>
    </row>
    <row r="88" spans="2:2">
      <c r="B88" s="456" t="s">
        <v>736</v>
      </c>
    </row>
    <row r="89" spans="2:2">
      <c r="B89" s="456">
        <v>6314</v>
      </c>
    </row>
    <row r="90" spans="2:2">
      <c r="B90" s="456" t="s">
        <v>737</v>
      </c>
    </row>
    <row r="91" spans="2:2">
      <c r="B91" s="456">
        <v>6317</v>
      </c>
    </row>
    <row r="92" spans="2:2">
      <c r="B92" s="456" t="s">
        <v>738</v>
      </c>
    </row>
    <row r="93" spans="2:2">
      <c r="B93" s="456">
        <v>6318</v>
      </c>
    </row>
    <row r="94" spans="2:2">
      <c r="B94" s="456" t="s">
        <v>739</v>
      </c>
    </row>
    <row r="95" spans="2:2">
      <c r="B95" s="456" t="s">
        <v>740</v>
      </c>
    </row>
    <row r="96" spans="2:2">
      <c r="B96" s="456" t="s">
        <v>741</v>
      </c>
    </row>
    <row r="97" spans="2:2">
      <c r="B97" s="456">
        <v>6320</v>
      </c>
    </row>
    <row r="98" spans="2:2">
      <c r="B98" s="456" t="s">
        <v>742</v>
      </c>
    </row>
    <row r="99" spans="2:2">
      <c r="B99" s="456" t="s">
        <v>743</v>
      </c>
    </row>
    <row r="100" spans="2:2">
      <c r="B100" s="456" t="s">
        <v>744</v>
      </c>
    </row>
    <row r="101" spans="2:2">
      <c r="B101" s="456" t="s">
        <v>745</v>
      </c>
    </row>
    <row r="102" spans="2:2">
      <c r="B102" s="456" t="s">
        <v>745</v>
      </c>
    </row>
    <row r="118" spans="2:2">
      <c r="B118" s="456" t="s">
        <v>746</v>
      </c>
    </row>
    <row r="120" spans="2:2">
      <c r="B120" s="456" t="s">
        <v>747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67"/>
  <sheetViews>
    <sheetView workbookViewId="0">
      <selection activeCell="N25" sqref="N25"/>
    </sheetView>
  </sheetViews>
  <sheetFormatPr defaultRowHeight="12.75"/>
  <cols>
    <col min="1" max="6" width="16.7109375" style="387" customWidth="1"/>
    <col min="7" max="16384" width="9.140625" style="387"/>
  </cols>
  <sheetData>
    <row r="1" spans="1:6" ht="18.95" customHeight="1">
      <c r="A1" s="406"/>
      <c r="B1" s="407"/>
      <c r="C1" s="407"/>
      <c r="D1" s="407"/>
      <c r="E1" s="407"/>
      <c r="F1" s="408"/>
    </row>
    <row r="2" spans="1:6" ht="26.1" customHeight="1">
      <c r="A2" s="409" t="s">
        <v>269</v>
      </c>
      <c r="B2" s="410"/>
      <c r="C2" s="410"/>
      <c r="D2" s="410"/>
      <c r="E2" s="410"/>
      <c r="F2" s="411"/>
    </row>
    <row r="3" spans="1:6" ht="18.95" customHeight="1">
      <c r="A3" s="412" t="s">
        <v>611</v>
      </c>
      <c r="B3" s="410"/>
      <c r="C3" s="410"/>
      <c r="D3" s="410"/>
      <c r="E3" s="410"/>
      <c r="F3" s="411"/>
    </row>
    <row r="4" spans="1:6" ht="18.95" customHeight="1">
      <c r="A4" s="413"/>
      <c r="B4" s="402"/>
      <c r="C4" s="402"/>
      <c r="D4" s="402"/>
      <c r="E4" s="402"/>
      <c r="F4" s="414"/>
    </row>
    <row r="5" spans="1:6" ht="18.95" customHeight="1">
      <c r="A5" s="413"/>
      <c r="B5" s="402"/>
      <c r="C5" s="402"/>
      <c r="D5" s="402"/>
      <c r="E5" s="402"/>
      <c r="F5" s="414"/>
    </row>
    <row r="6" spans="1:6" ht="18.95" customHeight="1">
      <c r="A6" s="415" t="s">
        <v>612</v>
      </c>
      <c r="B6" s="668" t="str">
        <f>'Performance Data Sheet'!C17</f>
        <v>M305WTAL11E-C</v>
      </c>
      <c r="C6" s="669"/>
      <c r="D6" s="670"/>
      <c r="E6" s="415" t="s">
        <v>613</v>
      </c>
      <c r="F6" s="416">
        <f>'Performance Data Sheet'!I14</f>
        <v>189</v>
      </c>
    </row>
    <row r="7" spans="1:6" ht="18.95" customHeight="1">
      <c r="A7" s="415" t="s">
        <v>614</v>
      </c>
      <c r="B7" s="416" t="str">
        <f>'Performance Data Sheet'!F14</f>
        <v>WP-II</v>
      </c>
      <c r="C7" s="415" t="s">
        <v>615</v>
      </c>
      <c r="D7" s="416" t="str">
        <f>'Performance Data Sheet'!F13 &amp; " V"</f>
        <v>4000 V</v>
      </c>
      <c r="E7" s="415" t="s">
        <v>616</v>
      </c>
      <c r="F7" s="416" t="str">
        <f>'Performance Data Sheet'!C14</f>
        <v>5812US</v>
      </c>
    </row>
    <row r="8" spans="1:6" ht="18.95" customHeight="1">
      <c r="A8" s="415" t="s">
        <v>617</v>
      </c>
      <c r="B8" s="416">
        <v>4</v>
      </c>
      <c r="C8" s="415" t="s">
        <v>618</v>
      </c>
      <c r="D8" s="416" t="s">
        <v>619</v>
      </c>
      <c r="E8" s="415" t="s">
        <v>620</v>
      </c>
      <c r="F8" s="416" t="str">
        <f>'Performance Data Sheet'!M15</f>
        <v>F</v>
      </c>
    </row>
    <row r="9" spans="1:6" ht="18.95" customHeight="1">
      <c r="A9" s="415" t="s">
        <v>621</v>
      </c>
      <c r="B9" s="416">
        <f>'Performance Data Sheet'!C13</f>
        <v>1500</v>
      </c>
      <c r="C9" s="415" t="s">
        <v>622</v>
      </c>
      <c r="D9" s="416" t="s">
        <v>632</v>
      </c>
      <c r="E9" s="415" t="s">
        <v>2</v>
      </c>
      <c r="F9" s="417">
        <f>'Performance Data Sheet'!K44</f>
        <v>44473</v>
      </c>
    </row>
    <row r="10" spans="1:6" ht="18.95" customHeight="1">
      <c r="A10" s="415" t="s">
        <v>623</v>
      </c>
      <c r="B10" s="416">
        <f>'Performance Data Sheet'!M14</f>
        <v>1789</v>
      </c>
      <c r="C10" s="415" t="s">
        <v>404</v>
      </c>
      <c r="D10" s="416" t="s">
        <v>633</v>
      </c>
      <c r="E10" s="415" t="s">
        <v>1</v>
      </c>
      <c r="F10" s="416" t="s">
        <v>760</v>
      </c>
    </row>
    <row r="11" spans="1:6" ht="18.95" customHeight="1">
      <c r="A11" s="413"/>
      <c r="B11" s="402"/>
      <c r="C11" s="402"/>
      <c r="D11" s="402"/>
      <c r="E11" s="402"/>
      <c r="F11" s="414"/>
    </row>
    <row r="12" spans="1:6" ht="18.95" customHeight="1">
      <c r="A12" s="413"/>
      <c r="B12" s="399" t="s">
        <v>624</v>
      </c>
      <c r="C12" s="418" t="str">
        <f>'Performance Data Sheet'!D22 &amp; " A"</f>
        <v>1259 A</v>
      </c>
      <c r="D12" s="399" t="s">
        <v>403</v>
      </c>
      <c r="E12" s="418" t="s">
        <v>407</v>
      </c>
      <c r="F12" s="414"/>
    </row>
    <row r="13" spans="1:6" ht="18.95" customHeight="1">
      <c r="A13" s="413"/>
      <c r="B13" s="399" t="s">
        <v>625</v>
      </c>
      <c r="C13" s="419">
        <f>'Performance Data Sheet'!H23/100</f>
        <v>1.35</v>
      </c>
      <c r="D13" s="399" t="s">
        <v>626</v>
      </c>
      <c r="E13" s="418" t="s">
        <v>634</v>
      </c>
      <c r="F13" s="414"/>
    </row>
    <row r="14" spans="1:6" ht="18.95" customHeight="1">
      <c r="A14" s="413"/>
      <c r="B14" s="399" t="s">
        <v>627</v>
      </c>
      <c r="C14" s="419">
        <v>2.65</v>
      </c>
      <c r="D14" s="399" t="s">
        <v>405</v>
      </c>
      <c r="E14" s="418" t="s">
        <v>410</v>
      </c>
      <c r="F14" s="414"/>
    </row>
    <row r="15" spans="1:6" ht="18.95" customHeight="1">
      <c r="A15" s="413"/>
      <c r="B15" s="399" t="s">
        <v>406</v>
      </c>
      <c r="C15" s="418" t="str">
        <f>'Performance Data Sheet'!H22 &amp; " lb-ft"</f>
        <v>4404 lb-ft</v>
      </c>
      <c r="D15" s="402"/>
      <c r="E15" s="402"/>
      <c r="F15" s="414"/>
    </row>
    <row r="16" spans="1:6" ht="18.95" customHeight="1">
      <c r="A16" s="413"/>
      <c r="B16" s="402"/>
      <c r="C16" s="402"/>
      <c r="D16" s="402"/>
      <c r="E16" s="402"/>
      <c r="F16" s="414"/>
    </row>
    <row r="17" spans="1:6" ht="18.95" customHeight="1">
      <c r="A17" s="413"/>
      <c r="B17" s="402"/>
      <c r="C17" s="402"/>
      <c r="D17" s="402"/>
      <c r="E17" s="402"/>
      <c r="F17" s="414"/>
    </row>
    <row r="18" spans="1:6" ht="18.95" customHeight="1">
      <c r="A18" s="413"/>
      <c r="B18" s="402"/>
      <c r="C18" s="402"/>
      <c r="D18" s="402"/>
      <c r="E18" s="402"/>
      <c r="F18" s="414"/>
    </row>
    <row r="19" spans="1:6" ht="18.95" customHeight="1">
      <c r="A19" s="413"/>
      <c r="B19" s="402"/>
      <c r="C19" s="402"/>
      <c r="D19" s="402"/>
      <c r="E19" s="402"/>
      <c r="F19" s="414"/>
    </row>
    <row r="20" spans="1:6" ht="18.95" customHeight="1">
      <c r="A20" s="413"/>
      <c r="B20" s="402"/>
      <c r="C20" s="402"/>
      <c r="D20" s="402"/>
      <c r="E20" s="402"/>
      <c r="F20" s="414"/>
    </row>
    <row r="21" spans="1:6" ht="18.95" customHeight="1">
      <c r="A21" s="413"/>
      <c r="B21" s="402"/>
      <c r="C21" s="402"/>
      <c r="D21" s="402"/>
      <c r="E21" s="402"/>
      <c r="F21" s="414"/>
    </row>
    <row r="22" spans="1:6" ht="18.95" customHeight="1">
      <c r="A22" s="413"/>
      <c r="B22" s="402"/>
      <c r="C22" s="402"/>
      <c r="D22" s="402"/>
      <c r="E22" s="402"/>
      <c r="F22" s="414"/>
    </row>
    <row r="23" spans="1:6" ht="18.95" customHeight="1">
      <c r="A23" s="413"/>
      <c r="B23" s="402"/>
      <c r="C23" s="402"/>
      <c r="D23" s="402"/>
      <c r="E23" s="402"/>
      <c r="F23" s="414"/>
    </row>
    <row r="24" spans="1:6" ht="18.95" customHeight="1">
      <c r="A24" s="413"/>
      <c r="B24" s="402"/>
      <c r="C24" s="402"/>
      <c r="D24" s="402"/>
      <c r="E24" s="402"/>
      <c r="F24" s="414"/>
    </row>
    <row r="25" spans="1:6" ht="18.95" customHeight="1">
      <c r="A25" s="413"/>
      <c r="B25" s="402"/>
      <c r="C25" s="402"/>
      <c r="D25" s="402"/>
      <c r="E25" s="402"/>
      <c r="F25" s="414"/>
    </row>
    <row r="26" spans="1:6" ht="18.95" customHeight="1">
      <c r="A26" s="413"/>
      <c r="B26" s="402"/>
      <c r="C26" s="402"/>
      <c r="D26" s="402"/>
      <c r="E26" s="402"/>
      <c r="F26" s="414"/>
    </row>
    <row r="27" spans="1:6" ht="18.95" customHeight="1">
      <c r="A27" s="413"/>
      <c r="B27" s="402"/>
      <c r="C27" s="402"/>
      <c r="D27" s="402"/>
      <c r="E27" s="402"/>
      <c r="F27" s="414"/>
    </row>
    <row r="28" spans="1:6" ht="18.95" customHeight="1">
      <c r="A28" s="413"/>
      <c r="B28" s="402"/>
      <c r="C28" s="402"/>
      <c r="D28" s="402"/>
      <c r="E28" s="402"/>
      <c r="F28" s="414"/>
    </row>
    <row r="29" spans="1:6" ht="18.95" customHeight="1">
      <c r="A29" s="413"/>
      <c r="B29" s="402"/>
      <c r="C29" s="402"/>
      <c r="D29" s="402"/>
      <c r="E29" s="402"/>
      <c r="F29" s="414"/>
    </row>
    <row r="30" spans="1:6" ht="18.95" customHeight="1">
      <c r="A30" s="413"/>
      <c r="B30" s="402"/>
      <c r="C30" s="402"/>
      <c r="D30" s="402"/>
      <c r="E30" s="402"/>
      <c r="F30" s="414"/>
    </row>
    <row r="31" spans="1:6" ht="18.95" customHeight="1">
      <c r="A31" s="413"/>
      <c r="B31" s="402"/>
      <c r="C31" s="402"/>
      <c r="D31" s="402"/>
      <c r="E31" s="402"/>
      <c r="F31" s="414"/>
    </row>
    <row r="32" spans="1:6" ht="18.95" customHeight="1">
      <c r="A32" s="413"/>
      <c r="B32" s="402"/>
      <c r="C32" s="402"/>
      <c r="D32" s="402"/>
      <c r="E32" s="402"/>
      <c r="F32" s="414"/>
    </row>
    <row r="33" spans="1:6" ht="18.95" customHeight="1">
      <c r="A33" s="413"/>
      <c r="B33" s="402"/>
      <c r="C33" s="402"/>
      <c r="D33" s="402"/>
      <c r="E33" s="402"/>
      <c r="F33" s="414"/>
    </row>
    <row r="34" spans="1:6" ht="18.95" customHeight="1">
      <c r="A34" s="413"/>
      <c r="B34" s="402"/>
      <c r="C34" s="402"/>
      <c r="D34" s="402"/>
      <c r="E34" s="402"/>
      <c r="F34" s="414"/>
    </row>
    <row r="35" spans="1:6" ht="18.95" customHeight="1">
      <c r="A35" s="413"/>
      <c r="B35" s="402"/>
      <c r="C35" s="402"/>
      <c r="D35" s="402"/>
      <c r="E35" s="402"/>
      <c r="F35" s="414"/>
    </row>
    <row r="36" spans="1:6" ht="18.95" customHeight="1">
      <c r="A36" s="413"/>
      <c r="B36" s="402"/>
      <c r="C36" s="402"/>
      <c r="D36" s="402"/>
      <c r="E36" s="402"/>
      <c r="F36" s="414"/>
    </row>
    <row r="37" spans="1:6" ht="18.95" customHeight="1">
      <c r="A37" s="413"/>
      <c r="B37" s="402"/>
      <c r="C37" s="402"/>
      <c r="D37" s="402"/>
      <c r="E37" s="402"/>
      <c r="F37" s="414"/>
    </row>
    <row r="38" spans="1:6" ht="18.95" customHeight="1">
      <c r="A38" s="413"/>
      <c r="B38" s="402"/>
      <c r="C38" s="402"/>
      <c r="D38" s="402"/>
      <c r="E38" s="402"/>
      <c r="F38" s="414"/>
    </row>
    <row r="39" spans="1:6" ht="18.95" customHeight="1">
      <c r="A39" s="420" t="s">
        <v>628</v>
      </c>
      <c r="B39" s="421" t="s">
        <v>372</v>
      </c>
      <c r="C39" s="540" t="str">
        <f>'Performance Data Sheet'!C10</f>
        <v>-</v>
      </c>
      <c r="D39" s="402"/>
      <c r="E39" s="399" t="s">
        <v>629</v>
      </c>
      <c r="F39" s="422" t="str">
        <f>F10</f>
        <v>DT4M30U</v>
      </c>
    </row>
    <row r="40" spans="1:6" ht="18.95" customHeight="1">
      <c r="A40" s="413"/>
      <c r="B40" s="421"/>
      <c r="C40" s="421"/>
      <c r="D40" s="402"/>
      <c r="E40" s="402"/>
      <c r="F40" s="414"/>
    </row>
    <row r="41" spans="1:6" ht="18.95" customHeight="1">
      <c r="A41" s="413"/>
      <c r="B41" s="421"/>
      <c r="C41" s="421"/>
      <c r="D41" s="402"/>
      <c r="E41" s="402"/>
      <c r="F41" s="414"/>
    </row>
    <row r="42" spans="1:6" ht="18.95" customHeight="1">
      <c r="A42" s="413"/>
      <c r="B42" s="402"/>
      <c r="C42" s="402"/>
      <c r="D42" s="402"/>
      <c r="E42" s="402"/>
      <c r="F42" s="414"/>
    </row>
    <row r="43" spans="1:6" ht="18.95" customHeight="1">
      <c r="A43" s="423"/>
      <c r="B43" s="421"/>
      <c r="C43" s="424" t="s">
        <v>630</v>
      </c>
      <c r="D43" s="425" t="str">
        <f>'Performance Data Sheet'!K42</f>
        <v>Zichao Xie</v>
      </c>
      <c r="E43" s="424" t="s">
        <v>631</v>
      </c>
      <c r="F43" s="42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77" t="s">
        <v>402</v>
      </c>
      <c r="E53" s="377"/>
      <c r="F53" s="377"/>
      <c r="G53" s="377"/>
      <c r="H53" s="377"/>
      <c r="I53" s="377"/>
      <c r="J53" s="377"/>
      <c r="K53" s="377"/>
      <c r="L53" s="377"/>
    </row>
    <row r="54" spans="1:12" ht="15" customHeight="1">
      <c r="A54" s="428">
        <v>100</v>
      </c>
      <c r="B54" s="377">
        <v>0</v>
      </c>
      <c r="C54" s="377">
        <v>0.28303822875022888</v>
      </c>
      <c r="D54" s="377">
        <v>100</v>
      </c>
      <c r="E54" s="377"/>
      <c r="F54" s="377"/>
      <c r="G54" s="377"/>
      <c r="H54" s="377"/>
      <c r="I54" s="377"/>
      <c r="J54" s="377"/>
      <c r="K54" s="377"/>
      <c r="L54" s="377"/>
    </row>
    <row r="55" spans="1:12" ht="15" customHeight="1">
      <c r="A55" s="428">
        <v>99.000000022351742</v>
      </c>
      <c r="B55" s="377">
        <v>105.17015989326237</v>
      </c>
      <c r="C55" s="377">
        <v>120.48179626464844</v>
      </c>
      <c r="D55" s="377">
        <v>98</v>
      </c>
      <c r="E55" s="377"/>
      <c r="F55" s="377"/>
      <c r="G55" s="377"/>
      <c r="H55" s="377"/>
      <c r="I55" s="377"/>
      <c r="J55" s="377"/>
      <c r="K55" s="377"/>
      <c r="L55" s="377"/>
    </row>
    <row r="56" spans="1:12" ht="15" customHeight="1">
      <c r="A56" s="428">
        <v>94.999999925494194</v>
      </c>
      <c r="B56" s="377">
        <v>265</v>
      </c>
      <c r="C56" s="377">
        <v>405.32623291015625</v>
      </c>
      <c r="D56" s="377">
        <v>87</v>
      </c>
      <c r="E56" s="377"/>
      <c r="F56" s="377"/>
      <c r="G56" s="377"/>
      <c r="H56" s="377"/>
      <c r="I56" s="377"/>
      <c r="J56" s="377"/>
      <c r="K56" s="377"/>
      <c r="L56" s="377"/>
    </row>
    <row r="57" spans="1:12">
      <c r="A57" s="428">
        <v>89.999999850988388</v>
      </c>
      <c r="B57" s="377">
        <v>209.1216843252318</v>
      </c>
      <c r="C57" s="377">
        <v>511.8990478515625</v>
      </c>
      <c r="D57" s="377">
        <v>74</v>
      </c>
      <c r="E57" s="377"/>
      <c r="F57" s="377"/>
      <c r="G57" s="377"/>
      <c r="H57" s="377"/>
      <c r="I57" s="377"/>
      <c r="J57" s="377"/>
      <c r="K57" s="377"/>
      <c r="L57" s="377"/>
    </row>
    <row r="58" spans="1:12">
      <c r="A58" s="428">
        <v>84.999999403953552</v>
      </c>
      <c r="B58" s="377">
        <v>172.04139965533895</v>
      </c>
      <c r="C58" s="377">
        <v>547.99273681640625</v>
      </c>
      <c r="D58" s="377">
        <v>61</v>
      </c>
      <c r="E58" s="377"/>
      <c r="F58" s="377"/>
      <c r="G58" s="377"/>
      <c r="H58" s="377"/>
      <c r="I58" s="377"/>
      <c r="J58" s="377"/>
      <c r="K58" s="377"/>
      <c r="L58" s="377"/>
    </row>
    <row r="59" spans="1:12">
      <c r="A59" s="428">
        <v>79.999999701976776</v>
      </c>
      <c r="B59" s="377">
        <v>155.17249936487752</v>
      </c>
      <c r="C59" s="377">
        <v>567.07476806640625</v>
      </c>
      <c r="D59" s="377">
        <v>50</v>
      </c>
      <c r="E59" s="377"/>
      <c r="F59" s="377"/>
      <c r="G59" s="377"/>
      <c r="H59" s="377"/>
      <c r="I59" s="377"/>
      <c r="J59" s="377"/>
      <c r="K59" s="377"/>
      <c r="L59" s="377"/>
    </row>
    <row r="60" spans="1:12">
      <c r="A60" s="428">
        <v>69.999998807907104</v>
      </c>
      <c r="B60" s="377">
        <v>145.14623985929501</v>
      </c>
      <c r="C60" s="377">
        <v>591.78045654296875</v>
      </c>
      <c r="D60" s="377">
        <v>33</v>
      </c>
      <c r="E60" s="377"/>
      <c r="F60" s="377"/>
      <c r="G60" s="377"/>
      <c r="H60" s="377"/>
      <c r="I60" s="377"/>
      <c r="J60" s="377"/>
      <c r="K60" s="377"/>
      <c r="L60" s="377"/>
    </row>
    <row r="61" spans="1:12">
      <c r="A61" s="428">
        <v>59.999999403953552</v>
      </c>
      <c r="B61" s="377">
        <v>140.91642005674527</v>
      </c>
      <c r="C61" s="377">
        <v>610.1898193359375</v>
      </c>
      <c r="D61" s="377">
        <v>22</v>
      </c>
      <c r="E61" s="377"/>
      <c r="F61" s="377"/>
      <c r="G61" s="377"/>
      <c r="H61" s="377"/>
      <c r="I61" s="377"/>
      <c r="J61" s="377"/>
      <c r="K61" s="377"/>
      <c r="L61" s="377"/>
    </row>
    <row r="62" spans="1:12">
      <c r="A62" s="428">
        <v>50</v>
      </c>
      <c r="B62" s="377">
        <v>138.5036864446688</v>
      </c>
      <c r="C62" s="377">
        <v>624.99493408203125</v>
      </c>
      <c r="D62" s="377">
        <v>14</v>
      </c>
      <c r="E62" s="377"/>
      <c r="F62" s="377"/>
      <c r="G62" s="377"/>
      <c r="H62" s="377"/>
      <c r="I62" s="377"/>
      <c r="J62" s="377"/>
      <c r="K62" s="377"/>
      <c r="L62" s="377"/>
    </row>
    <row r="63" spans="1:12">
      <c r="A63" s="428">
        <v>39.999997615814209</v>
      </c>
      <c r="B63" s="377">
        <v>137.00332099769417</v>
      </c>
      <c r="C63" s="377">
        <v>637.03631591796875</v>
      </c>
      <c r="D63" s="377">
        <v>7.9999995231628418</v>
      </c>
      <c r="E63" s="377"/>
      <c r="F63" s="377"/>
      <c r="G63" s="377"/>
      <c r="H63" s="377"/>
      <c r="I63" s="377"/>
      <c r="J63" s="377"/>
      <c r="K63" s="377"/>
      <c r="L63" s="377"/>
    </row>
    <row r="64" spans="1:12">
      <c r="A64" s="428">
        <v>30.000001192092896</v>
      </c>
      <c r="B64" s="377">
        <v>136.0653806652679</v>
      </c>
      <c r="C64" s="377">
        <v>646.6693115234375</v>
      </c>
      <c r="D64" s="377">
        <v>5.9999995231628418</v>
      </c>
      <c r="E64" s="377"/>
      <c r="F64" s="377"/>
      <c r="G64" s="377"/>
      <c r="H64" s="377"/>
      <c r="I64" s="377"/>
      <c r="J64" s="377"/>
      <c r="K64" s="377"/>
      <c r="L64" s="377"/>
    </row>
    <row r="65" spans="1:12">
      <c r="A65" s="428">
        <v>19.999998807907104</v>
      </c>
      <c r="B65" s="377">
        <v>135.4971130913309</v>
      </c>
      <c r="C65" s="377">
        <v>654.35308837890625</v>
      </c>
      <c r="D65" s="377">
        <v>8.0000009536743164</v>
      </c>
      <c r="E65" s="377"/>
      <c r="F65" s="377"/>
      <c r="G65" s="377"/>
      <c r="H65" s="377"/>
      <c r="I65" s="377"/>
      <c r="J65" s="377"/>
      <c r="K65" s="377"/>
      <c r="L65" s="377"/>
    </row>
    <row r="66" spans="1:12">
      <c r="A66" s="428">
        <v>10.000002384185791</v>
      </c>
      <c r="B66" s="377">
        <v>135.17351237216693</v>
      </c>
      <c r="C66" s="377">
        <v>660.740234375</v>
      </c>
      <c r="D66" s="377">
        <v>14.999996185302734</v>
      </c>
      <c r="E66" s="377"/>
      <c r="F66" s="377"/>
      <c r="G66" s="377"/>
      <c r="H66" s="377"/>
      <c r="I66" s="377"/>
      <c r="J66" s="377"/>
      <c r="K66" s="377"/>
      <c r="L66" s="377"/>
    </row>
    <row r="67" spans="1:12">
      <c r="A67" s="429">
        <v>0</v>
      </c>
      <c r="B67" s="377">
        <v>135</v>
      </c>
      <c r="C67" s="377">
        <v>666.1375732421875</v>
      </c>
      <c r="D67" s="377">
        <v>30</v>
      </c>
      <c r="E67" s="377"/>
      <c r="F67" s="377"/>
      <c r="G67" s="377"/>
      <c r="H67" s="377"/>
      <c r="I67" s="377"/>
      <c r="J67" s="377"/>
      <c r="K67" s="377"/>
      <c r="L67" s="377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81"/>
  <sheetViews>
    <sheetView topLeftCell="A40" workbookViewId="0">
      <selection activeCell="J12" sqref="J12"/>
    </sheetView>
  </sheetViews>
  <sheetFormatPr defaultRowHeight="12.75"/>
  <cols>
    <col min="1" max="6" width="16.7109375" style="387" customWidth="1"/>
    <col min="7" max="16384" width="9.140625" style="387"/>
  </cols>
  <sheetData>
    <row r="1" spans="1:6" ht="18.95" customHeight="1">
      <c r="A1" s="406"/>
      <c r="B1" s="407"/>
      <c r="C1" s="407"/>
      <c r="D1" s="407"/>
      <c r="E1" s="407"/>
      <c r="F1" s="408"/>
    </row>
    <row r="2" spans="1:6" ht="26.1" customHeight="1">
      <c r="A2" s="409" t="s">
        <v>269</v>
      </c>
      <c r="B2" s="410"/>
      <c r="C2" s="410"/>
      <c r="D2" s="410"/>
      <c r="E2" s="410"/>
      <c r="F2" s="411"/>
    </row>
    <row r="3" spans="1:6" ht="18.95" customHeight="1">
      <c r="A3" s="671" t="s">
        <v>635</v>
      </c>
      <c r="B3" s="672"/>
      <c r="C3" s="672"/>
      <c r="D3" s="672"/>
      <c r="E3" s="672"/>
      <c r="F3" s="673"/>
    </row>
    <row r="4" spans="1:6" ht="18.95" customHeight="1">
      <c r="A4" s="674" t="s">
        <v>636</v>
      </c>
      <c r="B4" s="675"/>
      <c r="C4" s="675"/>
      <c r="D4" s="675"/>
      <c r="E4" s="675"/>
      <c r="F4" s="676"/>
    </row>
    <row r="5" spans="1:6" ht="18.95" customHeight="1">
      <c r="A5" s="413"/>
      <c r="B5" s="402"/>
      <c r="C5" s="402"/>
      <c r="D5" s="402"/>
      <c r="E5" s="402"/>
      <c r="F5" s="414"/>
    </row>
    <row r="6" spans="1:6" ht="18.95" customHeight="1">
      <c r="A6" s="415" t="s">
        <v>612</v>
      </c>
      <c r="B6" s="668" t="str">
        <f>'Performance Data Sheet'!C17</f>
        <v>M305WTAL11E-C</v>
      </c>
      <c r="C6" s="669"/>
      <c r="D6" s="670"/>
      <c r="E6" s="415" t="s">
        <v>613</v>
      </c>
      <c r="F6" s="416">
        <f>'Performance Data Sheet'!I14</f>
        <v>189</v>
      </c>
    </row>
    <row r="7" spans="1:6" ht="18.95" customHeight="1">
      <c r="A7" s="415" t="s">
        <v>614</v>
      </c>
      <c r="B7" s="416" t="str">
        <f>'Performance Data Sheet'!F14</f>
        <v>WP-II</v>
      </c>
      <c r="C7" s="415" t="s">
        <v>615</v>
      </c>
      <c r="D7" s="416" t="str">
        <f>'Performance Data Sheet'!F13 &amp; " V"</f>
        <v>4000 V</v>
      </c>
      <c r="E7" s="415" t="s">
        <v>616</v>
      </c>
      <c r="F7" s="416" t="str">
        <f>'Performance Data Sheet'!C14</f>
        <v>5812US</v>
      </c>
    </row>
    <row r="8" spans="1:6" ht="18.95" customHeight="1">
      <c r="A8" s="415" t="s">
        <v>617</v>
      </c>
      <c r="B8" s="416">
        <v>4</v>
      </c>
      <c r="C8" s="415" t="s">
        <v>618</v>
      </c>
      <c r="D8" s="416" t="s">
        <v>619</v>
      </c>
      <c r="E8" s="415" t="s">
        <v>620</v>
      </c>
      <c r="F8" s="416" t="str">
        <f>'Performance Data Sheet'!M15</f>
        <v>F</v>
      </c>
    </row>
    <row r="9" spans="1:6" ht="18.95" customHeight="1">
      <c r="A9" s="415" t="s">
        <v>621</v>
      </c>
      <c r="B9" s="416">
        <f>'Performance Data Sheet'!C13</f>
        <v>1500</v>
      </c>
      <c r="C9" s="415" t="s">
        <v>622</v>
      </c>
      <c r="D9" s="416" t="s">
        <v>632</v>
      </c>
      <c r="E9" s="415" t="s">
        <v>2</v>
      </c>
      <c r="F9" s="417">
        <f>'Performance Data Sheet'!K44</f>
        <v>44473</v>
      </c>
    </row>
    <row r="10" spans="1:6" ht="18.95" customHeight="1">
      <c r="A10" s="415" t="s">
        <v>623</v>
      </c>
      <c r="B10" s="416">
        <f>'Performance Data Sheet'!M14</f>
        <v>1789</v>
      </c>
      <c r="C10" s="415" t="s">
        <v>404</v>
      </c>
      <c r="D10" s="416" t="s">
        <v>633</v>
      </c>
      <c r="E10" s="415" t="s">
        <v>1</v>
      </c>
      <c r="F10" s="416" t="s">
        <v>760</v>
      </c>
    </row>
    <row r="11" spans="1:6" ht="18.95" customHeight="1">
      <c r="A11" s="413"/>
      <c r="B11" s="402"/>
      <c r="C11" s="402"/>
      <c r="D11" s="402"/>
      <c r="E11" s="402"/>
      <c r="F11" s="414"/>
    </row>
    <row r="12" spans="1:6" ht="18.95" customHeight="1">
      <c r="A12" s="413"/>
      <c r="B12" s="399"/>
      <c r="C12" s="418" t="str">
        <f>'Performance Data Sheet'!D22 &amp; " A"</f>
        <v>1259 A</v>
      </c>
      <c r="D12" s="399"/>
      <c r="E12" s="418"/>
      <c r="F12" s="414"/>
    </row>
    <row r="13" spans="1:6" ht="18.95" customHeight="1">
      <c r="A13" s="413"/>
      <c r="B13" s="399"/>
      <c r="C13" s="419">
        <f>'Performance Data Sheet'!H23/100</f>
        <v>1.35</v>
      </c>
      <c r="D13" s="399"/>
      <c r="E13" s="418"/>
      <c r="F13" s="414"/>
    </row>
    <row r="14" spans="1:6" ht="18.95" customHeight="1">
      <c r="A14" s="413"/>
      <c r="B14" s="399"/>
      <c r="C14" s="419"/>
      <c r="D14" s="399"/>
      <c r="E14" s="418"/>
      <c r="F14" s="414"/>
    </row>
    <row r="15" spans="1:6" ht="18.95" customHeight="1">
      <c r="A15" s="413"/>
      <c r="B15" s="399"/>
      <c r="C15" s="418" t="str">
        <f>'Performance Data Sheet'!H22 &amp; " lb-ft"</f>
        <v>4404 lb-ft</v>
      </c>
      <c r="D15" s="402"/>
      <c r="E15" s="402"/>
      <c r="F15" s="414"/>
    </row>
    <row r="16" spans="1:6" ht="18.95" customHeight="1">
      <c r="A16" s="413"/>
      <c r="B16" s="402"/>
      <c r="C16" s="402"/>
      <c r="D16" s="402"/>
      <c r="E16" s="402"/>
      <c r="F16" s="414"/>
    </row>
    <row r="17" spans="1:6" ht="18.95" customHeight="1">
      <c r="A17" s="413"/>
      <c r="B17" s="402"/>
      <c r="C17" s="402"/>
      <c r="D17" s="402"/>
      <c r="E17" s="402"/>
      <c r="F17" s="414"/>
    </row>
    <row r="18" spans="1:6" ht="18.95" customHeight="1">
      <c r="A18" s="413"/>
      <c r="B18" s="402"/>
      <c r="C18" s="402"/>
      <c r="D18" s="402"/>
      <c r="E18" s="402"/>
      <c r="F18" s="414"/>
    </row>
    <row r="19" spans="1:6" ht="18.95" customHeight="1">
      <c r="A19" s="413"/>
      <c r="B19" s="402"/>
      <c r="C19" s="402"/>
      <c r="D19" s="402"/>
      <c r="E19" s="402"/>
      <c r="F19" s="414"/>
    </row>
    <row r="20" spans="1:6" ht="18.95" customHeight="1">
      <c r="A20" s="413"/>
      <c r="B20" s="402"/>
      <c r="C20" s="402"/>
      <c r="D20" s="402"/>
      <c r="E20" s="402"/>
      <c r="F20" s="414"/>
    </row>
    <row r="21" spans="1:6" ht="18.95" customHeight="1">
      <c r="A21" s="413"/>
      <c r="B21" s="402"/>
      <c r="C21" s="402"/>
      <c r="D21" s="402"/>
      <c r="E21" s="402"/>
      <c r="F21" s="414"/>
    </row>
    <row r="22" spans="1:6" ht="18.95" customHeight="1">
      <c r="A22" s="413"/>
      <c r="B22" s="402"/>
      <c r="C22" s="402"/>
      <c r="D22" s="402"/>
      <c r="E22" s="402"/>
      <c r="F22" s="414"/>
    </row>
    <row r="23" spans="1:6" ht="18.95" customHeight="1">
      <c r="A23" s="413"/>
      <c r="B23" s="402"/>
      <c r="C23" s="402"/>
      <c r="D23" s="402"/>
      <c r="E23" s="402"/>
      <c r="F23" s="414"/>
    </row>
    <row r="24" spans="1:6" ht="18.95" customHeight="1">
      <c r="A24" s="413"/>
      <c r="B24" s="402"/>
      <c r="C24" s="402"/>
      <c r="D24" s="402"/>
      <c r="E24" s="402"/>
      <c r="F24" s="414"/>
    </row>
    <row r="25" spans="1:6" ht="18.95" customHeight="1">
      <c r="A25" s="413"/>
      <c r="B25" s="402"/>
      <c r="C25" s="402"/>
      <c r="D25" s="402"/>
      <c r="E25" s="402"/>
      <c r="F25" s="414"/>
    </row>
    <row r="26" spans="1:6" ht="18.95" customHeight="1">
      <c r="A26" s="413"/>
      <c r="B26" s="402"/>
      <c r="C26" s="402"/>
      <c r="D26" s="402"/>
      <c r="E26" s="402"/>
      <c r="F26" s="414"/>
    </row>
    <row r="27" spans="1:6" ht="18.95" customHeight="1">
      <c r="A27" s="413"/>
      <c r="B27" s="402"/>
      <c r="C27" s="402"/>
      <c r="D27" s="402"/>
      <c r="E27" s="402"/>
      <c r="F27" s="414"/>
    </row>
    <row r="28" spans="1:6" ht="18.95" customHeight="1">
      <c r="A28" s="413"/>
      <c r="B28" s="402"/>
      <c r="C28" s="402"/>
      <c r="D28" s="402"/>
      <c r="E28" s="402"/>
      <c r="F28" s="414"/>
    </row>
    <row r="29" spans="1:6" ht="18.95" customHeight="1">
      <c r="A29" s="413"/>
      <c r="B29" s="402"/>
      <c r="C29" s="402"/>
      <c r="D29" s="402"/>
      <c r="E29" s="402"/>
      <c r="F29" s="414"/>
    </row>
    <row r="30" spans="1:6" ht="18.95" customHeight="1">
      <c r="A30" s="413"/>
      <c r="B30" s="402"/>
      <c r="C30" s="402"/>
      <c r="D30" s="402"/>
      <c r="E30" s="402"/>
      <c r="F30" s="414"/>
    </row>
    <row r="31" spans="1:6" ht="18.95" customHeight="1">
      <c r="A31" s="413"/>
      <c r="B31" s="402"/>
      <c r="C31" s="402"/>
      <c r="D31" s="402"/>
      <c r="E31" s="402"/>
      <c r="F31" s="414"/>
    </row>
    <row r="32" spans="1:6" ht="18.95" customHeight="1">
      <c r="A32" s="413"/>
      <c r="B32" s="402"/>
      <c r="C32" s="402"/>
      <c r="D32" s="402"/>
      <c r="E32" s="402"/>
      <c r="F32" s="414"/>
    </row>
    <row r="33" spans="1:6" ht="18.95" customHeight="1">
      <c r="A33" s="413"/>
      <c r="B33" s="402"/>
      <c r="C33" s="402"/>
      <c r="D33" s="402"/>
      <c r="E33" s="402"/>
      <c r="F33" s="414"/>
    </row>
    <row r="34" spans="1:6" ht="18.95" customHeight="1">
      <c r="A34" s="413"/>
      <c r="B34" s="402"/>
      <c r="C34" s="402"/>
      <c r="D34" s="402"/>
      <c r="E34" s="402"/>
      <c r="F34" s="414"/>
    </row>
    <row r="35" spans="1:6" ht="18.95" customHeight="1">
      <c r="A35" s="413"/>
      <c r="B35" s="402"/>
      <c r="C35" s="402"/>
      <c r="D35" s="402"/>
      <c r="E35" s="402"/>
      <c r="F35" s="414"/>
    </row>
    <row r="36" spans="1:6" ht="18.95" customHeight="1">
      <c r="A36" s="413"/>
      <c r="B36" s="402"/>
      <c r="C36" s="402"/>
      <c r="D36" s="402"/>
      <c r="E36" s="402"/>
      <c r="F36" s="414"/>
    </row>
    <row r="37" spans="1:6" ht="18.95" customHeight="1">
      <c r="A37" s="413"/>
      <c r="B37" s="402"/>
      <c r="C37" s="402"/>
      <c r="D37" s="402"/>
      <c r="E37" s="402"/>
      <c r="F37" s="414"/>
    </row>
    <row r="38" spans="1:6" ht="18.95" customHeight="1">
      <c r="A38" s="413"/>
      <c r="B38" s="402"/>
      <c r="C38" s="402"/>
      <c r="D38" s="402"/>
      <c r="E38" s="402"/>
      <c r="F38" s="414"/>
    </row>
    <row r="39" spans="1:6" ht="18.95" customHeight="1">
      <c r="A39" s="420" t="s">
        <v>628</v>
      </c>
      <c r="B39" s="421" t="s">
        <v>372</v>
      </c>
      <c r="C39" s="540" t="str">
        <f>'Performance Data Sheet'!C10</f>
        <v>-</v>
      </c>
      <c r="D39" s="402"/>
      <c r="E39" s="399" t="s">
        <v>629</v>
      </c>
      <c r="F39" s="422" t="str">
        <f>F10</f>
        <v>DT4M30U</v>
      </c>
    </row>
    <row r="40" spans="1:6" ht="18.95" customHeight="1">
      <c r="A40" s="413"/>
      <c r="B40" s="421"/>
      <c r="C40" s="421"/>
      <c r="D40" s="402"/>
      <c r="E40" s="402"/>
      <c r="F40" s="414"/>
    </row>
    <row r="41" spans="1:6" ht="18.95" customHeight="1">
      <c r="A41" s="413"/>
      <c r="B41" s="421"/>
      <c r="C41" s="421"/>
      <c r="D41" s="402"/>
      <c r="E41" s="402"/>
      <c r="F41" s="414"/>
    </row>
    <row r="42" spans="1:6" ht="18.95" customHeight="1">
      <c r="A42" s="413"/>
      <c r="B42" s="402"/>
      <c r="C42" s="402"/>
      <c r="D42" s="402"/>
      <c r="E42" s="402"/>
      <c r="F42" s="414"/>
    </row>
    <row r="43" spans="1:6" ht="18.95" customHeight="1">
      <c r="A43" s="423"/>
      <c r="B43" s="421"/>
      <c r="C43" s="424" t="s">
        <v>630</v>
      </c>
      <c r="D43" s="425" t="str">
        <f>'Performance Data Sheet'!K42</f>
        <v>Zichao Xie</v>
      </c>
      <c r="E43" s="424" t="s">
        <v>631</v>
      </c>
      <c r="F43" s="42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30" t="e">
        <f>5252.1*B50/D53</f>
        <v>#DIV/0!</v>
      </c>
      <c r="G50" s="430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31"/>
    </row>
    <row r="63" spans="6:9">
      <c r="I63" s="387" t="s">
        <v>39</v>
      </c>
    </row>
    <row r="66" spans="1:6">
      <c r="D66" s="430" t="e">
        <f>D65/D64</f>
        <v>#DIV/0!</v>
      </c>
    </row>
    <row r="67" spans="1:6">
      <c r="A67" s="432" t="s">
        <v>400</v>
      </c>
      <c r="B67" s="432" t="s">
        <v>637</v>
      </c>
      <c r="C67" s="432" t="s">
        <v>638</v>
      </c>
      <c r="E67" s="432" t="s">
        <v>639</v>
      </c>
      <c r="F67" s="432" t="s">
        <v>640</v>
      </c>
    </row>
    <row r="68" spans="1:6">
      <c r="A68" s="433">
        <v>666.13756613756618</v>
      </c>
      <c r="B68" s="434">
        <v>22.555086953299387</v>
      </c>
      <c r="C68" s="434">
        <v>6.8749128069196432</v>
      </c>
      <c r="E68" s="433">
        <f>A68</f>
        <v>666.13756613756618</v>
      </c>
      <c r="F68" s="434">
        <v>1E-4</v>
      </c>
    </row>
    <row r="69" spans="1:6">
      <c r="A69" s="433">
        <v>604.09791534391536</v>
      </c>
      <c r="B69" s="434">
        <f>((A68/A69)^2)*B68</f>
        <v>27.425697624607643</v>
      </c>
      <c r="C69" s="434">
        <f>((A68/A69)^2)*C68</f>
        <v>8.3595013501173625</v>
      </c>
      <c r="E69" s="433">
        <v>663.43915343915353</v>
      </c>
      <c r="F69" s="434">
        <v>0.59500002861022949</v>
      </c>
    </row>
    <row r="70" spans="1:6">
      <c r="A70" s="433">
        <v>542.03965079365082</v>
      </c>
      <c r="B70" s="434">
        <f>((A68/A70)^2)*B68</f>
        <v>34.065145162203777</v>
      </c>
      <c r="C70" s="434">
        <f>((A68/A70)^2)*C68</f>
        <v>10.383240961567349</v>
      </c>
      <c r="E70" s="433">
        <v>657.56613756613751</v>
      </c>
      <c r="F70" s="434">
        <v>1.1360000371932983</v>
      </c>
    </row>
    <row r="71" spans="1:6">
      <c r="A71" s="433">
        <v>480</v>
      </c>
      <c r="B71" s="434">
        <f>((A68/A71)^2)*B68</f>
        <v>43.440006626177762</v>
      </c>
      <c r="C71" s="434">
        <f>((A68/A71)^2)*C68</f>
        <v>13.240749570388923</v>
      </c>
      <c r="E71" s="433">
        <v>650.52910052910056</v>
      </c>
      <c r="F71" s="434">
        <v>1.656000018119812</v>
      </c>
    </row>
    <row r="72" spans="1:6">
      <c r="A72" s="433">
        <f>A71-100</f>
        <v>380</v>
      </c>
      <c r="B72" s="434">
        <f>((A68/A72)^2)*B68</f>
        <v>69.311478716560643</v>
      </c>
      <c r="C72" s="434"/>
      <c r="E72" s="433">
        <v>641.85185185185173</v>
      </c>
      <c r="F72" s="434">
        <v>2.1740000247955322</v>
      </c>
    </row>
    <row r="73" spans="1:6">
      <c r="A73" s="433">
        <f>A72-100</f>
        <v>280</v>
      </c>
      <c r="B73" s="434">
        <f>((A68/A73)^2)*B68</f>
        <v>127.66042763611425</v>
      </c>
      <c r="C73" s="434"/>
      <c r="E73" s="433">
        <v>631.00529100529093</v>
      </c>
      <c r="F73" s="434">
        <v>2.7030000686645508</v>
      </c>
    </row>
    <row r="74" spans="1:6">
      <c r="A74" s="433">
        <v>265</v>
      </c>
      <c r="B74" s="434">
        <f>((A68/A74)^2)*B68</f>
        <v>142.52157389350452</v>
      </c>
      <c r="C74" s="434">
        <f>((A68/A74)^2)*C68</f>
        <v>43.44134853709658</v>
      </c>
      <c r="E74" s="433">
        <v>617.56613756613751</v>
      </c>
      <c r="F74" s="434">
        <v>3.254000186920166</v>
      </c>
    </row>
    <row r="75" spans="1:6">
      <c r="A75" s="435">
        <v>180</v>
      </c>
      <c r="B75" s="434">
        <f>((A68/A75)^2)*B69</f>
        <v>375.61292244412982</v>
      </c>
      <c r="C75" s="434">
        <f>((A68/A75)^2)*C68</f>
        <v>94.156441389432331</v>
      </c>
      <c r="E75" s="433">
        <v>601.00529100529104</v>
      </c>
      <c r="F75" s="434">
        <v>3.8340001106262207</v>
      </c>
    </row>
    <row r="76" spans="1:6">
      <c r="A76" s="435">
        <v>120</v>
      </c>
      <c r="B76" s="434">
        <f>((A68/A76)^2)*B68</f>
        <v>695.0401060188442</v>
      </c>
      <c r="C76" s="434">
        <f>((A68/A76)^2)*C68</f>
        <v>211.85199312622277</v>
      </c>
      <c r="E76" s="433">
        <v>579.41798941798936</v>
      </c>
      <c r="F76" s="434">
        <v>4.4510002136230469</v>
      </c>
    </row>
    <row r="77" spans="1:6">
      <c r="A77" s="435">
        <v>110</v>
      </c>
      <c r="B77" s="434"/>
      <c r="C77" s="433">
        <f>CEILING(C76*2,100)</f>
        <v>500</v>
      </c>
      <c r="E77" s="433">
        <v>557.51322751322755</v>
      </c>
      <c r="F77" s="434">
        <v>4.7610001564025879</v>
      </c>
    </row>
    <row r="78" spans="1:6">
      <c r="A78" s="435">
        <v>110</v>
      </c>
      <c r="B78" s="434"/>
      <c r="C78" s="433">
        <f>2*C77</f>
        <v>1000</v>
      </c>
      <c r="E78" s="433">
        <v>529.94708994708992</v>
      </c>
      <c r="F78" s="434">
        <v>5.0329999923706055</v>
      </c>
    </row>
    <row r="79" spans="1:6">
      <c r="A79" s="435">
        <v>110</v>
      </c>
      <c r="B79" s="435"/>
      <c r="C79" s="435">
        <v>10000</v>
      </c>
      <c r="E79" s="433">
        <v>458.62433862433863</v>
      </c>
      <c r="F79" s="434">
        <v>5.2470002174377441</v>
      </c>
    </row>
    <row r="80" spans="1:6">
      <c r="E80" s="433">
        <v>262.91005291005291</v>
      </c>
      <c r="F80" s="434">
        <v>5.5370001792907715</v>
      </c>
    </row>
    <row r="81" spans="5:6">
      <c r="E81" s="433">
        <v>86.809589185764082</v>
      </c>
      <c r="F81" s="434">
        <v>5.818000316619873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69"/>
  <sheetViews>
    <sheetView topLeftCell="A2" workbookViewId="0">
      <selection activeCell="J12" sqref="J12"/>
    </sheetView>
  </sheetViews>
  <sheetFormatPr defaultRowHeight="12.75"/>
  <cols>
    <col min="1" max="6" width="16.7109375" style="387" customWidth="1"/>
    <col min="7" max="16384" width="9.140625" style="387"/>
  </cols>
  <sheetData>
    <row r="1" spans="1:6" ht="18.95" customHeight="1">
      <c r="A1" s="406"/>
      <c r="B1" s="407"/>
      <c r="C1" s="407"/>
      <c r="D1" s="407"/>
      <c r="E1" s="407"/>
      <c r="F1" s="408"/>
    </row>
    <row r="2" spans="1:6" ht="26.1" customHeight="1">
      <c r="A2" s="409" t="s">
        <v>269</v>
      </c>
      <c r="B2" s="410"/>
      <c r="C2" s="410"/>
      <c r="D2" s="410"/>
      <c r="E2" s="410"/>
      <c r="F2" s="411"/>
    </row>
    <row r="3" spans="1:6" ht="18.95" customHeight="1">
      <c r="A3" s="412" t="s">
        <v>641</v>
      </c>
      <c r="B3" s="410"/>
      <c r="C3" s="410"/>
      <c r="D3" s="410"/>
      <c r="E3" s="410"/>
      <c r="F3" s="411"/>
    </row>
    <row r="4" spans="1:6" ht="18.95" customHeight="1">
      <c r="A4" s="674" t="s">
        <v>636</v>
      </c>
      <c r="B4" s="675"/>
      <c r="C4" s="675"/>
      <c r="D4" s="675"/>
      <c r="E4" s="675"/>
      <c r="F4" s="676"/>
    </row>
    <row r="5" spans="1:6" ht="18.95" customHeight="1">
      <c r="A5" s="413"/>
      <c r="B5" s="402"/>
      <c r="C5" s="402"/>
      <c r="D5" s="402"/>
      <c r="E5" s="402"/>
      <c r="F5" s="414"/>
    </row>
    <row r="6" spans="1:6" ht="18.95" customHeight="1">
      <c r="A6" s="415" t="s">
        <v>612</v>
      </c>
      <c r="B6" s="668" t="str">
        <f>'Performance Data Sheet'!C17</f>
        <v>M305WTAL11E-C</v>
      </c>
      <c r="C6" s="669"/>
      <c r="D6" s="670"/>
      <c r="E6" s="415" t="s">
        <v>613</v>
      </c>
      <c r="F6" s="416">
        <f>'Performance Data Sheet'!I14</f>
        <v>189</v>
      </c>
    </row>
    <row r="7" spans="1:6" ht="18.95" customHeight="1">
      <c r="A7" s="415" t="s">
        <v>614</v>
      </c>
      <c r="B7" s="416" t="str">
        <f>'Performance Data Sheet'!F14</f>
        <v>WP-II</v>
      </c>
      <c r="C7" s="415" t="s">
        <v>615</v>
      </c>
      <c r="D7" s="416" t="str">
        <f>'Performance Data Sheet'!F13 &amp; " V"</f>
        <v>4000 V</v>
      </c>
      <c r="E7" s="415" t="s">
        <v>616</v>
      </c>
      <c r="F7" s="416" t="str">
        <f>'Performance Data Sheet'!C14</f>
        <v>5812US</v>
      </c>
    </row>
    <row r="8" spans="1:6" ht="18.95" customHeight="1">
      <c r="A8" s="415" t="s">
        <v>617</v>
      </c>
      <c r="B8" s="416">
        <v>4</v>
      </c>
      <c r="C8" s="415" t="s">
        <v>618</v>
      </c>
      <c r="D8" s="416" t="s">
        <v>619</v>
      </c>
      <c r="E8" s="415" t="s">
        <v>620</v>
      </c>
      <c r="F8" s="416" t="str">
        <f>'Performance Data Sheet'!M15</f>
        <v>F</v>
      </c>
    </row>
    <row r="9" spans="1:6" ht="18.95" customHeight="1">
      <c r="A9" s="415" t="s">
        <v>621</v>
      </c>
      <c r="B9" s="416">
        <f>'Performance Data Sheet'!C13</f>
        <v>1500</v>
      </c>
      <c r="C9" s="415" t="s">
        <v>622</v>
      </c>
      <c r="D9" s="416" t="s">
        <v>632</v>
      </c>
      <c r="E9" s="415" t="s">
        <v>2</v>
      </c>
      <c r="F9" s="417">
        <f>'Performance Data Sheet'!K44</f>
        <v>44473</v>
      </c>
    </row>
    <row r="10" spans="1:6" ht="18.95" customHeight="1">
      <c r="A10" s="415" t="s">
        <v>623</v>
      </c>
      <c r="B10" s="416">
        <f>'Performance Data Sheet'!M14</f>
        <v>1789</v>
      </c>
      <c r="C10" s="415" t="s">
        <v>404</v>
      </c>
      <c r="D10" s="416" t="s">
        <v>633</v>
      </c>
      <c r="E10" s="415" t="s">
        <v>1</v>
      </c>
      <c r="F10" s="416" t="s">
        <v>760</v>
      </c>
    </row>
    <row r="11" spans="1:6" ht="18.95" customHeight="1">
      <c r="A11" s="413"/>
      <c r="B11" s="402"/>
      <c r="C11" s="402"/>
      <c r="D11" s="402"/>
      <c r="E11" s="402"/>
      <c r="F11" s="414"/>
    </row>
    <row r="12" spans="1:6" ht="18.95" customHeight="1">
      <c r="A12" s="413"/>
      <c r="B12" s="399" t="s">
        <v>624</v>
      </c>
      <c r="C12" s="418" t="str">
        <f>'Performance Data Sheet'!D22 &amp; " A"</f>
        <v>1259 A</v>
      </c>
      <c r="D12" s="399" t="s">
        <v>403</v>
      </c>
      <c r="E12" s="418" t="s">
        <v>407</v>
      </c>
      <c r="F12" s="414"/>
    </row>
    <row r="13" spans="1:6" ht="18.95" customHeight="1">
      <c r="A13" s="413"/>
      <c r="B13" s="399" t="s">
        <v>625</v>
      </c>
      <c r="C13" s="419">
        <f>'Performance Data Sheet'!H23/100</f>
        <v>1.35</v>
      </c>
      <c r="D13" s="399" t="s">
        <v>626</v>
      </c>
      <c r="E13" s="418" t="s">
        <v>634</v>
      </c>
      <c r="F13" s="414"/>
    </row>
    <row r="14" spans="1:6" ht="18.95" customHeight="1">
      <c r="A14" s="413"/>
      <c r="B14" s="399" t="s">
        <v>627</v>
      </c>
      <c r="C14" s="419">
        <v>2.65</v>
      </c>
      <c r="D14" s="399" t="s">
        <v>405</v>
      </c>
      <c r="E14" s="418" t="s">
        <v>410</v>
      </c>
      <c r="F14" s="414"/>
    </row>
    <row r="15" spans="1:6" ht="18.95" customHeight="1">
      <c r="A15" s="413"/>
      <c r="B15" s="399" t="s">
        <v>406</v>
      </c>
      <c r="C15" s="418" t="str">
        <f>'Performance Data Sheet'!H22 &amp; " lb-ft"</f>
        <v>4404 lb-ft</v>
      </c>
      <c r="D15" s="402"/>
      <c r="E15" s="402"/>
      <c r="F15" s="414"/>
    </row>
    <row r="16" spans="1:6" ht="18.95" customHeight="1">
      <c r="A16" s="413"/>
      <c r="B16" s="402"/>
      <c r="C16" s="402"/>
      <c r="D16" s="402"/>
      <c r="E16" s="402"/>
      <c r="F16" s="414"/>
    </row>
    <row r="17" spans="1:8" ht="18.95" customHeight="1">
      <c r="A17" s="413"/>
      <c r="B17" s="402"/>
      <c r="C17" s="402"/>
      <c r="D17" s="402"/>
      <c r="E17" s="402"/>
      <c r="F17" s="414"/>
    </row>
    <row r="18" spans="1:8" ht="18.95" customHeight="1">
      <c r="A18" s="413"/>
      <c r="B18" s="402"/>
      <c r="C18" s="402"/>
      <c r="D18" s="402"/>
      <c r="E18" s="402"/>
      <c r="F18" s="414"/>
    </row>
    <row r="19" spans="1:8" ht="18.95" customHeight="1">
      <c r="A19" s="413"/>
      <c r="B19" s="402"/>
      <c r="C19" s="402"/>
      <c r="D19" s="402"/>
      <c r="E19" s="402"/>
      <c r="F19" s="414"/>
    </row>
    <row r="20" spans="1:8" ht="18.95" customHeight="1">
      <c r="A20" s="413"/>
      <c r="B20" s="402"/>
      <c r="C20" s="402"/>
      <c r="D20" s="402"/>
      <c r="E20" s="402"/>
      <c r="F20" s="414"/>
    </row>
    <row r="21" spans="1:8" ht="18.95" customHeight="1">
      <c r="A21" s="413"/>
      <c r="B21" s="402"/>
      <c r="C21" s="402"/>
      <c r="D21" s="402"/>
      <c r="E21" s="402"/>
      <c r="F21" s="414"/>
    </row>
    <row r="22" spans="1:8" ht="18.95" customHeight="1">
      <c r="A22" s="413"/>
      <c r="B22" s="402"/>
      <c r="C22" s="402"/>
      <c r="D22" s="402"/>
      <c r="E22" s="402"/>
      <c r="F22" s="414"/>
    </row>
    <row r="23" spans="1:8" ht="18.95" customHeight="1">
      <c r="A23" s="413"/>
      <c r="B23" s="402"/>
      <c r="C23" s="402"/>
      <c r="D23" s="402"/>
      <c r="E23" s="402"/>
      <c r="F23" s="414"/>
    </row>
    <row r="24" spans="1:8" ht="18.95" customHeight="1">
      <c r="A24" s="413"/>
      <c r="B24" s="402"/>
      <c r="C24" s="402"/>
      <c r="D24" s="402"/>
      <c r="E24" s="402"/>
      <c r="F24" s="414"/>
      <c r="H24" s="436"/>
    </row>
    <row r="25" spans="1:8" ht="18.95" customHeight="1">
      <c r="A25" s="413"/>
      <c r="B25" s="402"/>
      <c r="C25" s="402"/>
      <c r="D25" s="402"/>
      <c r="E25" s="402"/>
      <c r="F25" s="414"/>
    </row>
    <row r="26" spans="1:8" ht="18.95" customHeight="1">
      <c r="A26" s="413"/>
      <c r="B26" s="402"/>
      <c r="C26" s="402"/>
      <c r="D26" s="402"/>
      <c r="E26" s="402"/>
      <c r="F26" s="414"/>
    </row>
    <row r="27" spans="1:8" ht="18.95" customHeight="1">
      <c r="A27" s="413"/>
      <c r="B27" s="402"/>
      <c r="C27" s="402"/>
      <c r="D27" s="402"/>
      <c r="E27" s="402"/>
      <c r="F27" s="414"/>
    </row>
    <row r="28" spans="1:8" ht="18.95" customHeight="1">
      <c r="A28" s="413"/>
      <c r="B28" s="402"/>
      <c r="C28" s="402"/>
      <c r="D28" s="402"/>
      <c r="E28" s="402"/>
      <c r="F28" s="414"/>
    </row>
    <row r="29" spans="1:8" ht="18.95" customHeight="1">
      <c r="A29" s="413"/>
      <c r="B29" s="402"/>
      <c r="C29" s="402"/>
      <c r="D29" s="402"/>
      <c r="E29" s="402"/>
      <c r="F29" s="414"/>
    </row>
    <row r="30" spans="1:8" ht="18.95" customHeight="1">
      <c r="A30" s="413"/>
      <c r="B30" s="402"/>
      <c r="C30" s="402"/>
      <c r="D30" s="402"/>
      <c r="E30" s="402"/>
      <c r="F30" s="414"/>
    </row>
    <row r="31" spans="1:8" ht="18.95" customHeight="1">
      <c r="A31" s="413"/>
      <c r="B31" s="402"/>
      <c r="C31" s="402"/>
      <c r="D31" s="402"/>
      <c r="E31" s="402"/>
      <c r="F31" s="414"/>
    </row>
    <row r="32" spans="1:8" ht="18.95" customHeight="1">
      <c r="A32" s="413"/>
      <c r="B32" s="402"/>
      <c r="C32" s="402"/>
      <c r="D32" s="402"/>
      <c r="E32" s="402"/>
      <c r="F32" s="414"/>
    </row>
    <row r="33" spans="1:15" ht="18.95" customHeight="1">
      <c r="A33" s="413"/>
      <c r="B33" s="402"/>
      <c r="C33" s="402"/>
      <c r="D33" s="402"/>
      <c r="E33" s="402"/>
      <c r="F33" s="414"/>
    </row>
    <row r="34" spans="1:15" ht="18.95" customHeight="1">
      <c r="A34" s="413"/>
      <c r="B34" s="402"/>
      <c r="C34" s="402"/>
      <c r="D34" s="402"/>
      <c r="E34" s="402"/>
      <c r="F34" s="414"/>
    </row>
    <row r="35" spans="1:15" ht="18.95" customHeight="1">
      <c r="A35" s="413"/>
      <c r="B35" s="402"/>
      <c r="C35" s="402"/>
      <c r="D35" s="402"/>
      <c r="E35" s="402"/>
      <c r="F35" s="414"/>
    </row>
    <row r="36" spans="1:15" ht="18.95" customHeight="1">
      <c r="A36" s="413"/>
      <c r="B36" s="402"/>
      <c r="C36" s="402"/>
      <c r="D36" s="402"/>
      <c r="E36" s="402"/>
      <c r="F36" s="414"/>
      <c r="N36" s="541" t="s">
        <v>758</v>
      </c>
      <c r="O36" s="541" t="s">
        <v>759</v>
      </c>
    </row>
    <row r="37" spans="1:15" ht="18.95" customHeight="1">
      <c r="A37" s="413"/>
      <c r="B37" s="402"/>
      <c r="C37" s="402"/>
      <c r="D37" s="402"/>
      <c r="E37" s="402"/>
      <c r="F37" s="414"/>
      <c r="N37" s="541">
        <f xml:space="preserve"> L43 - (L43-L44) / 10 * 0</f>
        <v>1800</v>
      </c>
      <c r="O37" s="541">
        <f xml:space="preserve"> L45 / 10 * 10</f>
        <v>4000</v>
      </c>
    </row>
    <row r="38" spans="1:15" ht="18.95" customHeight="1">
      <c r="A38" s="413"/>
      <c r="B38" s="402"/>
      <c r="C38" s="402"/>
      <c r="D38" s="402"/>
      <c r="E38" s="402"/>
      <c r="F38" s="414"/>
      <c r="N38" s="541">
        <f xml:space="preserve"> L43 - (L43-L44) / 10 * 1</f>
        <v>1798</v>
      </c>
      <c r="O38" s="541">
        <f xml:space="preserve"> L45 / 10 * 9</f>
        <v>3600</v>
      </c>
    </row>
    <row r="39" spans="1:15" ht="18.95" customHeight="1">
      <c r="A39" s="420" t="s">
        <v>628</v>
      </c>
      <c r="B39" s="421" t="s">
        <v>372</v>
      </c>
      <c r="C39" s="540" t="str">
        <f>'Performance Data Sheet'!C10</f>
        <v>-</v>
      </c>
      <c r="D39" s="402"/>
      <c r="E39" s="399" t="s">
        <v>629</v>
      </c>
      <c r="F39" s="422" t="str">
        <f>F10</f>
        <v>DT4M30U</v>
      </c>
      <c r="N39" s="541">
        <f xml:space="preserve"> L43 - (L43-L44) / 10 * 2</f>
        <v>1796</v>
      </c>
      <c r="O39" s="541">
        <f xml:space="preserve"> L45 / 10 * 8</f>
        <v>3200</v>
      </c>
    </row>
    <row r="40" spans="1:15" ht="18.95" customHeight="1">
      <c r="A40" s="413"/>
      <c r="B40" s="421"/>
      <c r="C40" s="421"/>
      <c r="D40" s="402"/>
      <c r="E40" s="402"/>
      <c r="F40" s="414"/>
      <c r="N40" s="541">
        <f xml:space="preserve"> L43 - (L43-L44) / 10 * 3</f>
        <v>1794</v>
      </c>
      <c r="O40" s="541">
        <f xml:space="preserve"> L45 / 10 * 7</f>
        <v>2800</v>
      </c>
    </row>
    <row r="41" spans="1:15" ht="18.95" customHeight="1">
      <c r="A41" s="413"/>
      <c r="B41" s="421"/>
      <c r="C41" s="421"/>
      <c r="D41" s="402"/>
      <c r="E41" s="402"/>
      <c r="F41" s="414"/>
      <c r="N41" s="541">
        <f xml:space="preserve"> L43 - (L43-L44) / 10 * 4</f>
        <v>1792</v>
      </c>
      <c r="O41" s="541">
        <f xml:space="preserve"> L45 / 10 * 6</f>
        <v>2400</v>
      </c>
    </row>
    <row r="42" spans="1:15" ht="18.95" customHeight="1">
      <c r="A42" s="413"/>
      <c r="B42" s="402"/>
      <c r="C42" s="402"/>
      <c r="D42" s="402"/>
      <c r="E42" s="402"/>
      <c r="F42" s="414"/>
      <c r="N42" s="541">
        <f xml:space="preserve"> L43 - (L43-L44) / 10 * 5</f>
        <v>1790</v>
      </c>
      <c r="O42" s="541">
        <f xml:space="preserve"> L45 / 10 * 5</f>
        <v>2000</v>
      </c>
    </row>
    <row r="43" spans="1:15" ht="18.95" customHeight="1">
      <c r="A43" s="423"/>
      <c r="B43" s="421"/>
      <c r="C43" s="424" t="s">
        <v>630</v>
      </c>
      <c r="D43" s="425" t="str">
        <f>'Performance Data Sheet'!K42</f>
        <v>Zichao Xie</v>
      </c>
      <c r="E43" s="424" t="s">
        <v>631</v>
      </c>
      <c r="F43" s="425"/>
      <c r="K43" s="544" t="s">
        <v>755</v>
      </c>
      <c r="L43" s="545">
        <v>1800</v>
      </c>
      <c r="N43" s="541">
        <f xml:space="preserve"> L43 - (L43-L44) / 10 * 6</f>
        <v>1788</v>
      </c>
      <c r="O43" s="541">
        <f xml:space="preserve"> L45 / 10 * 4</f>
        <v>1600</v>
      </c>
    </row>
    <row r="44" spans="1:15" ht="15" customHeight="1">
      <c r="K44" s="544" t="s">
        <v>756</v>
      </c>
      <c r="L44" s="546">
        <v>1780</v>
      </c>
      <c r="N44" s="541">
        <f xml:space="preserve"> L43 - (L43-L44) / 10 * 7</f>
        <v>1786</v>
      </c>
      <c r="O44" s="541">
        <f xml:space="preserve"> L45 / 10 * 3</f>
        <v>1200</v>
      </c>
    </row>
    <row r="45" spans="1:15" ht="15" customHeight="1">
      <c r="K45" s="544" t="s">
        <v>757</v>
      </c>
      <c r="L45" s="546">
        <v>4000</v>
      </c>
      <c r="N45" s="541">
        <f xml:space="preserve"> L43 - (L43-L44) / 10 * 8</f>
        <v>1784</v>
      </c>
      <c r="O45" s="541">
        <f xml:space="preserve"> L45 / 10 * 2</f>
        <v>800</v>
      </c>
    </row>
    <row r="46" spans="1:15" ht="15" customHeight="1">
      <c r="N46" s="541">
        <f xml:space="preserve"> L43 - (L43-L44) / 10 * 9</f>
        <v>1782</v>
      </c>
      <c r="O46" s="541">
        <f xml:space="preserve"> L45 / 10 * 1</f>
        <v>400</v>
      </c>
    </row>
    <row r="47" spans="1:15" ht="15" customHeight="1">
      <c r="N47" s="541">
        <f xml:space="preserve"> L43 - (L43-L44) / 10 * 10</f>
        <v>1780</v>
      </c>
      <c r="O47" s="547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677" t="s">
        <v>753</v>
      </c>
      <c r="B52" s="678"/>
      <c r="C52" s="678"/>
      <c r="D52" s="678"/>
      <c r="E52" s="678"/>
      <c r="F52" s="679"/>
    </row>
    <row r="53" spans="1:6" ht="15" customHeight="1" thickBot="1">
      <c r="A53" s="542" t="s">
        <v>402</v>
      </c>
      <c r="B53" s="542" t="s">
        <v>142</v>
      </c>
      <c r="C53" s="542" t="s">
        <v>120</v>
      </c>
      <c r="D53" s="542" t="s">
        <v>135</v>
      </c>
      <c r="E53" s="542" t="s">
        <v>5</v>
      </c>
      <c r="F53" s="543" t="s">
        <v>642</v>
      </c>
    </row>
    <row r="54" spans="1:6" ht="15" customHeight="1">
      <c r="A54" s="437">
        <v>0</v>
      </c>
      <c r="B54" s="438"/>
      <c r="C54" s="439"/>
      <c r="D54" s="439">
        <v>49</v>
      </c>
      <c r="E54" s="439">
        <v>100</v>
      </c>
      <c r="F54" s="440">
        <f>10312/(L45*1000) * 100</f>
        <v>0.25779999999999997</v>
      </c>
    </row>
    <row r="55" spans="1:6" ht="15" customHeight="1">
      <c r="A55" s="441">
        <v>25</v>
      </c>
      <c r="B55" s="442">
        <v>94.099998474121094</v>
      </c>
      <c r="C55" s="443">
        <v>59.600002288818359</v>
      </c>
      <c r="D55" s="443">
        <v>71.94000244140625</v>
      </c>
      <c r="E55" s="443">
        <f xml:space="preserve"> (1.00466180314159*B10-L44)/(L43-L44)*100</f>
        <v>86.699829101521573</v>
      </c>
      <c r="F55" s="444">
        <f xml:space="preserve"> 297055.3/(L45*1000)*100</f>
        <v>7.426382499999999</v>
      </c>
    </row>
    <row r="56" spans="1:6" ht="15" customHeight="1">
      <c r="A56" s="441">
        <v>50</v>
      </c>
      <c r="B56" s="442">
        <v>96</v>
      </c>
      <c r="C56" s="443">
        <v>80.099998474121094</v>
      </c>
      <c r="D56" s="443">
        <v>105.06999969482422</v>
      </c>
      <c r="E56" s="443">
        <f xml:space="preserve"> (1.00313466190959*B10-L44)/(L43-L44)*100</f>
        <v>73.039550781282969</v>
      </c>
      <c r="F56" s="444">
        <f xml:space="preserve"> 583085/(L45*1000)*100</f>
        <v>14.577124999999999</v>
      </c>
    </row>
    <row r="57" spans="1:6">
      <c r="A57" s="441">
        <v>75</v>
      </c>
      <c r="B57" s="442">
        <v>96.300003051757813</v>
      </c>
      <c r="C57" s="443">
        <v>86.5</v>
      </c>
      <c r="D57" s="443">
        <v>145.36000061035156</v>
      </c>
      <c r="E57" s="443">
        <f xml:space="preserve"> (1.00160752067758*B10-L44)/(L43-L44)*100</f>
        <v>59.379272460953416</v>
      </c>
      <c r="F57" s="444">
        <f xml:space="preserve"> 871127.4/(L45*1000)*100</f>
        <v>21.778185000000001</v>
      </c>
    </row>
    <row r="58" spans="1:6">
      <c r="A58" s="441">
        <v>100</v>
      </c>
      <c r="B58" s="442">
        <v>96.200004577636719</v>
      </c>
      <c r="C58" s="443">
        <v>88.599998474121094</v>
      </c>
      <c r="D58" s="443">
        <v>189.3800048828125</v>
      </c>
      <c r="E58" s="443">
        <f xml:space="preserve"> (1*B10-L44)/(L43-L44)*100</f>
        <v>45</v>
      </c>
      <c r="F58" s="444">
        <f xml:space="preserve"> 1162488/(L45*1000)*100</f>
        <v>29.062200000000001</v>
      </c>
    </row>
    <row r="59" spans="1:6" ht="13.5" thickBot="1">
      <c r="A59" s="445">
        <v>125</v>
      </c>
      <c r="B59" s="446">
        <v>96</v>
      </c>
      <c r="C59" s="447">
        <v>89</v>
      </c>
      <c r="D59" s="447">
        <v>236.47999572753906</v>
      </c>
      <c r="E59" s="447">
        <f xml:space="preserve"> (0.998432737279032*B10-L44)/(L43-L44)*100</f>
        <v>30.980834960942051</v>
      </c>
      <c r="F59" s="448">
        <f xml:space="preserve"> 1458160/(L45*1000)*100</f>
        <v>36.454000000000001</v>
      </c>
    </row>
    <row r="60" spans="1:6">
      <c r="A60" s="426"/>
      <c r="B60" s="427"/>
      <c r="C60" s="427"/>
    </row>
    <row r="61" spans="1:6" ht="13.5" thickBot="1">
      <c r="A61" s="426"/>
      <c r="B61" s="427"/>
      <c r="C61" s="427"/>
    </row>
    <row r="62" spans="1:6" ht="13.5" thickBot="1">
      <c r="A62" s="677" t="s">
        <v>754</v>
      </c>
      <c r="B62" s="678"/>
      <c r="C62" s="678"/>
      <c r="D62" s="678"/>
      <c r="E62" s="678"/>
      <c r="F62" s="679"/>
    </row>
    <row r="63" spans="1:6" ht="13.5" thickBot="1">
      <c r="A63" s="542" t="s">
        <v>402</v>
      </c>
      <c r="B63" s="542" t="s">
        <v>142</v>
      </c>
      <c r="C63" s="542" t="s">
        <v>120</v>
      </c>
      <c r="D63" s="542" t="s">
        <v>135</v>
      </c>
      <c r="E63" s="542" t="s">
        <v>5</v>
      </c>
      <c r="F63" s="543" t="s">
        <v>642</v>
      </c>
    </row>
    <row r="64" spans="1:6">
      <c r="A64" s="437">
        <v>0</v>
      </c>
      <c r="B64" s="438"/>
      <c r="C64" s="439"/>
      <c r="D64" s="439">
        <v>53.863335358025125</v>
      </c>
      <c r="E64" s="439">
        <v>100</v>
      </c>
      <c r="F64" s="440">
        <v>14.049113330816187</v>
      </c>
    </row>
    <row r="65" spans="1:6">
      <c r="A65" s="441">
        <v>25</v>
      </c>
      <c r="B65" s="442">
        <v>94.037467956542969</v>
      </c>
      <c r="C65" s="443">
        <v>59.599349975585938</v>
      </c>
      <c r="D65" s="443">
        <v>71.938278198242188</v>
      </c>
      <c r="E65" s="443">
        <v>101.04171367334405</v>
      </c>
      <c r="F65" s="444">
        <v>7.4259065203884695</v>
      </c>
    </row>
    <row r="66" spans="1:6">
      <c r="A66" s="441">
        <v>50</v>
      </c>
      <c r="B66" s="442">
        <v>95.931236267089844</v>
      </c>
      <c r="C66" s="443">
        <v>80.004020690917969</v>
      </c>
      <c r="D66" s="443">
        <v>105.06562042236328</v>
      </c>
      <c r="E66" s="443">
        <v>82.353499066143613</v>
      </c>
      <c r="F66" s="444">
        <v>14.55862495075324</v>
      </c>
    </row>
    <row r="67" spans="1:6">
      <c r="A67" s="441">
        <v>75</v>
      </c>
      <c r="B67" s="442">
        <v>96.258209228515625</v>
      </c>
      <c r="C67" s="443">
        <v>86.4447021484375</v>
      </c>
      <c r="D67" s="443">
        <v>145.36090087890625</v>
      </c>
      <c r="E67" s="443">
        <v>63.166837481550907</v>
      </c>
      <c r="F67" s="444">
        <v>21.763757061101813</v>
      </c>
    </row>
    <row r="68" spans="1:6">
      <c r="A68" s="441">
        <v>100</v>
      </c>
      <c r="B68" s="442">
        <v>96.162353515625</v>
      </c>
      <c r="C68" s="443">
        <v>88.558448791503906</v>
      </c>
      <c r="D68" s="443">
        <v>189.3770751953125</v>
      </c>
      <c r="E68" s="443">
        <v>43.223981182383483</v>
      </c>
      <c r="F68" s="444">
        <v>29.047267738889719</v>
      </c>
    </row>
    <row r="69" spans="1:6" ht="13.5" thickBot="1">
      <c r="A69" s="445">
        <v>125</v>
      </c>
      <c r="B69" s="446">
        <v>95.894332885742188</v>
      </c>
      <c r="C69" s="447">
        <v>88.895721435546875</v>
      </c>
      <c r="D69" s="447">
        <v>236.48231506347656</v>
      </c>
      <c r="E69" s="447">
        <v>23.38527654111968</v>
      </c>
      <c r="F69" s="448">
        <v>36.410565725335211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DesignSheet</vt:lpstr>
      <vt:lpstr>Data Sheet</vt:lpstr>
      <vt:lpstr>LoginSheet</vt:lpstr>
      <vt:lpstr>StallTime</vt:lpstr>
      <vt:lpstr>MagNoise</vt:lpstr>
      <vt:lpstr>Performance Data Sheet</vt:lpstr>
      <vt:lpstr>STCurve</vt:lpstr>
      <vt:lpstr>Thermdam</vt:lpstr>
      <vt:lpstr>Performance</vt:lpstr>
      <vt:lpstr>'Data Sheet'!Print_Area</vt:lpstr>
      <vt:lpstr>DesignSheet!Print_Area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 (TIC)</cp:lastModifiedBy>
  <cp:lastPrinted>2017-05-22T14:20:14Z</cp:lastPrinted>
  <dcterms:created xsi:type="dcterms:W3CDTF">1997-10-03T20:37:30Z</dcterms:created>
  <dcterms:modified xsi:type="dcterms:W3CDTF">2025-03-31T20:57:49Z</dcterms:modified>
</cp:coreProperties>
</file>