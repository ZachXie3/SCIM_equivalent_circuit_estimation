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G:\DESPRO\BASE MV DESIGNS\6800 FRAME\Electrical Design\4P\SERIES DESIGNS\"/>
    </mc:Choice>
  </mc:AlternateContent>
  <xr:revisionPtr revIDLastSave="0" documentId="13_ncr:1_{B835B81B-86C1-402E-BA51-652828951710}" xr6:coauthVersionLast="47" xr6:coauthVersionMax="47" xr10:uidLastSave="{00000000-0000-0000-0000-000000000000}"/>
  <bookViews>
    <workbookView xWindow="28905" yWindow="2535" windowWidth="21600" windowHeight="12840" tabRatio="733" activeTab="1" xr2:uid="{00000000-000D-0000-FFFF-FFFF00000000}"/>
  </bookViews>
  <sheets>
    <sheet name="DesignSheet" sheetId="2" r:id="rId1"/>
    <sheet name="Data Sheet" sheetId="3" r:id="rId2"/>
    <sheet name="LoginSheet" sheetId="4" r:id="rId3"/>
    <sheet name="Form" sheetId="5" r:id="rId4"/>
    <sheet name="STCurve" sheetId="6" r:id="rId5"/>
    <sheet name="StallTime" sheetId="7" r:id="rId6"/>
    <sheet name="Thermdam" sheetId="8" r:id="rId7"/>
    <sheet name="MagNoise" sheetId="9" r:id="rId8"/>
  </sheets>
  <definedNames>
    <definedName name="_xlnm.Print_Area" localSheetId="1">'Data Sheet'!$A$1:$K$46</definedName>
    <definedName name="_xlnm.Print_Area" localSheetId="0">DesignSheet!$A$1:$J$68</definedName>
    <definedName name="_xlnm.Print_Area" localSheetId="3">Form!$A$1:$F$39</definedName>
    <definedName name="_xlnm.Print_Area" localSheetId="2">LoginSheet!$A$1:$N$79</definedName>
    <definedName name="_xlnm.Print_Area" localSheetId="5">StallTime!$A$1:$G$40</definedName>
    <definedName name="_xlnm.Print_Area" localSheetId="4">STCurve!$A$1:$F$43</definedName>
    <definedName name="_xlnm.Print_Area" localSheetId="6">Thermdam!$A$1:$F$43</definedName>
    <definedName name="Z_852987ED_B4F5_11D1_ABEC_0000832EB49E_.wvu.PrintArea" localSheetId="4" hidden="1">STCurve!$A$1:$F$43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9" i="3" l="1"/>
  <c r="T19" i="3" s="1"/>
  <c r="Q19" i="3" s="1"/>
  <c r="S15" i="3"/>
  <c r="T15" i="3"/>
  <c r="S16" i="3"/>
  <c r="T16" i="3"/>
  <c r="S17" i="3"/>
  <c r="T17" i="3"/>
  <c r="S18" i="3"/>
  <c r="T18" i="3"/>
  <c r="T14" i="3"/>
  <c r="S14" i="3"/>
  <c r="M8" i="3"/>
  <c r="M9" i="3"/>
  <c r="M10" i="3"/>
  <c r="M11" i="3"/>
  <c r="M7" i="3"/>
  <c r="C76" i="8"/>
  <c r="C77" i="8" s="1"/>
  <c r="C78" i="8" s="1"/>
  <c r="B76" i="8"/>
  <c r="C75" i="8"/>
  <c r="C74" i="8"/>
  <c r="B74" i="8"/>
  <c r="C69" i="8"/>
  <c r="E68" i="8"/>
  <c r="D66" i="8"/>
  <c r="F50" i="8"/>
  <c r="M28" i="3"/>
  <c r="M18" i="3"/>
  <c r="B69" i="8" l="1"/>
  <c r="B75" i="8" s="1"/>
  <c r="B70" i="8" l="1"/>
  <c r="C70" i="8"/>
  <c r="C71" i="8" l="1"/>
  <c r="A72" i="8"/>
  <c r="B71" i="8"/>
  <c r="B72" i="8" l="1"/>
  <c r="A73" i="8"/>
  <c r="B73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Yoshiura</author>
    <author>tc={96ADB51D-DDB7-409F-B2A5-8F7072399767}</author>
  </authors>
  <commentList>
    <comment ref="K4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P18" authorId="1" shapeId="0" xr:uid="{96ADB51D-DDB7-409F-B2A5-8F7072399767}">
      <text>
        <t>[Threaded comment]
Your version of Excel allows you to read this threaded comment; however, any edits to it will get removed if the file is opened in a newer version of Excel. Learn more: https://go.microsoft.com/fwlink/?linkid=870924
Comment:
    DO NOT USE THIS POINT, SEE TRENDLINE ON THE RIGHT</t>
      </text>
    </comment>
    <comment ref="D21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<sst xmlns="http://schemas.openxmlformats.org/spreadsheetml/2006/main" count="834" uniqueCount="660">
  <si>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</si>
  <si>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</si>
  <si>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</si>
  <si>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</si>
  <si>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</si>
  <si>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</si>
  <si>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</si>
  <si>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</si>
  <si>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</si>
  <si>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</si>
  <si>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</si>
  <si>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</si>
  <si>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</si>
  <si>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</si>
  <si>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</si>
  <si>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</si>
  <si>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</si>
  <si>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</si>
  <si>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</si>
  <si>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</si>
  <si>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</si>
  <si>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</si>
  <si>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</si>
  <si>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</si>
  <si>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</si>
  <si>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</si>
  <si>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</si>
  <si>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</si>
  <si>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</si>
  <si>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</si>
  <si>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</si>
  <si>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</si>
  <si>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</si>
  <si>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</si>
  <si>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</si>
  <si>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</si>
  <si>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</si>
  <si>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</si>
  <si>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</si>
  <si>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</si>
  <si>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</si>
  <si>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</si>
  <si>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</si>
  <si>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</si>
  <si>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</si>
  <si>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</si>
  <si>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</si>
  <si>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</si>
  <si>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</si>
  <si>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</si>
  <si>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</si>
  <si>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</si>
  <si>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</si>
  <si>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</si>
  <si>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</si>
  <si>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</si>
  <si>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</si>
  <si>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</si>
  <si>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</si>
  <si>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</si>
  <si>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</si>
  <si>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</si>
  <si>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</si>
  <si>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</si>
  <si>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</si>
  <si>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</si>
  <si>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</si>
  <si>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</si>
  <si>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</si>
  <si>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</si>
  <si>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</si>
  <si>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</si>
  <si>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</si>
  <si>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</si>
  <si>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</si>
  <si>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</si>
  <si>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</si>
  <si>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</si>
  <si>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</si>
  <si>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</si>
  <si>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</si>
  <si>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</si>
  <si>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</si>
  <si>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</si>
  <si>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</si>
  <si>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</si>
  <si>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</si>
  <si>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</si>
  <si>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</si>
  <si>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</si>
  <si>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</si>
  <si>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</si>
  <si>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</si>
  <si>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</si>
  <si>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</si>
  <si>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</si>
  <si>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</si>
  <si>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</si>
  <si>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</si>
  <si>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</si>
  <si>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</si>
  <si>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</si>
  <si>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</si>
  <si>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</si>
  <si>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</si>
  <si>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</si>
  <si>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</si>
  <si>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</si>
  <si>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</si>
  <si>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</si>
  <si>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</si>
  <si>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</si>
  <si>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</si>
  <si>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</si>
  <si>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</si>
  <si>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</si>
  <si>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</si>
  <si>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</si>
  <si>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</si>
  <si>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</si>
  <si>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</si>
  <si>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</si>
  <si>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</si>
  <si>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</si>
  <si>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</si>
  <si>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</si>
  <si>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</si>
  <si>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</si>
  <si>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</si>
  <si>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</si>
  <si>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</si>
  <si>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</si>
  <si>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</si>
  <si>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</si>
  <si>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</si>
  <si>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</si>
  <si>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</si>
  <si>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</si>
  <si>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</si>
  <si>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</si>
  <si>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</si>
  <si>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</si>
  <si>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</si>
  <si>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</si>
  <si>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</si>
  <si>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</si>
  <si>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</si>
  <si>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</si>
  <si>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</si>
  <si>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</si>
  <si>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</si>
  <si>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</si>
  <si>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</si>
  <si>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</si>
  <si>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</si>
  <si>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</si>
  <si>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</si>
  <si>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</si>
  <si>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</si>
  <si>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</si>
  <si>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</si>
  <si>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</si>
  <si>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</si>
  <si>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</si>
  <si>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</si>
  <si>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</si>
  <si>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</si>
  <si>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</si>
  <si>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</si>
  <si>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</si>
  <si>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</si>
  <si>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</si>
  <si>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</si>
  <si>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</si>
  <si>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</si>
  <si>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</si>
  <si>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DCW4</t>
  </si>
  <si>
    <t>450-1600</t>
  </si>
  <si>
    <t>Open</t>
  </si>
  <si>
    <t>Rectang</t>
  </si>
  <si>
    <t>15.20 - 15.20</t>
  </si>
  <si>
    <t>1.20 - 0.50</t>
  </si>
  <si>
    <t>Normal</t>
  </si>
  <si>
    <t>28 x 6</t>
  </si>
  <si>
    <t>1 ~ 16</t>
  </si>
  <si>
    <t>(.064"x.204")x2</t>
  </si>
  <si>
    <t>(.064"x.229")x2</t>
  </si>
  <si>
    <t>Wye</t>
  </si>
  <si>
    <t>(105°C)</t>
  </si>
  <si>
    <t>CU</t>
  </si>
  <si>
    <t>Special</t>
  </si>
  <si>
    <t>ERD1: 423.4</t>
  </si>
  <si>
    <t>EBL: 50.5</t>
  </si>
  <si>
    <t>ERT: 75.00</t>
  </si>
  <si>
    <t>ERH: 50.00</t>
  </si>
  <si>
    <t>(12 x 35)</t>
  </si>
  <si>
    <t>LB:  -</t>
  </si>
  <si>
    <t>LER:  -</t>
  </si>
  <si>
    <t>Single Cage Data</t>
  </si>
  <si>
    <t>UB: 420.0</t>
  </si>
  <si>
    <t>UER: 3750.0</t>
  </si>
  <si>
    <t>(Coeff.: 0.0174)</t>
  </si>
  <si>
    <t>Skew R.: 0.00</t>
  </si>
  <si>
    <t>M:\Active Projects\6810 Development\Electrical Design\4P\SERIES DESIGNS\DT4M90U.rat</t>
  </si>
  <si>
    <t>2-2-2-0-1-2</t>
  </si>
  <si>
    <t>B.L.-1  P.F.-1</t>
  </si>
  <si>
    <t>25707.0 / 28211.0</t>
  </si>
  <si>
    <t>21749.8 / 19806.0</t>
  </si>
  <si>
    <t>45657.9 / 27000.0</t>
  </si>
  <si>
    <t>9000.0 / 8017.0</t>
  </si>
  <si>
    <t>35306.8 / 16650.0</t>
  </si>
  <si>
    <t>8734.1 / 4118.9</t>
  </si>
  <si>
    <t>26572.7 / 12531.1</t>
  </si>
  <si>
    <t>1.75 / 0.83</t>
  </si>
  <si>
    <t>75 / 75</t>
  </si>
  <si>
    <t>Temp. Rise @ 100%:</t>
  </si>
  <si>
    <t>Stray Loss</t>
  </si>
  <si>
    <t>0.945 / 0.941</t>
  </si>
  <si>
    <t>0.967 / 0.964</t>
  </si>
  <si>
    <t>0.973 / 0.969</t>
  </si>
  <si>
    <t>0.974 / 0.970</t>
  </si>
  <si>
    <t>0.973 / 0.970</t>
  </si>
  <si>
    <t>0.628 / 0.610</t>
  </si>
  <si>
    <t>0.821 / 0.797</t>
  </si>
  <si>
    <t>0.878 / 0.852</t>
  </si>
  <si>
    <t>0.895 / 0.869</t>
  </si>
  <si>
    <t>0.897 / 0.870</t>
  </si>
  <si>
    <t>204.07 / 211.02</t>
  </si>
  <si>
    <t>305.14 / 315.54</t>
  </si>
  <si>
    <t>425.56 / 440.06</t>
  </si>
  <si>
    <t>555.72 / 574.65</t>
  </si>
  <si>
    <t>693.99 / 717.63</t>
  </si>
  <si>
    <t>4.02 / 4.16</t>
  </si>
  <si>
    <t>UB: 5.13 / 5.31</t>
  </si>
  <si>
    <t>UER: 2.66 / 2.75</t>
  </si>
  <si>
    <t>1797.2 / 1798.5</t>
  </si>
  <si>
    <t>1794.5 / 1795.7</t>
  </si>
  <si>
    <t>1791.6 / 1792.9</t>
  </si>
  <si>
    <t>1788.7 / 1790.0</t>
  </si>
  <si>
    <t>1785.8 / 1787.1</t>
  </si>
  <si>
    <t>0.0015 / 0.0008</t>
  </si>
  <si>
    <t>0.0031 / 0.0024</t>
  </si>
  <si>
    <t>0.0046 / 0.0039</t>
  </si>
  <si>
    <t>0.0063 / 0.0056</t>
  </si>
  <si>
    <t>0.0079 / 0.0072</t>
  </si>
  <si>
    <t>147.148 / 132.501</t>
  </si>
  <si>
    <t>5.091 / 4.584</t>
  </si>
  <si>
    <t>147.24 / 132.58</t>
  </si>
  <si>
    <t>2913.1 / 3154.0</t>
  </si>
  <si>
    <t>524.2 / 567.6</t>
  </si>
  <si>
    <t>1322.4 / 2272.1</t>
  </si>
  <si>
    <t>72.3 / 124.3</t>
  </si>
  <si>
    <t>241.0 / 205.0</t>
  </si>
  <si>
    <t>S-T Curve Data (Custom Values)</t>
  </si>
  <si>
    <t>Current (%)</t>
  </si>
  <si>
    <t>Current(%)</t>
  </si>
  <si>
    <t>Load</t>
  </si>
  <si>
    <t>Load Type:</t>
  </si>
  <si>
    <t>Load Inertia:</t>
  </si>
  <si>
    <t>Accel. Time:</t>
  </si>
  <si>
    <t>Rated Torque:</t>
  </si>
  <si>
    <t>Fan / Pump</t>
  </si>
  <si>
    <t>1706.6 kg.m²</t>
  </si>
  <si>
    <t>Acceleration Data (FV V)</t>
  </si>
  <si>
    <t>5.6 (s)</t>
  </si>
  <si>
    <t>1827.9 kg.m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</si>
  <si>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</si>
  <si>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</si>
  <si>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</si>
  <si>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</si>
  <si>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</si>
  <si>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</si>
  <si>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</si>
  <si>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</si>
  <si>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</si>
  <si>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</si>
  <si>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</si>
  <si>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</si>
  <si>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</si>
  <si>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</si>
  <si>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</si>
  <si>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</si>
  <si>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</si>
  <si>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</si>
  <si>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</si>
  <si>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</si>
  <si>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</si>
  <si>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</si>
  <si>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</si>
  <si>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</si>
  <si>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</si>
  <si>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</si>
  <si>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</si>
  <si>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</si>
  <si>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OWP</t>
  </si>
  <si>
    <t>M54 - 26Ga.</t>
  </si>
  <si>
    <t>Wire 2 (size &amp; number)</t>
  </si>
  <si>
    <t>Impedance watts</t>
  </si>
  <si>
    <t>Dry Kiln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</si>
  <si>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</si>
  <si>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</si>
  <si>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Winding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</si>
  <si>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</si>
  <si>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</si>
  <si>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</si>
  <si>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</si>
  <si>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</si>
  <si>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</si>
  <si>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</si>
  <si>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</si>
  <si>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</si>
  <si>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</si>
  <si>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</si>
  <si>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</si>
  <si>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</si>
  <si>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</si>
  <si>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</si>
  <si>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</si>
  <si>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</si>
  <si>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</si>
  <si>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</si>
  <si>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</si>
  <si>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</si>
  <si>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</si>
  <si>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</si>
  <si>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</si>
  <si>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</si>
  <si>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</si>
  <si>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</si>
  <si>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</si>
  <si>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</si>
  <si>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</si>
  <si>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</si>
  <si>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</si>
  <si>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</si>
  <si>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</si>
  <si>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   (Reference)</t>
  </si>
  <si>
    <t>PF (%)</t>
  </si>
  <si>
    <t>Losses (Watts)</t>
  </si>
  <si>
    <t>Core</t>
  </si>
  <si>
    <t>F &amp; W</t>
  </si>
  <si>
    <t xml:space="preserve">Stray </t>
  </si>
  <si>
    <t>End Ring                                                      (Reference)</t>
  </si>
  <si>
    <t>Note</t>
  </si>
  <si>
    <t>Approved</t>
  </si>
  <si>
    <t>Design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</si>
  <si>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</si>
  <si>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</si>
  <si>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</si>
  <si>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</si>
  <si>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</si>
  <si>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</si>
  <si>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</si>
  <si>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</si>
  <si>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</si>
  <si>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</si>
  <si>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</si>
  <si>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</si>
  <si>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</si>
  <si>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</si>
  <si>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</si>
  <si>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</si>
  <si>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A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</si>
  <si>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</si>
  <si>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</si>
  <si>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</si>
  <si>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</si>
  <si>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</si>
  <si>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</si>
  <si>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</si>
  <si>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</si>
  <si>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</si>
  <si>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</si>
  <si>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</si>
  <si>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</si>
  <si>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DT4M90U</t>
  </si>
  <si>
    <t>Type: TIKE - Form: DCW4 - 4 Pole - 4500 HP - 4000 V - 60 Hz - 450-1600 - Class F</t>
  </si>
  <si>
    <t>30 x 2</t>
  </si>
  <si>
    <t>4 x Wye</t>
  </si>
  <si>
    <t xml:space="preserve"> - </t>
  </si>
  <si>
    <t>416 / 2282</t>
  </si>
  <si>
    <t>531 / 275</t>
  </si>
  <si>
    <t>Winding Data Calculation</t>
  </si>
  <si>
    <t>Coil Resistance</t>
  </si>
  <si>
    <t>Lead Resistance</t>
  </si>
  <si>
    <t>Coil Dimensions</t>
  </si>
  <si>
    <t>HM:</t>
  </si>
  <si>
    <t>WM:</t>
  </si>
  <si>
    <t>WT:</t>
  </si>
  <si>
    <t>Insulation Allowance</t>
  </si>
  <si>
    <t>Wire Weight</t>
  </si>
  <si>
    <t>Depth:</t>
  </si>
  <si>
    <t>Width:</t>
  </si>
  <si>
    <t>QC Resistance</t>
  </si>
  <si>
    <t>MCL: 1832.0</t>
  </si>
  <si>
    <t xml:space="preserve">7T: </t>
  </si>
  <si>
    <t xml:space="preserve">8T: </t>
  </si>
  <si>
    <t>0.0134 ~ 0.0129</t>
  </si>
  <si>
    <t>0.0154 ~ 0.0148</t>
  </si>
  <si>
    <t>7T: 12.78</t>
  </si>
  <si>
    <t>8T: 14.60</t>
  </si>
  <si>
    <t>7T: 22.80</t>
  </si>
  <si>
    <t>8T: 22.80</t>
  </si>
  <si>
    <t>15.30 ~ 14.90</t>
  </si>
  <si>
    <t>44.97</t>
  </si>
  <si>
    <t>-7.60</t>
  </si>
  <si>
    <t xml:space="preserve"> (.064"x.204")x 2: </t>
  </si>
  <si>
    <t xml:space="preserve"> (.064"x.229")x 2: </t>
  </si>
  <si>
    <t>653 lbs.</t>
  </si>
  <si>
    <t>733 lbs.</t>
  </si>
  <si>
    <t xml:space="preserve">1-2, 2-3, 3-1: </t>
  </si>
  <si>
    <t>0.045 ~ 0.043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</si>
  <si>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</si>
  <si>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</si>
  <si>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</si>
  <si>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</si>
  <si>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</si>
  <si>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</si>
  <si>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</si>
  <si>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</si>
  <si>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</si>
  <si>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</si>
  <si>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</si>
  <si>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</si>
  <si>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</si>
  <si>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N/A</t>
  </si>
  <si>
    <t>Locked Rotor Amps:</t>
  </si>
  <si>
    <t>Locked Rotor Torque:</t>
  </si>
  <si>
    <t>Starting at:</t>
  </si>
  <si>
    <t>Breakdown Torque:</t>
  </si>
  <si>
    <t>Comments:</t>
  </si>
  <si>
    <t>D.E.Curve #:</t>
  </si>
  <si>
    <t>Prepared by:</t>
  </si>
  <si>
    <t>Checked by:</t>
  </si>
  <si>
    <t>4000 V</t>
  </si>
  <si>
    <t>1661.1 lb-ft²</t>
  </si>
  <si>
    <t>10124.0 lb-ft²</t>
  </si>
  <si>
    <t>13203 lb-ft</t>
  </si>
  <si>
    <t>3154 A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</si>
  <si>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</si>
  <si>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</si>
  <si>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</si>
  <si>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</si>
  <si>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</si>
  <si>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</si>
  <si>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</si>
  <si>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</si>
  <si>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</si>
  <si>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</si>
  <si>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</si>
  <si>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</si>
  <si>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</si>
  <si>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</si>
  <si>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</si>
  <si>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</si>
  <si>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</si>
  <si>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</si>
  <si>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</si>
  <si>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</si>
  <si>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</si>
  <si>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</si>
  <si>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</si>
  <si>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</si>
  <si>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</si>
  <si>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</si>
  <si>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</si>
  <si>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</si>
  <si>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</si>
  <si>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</si>
  <si>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</si>
  <si>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</si>
  <si>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</si>
  <si>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</si>
  <si>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</si>
  <si>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</si>
  <si>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</si>
  <si>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</si>
  <si>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</si>
  <si>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4 Pole - 4500.0 HP - 1800 RPM - 4000 V - 60 Hz</t>
  </si>
  <si>
    <t>0~188</t>
  </si>
  <si>
    <t>188~375</t>
  </si>
  <si>
    <t>375~563</t>
  </si>
  <si>
    <t>563~750</t>
  </si>
  <si>
    <t>750~938</t>
  </si>
  <si>
    <t>938~1125</t>
  </si>
  <si>
    <t>1125~1313</t>
  </si>
  <si>
    <t>1313~1501</t>
  </si>
  <si>
    <t>1501~1594</t>
  </si>
  <si>
    <t>1594~1688</t>
  </si>
  <si>
    <t>1688~1782</t>
  </si>
  <si>
    <t>1782~1796</t>
  </si>
  <si>
    <t>1796~1800</t>
  </si>
  <si>
    <t>Load Type: Fan / Pump - 10124.0 lb-ft²</t>
  </si>
  <si>
    <t>124.0</t>
  </si>
  <si>
    <t>124.1</t>
  </si>
  <si>
    <t>124.9</t>
  </si>
  <si>
    <t>128.1</t>
  </si>
  <si>
    <t>138.6</t>
  </si>
  <si>
    <t>175.8</t>
  </si>
  <si>
    <t>160.3</t>
  </si>
  <si>
    <t>107.8</t>
  </si>
  <si>
    <t>22.4</t>
  </si>
  <si>
    <t>11.3</t>
  </si>
  <si>
    <t>7.0</t>
  </si>
  <si>
    <t>7.6</t>
  </si>
  <si>
    <t>12.3</t>
  </si>
  <si>
    <t>20.2</t>
  </si>
  <si>
    <t>31.4</t>
  </si>
  <si>
    <t>47.7</t>
  </si>
  <si>
    <t>63.9</t>
  </si>
  <si>
    <t>77.1</t>
  </si>
  <si>
    <t>90.9</t>
  </si>
  <si>
    <t>98.8</t>
  </si>
  <si>
    <t>99.8</t>
  </si>
  <si>
    <t>0.535</t>
  </si>
  <si>
    <t>0.482</t>
  </si>
  <si>
    <t>0.465</t>
  </si>
  <si>
    <t>0.467</t>
  </si>
  <si>
    <t>0.487</t>
  </si>
  <si>
    <t>0.523</t>
  </si>
  <si>
    <t>0.586</t>
  </si>
  <si>
    <t>0.704</t>
  </si>
  <si>
    <t>0.423</t>
  </si>
  <si>
    <t>0.442</t>
  </si>
  <si>
    <t>0.320</t>
  </si>
  <si>
    <t>0.068</t>
  </si>
  <si>
    <t>0.130</t>
  </si>
  <si>
    <t>3144.3</t>
  </si>
  <si>
    <t>3123.0</t>
  </si>
  <si>
    <t>3097.6</t>
  </si>
  <si>
    <t>3065.8</t>
  </si>
  <si>
    <t>3025.3</t>
  </si>
  <si>
    <t>2974.9</t>
  </si>
  <si>
    <t>2913.2</t>
  </si>
  <si>
    <t>2836.6</t>
  </si>
  <si>
    <t>2764.0</t>
  </si>
  <si>
    <t>2680.3</t>
  </si>
  <si>
    <t>2448.4</t>
  </si>
  <si>
    <t>1530.0</t>
  </si>
  <si>
    <t>818.2</t>
  </si>
  <si>
    <t>443.1</t>
  </si>
  <si>
    <t>394.5</t>
  </si>
  <si>
    <t>374.4</t>
  </si>
  <si>
    <t>369.7</t>
  </si>
  <si>
    <t>376.3</t>
  </si>
  <si>
    <t>392.7</t>
  </si>
  <si>
    <t>424.0</t>
  </si>
  <si>
    <t>486.0</t>
  </si>
  <si>
    <t>274.7</t>
  </si>
  <si>
    <t>275.0</t>
  </si>
  <si>
    <t>183.9</t>
  </si>
  <si>
    <t>29.1</t>
  </si>
  <si>
    <t>3.6</t>
  </si>
  <si>
    <t>2079.4</t>
  </si>
  <si>
    <t>1679.3</t>
  </si>
  <si>
    <t>1429.5</t>
  </si>
  <si>
    <t>1247.9</t>
  </si>
  <si>
    <t>1103.4</t>
  </si>
  <si>
    <t>974.4</t>
  </si>
  <si>
    <t>854.8</t>
  </si>
  <si>
    <t>741.3</t>
  </si>
  <si>
    <t>553.8</t>
  </si>
  <si>
    <t>413.1</t>
  </si>
  <si>
    <t>182.8</t>
  </si>
  <si>
    <t>56.8</t>
  </si>
  <si>
    <t>154.0</t>
  </si>
  <si>
    <t>4027 kW / s</t>
  </si>
  <si>
    <t>10535 kW / s</t>
  </si>
  <si>
    <t>935 kW / s</t>
  </si>
  <si>
    <t>17°C</t>
  </si>
  <si>
    <t>90°C</t>
  </si>
  <si>
    <t>24°C</t>
  </si>
  <si>
    <t>34°C</t>
  </si>
  <si>
    <t>49°C</t>
  </si>
  <si>
    <t>Acceleration Time:  5.6 s</t>
  </si>
  <si>
    <t>4.2°C / s</t>
  </si>
  <si>
    <t>32.7°C / s</t>
  </si>
  <si>
    <t>8.8°C / s</t>
  </si>
  <si>
    <t>987.6 kW</t>
  </si>
  <si>
    <t>3823.2 kW</t>
  </si>
  <si>
    <t>339.4 kW</t>
  </si>
  <si>
    <t>37.9 s</t>
  </si>
  <si>
    <t>7.9 s</t>
  </si>
  <si>
    <t>20.4 s</t>
  </si>
  <si>
    <t>75°C    +</t>
  </si>
  <si>
    <t>101°C    +</t>
  </si>
  <si>
    <t>85°C    +</t>
  </si>
  <si>
    <t>159°C   +</t>
  </si>
  <si>
    <t>79°C   +</t>
  </si>
  <si>
    <t>20.1 s</t>
  </si>
  <si>
    <t>4.8 s</t>
  </si>
  <si>
    <t>8.9 s</t>
  </si>
  <si>
    <t>25.6 s</t>
  </si>
  <si>
    <t>11.2 s</t>
  </si>
  <si>
    <t>Thermal Limit &amp; Acceleration Curves</t>
  </si>
  <si>
    <t>Design Values (For Reference Only)</t>
  </si>
  <si>
    <t>Cold</t>
  </si>
  <si>
    <t>Hot</t>
  </si>
  <si>
    <t>CURRENT (%)</t>
  </si>
  <si>
    <t>Accel. Time</t>
  </si>
  <si>
    <t>Magnetic Noise Verification</t>
  </si>
  <si>
    <t>Electromagnetic Excitation Frequencies</t>
  </si>
  <si>
    <t>L =</t>
  </si>
  <si>
    <t>+ 1</t>
  </si>
  <si>
    <t>- 1</t>
  </si>
  <si>
    <t>Slip =</t>
  </si>
  <si>
    <t>Mode A</t>
  </si>
  <si>
    <t>Mode B</t>
  </si>
  <si>
    <t>Mode C</t>
  </si>
  <si>
    <t>Natural Frequencies of Stator Core</t>
  </si>
  <si>
    <t>Mode 0  =</t>
  </si>
  <si>
    <t>Mode 6  =</t>
  </si>
  <si>
    <t>Mode 2  =</t>
  </si>
  <si>
    <t>Mode 7  =</t>
  </si>
  <si>
    <t>Mode 3  =</t>
  </si>
  <si>
    <t>Mode 8  =</t>
  </si>
  <si>
    <t>Mode 4  =</t>
  </si>
  <si>
    <t>Mode 9  =</t>
  </si>
  <si>
    <t>Mode 5  =</t>
  </si>
  <si>
    <t>Mode 10  =</t>
  </si>
  <si>
    <t>Analysis Results</t>
  </si>
  <si>
    <t>1860.0 Hz</t>
  </si>
  <si>
    <t>1849.1 Hz</t>
  </si>
  <si>
    <t>1620.0 Hz</t>
  </si>
  <si>
    <t>1609.1 Hz</t>
  </si>
  <si>
    <t>1740.0 Hz</t>
  </si>
  <si>
    <t>1729.1 Hz</t>
  </si>
  <si>
    <t>1283.2 Hz</t>
  </si>
  <si>
    <t>175.3 Hz</t>
  </si>
  <si>
    <t>495.9 Hz</t>
  </si>
  <si>
    <t>950.8 Hz</t>
  </si>
  <si>
    <t>1537.7 Hz</t>
  </si>
  <si>
    <t>2255.8 Hz</t>
  </si>
  <si>
    <t>3104.8 Hz</t>
  </si>
  <si>
    <t>4084.6 Hz</t>
  </si>
  <si>
    <t>5195.2 Hz</t>
  </si>
  <si>
    <t>6436.5 Hz</t>
  </si>
  <si>
    <t>No matching frequencies detected.</t>
  </si>
  <si>
    <t>M905WTQL11E-C</t>
  </si>
  <si>
    <t xml:space="preserve">7, 8 </t>
  </si>
  <si>
    <t>A. Gracia</t>
  </si>
  <si>
    <t xml:space="preserve"> -</t>
  </si>
  <si>
    <t>QC Limits: DT4M90U</t>
  </si>
  <si>
    <t>AG</t>
  </si>
  <si>
    <t>80/110</t>
  </si>
  <si>
    <t>75 / -</t>
  </si>
  <si>
    <t>AWG. (4/0 x 2) x 3</t>
  </si>
  <si>
    <t>S. Hernandez</t>
  </si>
  <si>
    <t>SH</t>
  </si>
  <si>
    <t>Correlated to: H402125_Lab1384_RM.dat</t>
  </si>
  <si>
    <t>LINK:</t>
  </si>
  <si>
    <t>H402125.rat with H402125_Lab1384_RM.dat</t>
  </si>
  <si>
    <t>BASE DT2M90U</t>
  </si>
  <si>
    <t>400-TC21-01</t>
  </si>
  <si>
    <t>135-M140-101</t>
  </si>
  <si>
    <t>H402125</t>
  </si>
  <si>
    <t>LAB 1384</t>
  </si>
  <si>
    <t>LOGV</t>
  </si>
  <si>
    <t>LOGI</t>
  </si>
  <si>
    <t>adjust voltage to see current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</si>
</sst>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"/>
    <numFmt numFmtId="165" formatCode="0.000"/>
    <numFmt numFmtId="166" formatCode="0.0"/>
    <numFmt numFmtId="167" formatCode="0.0%"/>
    <numFmt numFmtId="168" formatCode=".0000"/>
    <numFmt numFmtId="169" formatCode="mm/dd/yy"/>
    <numFmt numFmtId="170" formatCode="0.00_);\(0.00\)"/>
  </numFmts>
  <fonts count="6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sz val="8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i/>
      <sz val="8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b/>
      <i/>
      <sz val="10"/>
      <color indexed="8"/>
      <name val="Times New Roman"/>
      <family val="1"/>
    </font>
    <font>
      <u/>
      <sz val="10"/>
      <color indexed="8"/>
      <name val="Univers (W1)"/>
    </font>
    <font>
      <sz val="10"/>
      <color indexed="8"/>
      <name val="Univers"/>
      <family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Times New Roman"/>
      <family val="1"/>
    </font>
    <font>
      <b/>
      <i/>
      <sz val="14"/>
      <name val="Times New Roman"/>
      <family val="1"/>
    </font>
    <font>
      <b/>
      <i/>
      <sz val="12"/>
      <name val="Times New Roman"/>
      <family val="1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i/>
      <sz val="12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b/>
      <i/>
      <u/>
      <sz val="16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/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5" fillId="0" borderId="0"/>
    <xf numFmtId="0" fontId="15" fillId="0" borderId="0"/>
    <xf numFmtId="0" fontId="46" fillId="0" borderId="0"/>
    <xf numFmtId="0" fontId="46" fillId="0" borderId="0"/>
  </cellStyleXfs>
  <cellXfs count="573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3" fillId="0" borderId="11" xfId="0" applyFont="1" applyBorder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/>
    <xf numFmtId="0" fontId="7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65" fontId="2" fillId="0" borderId="25" xfId="0" applyNumberFormat="1" applyFont="1" applyBorder="1" applyAlignment="1">
      <alignment horizontal="center"/>
    </xf>
    <xf numFmtId="166" fontId="2" fillId="0" borderId="25" xfId="0" applyNumberFormat="1" applyFon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65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66" fontId="2" fillId="0" borderId="33" xfId="0" applyNumberFormat="1" applyFont="1" applyBorder="1" applyAlignment="1">
      <alignment horizontal="center"/>
    </xf>
    <xf numFmtId="166" fontId="2" fillId="0" borderId="34" xfId="0" applyNumberFormat="1" applyFont="1" applyBorder="1" applyAlignment="1">
      <alignment horizontal="center"/>
    </xf>
    <xf numFmtId="166" fontId="2" fillId="0" borderId="10" xfId="0" applyNumberFormat="1" applyFont="1" applyBorder="1" applyAlignment="1">
      <alignment horizontal="center"/>
    </xf>
    <xf numFmtId="166" fontId="2" fillId="0" borderId="30" xfId="0" applyNumberFormat="1" applyFont="1" applyBorder="1" applyAlignment="1">
      <alignment horizontal="center"/>
    </xf>
    <xf numFmtId="166" fontId="2" fillId="0" borderId="35" xfId="0" applyNumberFormat="1" applyFont="1" applyBorder="1" applyAlignment="1">
      <alignment horizontal="center"/>
    </xf>
    <xf numFmtId="166" fontId="2" fillId="0" borderId="36" xfId="0" applyNumberFormat="1" applyFont="1" applyBorder="1" applyAlignment="1">
      <alignment horizontal="center"/>
    </xf>
    <xf numFmtId="166" fontId="2" fillId="0" borderId="37" xfId="0" applyNumberFormat="1" applyFont="1" applyBorder="1" applyAlignment="1">
      <alignment horizontal="center"/>
    </xf>
    <xf numFmtId="165" fontId="2" fillId="0" borderId="26" xfId="0" applyNumberFormat="1" applyFont="1" applyBorder="1" applyAlignment="1">
      <alignment horizontal="center"/>
    </xf>
    <xf numFmtId="166" fontId="2" fillId="0" borderId="38" xfId="0" applyNumberFormat="1" applyFont="1" applyBorder="1" applyAlignment="1">
      <alignment horizontal="center"/>
    </xf>
    <xf numFmtId="166" fontId="2" fillId="0" borderId="39" xfId="0" applyNumberFormat="1" applyFont="1" applyBorder="1" applyAlignment="1">
      <alignment horizontal="center"/>
    </xf>
    <xf numFmtId="166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9" fillId="0" borderId="40" xfId="0" applyNumberFormat="1" applyFont="1" applyBorder="1" applyAlignment="1">
      <alignment horizontal="centerContinuous"/>
    </xf>
    <xf numFmtId="0" fontId="9" fillId="0" borderId="40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66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65" fontId="3" fillId="0" borderId="20" xfId="0" quotePrefix="1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7" xfId="0" applyFont="1" applyBorder="1" applyAlignment="1">
      <alignment horizontal="centerContinuous"/>
    </xf>
    <xf numFmtId="0" fontId="11" fillId="0" borderId="8" xfId="0" applyFont="1" applyBorder="1" applyAlignment="1">
      <alignment horizontal="centerContinuous"/>
    </xf>
    <xf numFmtId="0" fontId="12" fillId="0" borderId="47" xfId="0" applyFont="1" applyBorder="1"/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167" fontId="2" fillId="0" borderId="1" xfId="0" applyNumberFormat="1" applyFont="1" applyBorder="1" applyAlignment="1">
      <alignment horizontal="center"/>
    </xf>
    <xf numFmtId="0" fontId="3" fillId="0" borderId="49" xfId="0" applyFont="1" applyBorder="1" applyAlignment="1">
      <alignment horizontal="right"/>
    </xf>
    <xf numFmtId="166" fontId="14" fillId="0" borderId="1" xfId="0" applyNumberFormat="1" applyFont="1" applyBorder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166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166" fontId="2" fillId="0" borderId="0" xfId="0" applyNumberFormat="1" applyFont="1" applyAlignment="1">
      <alignment horizontal="center"/>
    </xf>
    <xf numFmtId="2" fontId="7" fillId="0" borderId="36" xfId="0" applyNumberFormat="1" applyFont="1" applyBorder="1" applyAlignment="1">
      <alignment horizontal="center"/>
    </xf>
    <xf numFmtId="166" fontId="2" fillId="0" borderId="53" xfId="0" applyNumberFormat="1" applyFont="1" applyBorder="1" applyAlignment="1">
      <alignment horizontal="center"/>
    </xf>
    <xf numFmtId="2" fontId="8" fillId="0" borderId="40" xfId="0" applyNumberFormat="1" applyFont="1" applyBorder="1" applyAlignment="1">
      <alignment horizontal="left"/>
    </xf>
    <xf numFmtId="166" fontId="14" fillId="0" borderId="40" xfId="0" applyNumberFormat="1" applyFont="1" applyBorder="1" applyAlignment="1">
      <alignment horizontal="left"/>
    </xf>
    <xf numFmtId="2" fontId="7" fillId="0" borderId="0" xfId="0" applyNumberFormat="1" applyFont="1" applyAlignment="1">
      <alignment horizontal="right"/>
    </xf>
    <xf numFmtId="2" fontId="7" fillId="0" borderId="23" xfId="0" applyNumberFormat="1" applyFont="1" applyBorder="1" applyAlignment="1">
      <alignment horizontal="right"/>
    </xf>
    <xf numFmtId="166" fontId="2" fillId="0" borderId="0" xfId="0" applyNumberFormat="1" applyFont="1" applyAlignment="1">
      <alignment horizontal="centerContinuous"/>
    </xf>
    <xf numFmtId="166" fontId="2" fillId="0" borderId="23" xfId="0" applyNumberFormat="1" applyFont="1" applyBorder="1" applyAlignment="1">
      <alignment horizontal="centerContinuous"/>
    </xf>
    <xf numFmtId="0" fontId="17" fillId="0" borderId="0" xfId="1" applyFont="1"/>
    <xf numFmtId="0" fontId="18" fillId="0" borderId="0" xfId="1" applyFont="1"/>
    <xf numFmtId="0" fontId="20" fillId="2" borderId="0" xfId="1" applyFont="1" applyFill="1" applyAlignment="1">
      <alignment horizontal="right"/>
    </xf>
    <xf numFmtId="0" fontId="21" fillId="2" borderId="0" xfId="1" applyFont="1" applyFill="1"/>
    <xf numFmtId="0" fontId="22" fillId="2" borderId="0" xfId="1" applyFont="1" applyFill="1"/>
    <xf numFmtId="0" fontId="19" fillId="2" borderId="0" xfId="1" applyFont="1" applyFill="1" applyAlignment="1">
      <alignment horizontal="center"/>
    </xf>
    <xf numFmtId="0" fontId="23" fillId="0" borderId="54" xfId="1" applyFont="1" applyBorder="1" applyAlignment="1">
      <alignment horizontal="left" vertical="center"/>
    </xf>
    <xf numFmtId="0" fontId="23" fillId="0" borderId="55" xfId="1" applyFont="1" applyBorder="1" applyAlignment="1">
      <alignment vertical="center"/>
    </xf>
    <xf numFmtId="0" fontId="15" fillId="0" borderId="55" xfId="1" applyBorder="1"/>
    <xf numFmtId="0" fontId="23" fillId="0" borderId="56" xfId="1" applyFont="1" applyBorder="1" applyAlignment="1">
      <alignment horizontal="right" vertical="center"/>
    </xf>
    <xf numFmtId="0" fontId="24" fillId="0" borderId="0" xfId="1" applyFont="1"/>
    <xf numFmtId="0" fontId="25" fillId="0" borderId="54" xfId="1" applyFont="1" applyBorder="1"/>
    <xf numFmtId="0" fontId="24" fillId="0" borderId="56" xfId="1" applyFont="1" applyBorder="1"/>
    <xf numFmtId="0" fontId="25" fillId="0" borderId="56" xfId="1" applyFont="1" applyBorder="1"/>
    <xf numFmtId="0" fontId="26" fillId="0" borderId="0" xfId="1" applyFont="1"/>
    <xf numFmtId="0" fontId="27" fillId="2" borderId="13" xfId="1" applyFont="1" applyFill="1" applyBorder="1" applyAlignment="1">
      <alignment horizontal="center"/>
    </xf>
    <xf numFmtId="0" fontId="27" fillId="2" borderId="57" xfId="1" applyFont="1" applyFill="1" applyBorder="1" applyAlignment="1">
      <alignment horizontal="center"/>
    </xf>
    <xf numFmtId="0" fontId="27" fillId="2" borderId="0" xfId="1" quotePrefix="1" applyFont="1" applyFill="1" applyAlignment="1">
      <alignment horizontal="left"/>
    </xf>
    <xf numFmtId="0" fontId="28" fillId="2" borderId="58" xfId="1" applyFont="1" applyFill="1" applyBorder="1" applyAlignment="1">
      <alignment horizontal="right"/>
    </xf>
    <xf numFmtId="0" fontId="27" fillId="2" borderId="59" xfId="1" applyFont="1" applyFill="1" applyBorder="1" applyAlignment="1">
      <alignment horizontal="center"/>
    </xf>
    <xf numFmtId="0" fontId="27" fillId="2" borderId="21" xfId="1" applyFont="1" applyFill="1" applyBorder="1" applyAlignment="1">
      <alignment horizontal="center"/>
    </xf>
    <xf numFmtId="0" fontId="25" fillId="0" borderId="45" xfId="1" applyFont="1" applyBorder="1"/>
    <xf numFmtId="0" fontId="24" fillId="0" borderId="21" xfId="1" applyFont="1" applyBorder="1"/>
    <xf numFmtId="0" fontId="25" fillId="0" borderId="21" xfId="1" applyFont="1" applyBorder="1"/>
    <xf numFmtId="0" fontId="29" fillId="2" borderId="69" xfId="1" applyFont="1" applyFill="1" applyBorder="1"/>
    <xf numFmtId="0" fontId="29" fillId="2" borderId="70" xfId="1" applyFont="1" applyFill="1" applyBorder="1"/>
    <xf numFmtId="0" fontId="32" fillId="2" borderId="70" xfId="1" applyFont="1" applyFill="1" applyBorder="1"/>
    <xf numFmtId="0" fontId="32" fillId="2" borderId="71" xfId="1" applyFont="1" applyFill="1" applyBorder="1"/>
    <xf numFmtId="166" fontId="31" fillId="2" borderId="66" xfId="1" applyNumberFormat="1" applyFont="1" applyFill="1" applyBorder="1" applyAlignment="1">
      <alignment horizontal="center"/>
    </xf>
    <xf numFmtId="0" fontId="31" fillId="2" borderId="72" xfId="1" applyFont="1" applyFill="1" applyBorder="1" applyAlignment="1">
      <alignment horizontal="center"/>
    </xf>
    <xf numFmtId="0" fontId="29" fillId="2" borderId="73" xfId="1" applyFont="1" applyFill="1" applyBorder="1"/>
    <xf numFmtId="0" fontId="29" fillId="2" borderId="74" xfId="1" applyFont="1" applyFill="1" applyBorder="1"/>
    <xf numFmtId="0" fontId="32" fillId="2" borderId="74" xfId="1" applyFont="1" applyFill="1" applyBorder="1"/>
    <xf numFmtId="0" fontId="32" fillId="2" borderId="75" xfId="1" applyFont="1" applyFill="1" applyBorder="1"/>
    <xf numFmtId="1" fontId="31" fillId="2" borderId="66" xfId="1" applyNumberFormat="1" applyFont="1" applyFill="1" applyBorder="1" applyAlignment="1">
      <alignment horizontal="center"/>
    </xf>
    <xf numFmtId="0" fontId="31" fillId="2" borderId="76" xfId="1" applyFont="1" applyFill="1" applyBorder="1" applyAlignment="1">
      <alignment horizontal="center"/>
    </xf>
    <xf numFmtId="0" fontId="33" fillId="2" borderId="70" xfId="1" applyFont="1" applyFill="1" applyBorder="1"/>
    <xf numFmtId="0" fontId="34" fillId="2" borderId="71" xfId="1" applyFont="1" applyFill="1" applyBorder="1" applyAlignment="1">
      <alignment horizontal="left"/>
    </xf>
    <xf numFmtId="0" fontId="31" fillId="2" borderId="66" xfId="1" applyFont="1" applyFill="1" applyBorder="1" applyAlignment="1">
      <alignment horizontal="center"/>
    </xf>
    <xf numFmtId="0" fontId="25" fillId="0" borderId="46" xfId="1" applyFont="1" applyBorder="1"/>
    <xf numFmtId="0" fontId="25" fillId="0" borderId="24" xfId="1" applyFont="1" applyBorder="1"/>
    <xf numFmtId="0" fontId="29" fillId="2" borderId="78" xfId="1" applyFont="1" applyFill="1" applyBorder="1"/>
    <xf numFmtId="0" fontId="29" fillId="2" borderId="79" xfId="1" applyFont="1" applyFill="1" applyBorder="1"/>
    <xf numFmtId="0" fontId="33" fillId="2" borderId="79" xfId="1" applyFont="1" applyFill="1" applyBorder="1"/>
    <xf numFmtId="0" fontId="31" fillId="2" borderId="80" xfId="1" applyFont="1" applyFill="1" applyBorder="1" applyAlignment="1">
      <alignment horizontal="center"/>
    </xf>
    <xf numFmtId="0" fontId="31" fillId="2" borderId="81" xfId="1" applyFont="1" applyFill="1" applyBorder="1" applyAlignment="1">
      <alignment horizontal="center"/>
    </xf>
    <xf numFmtId="0" fontId="24" fillId="0" borderId="24" xfId="1" applyFont="1" applyBorder="1"/>
    <xf numFmtId="0" fontId="29" fillId="2" borderId="65" xfId="1" quotePrefix="1" applyFont="1" applyFill="1" applyBorder="1" applyAlignment="1">
      <alignment horizontal="left"/>
    </xf>
    <xf numFmtId="0" fontId="26" fillId="0" borderId="71" xfId="1" applyFont="1" applyBorder="1"/>
    <xf numFmtId="0" fontId="29" fillId="2" borderId="52" xfId="1" quotePrefix="1" applyFont="1" applyFill="1" applyBorder="1" applyAlignment="1">
      <alignment horizontal="left"/>
    </xf>
    <xf numFmtId="0" fontId="29" fillId="2" borderId="61" xfId="1" applyFont="1" applyFill="1" applyBorder="1"/>
    <xf numFmtId="0" fontId="32" fillId="2" borderId="61" xfId="1" applyFont="1" applyFill="1" applyBorder="1"/>
    <xf numFmtId="0" fontId="36" fillId="2" borderId="61" xfId="1" applyFont="1" applyFill="1" applyBorder="1" applyAlignment="1">
      <alignment horizontal="right"/>
    </xf>
    <xf numFmtId="49" fontId="31" fillId="2" borderId="61" xfId="1" applyNumberFormat="1" applyFont="1" applyFill="1" applyBorder="1" applyAlignment="1">
      <alignment horizontal="center"/>
    </xf>
    <xf numFmtId="0" fontId="31" fillId="2" borderId="85" xfId="1" applyFont="1" applyFill="1" applyBorder="1" applyAlignment="1">
      <alignment horizontal="center"/>
    </xf>
    <xf numFmtId="0" fontId="29" fillId="2" borderId="66" xfId="1" applyFont="1" applyFill="1" applyBorder="1"/>
    <xf numFmtId="0" fontId="32" fillId="2" borderId="66" xfId="1" applyFont="1" applyFill="1" applyBorder="1"/>
    <xf numFmtId="0" fontId="29" fillId="2" borderId="86" xfId="1" quotePrefix="1" applyFont="1" applyFill="1" applyBorder="1" applyAlignment="1">
      <alignment horizontal="left"/>
    </xf>
    <xf numFmtId="0" fontId="29" fillId="2" borderId="80" xfId="1" applyFont="1" applyFill="1" applyBorder="1"/>
    <xf numFmtId="0" fontId="32" fillId="2" borderId="80" xfId="1" applyFont="1" applyFill="1" applyBorder="1"/>
    <xf numFmtId="0" fontId="29" fillId="2" borderId="65" xfId="1" applyFont="1" applyFill="1" applyBorder="1" applyAlignment="1">
      <alignment horizontal="left"/>
    </xf>
    <xf numFmtId="0" fontId="24" fillId="2" borderId="87" xfId="1" applyFont="1" applyFill="1" applyBorder="1"/>
    <xf numFmtId="0" fontId="24" fillId="2" borderId="71" xfId="1" applyFont="1" applyFill="1" applyBorder="1"/>
    <xf numFmtId="0" fontId="29" fillId="2" borderId="65" xfId="1" applyFont="1" applyFill="1" applyBorder="1"/>
    <xf numFmtId="0" fontId="24" fillId="2" borderId="70" xfId="1" applyFont="1" applyFill="1" applyBorder="1"/>
    <xf numFmtId="0" fontId="29" fillId="2" borderId="87" xfId="1" applyFont="1" applyFill="1" applyBorder="1"/>
    <xf numFmtId="0" fontId="36" fillId="2" borderId="71" xfId="1" applyFont="1" applyFill="1" applyBorder="1" applyAlignment="1">
      <alignment horizontal="right"/>
    </xf>
    <xf numFmtId="0" fontId="29" fillId="2" borderId="60" xfId="1" quotePrefix="1" applyFont="1" applyFill="1" applyBorder="1" applyAlignment="1">
      <alignment horizontal="left"/>
    </xf>
    <xf numFmtId="0" fontId="26" fillId="0" borderId="94" xfId="1" applyFont="1" applyBorder="1"/>
    <xf numFmtId="0" fontId="29" fillId="2" borderId="87" xfId="1" quotePrefix="1" applyFont="1" applyFill="1" applyBorder="1" applyAlignment="1">
      <alignment horizontal="left"/>
    </xf>
    <xf numFmtId="0" fontId="24" fillId="2" borderId="66" xfId="1" applyFont="1" applyFill="1" applyBorder="1"/>
    <xf numFmtId="0" fontId="29" fillId="2" borderId="95" xfId="1" applyFont="1" applyFill="1" applyBorder="1" applyAlignment="1">
      <alignment horizontal="left"/>
    </xf>
    <xf numFmtId="0" fontId="29" fillId="2" borderId="70" xfId="1" quotePrefix="1" applyFont="1" applyFill="1" applyBorder="1" applyAlignment="1">
      <alignment horizontal="center"/>
    </xf>
    <xf numFmtId="0" fontId="24" fillId="2" borderId="71" xfId="1" quotePrefix="1" applyFont="1" applyFill="1" applyBorder="1" applyAlignment="1">
      <alignment horizontal="center"/>
    </xf>
    <xf numFmtId="0" fontId="29" fillId="2" borderId="96" xfId="1" applyFont="1" applyFill="1" applyBorder="1"/>
    <xf numFmtId="0" fontId="26" fillId="0" borderId="97" xfId="1" applyFont="1" applyBorder="1"/>
    <xf numFmtId="0" fontId="31" fillId="0" borderId="97" xfId="1" applyFont="1" applyBorder="1" applyAlignment="1">
      <alignment horizontal="center"/>
    </xf>
    <xf numFmtId="0" fontId="31" fillId="0" borderId="98" xfId="1" applyFont="1" applyBorder="1" applyAlignment="1">
      <alignment horizontal="center"/>
    </xf>
    <xf numFmtId="0" fontId="29" fillId="2" borderId="99" xfId="1" applyFont="1" applyFill="1" applyBorder="1" applyAlignment="1">
      <alignment horizontal="center"/>
    </xf>
    <xf numFmtId="0" fontId="29" fillId="2" borderId="79" xfId="1" quotePrefix="1" applyFont="1" applyFill="1" applyBorder="1" applyAlignment="1">
      <alignment horizontal="center"/>
    </xf>
    <xf numFmtId="0" fontId="24" fillId="2" borderId="100" xfId="1" quotePrefix="1" applyFont="1" applyFill="1" applyBorder="1" applyAlignment="1">
      <alignment horizontal="center"/>
    </xf>
    <xf numFmtId="0" fontId="31" fillId="0" borderId="71" xfId="1" applyFont="1" applyBorder="1" applyAlignment="1">
      <alignment horizontal="center"/>
    </xf>
    <xf numFmtId="0" fontId="31" fillId="0" borderId="76" xfId="1" applyFont="1" applyBorder="1" applyAlignment="1">
      <alignment horizontal="center"/>
    </xf>
    <xf numFmtId="0" fontId="31" fillId="0" borderId="46" xfId="1" applyFont="1" applyBorder="1"/>
    <xf numFmtId="0" fontId="37" fillId="0" borderId="24" xfId="1" applyFont="1" applyBorder="1"/>
    <xf numFmtId="0" fontId="20" fillId="0" borderId="103" xfId="1" applyFont="1" applyBorder="1" applyAlignment="1">
      <alignment horizontal="left"/>
    </xf>
    <xf numFmtId="0" fontId="20" fillId="0" borderId="64" xfId="1" applyFont="1" applyBorder="1" applyAlignment="1">
      <alignment horizontal="left"/>
    </xf>
    <xf numFmtId="0" fontId="39" fillId="2" borderId="104" xfId="1" applyFont="1" applyFill="1" applyBorder="1" applyAlignment="1">
      <alignment horizontal="center"/>
    </xf>
    <xf numFmtId="166" fontId="31" fillId="0" borderId="71" xfId="1" applyNumberFormat="1" applyFont="1" applyBorder="1" applyAlignment="1">
      <alignment horizontal="center"/>
    </xf>
    <xf numFmtId="0" fontId="29" fillId="2" borderId="105" xfId="1" applyFont="1" applyFill="1" applyBorder="1" applyAlignment="1">
      <alignment horizontal="left"/>
    </xf>
    <xf numFmtId="0" fontId="24" fillId="2" borderId="106" xfId="1" applyFont="1" applyFill="1" applyBorder="1"/>
    <xf numFmtId="0" fontId="24" fillId="2" borderId="107" xfId="1" applyFont="1" applyFill="1" applyBorder="1"/>
    <xf numFmtId="0" fontId="31" fillId="2" borderId="108" xfId="1" applyFont="1" applyFill="1" applyBorder="1" applyAlignment="1">
      <alignment horizontal="center"/>
    </xf>
    <xf numFmtId="0" fontId="26" fillId="0" borderId="80" xfId="1" applyFont="1" applyBorder="1"/>
    <xf numFmtId="0" fontId="26" fillId="0" borderId="81" xfId="1" applyFont="1" applyBorder="1"/>
    <xf numFmtId="0" fontId="26" fillId="0" borderId="88" xfId="1" applyFont="1" applyBorder="1"/>
    <xf numFmtId="0" fontId="29" fillId="2" borderId="97" xfId="1" applyFont="1" applyFill="1" applyBorder="1"/>
    <xf numFmtId="0" fontId="36" fillId="2" borderId="66" xfId="1" applyFont="1" applyFill="1" applyBorder="1" applyAlignment="1">
      <alignment horizontal="right" shrinkToFit="1"/>
    </xf>
    <xf numFmtId="1" fontId="31" fillId="2" borderId="72" xfId="1" quotePrefix="1" applyNumberFormat="1" applyFont="1" applyFill="1" applyBorder="1" applyAlignment="1">
      <alignment horizontal="center"/>
    </xf>
    <xf numFmtId="2" fontId="26" fillId="0" borderId="0" xfId="1" applyNumberFormat="1" applyFont="1"/>
    <xf numFmtId="0" fontId="29" fillId="2" borderId="52" xfId="1" applyFont="1" applyFill="1" applyBorder="1"/>
    <xf numFmtId="0" fontId="29" fillId="2" borderId="58" xfId="1" applyFont="1" applyFill="1" applyBorder="1"/>
    <xf numFmtId="0" fontId="36" fillId="2" borderId="66" xfId="1" applyFont="1" applyFill="1" applyBorder="1" applyAlignment="1">
      <alignment horizontal="right"/>
    </xf>
    <xf numFmtId="2" fontId="31" fillId="2" borderId="72" xfId="1" quotePrefix="1" applyNumberFormat="1" applyFont="1" applyFill="1" applyBorder="1" applyAlignment="1">
      <alignment horizontal="center"/>
    </xf>
    <xf numFmtId="0" fontId="31" fillId="2" borderId="72" xfId="1" quotePrefix="1" applyFont="1" applyFill="1" applyBorder="1" applyAlignment="1">
      <alignment horizontal="center"/>
    </xf>
    <xf numFmtId="2" fontId="31" fillId="2" borderId="66" xfId="1" applyNumberFormat="1" applyFont="1" applyFill="1" applyBorder="1" applyAlignment="1">
      <alignment horizontal="center"/>
    </xf>
    <xf numFmtId="0" fontId="36" fillId="2" borderId="58" xfId="1" applyFont="1" applyFill="1" applyBorder="1" applyAlignment="1">
      <alignment horizontal="right"/>
    </xf>
    <xf numFmtId="0" fontId="36" fillId="2" borderId="66" xfId="1" applyFont="1" applyFill="1" applyBorder="1"/>
    <xf numFmtId="0" fontId="40" fillId="0" borderId="0" xfId="1" applyFont="1"/>
    <xf numFmtId="0" fontId="29" fillId="2" borderId="110" xfId="1" applyFont="1" applyFill="1" applyBorder="1"/>
    <xf numFmtId="0" fontId="29" fillId="2" borderId="111" xfId="1" applyFont="1" applyFill="1" applyBorder="1"/>
    <xf numFmtId="0" fontId="29" fillId="2" borderId="112" xfId="1" applyFont="1" applyFill="1" applyBorder="1"/>
    <xf numFmtId="0" fontId="36" fillId="2" borderId="112" xfId="1" applyFont="1" applyFill="1" applyBorder="1"/>
    <xf numFmtId="166" fontId="31" fillId="2" borderId="112" xfId="1" applyNumberFormat="1" applyFont="1" applyFill="1" applyBorder="1" applyAlignment="1">
      <alignment horizontal="center"/>
    </xf>
    <xf numFmtId="0" fontId="31" fillId="2" borderId="113" xfId="1" quotePrefix="1" applyFont="1" applyFill="1" applyBorder="1" applyAlignment="1">
      <alignment horizontal="center"/>
    </xf>
    <xf numFmtId="0" fontId="29" fillId="2" borderId="75" xfId="1" applyFont="1" applyFill="1" applyBorder="1"/>
    <xf numFmtId="0" fontId="29" fillId="2" borderId="104" xfId="1" applyFont="1" applyFill="1" applyBorder="1" applyAlignment="1">
      <alignment horizontal="left"/>
    </xf>
    <xf numFmtId="0" fontId="29" fillId="2" borderId="75" xfId="1" applyFont="1" applyFill="1" applyBorder="1" applyAlignment="1">
      <alignment horizontal="left"/>
    </xf>
    <xf numFmtId="1" fontId="31" fillId="2" borderId="61" xfId="1" applyNumberFormat="1" applyFont="1" applyFill="1" applyBorder="1" applyAlignment="1">
      <alignment horizontal="center"/>
    </xf>
    <xf numFmtId="0" fontId="31" fillId="2" borderId="114" xfId="1" applyFont="1" applyFill="1" applyBorder="1" applyAlignment="1">
      <alignment horizontal="center"/>
    </xf>
    <xf numFmtId="0" fontId="41" fillId="0" borderId="0" xfId="1" applyFont="1" applyAlignment="1">
      <alignment horizontal="right"/>
    </xf>
    <xf numFmtId="2" fontId="26" fillId="0" borderId="0" xfId="2" applyNumberFormat="1" applyFont="1"/>
    <xf numFmtId="0" fontId="29" fillId="2" borderId="0" xfId="1" applyFont="1" applyFill="1"/>
    <xf numFmtId="0" fontId="29" fillId="2" borderId="87" xfId="1" applyFont="1" applyFill="1" applyBorder="1" applyAlignment="1">
      <alignment horizontal="left"/>
    </xf>
    <xf numFmtId="0" fontId="29" fillId="2" borderId="71" xfId="1" applyFont="1" applyFill="1" applyBorder="1" applyAlignment="1">
      <alignment horizontal="left"/>
    </xf>
    <xf numFmtId="0" fontId="26" fillId="0" borderId="0" xfId="1" applyFont="1" applyAlignment="1">
      <alignment horizontal="right"/>
    </xf>
    <xf numFmtId="0" fontId="29" fillId="2" borderId="40" xfId="1" applyFont="1" applyFill="1" applyBorder="1"/>
    <xf numFmtId="0" fontId="29" fillId="2" borderId="108" xfId="1" applyFont="1" applyFill="1" applyBorder="1" applyAlignment="1">
      <alignment horizontal="left"/>
    </xf>
    <xf numFmtId="0" fontId="29" fillId="2" borderId="100" xfId="1" applyFont="1" applyFill="1" applyBorder="1" applyAlignment="1">
      <alignment horizontal="left"/>
    </xf>
    <xf numFmtId="1" fontId="31" fillId="2" borderId="80" xfId="1" applyNumberFormat="1" applyFont="1" applyFill="1" applyBorder="1" applyAlignment="1">
      <alignment horizontal="center"/>
    </xf>
    <xf numFmtId="0" fontId="31" fillId="2" borderId="115" xfId="1" applyFont="1" applyFill="1" applyBorder="1" applyAlignment="1">
      <alignment horizontal="center"/>
    </xf>
    <xf numFmtId="0" fontId="20" fillId="2" borderId="82" xfId="1" applyFont="1" applyFill="1" applyBorder="1" applyAlignment="1">
      <alignment horizontal="left"/>
    </xf>
    <xf numFmtId="0" fontId="20" fillId="2" borderId="83" xfId="1" applyFont="1" applyFill="1" applyBorder="1" applyAlignment="1">
      <alignment horizontal="left"/>
    </xf>
    <xf numFmtId="0" fontId="20" fillId="2" borderId="84" xfId="1" applyFont="1" applyFill="1" applyBorder="1" applyAlignment="1">
      <alignment horizontal="left"/>
    </xf>
    <xf numFmtId="0" fontId="22" fillId="2" borderId="52" xfId="1" applyFont="1" applyFill="1" applyBorder="1"/>
    <xf numFmtId="0" fontId="26" fillId="2" borderId="74" xfId="1" applyFont="1" applyFill="1" applyBorder="1" applyAlignment="1">
      <alignment horizontal="left"/>
    </xf>
    <xf numFmtId="0" fontId="26" fillId="2" borderId="85" xfId="1" applyFont="1" applyFill="1" applyBorder="1" applyAlignment="1">
      <alignment horizontal="left"/>
    </xf>
    <xf numFmtId="0" fontId="22" fillId="2" borderId="70" xfId="1" applyFont="1" applyFill="1" applyBorder="1" applyAlignment="1">
      <alignment horizontal="left"/>
    </xf>
    <xf numFmtId="0" fontId="22" fillId="2" borderId="76" xfId="1" applyFont="1" applyFill="1" applyBorder="1" applyAlignment="1">
      <alignment horizontal="left"/>
    </xf>
    <xf numFmtId="0" fontId="42" fillId="0" borderId="0" xfId="1" applyFont="1"/>
    <xf numFmtId="0" fontId="29" fillId="0" borderId="116" xfId="1" applyFont="1" applyBorder="1"/>
    <xf numFmtId="0" fontId="29" fillId="2" borderId="119" xfId="1" applyFont="1" applyFill="1" applyBorder="1"/>
    <xf numFmtId="0" fontId="22" fillId="2" borderId="45" xfId="1" applyFont="1" applyFill="1" applyBorder="1"/>
    <xf numFmtId="0" fontId="29" fillId="2" borderId="121" xfId="1" applyFont="1" applyFill="1" applyBorder="1"/>
    <xf numFmtId="0" fontId="29" fillId="2" borderId="23" xfId="1" applyFont="1" applyFill="1" applyBorder="1"/>
    <xf numFmtId="14" fontId="24" fillId="2" borderId="124" xfId="1" applyNumberFormat="1" applyFont="1" applyFill="1" applyBorder="1" applyAlignment="1">
      <alignment horizontal="center"/>
    </xf>
    <xf numFmtId="0" fontId="22" fillId="0" borderId="23" xfId="1" applyFont="1" applyBorder="1"/>
    <xf numFmtId="0" fontId="22" fillId="2" borderId="125" xfId="1" applyFont="1" applyFill="1" applyBorder="1" applyAlignment="1">
      <alignment horizontal="left"/>
    </xf>
    <xf numFmtId="0" fontId="22" fillId="2" borderId="126" xfId="1" applyFont="1" applyFill="1" applyBorder="1" applyAlignment="1">
      <alignment horizontal="left"/>
    </xf>
    <xf numFmtId="0" fontId="22" fillId="0" borderId="0" xfId="1" applyFont="1"/>
    <xf numFmtId="0" fontId="46" fillId="0" borderId="6" xfId="3" applyBorder="1"/>
    <xf numFmtId="0" fontId="46" fillId="0" borderId="7" xfId="3" applyBorder="1"/>
    <xf numFmtId="0" fontId="46" fillId="0" borderId="41" xfId="3" applyBorder="1"/>
    <xf numFmtId="0" fontId="46" fillId="0" borderId="41" xfId="3" applyBorder="1" applyAlignment="1">
      <alignment horizontal="center"/>
    </xf>
    <xf numFmtId="0" fontId="47" fillId="0" borderId="41" xfId="3" applyFont="1" applyBorder="1" applyAlignment="1">
      <alignment horizontal="center"/>
    </xf>
    <xf numFmtId="0" fontId="46" fillId="0" borderId="0" xfId="3"/>
    <xf numFmtId="0" fontId="48" fillId="0" borderId="127" xfId="3" applyFont="1" applyBorder="1" applyAlignment="1">
      <alignment horizontal="center"/>
    </xf>
    <xf numFmtId="0" fontId="46" fillId="0" borderId="127" xfId="3" applyBorder="1" applyAlignment="1">
      <alignment horizontal="center"/>
    </xf>
    <xf numFmtId="0" fontId="47" fillId="0" borderId="127" xfId="3" applyFont="1" applyBorder="1" applyAlignment="1">
      <alignment horizontal="center"/>
    </xf>
    <xf numFmtId="0" fontId="48" fillId="0" borderId="45" xfId="3" applyFont="1" applyBorder="1" applyAlignment="1">
      <alignment horizontal="center"/>
    </xf>
    <xf numFmtId="0" fontId="48" fillId="0" borderId="0" xfId="3" applyFont="1" applyAlignment="1">
      <alignment horizontal="center"/>
    </xf>
    <xf numFmtId="0" fontId="46" fillId="0" borderId="45" xfId="3" applyBorder="1"/>
    <xf numFmtId="0" fontId="49" fillId="0" borderId="0" xfId="3" applyFont="1"/>
    <xf numFmtId="0" fontId="46" fillId="0" borderId="127" xfId="3" applyBorder="1"/>
    <xf numFmtId="0" fontId="47" fillId="0" borderId="0" xfId="3" applyFont="1"/>
    <xf numFmtId="0" fontId="47" fillId="0" borderId="127" xfId="3" applyFont="1" applyBorder="1"/>
    <xf numFmtId="169" fontId="46" fillId="0" borderId="3" xfId="3" applyNumberFormat="1" applyBorder="1"/>
    <xf numFmtId="49" fontId="46" fillId="0" borderId="1" xfId="3" applyNumberFormat="1" applyBorder="1" applyAlignment="1">
      <alignment horizontal="center"/>
    </xf>
    <xf numFmtId="49" fontId="46" fillId="0" borderId="1" xfId="3" applyNumberFormat="1" applyBorder="1"/>
    <xf numFmtId="49" fontId="47" fillId="0" borderId="1" xfId="3" applyNumberFormat="1" applyFont="1" applyBorder="1"/>
    <xf numFmtId="170" fontId="47" fillId="0" borderId="1" xfId="3" applyNumberFormat="1" applyFont="1" applyBorder="1"/>
    <xf numFmtId="0" fontId="46" fillId="0" borderId="1" xfId="3" applyBorder="1"/>
    <xf numFmtId="0" fontId="46" fillId="0" borderId="9" xfId="3" applyBorder="1"/>
    <xf numFmtId="170" fontId="46" fillId="0" borderId="1" xfId="3" applyNumberFormat="1" applyBorder="1"/>
    <xf numFmtId="0" fontId="46" fillId="0" borderId="1" xfId="3" applyBorder="1" applyAlignment="1">
      <alignment horizontal="center"/>
    </xf>
    <xf numFmtId="169" fontId="46" fillId="0" borderId="18" xfId="3" applyNumberFormat="1" applyBorder="1"/>
    <xf numFmtId="49" fontId="46" fillId="0" borderId="26" xfId="3" applyNumberFormat="1" applyBorder="1"/>
    <xf numFmtId="170" fontId="46" fillId="0" borderId="26" xfId="3" applyNumberFormat="1" applyBorder="1"/>
    <xf numFmtId="0" fontId="46" fillId="0" borderId="26" xfId="3" applyBorder="1"/>
    <xf numFmtId="0" fontId="46" fillId="0" borderId="128" xfId="3" applyBorder="1"/>
    <xf numFmtId="0" fontId="47" fillId="0" borderId="129" xfId="3" applyFont="1" applyBorder="1" applyAlignment="1">
      <alignment horizontal="center"/>
    </xf>
    <xf numFmtId="0" fontId="47" fillId="0" borderId="130" xfId="3" applyFont="1" applyBorder="1" applyAlignment="1">
      <alignment horizontal="center"/>
    </xf>
    <xf numFmtId="49" fontId="47" fillId="0" borderId="2" xfId="3" applyNumberFormat="1" applyFont="1" applyBorder="1" applyAlignment="1">
      <alignment horizontal="center"/>
    </xf>
    <xf numFmtId="0" fontId="46" fillId="0" borderId="57" xfId="3" applyBorder="1" applyAlignment="1">
      <alignment horizontal="left"/>
    </xf>
    <xf numFmtId="49" fontId="46" fillId="0" borderId="3" xfId="3" applyNumberFormat="1" applyBorder="1"/>
    <xf numFmtId="0" fontId="46" fillId="0" borderId="132" xfId="3" applyBorder="1" applyAlignment="1">
      <alignment horizontal="left"/>
    </xf>
    <xf numFmtId="49" fontId="46" fillId="0" borderId="4" xfId="3" applyNumberFormat="1" applyBorder="1"/>
    <xf numFmtId="0" fontId="46" fillId="0" borderId="134" xfId="3" applyBorder="1" applyAlignment="1">
      <alignment horizontal="left"/>
    </xf>
    <xf numFmtId="0" fontId="46" fillId="0" borderId="0" xfId="4"/>
    <xf numFmtId="0" fontId="50" fillId="0" borderId="0" xfId="4" applyFont="1"/>
    <xf numFmtId="0" fontId="52" fillId="0" borderId="20" xfId="4" applyFont="1" applyBorder="1" applyAlignment="1">
      <alignment horizontal="right"/>
    </xf>
    <xf numFmtId="0" fontId="52" fillId="0" borderId="47" xfId="4" applyFont="1" applyBorder="1" applyAlignment="1">
      <alignment horizontal="right"/>
    </xf>
    <xf numFmtId="0" fontId="52" fillId="0" borderId="103" xfId="4" applyFont="1" applyBorder="1" applyAlignment="1">
      <alignment horizontal="center"/>
    </xf>
    <xf numFmtId="0" fontId="23" fillId="0" borderId="38" xfId="4" applyFont="1" applyBorder="1" applyAlignment="1">
      <alignment horizontal="center"/>
    </xf>
    <xf numFmtId="0" fontId="52" fillId="0" borderId="63" xfId="4" applyFont="1" applyBorder="1" applyAlignment="1">
      <alignment horizontal="center"/>
    </xf>
    <xf numFmtId="0" fontId="23" fillId="0" borderId="38" xfId="4" applyFont="1" applyBorder="1"/>
    <xf numFmtId="0" fontId="46" fillId="0" borderId="46" xfId="4" applyBorder="1"/>
    <xf numFmtId="0" fontId="23" fillId="0" borderId="48" xfId="4" applyFont="1" applyBorder="1" applyAlignment="1">
      <alignment horizontal="center"/>
    </xf>
    <xf numFmtId="0" fontId="50" fillId="0" borderId="53" xfId="4" applyFont="1" applyBorder="1" applyAlignment="1">
      <alignment horizontal="center"/>
    </xf>
    <xf numFmtId="0" fontId="23" fillId="0" borderId="48" xfId="4" applyFont="1" applyBorder="1"/>
    <xf numFmtId="0" fontId="52" fillId="0" borderId="103" xfId="4" applyFont="1" applyBorder="1" applyAlignment="1">
      <alignment horizontal="right"/>
    </xf>
    <xf numFmtId="0" fontId="23" fillId="0" borderId="27" xfId="4" applyFont="1" applyBorder="1" applyAlignment="1">
      <alignment horizontal="center"/>
    </xf>
    <xf numFmtId="0" fontId="52" fillId="0" borderId="46" xfId="4" applyFont="1" applyBorder="1" applyAlignment="1">
      <alignment horizontal="right"/>
    </xf>
    <xf numFmtId="0" fontId="23" fillId="0" borderId="24" xfId="4" applyFont="1" applyBorder="1" applyAlignment="1">
      <alignment horizontal="center"/>
    </xf>
    <xf numFmtId="0" fontId="23" fillId="0" borderId="32" xfId="4" applyFont="1" applyBorder="1" applyAlignment="1">
      <alignment horizontal="center"/>
    </xf>
    <xf numFmtId="0" fontId="50" fillId="0" borderId="0" xfId="4" applyFont="1" applyAlignment="1">
      <alignment horizontal="center"/>
    </xf>
    <xf numFmtId="0" fontId="53" fillId="0" borderId="63" xfId="4" applyFont="1" applyBorder="1"/>
    <xf numFmtId="0" fontId="53" fillId="0" borderId="64" xfId="4" applyFont="1" applyBorder="1"/>
    <xf numFmtId="0" fontId="53" fillId="0" borderId="38" xfId="4" applyFont="1" applyBorder="1"/>
    <xf numFmtId="0" fontId="54" fillId="0" borderId="52" xfId="4" applyFont="1" applyBorder="1" applyAlignment="1">
      <alignment horizontal="centerContinuous"/>
    </xf>
    <xf numFmtId="0" fontId="53" fillId="0" borderId="0" xfId="4" applyFont="1" applyAlignment="1">
      <alignment horizontal="centerContinuous"/>
    </xf>
    <xf numFmtId="0" fontId="53" fillId="0" borderId="51" xfId="4" applyFont="1" applyBorder="1" applyAlignment="1">
      <alignment horizontal="centerContinuous"/>
    </xf>
    <xf numFmtId="0" fontId="55" fillId="0" borderId="52" xfId="4" applyFont="1" applyBorder="1" applyAlignment="1">
      <alignment horizontal="centerContinuous"/>
    </xf>
    <xf numFmtId="0" fontId="53" fillId="0" borderId="52" xfId="4" applyFont="1" applyBorder="1"/>
    <xf numFmtId="0" fontId="53" fillId="0" borderId="0" xfId="4" applyFont="1"/>
    <xf numFmtId="0" fontId="53" fillId="0" borderId="51" xfId="4" applyFont="1" applyBorder="1"/>
    <xf numFmtId="0" fontId="51" fillId="0" borderId="1" xfId="4" applyFont="1" applyBorder="1" applyAlignment="1">
      <alignment horizontal="right"/>
    </xf>
    <xf numFmtId="0" fontId="53" fillId="0" borderId="1" xfId="4" applyFont="1" applyBorder="1" applyAlignment="1">
      <alignment horizontal="center"/>
    </xf>
    <xf numFmtId="14" fontId="53" fillId="0" borderId="1" xfId="4" applyNumberFormat="1" applyFont="1" applyBorder="1" applyAlignment="1">
      <alignment horizontal="center"/>
    </xf>
    <xf numFmtId="0" fontId="51" fillId="0" borderId="0" xfId="4" applyFont="1" applyAlignment="1">
      <alignment horizontal="right"/>
    </xf>
    <xf numFmtId="0" fontId="53" fillId="0" borderId="0" xfId="4" applyFont="1" applyAlignment="1">
      <alignment horizontal="center"/>
    </xf>
    <xf numFmtId="9" fontId="53" fillId="0" borderId="0" xfId="4" applyNumberFormat="1" applyFont="1" applyAlignment="1">
      <alignment horizontal="center"/>
    </xf>
    <xf numFmtId="0" fontId="51" fillId="0" borderId="52" xfId="4" applyFont="1" applyBorder="1" applyAlignment="1">
      <alignment horizontal="right"/>
    </xf>
    <xf numFmtId="0" fontId="53" fillId="0" borderId="40" xfId="4" applyFont="1" applyBorder="1"/>
    <xf numFmtId="0" fontId="53" fillId="0" borderId="39" xfId="4" applyFont="1" applyBorder="1" applyAlignment="1">
      <alignment horizontal="center"/>
    </xf>
    <xf numFmtId="0" fontId="53" fillId="0" borderId="86" xfId="4" applyFont="1" applyBorder="1"/>
    <xf numFmtId="0" fontId="51" fillId="0" borderId="17" xfId="4" applyFont="1" applyBorder="1" applyAlignment="1">
      <alignment horizontal="right"/>
    </xf>
    <xf numFmtId="0" fontId="53" fillId="0" borderId="132" xfId="4" applyFont="1" applyBorder="1"/>
    <xf numFmtId="166" fontId="3" fillId="0" borderId="0" xfId="0" quotePrefix="1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6" fillId="0" borderId="0" xfId="4" applyFont="1" applyAlignment="1">
      <alignment horizontal="right"/>
    </xf>
    <xf numFmtId="0" fontId="16" fillId="0" borderId="0" xfId="4" applyFont="1"/>
    <xf numFmtId="0" fontId="56" fillId="0" borderId="26" xfId="4" applyFont="1" applyBorder="1" applyAlignment="1">
      <alignment horizontal="center"/>
    </xf>
    <xf numFmtId="0" fontId="56" fillId="0" borderId="28" xfId="4" applyFont="1" applyBorder="1" applyAlignment="1">
      <alignment horizontal="center"/>
    </xf>
    <xf numFmtId="0" fontId="50" fillId="0" borderId="1" xfId="4" applyFont="1" applyBorder="1" applyAlignment="1">
      <alignment horizontal="center"/>
    </xf>
    <xf numFmtId="0" fontId="56" fillId="0" borderId="1" xfId="4" applyFont="1" applyBorder="1" applyAlignment="1">
      <alignment horizontal="right"/>
    </xf>
    <xf numFmtId="0" fontId="56" fillId="0" borderId="1" xfId="4" applyFont="1" applyBorder="1" applyAlignment="1">
      <alignment horizontal="center"/>
    </xf>
    <xf numFmtId="0" fontId="50" fillId="0" borderId="131" xfId="4" applyFont="1" applyBorder="1" applyAlignment="1">
      <alignment horizontal="center"/>
    </xf>
    <xf numFmtId="0" fontId="50" fillId="0" borderId="132" xfId="4" quotePrefix="1" applyFont="1" applyBorder="1" applyAlignment="1">
      <alignment horizontal="center"/>
    </xf>
    <xf numFmtId="0" fontId="50" fillId="0" borderId="132" xfId="4" applyFont="1" applyBorder="1" applyAlignment="1">
      <alignment horizontal="center"/>
    </xf>
    <xf numFmtId="0" fontId="56" fillId="0" borderId="0" xfId="4" applyFont="1" applyAlignment="1">
      <alignment horizontal="right"/>
    </xf>
    <xf numFmtId="0" fontId="58" fillId="0" borderId="0" xfId="4" applyFont="1"/>
    <xf numFmtId="0" fontId="59" fillId="0" borderId="0" xfId="4" applyFont="1"/>
    <xf numFmtId="0" fontId="2" fillId="0" borderId="1" xfId="4" applyFont="1" applyBorder="1" applyAlignment="1">
      <alignment horizontal="center"/>
    </xf>
    <xf numFmtId="1" fontId="2" fillId="2" borderId="1" xfId="4" applyNumberFormat="1" applyFont="1" applyFill="1" applyBorder="1" applyAlignment="1">
      <alignment horizontal="center"/>
    </xf>
    <xf numFmtId="2" fontId="2" fillId="2" borderId="1" xfId="4" applyNumberFormat="1" applyFont="1" applyFill="1" applyBorder="1" applyAlignment="1">
      <alignment horizontal="center"/>
    </xf>
    <xf numFmtId="0" fontId="2" fillId="2" borderId="1" xfId="4" applyFont="1" applyFill="1" applyBorder="1" applyAlignment="1">
      <alignment horizontal="center"/>
    </xf>
    <xf numFmtId="0" fontId="6" fillId="0" borderId="0" xfId="4" applyFont="1"/>
    <xf numFmtId="0" fontId="51" fillId="0" borderId="0" xfId="4" applyFont="1"/>
    <xf numFmtId="0" fontId="23" fillId="0" borderId="17" xfId="4" applyFont="1" applyBorder="1" applyAlignment="1">
      <alignment horizontal="right"/>
    </xf>
    <xf numFmtId="0" fontId="23" fillId="0" borderId="132" xfId="4" applyFont="1" applyBorder="1" applyAlignment="1">
      <alignment horizontal="left"/>
    </xf>
    <xf numFmtId="0" fontId="23" fillId="0" borderId="132" xfId="4" quotePrefix="1" applyFont="1" applyBorder="1" applyAlignment="1">
      <alignment horizontal="left"/>
    </xf>
    <xf numFmtId="0" fontId="20" fillId="2" borderId="120" xfId="1" applyFont="1" applyFill="1" applyBorder="1" applyAlignment="1">
      <alignment horizontal="center" shrinkToFit="1"/>
    </xf>
    <xf numFmtId="0" fontId="24" fillId="3" borderId="0" xfId="1" applyFont="1" applyFill="1"/>
    <xf numFmtId="0" fontId="24" fillId="4" borderId="0" xfId="1" applyFont="1" applyFill="1"/>
    <xf numFmtId="0" fontId="24" fillId="0" borderId="0" xfId="1" applyFont="1" applyAlignment="1">
      <alignment horizontal="right"/>
    </xf>
    <xf numFmtId="0" fontId="24" fillId="5" borderId="0" xfId="1" applyFont="1" applyFill="1"/>
    <xf numFmtId="0" fontId="24" fillId="0" borderId="0" xfId="1" applyFont="1" applyAlignment="1">
      <alignment horizontal="center"/>
    </xf>
    <xf numFmtId="0" fontId="16" fillId="0" borderId="0" xfId="1" applyFont="1" applyAlignment="1">
      <alignment horizontal="center"/>
    </xf>
    <xf numFmtId="0" fontId="19" fillId="2" borderId="0" xfId="1" applyFont="1" applyFill="1" applyAlignment="1">
      <alignment horizontal="center"/>
    </xf>
    <xf numFmtId="0" fontId="21" fillId="2" borderId="23" xfId="1" applyFont="1" applyFill="1" applyBorder="1" applyAlignment="1">
      <alignment horizontal="center"/>
    </xf>
    <xf numFmtId="0" fontId="27" fillId="2" borderId="12" xfId="1" applyFont="1" applyFill="1" applyBorder="1" applyAlignment="1">
      <alignment horizontal="left"/>
    </xf>
    <xf numFmtId="0" fontId="27" fillId="2" borderId="13" xfId="1" applyFont="1" applyFill="1" applyBorder="1" applyAlignment="1">
      <alignment horizontal="left"/>
    </xf>
    <xf numFmtId="0" fontId="29" fillId="0" borderId="60" xfId="1" applyFont="1" applyBorder="1" applyAlignment="1">
      <alignment horizontal="left"/>
    </xf>
    <xf numFmtId="0" fontId="29" fillId="0" borderId="61" xfId="1" applyFont="1" applyBorder="1" applyAlignment="1">
      <alignment horizontal="left"/>
    </xf>
    <xf numFmtId="0" fontId="30" fillId="2" borderId="62" xfId="1" applyFont="1" applyFill="1" applyBorder="1" applyAlignment="1">
      <alignment horizontal="center"/>
    </xf>
    <xf numFmtId="0" fontId="30" fillId="2" borderId="58" xfId="1" applyFont="1" applyFill="1" applyBorder="1" applyAlignment="1">
      <alignment horizontal="center"/>
    </xf>
    <xf numFmtId="0" fontId="20" fillId="2" borderId="63" xfId="1" applyFont="1" applyFill="1" applyBorder="1" applyAlignment="1">
      <alignment horizontal="left"/>
    </xf>
    <xf numFmtId="0" fontId="20" fillId="2" borderId="64" xfId="1" applyFont="1" applyFill="1" applyBorder="1" applyAlignment="1">
      <alignment horizontal="left"/>
    </xf>
    <xf numFmtId="0" fontId="20" fillId="2" borderId="27" xfId="1" applyFont="1" applyFill="1" applyBorder="1" applyAlignment="1">
      <alignment horizontal="left"/>
    </xf>
    <xf numFmtId="0" fontId="20" fillId="0" borderId="82" xfId="1" applyFont="1" applyBorder="1" applyAlignment="1">
      <alignment horizontal="left"/>
    </xf>
    <xf numFmtId="0" fontId="20" fillId="0" borderId="83" xfId="1" applyFont="1" applyBorder="1" applyAlignment="1">
      <alignment horizontal="left"/>
    </xf>
    <xf numFmtId="0" fontId="20" fillId="0" borderId="84" xfId="1" applyFont="1" applyBorder="1" applyAlignment="1">
      <alignment horizontal="left"/>
    </xf>
    <xf numFmtId="0" fontId="29" fillId="0" borderId="65" xfId="1" applyFont="1" applyBorder="1" applyAlignment="1">
      <alignment horizontal="left"/>
    </xf>
    <xf numFmtId="0" fontId="29" fillId="0" borderId="66" xfId="1" applyFont="1" applyBorder="1" applyAlignment="1">
      <alignment horizontal="left"/>
    </xf>
    <xf numFmtId="2" fontId="31" fillId="0" borderId="67" xfId="1" applyNumberFormat="1" applyFont="1" applyBorder="1" applyAlignment="1">
      <alignment horizontal="center"/>
    </xf>
    <xf numFmtId="2" fontId="31" fillId="0" borderId="68" xfId="1" applyNumberFormat="1" applyFont="1" applyBorder="1" applyAlignment="1">
      <alignment horizontal="center"/>
    </xf>
    <xf numFmtId="0" fontId="31" fillId="0" borderId="67" xfId="1" applyFont="1" applyBorder="1" applyAlignment="1">
      <alignment horizontal="center"/>
    </xf>
    <xf numFmtId="0" fontId="31" fillId="0" borderId="68" xfId="1" applyFont="1" applyBorder="1" applyAlignment="1">
      <alignment horizontal="center"/>
    </xf>
    <xf numFmtId="0" fontId="29" fillId="0" borderId="77" xfId="1" applyFont="1" applyBorder="1" applyAlignment="1">
      <alignment horizontal="left"/>
    </xf>
    <xf numFmtId="0" fontId="29" fillId="0" borderId="70" xfId="1" applyFont="1" applyBorder="1" applyAlignment="1">
      <alignment horizontal="left"/>
    </xf>
    <xf numFmtId="0" fontId="29" fillId="0" borderId="71" xfId="1" applyFont="1" applyBorder="1" applyAlignment="1">
      <alignment horizontal="left"/>
    </xf>
    <xf numFmtId="166" fontId="31" fillId="2" borderId="67" xfId="1" applyNumberFormat="1" applyFont="1" applyFill="1" applyBorder="1" applyAlignment="1">
      <alignment horizontal="center"/>
    </xf>
    <xf numFmtId="166" fontId="31" fillId="2" borderId="68" xfId="1" applyNumberFormat="1" applyFont="1" applyFill="1" applyBorder="1" applyAlignment="1">
      <alignment horizontal="center"/>
    </xf>
    <xf numFmtId="0" fontId="31" fillId="2" borderId="67" xfId="1" applyFont="1" applyFill="1" applyBorder="1" applyAlignment="1">
      <alignment horizontal="center"/>
    </xf>
    <xf numFmtId="0" fontId="31" fillId="2" borderId="68" xfId="1" applyFont="1" applyFill="1" applyBorder="1" applyAlignment="1">
      <alignment horizontal="center"/>
    </xf>
    <xf numFmtId="166" fontId="31" fillId="0" borderId="67" xfId="1" applyNumberFormat="1" applyFont="1" applyBorder="1" applyAlignment="1">
      <alignment horizontal="center"/>
    </xf>
    <xf numFmtId="166" fontId="31" fillId="0" borderId="68" xfId="1" applyNumberFormat="1" applyFont="1" applyBorder="1" applyAlignment="1">
      <alignment horizontal="center"/>
    </xf>
    <xf numFmtId="1" fontId="31" fillId="2" borderId="67" xfId="1" applyNumberFormat="1" applyFont="1" applyFill="1" applyBorder="1" applyAlignment="1">
      <alignment horizontal="center"/>
    </xf>
    <xf numFmtId="1" fontId="31" fillId="2" borderId="68" xfId="1" applyNumberFormat="1" applyFont="1" applyFill="1" applyBorder="1" applyAlignment="1">
      <alignment horizontal="center"/>
    </xf>
    <xf numFmtId="0" fontId="29" fillId="2" borderId="77" xfId="1" applyFont="1" applyFill="1" applyBorder="1" applyAlignment="1">
      <alignment horizontal="left"/>
    </xf>
    <xf numFmtId="0" fontId="29" fillId="2" borderId="70" xfId="1" applyFont="1" applyFill="1" applyBorder="1" applyAlignment="1">
      <alignment horizontal="left"/>
    </xf>
    <xf numFmtId="0" fontId="29" fillId="2" borderId="71" xfId="1" applyFont="1" applyFill="1" applyBorder="1" applyAlignment="1">
      <alignment horizontal="left"/>
    </xf>
    <xf numFmtId="2" fontId="31" fillId="2" borderId="67" xfId="1" applyNumberFormat="1" applyFont="1" applyFill="1" applyBorder="1" applyAlignment="1">
      <alignment horizontal="center"/>
    </xf>
    <xf numFmtId="2" fontId="31" fillId="2" borderId="68" xfId="1" applyNumberFormat="1" applyFont="1" applyFill="1" applyBorder="1" applyAlignment="1">
      <alignment horizontal="center"/>
    </xf>
    <xf numFmtId="0" fontId="29" fillId="2" borderId="77" xfId="1" quotePrefix="1" applyFont="1" applyFill="1" applyBorder="1" applyAlignment="1">
      <alignment horizontal="left"/>
    </xf>
    <xf numFmtId="0" fontId="29" fillId="2" borderId="70" xfId="1" quotePrefix="1" applyFont="1" applyFill="1" applyBorder="1" applyAlignment="1">
      <alignment horizontal="left"/>
    </xf>
    <xf numFmtId="0" fontId="29" fillId="2" borderId="71" xfId="1" quotePrefix="1" applyFont="1" applyFill="1" applyBorder="1" applyAlignment="1">
      <alignment horizontal="left"/>
    </xf>
    <xf numFmtId="0" fontId="29" fillId="2" borderId="88" xfId="1" applyFont="1" applyFill="1" applyBorder="1" applyAlignment="1">
      <alignment horizontal="center"/>
    </xf>
    <xf numFmtId="0" fontId="29" fillId="2" borderId="89" xfId="1" applyFont="1" applyFill="1" applyBorder="1" applyAlignment="1">
      <alignment horizontal="center"/>
    </xf>
    <xf numFmtId="0" fontId="29" fillId="2" borderId="52" xfId="1" applyFont="1" applyFill="1" applyBorder="1" applyAlignment="1">
      <alignment horizontal="center"/>
    </xf>
    <xf numFmtId="0" fontId="29" fillId="2" borderId="0" xfId="1" applyFont="1" applyFill="1" applyAlignment="1">
      <alignment horizontal="center"/>
    </xf>
    <xf numFmtId="0" fontId="29" fillId="2" borderId="86" xfId="1" applyFont="1" applyFill="1" applyBorder="1" applyAlignment="1">
      <alignment horizontal="center"/>
    </xf>
    <xf numFmtId="0" fontId="29" fillId="2" borderId="40" xfId="1" applyFont="1" applyFill="1" applyBorder="1" applyAlignment="1">
      <alignment horizontal="center"/>
    </xf>
    <xf numFmtId="0" fontId="29" fillId="2" borderId="90" xfId="1" applyFont="1" applyFill="1" applyBorder="1" applyAlignment="1">
      <alignment horizontal="left"/>
    </xf>
    <xf numFmtId="0" fontId="29" fillId="2" borderId="91" xfId="1" applyFont="1" applyFill="1" applyBorder="1" applyAlignment="1">
      <alignment horizontal="left"/>
    </xf>
    <xf numFmtId="0" fontId="29" fillId="2" borderId="92" xfId="1" applyFont="1" applyFill="1" applyBorder="1" applyAlignment="1">
      <alignment horizontal="left"/>
    </xf>
    <xf numFmtId="0" fontId="31" fillId="2" borderId="93" xfId="1" applyFont="1" applyFill="1" applyBorder="1" applyAlignment="1">
      <alignment horizontal="center"/>
    </xf>
    <xf numFmtId="0" fontId="31" fillId="0" borderId="93" xfId="1" applyFont="1" applyBorder="1" applyAlignment="1">
      <alignment horizontal="center"/>
    </xf>
    <xf numFmtId="168" fontId="31" fillId="2" borderId="67" xfId="1" applyNumberFormat="1" applyFont="1" applyFill="1" applyBorder="1" applyAlignment="1">
      <alignment horizontal="center"/>
    </xf>
    <xf numFmtId="168" fontId="31" fillId="2" borderId="68" xfId="1" applyNumberFormat="1" applyFont="1" applyFill="1" applyBorder="1" applyAlignment="1">
      <alignment horizontal="center"/>
    </xf>
    <xf numFmtId="1" fontId="31" fillId="2" borderId="101" xfId="1" applyNumberFormat="1" applyFont="1" applyFill="1" applyBorder="1" applyAlignment="1">
      <alignment horizontal="center"/>
    </xf>
    <xf numFmtId="1" fontId="31" fillId="2" borderId="102" xfId="1" applyNumberFormat="1" applyFont="1" applyFill="1" applyBorder="1" applyAlignment="1">
      <alignment horizontal="center"/>
    </xf>
    <xf numFmtId="0" fontId="26" fillId="0" borderId="108" xfId="1" applyFont="1" applyBorder="1" applyAlignment="1">
      <alignment horizontal="left"/>
    </xf>
    <xf numFmtId="0" fontId="26" fillId="0" borderId="79" xfId="1" applyFont="1" applyBorder="1" applyAlignment="1">
      <alignment horizontal="left"/>
    </xf>
    <xf numFmtId="0" fontId="20" fillId="0" borderId="103" xfId="1" applyFont="1" applyBorder="1" applyAlignment="1">
      <alignment horizontal="left"/>
    </xf>
    <xf numFmtId="0" fontId="20" fillId="0" borderId="64" xfId="1" applyFont="1" applyBorder="1" applyAlignment="1">
      <alignment horizontal="left"/>
    </xf>
    <xf numFmtId="14" fontId="24" fillId="2" borderId="122" xfId="1" applyNumberFormat="1" applyFont="1" applyFill="1" applyBorder="1" applyAlignment="1">
      <alignment horizontal="center"/>
    </xf>
    <xf numFmtId="14" fontId="24" fillId="2" borderId="123" xfId="1" applyNumberFormat="1" applyFont="1" applyFill="1" applyBorder="1" applyAlignment="1">
      <alignment horizontal="center"/>
    </xf>
    <xf numFmtId="0" fontId="26" fillId="0" borderId="45" xfId="1" applyFont="1" applyBorder="1" applyAlignment="1">
      <alignment horizontal="center"/>
    </xf>
    <xf numFmtId="0" fontId="26" fillId="0" borderId="0" xfId="1" applyFont="1" applyAlignment="1">
      <alignment horizontal="center"/>
    </xf>
    <xf numFmtId="0" fontId="26" fillId="0" borderId="51" xfId="1" applyFont="1" applyBorder="1" applyAlignment="1">
      <alignment horizontal="center"/>
    </xf>
    <xf numFmtId="0" fontId="26" fillId="0" borderId="109" xfId="1" applyFont="1" applyBorder="1" applyAlignment="1">
      <alignment horizontal="center"/>
    </xf>
    <xf numFmtId="0" fontId="26" fillId="0" borderId="40" xfId="1" applyFont="1" applyBorder="1" applyAlignment="1">
      <alignment horizontal="center"/>
    </xf>
    <xf numFmtId="0" fontId="26" fillId="0" borderId="39" xfId="1" applyFont="1" applyBorder="1" applyAlignment="1">
      <alignment horizontal="center"/>
    </xf>
    <xf numFmtId="0" fontId="20" fillId="0" borderId="38" xfId="1" applyFont="1" applyBorder="1" applyAlignment="1">
      <alignment horizontal="left"/>
    </xf>
    <xf numFmtId="0" fontId="26" fillId="0" borderId="45" xfId="2" applyFont="1" applyBorder="1" applyAlignment="1">
      <alignment horizontal="center"/>
    </xf>
    <xf numFmtId="0" fontId="26" fillId="0" borderId="0" xfId="2" applyFont="1" applyAlignment="1">
      <alignment horizontal="center"/>
    </xf>
    <xf numFmtId="0" fontId="26" fillId="0" borderId="51" xfId="2" applyFont="1" applyBorder="1" applyAlignment="1">
      <alignment horizontal="center"/>
    </xf>
    <xf numFmtId="0" fontId="26" fillId="0" borderId="46" xfId="2" applyFont="1" applyBorder="1" applyAlignment="1">
      <alignment horizontal="center"/>
    </xf>
    <xf numFmtId="0" fontId="26" fillId="0" borderId="23" xfId="2" applyFont="1" applyBorder="1" applyAlignment="1">
      <alignment horizontal="center"/>
    </xf>
    <xf numFmtId="0" fontId="26" fillId="0" borderId="48" xfId="2" applyFont="1" applyBorder="1" applyAlignment="1">
      <alignment horizontal="center"/>
    </xf>
    <xf numFmtId="0" fontId="43" fillId="2" borderId="117" xfId="1" applyFont="1" applyFill="1" applyBorder="1" applyAlignment="1">
      <alignment horizontal="center"/>
    </xf>
    <xf numFmtId="0" fontId="43" fillId="2" borderId="118" xfId="1" applyFont="1" applyFill="1" applyBorder="1" applyAlignment="1">
      <alignment horizontal="center"/>
    </xf>
    <xf numFmtId="0" fontId="46" fillId="0" borderId="50" xfId="3" applyBorder="1" applyAlignment="1">
      <alignment horizontal="left"/>
    </xf>
    <xf numFmtId="0" fontId="46" fillId="0" borderId="13" xfId="3" applyBorder="1" applyAlignment="1">
      <alignment horizontal="left"/>
    </xf>
    <xf numFmtId="169" fontId="46" fillId="0" borderId="50" xfId="3" applyNumberFormat="1" applyBorder="1" applyAlignment="1">
      <alignment horizontal="center"/>
    </xf>
    <xf numFmtId="169" fontId="46" fillId="0" borderId="13" xfId="3" applyNumberFormat="1" applyBorder="1" applyAlignment="1">
      <alignment horizontal="center"/>
    </xf>
    <xf numFmtId="169" fontId="46" fillId="0" borderId="57" xfId="3" applyNumberFormat="1" applyBorder="1" applyAlignment="1">
      <alignment horizontal="center"/>
    </xf>
    <xf numFmtId="49" fontId="46" fillId="0" borderId="50" xfId="3" applyNumberFormat="1" applyBorder="1" applyAlignment="1">
      <alignment horizontal="center"/>
    </xf>
    <xf numFmtId="49" fontId="46" fillId="0" borderId="13" xfId="3" applyNumberFormat="1" applyBorder="1" applyAlignment="1">
      <alignment horizontal="center"/>
    </xf>
    <xf numFmtId="49" fontId="46" fillId="0" borderId="14" xfId="3" applyNumberFormat="1" applyBorder="1" applyAlignment="1">
      <alignment horizontal="center"/>
    </xf>
    <xf numFmtId="0" fontId="48" fillId="0" borderId="45" xfId="3" applyFont="1" applyBorder="1" applyAlignment="1">
      <alignment horizontal="center"/>
    </xf>
    <xf numFmtId="0" fontId="48" fillId="0" borderId="0" xfId="3" applyFont="1" applyAlignment="1">
      <alignment horizontal="center"/>
    </xf>
    <xf numFmtId="0" fontId="48" fillId="0" borderId="55" xfId="3" applyFont="1" applyBorder="1" applyAlignment="1">
      <alignment horizontal="center"/>
    </xf>
    <xf numFmtId="0" fontId="47" fillId="0" borderId="15" xfId="3" applyFont="1" applyBorder="1" applyAlignment="1">
      <alignment horizontal="center"/>
    </xf>
    <xf numFmtId="0" fontId="47" fillId="0" borderId="7" xfId="3" applyFont="1" applyBorder="1" applyAlignment="1">
      <alignment horizontal="center"/>
    </xf>
    <xf numFmtId="0" fontId="47" fillId="0" borderId="130" xfId="3" applyFont="1" applyBorder="1" applyAlignment="1">
      <alignment horizontal="center"/>
    </xf>
    <xf numFmtId="0" fontId="47" fillId="0" borderId="8" xfId="3" applyFont="1" applyBorder="1" applyAlignment="1">
      <alignment horizontal="center"/>
    </xf>
    <xf numFmtId="0" fontId="46" fillId="0" borderId="17" xfId="3" applyBorder="1" applyAlignment="1">
      <alignment horizontal="left"/>
    </xf>
    <xf numFmtId="0" fontId="46" fillId="0" borderId="131" xfId="3" applyBorder="1" applyAlignment="1">
      <alignment horizontal="left"/>
    </xf>
    <xf numFmtId="169" fontId="46" fillId="0" borderId="17" xfId="3" applyNumberFormat="1" applyBorder="1" applyAlignment="1">
      <alignment horizontal="center"/>
    </xf>
    <xf numFmtId="169" fontId="46" fillId="0" borderId="131" xfId="3" applyNumberFormat="1" applyBorder="1" applyAlignment="1">
      <alignment horizontal="center"/>
    </xf>
    <xf numFmtId="169" fontId="46" fillId="0" borderId="132" xfId="3" applyNumberFormat="1" applyBorder="1" applyAlignment="1">
      <alignment horizontal="center"/>
    </xf>
    <xf numFmtId="49" fontId="46" fillId="0" borderId="17" xfId="3" applyNumberFormat="1" applyBorder="1" applyAlignment="1">
      <alignment horizontal="center"/>
    </xf>
    <xf numFmtId="49" fontId="46" fillId="0" borderId="131" xfId="3" applyNumberFormat="1" applyBorder="1" applyAlignment="1">
      <alignment horizontal="center"/>
    </xf>
    <xf numFmtId="49" fontId="46" fillId="0" borderId="16" xfId="3" applyNumberFormat="1" applyBorder="1" applyAlignment="1">
      <alignment horizontal="center"/>
    </xf>
    <xf numFmtId="0" fontId="46" fillId="0" borderId="31" xfId="3" applyBorder="1" applyAlignment="1">
      <alignment horizontal="left"/>
    </xf>
    <xf numFmtId="0" fontId="46" fillId="0" borderId="133" xfId="3" applyBorder="1" applyAlignment="1">
      <alignment horizontal="left"/>
    </xf>
    <xf numFmtId="169" fontId="46" fillId="0" borderId="31" xfId="3" applyNumberFormat="1" applyBorder="1" applyAlignment="1">
      <alignment horizontal="center"/>
    </xf>
    <xf numFmtId="169" fontId="46" fillId="0" borderId="133" xfId="3" applyNumberFormat="1" applyBorder="1" applyAlignment="1">
      <alignment horizontal="center"/>
    </xf>
    <xf numFmtId="169" fontId="46" fillId="0" borderId="134" xfId="3" applyNumberFormat="1" applyBorder="1" applyAlignment="1">
      <alignment horizontal="center"/>
    </xf>
    <xf numFmtId="49" fontId="46" fillId="0" borderId="31" xfId="3" applyNumberFormat="1" applyBorder="1" applyAlignment="1">
      <alignment horizontal="center"/>
    </xf>
    <xf numFmtId="49" fontId="46" fillId="0" borderId="133" xfId="3" applyNumberFormat="1" applyBorder="1" applyAlignment="1">
      <alignment horizontal="center"/>
    </xf>
    <xf numFmtId="49" fontId="46" fillId="0" borderId="32" xfId="3" applyNumberFormat="1" applyBorder="1" applyAlignment="1">
      <alignment horizontal="center"/>
    </xf>
    <xf numFmtId="0" fontId="16" fillId="0" borderId="0" xfId="4" applyFont="1" applyAlignment="1">
      <alignment horizontal="center"/>
    </xf>
    <xf numFmtId="0" fontId="6" fillId="0" borderId="0" xfId="4" applyFont="1" applyAlignment="1">
      <alignment horizontal="center"/>
    </xf>
    <xf numFmtId="0" fontId="51" fillId="0" borderId="12" xfId="4" applyFont="1" applyBorder="1" applyAlignment="1">
      <alignment horizontal="left"/>
    </xf>
    <xf numFmtId="0" fontId="51" fillId="0" borderId="13" xfId="4" applyFont="1" applyBorder="1" applyAlignment="1">
      <alignment horizontal="left"/>
    </xf>
    <xf numFmtId="0" fontId="51" fillId="0" borderId="14" xfId="4" applyFont="1" applyBorder="1" applyAlignment="1">
      <alignment horizontal="left"/>
    </xf>
    <xf numFmtId="0" fontId="23" fillId="0" borderId="63" xfId="4" applyFont="1" applyBorder="1" applyAlignment="1">
      <alignment horizontal="center"/>
    </xf>
    <xf numFmtId="0" fontId="23" fillId="0" borderId="27" xfId="4" applyFont="1" applyBorder="1" applyAlignment="1">
      <alignment horizontal="center"/>
    </xf>
    <xf numFmtId="0" fontId="52" fillId="0" borderId="103" xfId="4" applyFont="1" applyBorder="1" applyAlignment="1">
      <alignment horizontal="center"/>
    </xf>
    <xf numFmtId="0" fontId="52" fillId="0" borderId="64" xfId="4" applyFont="1" applyBorder="1" applyAlignment="1">
      <alignment horizontal="center"/>
    </xf>
    <xf numFmtId="0" fontId="52" fillId="0" borderId="27" xfId="4" applyFont="1" applyBorder="1" applyAlignment="1">
      <alignment horizontal="center"/>
    </xf>
    <xf numFmtId="0" fontId="8" fillId="0" borderId="135" xfId="4" applyFont="1" applyBorder="1" applyAlignment="1">
      <alignment horizontal="right"/>
    </xf>
    <xf numFmtId="0" fontId="8" fillId="0" borderId="133" xfId="4" applyFont="1" applyBorder="1" applyAlignment="1">
      <alignment horizontal="right"/>
    </xf>
    <xf numFmtId="0" fontId="23" fillId="0" borderId="133" xfId="4" applyFont="1" applyBorder="1" applyAlignment="1">
      <alignment horizontal="center"/>
    </xf>
    <xf numFmtId="0" fontId="23" fillId="0" borderId="36" xfId="4" applyFont="1" applyBorder="1" applyAlignment="1">
      <alignment horizontal="center"/>
    </xf>
    <xf numFmtId="0" fontId="23" fillId="0" borderId="37" xfId="4" applyFont="1" applyBorder="1" applyAlignment="1">
      <alignment horizontal="center"/>
    </xf>
    <xf numFmtId="0" fontId="23" fillId="0" borderId="46" xfId="4" applyFont="1" applyBorder="1" applyAlignment="1">
      <alignment horizontal="center"/>
    </xf>
    <xf numFmtId="0" fontId="23" fillId="0" borderId="23" xfId="4" applyFont="1" applyBorder="1" applyAlignment="1">
      <alignment horizontal="center"/>
    </xf>
    <xf numFmtId="0" fontId="23" fillId="0" borderId="24" xfId="4" applyFont="1" applyBorder="1" applyAlignment="1">
      <alignment horizontal="center"/>
    </xf>
    <xf numFmtId="0" fontId="52" fillId="0" borderId="63" xfId="4" applyFont="1" applyBorder="1" applyAlignment="1">
      <alignment horizontal="center"/>
    </xf>
    <xf numFmtId="0" fontId="46" fillId="0" borderId="27" xfId="4" applyBorder="1" applyAlignment="1">
      <alignment horizontal="center"/>
    </xf>
    <xf numFmtId="0" fontId="23" fillId="0" borderId="53" xfId="4" applyFont="1" applyBorder="1" applyAlignment="1">
      <alignment horizontal="center"/>
    </xf>
    <xf numFmtId="0" fontId="23" fillId="0" borderId="64" xfId="4" applyFont="1" applyBorder="1" applyAlignment="1">
      <alignment horizontal="center"/>
    </xf>
    <xf numFmtId="0" fontId="52" fillId="0" borderId="103" xfId="4" applyFont="1" applyBorder="1" applyAlignment="1">
      <alignment horizontal="right"/>
    </xf>
    <xf numFmtId="0" fontId="52" fillId="0" borderId="64" xfId="4" applyFont="1" applyBorder="1" applyAlignment="1">
      <alignment horizontal="right"/>
    </xf>
    <xf numFmtId="0" fontId="52" fillId="0" borderId="46" xfId="4" applyFont="1" applyBorder="1" applyAlignment="1">
      <alignment horizontal="right"/>
    </xf>
    <xf numFmtId="0" fontId="52" fillId="0" borderId="23" xfId="4" applyFont="1" applyBorder="1" applyAlignment="1">
      <alignment horizontal="right"/>
    </xf>
    <xf numFmtId="0" fontId="53" fillId="0" borderId="17" xfId="4" applyFont="1" applyBorder="1" applyAlignment="1">
      <alignment horizontal="center"/>
    </xf>
    <xf numFmtId="0" fontId="53" fillId="0" borderId="131" xfId="4" applyFont="1" applyBorder="1" applyAlignment="1">
      <alignment horizontal="center"/>
    </xf>
    <xf numFmtId="0" fontId="53" fillId="0" borderId="132" xfId="4" applyFont="1" applyBorder="1" applyAlignment="1">
      <alignment horizontal="center"/>
    </xf>
    <xf numFmtId="0" fontId="50" fillId="0" borderId="1" xfId="4" applyFont="1" applyBorder="1" applyAlignment="1">
      <alignment horizontal="center"/>
    </xf>
    <xf numFmtId="0" fontId="52" fillId="0" borderId="17" xfId="4" applyFont="1" applyBorder="1" applyAlignment="1">
      <alignment horizontal="center"/>
    </xf>
    <xf numFmtId="0" fontId="23" fillId="0" borderId="131" xfId="4" applyFont="1" applyBorder="1" applyAlignment="1">
      <alignment horizontal="center"/>
    </xf>
    <xf numFmtId="0" fontId="23" fillId="0" borderId="132" xfId="4" applyFont="1" applyBorder="1" applyAlignment="1">
      <alignment horizontal="center"/>
    </xf>
    <xf numFmtId="0" fontId="56" fillId="0" borderId="1" xfId="4" applyFont="1" applyBorder="1" applyAlignment="1">
      <alignment horizontal="center"/>
    </xf>
    <xf numFmtId="0" fontId="23" fillId="0" borderId="17" xfId="4" applyFont="1" applyBorder="1" applyAlignment="1">
      <alignment horizontal="center"/>
    </xf>
    <xf numFmtId="0" fontId="50" fillId="0" borderId="17" xfId="4" applyFont="1" applyBorder="1" applyAlignment="1">
      <alignment horizontal="right"/>
    </xf>
    <xf numFmtId="0" fontId="50" fillId="0" borderId="131" xfId="4" applyFont="1" applyBorder="1" applyAlignment="1">
      <alignment horizontal="right"/>
    </xf>
    <xf numFmtId="0" fontId="23" fillId="0" borderId="0" xfId="4" applyFont="1" applyAlignment="1">
      <alignment horizontal="center"/>
    </xf>
    <xf numFmtId="0" fontId="56" fillId="0" borderId="0" xfId="4" applyFont="1" applyAlignment="1">
      <alignment horizontal="right"/>
    </xf>
    <xf numFmtId="0" fontId="55" fillId="0" borderId="52" xfId="4" applyFont="1" applyBorder="1" applyAlignment="1">
      <alignment horizontal="center"/>
    </xf>
    <xf numFmtId="0" fontId="55" fillId="0" borderId="0" xfId="4" applyFont="1" applyAlignment="1">
      <alignment horizontal="center"/>
    </xf>
    <xf numFmtId="0" fontId="55" fillId="0" borderId="51" xfId="4" applyFont="1" applyBorder="1" applyAlignment="1">
      <alignment horizontal="center"/>
    </xf>
    <xf numFmtId="0" fontId="57" fillId="0" borderId="52" xfId="4" applyFont="1" applyBorder="1" applyAlignment="1">
      <alignment horizontal="center"/>
    </xf>
    <xf numFmtId="0" fontId="57" fillId="0" borderId="0" xfId="4" applyFont="1" applyAlignment="1">
      <alignment horizontal="center"/>
    </xf>
    <xf numFmtId="0" fontId="57" fillId="0" borderId="51" xfId="4" applyFont="1" applyBorder="1" applyAlignment="1">
      <alignment horizontal="center"/>
    </xf>
    <xf numFmtId="0" fontId="60" fillId="0" borderId="0" xfId="4" applyFont="1" applyAlignment="1">
      <alignment horizontal="center"/>
    </xf>
    <xf numFmtId="0" fontId="50" fillId="0" borderId="1" xfId="4" applyFont="1" applyBorder="1" applyAlignment="1">
      <alignment horizontal="right"/>
    </xf>
    <xf numFmtId="0" fontId="50" fillId="0" borderId="132" xfId="4" applyFont="1" applyBorder="1" applyAlignment="1">
      <alignment horizontal="center"/>
    </xf>
  </cellXfs>
  <cellStyles count="5">
    <cellStyle name="Normal" xfId="0" builtinId="0"/>
    <cellStyle name="Normal 2" xfId="1" xr:uid="{00000000-0005-0000-0000-000001000000}"/>
    <cellStyle name="Normal 3" xfId="4" xr:uid="{00000000-0005-0000-0000-000002000000}"/>
    <cellStyle name="Normal_OPTEST" xfId="2" xr:uid="{00000000-0005-0000-0000-000003000000}"/>
    <cellStyle name="Normal_PROJ_REV_HIST" xfId="3" xr:uid="{00000000-0005-0000-0000-000004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815076622161511"/>
          <c:y val="2.10084464623130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052047185534436"/>
          <c:y val="0.11344561089649031"/>
          <c:w val="0.67919170993230382"/>
          <c:h val="0.68067366537894192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115.5586080518153</c:v>
                </c:pt>
                <c:pt idx="2">
                  <c:v>205</c:v>
                </c:pt>
                <c:pt idx="3">
                  <c:v>146.65315040575888</c:v>
                </c:pt>
                <c:pt idx="4">
                  <c:v>130.55157334346151</c:v>
                </c:pt>
                <c:pt idx="5">
                  <c:v>125.67901769900863</c:v>
                </c:pt>
                <c:pt idx="6">
                  <c:v>124.16242590920089</c:v>
                </c:pt>
                <c:pt idx="7">
                  <c:v>124.10696410735633</c:v>
                </c:pt>
                <c:pt idx="8">
                  <c:v>124.07093621778235</c:v>
                </c:pt>
                <c:pt idx="9">
                  <c:v>124.04927397374487</c:v>
                </c:pt>
                <c:pt idx="10">
                  <c:v>124.02946833697074</c:v>
                </c:pt>
                <c:pt idx="11">
                  <c:v>124.01654183213263</c:v>
                </c:pt>
                <c:pt idx="12">
                  <c:v>124.00416329957984</c:v>
                </c:pt>
                <c:pt idx="13">
                  <c:v>124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C9-4601-8644-B47400869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541440"/>
        <c:axId val="148555648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0.25606253743171692</c:v>
                </c:pt>
                <c:pt idx="1">
                  <c:v>137.37158203125</c:v>
                </c:pt>
                <c:pt idx="2">
                  <c:v>394.81265258789063</c:v>
                </c:pt>
                <c:pt idx="3">
                  <c:v>456.8087158203125</c:v>
                </c:pt>
                <c:pt idx="4">
                  <c:v>475.47805786132813</c:v>
                </c:pt>
                <c:pt idx="5">
                  <c:v>485.89642333984375</c:v>
                </c:pt>
                <c:pt idx="6">
                  <c:v>500.76101684570313</c:v>
                </c:pt>
                <c:pt idx="7">
                  <c:v>512.525634765625</c:v>
                </c:pt>
                <c:pt idx="8">
                  <c:v>522.21173095703125</c:v>
                </c:pt>
                <c:pt idx="9">
                  <c:v>530.0684814453125</c:v>
                </c:pt>
                <c:pt idx="10">
                  <c:v>536.27947998046875</c:v>
                </c:pt>
                <c:pt idx="11">
                  <c:v>541.13177490234375</c:v>
                </c:pt>
                <c:pt idx="12">
                  <c:v>545.14349365234375</c:v>
                </c:pt>
                <c:pt idx="13">
                  <c:v>548.521728515625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1C9-4601-8644-B47400869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557824"/>
        <c:axId val="148559360"/>
      </c:scatterChart>
      <c:valAx>
        <c:axId val="148541440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641680085011864"/>
              <c:y val="0.8907581300020721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48555648"/>
        <c:crossesAt val="0"/>
        <c:crossBetween val="midCat"/>
        <c:majorUnit val="0.2"/>
        <c:minorUnit val="0.2"/>
      </c:valAx>
      <c:valAx>
        <c:axId val="148555648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450887445368167E-2"/>
              <c:y val="0.2899165611799197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48541440"/>
        <c:crosses val="max"/>
        <c:crossBetween val="midCat"/>
        <c:majorUnit val="50"/>
        <c:minorUnit val="50"/>
      </c:valAx>
      <c:valAx>
        <c:axId val="148557824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148559360"/>
        <c:crosses val="autoZero"/>
        <c:crossBetween val="midCat"/>
      </c:valAx>
      <c:valAx>
        <c:axId val="148559360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774697399263628"/>
              <c:y val="0.2563030468402188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48557824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 Sheet'!$S$14:$S$18</c:f>
              <c:numCache>
                <c:formatCode>General</c:formatCode>
                <c:ptCount val="5"/>
                <c:pt idx="0">
                  <c:v>3.2124539610402758</c:v>
                </c:pt>
                <c:pt idx="1">
                  <c:v>3.1553360374650619</c:v>
                </c:pt>
                <c:pt idx="2">
                  <c:v>3.0681858617461617</c:v>
                </c:pt>
                <c:pt idx="3">
                  <c:v>2.9527924430440922</c:v>
                </c:pt>
                <c:pt idx="4">
                  <c:v>2.9283958522567137</c:v>
                </c:pt>
              </c:numCache>
            </c:numRef>
          </c:xVal>
          <c:yVal>
            <c:numRef>
              <c:f>'Data Sheet'!$T$14:$T$18</c:f>
              <c:numCache>
                <c:formatCode>General</c:formatCode>
                <c:ptCount val="5"/>
                <c:pt idx="0">
                  <c:v>3.0675172019036752</c:v>
                </c:pt>
                <c:pt idx="1">
                  <c:v>3.0011710149414008</c:v>
                </c:pt>
                <c:pt idx="2">
                  <c:v>2.9026554752179261</c:v>
                </c:pt>
                <c:pt idx="3">
                  <c:v>2.8149131812750738</c:v>
                </c:pt>
                <c:pt idx="4">
                  <c:v>2.7511250715355833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E37-4A90-9216-709DE5A2B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682248"/>
        <c:axId val="733680808"/>
      </c:scatterChart>
      <c:valAx>
        <c:axId val="733682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680808"/>
        <c:crosses val="autoZero"/>
        <c:crossBetween val="midCat"/>
      </c:valAx>
      <c:valAx>
        <c:axId val="733680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682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80692545009"/>
          <c:y val="2.85171102661596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smoothMarker"/>
        <c:varyColors val="0"/>
        <c:ser>
          <c:idx val="0"/>
          <c:order val="0"/>
          <c:tx>
            <c:v>Torque (FV)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115.5586080518153</c:v>
                </c:pt>
                <c:pt idx="2">
                  <c:v>205</c:v>
                </c:pt>
                <c:pt idx="3">
                  <c:v>146.65315040575888</c:v>
                </c:pt>
                <c:pt idx="4">
                  <c:v>130.55157334346151</c:v>
                </c:pt>
                <c:pt idx="5">
                  <c:v>125.67901769900863</c:v>
                </c:pt>
                <c:pt idx="6">
                  <c:v>124.16242590920089</c:v>
                </c:pt>
                <c:pt idx="7">
                  <c:v>124.10696410735633</c:v>
                </c:pt>
                <c:pt idx="8">
                  <c:v>124.07093621778235</c:v>
                </c:pt>
                <c:pt idx="9">
                  <c:v>124.04927397374487</c:v>
                </c:pt>
                <c:pt idx="10">
                  <c:v>124.02946833697074</c:v>
                </c:pt>
                <c:pt idx="11">
                  <c:v>124.01654183213263</c:v>
                </c:pt>
                <c:pt idx="12">
                  <c:v>124.00416329957984</c:v>
                </c:pt>
                <c:pt idx="13">
                  <c:v>124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2D5-48B9-BAC2-632BFBE40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838336"/>
        <c:axId val="153840256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0.25606253743171692</c:v>
                </c:pt>
                <c:pt idx="1">
                  <c:v>137.37158203125</c:v>
                </c:pt>
                <c:pt idx="2">
                  <c:v>394.81265258789063</c:v>
                </c:pt>
                <c:pt idx="3">
                  <c:v>456.8087158203125</c:v>
                </c:pt>
                <c:pt idx="4">
                  <c:v>475.47805786132813</c:v>
                </c:pt>
                <c:pt idx="5">
                  <c:v>485.89642333984375</c:v>
                </c:pt>
                <c:pt idx="6">
                  <c:v>500.76101684570313</c:v>
                </c:pt>
                <c:pt idx="7">
                  <c:v>512.525634765625</c:v>
                </c:pt>
                <c:pt idx="8">
                  <c:v>522.21173095703125</c:v>
                </c:pt>
                <c:pt idx="9">
                  <c:v>530.0684814453125</c:v>
                </c:pt>
                <c:pt idx="10">
                  <c:v>536.27947998046875</c:v>
                </c:pt>
                <c:pt idx="11">
                  <c:v>541.13177490234375</c:v>
                </c:pt>
                <c:pt idx="12">
                  <c:v>545.14349365234375</c:v>
                </c:pt>
                <c:pt idx="13">
                  <c:v>548.521728515625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2D5-48B9-BAC2-632BFBE40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846528"/>
        <c:axId val="153848064"/>
      </c:scatterChart>
      <c:valAx>
        <c:axId val="153838336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7186075424"/>
              <c:y val="0.8460084029420276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3840256"/>
        <c:crosses val="autoZero"/>
        <c:crossBetween val="midCat"/>
        <c:majorUnit val="20"/>
        <c:minorUnit val="20"/>
      </c:valAx>
      <c:valAx>
        <c:axId val="1538402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175438596492E-2"/>
              <c:y val="0.296578146362883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3838336"/>
        <c:crosses val="autoZero"/>
        <c:crossBetween val="midCat"/>
      </c:valAx>
      <c:valAx>
        <c:axId val="153846528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153848064"/>
        <c:crosses val="autoZero"/>
        <c:crossBetween val="midCat"/>
      </c:valAx>
      <c:valAx>
        <c:axId val="153848064"/>
        <c:scaling>
          <c:orientation val="minMax"/>
          <c:max val="75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306119629783"/>
              <c:y val="0.29277586499406205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3846528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210581572040333"/>
          <c:y val="0.94106543716255997"/>
          <c:w val="0.197099967767187"/>
          <c:h val="5.893456283743999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548.52173913043475</c:v>
                </c:pt>
                <c:pt idx="1">
                  <c:v>470.35564347826084</c:v>
                </c:pt>
                <c:pt idx="2">
                  <c:v>392.16609565217391</c:v>
                </c:pt>
                <c:pt idx="3">
                  <c:v>314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35</c:v>
                </c:pt>
                <c:pt idx="1">
                  <c:v>47.599568367845208</c:v>
                </c:pt>
                <c:pt idx="2">
                  <c:v>68.472414766436458</c:v>
                </c:pt>
                <c:pt idx="3">
                  <c:v>106.80619335930145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54C-4FFA-9C00-1133F6298A9A}"/>
            </c:ext>
          </c:extLst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548.52173913043475</c:v>
                </c:pt>
                <c:pt idx="1">
                  <c:v>470.35564347826084</c:v>
                </c:pt>
                <c:pt idx="2">
                  <c:v>392.16609565217391</c:v>
                </c:pt>
                <c:pt idx="3">
                  <c:v>314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15</c:v>
                </c:pt>
                <c:pt idx="1">
                  <c:v>20.399815014790804</c:v>
                </c:pt>
                <c:pt idx="2">
                  <c:v>29.345320614187056</c:v>
                </c:pt>
                <c:pt idx="3">
                  <c:v>45.774082868272046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54C-4FFA-9C00-1133F6298A9A}"/>
            </c:ext>
          </c:extLst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214</c:v>
                </c:pt>
                <c:pt idx="1">
                  <c:v>114</c:v>
                </c:pt>
                <c:pt idx="2">
                  <c:v>205</c:v>
                </c:pt>
                <c:pt idx="3" formatCode="General">
                  <c:v>180</c:v>
                </c:pt>
                <c:pt idx="4" formatCode="General">
                  <c:v>120</c:v>
                </c:pt>
                <c:pt idx="5" formatCode="General">
                  <c:v>110</c:v>
                </c:pt>
                <c:pt idx="6" formatCode="General">
                  <c:v>110</c:v>
                </c:pt>
                <c:pt idx="7" formatCode="General">
                  <c:v>110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107.39182568661869</c:v>
                </c:pt>
                <c:pt idx="3">
                  <c:v>139.29448995309104</c:v>
                </c:pt>
                <c:pt idx="4">
                  <c:v>313.41260239445489</c:v>
                </c:pt>
                <c:pt idx="5" formatCode="0">
                  <c:v>700</c:v>
                </c:pt>
                <c:pt idx="6" formatCode="0">
                  <c:v>1400</c:v>
                </c:pt>
                <c:pt idx="7" formatCode="General">
                  <c:v>10000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54C-4FFA-9C00-1133F6298A9A}"/>
            </c:ext>
          </c:extLst>
        </c:ser>
        <c:ser>
          <c:idx val="3"/>
          <c:order val="3"/>
          <c:tx>
            <c:v>Acceleration Curve</c:v>
          </c:tx>
          <c:spPr>
            <a:ln w="25400">
              <a:solidFill>
                <a:srgbClr val="336666"/>
              </a:solidFill>
              <a:prstDash val="solid"/>
            </a:ln>
          </c:spPr>
          <c:marker>
            <c:symbol val="none"/>
          </c:marker>
          <c:xVal>
            <c:numRef>
              <c:f>Thermdam!$E$68:$E$81</c:f>
              <c:numCache>
                <c:formatCode>0</c:formatCode>
                <c:ptCount val="14"/>
                <c:pt idx="0">
                  <c:v>548.52173913043475</c:v>
                </c:pt>
                <c:pt idx="1">
                  <c:v>546.8347826086956</c:v>
                </c:pt>
                <c:pt idx="2">
                  <c:v>543.13043478260875</c:v>
                </c:pt>
                <c:pt idx="3">
                  <c:v>538.71304347826083</c:v>
                </c:pt>
                <c:pt idx="4">
                  <c:v>533.18260869565222</c:v>
                </c:pt>
                <c:pt idx="5">
                  <c:v>526.1391304347826</c:v>
                </c:pt>
                <c:pt idx="6">
                  <c:v>517.3739130434783</c:v>
                </c:pt>
                <c:pt idx="7">
                  <c:v>506.64347826086959</c:v>
                </c:pt>
                <c:pt idx="8">
                  <c:v>493.32173913043476</c:v>
                </c:pt>
                <c:pt idx="9">
                  <c:v>480.69565217391306</c:v>
                </c:pt>
                <c:pt idx="10">
                  <c:v>466.1391304347826</c:v>
                </c:pt>
                <c:pt idx="11">
                  <c:v>425.80869565217392</c:v>
                </c:pt>
                <c:pt idx="12">
                  <c:v>266.08695652173913</c:v>
                </c:pt>
                <c:pt idx="13">
                  <c:v>0</c:v>
                </c:pt>
              </c:numCache>
            </c:numRef>
          </c:xVal>
          <c:yVal>
            <c:numRef>
              <c:f>Thermdam!$F$68:$F$81</c:f>
              <c:numCache>
                <c:formatCode>0.00</c:formatCode>
                <c:ptCount val="14"/>
                <c:pt idx="0">
                  <c:v>1E-4</c:v>
                </c:pt>
                <c:pt idx="1">
                  <c:v>0.5350000262260437</c:v>
                </c:pt>
                <c:pt idx="2">
                  <c:v>1.0170000791549683</c:v>
                </c:pt>
                <c:pt idx="3">
                  <c:v>1.4820001125335693</c:v>
                </c:pt>
                <c:pt idx="4">
                  <c:v>1.9490001201629639</c:v>
                </c:pt>
                <c:pt idx="5">
                  <c:v>2.4360001087188721</c:v>
                </c:pt>
                <c:pt idx="6">
                  <c:v>2.9590001106262207</c:v>
                </c:pt>
                <c:pt idx="7">
                  <c:v>3.5450000762939453</c:v>
                </c:pt>
                <c:pt idx="8">
                  <c:v>4.249000072479248</c:v>
                </c:pt>
                <c:pt idx="9">
                  <c:v>4.6719999313354492</c:v>
                </c:pt>
                <c:pt idx="10">
                  <c:v>5.1139998435974121</c:v>
                </c:pt>
                <c:pt idx="11">
                  <c:v>5.4340000152587891</c:v>
                </c:pt>
                <c:pt idx="12">
                  <c:v>5.5019998550415039</c:v>
                </c:pt>
                <c:pt idx="13">
                  <c:v>5.6319999694824219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54C-4FFA-9C00-1133F6298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061056"/>
        <c:axId val="154063232"/>
      </c:scatterChart>
      <c:valAx>
        <c:axId val="154061056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763235956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4063232"/>
        <c:crossesAt val="0.1"/>
        <c:crossBetween val="midCat"/>
        <c:majorUnit val="100"/>
      </c:valAx>
      <c:valAx>
        <c:axId val="154063232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55582475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4061056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49" name="Chart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561022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547687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548640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545782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560070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238125</xdr:colOff>
      <xdr:row>35</xdr:row>
      <xdr:rowOff>114300</xdr:rowOff>
    </xdr:from>
    <xdr:to>
      <xdr:col>3</xdr:col>
      <xdr:colOff>542925</xdr:colOff>
      <xdr:row>36</xdr:row>
      <xdr:rowOff>9525</xdr:rowOff>
    </xdr:to>
    <xdr:sp macro="" textlink="">
      <xdr:nvSpPr>
        <xdr:cNvPr id="7" name="Depth2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1971675" y="8181975"/>
          <a:ext cx="3048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40.55</a:t>
          </a:r>
        </a:p>
      </xdr:txBody>
    </xdr:sp>
    <xdr:clientData/>
  </xdr:twoCellAnchor>
  <xdr:twoCellAnchor>
    <xdr:from>
      <xdr:col>1</xdr:col>
      <xdr:colOff>314325</xdr:colOff>
      <xdr:row>33</xdr:row>
      <xdr:rowOff>190500</xdr:rowOff>
    </xdr:from>
    <xdr:to>
      <xdr:col>2</xdr:col>
      <xdr:colOff>123825</xdr:colOff>
      <xdr:row>34</xdr:row>
      <xdr:rowOff>66675</xdr:rowOff>
    </xdr:to>
    <xdr:sp macro="" textlink="">
      <xdr:nvSpPr>
        <xdr:cNvPr id="8" name="Tip2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1123950" y="7800975"/>
          <a:ext cx="21907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5.50</a:t>
          </a:r>
        </a:p>
      </xdr:txBody>
    </xdr:sp>
    <xdr:clientData/>
  </xdr:twoCellAnchor>
  <xdr:twoCellAnchor>
    <xdr:from>
      <xdr:col>2</xdr:col>
      <xdr:colOff>228600</xdr:colOff>
      <xdr:row>33</xdr:row>
      <xdr:rowOff>57150</xdr:rowOff>
    </xdr:from>
    <xdr:to>
      <xdr:col>3</xdr:col>
      <xdr:colOff>38100</xdr:colOff>
      <xdr:row>33</xdr:row>
      <xdr:rowOff>152400</xdr:rowOff>
    </xdr:to>
    <xdr:sp macro="" textlink="">
      <xdr:nvSpPr>
        <xdr:cNvPr id="9" name="Openi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>
          <a:off x="1447800" y="7667625"/>
          <a:ext cx="32385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5.00</a:t>
          </a:r>
        </a:p>
      </xdr:txBody>
    </xdr:sp>
    <xdr:clientData/>
  </xdr:twoCellAnchor>
  <xdr:twoCellAnchor>
    <xdr:from>
      <xdr:col>2</xdr:col>
      <xdr:colOff>180975</xdr:colOff>
      <xdr:row>36</xdr:row>
      <xdr:rowOff>171450</xdr:rowOff>
    </xdr:from>
    <xdr:to>
      <xdr:col>3</xdr:col>
      <xdr:colOff>38100</xdr:colOff>
      <xdr:row>37</xdr:row>
      <xdr:rowOff>38100</xdr:rowOff>
    </xdr:to>
    <xdr:sp macro="" textlink="">
      <xdr:nvSpPr>
        <xdr:cNvPr id="10" name="Width3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>
          <a:spLocks noChangeArrowheads="1"/>
        </xdr:cNvSpPr>
      </xdr:nvSpPr>
      <xdr:spPr bwMode="auto">
        <a:xfrm>
          <a:off x="1400175" y="8467725"/>
          <a:ext cx="371475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12.05</a:t>
          </a:r>
        </a:p>
      </xdr:txBody>
    </xdr:sp>
    <xdr:clientData/>
  </xdr:twoCellAnchor>
  <xdr:twoCellAnchor>
    <xdr:from>
      <xdr:col>2</xdr:col>
      <xdr:colOff>104775</xdr:colOff>
      <xdr:row>33</xdr:row>
      <xdr:rowOff>180975</xdr:rowOff>
    </xdr:from>
    <xdr:to>
      <xdr:col>3</xdr:col>
      <xdr:colOff>400050</xdr:colOff>
      <xdr:row>37</xdr:row>
      <xdr:rowOff>171450</xdr:rowOff>
    </xdr:to>
    <xdr:grpSp>
      <xdr:nvGrpSpPr>
        <xdr:cNvPr id="11" name="Group 155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pSpPr>
          <a:grpSpLocks/>
        </xdr:cNvGrpSpPr>
      </xdr:nvGrpSpPr>
      <xdr:grpSpPr bwMode="auto">
        <a:xfrm>
          <a:off x="1326216" y="7655299"/>
          <a:ext cx="810746" cy="886945"/>
          <a:chOff x="133" y="794"/>
          <a:chExt cx="85" cy="95"/>
        </a:xfrm>
      </xdr:grpSpPr>
      <xdr:sp macro="" textlink="">
        <xdr:nvSpPr>
          <xdr:cNvPr id="12" name="Line 62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>
            <a:spLocks noChangeShapeType="1"/>
          </xdr:cNvSpPr>
        </xdr:nvSpPr>
        <xdr:spPr bwMode="auto">
          <a:xfrm>
            <a:off x="134" y="794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63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70" y="794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64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3" y="876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65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>
            <a:spLocks noChangeShapeType="1"/>
          </xdr:cNvSpPr>
        </xdr:nvSpPr>
        <xdr:spPr bwMode="auto">
          <a:xfrm>
            <a:off x="154" y="877"/>
            <a:ext cx="3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69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00" y="889"/>
            <a:ext cx="1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70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10" y="795"/>
            <a:ext cx="0" cy="3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71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>
            <a:spLocks noChangeShapeType="1"/>
          </xdr:cNvSpPr>
        </xdr:nvSpPr>
        <xdr:spPr bwMode="auto">
          <a:xfrm>
            <a:off x="210" y="847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72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SpPr>
            <a:spLocks noChangeShapeType="1"/>
          </xdr:cNvSpPr>
        </xdr:nvSpPr>
        <xdr:spPr bwMode="auto">
          <a:xfrm>
            <a:off x="200" y="794"/>
            <a:ext cx="1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74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3" y="871"/>
            <a:ext cx="0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75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90" y="868"/>
            <a:ext cx="0" cy="2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76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3" y="805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77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3" y="805"/>
            <a:ext cx="0" cy="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78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54" y="794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79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>
            <a:spLocks noChangeShapeType="1"/>
          </xdr:cNvSpPr>
        </xdr:nvSpPr>
        <xdr:spPr bwMode="auto">
          <a:xfrm>
            <a:off x="170" y="794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81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SpPr>
            <a:spLocks noChangeShapeType="1"/>
          </xdr:cNvSpPr>
        </xdr:nvSpPr>
        <xdr:spPr bwMode="auto">
          <a:xfrm>
            <a:off x="139" y="794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82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94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83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7" y="794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84">
            <a:extLst>
              <a:ext uri="{FF2B5EF4-FFF2-40B4-BE49-F238E27FC236}">
                <a16:creationId xmlns:a16="http://schemas.microsoft.com/office/drawing/2014/main" id="{00000000-0008-0000-0100-00001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9" y="801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85">
            <a:extLst>
              <a:ext uri="{FF2B5EF4-FFF2-40B4-BE49-F238E27FC236}">
                <a16:creationId xmlns:a16="http://schemas.microsoft.com/office/drawing/2014/main" id="{00000000-0008-0000-0100-00001E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7" y="801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86">
            <a:extLst>
              <a:ext uri="{FF2B5EF4-FFF2-40B4-BE49-F238E27FC236}">
                <a16:creationId xmlns:a16="http://schemas.microsoft.com/office/drawing/2014/main" id="{00000000-0008-0000-0100-00001F000000}"/>
              </a:ext>
            </a:extLst>
          </xdr:cNvPr>
          <xdr:cNvSpPr>
            <a:spLocks noChangeShapeType="1"/>
          </xdr:cNvSpPr>
        </xdr:nvSpPr>
        <xdr:spPr bwMode="auto">
          <a:xfrm>
            <a:off x="190" y="805"/>
            <a:ext cx="0" cy="8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87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SpPr>
            <a:spLocks noChangeShapeType="1"/>
          </xdr:cNvSpPr>
        </xdr:nvSpPr>
        <xdr:spPr bwMode="auto">
          <a:xfrm>
            <a:off x="169" y="805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88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SpPr>
            <a:spLocks noChangeShapeType="1"/>
          </xdr:cNvSpPr>
        </xdr:nvSpPr>
        <xdr:spPr bwMode="auto">
          <a:xfrm>
            <a:off x="133" y="889"/>
            <a:ext cx="5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89">
            <a:extLst>
              <a:ext uri="{FF2B5EF4-FFF2-40B4-BE49-F238E27FC236}">
                <a16:creationId xmlns:a16="http://schemas.microsoft.com/office/drawing/2014/main" id="{00000000-0008-0000-0100-000022000000}"/>
              </a:ext>
            </a:extLst>
          </xdr:cNvPr>
          <xdr:cNvSpPr>
            <a:spLocks noChangeShapeType="1"/>
          </xdr:cNvSpPr>
        </xdr:nvSpPr>
        <xdr:spPr bwMode="auto">
          <a:xfrm>
            <a:off x="154" y="797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90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91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54" y="797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92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93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7" y="797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94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>
            <a:spLocks noChangeShapeType="1"/>
          </xdr:cNvSpPr>
        </xdr:nvSpPr>
        <xdr:spPr bwMode="auto">
          <a:xfrm>
            <a:off x="167" y="795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180975</xdr:colOff>
      <xdr:row>29</xdr:row>
      <xdr:rowOff>76200</xdr:rowOff>
    </xdr:from>
    <xdr:to>
      <xdr:col>3</xdr:col>
      <xdr:colOff>447675</xdr:colOff>
      <xdr:row>29</xdr:row>
      <xdr:rowOff>200025</xdr:rowOff>
    </xdr:to>
    <xdr:sp macro="" textlink="">
      <xdr:nvSpPr>
        <xdr:cNvPr id="40" name="Depth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 txBox="1">
          <a:spLocks noChangeArrowheads="1"/>
        </xdr:cNvSpPr>
      </xdr:nvSpPr>
      <xdr:spPr bwMode="auto">
        <a:xfrm>
          <a:off x="1914525" y="6772275"/>
          <a:ext cx="2667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76.0</a:t>
          </a:r>
        </a:p>
      </xdr:txBody>
    </xdr:sp>
    <xdr:clientData/>
  </xdr:twoCellAnchor>
  <xdr:twoCellAnchor>
    <xdr:from>
      <xdr:col>1</xdr:col>
      <xdr:colOff>114300</xdr:colOff>
      <xdr:row>30</xdr:row>
      <xdr:rowOff>219075</xdr:rowOff>
    </xdr:from>
    <xdr:to>
      <xdr:col>2</xdr:col>
      <xdr:colOff>95250</xdr:colOff>
      <xdr:row>31</xdr:row>
      <xdr:rowOff>95250</xdr:rowOff>
    </xdr:to>
    <xdr:sp macro="" textlink="">
      <xdr:nvSpPr>
        <xdr:cNvPr id="41" name="Tip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>
          <a:spLocks noChangeArrowheads="1"/>
        </xdr:cNvSpPr>
      </xdr:nvSpPr>
      <xdr:spPr bwMode="auto">
        <a:xfrm>
          <a:off x="923925" y="7143750"/>
          <a:ext cx="39052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3.65</a:t>
          </a:r>
        </a:p>
      </xdr:txBody>
    </xdr:sp>
    <xdr:clientData/>
  </xdr:twoCellAnchor>
  <xdr:twoCellAnchor>
    <xdr:from>
      <xdr:col>2</xdr:col>
      <xdr:colOff>238125</xdr:colOff>
      <xdr:row>26</xdr:row>
      <xdr:rowOff>190500</xdr:rowOff>
    </xdr:from>
    <xdr:to>
      <xdr:col>3</xdr:col>
      <xdr:colOff>28575</xdr:colOff>
      <xdr:row>27</xdr:row>
      <xdr:rowOff>57150</xdr:rowOff>
    </xdr:to>
    <xdr:sp macro="" textlink="">
      <xdr:nvSpPr>
        <xdr:cNvPr id="42" name="Width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 txBox="1">
          <a:spLocks noChangeArrowheads="1"/>
        </xdr:cNvSpPr>
      </xdr:nvSpPr>
      <xdr:spPr bwMode="auto">
        <a:xfrm>
          <a:off x="1457325" y="6200775"/>
          <a:ext cx="3048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15.2</a:t>
          </a:r>
        </a:p>
      </xdr:txBody>
    </xdr:sp>
    <xdr:clientData/>
  </xdr:twoCellAnchor>
  <xdr:twoCellAnchor>
    <xdr:from>
      <xdr:col>2</xdr:col>
      <xdr:colOff>0</xdr:colOff>
      <xdr:row>27</xdr:row>
      <xdr:rowOff>47625</xdr:rowOff>
    </xdr:from>
    <xdr:to>
      <xdr:col>3</xdr:col>
      <xdr:colOff>428625</xdr:colOff>
      <xdr:row>31</xdr:row>
      <xdr:rowOff>209550</xdr:rowOff>
    </xdr:to>
    <xdr:grpSp>
      <xdr:nvGrpSpPr>
        <xdr:cNvPr id="43" name="Group 209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GrpSpPr>
          <a:grpSpLocks/>
        </xdr:cNvGrpSpPr>
      </xdr:nvGrpSpPr>
      <xdr:grpSpPr bwMode="auto">
        <a:xfrm>
          <a:off x="1221441" y="6177243"/>
          <a:ext cx="944096" cy="1058395"/>
          <a:chOff x="128" y="636"/>
          <a:chExt cx="99" cy="113"/>
        </a:xfrm>
      </xdr:grpSpPr>
      <xdr:sp macro="" textlink="">
        <xdr:nvSpPr>
          <xdr:cNvPr id="44" name="Line 162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92" y="650"/>
            <a:ext cx="1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63">
            <a:extLst>
              <a:ext uri="{FF2B5EF4-FFF2-40B4-BE49-F238E27FC236}">
                <a16:creationId xmlns:a16="http://schemas.microsoft.com/office/drawing/2014/main" id="{00000000-0008-0000-0100-00002D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4" y="651"/>
            <a:ext cx="4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64">
            <a:extLst>
              <a:ext uri="{FF2B5EF4-FFF2-40B4-BE49-F238E27FC236}">
                <a16:creationId xmlns:a16="http://schemas.microsoft.com/office/drawing/2014/main" id="{00000000-0008-0000-0100-00002E000000}"/>
              </a:ext>
            </a:extLst>
          </xdr:cNvPr>
          <xdr:cNvSpPr>
            <a:spLocks noChangeShapeType="1"/>
          </xdr:cNvSpPr>
        </xdr:nvSpPr>
        <xdr:spPr bwMode="auto">
          <a:xfrm>
            <a:off x="193" y="650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65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SpPr>
            <a:spLocks noChangeShapeType="1"/>
          </xdr:cNvSpPr>
        </xdr:nvSpPr>
        <xdr:spPr bwMode="auto">
          <a:xfrm>
            <a:off x="146" y="651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66">
            <a:extLst>
              <a:ext uri="{FF2B5EF4-FFF2-40B4-BE49-F238E27FC236}">
                <a16:creationId xmlns:a16="http://schemas.microsoft.com/office/drawing/2014/main" id="{00000000-0008-0000-0100-000030000000}"/>
              </a:ext>
            </a:extLst>
          </xdr:cNvPr>
          <xdr:cNvSpPr>
            <a:spLocks noChangeShapeType="1"/>
          </xdr:cNvSpPr>
        </xdr:nvSpPr>
        <xdr:spPr bwMode="auto">
          <a:xfrm>
            <a:off x="140" y="723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67">
            <a:extLst>
              <a:ext uri="{FF2B5EF4-FFF2-40B4-BE49-F238E27FC236}">
                <a16:creationId xmlns:a16="http://schemas.microsoft.com/office/drawing/2014/main" id="{00000000-0008-0000-0100-000031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200" y="728"/>
            <a:ext cx="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68">
            <a:extLst>
              <a:ext uri="{FF2B5EF4-FFF2-40B4-BE49-F238E27FC236}">
                <a16:creationId xmlns:a16="http://schemas.microsoft.com/office/drawing/2014/main" id="{00000000-0008-0000-0100-000032000000}"/>
              </a:ext>
            </a:extLst>
          </xdr:cNvPr>
          <xdr:cNvSpPr>
            <a:spLocks noChangeShapeType="1"/>
          </xdr:cNvSpPr>
        </xdr:nvSpPr>
        <xdr:spPr bwMode="auto">
          <a:xfrm>
            <a:off x="140" y="729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69">
            <a:extLst>
              <a:ext uri="{FF2B5EF4-FFF2-40B4-BE49-F238E27FC236}">
                <a16:creationId xmlns:a16="http://schemas.microsoft.com/office/drawing/2014/main" id="{00000000-0008-0000-0100-000033000000}"/>
              </a:ext>
            </a:extLst>
          </xdr:cNvPr>
          <xdr:cNvSpPr>
            <a:spLocks noChangeShapeType="1"/>
          </xdr:cNvSpPr>
        </xdr:nvSpPr>
        <xdr:spPr bwMode="auto">
          <a:xfrm>
            <a:off x="192" y="728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170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SpPr>
            <a:spLocks noChangeShapeType="1"/>
          </xdr:cNvSpPr>
        </xdr:nvSpPr>
        <xdr:spPr bwMode="auto">
          <a:xfrm>
            <a:off x="147" y="73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71">
            <a:extLst>
              <a:ext uri="{FF2B5EF4-FFF2-40B4-BE49-F238E27FC236}">
                <a16:creationId xmlns:a16="http://schemas.microsoft.com/office/drawing/2014/main" id="{00000000-0008-0000-0100-000035000000}"/>
              </a:ext>
            </a:extLst>
          </xdr:cNvPr>
          <xdr:cNvSpPr>
            <a:spLocks noChangeShapeType="1"/>
          </xdr:cNvSpPr>
        </xdr:nvSpPr>
        <xdr:spPr bwMode="auto">
          <a:xfrm>
            <a:off x="192" y="738"/>
            <a:ext cx="1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72">
            <a:extLst>
              <a:ext uri="{FF2B5EF4-FFF2-40B4-BE49-F238E27FC236}">
                <a16:creationId xmlns:a16="http://schemas.microsoft.com/office/drawing/2014/main" id="{00000000-0008-0000-0100-000036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1" y="738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173">
            <a:extLst>
              <a:ext uri="{FF2B5EF4-FFF2-40B4-BE49-F238E27FC236}">
                <a16:creationId xmlns:a16="http://schemas.microsoft.com/office/drawing/2014/main" id="{00000000-0008-0000-0100-000037000000}"/>
              </a:ext>
            </a:extLst>
          </xdr:cNvPr>
          <xdr:cNvSpPr>
            <a:spLocks noChangeShapeType="1"/>
          </xdr:cNvSpPr>
        </xdr:nvSpPr>
        <xdr:spPr bwMode="auto">
          <a:xfrm>
            <a:off x="200" y="652"/>
            <a:ext cx="2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74">
            <a:extLst>
              <a:ext uri="{FF2B5EF4-FFF2-40B4-BE49-F238E27FC236}">
                <a16:creationId xmlns:a16="http://schemas.microsoft.com/office/drawing/2014/main" id="{00000000-0008-0000-0100-000038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10" y="653"/>
            <a:ext cx="0" cy="3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175">
            <a:extLst>
              <a:ext uri="{FF2B5EF4-FFF2-40B4-BE49-F238E27FC236}">
                <a16:creationId xmlns:a16="http://schemas.microsoft.com/office/drawing/2014/main" id="{00000000-0008-0000-0100-000039000000}"/>
              </a:ext>
            </a:extLst>
          </xdr:cNvPr>
          <xdr:cNvSpPr>
            <a:spLocks noChangeShapeType="1"/>
          </xdr:cNvSpPr>
        </xdr:nvSpPr>
        <xdr:spPr bwMode="auto">
          <a:xfrm>
            <a:off x="210" y="707"/>
            <a:ext cx="0" cy="2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176">
            <a:extLst>
              <a:ext uri="{FF2B5EF4-FFF2-40B4-BE49-F238E27FC236}">
                <a16:creationId xmlns:a16="http://schemas.microsoft.com/office/drawing/2014/main" id="{00000000-0008-0000-0100-00003A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4" y="739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177">
            <a:extLst>
              <a:ext uri="{FF2B5EF4-FFF2-40B4-BE49-F238E27FC236}">
                <a16:creationId xmlns:a16="http://schemas.microsoft.com/office/drawing/2014/main" id="{00000000-0008-0000-0100-00003B000000}"/>
              </a:ext>
            </a:extLst>
          </xdr:cNvPr>
          <xdr:cNvSpPr>
            <a:spLocks noChangeShapeType="1"/>
          </xdr:cNvSpPr>
        </xdr:nvSpPr>
        <xdr:spPr bwMode="auto">
          <a:xfrm>
            <a:off x="132" y="713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178">
            <a:extLst>
              <a:ext uri="{FF2B5EF4-FFF2-40B4-BE49-F238E27FC236}">
                <a16:creationId xmlns:a16="http://schemas.microsoft.com/office/drawing/2014/main" id="{00000000-0008-0000-0100-00003C000000}"/>
              </a:ext>
            </a:extLst>
          </xdr:cNvPr>
          <xdr:cNvSpPr>
            <a:spLocks noChangeShapeType="1"/>
          </xdr:cNvSpPr>
        </xdr:nvSpPr>
        <xdr:spPr bwMode="auto">
          <a:xfrm>
            <a:off x="128" y="723"/>
            <a:ext cx="1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179">
            <a:extLst>
              <a:ext uri="{FF2B5EF4-FFF2-40B4-BE49-F238E27FC236}">
                <a16:creationId xmlns:a16="http://schemas.microsoft.com/office/drawing/2014/main" id="{00000000-0008-0000-0100-00003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93" y="636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180">
            <a:extLst>
              <a:ext uri="{FF2B5EF4-FFF2-40B4-BE49-F238E27FC236}">
                <a16:creationId xmlns:a16="http://schemas.microsoft.com/office/drawing/2014/main" id="{00000000-0008-0000-0100-00003E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45" y="637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181">
            <a:extLst>
              <a:ext uri="{FF2B5EF4-FFF2-40B4-BE49-F238E27FC236}">
                <a16:creationId xmlns:a16="http://schemas.microsoft.com/office/drawing/2014/main" id="{00000000-0008-0000-0100-00003F000000}"/>
              </a:ext>
            </a:extLst>
          </xdr:cNvPr>
          <xdr:cNvSpPr>
            <a:spLocks noChangeShapeType="1"/>
          </xdr:cNvSpPr>
        </xdr:nvSpPr>
        <xdr:spPr bwMode="auto">
          <a:xfrm>
            <a:off x="154" y="642"/>
            <a:ext cx="3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182">
            <a:extLst>
              <a:ext uri="{FF2B5EF4-FFF2-40B4-BE49-F238E27FC236}">
                <a16:creationId xmlns:a16="http://schemas.microsoft.com/office/drawing/2014/main" id="{00000000-0008-0000-0100-000040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9" y="642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183">
            <a:extLst>
              <a:ext uri="{FF2B5EF4-FFF2-40B4-BE49-F238E27FC236}">
                <a16:creationId xmlns:a16="http://schemas.microsoft.com/office/drawing/2014/main" id="{00000000-0008-0000-0100-000041000000}"/>
              </a:ext>
            </a:extLst>
          </xdr:cNvPr>
          <xdr:cNvSpPr>
            <a:spLocks noChangeShapeType="1"/>
          </xdr:cNvSpPr>
        </xdr:nvSpPr>
        <xdr:spPr bwMode="auto">
          <a:xfrm>
            <a:off x="140" y="723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184">
            <a:extLst>
              <a:ext uri="{FF2B5EF4-FFF2-40B4-BE49-F238E27FC236}">
                <a16:creationId xmlns:a16="http://schemas.microsoft.com/office/drawing/2014/main" id="{00000000-0008-0000-0100-000042000000}"/>
              </a:ext>
            </a:extLst>
          </xdr:cNvPr>
          <xdr:cNvSpPr>
            <a:spLocks noChangeShapeType="1"/>
          </xdr:cNvSpPr>
        </xdr:nvSpPr>
        <xdr:spPr bwMode="auto">
          <a:xfrm>
            <a:off x="192" y="729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185">
            <a:extLst>
              <a:ext uri="{FF2B5EF4-FFF2-40B4-BE49-F238E27FC236}">
                <a16:creationId xmlns:a16="http://schemas.microsoft.com/office/drawing/2014/main" id="{00000000-0008-0000-0100-000043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00" y="721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186">
            <a:extLst>
              <a:ext uri="{FF2B5EF4-FFF2-40B4-BE49-F238E27FC236}">
                <a16:creationId xmlns:a16="http://schemas.microsoft.com/office/drawing/2014/main" id="{00000000-0008-0000-0100-000044000000}"/>
              </a:ext>
            </a:extLst>
          </xdr:cNvPr>
          <xdr:cNvSpPr>
            <a:spLocks noChangeShapeType="1"/>
          </xdr:cNvSpPr>
        </xdr:nvSpPr>
        <xdr:spPr bwMode="auto">
          <a:xfrm>
            <a:off x="193" y="722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69" name="Radius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70" name="Height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71" name="Clear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72" name="Thickness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 txBox="1">
          <a:spLocks noChangeArrowheads="1"/>
        </xdr:cNvSpPr>
      </xdr:nvSpPr>
      <xdr:spPr bwMode="auto">
        <a:xfrm>
          <a:off x="1695450" y="9667875"/>
          <a:ext cx="2857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1" name="Rectangle 210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>
          <a:spLocks noChangeArrowheads="1"/>
        </xdr:cNvSpPr>
      </xdr:nvSpPr>
      <xdr:spPr bwMode="auto">
        <a:xfrm>
          <a:off x="561022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92" name="Rectangle 21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>
          <a:spLocks noChangeArrowheads="1"/>
        </xdr:cNvSpPr>
      </xdr:nvSpPr>
      <xdr:spPr bwMode="auto">
        <a:xfrm>
          <a:off x="547687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93" name="Rectangle 21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>
          <a:spLocks noChangeArrowheads="1"/>
        </xdr:cNvSpPr>
      </xdr:nvSpPr>
      <xdr:spPr bwMode="auto">
        <a:xfrm>
          <a:off x="548640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94" name="Rectangle 213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>
          <a:spLocks noChangeArrowheads="1"/>
        </xdr:cNvSpPr>
      </xdr:nvSpPr>
      <xdr:spPr bwMode="auto">
        <a:xfrm>
          <a:off x="545782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5" name="Rectangle 214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>
          <a:spLocks noChangeArrowheads="1"/>
        </xdr:cNvSpPr>
      </xdr:nvSpPr>
      <xdr:spPr bwMode="auto">
        <a:xfrm>
          <a:off x="560070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22" name="Radius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23" name="Height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24" name="Clear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25" name="Thickness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 txBox="1">
          <a:spLocks noChangeArrowheads="1"/>
        </xdr:cNvSpPr>
      </xdr:nvSpPr>
      <xdr:spPr bwMode="auto">
        <a:xfrm>
          <a:off x="1695450" y="9667875"/>
          <a:ext cx="2857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26" name="Radius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27" name="Height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28" name="Thickness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 txBox="1">
          <a:spLocks noChangeArrowheads="1"/>
        </xdr:cNvSpPr>
      </xdr:nvSpPr>
      <xdr:spPr bwMode="auto">
        <a:xfrm>
          <a:off x="1695450" y="9667875"/>
          <a:ext cx="28575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29" name="Clear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30" name="Radius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31" name="Clear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32" name="Thickness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 txBox="1">
          <a:spLocks noChangeArrowheads="1"/>
        </xdr:cNvSpPr>
      </xdr:nvSpPr>
      <xdr:spPr bwMode="auto">
        <a:xfrm>
          <a:off x="1695450" y="9667875"/>
          <a:ext cx="28575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33" name="Radius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34" name="Thickness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 txBox="1">
          <a:spLocks noChangeArrowheads="1"/>
        </xdr:cNvSpPr>
      </xdr:nvSpPr>
      <xdr:spPr bwMode="auto">
        <a:xfrm>
          <a:off x="1695450" y="9667875"/>
          <a:ext cx="28575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35" name="Radius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36" name="Height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37" name="Clear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200025</xdr:colOff>
      <xdr:row>41</xdr:row>
      <xdr:rowOff>171450</xdr:rowOff>
    </xdr:from>
    <xdr:to>
      <xdr:col>3</xdr:col>
      <xdr:colOff>485775</xdr:colOff>
      <xdr:row>42</xdr:row>
      <xdr:rowOff>47625</xdr:rowOff>
    </xdr:to>
    <xdr:sp macro="" textlink="">
      <xdr:nvSpPr>
        <xdr:cNvPr id="138" name="Thickness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 txBox="1">
          <a:spLocks noChangeArrowheads="1"/>
        </xdr:cNvSpPr>
      </xdr:nvSpPr>
      <xdr:spPr bwMode="auto">
        <a:xfrm>
          <a:off x="1933575" y="9610725"/>
          <a:ext cx="28575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786765</xdr:colOff>
      <xdr:row>39</xdr:row>
      <xdr:rowOff>171450</xdr:rowOff>
    </xdr:from>
    <xdr:to>
      <xdr:col>4</xdr:col>
      <xdr:colOff>803926</xdr:colOff>
      <xdr:row>40</xdr:row>
      <xdr:rowOff>104775</xdr:rowOff>
    </xdr:to>
    <xdr:sp macro="" textlink="">
      <xdr:nvSpPr>
        <xdr:cNvPr id="139" name="Text 219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 txBox="1">
          <a:spLocks noChangeArrowheads="1"/>
        </xdr:cNvSpPr>
      </xdr:nvSpPr>
      <xdr:spPr bwMode="auto">
        <a:xfrm>
          <a:off x="2520315" y="9153525"/>
          <a:ext cx="893461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051-TB23</a:t>
          </a:r>
        </a:p>
      </xdr:txBody>
    </xdr:sp>
    <xdr:clientData/>
  </xdr:twoCellAnchor>
  <xdr:twoCellAnchor>
    <xdr:from>
      <xdr:col>3</xdr:col>
      <xdr:colOff>550545</xdr:colOff>
      <xdr:row>42</xdr:row>
      <xdr:rowOff>114300</xdr:rowOff>
    </xdr:from>
    <xdr:to>
      <xdr:col>4</xdr:col>
      <xdr:colOff>3896</xdr:colOff>
      <xdr:row>43</xdr:row>
      <xdr:rowOff>9525</xdr:rowOff>
    </xdr:to>
    <xdr:sp macro="" textlink="">
      <xdr:nvSpPr>
        <xdr:cNvPr id="140" name="Radius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 txBox="1">
          <a:spLocks noChangeArrowheads="1"/>
        </xdr:cNvSpPr>
      </xdr:nvSpPr>
      <xdr:spPr bwMode="auto">
        <a:xfrm>
          <a:off x="2284095" y="9782175"/>
          <a:ext cx="329651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423.4</a:t>
          </a:r>
        </a:p>
      </xdr:txBody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312486</xdr:colOff>
      <xdr:row>41</xdr:row>
      <xdr:rowOff>87923</xdr:rowOff>
    </xdr:to>
    <xdr:sp macro="" textlink="">
      <xdr:nvSpPr>
        <xdr:cNvPr id="141" name="Height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SpPr txBox="1">
          <a:spLocks noChangeArrowheads="1"/>
        </xdr:cNvSpPr>
      </xdr:nvSpPr>
      <xdr:spPr bwMode="auto">
        <a:xfrm>
          <a:off x="1781175" y="9439275"/>
          <a:ext cx="264861" cy="87923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35.0</a:t>
          </a:r>
        </a:p>
      </xdr:txBody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445714</xdr:colOff>
      <xdr:row>41</xdr:row>
      <xdr:rowOff>200025</xdr:rowOff>
    </xdr:to>
    <xdr:sp macro="" textlink="">
      <xdr:nvSpPr>
        <xdr:cNvPr id="142" name="Clear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SpPr txBox="1">
          <a:spLocks noChangeArrowheads="1"/>
        </xdr:cNvSpPr>
      </xdr:nvSpPr>
      <xdr:spPr bwMode="auto">
        <a:xfrm>
          <a:off x="1400175" y="9525000"/>
          <a:ext cx="264739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50.5</a:t>
          </a:r>
        </a:p>
      </xdr:txBody>
    </xdr:sp>
    <xdr:clientData/>
  </xdr:twoCellAnchor>
  <xdr:twoCellAnchor>
    <xdr:from>
      <xdr:col>2</xdr:col>
      <xdr:colOff>407670</xdr:colOff>
      <xdr:row>42</xdr:row>
      <xdr:rowOff>0</xdr:rowOff>
    </xdr:from>
    <xdr:to>
      <xdr:col>3</xdr:col>
      <xdr:colOff>321945</xdr:colOff>
      <xdr:row>42</xdr:row>
      <xdr:rowOff>104775</xdr:rowOff>
    </xdr:to>
    <xdr:sp macro="" textlink="">
      <xdr:nvSpPr>
        <xdr:cNvPr id="143" name="Thickness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 txBox="1">
          <a:spLocks noChangeArrowheads="1"/>
        </xdr:cNvSpPr>
      </xdr:nvSpPr>
      <xdr:spPr bwMode="auto">
        <a:xfrm>
          <a:off x="1626870" y="9667875"/>
          <a:ext cx="42862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75.0</a:t>
          </a: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457200</xdr:colOff>
      <xdr:row>41</xdr:row>
      <xdr:rowOff>161925</xdr:rowOff>
    </xdr:from>
    <xdr:to>
      <xdr:col>2</xdr:col>
      <xdr:colOff>457200</xdr:colOff>
      <xdr:row>42</xdr:row>
      <xdr:rowOff>66675</xdr:rowOff>
    </xdr:to>
    <xdr:sp macro="" textlink="">
      <xdr:nvSpPr>
        <xdr:cNvPr id="144" name="Line 116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SpPr>
          <a:spLocks noChangeShapeType="1"/>
        </xdr:cNvSpPr>
      </xdr:nvSpPr>
      <xdr:spPr bwMode="auto">
        <a:xfrm flipV="1">
          <a:off x="1676400" y="9601200"/>
          <a:ext cx="0" cy="133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247650</xdr:colOff>
      <xdr:row>41</xdr:row>
      <xdr:rowOff>171450</xdr:rowOff>
    </xdr:from>
    <xdr:to>
      <xdr:col>3</xdr:col>
      <xdr:colOff>247650</xdr:colOff>
      <xdr:row>42</xdr:row>
      <xdr:rowOff>76200</xdr:rowOff>
    </xdr:to>
    <xdr:sp macro="" textlink="">
      <xdr:nvSpPr>
        <xdr:cNvPr id="145" name="Line 117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>
          <a:spLocks noChangeShapeType="1"/>
        </xdr:cNvSpPr>
      </xdr:nvSpPr>
      <xdr:spPr bwMode="auto">
        <a:xfrm flipV="1">
          <a:off x="1981200" y="9610725"/>
          <a:ext cx="0" cy="133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466725</xdr:colOff>
      <xdr:row>41</xdr:row>
      <xdr:rowOff>209550</xdr:rowOff>
    </xdr:from>
    <xdr:to>
      <xdr:col>3</xdr:col>
      <xdr:colOff>238125</xdr:colOff>
      <xdr:row>41</xdr:row>
      <xdr:rowOff>209550</xdr:rowOff>
    </xdr:to>
    <xdr:sp macro="" textlink="">
      <xdr:nvSpPr>
        <xdr:cNvPr id="146" name="Line 118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SpPr>
          <a:spLocks noChangeShapeType="1"/>
        </xdr:cNvSpPr>
      </xdr:nvSpPr>
      <xdr:spPr bwMode="auto">
        <a:xfrm flipV="1">
          <a:off x="1685925" y="9648825"/>
          <a:ext cx="285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</xdr:colOff>
      <xdr:row>40</xdr:row>
      <xdr:rowOff>180975</xdr:rowOff>
    </xdr:from>
    <xdr:to>
      <xdr:col>3</xdr:col>
      <xdr:colOff>19050</xdr:colOff>
      <xdr:row>41</xdr:row>
      <xdr:rowOff>142875</xdr:rowOff>
    </xdr:to>
    <xdr:sp macro="" textlink="">
      <xdr:nvSpPr>
        <xdr:cNvPr id="147" name="Line 119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>
          <a:spLocks noChangeShapeType="1"/>
        </xdr:cNvSpPr>
      </xdr:nvSpPr>
      <xdr:spPr bwMode="auto">
        <a:xfrm flipV="1">
          <a:off x="1752600" y="9391650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381000</xdr:colOff>
      <xdr:row>42</xdr:row>
      <xdr:rowOff>133350</xdr:rowOff>
    </xdr:from>
    <xdr:to>
      <xdr:col>3</xdr:col>
      <xdr:colOff>504825</xdr:colOff>
      <xdr:row>43</xdr:row>
      <xdr:rowOff>0</xdr:rowOff>
    </xdr:to>
    <xdr:sp macro="" textlink="">
      <xdr:nvSpPr>
        <xdr:cNvPr id="148" name="Text 583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 txBox="1">
          <a:spLocks noChangeArrowheads="1"/>
        </xdr:cNvSpPr>
      </xdr:nvSpPr>
      <xdr:spPr bwMode="auto">
        <a:xfrm>
          <a:off x="2114550" y="9801225"/>
          <a:ext cx="12382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285750</xdr:colOff>
      <xdr:row>39</xdr:row>
      <xdr:rowOff>161925</xdr:rowOff>
    </xdr:from>
    <xdr:to>
      <xdr:col>2</xdr:col>
      <xdr:colOff>161925</xdr:colOff>
      <xdr:row>39</xdr:row>
      <xdr:rowOff>161925</xdr:rowOff>
    </xdr:to>
    <xdr:sp macro="" textlink="">
      <xdr:nvSpPr>
        <xdr:cNvPr id="149" name="Line 121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>
          <a:spLocks noChangeShapeType="1"/>
        </xdr:cNvSpPr>
      </xdr:nvSpPr>
      <xdr:spPr bwMode="auto">
        <a:xfrm flipV="1">
          <a:off x="1095375" y="9144000"/>
          <a:ext cx="285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161925</xdr:colOff>
      <xdr:row>39</xdr:row>
      <xdr:rowOff>161925</xdr:rowOff>
    </xdr:from>
    <xdr:to>
      <xdr:col>2</xdr:col>
      <xdr:colOff>161925</xdr:colOff>
      <xdr:row>42</xdr:row>
      <xdr:rowOff>209550</xdr:rowOff>
    </xdr:to>
    <xdr:sp macro="" textlink="">
      <xdr:nvSpPr>
        <xdr:cNvPr id="150" name="Line 122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>
          <a:spLocks noChangeShapeType="1"/>
        </xdr:cNvSpPr>
      </xdr:nvSpPr>
      <xdr:spPr bwMode="auto">
        <a:xfrm>
          <a:off x="1381125" y="9144000"/>
          <a:ext cx="0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171450</xdr:colOff>
      <xdr:row>41</xdr:row>
      <xdr:rowOff>57150</xdr:rowOff>
    </xdr:from>
    <xdr:to>
      <xdr:col>2</xdr:col>
      <xdr:colOff>447675</xdr:colOff>
      <xdr:row>41</xdr:row>
      <xdr:rowOff>57150</xdr:rowOff>
    </xdr:to>
    <xdr:sp macro="" textlink="">
      <xdr:nvSpPr>
        <xdr:cNvPr id="151" name="Line 123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>
          <a:spLocks noChangeShapeType="1"/>
        </xdr:cNvSpPr>
      </xdr:nvSpPr>
      <xdr:spPr bwMode="auto">
        <a:xfrm flipV="1">
          <a:off x="1390650" y="9496425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457200</xdr:colOff>
      <xdr:row>39</xdr:row>
      <xdr:rowOff>171450</xdr:rowOff>
    </xdr:from>
    <xdr:to>
      <xdr:col>3</xdr:col>
      <xdr:colOff>247650</xdr:colOff>
      <xdr:row>41</xdr:row>
      <xdr:rowOff>142875</xdr:rowOff>
    </xdr:to>
    <xdr:sp macro="" textlink="">
      <xdr:nvSpPr>
        <xdr:cNvPr id="152" name="Rectangle 124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SpPr>
          <a:spLocks noChangeArrowheads="1"/>
        </xdr:cNvSpPr>
      </xdr:nvSpPr>
      <xdr:spPr bwMode="auto">
        <a:xfrm>
          <a:off x="1676400" y="9153525"/>
          <a:ext cx="304800" cy="4286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161925</xdr:colOff>
      <xdr:row>40</xdr:row>
      <xdr:rowOff>219075</xdr:rowOff>
    </xdr:from>
    <xdr:to>
      <xdr:col>2</xdr:col>
      <xdr:colOff>457200</xdr:colOff>
      <xdr:row>40</xdr:row>
      <xdr:rowOff>219075</xdr:rowOff>
    </xdr:to>
    <xdr:sp macro="" textlink="">
      <xdr:nvSpPr>
        <xdr:cNvPr id="153" name="Line 125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SpPr>
          <a:spLocks noChangeShapeType="1"/>
        </xdr:cNvSpPr>
      </xdr:nvSpPr>
      <xdr:spPr bwMode="auto">
        <a:xfrm>
          <a:off x="1381125" y="9429750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161925</xdr:colOff>
      <xdr:row>39</xdr:row>
      <xdr:rowOff>190500</xdr:rowOff>
    </xdr:from>
    <xdr:to>
      <xdr:col>2</xdr:col>
      <xdr:colOff>457200</xdr:colOff>
      <xdr:row>39</xdr:row>
      <xdr:rowOff>190500</xdr:rowOff>
    </xdr:to>
    <xdr:sp macro="" textlink="">
      <xdr:nvSpPr>
        <xdr:cNvPr id="154" name="Line 126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>
          <a:spLocks noChangeShapeType="1"/>
        </xdr:cNvSpPr>
      </xdr:nvSpPr>
      <xdr:spPr bwMode="auto">
        <a:xfrm>
          <a:off x="1381125" y="9172575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295275</xdr:colOff>
      <xdr:row>41</xdr:row>
      <xdr:rowOff>142875</xdr:rowOff>
    </xdr:from>
    <xdr:to>
      <xdr:col>3</xdr:col>
      <xdr:colOff>666750</xdr:colOff>
      <xdr:row>41</xdr:row>
      <xdr:rowOff>142875</xdr:rowOff>
    </xdr:to>
    <xdr:sp macro="" textlink="">
      <xdr:nvSpPr>
        <xdr:cNvPr id="155" name="Line 127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SpPr>
          <a:spLocks noChangeShapeType="1"/>
        </xdr:cNvSpPr>
      </xdr:nvSpPr>
      <xdr:spPr bwMode="auto">
        <a:xfrm>
          <a:off x="2028825" y="9582150"/>
          <a:ext cx="3714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628650</xdr:colOff>
      <xdr:row>41</xdr:row>
      <xdr:rowOff>142875</xdr:rowOff>
    </xdr:from>
    <xdr:to>
      <xdr:col>3</xdr:col>
      <xdr:colOff>628650</xdr:colOff>
      <xdr:row>42</xdr:row>
      <xdr:rowOff>95250</xdr:rowOff>
    </xdr:to>
    <xdr:sp macro="" textlink="">
      <xdr:nvSpPr>
        <xdr:cNvPr id="156" name="Line 128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SpPr>
          <a:spLocks noChangeShapeType="1"/>
        </xdr:cNvSpPr>
      </xdr:nvSpPr>
      <xdr:spPr bwMode="auto">
        <a:xfrm flipV="1">
          <a:off x="2362200" y="9582150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285750</xdr:colOff>
      <xdr:row>39</xdr:row>
      <xdr:rowOff>171450</xdr:rowOff>
    </xdr:from>
    <xdr:to>
      <xdr:col>3</xdr:col>
      <xdr:colOff>504825</xdr:colOff>
      <xdr:row>39</xdr:row>
      <xdr:rowOff>171450</xdr:rowOff>
    </xdr:to>
    <xdr:sp macro="" textlink="">
      <xdr:nvSpPr>
        <xdr:cNvPr id="157" name="Line 129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SpPr>
          <a:spLocks noChangeShapeType="1"/>
        </xdr:cNvSpPr>
      </xdr:nvSpPr>
      <xdr:spPr bwMode="auto">
        <a:xfrm>
          <a:off x="2019300" y="9153525"/>
          <a:ext cx="219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293370</xdr:colOff>
      <xdr:row>40</xdr:row>
      <xdr:rowOff>133350</xdr:rowOff>
    </xdr:from>
    <xdr:to>
      <xdr:col>3</xdr:col>
      <xdr:colOff>586843</xdr:colOff>
      <xdr:row>41</xdr:row>
      <xdr:rowOff>9525</xdr:rowOff>
    </xdr:to>
    <xdr:sp macro="" textlink="">
      <xdr:nvSpPr>
        <xdr:cNvPr id="158" name="Thickness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SpPr txBox="1">
          <a:spLocks noChangeArrowheads="1"/>
        </xdr:cNvSpPr>
      </xdr:nvSpPr>
      <xdr:spPr bwMode="auto">
        <a:xfrm>
          <a:off x="2026920" y="9344025"/>
          <a:ext cx="293473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50.0</a:t>
          </a:r>
        </a:p>
      </xdr:txBody>
    </xdr:sp>
    <xdr:clientData/>
  </xdr:twoCellAnchor>
  <xdr:twoCellAnchor>
    <xdr:from>
      <xdr:col>3</xdr:col>
      <xdr:colOff>428625</xdr:colOff>
      <xdr:row>39</xdr:row>
      <xdr:rowOff>171450</xdr:rowOff>
    </xdr:from>
    <xdr:to>
      <xdr:col>3</xdr:col>
      <xdr:colOff>428625</xdr:colOff>
      <xdr:row>40</xdr:row>
      <xdr:rowOff>85725</xdr:rowOff>
    </xdr:to>
    <xdr:sp macro="" textlink="">
      <xdr:nvSpPr>
        <xdr:cNvPr id="159" name="Line 131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SpPr>
          <a:spLocks noChangeShapeType="1"/>
        </xdr:cNvSpPr>
      </xdr:nvSpPr>
      <xdr:spPr bwMode="auto">
        <a:xfrm flipV="1">
          <a:off x="2162175" y="9153525"/>
          <a:ext cx="0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438150</xdr:colOff>
      <xdr:row>41</xdr:row>
      <xdr:rowOff>19050</xdr:rowOff>
    </xdr:from>
    <xdr:to>
      <xdr:col>3</xdr:col>
      <xdr:colOff>438150</xdr:colOff>
      <xdr:row>41</xdr:row>
      <xdr:rowOff>142875</xdr:rowOff>
    </xdr:to>
    <xdr:sp macro="" textlink="">
      <xdr:nvSpPr>
        <xdr:cNvPr id="160" name="Line 132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SpPr>
          <a:spLocks noChangeShapeType="1"/>
        </xdr:cNvSpPr>
      </xdr:nvSpPr>
      <xdr:spPr bwMode="auto">
        <a:xfrm>
          <a:off x="2171700" y="94583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847725</xdr:colOff>
      <xdr:row>33</xdr:row>
      <xdr:rowOff>142875</xdr:rowOff>
    </xdr:from>
    <xdr:to>
      <xdr:col>4</xdr:col>
      <xdr:colOff>621058</xdr:colOff>
      <xdr:row>34</xdr:row>
      <xdr:rowOff>85725</xdr:rowOff>
    </xdr:to>
    <xdr:sp macro="" textlink="">
      <xdr:nvSpPr>
        <xdr:cNvPr id="162" name="Text 219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SpPr txBox="1">
          <a:spLocks noChangeArrowheads="1"/>
        </xdr:cNvSpPr>
      </xdr:nvSpPr>
      <xdr:spPr bwMode="auto">
        <a:xfrm>
          <a:off x="2581275" y="7753350"/>
          <a:ext cx="649633" cy="171450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411-TB23</a:t>
          </a:r>
        </a:p>
      </xdr:txBody>
    </xdr:sp>
    <xdr:clientData/>
  </xdr:twoCellAnchor>
  <xdr:twoCellAnchor>
    <xdr:from>
      <xdr:col>3</xdr:col>
      <xdr:colOff>762000</xdr:colOff>
      <xdr:row>27</xdr:row>
      <xdr:rowOff>104775</xdr:rowOff>
    </xdr:from>
    <xdr:to>
      <xdr:col>4</xdr:col>
      <xdr:colOff>535333</xdr:colOff>
      <xdr:row>28</xdr:row>
      <xdr:rowOff>47625</xdr:rowOff>
    </xdr:to>
    <xdr:sp macro="" textlink="">
      <xdr:nvSpPr>
        <xdr:cNvPr id="164" name="Text 219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SpPr txBox="1">
          <a:spLocks noChangeArrowheads="1"/>
        </xdr:cNvSpPr>
      </xdr:nvSpPr>
      <xdr:spPr bwMode="auto">
        <a:xfrm>
          <a:off x="2495550" y="6343650"/>
          <a:ext cx="649633" cy="171450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311-TB23</a:t>
          </a:r>
        </a:p>
      </xdr:txBody>
    </xdr:sp>
    <xdr:clientData/>
  </xdr:twoCellAnchor>
  <xdr:twoCellAnchor>
    <xdr:from>
      <xdr:col>21</xdr:col>
      <xdr:colOff>200025</xdr:colOff>
      <xdr:row>9</xdr:row>
      <xdr:rowOff>0</xdr:rowOff>
    </xdr:from>
    <xdr:to>
      <xdr:col>28</xdr:col>
      <xdr:colOff>504825</xdr:colOff>
      <xdr:row>21</xdr:row>
      <xdr:rowOff>0</xdr:rowOff>
    </xdr:to>
    <xdr:graphicFrame macro="">
      <xdr:nvGraphicFramePr>
        <xdr:cNvPr id="73" name="Chart 72">
          <a:extLst>
            <a:ext uri="{FF2B5EF4-FFF2-40B4-BE49-F238E27FC236}">
              <a16:creationId xmlns:a16="http://schemas.microsoft.com/office/drawing/2014/main" id="{2F9B084F-693E-436C-E581-301860B8D0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0.59808</cdr:x>
      <cdr:y>0.61105</cdr:y>
    </cdr:from>
    <cdr:to>
      <cdr:x>0.83393</cdr:x>
      <cdr:y>0.63174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97809" y="3934480"/>
          <a:ext cx="1379333" cy="1332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0.57365</cdr:x>
      <cdr:y>0.51573</cdr:y>
    </cdr:from>
    <cdr:to>
      <cdr:x>0.85647</cdr:x>
      <cdr:y>0.54086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54934" y="3320756"/>
          <a:ext cx="1654030" cy="161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0.58353</cdr:x>
      <cdr:y>0.76207</cdr:y>
    </cdr:from>
    <cdr:to>
      <cdr:x>0.82897</cdr:x>
      <cdr:y>0.7872</cdr:y>
    </cdr:to>
    <cdr:sp macro="" textlink="">
      <cdr:nvSpPr>
        <cdr:cNvPr id="5135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12684" y="4906888"/>
          <a:ext cx="1435419" cy="161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</a:t>
          </a:r>
        </a:p>
      </cdr:txBody>
    </cdr:sp>
  </cdr:relSizeAnchor>
  <cdr:relSizeAnchor xmlns:cdr="http://schemas.openxmlformats.org/drawingml/2006/chartDrawing">
    <cdr:from>
      <cdr:x>0.29932</cdr:x>
      <cdr:y>0.36182</cdr:y>
    </cdr:from>
    <cdr:to>
      <cdr:x>0.62444</cdr:x>
      <cdr:y>0.3899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0.6242</cdr:x>
      <cdr:y>0.19532</cdr:y>
    </cdr:from>
    <cdr:to>
      <cdr:x>0.94932</cdr:x>
      <cdr:y>0.2234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rPr lang="en-US"/>
            <a:t>LOAD TYPE: FAN / PUMP</a:t>
          </a:r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>
  <person displayName="Xie, Zichao (TIC)" id="{244B4200-8C29-48BF-BF9E-09119A20D291}" userId="S::Zichao.Xie@TOSHIBA.COM::53da671e-250d-47bd-8c8c-bd42d97ef33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18" dT="2025-11-21T22:14:28.49" personId="{244B4200-8C29-48BF-BF9E-09119A20D291}" id="{96ADB51D-DDB7-409F-B2A5-8F7072399767}">
    <text>DO NOT USE THIS POINT, SEE TRENDLINE ON THE RIGHT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>
    <pageSetUpPr fitToPage="1"/>
  </sheetPr>
  <dimension ref="A1:J113"/>
  <sheetViews>
    <sheetView topLeftCell="A23" zoomScale="95" zoomScaleNormal="95" workbookViewId="0">
      <selection activeCell="O21" sqref="O21"/>
    </sheetView>
  </sheetViews>
  <sheetFormatPr defaultRowHeight="12.75"/>
  <cols>
    <col min="1" max="6" width="12.28515625" customWidth="1"/>
    <col min="7" max="7" width="12.42578125" customWidth="1"/>
    <col min="8" max="8" width="12.7109375" customWidth="1"/>
    <col min="9" max="10" width="12.28515625" customWidth="1"/>
  </cols>
  <sheetData>
    <row r="1" spans="1:10" ht="18.75">
      <c r="A1" s="34" t="s">
        <v>167</v>
      </c>
      <c r="B1" s="2"/>
      <c r="C1" s="2"/>
      <c r="D1" s="2"/>
      <c r="E1" s="2"/>
      <c r="F1" s="2"/>
      <c r="G1" s="2"/>
      <c r="H1" s="2"/>
      <c r="I1" s="125" t="s">
        <v>0</v>
      </c>
      <c r="J1" s="125" t="s">
        <v>204</v>
      </c>
    </row>
    <row r="2" spans="1:10" ht="18.75">
      <c r="A2" s="34" t="s">
        <v>173</v>
      </c>
      <c r="B2" s="2"/>
      <c r="C2" s="2"/>
      <c r="D2" s="2"/>
      <c r="E2" s="2"/>
      <c r="F2" s="2"/>
      <c r="G2" s="2"/>
      <c r="H2" s="2"/>
      <c r="I2" s="2"/>
      <c r="J2" s="131" t="s">
        <v>205</v>
      </c>
    </row>
    <row r="3" spans="1:10" ht="15" customHeight="1" thickBot="1">
      <c r="A3" s="49" t="s">
        <v>1</v>
      </c>
      <c r="B3" s="96" t="s">
        <v>203</v>
      </c>
      <c r="C3" s="1"/>
      <c r="D3" s="49"/>
      <c r="E3" s="1"/>
      <c r="F3" s="1"/>
      <c r="G3" s="49" t="s">
        <v>2</v>
      </c>
      <c r="H3" s="149">
        <v>41886</v>
      </c>
      <c r="I3" s="49" t="s">
        <v>3</v>
      </c>
      <c r="J3" s="150">
        <v>0.57248842592592586</v>
      </c>
    </row>
    <row r="4" spans="1:10" ht="15" customHeight="1">
      <c r="A4" s="12" t="s">
        <v>4</v>
      </c>
      <c r="B4" s="12" t="s">
        <v>171</v>
      </c>
      <c r="C4" s="12" t="s">
        <v>5</v>
      </c>
      <c r="D4" s="12" t="s">
        <v>172</v>
      </c>
      <c r="E4" s="12" t="s">
        <v>6</v>
      </c>
      <c r="F4" s="12" t="s">
        <v>7</v>
      </c>
      <c r="G4" s="12" t="s">
        <v>175</v>
      </c>
      <c r="H4" s="12" t="s">
        <v>8</v>
      </c>
      <c r="I4" s="12" t="s">
        <v>9</v>
      </c>
      <c r="J4" s="12" t="s">
        <v>10</v>
      </c>
    </row>
    <row r="5" spans="1:10" ht="15" customHeight="1" thickBot="1">
      <c r="A5" s="50">
        <v>4</v>
      </c>
      <c r="B5" s="113">
        <v>4500</v>
      </c>
      <c r="C5" s="143">
        <v>1800</v>
      </c>
      <c r="D5" s="50" t="s">
        <v>176</v>
      </c>
      <c r="E5" s="143">
        <v>4000</v>
      </c>
      <c r="F5" s="143">
        <v>60</v>
      </c>
      <c r="G5" s="50">
        <v>105</v>
      </c>
      <c r="H5" s="78" t="s">
        <v>238</v>
      </c>
      <c r="I5" s="77" t="s">
        <v>243</v>
      </c>
      <c r="J5" s="50" t="s">
        <v>177</v>
      </c>
    </row>
    <row r="6" spans="1:10" ht="15" customHeight="1" thickBot="1">
      <c r="A6" s="23" t="s">
        <v>11</v>
      </c>
      <c r="B6" s="24"/>
      <c r="C6" s="25"/>
      <c r="D6" s="108" t="s">
        <v>12</v>
      </c>
      <c r="E6" s="42"/>
      <c r="F6" s="14"/>
      <c r="G6" s="15"/>
      <c r="H6" s="43" t="s">
        <v>13</v>
      </c>
      <c r="I6" s="18"/>
      <c r="J6" s="29"/>
    </row>
    <row r="7" spans="1:10" ht="15" customHeight="1" thickBot="1">
      <c r="A7" s="145"/>
      <c r="B7" s="3" t="s">
        <v>14</v>
      </c>
      <c r="C7" s="16" t="s">
        <v>15</v>
      </c>
      <c r="D7" s="145"/>
      <c r="E7" s="18"/>
      <c r="F7" s="3" t="s">
        <v>16</v>
      </c>
      <c r="G7" s="16" t="s">
        <v>17</v>
      </c>
      <c r="H7" s="10" t="s">
        <v>18</v>
      </c>
      <c r="I7" s="68">
        <v>23.125593055555555</v>
      </c>
      <c r="J7" s="106" t="s">
        <v>19</v>
      </c>
    </row>
    <row r="8" spans="1:10" ht="15" customHeight="1">
      <c r="A8" s="6" t="s">
        <v>20</v>
      </c>
      <c r="B8" s="69">
        <v>3.309999942779541</v>
      </c>
      <c r="C8" s="52"/>
      <c r="D8" s="6"/>
      <c r="E8" s="51"/>
      <c r="F8" s="3"/>
      <c r="G8" s="16"/>
      <c r="H8" s="10" t="s">
        <v>21</v>
      </c>
      <c r="I8" s="68">
        <v>28.349058182060801</v>
      </c>
      <c r="J8" s="103" t="s">
        <v>22</v>
      </c>
    </row>
    <row r="9" spans="1:10" ht="15" customHeight="1" thickBot="1">
      <c r="A9" s="6" t="s">
        <v>23</v>
      </c>
      <c r="B9" s="69">
        <v>0.93000000715255737</v>
      </c>
      <c r="C9" s="52"/>
      <c r="D9" s="6" t="s">
        <v>24</v>
      </c>
      <c r="E9" s="53" t="s">
        <v>184</v>
      </c>
      <c r="F9" s="107" t="s">
        <v>25</v>
      </c>
      <c r="G9" s="30"/>
      <c r="H9" s="10" t="s">
        <v>26</v>
      </c>
      <c r="I9" s="69">
        <v>25.737325618808178</v>
      </c>
      <c r="J9" s="104">
        <v>763.05835805701884</v>
      </c>
    </row>
    <row r="10" spans="1:10" ht="15" customHeight="1">
      <c r="A10" s="6" t="s">
        <v>27</v>
      </c>
      <c r="B10" s="69">
        <v>1150</v>
      </c>
      <c r="C10" s="73">
        <v>1150</v>
      </c>
      <c r="D10" s="6"/>
      <c r="E10" s="51"/>
      <c r="F10" s="117" t="s">
        <v>199</v>
      </c>
      <c r="G10" s="115" t="s">
        <v>200</v>
      </c>
      <c r="H10" s="10" t="s">
        <v>28</v>
      </c>
      <c r="I10" s="68">
        <v>15.409848104495472</v>
      </c>
      <c r="J10" s="103" t="s">
        <v>29</v>
      </c>
    </row>
    <row r="11" spans="1:10" ht="15" customHeight="1" thickBot="1">
      <c r="A11" s="6" t="s">
        <v>30</v>
      </c>
      <c r="B11" s="69">
        <v>815</v>
      </c>
      <c r="C11" s="73">
        <v>523.38000011444092</v>
      </c>
      <c r="D11" s="6" t="s">
        <v>31</v>
      </c>
      <c r="E11" s="68">
        <v>0.83324999999999994</v>
      </c>
      <c r="F11" s="118"/>
      <c r="G11" s="114"/>
      <c r="H11" s="10" t="s">
        <v>32</v>
      </c>
      <c r="I11" s="68">
        <v>27.246162587611465</v>
      </c>
      <c r="J11" s="104">
        <v>114458.13778065465</v>
      </c>
    </row>
    <row r="12" spans="1:10" ht="15" customHeight="1">
      <c r="A12" s="6" t="s">
        <v>33</v>
      </c>
      <c r="B12" s="69">
        <v>530</v>
      </c>
      <c r="C12" s="73">
        <v>300</v>
      </c>
      <c r="D12" s="6" t="s">
        <v>34</v>
      </c>
      <c r="E12" s="138" t="s">
        <v>174</v>
      </c>
      <c r="F12" s="124" t="s">
        <v>192</v>
      </c>
      <c r="G12" s="116" t="s">
        <v>191</v>
      </c>
      <c r="H12" s="10" t="s">
        <v>35</v>
      </c>
      <c r="I12" s="68">
        <v>1.500702206714756</v>
      </c>
      <c r="J12" s="103" t="s">
        <v>36</v>
      </c>
    </row>
    <row r="13" spans="1:10" ht="15" customHeight="1" thickBot="1">
      <c r="A13" s="6" t="s">
        <v>37</v>
      </c>
      <c r="B13" s="69">
        <v>66.5</v>
      </c>
      <c r="C13" s="73">
        <v>71.140000820159912</v>
      </c>
      <c r="D13" s="6" t="s">
        <v>38</v>
      </c>
      <c r="E13" s="70">
        <v>15</v>
      </c>
      <c r="F13" s="124"/>
      <c r="G13" s="116" t="s">
        <v>193</v>
      </c>
      <c r="H13" s="10" t="s">
        <v>40</v>
      </c>
      <c r="I13" s="68">
        <v>1.0404789331673008</v>
      </c>
      <c r="J13" s="104">
        <v>555.7178955078125</v>
      </c>
    </row>
    <row r="14" spans="1:10" ht="15" customHeight="1" thickBot="1">
      <c r="A14" s="134" t="s">
        <v>41</v>
      </c>
      <c r="B14" s="135">
        <v>913.260009765625</v>
      </c>
      <c r="C14" s="136">
        <v>913.260009765625</v>
      </c>
      <c r="D14" s="6" t="s">
        <v>42</v>
      </c>
      <c r="E14" s="51" t="s">
        <v>185</v>
      </c>
      <c r="F14" s="51" t="s">
        <v>195</v>
      </c>
      <c r="G14" s="116" t="s">
        <v>194</v>
      </c>
      <c r="H14" s="49" t="s">
        <v>43</v>
      </c>
      <c r="I14" s="68">
        <v>1.5614490310443834</v>
      </c>
      <c r="J14" s="103" t="s">
        <v>44</v>
      </c>
    </row>
    <row r="15" spans="1:10" ht="15" customHeight="1" thickBot="1">
      <c r="A15" s="13" t="s">
        <v>45</v>
      </c>
      <c r="B15" s="141"/>
      <c r="C15" s="142"/>
      <c r="D15" s="6" t="s">
        <v>46</v>
      </c>
      <c r="E15" s="51" t="s">
        <v>186</v>
      </c>
      <c r="F15" s="51"/>
      <c r="G15" s="116"/>
      <c r="H15" s="10" t="s">
        <v>47</v>
      </c>
      <c r="I15" s="68">
        <v>0.96589165240170005</v>
      </c>
      <c r="J15" s="104">
        <v>51.321527777777774</v>
      </c>
    </row>
    <row r="16" spans="1:10" ht="15" customHeight="1">
      <c r="A16" s="6" t="s">
        <v>48</v>
      </c>
      <c r="B16" s="51">
        <v>72</v>
      </c>
      <c r="C16" s="52">
        <v>58</v>
      </c>
      <c r="D16" s="6" t="s">
        <v>49</v>
      </c>
      <c r="E16" s="51">
        <v>4</v>
      </c>
      <c r="F16" s="51"/>
      <c r="G16" s="116"/>
      <c r="H16" s="10" t="s">
        <v>50</v>
      </c>
      <c r="I16" s="68">
        <v>0.95596950205867326</v>
      </c>
      <c r="J16" s="105" t="s">
        <v>51</v>
      </c>
    </row>
    <row r="17" spans="1:10" ht="15" customHeight="1" thickBot="1">
      <c r="A17" s="6" t="s">
        <v>52</v>
      </c>
      <c r="B17" s="51" t="s">
        <v>178</v>
      </c>
      <c r="C17" s="52" t="s">
        <v>179</v>
      </c>
      <c r="D17" s="96" t="s">
        <v>53</v>
      </c>
      <c r="E17" s="51" t="s">
        <v>187</v>
      </c>
      <c r="F17" s="51"/>
      <c r="G17" s="116"/>
      <c r="H17" s="10" t="s">
        <v>54</v>
      </c>
      <c r="I17" s="68">
        <v>0.9233629619890823</v>
      </c>
      <c r="J17" s="104">
        <v>901.14104453362893</v>
      </c>
    </row>
    <row r="18" spans="1:10" ht="15" customHeight="1">
      <c r="A18" s="6" t="s">
        <v>55</v>
      </c>
      <c r="B18" s="51" t="s">
        <v>174</v>
      </c>
      <c r="C18" s="73">
        <v>0</v>
      </c>
      <c r="D18" s="6" t="s">
        <v>56</v>
      </c>
      <c r="E18" s="140">
        <v>1832</v>
      </c>
      <c r="F18" s="70">
        <v>1326</v>
      </c>
      <c r="G18" s="74"/>
      <c r="H18" s="13" t="s">
        <v>57</v>
      </c>
      <c r="I18" s="132" t="s">
        <v>201</v>
      </c>
      <c r="J18" s="133"/>
    </row>
    <row r="19" spans="1:10" ht="15" customHeight="1">
      <c r="A19" s="6" t="s">
        <v>58</v>
      </c>
      <c r="B19" s="69">
        <v>76</v>
      </c>
      <c r="C19" s="73">
        <v>40.549999237060547</v>
      </c>
      <c r="D19" s="6" t="s">
        <v>59</v>
      </c>
      <c r="E19" s="70">
        <v>90</v>
      </c>
      <c r="F19" s="51"/>
      <c r="G19" s="52"/>
      <c r="H19" s="146"/>
      <c r="I19" s="3" t="s">
        <v>60</v>
      </c>
      <c r="J19" s="31" t="s">
        <v>61</v>
      </c>
    </row>
    <row r="20" spans="1:10" ht="15" customHeight="1">
      <c r="A20" s="6" t="s">
        <v>62</v>
      </c>
      <c r="B20" s="69" t="s">
        <v>180</v>
      </c>
      <c r="C20" s="73">
        <v>12.050000190734863</v>
      </c>
      <c r="D20" s="6" t="s">
        <v>166</v>
      </c>
      <c r="E20" s="67">
        <v>2.0800307495669922E-2</v>
      </c>
      <c r="F20" s="51"/>
      <c r="G20" s="52"/>
      <c r="H20" s="10" t="s">
        <v>63</v>
      </c>
      <c r="I20" s="68">
        <v>14.760526657104492</v>
      </c>
      <c r="J20" s="72">
        <v>14.760526657104492</v>
      </c>
    </row>
    <row r="21" spans="1:10" ht="15" customHeight="1">
      <c r="A21" s="6" t="s">
        <v>64</v>
      </c>
      <c r="B21" s="69">
        <v>15.199999809265137</v>
      </c>
      <c r="C21" s="73">
        <v>5</v>
      </c>
      <c r="D21" s="10" t="s">
        <v>188</v>
      </c>
      <c r="E21" s="67">
        <v>2.77473650089585E-2</v>
      </c>
      <c r="F21" s="67">
        <v>2.6455000042915344E-2</v>
      </c>
      <c r="G21" s="71">
        <v>2.3487169168999009E-3</v>
      </c>
      <c r="H21" s="10" t="s">
        <v>65</v>
      </c>
      <c r="I21" s="68">
        <v>20.271383285522461</v>
      </c>
      <c r="J21" s="72">
        <v>14.808235168457031</v>
      </c>
    </row>
    <row r="22" spans="1:10" ht="15" customHeight="1">
      <c r="A22" s="6" t="s">
        <v>66</v>
      </c>
      <c r="B22" s="69">
        <v>3.6500000953674316</v>
      </c>
      <c r="C22" s="73">
        <v>5.5</v>
      </c>
      <c r="D22" s="6" t="s">
        <v>67</v>
      </c>
      <c r="E22" s="51" t="s">
        <v>189</v>
      </c>
      <c r="F22" s="51" t="s">
        <v>190</v>
      </c>
      <c r="G22" s="52" t="s">
        <v>190</v>
      </c>
      <c r="H22" s="10" t="s">
        <v>68</v>
      </c>
      <c r="I22" s="68">
        <v>4.4184255599975586</v>
      </c>
      <c r="J22" s="72">
        <v>3.7311272621154785</v>
      </c>
    </row>
    <row r="23" spans="1:10" ht="15" customHeight="1">
      <c r="A23" s="6" t="s">
        <v>69</v>
      </c>
      <c r="B23" s="69">
        <v>7.925593376159668</v>
      </c>
      <c r="C23" s="73">
        <v>11.912208557128906</v>
      </c>
      <c r="D23" s="6" t="s">
        <v>70</v>
      </c>
      <c r="E23" s="68">
        <v>1.7419999837875366</v>
      </c>
      <c r="F23" s="68">
        <v>1.7239999771118164</v>
      </c>
      <c r="G23" s="72">
        <v>1.7239999771118164</v>
      </c>
      <c r="H23" s="10" t="s">
        <v>71</v>
      </c>
      <c r="I23" s="68">
        <v>8.9451341740630479</v>
      </c>
      <c r="J23" s="16" t="s">
        <v>202</v>
      </c>
    </row>
    <row r="24" spans="1:10" ht="15" customHeight="1">
      <c r="A24" s="6" t="s">
        <v>72</v>
      </c>
      <c r="B24" s="69">
        <v>0</v>
      </c>
      <c r="C24" s="73">
        <v>0.80000001192092896</v>
      </c>
      <c r="D24" s="6" t="s">
        <v>73</v>
      </c>
      <c r="E24" s="68">
        <v>8.8900003433227539</v>
      </c>
      <c r="F24" s="68">
        <v>8.8900003433227539</v>
      </c>
      <c r="G24" s="72">
        <v>8.8900003433227539</v>
      </c>
      <c r="H24" s="10" t="s">
        <v>74</v>
      </c>
      <c r="I24" s="68">
        <v>3.2736440920171521</v>
      </c>
      <c r="J24" s="72">
        <v>2.8885175065099418</v>
      </c>
    </row>
    <row r="25" spans="1:10" ht="15" customHeight="1">
      <c r="A25" s="6" t="s">
        <v>75</v>
      </c>
      <c r="B25" s="51" t="s">
        <v>174</v>
      </c>
      <c r="C25" s="73">
        <v>0.80000001192092896</v>
      </c>
      <c r="D25" s="109" t="s">
        <v>76</v>
      </c>
      <c r="E25" s="53"/>
      <c r="F25" s="53"/>
      <c r="G25" s="60"/>
      <c r="H25" s="10" t="s">
        <v>77</v>
      </c>
      <c r="I25" s="68">
        <v>5.6551080197095871E-2</v>
      </c>
      <c r="J25" s="72">
        <v>0.12354257702827454</v>
      </c>
    </row>
    <row r="26" spans="1:10" ht="15" customHeight="1">
      <c r="A26" s="6" t="s">
        <v>78</v>
      </c>
      <c r="B26" s="53" t="s">
        <v>181</v>
      </c>
      <c r="C26" s="60" t="s">
        <v>182</v>
      </c>
      <c r="D26" s="10" t="s">
        <v>79</v>
      </c>
      <c r="E26" s="69">
        <v>285.44717093668123</v>
      </c>
      <c r="F26" s="69">
        <v>303.40113211704255</v>
      </c>
      <c r="G26" s="73">
        <v>99.984177484690463</v>
      </c>
      <c r="H26" s="10" t="s">
        <v>80</v>
      </c>
      <c r="I26" s="68">
        <v>0.89896869659423828</v>
      </c>
      <c r="J26" s="72">
        <v>0.7830999493598938</v>
      </c>
    </row>
    <row r="27" spans="1:10" ht="15" customHeight="1" thickBot="1">
      <c r="A27" s="6" t="s">
        <v>81</v>
      </c>
      <c r="B27" s="51" t="s">
        <v>183</v>
      </c>
      <c r="C27" s="52" t="s">
        <v>183</v>
      </c>
      <c r="D27" s="11" t="s">
        <v>82</v>
      </c>
      <c r="E27" s="80">
        <v>321.76068445302229</v>
      </c>
      <c r="F27" s="80" t="s">
        <v>174</v>
      </c>
      <c r="G27" s="82" t="s">
        <v>174</v>
      </c>
      <c r="H27" s="11" t="s">
        <v>83</v>
      </c>
      <c r="I27" s="79">
        <v>0.90074563026428223</v>
      </c>
      <c r="J27" s="81">
        <v>0.79278510808944702</v>
      </c>
    </row>
    <row r="28" spans="1:10" ht="15" customHeight="1">
      <c r="A28" s="6" t="s">
        <v>84</v>
      </c>
      <c r="B28" s="1"/>
      <c r="C28" s="39"/>
      <c r="D28" s="13" t="s">
        <v>85</v>
      </c>
      <c r="E28" s="22"/>
      <c r="F28" s="19"/>
      <c r="G28" s="42"/>
      <c r="H28" s="15"/>
      <c r="I28" s="28" t="s">
        <v>86</v>
      </c>
      <c r="J28" s="15"/>
    </row>
    <row r="29" spans="1:10" ht="15" customHeight="1">
      <c r="A29" s="7"/>
      <c r="B29" s="35" t="s">
        <v>87</v>
      </c>
      <c r="C29" s="75">
        <v>35.000967785669218</v>
      </c>
      <c r="D29" s="7"/>
      <c r="E29" s="3" t="s">
        <v>88</v>
      </c>
      <c r="F29" s="3" t="s">
        <v>89</v>
      </c>
      <c r="G29" s="3" t="s">
        <v>90</v>
      </c>
      <c r="H29" s="16" t="s">
        <v>91</v>
      </c>
      <c r="I29" s="3" t="s">
        <v>92</v>
      </c>
      <c r="J29" s="16" t="s">
        <v>93</v>
      </c>
    </row>
    <row r="30" spans="1:10" ht="15" customHeight="1" thickBot="1">
      <c r="A30" s="8"/>
      <c r="B30" s="63" t="s">
        <v>94</v>
      </c>
      <c r="C30" s="76">
        <v>35.035971137034089</v>
      </c>
      <c r="D30" s="10" t="s">
        <v>95</v>
      </c>
      <c r="E30" s="69">
        <v>32.004948124999999</v>
      </c>
      <c r="F30" s="69">
        <v>1214.6358129882813</v>
      </c>
      <c r="G30" s="69">
        <v>17.176980544155356</v>
      </c>
      <c r="H30" s="74">
        <v>723.01073482868583</v>
      </c>
      <c r="I30" s="70">
        <v>142809.5980604401</v>
      </c>
      <c r="J30" s="74">
        <v>12171.250171644899</v>
      </c>
    </row>
    <row r="31" spans="1:10" ht="15" customHeight="1">
      <c r="A31" s="23" t="s">
        <v>96</v>
      </c>
      <c r="B31" s="147"/>
      <c r="C31" s="27"/>
      <c r="D31" s="10" t="s">
        <v>97</v>
      </c>
      <c r="E31" s="69">
        <v>7.6000000000000005</v>
      </c>
      <c r="F31" s="69">
        <v>1302.8629471397912</v>
      </c>
      <c r="G31" s="69">
        <v>16.013791606965889</v>
      </c>
      <c r="H31" s="74">
        <v>120.28234801486435</v>
      </c>
      <c r="I31" s="70">
        <v>39607.033593049659</v>
      </c>
      <c r="J31" s="74">
        <v>3013.1226780445404</v>
      </c>
    </row>
    <row r="32" spans="1:10" ht="15" customHeight="1">
      <c r="A32" s="6" t="s">
        <v>98</v>
      </c>
      <c r="B32" s="68" t="s">
        <v>245</v>
      </c>
      <c r="C32" s="110"/>
      <c r="D32" s="10" t="s">
        <v>99</v>
      </c>
      <c r="E32" s="69">
        <v>17.368280379415154</v>
      </c>
      <c r="F32" s="69">
        <v>1299.3863568749164</v>
      </c>
      <c r="G32" s="69">
        <v>16.056637517814458</v>
      </c>
      <c r="H32" s="74">
        <v>278.61412215675188</v>
      </c>
      <c r="I32" s="9" t="s">
        <v>100</v>
      </c>
      <c r="J32" s="74">
        <v>15184.37284968944</v>
      </c>
    </row>
    <row r="33" spans="1:10" ht="15" customHeight="1">
      <c r="A33" s="6" t="s">
        <v>101</v>
      </c>
      <c r="B33" s="68" t="s">
        <v>246</v>
      </c>
      <c r="C33" s="111" t="s">
        <v>102</v>
      </c>
      <c r="D33" s="10" t="s">
        <v>97</v>
      </c>
      <c r="E33" s="69">
        <v>4.0549999237060552</v>
      </c>
      <c r="F33" s="69">
        <v>1577.4468369659876</v>
      </c>
      <c r="G33" s="69">
        <v>13.226294058862084</v>
      </c>
      <c r="H33" s="74">
        <v>31.081617625745082</v>
      </c>
      <c r="I33" s="9" t="s">
        <v>103</v>
      </c>
      <c r="J33" s="73" t="s">
        <v>213</v>
      </c>
    </row>
    <row r="34" spans="1:10" ht="15" customHeight="1" thickBot="1">
      <c r="A34" s="17" t="s">
        <v>104</v>
      </c>
      <c r="B34" s="79" t="s">
        <v>247</v>
      </c>
      <c r="C34" s="112">
        <v>20.863775727934026</v>
      </c>
      <c r="D34" s="11" t="s">
        <v>20</v>
      </c>
      <c r="E34" s="79">
        <v>0.33099999427795412</v>
      </c>
      <c r="F34" s="80">
        <v>2617.8759262900394</v>
      </c>
      <c r="G34" s="80">
        <v>7.9697343630419599</v>
      </c>
      <c r="H34" s="83">
        <v>2099.2411713206557</v>
      </c>
      <c r="I34" s="9" t="s">
        <v>105</v>
      </c>
      <c r="J34" s="73">
        <v>6.0500001907348633</v>
      </c>
    </row>
    <row r="35" spans="1:10" ht="15" customHeight="1">
      <c r="A35" s="13" t="s">
        <v>106</v>
      </c>
      <c r="B35" s="14"/>
      <c r="C35" s="14"/>
      <c r="D35" s="137" t="s">
        <v>215</v>
      </c>
      <c r="E35" s="148" t="s">
        <v>214</v>
      </c>
      <c r="F35" s="15"/>
      <c r="G35" s="26" t="s">
        <v>107</v>
      </c>
      <c r="H35" s="85" t="s">
        <v>208</v>
      </c>
      <c r="I35" s="10" t="s">
        <v>108</v>
      </c>
      <c r="J35" s="74" t="s">
        <v>212</v>
      </c>
    </row>
    <row r="36" spans="1:10" ht="15" customHeight="1">
      <c r="A36" s="6" t="s">
        <v>109</v>
      </c>
      <c r="B36" s="3">
        <v>25</v>
      </c>
      <c r="C36" s="3">
        <v>50</v>
      </c>
      <c r="D36" s="3">
        <v>75</v>
      </c>
      <c r="E36" s="3">
        <v>100</v>
      </c>
      <c r="F36" s="16">
        <v>125</v>
      </c>
      <c r="G36" s="10" t="s">
        <v>110</v>
      </c>
      <c r="H36" s="74" t="s">
        <v>206</v>
      </c>
      <c r="I36" s="10" t="s">
        <v>111</v>
      </c>
      <c r="J36" s="74" t="s">
        <v>211</v>
      </c>
    </row>
    <row r="37" spans="1:10" ht="15" customHeight="1" thickBot="1">
      <c r="A37" s="6" t="s">
        <v>112</v>
      </c>
      <c r="B37" s="69" t="s">
        <v>227</v>
      </c>
      <c r="C37" s="69" t="s">
        <v>228</v>
      </c>
      <c r="D37" s="69" t="s">
        <v>229</v>
      </c>
      <c r="E37" s="69" t="s">
        <v>230</v>
      </c>
      <c r="F37" s="73" t="s">
        <v>231</v>
      </c>
      <c r="G37" s="10" t="s">
        <v>113</v>
      </c>
      <c r="H37" s="74" t="s">
        <v>207</v>
      </c>
      <c r="I37" s="11" t="s">
        <v>114</v>
      </c>
      <c r="J37" s="83" t="s">
        <v>210</v>
      </c>
    </row>
    <row r="38" spans="1:10" ht="15" customHeight="1" thickBot="1">
      <c r="A38" s="6" t="s">
        <v>115</v>
      </c>
      <c r="B38" s="68" t="s">
        <v>217</v>
      </c>
      <c r="C38" s="68" t="s">
        <v>218</v>
      </c>
      <c r="D38" s="68" t="s">
        <v>219</v>
      </c>
      <c r="E38" s="68" t="s">
        <v>220</v>
      </c>
      <c r="F38" s="72" t="s">
        <v>221</v>
      </c>
      <c r="G38" s="17" t="s">
        <v>116</v>
      </c>
      <c r="H38" s="83" t="s">
        <v>209</v>
      </c>
      <c r="I38" s="139" t="s">
        <v>216</v>
      </c>
      <c r="J38" s="84">
        <v>30213</v>
      </c>
    </row>
    <row r="39" spans="1:10" ht="15" customHeight="1">
      <c r="A39" s="6" t="s">
        <v>117</v>
      </c>
      <c r="B39" s="68" t="s">
        <v>222</v>
      </c>
      <c r="C39" s="68" t="s">
        <v>223</v>
      </c>
      <c r="D39" s="68" t="s">
        <v>224</v>
      </c>
      <c r="E39" s="68" t="s">
        <v>225</v>
      </c>
      <c r="F39" s="72" t="s">
        <v>226</v>
      </c>
      <c r="G39" s="13" t="s">
        <v>118</v>
      </c>
      <c r="H39" s="14"/>
      <c r="I39" s="40" t="s">
        <v>119</v>
      </c>
      <c r="J39" s="41" t="s">
        <v>120</v>
      </c>
    </row>
    <row r="40" spans="1:10" ht="15" customHeight="1">
      <c r="A40" s="6" t="s">
        <v>119</v>
      </c>
      <c r="B40" s="67" t="s">
        <v>240</v>
      </c>
      <c r="C40" s="67" t="s">
        <v>241</v>
      </c>
      <c r="D40" s="67" t="s">
        <v>242</v>
      </c>
      <c r="E40" s="67" t="s">
        <v>243</v>
      </c>
      <c r="F40" s="71" t="s">
        <v>244</v>
      </c>
      <c r="G40" s="36" t="s">
        <v>121</v>
      </c>
      <c r="H40" s="91" t="s">
        <v>248</v>
      </c>
      <c r="I40" s="55"/>
      <c r="J40" s="56"/>
    </row>
    <row r="41" spans="1:10" ht="15" customHeight="1">
      <c r="A41" s="6" t="s">
        <v>5</v>
      </c>
      <c r="B41" s="70" t="s">
        <v>235</v>
      </c>
      <c r="C41" s="70" t="s">
        <v>236</v>
      </c>
      <c r="D41" s="70" t="s">
        <v>237</v>
      </c>
      <c r="E41" s="70" t="s">
        <v>238</v>
      </c>
      <c r="F41" s="74" t="s">
        <v>239</v>
      </c>
      <c r="G41" s="37" t="s">
        <v>122</v>
      </c>
      <c r="H41" s="92" t="s">
        <v>249</v>
      </c>
      <c r="I41" s="57"/>
      <c r="J41" s="58"/>
    </row>
    <row r="42" spans="1:10" ht="15" customHeight="1">
      <c r="A42" s="6" t="s">
        <v>123</v>
      </c>
      <c r="B42" s="68">
        <v>1.8639362918862596</v>
      </c>
      <c r="C42" s="68">
        <v>1.8639362918862596</v>
      </c>
      <c r="D42" s="68">
        <v>1.8639362918862596</v>
      </c>
      <c r="E42" s="68">
        <v>1.8639362918862596</v>
      </c>
      <c r="F42" s="72">
        <v>1.8639362918862596</v>
      </c>
      <c r="G42" s="36" t="s">
        <v>124</v>
      </c>
      <c r="H42" s="91" t="s">
        <v>250</v>
      </c>
      <c r="I42" s="55"/>
      <c r="J42" s="97">
        <v>0.15583826871385267</v>
      </c>
    </row>
    <row r="43" spans="1:10" ht="15" customHeight="1" thickBot="1">
      <c r="A43" s="17" t="s">
        <v>125</v>
      </c>
      <c r="B43" s="79">
        <v>1.8639362918862596</v>
      </c>
      <c r="C43" s="79"/>
      <c r="D43" s="79" t="s">
        <v>649</v>
      </c>
      <c r="E43" s="79"/>
      <c r="F43" s="81"/>
      <c r="G43" s="37" t="s">
        <v>122</v>
      </c>
      <c r="H43" s="92" t="s">
        <v>251</v>
      </c>
      <c r="I43" s="57"/>
      <c r="J43" s="58"/>
    </row>
    <row r="44" spans="1:10" ht="15" customHeight="1">
      <c r="A44" s="5" t="s">
        <v>126</v>
      </c>
      <c r="B44" s="144"/>
      <c r="C44" s="1"/>
      <c r="D44" s="1"/>
      <c r="E44" s="5" t="s">
        <v>127</v>
      </c>
      <c r="F44" s="20"/>
      <c r="G44" s="36" t="s">
        <v>128</v>
      </c>
      <c r="H44" s="93">
        <v>8141.9712352608794</v>
      </c>
      <c r="I44" s="90">
        <v>3.20255935260556E-2</v>
      </c>
      <c r="J44" s="97">
        <v>0.63608081989798404</v>
      </c>
    </row>
    <row r="45" spans="1:10" ht="15" customHeight="1">
      <c r="A45" s="6" t="s">
        <v>129</v>
      </c>
      <c r="B45" s="68">
        <v>0.29329940676689148</v>
      </c>
      <c r="C45" s="4" t="s">
        <v>130</v>
      </c>
      <c r="D45" s="72">
        <v>6.6637820564210415E-3</v>
      </c>
      <c r="E45" s="6" t="s">
        <v>131</v>
      </c>
      <c r="F45" s="74">
        <v>2307.8809756945657</v>
      </c>
      <c r="G45" s="38" t="s">
        <v>122</v>
      </c>
      <c r="H45" s="86" t="s">
        <v>252</v>
      </c>
      <c r="I45" s="59"/>
      <c r="J45" s="60"/>
    </row>
    <row r="46" spans="1:10" ht="15" customHeight="1">
      <c r="A46" s="6" t="s">
        <v>132</v>
      </c>
      <c r="B46" s="68">
        <v>0.19528794288635254</v>
      </c>
      <c r="C46" s="4" t="s">
        <v>133</v>
      </c>
      <c r="D46" s="72">
        <v>6.2571908347308636E-3</v>
      </c>
      <c r="E46" s="6" t="s">
        <v>134</v>
      </c>
      <c r="F46" s="74">
        <v>3278.7970509861634</v>
      </c>
      <c r="G46" s="37" t="s">
        <v>135</v>
      </c>
      <c r="H46" s="94">
        <v>1788.3305401993991</v>
      </c>
      <c r="I46" s="57"/>
      <c r="J46" s="58"/>
    </row>
    <row r="47" spans="1:10" ht="15" customHeight="1">
      <c r="A47" s="6" t="s">
        <v>136</v>
      </c>
      <c r="B47" s="68">
        <v>0.48858734965324402</v>
      </c>
      <c r="C47" s="4" t="s">
        <v>137</v>
      </c>
      <c r="D47" s="72">
        <v>2.6809652335941792E-3</v>
      </c>
      <c r="E47" s="6" t="s">
        <v>138</v>
      </c>
      <c r="F47" s="74">
        <v>2129.8005513570965</v>
      </c>
      <c r="G47" s="64" t="s">
        <v>139</v>
      </c>
      <c r="H47" s="93">
        <v>7885.5186013255006</v>
      </c>
      <c r="I47" s="90">
        <v>3.098675295031229E-2</v>
      </c>
      <c r="J47" s="95">
        <v>0.6471786616141243</v>
      </c>
    </row>
    <row r="48" spans="1:10" ht="15" customHeight="1">
      <c r="A48" s="6" t="s">
        <v>140</v>
      </c>
      <c r="B48" s="68">
        <v>9.1786589473485947E-3</v>
      </c>
      <c r="C48" s="4" t="s">
        <v>100</v>
      </c>
      <c r="D48" s="72">
        <v>2.4780597537755966E-2</v>
      </c>
      <c r="E48" s="6" t="s">
        <v>141</v>
      </c>
      <c r="F48" s="74">
        <v>598.59828400890467</v>
      </c>
      <c r="G48" s="65" t="s">
        <v>122</v>
      </c>
      <c r="H48" s="86">
        <v>234.89778377496279</v>
      </c>
      <c r="I48" s="59"/>
      <c r="J48" s="60"/>
    </row>
    <row r="49" spans="1:10" ht="15" customHeight="1" thickBot="1">
      <c r="A49" s="8"/>
      <c r="B49" s="54"/>
      <c r="C49" s="33" t="s">
        <v>142</v>
      </c>
      <c r="D49" s="81">
        <v>0.97521942853927612</v>
      </c>
      <c r="E49" s="17" t="s">
        <v>143</v>
      </c>
      <c r="F49" s="83">
        <v>1504.330430350713</v>
      </c>
      <c r="G49" s="66" t="s">
        <v>135</v>
      </c>
      <c r="H49" s="94">
        <v>1758.6229087338163</v>
      </c>
      <c r="I49" s="57"/>
      <c r="J49" s="61"/>
    </row>
    <row r="50" spans="1:10" ht="15" customHeight="1">
      <c r="A50" s="13" t="s">
        <v>198</v>
      </c>
      <c r="B50" s="14"/>
      <c r="C50" s="14"/>
      <c r="D50" s="14"/>
      <c r="E50" s="14"/>
      <c r="F50" s="15"/>
      <c r="G50" s="13" t="s">
        <v>144</v>
      </c>
      <c r="H50" s="14"/>
      <c r="I50" s="42"/>
      <c r="J50" s="27"/>
    </row>
    <row r="51" spans="1:10" ht="15" customHeight="1">
      <c r="A51" s="10" t="s">
        <v>145</v>
      </c>
      <c r="B51" s="51">
        <v>58</v>
      </c>
      <c r="C51" s="9" t="s">
        <v>146</v>
      </c>
      <c r="D51" s="69" t="s">
        <v>174</v>
      </c>
      <c r="E51" s="9" t="s">
        <v>147</v>
      </c>
      <c r="F51" s="73" t="s">
        <v>174</v>
      </c>
      <c r="G51" s="9" t="s">
        <v>148</v>
      </c>
      <c r="H51" s="67">
        <v>0.10437456691945171</v>
      </c>
      <c r="I51" s="45" t="s">
        <v>149</v>
      </c>
      <c r="J51" s="39"/>
    </row>
    <row r="52" spans="1:10" ht="15" customHeight="1">
      <c r="A52" s="10" t="s">
        <v>58</v>
      </c>
      <c r="B52" s="69">
        <v>40.549999237060547</v>
      </c>
      <c r="C52" s="9" t="s">
        <v>150</v>
      </c>
      <c r="D52" s="69" t="s">
        <v>174</v>
      </c>
      <c r="E52" s="9" t="s">
        <v>151</v>
      </c>
      <c r="F52" s="73" t="s">
        <v>174</v>
      </c>
      <c r="G52" s="9" t="s">
        <v>168</v>
      </c>
      <c r="H52" s="69">
        <v>268995.94527843589</v>
      </c>
      <c r="I52" s="98" t="s">
        <v>232</v>
      </c>
      <c r="J52" s="62"/>
    </row>
    <row r="53" spans="1:10" ht="15" customHeight="1">
      <c r="A53" s="10" t="s">
        <v>64</v>
      </c>
      <c r="B53" s="69">
        <v>5</v>
      </c>
      <c r="C53" s="9" t="s">
        <v>152</v>
      </c>
      <c r="D53" s="69" t="s">
        <v>174</v>
      </c>
      <c r="E53" s="9" t="s">
        <v>153</v>
      </c>
      <c r="F53" s="73" t="s">
        <v>174</v>
      </c>
      <c r="G53" s="9" t="s">
        <v>169</v>
      </c>
      <c r="H53" s="68">
        <v>280.00357142502236</v>
      </c>
      <c r="I53" s="44" t="s">
        <v>154</v>
      </c>
      <c r="J53" s="39"/>
    </row>
    <row r="54" spans="1:10" ht="15" customHeight="1">
      <c r="A54" s="10" t="s">
        <v>66</v>
      </c>
      <c r="B54" s="69">
        <v>5.5</v>
      </c>
      <c r="C54" s="9" t="s">
        <v>155</v>
      </c>
      <c r="D54" s="69" t="s">
        <v>174</v>
      </c>
      <c r="E54" s="9" t="s">
        <v>153</v>
      </c>
      <c r="F54" s="73" t="s">
        <v>174</v>
      </c>
      <c r="G54" s="9" t="s">
        <v>170</v>
      </c>
      <c r="H54" s="70">
        <v>652268.95000000007</v>
      </c>
      <c r="I54" s="99" t="s">
        <v>233</v>
      </c>
      <c r="J54" s="100" t="s">
        <v>196</v>
      </c>
    </row>
    <row r="55" spans="1:10" ht="15" customHeight="1">
      <c r="A55" s="10" t="s">
        <v>156</v>
      </c>
      <c r="B55" s="69">
        <v>12.050000190734863</v>
      </c>
      <c r="C55" s="9" t="s">
        <v>157</v>
      </c>
      <c r="D55" s="69" t="s">
        <v>174</v>
      </c>
      <c r="E55" s="9" t="s">
        <v>158</v>
      </c>
      <c r="F55" s="73" t="s">
        <v>174</v>
      </c>
      <c r="G55" s="9" t="s">
        <v>159</v>
      </c>
      <c r="H55" s="69">
        <v>1</v>
      </c>
      <c r="I55" s="44" t="s">
        <v>160</v>
      </c>
      <c r="J55" s="39"/>
    </row>
    <row r="56" spans="1:10" ht="15" customHeight="1" thickBot="1">
      <c r="A56" s="11" t="s">
        <v>161</v>
      </c>
      <c r="B56" s="80" t="s">
        <v>174</v>
      </c>
      <c r="C56" s="21" t="s">
        <v>162</v>
      </c>
      <c r="D56" s="80" t="s">
        <v>174</v>
      </c>
      <c r="E56" s="21" t="s">
        <v>163</v>
      </c>
      <c r="F56" s="82" t="s">
        <v>174</v>
      </c>
      <c r="G56" s="21" t="s">
        <v>164</v>
      </c>
      <c r="H56" s="79">
        <v>0.87493749999999992</v>
      </c>
      <c r="I56" s="101" t="s">
        <v>234</v>
      </c>
      <c r="J56" s="61" t="s">
        <v>197</v>
      </c>
    </row>
    <row r="57" spans="1:10" ht="15" customHeight="1">
      <c r="A57" s="23" t="s">
        <v>253</v>
      </c>
      <c r="B57" s="42"/>
      <c r="C57" s="42"/>
      <c r="D57" s="42"/>
      <c r="E57" s="42"/>
      <c r="F57" s="27"/>
      <c r="G57" s="119"/>
      <c r="H57" s="120"/>
      <c r="I57" s="120"/>
      <c r="J57" s="121"/>
    </row>
    <row r="58" spans="1:10" ht="15" customHeight="1">
      <c r="A58" s="102" t="s">
        <v>119</v>
      </c>
      <c r="B58" s="3" t="s">
        <v>165</v>
      </c>
      <c r="C58" s="16" t="s">
        <v>254</v>
      </c>
      <c r="D58" s="3" t="s">
        <v>119</v>
      </c>
      <c r="E58" s="3" t="s">
        <v>165</v>
      </c>
      <c r="F58" s="16" t="s">
        <v>255</v>
      </c>
      <c r="G58" s="122"/>
      <c r="H58" s="32"/>
      <c r="I58" s="32"/>
      <c r="J58" s="46"/>
    </row>
    <row r="59" spans="1:10" ht="15" customHeight="1">
      <c r="A59" s="126">
        <v>0</v>
      </c>
      <c r="B59" s="86">
        <v>0</v>
      </c>
      <c r="C59" s="87">
        <v>0.25606253743171692</v>
      </c>
      <c r="D59" s="128">
        <v>0.68736839294433594</v>
      </c>
      <c r="E59" s="86">
        <v>124.02946833697074</v>
      </c>
      <c r="F59" s="87">
        <v>536.27947998046875</v>
      </c>
      <c r="G59" s="122"/>
      <c r="H59" s="32"/>
      <c r="I59" s="32"/>
      <c r="J59" s="46"/>
    </row>
    <row r="60" spans="1:10" ht="15" customHeight="1">
      <c r="A60" s="130">
        <v>2.0000003278255463E-3</v>
      </c>
      <c r="B60" s="86">
        <v>115.5586080518153</v>
      </c>
      <c r="C60" s="87">
        <v>137.37158203125</v>
      </c>
      <c r="D60" s="128">
        <v>0.79157894849777222</v>
      </c>
      <c r="E60" s="86">
        <v>124.01654183213263</v>
      </c>
      <c r="F60" s="87">
        <v>541.13177490234375</v>
      </c>
      <c r="G60" s="122"/>
      <c r="H60" s="32"/>
      <c r="I60" s="32"/>
      <c r="J60" s="46"/>
    </row>
    <row r="61" spans="1:10" ht="15" customHeight="1">
      <c r="A61" s="130">
        <v>1.0000001639127731E-2</v>
      </c>
      <c r="B61" s="86">
        <v>205</v>
      </c>
      <c r="C61" s="87">
        <v>394.81265258789063</v>
      </c>
      <c r="D61" s="128">
        <v>0.89578944444656372</v>
      </c>
      <c r="E61" s="86">
        <v>124.00416329957984</v>
      </c>
      <c r="F61" s="87">
        <v>545.14349365234375</v>
      </c>
      <c r="G61" s="122"/>
      <c r="H61" s="32"/>
      <c r="I61" s="32"/>
      <c r="J61" s="46"/>
    </row>
    <row r="62" spans="1:10" ht="15" customHeight="1">
      <c r="A62" s="126">
        <v>6.2105264514684677E-2</v>
      </c>
      <c r="B62" s="86">
        <v>146.65315040575888</v>
      </c>
      <c r="C62" s="87">
        <v>456.8087158203125</v>
      </c>
      <c r="D62" s="129">
        <v>1</v>
      </c>
      <c r="E62" s="86">
        <v>124</v>
      </c>
      <c r="F62" s="87">
        <v>548.521728515625</v>
      </c>
      <c r="G62" s="122"/>
      <c r="H62" s="32"/>
      <c r="I62" s="32"/>
      <c r="J62" s="46"/>
    </row>
    <row r="63" spans="1:10" ht="15" customHeight="1" thickBot="1">
      <c r="A63" s="126">
        <v>0.11421053111553192</v>
      </c>
      <c r="B63" s="86">
        <v>130.55157334346151</v>
      </c>
      <c r="C63" s="87">
        <v>475.47805786132813</v>
      </c>
      <c r="D63" s="152"/>
      <c r="E63" s="88"/>
      <c r="F63" s="153"/>
      <c r="G63" s="122"/>
      <c r="H63" s="32"/>
      <c r="I63" s="32"/>
      <c r="J63" s="46"/>
    </row>
    <row r="64" spans="1:10" ht="15" customHeight="1">
      <c r="A64" s="126">
        <v>0.16631579399108887</v>
      </c>
      <c r="B64" s="86">
        <v>125.67901769900863</v>
      </c>
      <c r="C64" s="87">
        <v>485.89642333984375</v>
      </c>
      <c r="D64" s="154" t="s">
        <v>263</v>
      </c>
      <c r="E64" s="155"/>
      <c r="F64" s="155"/>
      <c r="G64" s="122"/>
      <c r="H64" s="32"/>
      <c r="I64" s="32"/>
      <c r="J64" s="46"/>
    </row>
    <row r="65" spans="1:10" ht="15" customHeight="1">
      <c r="A65" s="126">
        <v>0.27052631974220276</v>
      </c>
      <c r="B65" s="86">
        <v>124.16242590920089</v>
      </c>
      <c r="C65" s="87">
        <v>500.76101684570313</v>
      </c>
      <c r="D65" s="156" t="s">
        <v>257</v>
      </c>
      <c r="E65" s="158" t="s">
        <v>261</v>
      </c>
      <c r="F65" s="158"/>
      <c r="G65" s="122"/>
      <c r="H65" s="32"/>
      <c r="I65" s="32"/>
      <c r="J65" s="46"/>
    </row>
    <row r="66" spans="1:10" ht="15" customHeight="1">
      <c r="A66" s="126">
        <v>0.37473684549331665</v>
      </c>
      <c r="B66" s="86">
        <v>124.10696410735633</v>
      </c>
      <c r="C66" s="87">
        <v>512.525634765625</v>
      </c>
      <c r="D66" s="156" t="s">
        <v>258</v>
      </c>
      <c r="E66" s="158" t="s">
        <v>262</v>
      </c>
      <c r="F66" s="158"/>
      <c r="G66" s="122"/>
      <c r="H66" s="32"/>
      <c r="I66" s="32"/>
      <c r="J66" s="46"/>
    </row>
    <row r="67" spans="1:10" ht="15" customHeight="1">
      <c r="A67" s="126">
        <v>0.47894737124443054</v>
      </c>
      <c r="B67" s="86">
        <v>124.07093621778235</v>
      </c>
      <c r="C67" s="87">
        <v>522.21173095703125</v>
      </c>
      <c r="D67" s="156" t="s">
        <v>259</v>
      </c>
      <c r="E67" s="158" t="s">
        <v>264</v>
      </c>
      <c r="F67" s="158"/>
      <c r="G67" s="122"/>
      <c r="H67" s="32"/>
      <c r="I67" s="32"/>
      <c r="J67" s="46"/>
    </row>
    <row r="68" spans="1:10" ht="15" customHeight="1" thickBot="1">
      <c r="A68" s="127">
        <v>0.58315789699554443</v>
      </c>
      <c r="B68" s="88">
        <v>124.04927397374487</v>
      </c>
      <c r="C68" s="89">
        <v>530.0684814453125</v>
      </c>
      <c r="D68" s="157" t="s">
        <v>260</v>
      </c>
      <c r="E68" s="159" t="s">
        <v>265</v>
      </c>
      <c r="F68" s="159"/>
      <c r="G68" s="123"/>
      <c r="H68" s="47"/>
      <c r="I68" s="47"/>
      <c r="J68" s="48"/>
    </row>
    <row r="69" spans="1:10" ht="1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</row>
    <row r="70" spans="1:10" ht="1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151" t="s">
        <v>256</v>
      </c>
      <c r="B99" s="151"/>
      <c r="C99" s="151"/>
      <c r="D99" s="151"/>
      <c r="E99" s="151"/>
      <c r="F99" s="151"/>
      <c r="G99" s="151"/>
      <c r="H99" s="151"/>
      <c r="I99" s="151"/>
    </row>
    <row r="100" spans="1:9">
      <c r="A100" s="151">
        <v>100</v>
      </c>
      <c r="B100" s="151"/>
      <c r="C100" s="151"/>
      <c r="D100" s="151"/>
      <c r="E100" s="151"/>
      <c r="F100" s="151"/>
      <c r="G100" s="151"/>
      <c r="H100" s="151"/>
      <c r="I100" s="151"/>
    </row>
    <row r="101" spans="1:9">
      <c r="A101" s="151">
        <v>99.599998474121094</v>
      </c>
      <c r="B101" s="151"/>
      <c r="C101" s="151"/>
      <c r="D101" s="151"/>
      <c r="E101" s="151"/>
      <c r="F101" s="151"/>
      <c r="G101" s="151"/>
      <c r="H101" s="151"/>
      <c r="I101" s="151"/>
    </row>
    <row r="102" spans="1:9">
      <c r="A102" s="151">
        <v>98</v>
      </c>
      <c r="B102" s="151"/>
      <c r="C102" s="151"/>
      <c r="D102" s="151"/>
      <c r="E102" s="151"/>
      <c r="F102" s="151"/>
      <c r="G102" s="151"/>
      <c r="H102" s="151"/>
      <c r="I102" s="151"/>
    </row>
    <row r="103" spans="1:9">
      <c r="A103" s="151">
        <v>83.852630615234375</v>
      </c>
      <c r="B103" s="151"/>
      <c r="C103" s="151"/>
      <c r="D103" s="151"/>
      <c r="E103" s="151"/>
      <c r="F103" s="151"/>
      <c r="G103" s="151"/>
      <c r="H103" s="151"/>
      <c r="I103" s="151"/>
    </row>
    <row r="104" spans="1:9">
      <c r="A104" s="151">
        <v>70.305259704589844</v>
      </c>
      <c r="B104" s="151"/>
      <c r="C104" s="151"/>
      <c r="D104" s="151"/>
      <c r="E104" s="151"/>
      <c r="F104" s="151"/>
      <c r="G104" s="151"/>
      <c r="H104" s="151"/>
      <c r="I104" s="151"/>
    </row>
    <row r="105" spans="1:9">
      <c r="A105" s="151">
        <v>57.410526275634766</v>
      </c>
      <c r="B105" s="151"/>
      <c r="C105" s="151"/>
      <c r="D105" s="151"/>
      <c r="E105" s="151"/>
      <c r="F105" s="151"/>
      <c r="G105" s="151"/>
      <c r="H105" s="151"/>
      <c r="I105" s="151"/>
    </row>
    <row r="106" spans="1:9">
      <c r="A106" s="151">
        <v>38.010524749755859</v>
      </c>
      <c r="B106" s="151"/>
      <c r="C106" s="151"/>
      <c r="D106" s="151"/>
      <c r="E106" s="151"/>
      <c r="F106" s="151"/>
      <c r="G106" s="151"/>
      <c r="H106" s="151"/>
      <c r="I106" s="151"/>
    </row>
    <row r="107" spans="1:9">
      <c r="A107" s="151">
        <v>24.778947830200195</v>
      </c>
      <c r="B107" s="151"/>
      <c r="C107" s="151"/>
      <c r="D107" s="151"/>
      <c r="E107" s="151"/>
      <c r="F107" s="151"/>
      <c r="G107" s="151"/>
      <c r="H107" s="151"/>
      <c r="I107" s="151"/>
    </row>
    <row r="108" spans="1:9">
      <c r="A108" s="151">
        <v>15.684209823608398</v>
      </c>
      <c r="B108" s="151"/>
      <c r="C108" s="151"/>
      <c r="D108" s="151"/>
      <c r="E108" s="151"/>
      <c r="F108" s="151"/>
      <c r="G108" s="151"/>
      <c r="H108" s="151"/>
      <c r="I108" s="151"/>
    </row>
    <row r="109" spans="1:9">
      <c r="A109" s="151">
        <v>9.0105257034301758</v>
      </c>
      <c r="B109" s="151"/>
      <c r="C109" s="151"/>
      <c r="D109" s="151"/>
      <c r="E109" s="151"/>
      <c r="F109" s="151"/>
      <c r="G109" s="151"/>
      <c r="H109" s="151"/>
      <c r="I109" s="151"/>
    </row>
    <row r="110" spans="1:9">
      <c r="A110" s="151">
        <v>6.2526321411132813</v>
      </c>
      <c r="B110" s="151"/>
      <c r="C110" s="151"/>
      <c r="D110" s="151"/>
      <c r="E110" s="151"/>
      <c r="F110" s="151"/>
      <c r="G110" s="151"/>
      <c r="H110" s="151"/>
      <c r="I110" s="151"/>
    </row>
    <row r="111" spans="1:9">
      <c r="A111" s="151">
        <v>7.8315787315368652</v>
      </c>
      <c r="B111" s="151"/>
      <c r="C111" s="151"/>
      <c r="D111" s="151"/>
      <c r="E111" s="151"/>
      <c r="F111" s="151"/>
      <c r="G111" s="151"/>
      <c r="H111" s="151"/>
      <c r="I111" s="151"/>
    </row>
    <row r="112" spans="1:9">
      <c r="A112" s="151">
        <v>14.70526123046875</v>
      </c>
      <c r="B112" s="151"/>
      <c r="C112" s="151"/>
      <c r="D112" s="151"/>
      <c r="E112" s="151"/>
      <c r="F112" s="151"/>
      <c r="G112" s="151"/>
      <c r="H112" s="151"/>
      <c r="I112" s="151"/>
    </row>
    <row r="113" spans="1:9">
      <c r="A113" s="151">
        <v>30</v>
      </c>
      <c r="B113" s="151"/>
      <c r="C113" s="151"/>
      <c r="D113" s="151"/>
      <c r="E113" s="151"/>
      <c r="F113" s="151"/>
      <c r="G113" s="151"/>
      <c r="H113" s="151"/>
      <c r="I113" s="151"/>
    </row>
  </sheetData>
  <printOptions horizontalCentered="1"/>
  <pageMargins left="0.86614173228346503" right="0" top="0.23622047244094499" bottom="0.23622047244094499" header="0" footer="0"/>
  <pageSetup scale="75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53"/>
  <sheetViews>
    <sheetView tabSelected="1" topLeftCell="A8" zoomScale="85" zoomScaleNormal="85" workbookViewId="0">
      <selection activeCell="L51" sqref="L51"/>
    </sheetView>
  </sheetViews>
  <sheetFormatPr defaultRowHeight="15.75"/>
  <cols>
    <col min="1" max="1" width="12.140625" style="309" customWidth="1"/>
    <col min="2" max="2" width="6.140625" style="309" customWidth="1"/>
    <col min="3" max="3" width="7.7109375" style="309" customWidth="1"/>
    <col min="4" max="5" width="13.140625" style="309" customWidth="1"/>
    <col min="6" max="6" width="9.42578125" style="309" customWidth="1"/>
    <col min="7" max="7" width="5.7109375" style="309" customWidth="1"/>
    <col min="8" max="8" width="7.85546875" style="309" customWidth="1"/>
    <col min="9" max="9" width="6.5703125" style="309" customWidth="1"/>
    <col min="10" max="11" width="12" style="309" customWidth="1"/>
    <col min="12" max="12" width="16" style="160" customWidth="1"/>
    <col min="13" max="26" width="9.140625" style="160"/>
    <col min="27" max="16384" width="9.140625" style="161"/>
  </cols>
  <sheetData>
    <row r="1" spans="1:26" ht="20.25" customHeight="1">
      <c r="A1" s="418" t="s">
        <v>266</v>
      </c>
      <c r="B1" s="418"/>
      <c r="C1" s="418"/>
      <c r="D1" s="418"/>
      <c r="E1" s="418"/>
      <c r="F1" s="418"/>
      <c r="G1" s="418"/>
      <c r="H1" s="418"/>
      <c r="I1" s="418"/>
      <c r="J1" s="418"/>
      <c r="K1" s="418"/>
    </row>
    <row r="2" spans="1:26" ht="20.25" customHeight="1">
      <c r="A2" s="419" t="s">
        <v>267</v>
      </c>
      <c r="B2" s="419"/>
      <c r="C2" s="419"/>
      <c r="D2" s="419"/>
      <c r="E2" s="419"/>
      <c r="F2" s="419"/>
      <c r="G2" s="419"/>
      <c r="H2" s="419"/>
      <c r="I2" s="419"/>
      <c r="J2" s="419"/>
      <c r="K2" s="419"/>
    </row>
    <row r="3" spans="1:26" ht="18.75" customHeight="1" thickBot="1">
      <c r="A3" s="162" t="s">
        <v>1</v>
      </c>
      <c r="B3" s="163" t="s">
        <v>375</v>
      </c>
      <c r="C3" s="164"/>
      <c r="D3" s="164"/>
      <c r="E3" s="164"/>
      <c r="F3" s="165"/>
      <c r="G3" s="164"/>
      <c r="H3" s="164"/>
      <c r="I3" s="162" t="s">
        <v>268</v>
      </c>
      <c r="J3" s="420" t="s">
        <v>638</v>
      </c>
      <c r="K3" s="420"/>
    </row>
    <row r="4" spans="1:26" s="174" customFormat="1" ht="18.399999999999999" customHeight="1" thickBot="1">
      <c r="A4" s="166" t="s">
        <v>376</v>
      </c>
      <c r="B4" s="167"/>
      <c r="C4" s="168"/>
      <c r="D4" s="168"/>
      <c r="E4" s="168"/>
      <c r="F4" s="168"/>
      <c r="G4" s="168"/>
      <c r="H4" s="168"/>
      <c r="I4" s="168"/>
      <c r="J4" s="168"/>
      <c r="K4" s="169"/>
      <c r="L4" s="170"/>
      <c r="M4" s="170"/>
      <c r="N4" s="170"/>
      <c r="O4" s="170"/>
      <c r="P4" s="170"/>
      <c r="Q4" s="171" t="s">
        <v>269</v>
      </c>
      <c r="R4" s="172"/>
      <c r="S4" s="170"/>
      <c r="T4" s="171" t="s">
        <v>270</v>
      </c>
      <c r="U4" s="173"/>
      <c r="V4" s="170"/>
      <c r="W4" s="170"/>
      <c r="X4" s="170"/>
      <c r="Y4" s="170"/>
      <c r="Z4" s="170"/>
    </row>
    <row r="5" spans="1:26" s="174" customFormat="1" ht="18.399999999999999" customHeight="1">
      <c r="A5" s="421" t="s">
        <v>271</v>
      </c>
      <c r="B5" s="422"/>
      <c r="C5" s="422"/>
      <c r="D5" s="175"/>
      <c r="E5" s="176"/>
      <c r="F5" s="177" t="s">
        <v>272</v>
      </c>
      <c r="G5" s="164"/>
      <c r="H5" s="164"/>
      <c r="I5" s="178"/>
      <c r="J5" s="179" t="s">
        <v>273</v>
      </c>
      <c r="K5" s="180" t="s">
        <v>274</v>
      </c>
      <c r="L5" s="170"/>
      <c r="M5" s="170"/>
      <c r="P5" s="170"/>
      <c r="Q5" s="181" t="s">
        <v>275</v>
      </c>
      <c r="R5" s="182"/>
      <c r="S5" s="170"/>
      <c r="T5" s="181" t="s">
        <v>276</v>
      </c>
      <c r="U5" s="183"/>
      <c r="V5" s="170"/>
      <c r="W5" s="170"/>
      <c r="X5" s="170"/>
      <c r="Y5" s="170"/>
      <c r="Z5" s="170"/>
    </row>
    <row r="6" spans="1:26" s="174" customFormat="1" ht="18.399999999999999" customHeight="1">
      <c r="A6" s="423" t="s">
        <v>67</v>
      </c>
      <c r="B6" s="424"/>
      <c r="C6" s="424"/>
      <c r="D6" s="425" t="s">
        <v>280</v>
      </c>
      <c r="E6" s="426"/>
      <c r="F6" s="427" t="s">
        <v>278</v>
      </c>
      <c r="G6" s="428"/>
      <c r="H6" s="428"/>
      <c r="I6" s="428"/>
      <c r="J6" s="428"/>
      <c r="K6" s="429"/>
      <c r="L6" s="170"/>
      <c r="M6" s="170"/>
      <c r="N6" s="417" t="s">
        <v>655</v>
      </c>
      <c r="O6" s="417"/>
      <c r="P6" s="170"/>
      <c r="Q6" s="181" t="s">
        <v>279</v>
      </c>
      <c r="R6" s="182"/>
      <c r="S6" s="170"/>
      <c r="T6" s="181" t="s">
        <v>280</v>
      </c>
      <c r="U6" s="183"/>
      <c r="V6" s="170"/>
      <c r="W6" s="170"/>
      <c r="X6" s="170"/>
      <c r="Y6" s="170"/>
      <c r="Z6" s="170"/>
    </row>
    <row r="7" spans="1:26" s="174" customFormat="1" ht="18.399999999999999" customHeight="1">
      <c r="A7" s="433" t="s">
        <v>20</v>
      </c>
      <c r="B7" s="434"/>
      <c r="C7" s="434"/>
      <c r="D7" s="435">
        <v>3.3099999427795401</v>
      </c>
      <c r="E7" s="436"/>
      <c r="F7" s="184" t="s">
        <v>281</v>
      </c>
      <c r="G7" s="185"/>
      <c r="H7" s="186"/>
      <c r="I7" s="187"/>
      <c r="J7" s="188">
        <v>133</v>
      </c>
      <c r="K7" s="189">
        <v>114.5</v>
      </c>
      <c r="L7" s="170"/>
      <c r="M7" s="170">
        <f>O7/N7*J7</f>
        <v>109.6</v>
      </c>
      <c r="N7" s="170">
        <v>133</v>
      </c>
      <c r="O7" s="170">
        <v>109.6</v>
      </c>
      <c r="P7" s="170"/>
      <c r="Q7" s="181" t="s">
        <v>282</v>
      </c>
      <c r="R7" s="182"/>
      <c r="S7" s="170"/>
      <c r="T7" s="181" t="s">
        <v>277</v>
      </c>
      <c r="U7" s="183"/>
      <c r="V7" s="170"/>
      <c r="W7" s="170"/>
      <c r="X7" s="170"/>
      <c r="Y7" s="170"/>
      <c r="Z7" s="170"/>
    </row>
    <row r="8" spans="1:26" s="174" customFormat="1" ht="18.399999999999999" customHeight="1">
      <c r="A8" s="433" t="s">
        <v>283</v>
      </c>
      <c r="B8" s="434"/>
      <c r="C8" s="434"/>
      <c r="D8" s="437">
        <v>1150</v>
      </c>
      <c r="E8" s="438"/>
      <c r="F8" s="190" t="s">
        <v>284</v>
      </c>
      <c r="G8" s="191"/>
      <c r="H8" s="192"/>
      <c r="I8" s="193"/>
      <c r="J8" s="194">
        <v>25834</v>
      </c>
      <c r="K8" s="195">
        <v>39929</v>
      </c>
      <c r="L8" s="170"/>
      <c r="M8" s="170">
        <f t="shared" ref="M8:M11" si="0">O8/N8*J8</f>
        <v>41002.385259259259</v>
      </c>
      <c r="N8" s="170">
        <v>27000</v>
      </c>
      <c r="O8" s="170">
        <v>42853</v>
      </c>
      <c r="P8" s="170"/>
      <c r="Q8" s="181" t="s">
        <v>285</v>
      </c>
      <c r="R8" s="182"/>
      <c r="S8" s="170"/>
      <c r="T8" s="181" t="s">
        <v>286</v>
      </c>
      <c r="U8" s="183"/>
      <c r="V8" s="170"/>
      <c r="W8" s="170"/>
      <c r="X8" s="170"/>
      <c r="Y8" s="170"/>
      <c r="Z8" s="170"/>
    </row>
    <row r="9" spans="1:26" s="174" customFormat="1" ht="18.399999999999999" customHeight="1">
      <c r="A9" s="439" t="s">
        <v>287</v>
      </c>
      <c r="B9" s="440"/>
      <c r="C9" s="441"/>
      <c r="D9" s="437" t="s">
        <v>639</v>
      </c>
      <c r="E9" s="438"/>
      <c r="F9" s="184" t="s">
        <v>288</v>
      </c>
      <c r="G9" s="185"/>
      <c r="H9" s="196">
        <v>3</v>
      </c>
      <c r="I9" s="197" t="s">
        <v>289</v>
      </c>
      <c r="J9" s="198">
        <v>838</v>
      </c>
      <c r="K9" s="195">
        <v>745.9</v>
      </c>
      <c r="L9" s="170"/>
      <c r="M9" s="170">
        <f t="shared" si="0"/>
        <v>824.5</v>
      </c>
      <c r="N9" s="170">
        <v>838</v>
      </c>
      <c r="O9" s="170">
        <v>824.5</v>
      </c>
      <c r="P9" s="170"/>
      <c r="Q9" s="181" t="s">
        <v>290</v>
      </c>
      <c r="R9" s="182"/>
      <c r="S9" s="170"/>
      <c r="T9" s="181" t="s">
        <v>291</v>
      </c>
      <c r="U9" s="183"/>
      <c r="V9" s="170"/>
      <c r="W9" s="170"/>
      <c r="X9" s="170"/>
      <c r="Y9" s="170"/>
      <c r="Z9" s="170"/>
    </row>
    <row r="10" spans="1:26" s="174" customFormat="1" ht="18.399999999999999" customHeight="1" thickBot="1">
      <c r="A10" s="439" t="s">
        <v>292</v>
      </c>
      <c r="B10" s="440"/>
      <c r="C10" s="441"/>
      <c r="D10" s="442" t="s">
        <v>185</v>
      </c>
      <c r="E10" s="443"/>
      <c r="F10" s="184" t="s">
        <v>293</v>
      </c>
      <c r="G10" s="185"/>
      <c r="H10" s="196">
        <v>3</v>
      </c>
      <c r="I10" s="197" t="s">
        <v>289</v>
      </c>
      <c r="J10" s="198">
        <v>1150</v>
      </c>
      <c r="K10" s="195">
        <v>1150</v>
      </c>
      <c r="L10" s="170"/>
      <c r="M10" s="170">
        <f t="shared" si="0"/>
        <v>1150</v>
      </c>
      <c r="N10" s="170">
        <v>1150</v>
      </c>
      <c r="O10" s="170">
        <v>1150</v>
      </c>
      <c r="P10" s="170"/>
      <c r="Q10" s="181" t="s">
        <v>294</v>
      </c>
      <c r="R10" s="182"/>
      <c r="S10" s="170"/>
      <c r="T10" s="199" t="s">
        <v>295</v>
      </c>
      <c r="U10" s="200"/>
      <c r="V10" s="170"/>
      <c r="W10" s="170"/>
      <c r="X10" s="170"/>
      <c r="Y10" s="170"/>
      <c r="Z10" s="170"/>
    </row>
    <row r="11" spans="1:26" s="174" customFormat="1" ht="18.399999999999999" customHeight="1" thickBot="1">
      <c r="A11" s="439" t="s">
        <v>296</v>
      </c>
      <c r="B11" s="440"/>
      <c r="C11" s="441"/>
      <c r="D11" s="444" t="s">
        <v>186</v>
      </c>
      <c r="E11" s="445"/>
      <c r="F11" s="201" t="s">
        <v>297</v>
      </c>
      <c r="G11" s="202"/>
      <c r="H11" s="203">
        <v>3</v>
      </c>
      <c r="I11" s="197" t="s">
        <v>289</v>
      </c>
      <c r="J11" s="204">
        <v>114458</v>
      </c>
      <c r="K11" s="205">
        <v>195993</v>
      </c>
      <c r="L11" s="170"/>
      <c r="M11" s="170">
        <f t="shared" si="0"/>
        <v>215949.73837244848</v>
      </c>
      <c r="N11" s="170">
        <v>114491</v>
      </c>
      <c r="O11" s="170">
        <v>216012</v>
      </c>
      <c r="P11" s="170"/>
      <c r="Q11" s="199" t="s">
        <v>298</v>
      </c>
      <c r="R11" s="206"/>
      <c r="S11" s="170"/>
      <c r="T11" s="170"/>
      <c r="U11" s="170"/>
      <c r="V11" s="170"/>
      <c r="W11" s="170"/>
      <c r="X11" s="170"/>
      <c r="Y11" s="170"/>
      <c r="Z11" s="170"/>
    </row>
    <row r="12" spans="1:26" s="174" customFormat="1" ht="18.399999999999999" customHeight="1">
      <c r="A12" s="207" t="s">
        <v>299</v>
      </c>
      <c r="C12" s="208"/>
      <c r="D12" s="446" t="s">
        <v>174</v>
      </c>
      <c r="E12" s="447"/>
      <c r="F12" s="430" t="s">
        <v>300</v>
      </c>
      <c r="G12" s="431"/>
      <c r="H12" s="431"/>
      <c r="I12" s="431"/>
      <c r="J12" s="431"/>
      <c r="K12" s="432"/>
      <c r="L12" s="170"/>
      <c r="M12" s="170"/>
      <c r="N12" s="170"/>
      <c r="O12" s="170"/>
      <c r="P12" s="170"/>
      <c r="Q12" s="170"/>
      <c r="R12" s="170"/>
      <c r="S12" s="170"/>
      <c r="T12" s="170"/>
      <c r="U12" s="170"/>
      <c r="V12" s="170"/>
      <c r="W12" s="170"/>
      <c r="X12" s="170"/>
      <c r="Y12" s="170"/>
      <c r="Z12" s="170"/>
    </row>
    <row r="13" spans="1:26" s="174" customFormat="1" ht="18.399999999999999" customHeight="1">
      <c r="A13" s="439" t="s">
        <v>53</v>
      </c>
      <c r="B13" s="440"/>
      <c r="C13" s="441"/>
      <c r="D13" s="448" t="s">
        <v>378</v>
      </c>
      <c r="E13" s="449"/>
      <c r="F13" s="209"/>
      <c r="G13" s="210" t="s">
        <v>301</v>
      </c>
      <c r="H13" s="211"/>
      <c r="I13" s="212" t="s">
        <v>644</v>
      </c>
      <c r="J13" s="213" t="s">
        <v>645</v>
      </c>
      <c r="K13" s="214" t="s">
        <v>174</v>
      </c>
      <c r="L13" s="170"/>
      <c r="M13" s="170"/>
      <c r="N13" s="170"/>
      <c r="O13" s="170"/>
      <c r="P13" s="170" t="s">
        <v>655</v>
      </c>
      <c r="Q13" s="170" t="s">
        <v>656</v>
      </c>
      <c r="R13" s="170"/>
      <c r="S13" s="170" t="s">
        <v>657</v>
      </c>
      <c r="T13" s="170" t="s">
        <v>658</v>
      </c>
      <c r="U13" s="170"/>
      <c r="V13" s="170"/>
      <c r="W13" s="170"/>
      <c r="X13" s="170"/>
      <c r="Y13" s="170"/>
      <c r="Z13" s="170"/>
    </row>
    <row r="14" spans="1:26" s="174" customFormat="1" ht="18.399999999999999" customHeight="1">
      <c r="A14" s="439" t="s">
        <v>56</v>
      </c>
      <c r="B14" s="440"/>
      <c r="C14" s="441"/>
      <c r="D14" s="446">
        <v>1832</v>
      </c>
      <c r="E14" s="447"/>
      <c r="F14" s="209"/>
      <c r="G14" s="215" t="s">
        <v>10</v>
      </c>
      <c r="H14" s="216"/>
      <c r="I14" s="216"/>
      <c r="J14" s="198" t="s">
        <v>174</v>
      </c>
      <c r="K14" s="195" t="s">
        <v>174</v>
      </c>
      <c r="L14" s="170"/>
      <c r="M14" s="170"/>
      <c r="N14" s="170"/>
      <c r="O14" s="170"/>
      <c r="P14" s="413">
        <v>1631</v>
      </c>
      <c r="Q14" s="413">
        <v>1168.2</v>
      </c>
      <c r="R14" s="170"/>
      <c r="S14" s="170">
        <f>LOG(P14)</f>
        <v>3.2124539610402758</v>
      </c>
      <c r="T14" s="170">
        <f>LOG(Q14)</f>
        <v>3.0675172019036752</v>
      </c>
      <c r="U14" s="170"/>
      <c r="V14" s="170"/>
      <c r="W14" s="170"/>
      <c r="X14" s="170"/>
      <c r="Y14" s="170"/>
      <c r="Z14" s="170"/>
    </row>
    <row r="15" spans="1:26" s="174" customFormat="1" ht="18.399999999999999" customHeight="1">
      <c r="A15" s="450" t="s">
        <v>302</v>
      </c>
      <c r="B15" s="451"/>
      <c r="C15" s="452"/>
      <c r="D15" s="453">
        <v>17.581996917724609</v>
      </c>
      <c r="E15" s="454"/>
      <c r="F15" s="209"/>
      <c r="G15" s="215" t="s">
        <v>303</v>
      </c>
      <c r="H15" s="216"/>
      <c r="I15" s="216"/>
      <c r="J15" s="198" t="s">
        <v>174</v>
      </c>
      <c r="K15" s="195" t="s">
        <v>174</v>
      </c>
      <c r="L15" s="170"/>
      <c r="M15" s="170"/>
      <c r="N15" s="170"/>
      <c r="O15" s="170"/>
      <c r="P15" s="413">
        <v>1430</v>
      </c>
      <c r="Q15" s="413">
        <v>1002.7</v>
      </c>
      <c r="R15" s="170"/>
      <c r="S15" s="170">
        <f t="shared" ref="S15:S19" si="1">LOG(P15)</f>
        <v>3.1553360374650619</v>
      </c>
      <c r="T15" s="170">
        <f t="shared" ref="T15:T18" si="2">LOG(Q15)</f>
        <v>3.0011710149414008</v>
      </c>
      <c r="U15" s="170"/>
      <c r="V15" s="170"/>
      <c r="W15" s="170"/>
      <c r="X15" s="170"/>
      <c r="Y15" s="170"/>
      <c r="Z15" s="170"/>
    </row>
    <row r="16" spans="1:26" s="174" customFormat="1" ht="18.399999999999999" customHeight="1">
      <c r="A16" s="455" t="s">
        <v>304</v>
      </c>
      <c r="B16" s="456"/>
      <c r="C16" s="457"/>
      <c r="D16" s="453">
        <v>3.8017997741699219</v>
      </c>
      <c r="E16" s="454"/>
      <c r="F16" s="217"/>
      <c r="G16" s="218" t="s">
        <v>17</v>
      </c>
      <c r="H16" s="219"/>
      <c r="I16" s="219"/>
      <c r="J16" s="204" t="s">
        <v>174</v>
      </c>
      <c r="K16" s="205" t="s">
        <v>174</v>
      </c>
      <c r="L16" s="170"/>
      <c r="M16" s="170"/>
      <c r="N16" s="170"/>
      <c r="O16" s="170"/>
      <c r="P16" s="413">
        <v>1170</v>
      </c>
      <c r="Q16" s="413">
        <v>799.2</v>
      </c>
      <c r="R16" s="170"/>
      <c r="S16" s="170">
        <f t="shared" si="1"/>
        <v>3.0681858617461617</v>
      </c>
      <c r="T16" s="170">
        <f t="shared" si="2"/>
        <v>2.9026554752179261</v>
      </c>
      <c r="U16" s="170"/>
      <c r="V16" s="170"/>
      <c r="W16" s="170"/>
      <c r="X16" s="170"/>
      <c r="Y16" s="170"/>
      <c r="Z16" s="170"/>
    </row>
    <row r="17" spans="1:26" s="174" customFormat="1" ht="18.399999999999999" customHeight="1">
      <c r="A17" s="220" t="s">
        <v>305</v>
      </c>
      <c r="B17" s="221"/>
      <c r="C17" s="222"/>
      <c r="D17" s="444" t="s">
        <v>377</v>
      </c>
      <c r="E17" s="445"/>
      <c r="F17" s="430" t="s">
        <v>306</v>
      </c>
      <c r="G17" s="431"/>
      <c r="H17" s="431"/>
      <c r="I17" s="431"/>
      <c r="J17" s="431"/>
      <c r="K17" s="432"/>
      <c r="L17" s="170"/>
      <c r="M17" s="170"/>
      <c r="N17" s="170"/>
      <c r="O17" s="170"/>
      <c r="P17" s="413">
        <v>897</v>
      </c>
      <c r="Q17" s="413">
        <v>653</v>
      </c>
      <c r="R17" s="170"/>
      <c r="S17" s="170">
        <f t="shared" si="1"/>
        <v>2.9527924430440922</v>
      </c>
      <c r="T17" s="170">
        <f t="shared" si="2"/>
        <v>2.8149131812750738</v>
      </c>
      <c r="U17" s="170"/>
      <c r="V17" s="170"/>
      <c r="W17" s="170"/>
      <c r="X17" s="170"/>
      <c r="Y17" s="170"/>
      <c r="Z17" s="170"/>
    </row>
    <row r="18" spans="1:26" s="174" customFormat="1" ht="18.399999999999999" customHeight="1">
      <c r="A18" s="223" t="s">
        <v>307</v>
      </c>
      <c r="B18" s="224"/>
      <c r="C18" s="222"/>
      <c r="D18" s="442" t="s">
        <v>174</v>
      </c>
      <c r="E18" s="443"/>
      <c r="F18" s="458"/>
      <c r="G18" s="459"/>
      <c r="H18" s="225" t="s">
        <v>308</v>
      </c>
      <c r="I18" s="226"/>
      <c r="J18" s="194">
        <v>575</v>
      </c>
      <c r="K18" s="195"/>
      <c r="L18" s="170"/>
      <c r="M18" s="170">
        <f>J18*6.5</f>
        <v>3737.5</v>
      </c>
      <c r="N18" s="170"/>
      <c r="O18" s="170"/>
      <c r="P18" s="413">
        <v>848</v>
      </c>
      <c r="Q18" s="413">
        <v>563.79999999999995</v>
      </c>
      <c r="R18" s="170"/>
      <c r="S18" s="170">
        <f t="shared" si="1"/>
        <v>2.9283958522567137</v>
      </c>
      <c r="T18" s="170">
        <f t="shared" si="2"/>
        <v>2.7511250715355833</v>
      </c>
      <c r="U18" s="170"/>
      <c r="V18" s="170"/>
      <c r="W18" s="170"/>
      <c r="X18" s="170"/>
      <c r="Y18" s="170"/>
      <c r="Z18" s="170"/>
    </row>
    <row r="19" spans="1:26" s="174" customFormat="1" ht="18.399999999999999" customHeight="1">
      <c r="A19" s="464" t="s">
        <v>309</v>
      </c>
      <c r="B19" s="465"/>
      <c r="C19" s="466"/>
      <c r="D19" s="467" t="s">
        <v>174</v>
      </c>
      <c r="E19" s="445"/>
      <c r="F19" s="460"/>
      <c r="G19" s="461"/>
      <c r="H19" s="225" t="s">
        <v>5</v>
      </c>
      <c r="I19" s="187"/>
      <c r="J19" s="194">
        <v>1790</v>
      </c>
      <c r="K19" s="195"/>
      <c r="L19" s="170"/>
      <c r="M19" s="170"/>
      <c r="N19" s="170"/>
      <c r="O19" s="415" t="s">
        <v>659</v>
      </c>
      <c r="P19" s="416">
        <v>1150</v>
      </c>
      <c r="Q19" s="414">
        <f>10^T19</f>
        <v>814.67000904936947</v>
      </c>
      <c r="R19" s="170"/>
      <c r="S19" s="170">
        <f t="shared" si="1"/>
        <v>3.0606978403536118</v>
      </c>
      <c r="T19" s="170">
        <f>FORECAST(S19,T14:T17,S14:S17)</f>
        <v>2.9109817286537014</v>
      </c>
      <c r="U19" s="170"/>
      <c r="V19" s="170"/>
      <c r="W19" s="170"/>
      <c r="X19" s="170"/>
      <c r="Y19" s="170"/>
      <c r="Z19" s="170"/>
    </row>
    <row r="20" spans="1:26" s="174" customFormat="1" ht="18.399999999999999" customHeight="1" thickBot="1">
      <c r="A20" s="227" t="s">
        <v>310</v>
      </c>
      <c r="C20" s="228"/>
      <c r="D20" s="468" t="s">
        <v>184</v>
      </c>
      <c r="E20" s="438"/>
      <c r="F20" s="460"/>
      <c r="G20" s="461"/>
      <c r="H20" s="225" t="s">
        <v>311</v>
      </c>
      <c r="I20" s="187"/>
      <c r="J20" s="198" t="s">
        <v>351</v>
      </c>
      <c r="K20" s="195"/>
      <c r="L20" s="170"/>
      <c r="M20" s="170"/>
      <c r="N20" s="170"/>
      <c r="O20" s="170"/>
      <c r="P20" s="170"/>
      <c r="Q20" s="170"/>
      <c r="R20" s="170"/>
      <c r="S20" s="170"/>
      <c r="T20" s="170"/>
      <c r="U20" s="170"/>
      <c r="V20" s="170"/>
      <c r="W20" s="170"/>
      <c r="X20" s="170"/>
      <c r="Y20" s="170"/>
      <c r="Z20" s="170"/>
    </row>
    <row r="21" spans="1:26" s="174" customFormat="1" ht="18.399999999999999" customHeight="1" thickBot="1">
      <c r="A21" s="450" t="s">
        <v>312</v>
      </c>
      <c r="B21" s="451"/>
      <c r="C21" s="452"/>
      <c r="D21" s="437" t="s">
        <v>174</v>
      </c>
      <c r="E21" s="438"/>
      <c r="F21" s="460"/>
      <c r="G21" s="461"/>
      <c r="H21" s="229" t="s">
        <v>313</v>
      </c>
      <c r="I21" s="187"/>
      <c r="J21" s="188">
        <v>1</v>
      </c>
      <c r="K21" s="195"/>
      <c r="L21" s="170"/>
      <c r="M21" s="170"/>
      <c r="N21" s="170"/>
      <c r="O21" s="170"/>
      <c r="P21" s="170"/>
      <c r="Q21" s="171" t="s">
        <v>314</v>
      </c>
      <c r="R21" s="173"/>
      <c r="S21" s="170"/>
      <c r="T21" s="170"/>
      <c r="U21" s="170"/>
      <c r="V21" s="170"/>
      <c r="W21" s="170"/>
      <c r="X21" s="170"/>
      <c r="Y21" s="170"/>
      <c r="Z21" s="170"/>
    </row>
    <row r="22" spans="1:26" s="174" customFormat="1" ht="18.399999999999999" customHeight="1">
      <c r="A22" s="223" t="s">
        <v>315</v>
      </c>
      <c r="B22" s="230"/>
      <c r="C22" s="230"/>
      <c r="D22" s="469">
        <v>2.1999999999999999E-2</v>
      </c>
      <c r="E22" s="470"/>
      <c r="F22" s="460"/>
      <c r="G22" s="461"/>
      <c r="H22" s="225" t="s">
        <v>273</v>
      </c>
      <c r="I22" s="187"/>
      <c r="J22" s="198" t="s">
        <v>641</v>
      </c>
      <c r="K22" s="195"/>
      <c r="L22" s="170"/>
      <c r="M22" s="170"/>
      <c r="N22" s="170"/>
      <c r="O22" s="170"/>
      <c r="P22" s="170"/>
      <c r="Q22" s="181" t="s">
        <v>316</v>
      </c>
      <c r="R22" s="183"/>
      <c r="S22" s="170"/>
      <c r="T22" s="170"/>
      <c r="U22" s="170"/>
      <c r="V22" s="170"/>
      <c r="W22" s="170"/>
      <c r="X22" s="170"/>
      <c r="Y22" s="170"/>
      <c r="Z22" s="170"/>
    </row>
    <row r="23" spans="1:26" s="174" customFormat="1" ht="18.399999999999999" customHeight="1">
      <c r="A23" s="231" t="s">
        <v>317</v>
      </c>
      <c r="B23" s="232" t="s">
        <v>318</v>
      </c>
      <c r="C23" s="233"/>
      <c r="D23" s="448">
        <v>653</v>
      </c>
      <c r="E23" s="449"/>
      <c r="F23" s="460"/>
      <c r="G23" s="461"/>
      <c r="H23" s="234" t="s">
        <v>319</v>
      </c>
      <c r="I23" s="235"/>
      <c r="J23" s="236"/>
      <c r="K23" s="237"/>
      <c r="L23" s="170"/>
      <c r="Q23" s="181" t="s">
        <v>320</v>
      </c>
      <c r="R23" s="183"/>
      <c r="S23" s="170"/>
      <c r="T23" s="170"/>
      <c r="U23" s="170"/>
      <c r="V23" s="170"/>
      <c r="W23" s="170"/>
      <c r="X23" s="170"/>
      <c r="Y23" s="170"/>
      <c r="Z23" s="170"/>
    </row>
    <row r="24" spans="1:26" s="174" customFormat="1" ht="18.399999999999999" customHeight="1" thickBot="1">
      <c r="A24" s="238" t="s">
        <v>321</v>
      </c>
      <c r="B24" s="239" t="s">
        <v>322</v>
      </c>
      <c r="C24" s="240"/>
      <c r="D24" s="471">
        <v>733</v>
      </c>
      <c r="E24" s="472"/>
      <c r="F24" s="460"/>
      <c r="G24" s="461"/>
      <c r="H24" s="225" t="s">
        <v>323</v>
      </c>
      <c r="I24" s="208"/>
      <c r="J24" s="241"/>
      <c r="K24" s="242"/>
      <c r="Q24" s="243" t="s">
        <v>174</v>
      </c>
      <c r="R24" s="244"/>
      <c r="S24" s="170"/>
      <c r="T24" s="170"/>
      <c r="U24" s="170"/>
      <c r="V24" s="170"/>
      <c r="W24" s="170"/>
      <c r="X24" s="170"/>
      <c r="Y24" s="170"/>
      <c r="Z24" s="170"/>
    </row>
    <row r="25" spans="1:26" s="174" customFormat="1" ht="18.399999999999999" customHeight="1">
      <c r="A25" s="245" t="s">
        <v>324</v>
      </c>
      <c r="B25" s="246"/>
      <c r="C25" s="246"/>
      <c r="D25" s="247"/>
      <c r="E25" s="247" t="s">
        <v>325</v>
      </c>
      <c r="F25" s="460"/>
      <c r="G25" s="461"/>
      <c r="H25" s="225" t="s">
        <v>326</v>
      </c>
      <c r="I25" s="208"/>
      <c r="J25" s="248"/>
      <c r="K25" s="242"/>
      <c r="R25" s="170"/>
      <c r="S25" s="170"/>
      <c r="T25" s="170"/>
      <c r="U25" s="170"/>
      <c r="V25" s="170"/>
      <c r="W25" s="170"/>
      <c r="X25" s="170"/>
      <c r="Y25" s="170"/>
      <c r="Z25" s="170"/>
    </row>
    <row r="26" spans="1:26" s="174" customFormat="1" ht="18.399999999999999" customHeight="1">
      <c r="A26" s="249" t="s">
        <v>327</v>
      </c>
      <c r="B26" s="250"/>
      <c r="C26" s="251"/>
      <c r="D26" s="252" t="s">
        <v>380</v>
      </c>
      <c r="E26" s="252" t="s">
        <v>381</v>
      </c>
      <c r="F26" s="462"/>
      <c r="G26" s="463"/>
      <c r="H26" s="473"/>
      <c r="I26" s="474"/>
      <c r="J26" s="253"/>
      <c r="K26" s="254"/>
      <c r="R26" s="170"/>
      <c r="S26" s="170"/>
      <c r="T26" s="170"/>
      <c r="U26" s="170"/>
      <c r="V26" s="170"/>
      <c r="W26" s="170"/>
      <c r="X26" s="170"/>
      <c r="Y26" s="170"/>
      <c r="Z26" s="170"/>
    </row>
    <row r="27" spans="1:26" s="174" customFormat="1" ht="18.399999999999999" customHeight="1">
      <c r="A27" s="475" t="s">
        <v>328</v>
      </c>
      <c r="B27" s="476"/>
      <c r="C27" s="476"/>
      <c r="D27" s="476"/>
      <c r="E27" s="476"/>
      <c r="F27" s="427" t="s">
        <v>329</v>
      </c>
      <c r="G27" s="428"/>
      <c r="H27" s="428"/>
      <c r="I27" s="428"/>
      <c r="J27" s="428"/>
      <c r="K27" s="429"/>
      <c r="R27" s="170"/>
      <c r="S27" s="170"/>
      <c r="T27" s="170"/>
      <c r="U27" s="170"/>
      <c r="V27" s="170"/>
      <c r="W27" s="170"/>
      <c r="X27" s="170"/>
      <c r="Y27" s="170"/>
      <c r="Z27" s="170"/>
    </row>
    <row r="28" spans="1:26" s="174" customFormat="1" ht="18.399999999999999" customHeight="1">
      <c r="A28" s="479"/>
      <c r="B28" s="480"/>
      <c r="C28" s="480"/>
      <c r="D28" s="480"/>
      <c r="E28" s="481"/>
      <c r="F28" s="255"/>
      <c r="G28" s="256"/>
      <c r="H28" s="215" t="s">
        <v>330</v>
      </c>
      <c r="I28" s="257" t="s">
        <v>379</v>
      </c>
      <c r="J28" s="194">
        <v>3154</v>
      </c>
      <c r="K28" s="258" t="s">
        <v>174</v>
      </c>
      <c r="M28" s="174">
        <f>(J28/J18)*100</f>
        <v>548.52173913043475</v>
      </c>
      <c r="N28" s="259"/>
      <c r="O28" s="259"/>
      <c r="R28" s="170"/>
      <c r="S28" s="170"/>
      <c r="T28" s="170"/>
      <c r="U28" s="170"/>
      <c r="V28" s="170"/>
      <c r="W28" s="170"/>
      <c r="X28" s="170"/>
      <c r="Y28" s="170"/>
      <c r="Z28" s="170"/>
    </row>
    <row r="29" spans="1:26" s="174" customFormat="1" ht="18.399999999999999" customHeight="1">
      <c r="A29" s="479"/>
      <c r="B29" s="480"/>
      <c r="C29" s="480"/>
      <c r="D29" s="480"/>
      <c r="E29" s="481"/>
      <c r="F29" s="260"/>
      <c r="G29" s="261"/>
      <c r="H29" s="215" t="s">
        <v>331</v>
      </c>
      <c r="I29" s="262">
        <v>60</v>
      </c>
      <c r="J29" s="194">
        <v>124</v>
      </c>
      <c r="K29" s="263" t="s">
        <v>174</v>
      </c>
      <c r="Q29" s="170"/>
      <c r="R29" s="170"/>
      <c r="S29" s="170"/>
      <c r="T29" s="170"/>
      <c r="U29" s="170"/>
      <c r="V29" s="170"/>
      <c r="W29" s="170"/>
      <c r="X29" s="170"/>
      <c r="Y29" s="170"/>
      <c r="Z29" s="170"/>
    </row>
    <row r="30" spans="1:26" s="174" customFormat="1" ht="18.399999999999999" customHeight="1">
      <c r="A30" s="479"/>
      <c r="B30" s="480"/>
      <c r="C30" s="480"/>
      <c r="D30" s="480"/>
      <c r="E30" s="481"/>
      <c r="F30" s="260"/>
      <c r="G30" s="261"/>
      <c r="H30" s="215" t="s">
        <v>332</v>
      </c>
      <c r="I30" s="262">
        <v>175</v>
      </c>
      <c r="J30" s="194">
        <v>205</v>
      </c>
      <c r="K30" s="264" t="s">
        <v>174</v>
      </c>
      <c r="L30" s="170"/>
      <c r="R30" s="170"/>
      <c r="S30" s="170"/>
      <c r="T30" s="170"/>
      <c r="U30" s="170"/>
      <c r="V30" s="170"/>
      <c r="W30" s="170"/>
      <c r="X30" s="170"/>
      <c r="Y30" s="170"/>
      <c r="Z30" s="170"/>
    </row>
    <row r="31" spans="1:26" s="174" customFormat="1" ht="18.399999999999999" customHeight="1">
      <c r="A31" s="479"/>
      <c r="B31" s="480"/>
      <c r="C31" s="480"/>
      <c r="D31" s="480"/>
      <c r="E31" s="481"/>
      <c r="F31" s="260"/>
      <c r="G31" s="261"/>
      <c r="H31" s="215" t="s">
        <v>333</v>
      </c>
      <c r="I31" s="216"/>
      <c r="J31" s="265">
        <v>0.56000000000000005</v>
      </c>
      <c r="K31" s="189" t="s">
        <v>174</v>
      </c>
      <c r="L31" s="170"/>
      <c r="R31" s="170"/>
      <c r="S31" s="170"/>
      <c r="T31" s="170"/>
      <c r="U31" s="170"/>
      <c r="V31" s="170"/>
      <c r="W31" s="170"/>
      <c r="X31" s="170"/>
      <c r="Y31" s="170"/>
      <c r="Z31" s="170"/>
    </row>
    <row r="32" spans="1:26" s="174" customFormat="1" ht="18.399999999999999" customHeight="1">
      <c r="A32" s="482"/>
      <c r="B32" s="483"/>
      <c r="C32" s="483"/>
      <c r="D32" s="483"/>
      <c r="E32" s="484"/>
      <c r="F32" s="260"/>
      <c r="G32" s="266" t="s">
        <v>334</v>
      </c>
      <c r="H32" s="215" t="s">
        <v>335</v>
      </c>
      <c r="I32" s="267"/>
      <c r="J32" s="188">
        <v>97</v>
      </c>
      <c r="K32" s="263" t="s">
        <v>174</v>
      </c>
      <c r="L32" s="170"/>
      <c r="N32" s="268"/>
      <c r="R32" s="170"/>
      <c r="S32" s="170"/>
      <c r="T32" s="170"/>
      <c r="U32" s="170"/>
      <c r="V32" s="170"/>
      <c r="W32" s="170"/>
      <c r="X32" s="170"/>
      <c r="Y32" s="170"/>
      <c r="Z32" s="170"/>
    </row>
    <row r="33" spans="1:26" s="174" customFormat="1" ht="18.399999999999999" customHeight="1">
      <c r="A33" s="475" t="s">
        <v>336</v>
      </c>
      <c r="B33" s="476"/>
      <c r="C33" s="476"/>
      <c r="D33" s="476"/>
      <c r="E33" s="485"/>
      <c r="F33" s="269"/>
      <c r="G33" s="270"/>
      <c r="H33" s="271" t="s">
        <v>337</v>
      </c>
      <c r="I33" s="272"/>
      <c r="J33" s="273">
        <v>86.9</v>
      </c>
      <c r="K33" s="274" t="s">
        <v>174</v>
      </c>
      <c r="L33" s="170"/>
      <c r="R33" s="170"/>
      <c r="S33" s="170"/>
      <c r="T33" s="170"/>
      <c r="U33" s="170"/>
      <c r="V33" s="170"/>
      <c r="W33" s="170"/>
      <c r="X33" s="170"/>
      <c r="Y33" s="170"/>
      <c r="Z33" s="170"/>
    </row>
    <row r="34" spans="1:26" s="174" customFormat="1" ht="18.399999999999999" customHeight="1">
      <c r="A34" s="479"/>
      <c r="B34" s="480"/>
      <c r="C34" s="480"/>
      <c r="D34" s="480"/>
      <c r="E34" s="481"/>
      <c r="F34" s="190" t="s">
        <v>338</v>
      </c>
      <c r="G34" s="275"/>
      <c r="H34" s="276" t="s">
        <v>14</v>
      </c>
      <c r="I34" s="277"/>
      <c r="J34" s="278">
        <v>28211</v>
      </c>
      <c r="K34" s="279" t="s">
        <v>174</v>
      </c>
      <c r="L34" s="280"/>
      <c r="M34" s="281"/>
      <c r="R34" s="170"/>
      <c r="S34" s="170"/>
      <c r="T34" s="170"/>
      <c r="U34" s="170"/>
      <c r="V34" s="170"/>
      <c r="W34" s="170"/>
      <c r="X34" s="170"/>
      <c r="Y34" s="170"/>
      <c r="Z34" s="170"/>
    </row>
    <row r="35" spans="1:26" s="174" customFormat="1" ht="18.399999999999999" customHeight="1">
      <c r="A35" s="479"/>
      <c r="B35" s="480"/>
      <c r="C35" s="480"/>
      <c r="D35" s="480"/>
      <c r="E35" s="481"/>
      <c r="F35" s="209"/>
      <c r="G35" s="282"/>
      <c r="H35" s="283" t="s">
        <v>15</v>
      </c>
      <c r="I35" s="284"/>
      <c r="J35" s="194">
        <v>19806</v>
      </c>
      <c r="K35" s="189" t="s">
        <v>174</v>
      </c>
      <c r="L35" s="285"/>
      <c r="M35" s="281"/>
      <c r="R35" s="170"/>
      <c r="S35" s="170"/>
      <c r="T35" s="170"/>
      <c r="U35" s="170"/>
      <c r="V35" s="170"/>
      <c r="W35" s="170"/>
      <c r="X35" s="170"/>
      <c r="Y35" s="170"/>
      <c r="Z35" s="170"/>
    </row>
    <row r="36" spans="1:26" s="174" customFormat="1" ht="18.399999999999999" customHeight="1">
      <c r="A36" s="479"/>
      <c r="B36" s="480"/>
      <c r="C36" s="480"/>
      <c r="D36" s="480"/>
      <c r="E36" s="481"/>
      <c r="F36" s="209"/>
      <c r="G36" s="282"/>
      <c r="H36" s="283" t="s">
        <v>339</v>
      </c>
      <c r="I36" s="284"/>
      <c r="J36" s="194">
        <v>16650</v>
      </c>
      <c r="K36" s="189" t="s">
        <v>174</v>
      </c>
      <c r="L36" s="285"/>
      <c r="M36" s="259"/>
      <c r="Q36" s="170"/>
      <c r="R36" s="170"/>
      <c r="S36" s="170"/>
      <c r="T36" s="170"/>
      <c r="U36" s="170"/>
      <c r="V36" s="170"/>
      <c r="W36" s="170"/>
      <c r="X36" s="170"/>
      <c r="Y36" s="170"/>
      <c r="Z36" s="170"/>
    </row>
    <row r="37" spans="1:26" s="174" customFormat="1" ht="18.399999999999999" customHeight="1">
      <c r="A37" s="479"/>
      <c r="B37" s="480"/>
      <c r="C37" s="480"/>
      <c r="D37" s="480"/>
      <c r="E37" s="481"/>
      <c r="F37" s="260"/>
      <c r="G37" s="282"/>
      <c r="H37" s="283" t="s">
        <v>340</v>
      </c>
      <c r="I37" s="284"/>
      <c r="J37" s="194">
        <v>8017</v>
      </c>
      <c r="K37" s="189" t="s">
        <v>174</v>
      </c>
      <c r="L37" s="285"/>
      <c r="M37" s="259"/>
      <c r="N37" s="285"/>
      <c r="R37" s="170"/>
      <c r="S37" s="170"/>
      <c r="T37" s="170"/>
      <c r="U37" s="170"/>
      <c r="V37" s="170"/>
      <c r="W37" s="170"/>
      <c r="X37" s="170"/>
      <c r="Y37" s="170"/>
      <c r="Z37" s="170"/>
    </row>
    <row r="38" spans="1:26" s="174" customFormat="1" ht="18.399999999999999" customHeight="1">
      <c r="A38" s="482"/>
      <c r="B38" s="483"/>
      <c r="C38" s="483"/>
      <c r="D38" s="483"/>
      <c r="E38" s="484"/>
      <c r="F38" s="217"/>
      <c r="G38" s="286"/>
      <c r="H38" s="287" t="s">
        <v>341</v>
      </c>
      <c r="I38" s="288"/>
      <c r="J38" s="289">
        <v>30213</v>
      </c>
      <c r="K38" s="290" t="s">
        <v>174</v>
      </c>
      <c r="R38" s="170"/>
      <c r="S38" s="170"/>
      <c r="T38" s="170"/>
      <c r="U38" s="170"/>
      <c r="V38" s="170"/>
      <c r="W38" s="170"/>
      <c r="X38" s="170"/>
      <c r="Y38" s="170"/>
      <c r="Z38" s="170"/>
    </row>
    <row r="39" spans="1:26" s="174" customFormat="1" ht="18.399999999999999" customHeight="1">
      <c r="A39" s="475" t="s">
        <v>342</v>
      </c>
      <c r="B39" s="476"/>
      <c r="C39" s="476"/>
      <c r="D39" s="476"/>
      <c r="E39" s="476"/>
      <c r="F39" s="291" t="s">
        <v>343</v>
      </c>
      <c r="G39" s="292" t="s">
        <v>652</v>
      </c>
      <c r="H39" s="292"/>
      <c r="I39" s="292"/>
      <c r="J39" s="292"/>
      <c r="K39" s="293"/>
      <c r="R39" s="170"/>
      <c r="S39" s="170"/>
      <c r="T39" s="170"/>
      <c r="U39" s="170"/>
      <c r="V39" s="170"/>
      <c r="W39" s="170"/>
      <c r="X39" s="170"/>
      <c r="Y39" s="170"/>
      <c r="Z39" s="170"/>
    </row>
    <row r="40" spans="1:26" s="174" customFormat="1" ht="18.399999999999999" customHeight="1">
      <c r="A40" s="486"/>
      <c r="B40" s="487"/>
      <c r="C40" s="487"/>
      <c r="D40" s="487"/>
      <c r="E40" s="488"/>
      <c r="F40" s="294" t="s">
        <v>650</v>
      </c>
      <c r="G40" s="174" t="s">
        <v>651</v>
      </c>
      <c r="H40" s="295"/>
      <c r="I40" s="295"/>
      <c r="J40" s="295"/>
      <c r="K40" s="296"/>
      <c r="R40" s="170"/>
      <c r="S40" s="170"/>
      <c r="T40" s="170"/>
      <c r="U40" s="170"/>
      <c r="V40" s="170"/>
      <c r="W40" s="170"/>
      <c r="X40" s="170"/>
      <c r="Y40" s="170"/>
      <c r="Z40" s="170"/>
    </row>
    <row r="41" spans="1:26" s="174" customFormat="1" ht="18.399999999999999" customHeight="1">
      <c r="A41" s="486"/>
      <c r="B41" s="487"/>
      <c r="C41" s="487"/>
      <c r="D41" s="487"/>
      <c r="E41" s="488"/>
      <c r="F41" s="294"/>
      <c r="G41" s="297"/>
      <c r="H41" s="297"/>
      <c r="I41" s="297"/>
      <c r="J41" s="297"/>
      <c r="K41" s="298"/>
      <c r="L41" s="299"/>
      <c r="R41" s="170"/>
      <c r="S41" s="170"/>
      <c r="T41" s="170"/>
      <c r="U41" s="170"/>
      <c r="V41" s="170"/>
      <c r="W41" s="170"/>
      <c r="X41" s="170"/>
      <c r="Y41" s="170"/>
      <c r="Z41" s="170"/>
    </row>
    <row r="42" spans="1:26" s="174" customFormat="1" ht="18.399999999999999" customHeight="1">
      <c r="A42" s="486"/>
      <c r="B42" s="487"/>
      <c r="C42" s="487"/>
      <c r="D42" s="487"/>
      <c r="E42" s="488"/>
      <c r="F42" s="294"/>
      <c r="G42" s="295" t="s">
        <v>642</v>
      </c>
      <c r="H42" s="297"/>
      <c r="I42" s="297"/>
      <c r="J42" s="297"/>
      <c r="K42" s="298"/>
      <c r="L42" s="170"/>
      <c r="M42" s="170"/>
      <c r="N42" s="170"/>
      <c r="O42" s="170"/>
      <c r="P42" s="170"/>
      <c r="Q42" s="170"/>
      <c r="R42" s="170"/>
      <c r="S42" s="170"/>
      <c r="T42" s="170"/>
      <c r="U42" s="170"/>
      <c r="V42" s="170"/>
      <c r="W42" s="170"/>
      <c r="X42" s="170"/>
      <c r="Y42" s="170"/>
      <c r="Z42" s="170"/>
    </row>
    <row r="43" spans="1:26" s="174" customFormat="1" ht="18.399999999999999" customHeight="1">
      <c r="A43" s="486"/>
      <c r="B43" s="487"/>
      <c r="C43" s="487"/>
      <c r="D43" s="487"/>
      <c r="E43" s="488"/>
      <c r="F43" s="294"/>
      <c r="G43" s="297" t="s">
        <v>653</v>
      </c>
      <c r="H43" s="297"/>
      <c r="I43" s="297"/>
      <c r="J43" s="297"/>
      <c r="K43" s="298"/>
      <c r="L43" s="170"/>
      <c r="M43" s="170"/>
      <c r="N43" s="170"/>
      <c r="O43" s="170"/>
      <c r="P43" s="170"/>
      <c r="Q43" s="170"/>
      <c r="R43" s="170"/>
      <c r="S43" s="170"/>
      <c r="T43" s="170"/>
      <c r="U43" s="170"/>
      <c r="V43" s="170"/>
      <c r="W43" s="170"/>
      <c r="X43" s="170"/>
      <c r="Y43" s="170"/>
      <c r="Z43" s="170"/>
    </row>
    <row r="44" spans="1:26" s="174" customFormat="1" ht="17.100000000000001" customHeight="1" thickBot="1">
      <c r="A44" s="489"/>
      <c r="B44" s="490"/>
      <c r="C44" s="490"/>
      <c r="D44" s="490"/>
      <c r="E44" s="491"/>
      <c r="F44" s="294"/>
      <c r="G44" s="297" t="s">
        <v>654</v>
      </c>
      <c r="H44" s="297"/>
      <c r="I44" s="297"/>
      <c r="J44" s="297"/>
      <c r="K44" s="298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  <c r="Y44" s="170"/>
      <c r="Z44" s="170"/>
    </row>
    <row r="45" spans="1:26" s="174" customFormat="1" ht="17.100000000000001" customHeight="1">
      <c r="A45" s="300" t="s">
        <v>344</v>
      </c>
      <c r="B45" s="492" t="s">
        <v>647</v>
      </c>
      <c r="C45" s="493"/>
      <c r="D45" s="301" t="s">
        <v>345</v>
      </c>
      <c r="E45" s="412" t="s">
        <v>640</v>
      </c>
      <c r="F45" s="302"/>
      <c r="G45" s="297"/>
      <c r="H45" s="297"/>
      <c r="I45" s="297"/>
      <c r="J45" s="297"/>
      <c r="K45" s="298"/>
      <c r="L45" s="170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0"/>
      <c r="X45" s="170"/>
      <c r="Y45" s="170"/>
      <c r="Z45" s="170"/>
    </row>
    <row r="46" spans="1:26" s="174" customFormat="1" ht="17.100000000000001" customHeight="1" thickBot="1">
      <c r="A46" s="303" t="s">
        <v>346</v>
      </c>
      <c r="B46" s="477">
        <v>41941</v>
      </c>
      <c r="C46" s="478"/>
      <c r="D46" s="304" t="s">
        <v>346</v>
      </c>
      <c r="E46" s="305">
        <v>41886</v>
      </c>
      <c r="F46" s="306"/>
      <c r="G46" s="307"/>
      <c r="H46" s="307"/>
      <c r="I46" s="307"/>
      <c r="J46" s="307"/>
      <c r="K46" s="308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  <c r="Y46" s="170"/>
      <c r="Z46" s="170"/>
    </row>
    <row r="47" spans="1:26" s="174" customFormat="1" ht="17.100000000000001" customHeight="1">
      <c r="F47" s="309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</row>
    <row r="48" spans="1:26" s="174" customFormat="1" ht="17.100000000000001" customHeight="1">
      <c r="F48" s="170"/>
      <c r="G48" s="170"/>
      <c r="H48" s="170"/>
      <c r="I48" s="170"/>
      <c r="J48" s="170"/>
      <c r="K48" s="170"/>
    </row>
    <row r="49" spans="2:26" ht="17.100000000000001" customHeight="1">
      <c r="F49" s="160"/>
      <c r="G49" s="160"/>
      <c r="H49" s="160"/>
      <c r="I49" s="160"/>
      <c r="J49" s="160"/>
      <c r="K49" s="160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  <c r="X49" s="161"/>
      <c r="Y49" s="161"/>
      <c r="Z49" s="161"/>
    </row>
    <row r="50" spans="2:26">
      <c r="F50" s="160"/>
      <c r="G50" s="160"/>
      <c r="H50" s="160"/>
      <c r="I50" s="160"/>
      <c r="J50" s="160"/>
      <c r="K50" s="160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  <c r="X50" s="161"/>
      <c r="Y50" s="161"/>
      <c r="Z50" s="161"/>
    </row>
    <row r="51" spans="2:26">
      <c r="F51" s="160"/>
      <c r="G51" s="160"/>
      <c r="H51" s="160"/>
      <c r="I51" s="160"/>
      <c r="J51" s="160"/>
      <c r="K51" s="160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  <c r="X51" s="161"/>
      <c r="Y51" s="161"/>
      <c r="Z51" s="161"/>
    </row>
    <row r="52" spans="2:26">
      <c r="B52" s="160"/>
      <c r="C52" s="160"/>
      <c r="D52" s="160"/>
      <c r="E52" s="160"/>
      <c r="F52" s="160"/>
      <c r="G52" s="160"/>
      <c r="H52" s="160"/>
      <c r="I52" s="160"/>
      <c r="J52" s="160"/>
      <c r="K52" s="160"/>
      <c r="Q52" s="161"/>
      <c r="R52" s="161"/>
      <c r="S52" s="161"/>
      <c r="T52" s="161"/>
      <c r="U52" s="161"/>
      <c r="V52" s="161"/>
      <c r="W52" s="161"/>
      <c r="X52" s="161"/>
      <c r="Y52" s="161"/>
      <c r="Z52" s="161"/>
    </row>
    <row r="53" spans="2:26">
      <c r="F53" s="160"/>
      <c r="G53" s="160"/>
      <c r="H53" s="160"/>
      <c r="I53" s="160"/>
      <c r="J53" s="160"/>
      <c r="K53" s="160"/>
      <c r="Q53" s="161"/>
      <c r="R53" s="161"/>
      <c r="S53" s="161"/>
      <c r="T53" s="161"/>
      <c r="U53" s="161"/>
      <c r="V53" s="161"/>
      <c r="W53" s="161"/>
      <c r="X53" s="161"/>
      <c r="Y53" s="161"/>
      <c r="Z53" s="161"/>
    </row>
  </sheetData>
  <mergeCells count="50">
    <mergeCell ref="A27:E27"/>
    <mergeCell ref="F27:K27"/>
    <mergeCell ref="B46:C46"/>
    <mergeCell ref="A28:E32"/>
    <mergeCell ref="A33:E33"/>
    <mergeCell ref="A34:E38"/>
    <mergeCell ref="A39:E39"/>
    <mergeCell ref="A40:E44"/>
    <mergeCell ref="B45:C45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D21:E21"/>
    <mergeCell ref="D22:E22"/>
    <mergeCell ref="D23:E23"/>
    <mergeCell ref="D24:E24"/>
    <mergeCell ref="H26:I26"/>
    <mergeCell ref="A13:C13"/>
    <mergeCell ref="D13:E13"/>
    <mergeCell ref="A14:C14"/>
    <mergeCell ref="D14:E14"/>
    <mergeCell ref="A15:C15"/>
    <mergeCell ref="D15:E15"/>
    <mergeCell ref="F12:K12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D12:E12"/>
    <mergeCell ref="N6:O6"/>
    <mergeCell ref="A1:K1"/>
    <mergeCell ref="A2:K2"/>
    <mergeCell ref="J3:K3"/>
    <mergeCell ref="A5:C5"/>
    <mergeCell ref="A6:C6"/>
    <mergeCell ref="D6:E6"/>
    <mergeCell ref="F6:K6"/>
  </mergeCells>
  <dataValidations disablePrompts="1" count="3">
    <dataValidation type="list" allowBlank="1" showInputMessage="1" sqref="D6:E6" xr:uid="{00000000-0002-0000-0100-000000000000}">
      <formula1>$T$5:$T$10</formula1>
    </dataValidation>
    <dataValidation type="list" allowBlank="1" showErrorMessage="1" error="Choose from list!" sqref="D21" xr:uid="{00000000-0002-0000-0100-000001000000}">
      <formula1>$Q$22:$Q$24</formula1>
    </dataValidation>
    <dataValidation type="list" allowBlank="1" showInputMessage="1" errorTitle="Hold on!" error="Enter a valid motor type!" prompt="Motor Type  Select one from the list or input name" sqref="K4" xr:uid="{00000000-0002-0000-0100-000002000000}">
      <formula1>$Q$5:$Q$11</formula1>
    </dataValidation>
  </dataValidations>
  <printOptions horizontalCentered="1" verticalCentered="1"/>
  <pageMargins left="0.25" right="0.25" top="0.5" bottom="0.5" header="0.5" footer="0.5"/>
  <pageSetup scale="82" orientation="portrait" blackAndWhite="1" horizontalDpi="30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79"/>
  <sheetViews>
    <sheetView topLeftCell="A16" zoomScale="75" zoomScaleNormal="75" workbookViewId="0"/>
  </sheetViews>
  <sheetFormatPr defaultColWidth="9.140625" defaultRowHeight="12.75"/>
  <cols>
    <col min="1" max="1" width="9.140625" style="315" customWidth="1"/>
    <col min="2" max="2" width="18.140625" style="315" customWidth="1"/>
    <col min="3" max="3" width="21.5703125" style="315" customWidth="1"/>
    <col min="4" max="4" width="21.28515625" style="315" bestFit="1" customWidth="1"/>
    <col min="5" max="5" width="6.85546875" style="315" bestFit="1" customWidth="1"/>
    <col min="6" max="6" width="29.85546875" style="315" customWidth="1"/>
    <col min="7" max="7" width="43.7109375" style="315" customWidth="1"/>
    <col min="8" max="8" width="17.140625" style="315" customWidth="1"/>
    <col min="9" max="9" width="7.85546875" style="315" customWidth="1"/>
    <col min="10" max="10" width="2.28515625" style="315" bestFit="1" customWidth="1"/>
    <col min="11" max="12" width="2.28515625" style="315" customWidth="1"/>
    <col min="13" max="13" width="2.5703125" style="315" bestFit="1" customWidth="1"/>
    <col min="14" max="14" width="2.28515625" style="315" bestFit="1" customWidth="1"/>
    <col min="15" max="16384" width="9.140625" style="315"/>
  </cols>
  <sheetData>
    <row r="1" spans="2:14" ht="12.75" customHeight="1">
      <c r="B1" s="310"/>
      <c r="C1" s="311"/>
      <c r="D1" s="311"/>
      <c r="E1" s="311"/>
      <c r="F1" s="311"/>
      <c r="G1" s="311"/>
      <c r="H1" s="312"/>
      <c r="I1" s="313"/>
      <c r="J1" s="314" t="s">
        <v>347</v>
      </c>
      <c r="K1" s="314" t="s">
        <v>348</v>
      </c>
      <c r="L1" s="314" t="s">
        <v>349</v>
      </c>
      <c r="M1" s="314" t="s">
        <v>348</v>
      </c>
      <c r="N1" s="314"/>
    </row>
    <row r="2" spans="2:14" ht="12.75" customHeight="1">
      <c r="B2" s="502" t="s">
        <v>350</v>
      </c>
      <c r="C2" s="503"/>
      <c r="D2" s="503"/>
      <c r="E2" s="503"/>
      <c r="F2" s="503"/>
      <c r="G2" s="503"/>
      <c r="H2" s="316"/>
      <c r="I2" s="317"/>
      <c r="J2" s="318" t="s">
        <v>351</v>
      </c>
      <c r="K2" s="318" t="s">
        <v>352</v>
      </c>
      <c r="L2" s="318" t="s">
        <v>353</v>
      </c>
      <c r="M2" s="318" t="s">
        <v>354</v>
      </c>
      <c r="N2" s="318" t="s">
        <v>355</v>
      </c>
    </row>
    <row r="3" spans="2:14" ht="12.75" customHeight="1">
      <c r="B3" s="502"/>
      <c r="C3" s="503"/>
      <c r="D3" s="503"/>
      <c r="E3" s="503"/>
      <c r="F3" s="503"/>
      <c r="G3" s="503"/>
      <c r="H3" s="316"/>
      <c r="I3" s="317"/>
      <c r="J3" s="318" t="s">
        <v>356</v>
      </c>
      <c r="K3" s="318"/>
      <c r="L3" s="318" t="s">
        <v>357</v>
      </c>
      <c r="M3" s="318" t="s">
        <v>347</v>
      </c>
      <c r="N3" s="318"/>
    </row>
    <row r="4" spans="2:14" ht="12.75" customHeight="1">
      <c r="B4" s="502"/>
      <c r="C4" s="503"/>
      <c r="D4" s="503"/>
      <c r="E4" s="503"/>
      <c r="F4" s="503"/>
      <c r="G4" s="503"/>
      <c r="H4" s="316"/>
      <c r="I4" s="317"/>
      <c r="J4" s="318" t="s">
        <v>358</v>
      </c>
      <c r="K4" s="318"/>
      <c r="L4" s="318" t="s">
        <v>353</v>
      </c>
      <c r="M4" s="318" t="s">
        <v>351</v>
      </c>
      <c r="N4" s="318"/>
    </row>
    <row r="5" spans="2:14" ht="12.75" customHeight="1">
      <c r="B5" s="319"/>
      <c r="C5" s="320"/>
      <c r="D5" s="320"/>
      <c r="E5" s="320"/>
      <c r="F5" s="320"/>
      <c r="G5" s="320"/>
      <c r="H5" s="316"/>
      <c r="I5" s="317"/>
      <c r="J5" s="318"/>
      <c r="K5" s="318" t="s">
        <v>359</v>
      </c>
      <c r="L5" s="318" t="s">
        <v>348</v>
      </c>
      <c r="M5" s="318"/>
      <c r="N5" s="318" t="s">
        <v>353</v>
      </c>
    </row>
    <row r="6" spans="2:14" ht="12" customHeight="1">
      <c r="B6" s="321"/>
      <c r="C6" s="322"/>
      <c r="D6" s="322"/>
      <c r="F6" s="322"/>
      <c r="H6" s="323"/>
      <c r="I6" s="317"/>
      <c r="J6" s="318" t="s">
        <v>352</v>
      </c>
      <c r="K6" s="318" t="s">
        <v>360</v>
      </c>
      <c r="L6" s="318"/>
      <c r="M6" s="318" t="s">
        <v>348</v>
      </c>
      <c r="N6" s="318" t="s">
        <v>361</v>
      </c>
    </row>
    <row r="7" spans="2:14" ht="12.75" customHeight="1">
      <c r="B7" s="321"/>
      <c r="D7" s="324"/>
      <c r="H7" s="323"/>
      <c r="I7" s="317"/>
      <c r="J7" s="318" t="s">
        <v>362</v>
      </c>
      <c r="K7" s="318" t="s">
        <v>356</v>
      </c>
      <c r="L7" s="318" t="s">
        <v>356</v>
      </c>
      <c r="M7" s="318" t="s">
        <v>351</v>
      </c>
      <c r="N7" s="318" t="s">
        <v>363</v>
      </c>
    </row>
    <row r="8" spans="2:14" ht="12.75" customHeight="1">
      <c r="B8" s="321"/>
      <c r="G8" s="324"/>
      <c r="H8" s="325"/>
      <c r="I8" s="318" t="s">
        <v>363</v>
      </c>
      <c r="J8" s="318" t="s">
        <v>348</v>
      </c>
      <c r="K8" s="318" t="s">
        <v>364</v>
      </c>
      <c r="L8" s="318" t="s">
        <v>351</v>
      </c>
      <c r="M8" s="318" t="s">
        <v>363</v>
      </c>
      <c r="N8" s="318" t="s">
        <v>360</v>
      </c>
    </row>
    <row r="9" spans="2:14">
      <c r="B9" s="318" t="s">
        <v>365</v>
      </c>
      <c r="C9" s="325" t="s">
        <v>366</v>
      </c>
      <c r="D9" s="325" t="s">
        <v>367</v>
      </c>
      <c r="E9" s="325" t="s">
        <v>368</v>
      </c>
      <c r="F9" s="318" t="s">
        <v>369</v>
      </c>
      <c r="G9" s="318" t="s">
        <v>370</v>
      </c>
      <c r="H9" s="318" t="s">
        <v>371</v>
      </c>
      <c r="I9" s="318" t="s">
        <v>358</v>
      </c>
      <c r="J9" s="318" t="s">
        <v>362</v>
      </c>
      <c r="K9" s="318" t="s">
        <v>351</v>
      </c>
      <c r="L9" s="318" t="s">
        <v>364</v>
      </c>
      <c r="M9" s="318" t="s">
        <v>348</v>
      </c>
      <c r="N9" s="318" t="s">
        <v>349</v>
      </c>
    </row>
    <row r="10" spans="2:14" ht="15" customHeight="1">
      <c r="B10" s="326"/>
      <c r="C10" s="327"/>
      <c r="D10" s="327"/>
      <c r="E10" s="327"/>
      <c r="F10" s="328"/>
      <c r="G10" s="329"/>
      <c r="H10" s="329"/>
      <c r="I10" s="330"/>
      <c r="J10" s="331"/>
      <c r="K10" s="331"/>
      <c r="L10" s="331"/>
      <c r="M10" s="331"/>
      <c r="N10" s="332"/>
    </row>
    <row r="11" spans="2:14" ht="15" customHeight="1">
      <c r="B11" s="326"/>
      <c r="C11" s="328"/>
      <c r="D11" s="328"/>
      <c r="E11" s="328"/>
      <c r="F11" s="328"/>
      <c r="G11" s="328"/>
      <c r="H11" s="328"/>
      <c r="I11" s="333"/>
      <c r="J11" s="331"/>
      <c r="K11" s="331"/>
      <c r="L11" s="331"/>
      <c r="M11" s="331"/>
      <c r="N11" s="332"/>
    </row>
    <row r="12" spans="2:14" ht="15" customHeight="1">
      <c r="B12" s="326"/>
      <c r="C12" s="328"/>
      <c r="D12" s="328"/>
      <c r="E12" s="328"/>
      <c r="F12" s="328"/>
      <c r="G12" s="328"/>
      <c r="H12" s="328"/>
      <c r="I12" s="333"/>
      <c r="J12" s="334"/>
      <c r="K12" s="331"/>
      <c r="L12" s="331"/>
      <c r="M12" s="331"/>
      <c r="N12" s="332"/>
    </row>
    <row r="13" spans="2:14" ht="15" customHeight="1">
      <c r="B13" s="326"/>
      <c r="C13" s="328"/>
      <c r="D13" s="328"/>
      <c r="E13" s="328"/>
      <c r="F13" s="328"/>
      <c r="G13" s="328"/>
      <c r="H13" s="328"/>
      <c r="I13" s="333"/>
      <c r="J13" s="331"/>
      <c r="K13" s="331"/>
      <c r="L13" s="331"/>
      <c r="M13" s="331"/>
      <c r="N13" s="332"/>
    </row>
    <row r="14" spans="2:14" ht="15" customHeight="1">
      <c r="B14" s="326"/>
      <c r="C14" s="328"/>
      <c r="D14" s="328"/>
      <c r="E14" s="328"/>
      <c r="F14" s="328"/>
      <c r="G14" s="328"/>
      <c r="H14" s="328"/>
      <c r="I14" s="333"/>
      <c r="J14" s="331"/>
      <c r="K14" s="331"/>
      <c r="L14" s="331"/>
      <c r="M14" s="331"/>
      <c r="N14" s="332"/>
    </row>
    <row r="15" spans="2:14" ht="15" customHeight="1">
      <c r="B15" s="326"/>
      <c r="C15" s="328"/>
      <c r="D15" s="328"/>
      <c r="E15" s="328"/>
      <c r="F15" s="328"/>
      <c r="G15" s="328"/>
      <c r="H15" s="328"/>
      <c r="I15" s="333"/>
      <c r="J15" s="331"/>
      <c r="K15" s="331"/>
      <c r="L15" s="331"/>
      <c r="M15" s="331"/>
      <c r="N15" s="332"/>
    </row>
    <row r="16" spans="2:14" ht="15" customHeight="1">
      <c r="B16" s="326"/>
      <c r="C16" s="328"/>
      <c r="D16" s="328"/>
      <c r="E16" s="328"/>
      <c r="F16" s="328"/>
      <c r="G16" s="328"/>
      <c r="H16" s="328"/>
      <c r="I16" s="333"/>
      <c r="J16" s="331"/>
      <c r="K16" s="331"/>
      <c r="L16" s="331"/>
      <c r="M16" s="331"/>
      <c r="N16" s="332"/>
    </row>
    <row r="17" spans="2:14" ht="15" customHeight="1">
      <c r="B17" s="326"/>
      <c r="C17" s="328"/>
      <c r="D17" s="328"/>
      <c r="E17" s="328"/>
      <c r="F17" s="328"/>
      <c r="G17" s="328"/>
      <c r="H17" s="328"/>
      <c r="I17" s="333"/>
      <c r="J17" s="331"/>
      <c r="K17" s="331"/>
      <c r="L17" s="331"/>
      <c r="M17" s="331"/>
      <c r="N17" s="332"/>
    </row>
    <row r="18" spans="2:14" ht="15" customHeight="1">
      <c r="B18" s="326"/>
      <c r="C18" s="328"/>
      <c r="D18" s="328"/>
      <c r="E18" s="328"/>
      <c r="F18" s="328"/>
      <c r="G18" s="328"/>
      <c r="H18" s="328"/>
      <c r="I18" s="333"/>
      <c r="J18" s="331"/>
      <c r="K18" s="331"/>
      <c r="L18" s="331"/>
      <c r="M18" s="331"/>
      <c r="N18" s="332"/>
    </row>
    <row r="19" spans="2:14" ht="15" customHeight="1">
      <c r="B19" s="326"/>
      <c r="C19" s="328"/>
      <c r="D19" s="328"/>
      <c r="E19" s="328"/>
      <c r="F19" s="328"/>
      <c r="G19" s="328"/>
      <c r="H19" s="328"/>
      <c r="I19" s="333"/>
      <c r="J19" s="331"/>
      <c r="K19" s="331"/>
      <c r="L19" s="331"/>
      <c r="M19" s="331"/>
      <c r="N19" s="332"/>
    </row>
    <row r="20" spans="2:14" ht="15" customHeight="1">
      <c r="B20" s="326"/>
      <c r="C20" s="328"/>
      <c r="D20" s="328"/>
      <c r="E20" s="328"/>
      <c r="F20" s="328"/>
      <c r="G20" s="328"/>
      <c r="H20" s="328"/>
      <c r="I20" s="333"/>
      <c r="J20" s="331"/>
      <c r="K20" s="331"/>
      <c r="L20" s="331"/>
      <c r="M20" s="331"/>
      <c r="N20" s="332"/>
    </row>
    <row r="21" spans="2:14" ht="15" customHeight="1">
      <c r="B21" s="326"/>
      <c r="C21" s="328"/>
      <c r="D21" s="328"/>
      <c r="E21" s="328"/>
      <c r="F21" s="328"/>
      <c r="G21" s="328"/>
      <c r="H21" s="328"/>
      <c r="I21" s="333"/>
      <c r="J21" s="331"/>
      <c r="K21" s="331"/>
      <c r="L21" s="331"/>
      <c r="M21" s="331"/>
      <c r="N21" s="332"/>
    </row>
    <row r="22" spans="2:14" ht="15" customHeight="1">
      <c r="B22" s="326"/>
      <c r="C22" s="328"/>
      <c r="D22" s="328"/>
      <c r="E22" s="328"/>
      <c r="F22" s="328"/>
      <c r="G22" s="328"/>
      <c r="H22" s="328"/>
      <c r="I22" s="333"/>
      <c r="J22" s="331"/>
      <c r="K22" s="331"/>
      <c r="L22" s="331"/>
      <c r="M22" s="331"/>
      <c r="N22" s="332"/>
    </row>
    <row r="23" spans="2:14" ht="15" customHeight="1">
      <c r="B23" s="326"/>
      <c r="C23" s="328"/>
      <c r="D23" s="328"/>
      <c r="E23" s="328"/>
      <c r="F23" s="328"/>
      <c r="G23" s="328"/>
      <c r="H23" s="328"/>
      <c r="I23" s="333"/>
      <c r="J23" s="331"/>
      <c r="K23" s="331"/>
      <c r="L23" s="331"/>
      <c r="M23" s="331"/>
      <c r="N23" s="332"/>
    </row>
    <row r="24" spans="2:14" ht="15" customHeight="1">
      <c r="B24" s="326"/>
      <c r="C24" s="328"/>
      <c r="D24" s="328"/>
      <c r="E24" s="328"/>
      <c r="F24" s="328"/>
      <c r="G24" s="328"/>
      <c r="H24" s="328"/>
      <c r="I24" s="333"/>
      <c r="J24" s="331"/>
      <c r="K24" s="331"/>
      <c r="L24" s="331"/>
      <c r="M24" s="331"/>
      <c r="N24" s="332"/>
    </row>
    <row r="25" spans="2:14" ht="15" customHeight="1">
      <c r="B25" s="326"/>
      <c r="C25" s="328"/>
      <c r="D25" s="328"/>
      <c r="E25" s="328"/>
      <c r="F25" s="328"/>
      <c r="G25" s="328"/>
      <c r="H25" s="328"/>
      <c r="I25" s="333"/>
      <c r="J25" s="331"/>
      <c r="K25" s="331"/>
      <c r="L25" s="331"/>
      <c r="M25" s="331"/>
      <c r="N25" s="332"/>
    </row>
    <row r="26" spans="2:14" ht="15" customHeight="1">
      <c r="B26" s="326"/>
      <c r="C26" s="328"/>
      <c r="D26" s="328"/>
      <c r="E26" s="328"/>
      <c r="F26" s="328"/>
      <c r="G26" s="328"/>
      <c r="H26" s="328"/>
      <c r="I26" s="333"/>
      <c r="J26" s="331"/>
      <c r="K26" s="331"/>
      <c r="L26" s="331"/>
      <c r="M26" s="331"/>
      <c r="N26" s="332"/>
    </row>
    <row r="27" spans="2:14" ht="15" customHeight="1">
      <c r="B27" s="326"/>
      <c r="C27" s="328"/>
      <c r="D27" s="328"/>
      <c r="E27" s="328"/>
      <c r="F27" s="328"/>
      <c r="G27" s="328"/>
      <c r="H27" s="328"/>
      <c r="I27" s="333"/>
      <c r="J27" s="331"/>
      <c r="K27" s="331"/>
      <c r="L27" s="331"/>
      <c r="M27" s="331"/>
      <c r="N27" s="332"/>
    </row>
    <row r="28" spans="2:14" ht="15" customHeight="1">
      <c r="B28" s="326"/>
      <c r="C28" s="328"/>
      <c r="D28" s="328"/>
      <c r="E28" s="328"/>
      <c r="F28" s="328"/>
      <c r="G28" s="328"/>
      <c r="H28" s="328"/>
      <c r="I28" s="333"/>
      <c r="J28" s="331"/>
      <c r="K28" s="331"/>
      <c r="L28" s="331"/>
      <c r="M28" s="331"/>
      <c r="N28" s="332"/>
    </row>
    <row r="29" spans="2:14" ht="15" customHeight="1">
      <c r="B29" s="326"/>
      <c r="C29" s="328"/>
      <c r="D29" s="328"/>
      <c r="E29" s="328"/>
      <c r="F29" s="328"/>
      <c r="G29" s="328"/>
      <c r="H29" s="328"/>
      <c r="I29" s="333"/>
      <c r="J29" s="331"/>
      <c r="K29" s="331"/>
      <c r="L29" s="331"/>
      <c r="M29" s="331"/>
      <c r="N29" s="332"/>
    </row>
    <row r="30" spans="2:14" ht="15" customHeight="1">
      <c r="B30" s="326"/>
      <c r="C30" s="328"/>
      <c r="D30" s="328"/>
      <c r="E30" s="328"/>
      <c r="F30" s="328"/>
      <c r="G30" s="328"/>
      <c r="H30" s="328"/>
      <c r="I30" s="333"/>
      <c r="J30" s="331"/>
      <c r="K30" s="331"/>
      <c r="L30" s="331"/>
      <c r="M30" s="331"/>
      <c r="N30" s="332"/>
    </row>
    <row r="31" spans="2:14" ht="15" customHeight="1">
      <c r="B31" s="326"/>
      <c r="C31" s="328"/>
      <c r="D31" s="328"/>
      <c r="E31" s="328"/>
      <c r="F31" s="328"/>
      <c r="G31" s="328"/>
      <c r="H31" s="328"/>
      <c r="I31" s="333"/>
      <c r="J31" s="331"/>
      <c r="K31" s="331"/>
      <c r="L31" s="331"/>
      <c r="M31" s="331"/>
      <c r="N31" s="332"/>
    </row>
    <row r="32" spans="2:14" ht="15" customHeight="1">
      <c r="B32" s="326"/>
      <c r="C32" s="328"/>
      <c r="D32" s="328"/>
      <c r="E32" s="328"/>
      <c r="F32" s="328"/>
      <c r="G32" s="328"/>
      <c r="H32" s="328"/>
      <c r="I32" s="333"/>
      <c r="J32" s="331"/>
      <c r="K32" s="331"/>
      <c r="L32" s="331"/>
      <c r="M32" s="331"/>
      <c r="N32" s="332"/>
    </row>
    <row r="33" spans="2:14" ht="15" customHeight="1">
      <c r="B33" s="326"/>
      <c r="C33" s="328"/>
      <c r="D33" s="328"/>
      <c r="E33" s="328"/>
      <c r="F33" s="328"/>
      <c r="G33" s="328"/>
      <c r="H33" s="328"/>
      <c r="I33" s="333"/>
      <c r="J33" s="331"/>
      <c r="K33" s="331"/>
      <c r="L33" s="331"/>
      <c r="M33" s="331"/>
      <c r="N33" s="332"/>
    </row>
    <row r="34" spans="2:14" ht="15" customHeight="1">
      <c r="B34" s="326"/>
      <c r="C34" s="328"/>
      <c r="D34" s="328"/>
      <c r="E34" s="328"/>
      <c r="F34" s="328"/>
      <c r="G34" s="328"/>
      <c r="H34" s="328"/>
      <c r="I34" s="333"/>
      <c r="J34" s="331"/>
      <c r="K34" s="331"/>
      <c r="L34" s="331"/>
      <c r="M34" s="331"/>
      <c r="N34" s="332"/>
    </row>
    <row r="35" spans="2:14" ht="15" customHeight="1">
      <c r="B35" s="326"/>
      <c r="C35" s="328"/>
      <c r="D35" s="328"/>
      <c r="E35" s="328"/>
      <c r="F35" s="328"/>
      <c r="G35" s="328"/>
      <c r="H35" s="328"/>
      <c r="I35" s="333"/>
      <c r="J35" s="331"/>
      <c r="K35" s="331"/>
      <c r="L35" s="331"/>
      <c r="M35" s="331"/>
      <c r="N35" s="332"/>
    </row>
    <row r="36" spans="2:14" ht="15" customHeight="1">
      <c r="B36" s="326"/>
      <c r="C36" s="328"/>
      <c r="D36" s="328"/>
      <c r="E36" s="328"/>
      <c r="F36" s="328"/>
      <c r="G36" s="328"/>
      <c r="H36" s="328"/>
      <c r="I36" s="333"/>
      <c r="J36" s="331"/>
      <c r="K36" s="331"/>
      <c r="L36" s="331"/>
      <c r="M36" s="331"/>
      <c r="N36" s="332"/>
    </row>
    <row r="37" spans="2:14" ht="15" customHeight="1">
      <c r="B37" s="326"/>
      <c r="C37" s="328"/>
      <c r="D37" s="328"/>
      <c r="E37" s="328"/>
      <c r="F37" s="328"/>
      <c r="G37" s="328"/>
      <c r="H37" s="328"/>
      <c r="I37" s="333"/>
      <c r="J37" s="331"/>
      <c r="K37" s="331"/>
      <c r="L37" s="331"/>
      <c r="M37" s="331"/>
      <c r="N37" s="332"/>
    </row>
    <row r="38" spans="2:14" ht="15" customHeight="1">
      <c r="B38" s="326"/>
      <c r="C38" s="328"/>
      <c r="D38" s="328"/>
      <c r="E38" s="328"/>
      <c r="F38" s="328"/>
      <c r="G38" s="328"/>
      <c r="H38" s="328"/>
      <c r="I38" s="333"/>
      <c r="J38" s="331"/>
      <c r="K38" s="331"/>
      <c r="L38" s="331"/>
      <c r="M38" s="331"/>
      <c r="N38" s="332"/>
    </row>
    <row r="39" spans="2:14" ht="15" customHeight="1">
      <c r="B39" s="326"/>
      <c r="C39" s="328"/>
      <c r="D39" s="328"/>
      <c r="E39" s="328"/>
      <c r="F39" s="328"/>
      <c r="G39" s="328"/>
      <c r="H39" s="328"/>
      <c r="I39" s="333"/>
      <c r="J39" s="331"/>
      <c r="K39" s="331"/>
      <c r="L39" s="331"/>
      <c r="M39" s="331"/>
      <c r="N39" s="332"/>
    </row>
    <row r="40" spans="2:14" ht="15" customHeight="1">
      <c r="B40" s="326"/>
      <c r="C40" s="328"/>
      <c r="D40" s="328"/>
      <c r="E40" s="328"/>
      <c r="F40" s="328"/>
      <c r="G40" s="328"/>
      <c r="H40" s="328"/>
      <c r="I40" s="333"/>
      <c r="J40" s="331"/>
      <c r="K40" s="331"/>
      <c r="L40" s="331"/>
      <c r="M40" s="331"/>
      <c r="N40" s="332"/>
    </row>
    <row r="41" spans="2:14" ht="15" customHeight="1">
      <c r="B41" s="326"/>
      <c r="C41" s="328"/>
      <c r="D41" s="328"/>
      <c r="E41" s="328"/>
      <c r="F41" s="328"/>
      <c r="G41" s="328"/>
      <c r="H41" s="328"/>
      <c r="I41" s="333"/>
      <c r="J41" s="331"/>
      <c r="K41" s="331"/>
      <c r="L41" s="331"/>
      <c r="M41" s="331"/>
      <c r="N41" s="332"/>
    </row>
    <row r="42" spans="2:14" ht="15" customHeight="1">
      <c r="B42" s="326"/>
      <c r="C42" s="328"/>
      <c r="D42" s="328"/>
      <c r="E42" s="328"/>
      <c r="F42" s="328"/>
      <c r="G42" s="328"/>
      <c r="H42" s="328"/>
      <c r="I42" s="333"/>
      <c r="J42" s="331"/>
      <c r="K42" s="331"/>
      <c r="L42" s="331"/>
      <c r="M42" s="331"/>
      <c r="N42" s="332"/>
    </row>
    <row r="43" spans="2:14" ht="15" customHeight="1">
      <c r="B43" s="326"/>
      <c r="C43" s="328"/>
      <c r="D43" s="328"/>
      <c r="E43" s="328"/>
      <c r="F43" s="328"/>
      <c r="G43" s="328"/>
      <c r="H43" s="328"/>
      <c r="I43" s="333"/>
      <c r="J43" s="331"/>
      <c r="K43" s="331"/>
      <c r="L43" s="331"/>
      <c r="M43" s="331"/>
      <c r="N43" s="332"/>
    </row>
    <row r="44" spans="2:14" ht="15" customHeight="1">
      <c r="B44" s="326"/>
      <c r="C44" s="328"/>
      <c r="D44" s="328"/>
      <c r="E44" s="328"/>
      <c r="F44" s="328"/>
      <c r="G44" s="328"/>
      <c r="H44" s="328"/>
      <c r="I44" s="333"/>
      <c r="J44" s="331"/>
      <c r="K44" s="331"/>
      <c r="L44" s="331"/>
      <c r="M44" s="331"/>
      <c r="N44" s="332"/>
    </row>
    <row r="45" spans="2:14" ht="15" customHeight="1">
      <c r="B45" s="326"/>
      <c r="C45" s="328"/>
      <c r="D45" s="328"/>
      <c r="E45" s="328"/>
      <c r="F45" s="328"/>
      <c r="G45" s="328"/>
      <c r="H45" s="328"/>
      <c r="I45" s="333"/>
      <c r="J45" s="331"/>
      <c r="K45" s="331"/>
      <c r="L45" s="331"/>
      <c r="M45" s="331"/>
      <c r="N45" s="332"/>
    </row>
    <row r="46" spans="2:14" ht="15" customHeight="1">
      <c r="B46" s="326"/>
      <c r="C46" s="328"/>
      <c r="D46" s="328"/>
      <c r="E46" s="328"/>
      <c r="F46" s="328"/>
      <c r="G46" s="328"/>
      <c r="H46" s="328"/>
      <c r="I46" s="333"/>
      <c r="J46" s="331"/>
      <c r="K46" s="331"/>
      <c r="L46" s="331"/>
      <c r="M46" s="331"/>
      <c r="N46" s="332"/>
    </row>
    <row r="47" spans="2:14" ht="15" customHeight="1">
      <c r="B47" s="326"/>
      <c r="C47" s="328"/>
      <c r="D47" s="328"/>
      <c r="E47" s="328"/>
      <c r="F47" s="328"/>
      <c r="G47" s="328"/>
      <c r="H47" s="328"/>
      <c r="I47" s="333"/>
      <c r="J47" s="331"/>
      <c r="K47" s="331"/>
      <c r="L47" s="331"/>
      <c r="M47" s="331"/>
      <c r="N47" s="332"/>
    </row>
    <row r="48" spans="2:14" ht="15" customHeight="1">
      <c r="B48" s="326"/>
      <c r="C48" s="328"/>
      <c r="D48" s="328"/>
      <c r="E48" s="328"/>
      <c r="F48" s="328"/>
      <c r="G48" s="328"/>
      <c r="H48" s="328"/>
      <c r="I48" s="333"/>
      <c r="J48" s="331"/>
      <c r="K48" s="331"/>
      <c r="L48" s="331"/>
      <c r="M48" s="331"/>
      <c r="N48" s="332"/>
    </row>
    <row r="49" spans="2:14" ht="15" customHeight="1">
      <c r="B49" s="326"/>
      <c r="C49" s="328"/>
      <c r="D49" s="328"/>
      <c r="E49" s="328"/>
      <c r="F49" s="328"/>
      <c r="G49" s="328"/>
      <c r="H49" s="328"/>
      <c r="I49" s="333"/>
      <c r="J49" s="331"/>
      <c r="K49" s="331"/>
      <c r="L49" s="331"/>
      <c r="M49" s="331"/>
      <c r="N49" s="332"/>
    </row>
    <row r="50" spans="2:14" ht="15" customHeight="1">
      <c r="B50" s="326"/>
      <c r="C50" s="328"/>
      <c r="D50" s="328"/>
      <c r="E50" s="328"/>
      <c r="F50" s="328"/>
      <c r="G50" s="328"/>
      <c r="H50" s="328"/>
      <c r="I50" s="333"/>
      <c r="J50" s="331"/>
      <c r="K50" s="331"/>
      <c r="L50" s="331"/>
      <c r="M50" s="331"/>
      <c r="N50" s="332"/>
    </row>
    <row r="51" spans="2:14" ht="15" customHeight="1">
      <c r="B51" s="326"/>
      <c r="C51" s="328"/>
      <c r="D51" s="328"/>
      <c r="E51" s="328"/>
      <c r="F51" s="328"/>
      <c r="G51" s="328"/>
      <c r="H51" s="328"/>
      <c r="I51" s="333"/>
      <c r="J51" s="331"/>
      <c r="K51" s="331"/>
      <c r="L51" s="331"/>
      <c r="M51" s="331"/>
      <c r="N51" s="332"/>
    </row>
    <row r="52" spans="2:14" ht="15" customHeight="1" thickBot="1">
      <c r="B52" s="335"/>
      <c r="C52" s="336"/>
      <c r="D52" s="336"/>
      <c r="E52" s="336"/>
      <c r="F52" s="336"/>
      <c r="G52" s="336"/>
      <c r="H52" s="336"/>
      <c r="I52" s="337"/>
      <c r="J52" s="338"/>
      <c r="K52" s="338"/>
      <c r="L52" s="338"/>
      <c r="M52" s="338"/>
      <c r="N52" s="339"/>
    </row>
    <row r="53" spans="2:14" ht="20.25" customHeight="1" thickBot="1">
      <c r="B53" s="504" t="s">
        <v>372</v>
      </c>
      <c r="C53" s="504"/>
      <c r="D53" s="504"/>
      <c r="E53" s="504"/>
      <c r="F53" s="504"/>
      <c r="G53" s="504"/>
      <c r="H53" s="504"/>
      <c r="I53" s="504"/>
      <c r="J53" s="504"/>
      <c r="K53" s="504"/>
      <c r="L53" s="504"/>
      <c r="M53" s="504"/>
      <c r="N53" s="504"/>
    </row>
    <row r="54" spans="2:14" ht="15" customHeight="1" thickBot="1">
      <c r="B54" s="340" t="s">
        <v>373</v>
      </c>
      <c r="C54" s="505" t="s">
        <v>370</v>
      </c>
      <c r="D54" s="506"/>
      <c r="E54" s="506"/>
      <c r="F54" s="506"/>
      <c r="G54" s="506"/>
      <c r="H54" s="341"/>
      <c r="I54" s="505" t="s">
        <v>365</v>
      </c>
      <c r="J54" s="506"/>
      <c r="K54" s="507"/>
      <c r="L54" s="505" t="s">
        <v>374</v>
      </c>
      <c r="M54" s="506"/>
      <c r="N54" s="508"/>
    </row>
    <row r="55" spans="2:14" ht="15" customHeight="1">
      <c r="B55" s="342"/>
      <c r="C55" s="494"/>
      <c r="D55" s="495"/>
      <c r="E55" s="495"/>
      <c r="F55" s="495"/>
      <c r="G55" s="495"/>
      <c r="H55" s="343"/>
      <c r="I55" s="496"/>
      <c r="J55" s="497"/>
      <c r="K55" s="498"/>
      <c r="L55" s="499"/>
      <c r="M55" s="500"/>
      <c r="N55" s="501"/>
    </row>
    <row r="56" spans="2:14" ht="15" customHeight="1">
      <c r="B56" s="344"/>
      <c r="C56" s="509"/>
      <c r="D56" s="510"/>
      <c r="E56" s="510"/>
      <c r="F56" s="510"/>
      <c r="G56" s="510"/>
      <c r="H56" s="345"/>
      <c r="I56" s="511"/>
      <c r="J56" s="512"/>
      <c r="K56" s="513"/>
      <c r="L56" s="514"/>
      <c r="M56" s="515"/>
      <c r="N56" s="516"/>
    </row>
    <row r="57" spans="2:14" ht="15" customHeight="1">
      <c r="B57" s="344"/>
      <c r="C57" s="509"/>
      <c r="D57" s="510"/>
      <c r="E57" s="510"/>
      <c r="F57" s="510"/>
      <c r="G57" s="510"/>
      <c r="H57" s="345"/>
      <c r="I57" s="511"/>
      <c r="J57" s="512"/>
      <c r="K57" s="513"/>
      <c r="L57" s="514"/>
      <c r="M57" s="515"/>
      <c r="N57" s="516"/>
    </row>
    <row r="58" spans="2:14" ht="15" customHeight="1">
      <c r="B58" s="344"/>
      <c r="C58" s="509"/>
      <c r="D58" s="510"/>
      <c r="E58" s="510"/>
      <c r="F58" s="510"/>
      <c r="G58" s="510"/>
      <c r="H58" s="345"/>
      <c r="I58" s="511"/>
      <c r="J58" s="512"/>
      <c r="K58" s="513"/>
      <c r="L58" s="514"/>
      <c r="M58" s="515"/>
      <c r="N58" s="516"/>
    </row>
    <row r="59" spans="2:14" ht="15" customHeight="1">
      <c r="B59" s="344"/>
      <c r="C59" s="509"/>
      <c r="D59" s="510"/>
      <c r="E59" s="510"/>
      <c r="F59" s="510"/>
      <c r="G59" s="510"/>
      <c r="H59" s="345"/>
      <c r="I59" s="511"/>
      <c r="J59" s="512"/>
      <c r="K59" s="513"/>
      <c r="L59" s="514"/>
      <c r="M59" s="515"/>
      <c r="N59" s="516"/>
    </row>
    <row r="60" spans="2:14" ht="15" customHeight="1">
      <c r="B60" s="344"/>
      <c r="C60" s="509"/>
      <c r="D60" s="510"/>
      <c r="E60" s="510"/>
      <c r="F60" s="510"/>
      <c r="G60" s="510"/>
      <c r="H60" s="345"/>
      <c r="I60" s="511"/>
      <c r="J60" s="512"/>
      <c r="K60" s="513"/>
      <c r="L60" s="514"/>
      <c r="M60" s="515"/>
      <c r="N60" s="516"/>
    </row>
    <row r="61" spans="2:14" ht="15" customHeight="1">
      <c r="B61" s="344"/>
      <c r="C61" s="509"/>
      <c r="D61" s="510"/>
      <c r="E61" s="510"/>
      <c r="F61" s="510"/>
      <c r="G61" s="510"/>
      <c r="H61" s="345"/>
      <c r="I61" s="511"/>
      <c r="J61" s="512"/>
      <c r="K61" s="513"/>
      <c r="L61" s="514"/>
      <c r="M61" s="515"/>
      <c r="N61" s="516"/>
    </row>
    <row r="62" spans="2:14" ht="15" customHeight="1">
      <c r="B62" s="344"/>
      <c r="C62" s="509"/>
      <c r="D62" s="510"/>
      <c r="E62" s="510"/>
      <c r="F62" s="510"/>
      <c r="G62" s="510"/>
      <c r="H62" s="345"/>
      <c r="I62" s="511"/>
      <c r="J62" s="512"/>
      <c r="K62" s="513"/>
      <c r="L62" s="514"/>
      <c r="M62" s="515"/>
      <c r="N62" s="516"/>
    </row>
    <row r="63" spans="2:14" ht="15" customHeight="1">
      <c r="B63" s="344"/>
      <c r="C63" s="509"/>
      <c r="D63" s="510"/>
      <c r="E63" s="510"/>
      <c r="F63" s="510"/>
      <c r="G63" s="510"/>
      <c r="H63" s="345"/>
      <c r="I63" s="511"/>
      <c r="J63" s="512"/>
      <c r="K63" s="513"/>
      <c r="L63" s="514"/>
      <c r="M63" s="515"/>
      <c r="N63" s="516"/>
    </row>
    <row r="64" spans="2:14" ht="15" customHeight="1">
      <c r="B64" s="344"/>
      <c r="C64" s="509"/>
      <c r="D64" s="510"/>
      <c r="E64" s="510"/>
      <c r="F64" s="510"/>
      <c r="G64" s="510"/>
      <c r="H64" s="345"/>
      <c r="I64" s="511"/>
      <c r="J64" s="512"/>
      <c r="K64" s="513"/>
      <c r="L64" s="514"/>
      <c r="M64" s="515"/>
      <c r="N64" s="516"/>
    </row>
    <row r="65" spans="2:14" ht="15" customHeight="1">
      <c r="B65" s="344"/>
      <c r="C65" s="509"/>
      <c r="D65" s="510"/>
      <c r="E65" s="510"/>
      <c r="F65" s="510"/>
      <c r="G65" s="510"/>
      <c r="H65" s="345"/>
      <c r="I65" s="511"/>
      <c r="J65" s="512"/>
      <c r="K65" s="513"/>
      <c r="L65" s="514"/>
      <c r="M65" s="515"/>
      <c r="N65" s="516"/>
    </row>
    <row r="66" spans="2:14" ht="15" customHeight="1">
      <c r="B66" s="344"/>
      <c r="C66" s="509"/>
      <c r="D66" s="510"/>
      <c r="E66" s="510"/>
      <c r="F66" s="510"/>
      <c r="G66" s="510"/>
      <c r="H66" s="345"/>
      <c r="I66" s="511"/>
      <c r="J66" s="512"/>
      <c r="K66" s="513"/>
      <c r="L66" s="514"/>
      <c r="M66" s="515"/>
      <c r="N66" s="516"/>
    </row>
    <row r="67" spans="2:14" ht="15" customHeight="1">
      <c r="B67" s="344"/>
      <c r="C67" s="509"/>
      <c r="D67" s="510"/>
      <c r="E67" s="510"/>
      <c r="F67" s="510"/>
      <c r="G67" s="510"/>
      <c r="H67" s="345"/>
      <c r="I67" s="511"/>
      <c r="J67" s="512"/>
      <c r="K67" s="513"/>
      <c r="L67" s="514"/>
      <c r="M67" s="515"/>
      <c r="N67" s="516"/>
    </row>
    <row r="68" spans="2:14" ht="15" customHeight="1">
      <c r="B68" s="344"/>
      <c r="C68" s="509"/>
      <c r="D68" s="510"/>
      <c r="E68" s="510"/>
      <c r="F68" s="510"/>
      <c r="G68" s="510"/>
      <c r="H68" s="345"/>
      <c r="I68" s="511"/>
      <c r="J68" s="512"/>
      <c r="K68" s="513"/>
      <c r="L68" s="514"/>
      <c r="M68" s="515"/>
      <c r="N68" s="516"/>
    </row>
    <row r="69" spans="2:14" ht="15" customHeight="1">
      <c r="B69" s="344"/>
      <c r="C69" s="509"/>
      <c r="D69" s="510"/>
      <c r="E69" s="510"/>
      <c r="F69" s="510"/>
      <c r="G69" s="510"/>
      <c r="H69" s="345"/>
      <c r="I69" s="511"/>
      <c r="J69" s="512"/>
      <c r="K69" s="513"/>
      <c r="L69" s="514"/>
      <c r="M69" s="515"/>
      <c r="N69" s="516"/>
    </row>
    <row r="70" spans="2:14" ht="15" customHeight="1">
      <c r="B70" s="344"/>
      <c r="C70" s="509"/>
      <c r="D70" s="510"/>
      <c r="E70" s="510"/>
      <c r="F70" s="510"/>
      <c r="G70" s="510"/>
      <c r="H70" s="345"/>
      <c r="I70" s="511"/>
      <c r="J70" s="512"/>
      <c r="K70" s="513"/>
      <c r="L70" s="514"/>
      <c r="M70" s="515"/>
      <c r="N70" s="516"/>
    </row>
    <row r="71" spans="2:14" ht="15" customHeight="1">
      <c r="B71" s="344"/>
      <c r="C71" s="509"/>
      <c r="D71" s="510"/>
      <c r="E71" s="510"/>
      <c r="F71" s="510"/>
      <c r="G71" s="510"/>
      <c r="H71" s="345"/>
      <c r="I71" s="511"/>
      <c r="J71" s="512"/>
      <c r="K71" s="513"/>
      <c r="L71" s="514"/>
      <c r="M71" s="515"/>
      <c r="N71" s="516"/>
    </row>
    <row r="72" spans="2:14">
      <c r="B72" s="344"/>
      <c r="C72" s="509"/>
      <c r="D72" s="510"/>
      <c r="E72" s="510"/>
      <c r="F72" s="510"/>
      <c r="G72" s="510"/>
      <c r="H72" s="345"/>
      <c r="I72" s="511"/>
      <c r="J72" s="512"/>
      <c r="K72" s="513"/>
      <c r="L72" s="514"/>
      <c r="M72" s="515"/>
      <c r="N72" s="516"/>
    </row>
    <row r="73" spans="2:14">
      <c r="B73" s="344"/>
      <c r="C73" s="509"/>
      <c r="D73" s="510"/>
      <c r="E73" s="510"/>
      <c r="F73" s="510"/>
      <c r="G73" s="510"/>
      <c r="H73" s="345"/>
      <c r="I73" s="511"/>
      <c r="J73" s="512"/>
      <c r="K73" s="513"/>
      <c r="L73" s="514"/>
      <c r="M73" s="515"/>
      <c r="N73" s="516"/>
    </row>
    <row r="74" spans="2:14">
      <c r="B74" s="344"/>
      <c r="C74" s="509"/>
      <c r="D74" s="510"/>
      <c r="E74" s="510"/>
      <c r="F74" s="510"/>
      <c r="G74" s="510"/>
      <c r="H74" s="345"/>
      <c r="I74" s="511"/>
      <c r="J74" s="512"/>
      <c r="K74" s="513"/>
      <c r="L74" s="514"/>
      <c r="M74" s="515"/>
      <c r="N74" s="516"/>
    </row>
    <row r="75" spans="2:14">
      <c r="B75" s="344"/>
      <c r="C75" s="509"/>
      <c r="D75" s="510"/>
      <c r="E75" s="510"/>
      <c r="F75" s="510"/>
      <c r="G75" s="510"/>
      <c r="H75" s="345"/>
      <c r="I75" s="511"/>
      <c r="J75" s="512"/>
      <c r="K75" s="513"/>
      <c r="L75" s="514"/>
      <c r="M75" s="515"/>
      <c r="N75" s="516"/>
    </row>
    <row r="76" spans="2:14">
      <c r="B76" s="344"/>
      <c r="C76" s="509"/>
      <c r="D76" s="510"/>
      <c r="E76" s="510"/>
      <c r="F76" s="510"/>
      <c r="G76" s="510"/>
      <c r="H76" s="345"/>
      <c r="I76" s="511"/>
      <c r="J76" s="512"/>
      <c r="K76" s="513"/>
      <c r="L76" s="514"/>
      <c r="M76" s="515"/>
      <c r="N76" s="516"/>
    </row>
    <row r="77" spans="2:14">
      <c r="B77" s="344"/>
      <c r="C77" s="509"/>
      <c r="D77" s="510"/>
      <c r="E77" s="510"/>
      <c r="F77" s="510"/>
      <c r="G77" s="510"/>
      <c r="H77" s="345"/>
      <c r="I77" s="511"/>
      <c r="J77" s="512"/>
      <c r="K77" s="513"/>
      <c r="L77" s="514"/>
      <c r="M77" s="515"/>
      <c r="N77" s="516"/>
    </row>
    <row r="78" spans="2:14">
      <c r="B78" s="344"/>
      <c r="C78" s="509"/>
      <c r="D78" s="510"/>
      <c r="E78" s="510"/>
      <c r="F78" s="510"/>
      <c r="G78" s="510"/>
      <c r="H78" s="345"/>
      <c r="I78" s="511"/>
      <c r="J78" s="512"/>
      <c r="K78" s="513"/>
      <c r="L78" s="514"/>
      <c r="M78" s="515"/>
      <c r="N78" s="516"/>
    </row>
    <row r="79" spans="2:14" ht="13.5" thickBot="1">
      <c r="B79" s="346"/>
      <c r="C79" s="517"/>
      <c r="D79" s="518"/>
      <c r="E79" s="518"/>
      <c r="F79" s="518"/>
      <c r="G79" s="518"/>
      <c r="H79" s="347"/>
      <c r="I79" s="519"/>
      <c r="J79" s="520"/>
      <c r="K79" s="521"/>
      <c r="L79" s="522"/>
      <c r="M79" s="523"/>
      <c r="N79" s="524"/>
    </row>
  </sheetData>
  <mergeCells count="80">
    <mergeCell ref="C78:G78"/>
    <mergeCell ref="I78:K78"/>
    <mergeCell ref="L78:N78"/>
    <mergeCell ref="C79:G79"/>
    <mergeCell ref="I79:K79"/>
    <mergeCell ref="L79:N79"/>
    <mergeCell ref="C76:G76"/>
    <mergeCell ref="I76:K76"/>
    <mergeCell ref="L76:N76"/>
    <mergeCell ref="C77:G77"/>
    <mergeCell ref="I77:K77"/>
    <mergeCell ref="L77:N77"/>
    <mergeCell ref="C74:G74"/>
    <mergeCell ref="I74:K74"/>
    <mergeCell ref="L74:N74"/>
    <mergeCell ref="C75:G75"/>
    <mergeCell ref="I75:K75"/>
    <mergeCell ref="L75:N75"/>
    <mergeCell ref="C72:G72"/>
    <mergeCell ref="I72:K72"/>
    <mergeCell ref="L72:N72"/>
    <mergeCell ref="C73:G73"/>
    <mergeCell ref="I73:K73"/>
    <mergeCell ref="L73:N73"/>
    <mergeCell ref="C70:G70"/>
    <mergeCell ref="I70:K70"/>
    <mergeCell ref="L70:N70"/>
    <mergeCell ref="C71:G71"/>
    <mergeCell ref="I71:K71"/>
    <mergeCell ref="L71:N71"/>
    <mergeCell ref="C68:G68"/>
    <mergeCell ref="I68:K68"/>
    <mergeCell ref="L68:N68"/>
    <mergeCell ref="C69:G69"/>
    <mergeCell ref="I69:K69"/>
    <mergeCell ref="L69:N69"/>
    <mergeCell ref="C66:G66"/>
    <mergeCell ref="I66:K66"/>
    <mergeCell ref="L66:N66"/>
    <mergeCell ref="C67:G67"/>
    <mergeCell ref="I67:K67"/>
    <mergeCell ref="L67:N67"/>
    <mergeCell ref="C64:G64"/>
    <mergeCell ref="I64:K64"/>
    <mergeCell ref="L64:N64"/>
    <mergeCell ref="C65:G65"/>
    <mergeCell ref="I65:K65"/>
    <mergeCell ref="L65:N65"/>
    <mergeCell ref="C62:G62"/>
    <mergeCell ref="I62:K62"/>
    <mergeCell ref="L62:N62"/>
    <mergeCell ref="C63:G63"/>
    <mergeCell ref="I63:K63"/>
    <mergeCell ref="L63:N63"/>
    <mergeCell ref="C60:G60"/>
    <mergeCell ref="I60:K60"/>
    <mergeCell ref="L60:N60"/>
    <mergeCell ref="C61:G61"/>
    <mergeCell ref="I61:K61"/>
    <mergeCell ref="L61:N61"/>
    <mergeCell ref="C58:G58"/>
    <mergeCell ref="I58:K58"/>
    <mergeCell ref="L58:N58"/>
    <mergeCell ref="C59:G59"/>
    <mergeCell ref="I59:K59"/>
    <mergeCell ref="L59:N59"/>
    <mergeCell ref="C56:G56"/>
    <mergeCell ref="I56:K56"/>
    <mergeCell ref="L56:N56"/>
    <mergeCell ref="C57:G57"/>
    <mergeCell ref="I57:K57"/>
    <mergeCell ref="L57:N57"/>
    <mergeCell ref="C55:G55"/>
    <mergeCell ref="I55:K55"/>
    <mergeCell ref="L55:N55"/>
    <mergeCell ref="B2:G4"/>
    <mergeCell ref="B53:N53"/>
    <mergeCell ref="C54:G54"/>
    <mergeCell ref="I54:K54"/>
    <mergeCell ref="L54:N54"/>
  </mergeCells>
  <printOptions horizontalCentered="1"/>
  <pageMargins left="0" right="0" top="0.5" bottom="0.5" header="0.5" footer="0.5"/>
  <pageSetup scale="53" orientation="portrait" horizont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31"/>
  <sheetViews>
    <sheetView workbookViewId="0">
      <selection activeCell="F20" sqref="F20"/>
    </sheetView>
  </sheetViews>
  <sheetFormatPr defaultRowHeight="12.75"/>
  <cols>
    <col min="1" max="6" width="14.7109375" style="348" customWidth="1"/>
    <col min="7" max="16384" width="9.140625" style="348"/>
  </cols>
  <sheetData>
    <row r="1" spans="1:7" ht="20.25">
      <c r="A1" s="525" t="s">
        <v>382</v>
      </c>
      <c r="B1" s="525"/>
      <c r="C1" s="525"/>
      <c r="D1" s="525"/>
      <c r="E1" s="525"/>
      <c r="F1" s="525"/>
    </row>
    <row r="2" spans="1:7" ht="19.5" thickBot="1">
      <c r="A2" s="349"/>
      <c r="B2" s="349"/>
      <c r="C2" s="526" t="s">
        <v>394</v>
      </c>
      <c r="D2" s="526"/>
      <c r="E2" s="349"/>
      <c r="F2" s="349"/>
      <c r="G2" s="349"/>
    </row>
    <row r="3" spans="1:7" ht="19.5">
      <c r="A3" s="527" t="s">
        <v>383</v>
      </c>
      <c r="B3" s="528"/>
      <c r="C3" s="529"/>
      <c r="D3" s="527" t="s">
        <v>384</v>
      </c>
      <c r="E3" s="528"/>
      <c r="F3" s="529"/>
      <c r="G3" s="349"/>
    </row>
    <row r="4" spans="1:7" ht="15.75">
      <c r="A4" s="350" t="s">
        <v>395</v>
      </c>
      <c r="B4" s="530" t="s">
        <v>397</v>
      </c>
      <c r="C4" s="531"/>
      <c r="D4" s="532" t="s">
        <v>646</v>
      </c>
      <c r="E4" s="533"/>
      <c r="F4" s="534"/>
      <c r="G4" s="349"/>
    </row>
    <row r="5" spans="1:7" ht="16.5" thickBot="1">
      <c r="A5" s="351" t="s">
        <v>396</v>
      </c>
      <c r="B5" s="538" t="s">
        <v>398</v>
      </c>
      <c r="C5" s="539"/>
      <c r="D5" s="540">
        <v>6.3000000000000003E-4</v>
      </c>
      <c r="E5" s="541"/>
      <c r="F5" s="542"/>
      <c r="G5" s="349"/>
    </row>
    <row r="6" spans="1:7" ht="19.5">
      <c r="A6" s="527" t="s">
        <v>385</v>
      </c>
      <c r="B6" s="528"/>
      <c r="C6" s="528"/>
      <c r="D6" s="528"/>
      <c r="E6" s="528"/>
      <c r="F6" s="529"/>
      <c r="G6" s="349"/>
    </row>
    <row r="7" spans="1:7" ht="15.75">
      <c r="A7" s="352" t="s">
        <v>386</v>
      </c>
      <c r="B7" s="353" t="s">
        <v>399</v>
      </c>
      <c r="C7" s="354" t="s">
        <v>387</v>
      </c>
      <c r="D7" s="355" t="s">
        <v>401</v>
      </c>
      <c r="E7" s="543" t="s">
        <v>388</v>
      </c>
      <c r="F7" s="544"/>
      <c r="G7" s="349"/>
    </row>
    <row r="8" spans="1:7" ht="16.5" thickBot="1">
      <c r="A8" s="356"/>
      <c r="B8" s="357" t="s">
        <v>400</v>
      </c>
      <c r="C8" s="358"/>
      <c r="D8" s="359" t="s">
        <v>402</v>
      </c>
      <c r="E8" s="545" t="s">
        <v>403</v>
      </c>
      <c r="F8" s="542"/>
      <c r="G8" s="349"/>
    </row>
    <row r="9" spans="1:7" ht="19.5">
      <c r="A9" s="527" t="s">
        <v>389</v>
      </c>
      <c r="B9" s="528"/>
      <c r="C9" s="529"/>
      <c r="D9" s="527" t="s">
        <v>390</v>
      </c>
      <c r="E9" s="528"/>
      <c r="F9" s="529"/>
      <c r="G9" s="349"/>
    </row>
    <row r="10" spans="1:7" ht="15.75">
      <c r="A10" s="360" t="s">
        <v>391</v>
      </c>
      <c r="B10" s="546" t="s">
        <v>404</v>
      </c>
      <c r="C10" s="531"/>
      <c r="D10" s="547" t="s">
        <v>406</v>
      </c>
      <c r="E10" s="548"/>
      <c r="F10" s="361" t="s">
        <v>408</v>
      </c>
      <c r="G10" s="349"/>
    </row>
    <row r="11" spans="1:7" ht="16.5" thickBot="1">
      <c r="A11" s="362" t="s">
        <v>392</v>
      </c>
      <c r="B11" s="541" t="s">
        <v>405</v>
      </c>
      <c r="C11" s="542"/>
      <c r="D11" s="549" t="s">
        <v>407</v>
      </c>
      <c r="E11" s="550"/>
      <c r="F11" s="363" t="s">
        <v>409</v>
      </c>
      <c r="G11" s="349"/>
    </row>
    <row r="12" spans="1:7" ht="19.5">
      <c r="A12" s="527" t="s">
        <v>393</v>
      </c>
      <c r="B12" s="528"/>
      <c r="C12" s="528"/>
      <c r="D12" s="528"/>
      <c r="E12" s="528"/>
      <c r="F12" s="529"/>
      <c r="G12" s="349"/>
    </row>
    <row r="13" spans="1:7" ht="16.5" thickBot="1">
      <c r="A13" s="535" t="s">
        <v>410</v>
      </c>
      <c r="B13" s="536"/>
      <c r="C13" s="537" t="s">
        <v>411</v>
      </c>
      <c r="D13" s="537"/>
      <c r="E13" s="537"/>
      <c r="F13" s="364"/>
      <c r="G13" s="349"/>
    </row>
    <row r="14" spans="1:7" ht="18.95" customHeight="1">
      <c r="A14" s="365"/>
      <c r="B14" s="365"/>
      <c r="C14" s="365"/>
      <c r="D14" s="365"/>
      <c r="E14" s="365"/>
      <c r="F14" s="365"/>
      <c r="G14" s="349"/>
    </row>
    <row r="15" spans="1:7" ht="15.75">
      <c r="G15" s="349"/>
    </row>
    <row r="16" spans="1:7" ht="15.75">
      <c r="G16" s="349"/>
    </row>
    <row r="17" spans="7:7" ht="15.75">
      <c r="G17" s="349"/>
    </row>
    <row r="18" spans="7:7" ht="15.75">
      <c r="G18" s="349"/>
    </row>
    <row r="19" spans="7:7" ht="15.75">
      <c r="G19" s="349"/>
    </row>
    <row r="20" spans="7:7" ht="15.75">
      <c r="G20" s="349"/>
    </row>
    <row r="21" spans="7:7" ht="15.75">
      <c r="G21" s="349"/>
    </row>
    <row r="22" spans="7:7" ht="15.75">
      <c r="G22" s="349"/>
    </row>
    <row r="23" spans="7:7" ht="15.75">
      <c r="G23" s="349"/>
    </row>
    <row r="24" spans="7:7" ht="15.75">
      <c r="G24" s="349"/>
    </row>
    <row r="25" spans="7:7" ht="15.75">
      <c r="G25" s="349"/>
    </row>
    <row r="26" spans="7:7" ht="15.75">
      <c r="G26" s="349"/>
    </row>
    <row r="27" spans="7:7" ht="18.95" customHeight="1">
      <c r="G27" s="349"/>
    </row>
    <row r="28" spans="7:7" ht="15.75">
      <c r="G28" s="349"/>
    </row>
    <row r="29" spans="7:7" ht="15.75">
      <c r="G29" s="349"/>
    </row>
    <row r="30" spans="7:7" ht="15.75">
      <c r="G30" s="349"/>
    </row>
    <row r="31" spans="7:7" ht="15.75">
      <c r="G31" s="349"/>
    </row>
  </sheetData>
  <mergeCells count="20">
    <mergeCell ref="A13:B13"/>
    <mergeCell ref="C13:E13"/>
    <mergeCell ref="B5:C5"/>
    <mergeCell ref="D5:F5"/>
    <mergeCell ref="A6:F6"/>
    <mergeCell ref="E7:F7"/>
    <mergeCell ref="E8:F8"/>
    <mergeCell ref="A9:C9"/>
    <mergeCell ref="D9:F9"/>
    <mergeCell ref="B10:C10"/>
    <mergeCell ref="D10:E10"/>
    <mergeCell ref="B11:C11"/>
    <mergeCell ref="D11:E11"/>
    <mergeCell ref="A12:F12"/>
    <mergeCell ref="A1:F1"/>
    <mergeCell ref="C2:D2"/>
    <mergeCell ref="A3:C3"/>
    <mergeCell ref="D3:F3"/>
    <mergeCell ref="B4:C4"/>
    <mergeCell ref="D4:F4"/>
  </mergeCells>
  <printOptions horizontalCentered="1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67"/>
  <sheetViews>
    <sheetView workbookViewId="0">
      <selection activeCell="I23" sqref="I23"/>
    </sheetView>
  </sheetViews>
  <sheetFormatPr defaultRowHeight="12.75"/>
  <cols>
    <col min="1" max="6" width="16.7109375" style="348" customWidth="1"/>
    <col min="7" max="16384" width="9.140625" style="348"/>
  </cols>
  <sheetData>
    <row r="1" spans="1:6" ht="18.95" customHeight="1">
      <c r="A1" s="366"/>
      <c r="B1" s="367"/>
      <c r="C1" s="367"/>
      <c r="D1" s="367"/>
      <c r="E1" s="367"/>
      <c r="F1" s="368"/>
    </row>
    <row r="2" spans="1:6" ht="26.1" customHeight="1">
      <c r="A2" s="369" t="s">
        <v>266</v>
      </c>
      <c r="B2" s="370"/>
      <c r="C2" s="370"/>
      <c r="D2" s="370"/>
      <c r="E2" s="370"/>
      <c r="F2" s="371"/>
    </row>
    <row r="3" spans="1:6" ht="18.95" customHeight="1">
      <c r="A3" s="372" t="s">
        <v>412</v>
      </c>
      <c r="B3" s="370"/>
      <c r="C3" s="370"/>
      <c r="D3" s="370"/>
      <c r="E3" s="370"/>
      <c r="F3" s="371"/>
    </row>
    <row r="4" spans="1:6" ht="18.95" customHeight="1">
      <c r="A4" s="373"/>
      <c r="B4" s="374"/>
      <c r="C4" s="374"/>
      <c r="D4" s="374"/>
      <c r="E4" s="374"/>
      <c r="F4" s="375"/>
    </row>
    <row r="5" spans="1:6" ht="18.95" customHeight="1">
      <c r="A5" s="373"/>
      <c r="B5" s="374"/>
      <c r="C5" s="374"/>
      <c r="D5" s="374"/>
      <c r="E5" s="374"/>
      <c r="F5" s="375"/>
    </row>
    <row r="6" spans="1:6" ht="18.95" customHeight="1">
      <c r="A6" s="376" t="s">
        <v>413</v>
      </c>
      <c r="B6" s="551" t="s">
        <v>638</v>
      </c>
      <c r="C6" s="552"/>
      <c r="D6" s="553"/>
      <c r="E6" s="376" t="s">
        <v>414</v>
      </c>
      <c r="F6" s="377">
        <v>575</v>
      </c>
    </row>
    <row r="7" spans="1:6" ht="18.95" customHeight="1">
      <c r="A7" s="376" t="s">
        <v>415</v>
      </c>
      <c r="B7" s="377" t="s">
        <v>176</v>
      </c>
      <c r="C7" s="376" t="s">
        <v>416</v>
      </c>
      <c r="D7" s="377" t="s">
        <v>434</v>
      </c>
      <c r="E7" s="376" t="s">
        <v>417</v>
      </c>
      <c r="F7" s="377" t="s">
        <v>177</v>
      </c>
    </row>
    <row r="8" spans="1:6" ht="18.95" customHeight="1">
      <c r="A8" s="376" t="s">
        <v>418</v>
      </c>
      <c r="B8" s="377">
        <v>4</v>
      </c>
      <c r="C8" s="376" t="s">
        <v>419</v>
      </c>
      <c r="D8" s="377" t="s">
        <v>420</v>
      </c>
      <c r="E8" s="376" t="s">
        <v>421</v>
      </c>
      <c r="F8" s="377" t="s">
        <v>358</v>
      </c>
    </row>
    <row r="9" spans="1:6" ht="18.95" customHeight="1">
      <c r="A9" s="376" t="s">
        <v>422</v>
      </c>
      <c r="B9" s="377">
        <v>4500</v>
      </c>
      <c r="C9" s="376" t="s">
        <v>423</v>
      </c>
      <c r="D9" s="377" t="s">
        <v>435</v>
      </c>
      <c r="E9" s="376" t="s">
        <v>2</v>
      </c>
      <c r="F9" s="378">
        <v>41886</v>
      </c>
    </row>
    <row r="10" spans="1:6" ht="18.95" customHeight="1">
      <c r="A10" s="376" t="s">
        <v>424</v>
      </c>
      <c r="B10" s="377">
        <v>1790</v>
      </c>
      <c r="C10" s="376" t="s">
        <v>258</v>
      </c>
      <c r="D10" s="377" t="s">
        <v>425</v>
      </c>
      <c r="E10" s="376" t="s">
        <v>1</v>
      </c>
      <c r="F10" s="377" t="s">
        <v>375</v>
      </c>
    </row>
    <row r="11" spans="1:6" ht="18.95" customHeight="1">
      <c r="A11" s="373"/>
      <c r="B11" s="374"/>
      <c r="C11" s="374"/>
      <c r="D11" s="374"/>
      <c r="E11" s="374"/>
      <c r="F11" s="375"/>
    </row>
    <row r="12" spans="1:6" ht="18.95" customHeight="1">
      <c r="A12" s="373"/>
      <c r="B12" s="379" t="s">
        <v>426</v>
      </c>
      <c r="C12" s="380" t="s">
        <v>438</v>
      </c>
      <c r="D12" s="379" t="s">
        <v>257</v>
      </c>
      <c r="E12" s="380" t="s">
        <v>425</v>
      </c>
      <c r="F12" s="375"/>
    </row>
    <row r="13" spans="1:6" ht="18.95" customHeight="1">
      <c r="A13" s="373"/>
      <c r="B13" s="379" t="s">
        <v>427</v>
      </c>
      <c r="C13" s="381">
        <v>1.24</v>
      </c>
      <c r="D13" s="379" t="s">
        <v>428</v>
      </c>
      <c r="E13" s="365" t="s">
        <v>425</v>
      </c>
      <c r="F13" s="375"/>
    </row>
    <row r="14" spans="1:6" ht="18.95" customHeight="1">
      <c r="A14" s="373"/>
      <c r="B14" s="379" t="s">
        <v>429</v>
      </c>
      <c r="C14" s="381">
        <v>2.0499999999999998</v>
      </c>
      <c r="D14" s="379" t="s">
        <v>259</v>
      </c>
      <c r="E14" s="365" t="s">
        <v>425</v>
      </c>
      <c r="F14" s="375"/>
    </row>
    <row r="15" spans="1:6" ht="18.95" customHeight="1">
      <c r="A15" s="373"/>
      <c r="B15" s="379" t="s">
        <v>260</v>
      </c>
      <c r="C15" s="380" t="s">
        <v>437</v>
      </c>
      <c r="D15" s="374"/>
      <c r="E15" s="374"/>
      <c r="F15" s="375"/>
    </row>
    <row r="16" spans="1:6" ht="18.95" customHeight="1">
      <c r="A16" s="373"/>
      <c r="B16" s="374"/>
      <c r="C16" s="374"/>
      <c r="D16" s="374"/>
      <c r="E16" s="374"/>
      <c r="F16" s="375"/>
    </row>
    <row r="17" spans="1:6" ht="18.95" customHeight="1">
      <c r="A17" s="373"/>
      <c r="B17" s="374"/>
      <c r="C17" s="374"/>
      <c r="D17" s="374"/>
      <c r="E17" s="374"/>
      <c r="F17" s="375"/>
    </row>
    <row r="18" spans="1:6" ht="18.95" customHeight="1">
      <c r="A18" s="373"/>
      <c r="B18" s="374"/>
      <c r="C18" s="374"/>
      <c r="D18" s="374"/>
      <c r="E18" s="374"/>
      <c r="F18" s="375"/>
    </row>
    <row r="19" spans="1:6" ht="18.95" customHeight="1">
      <c r="A19" s="373"/>
      <c r="B19" s="374"/>
      <c r="C19" s="374"/>
      <c r="D19" s="374"/>
      <c r="E19" s="374"/>
      <c r="F19" s="375"/>
    </row>
    <row r="20" spans="1:6" ht="18.95" customHeight="1">
      <c r="A20" s="373"/>
      <c r="B20" s="374"/>
      <c r="C20" s="374"/>
      <c r="D20" s="374"/>
      <c r="E20" s="374"/>
      <c r="F20" s="375"/>
    </row>
    <row r="21" spans="1:6" ht="18.95" customHeight="1">
      <c r="A21" s="373"/>
      <c r="B21" s="374"/>
      <c r="C21" s="374"/>
      <c r="D21" s="374"/>
      <c r="E21" s="374"/>
      <c r="F21" s="375"/>
    </row>
    <row r="22" spans="1:6" ht="18.95" customHeight="1">
      <c r="A22" s="373"/>
      <c r="B22" s="374"/>
      <c r="C22" s="374"/>
      <c r="D22" s="374"/>
      <c r="E22" s="374"/>
      <c r="F22" s="375"/>
    </row>
    <row r="23" spans="1:6" ht="18.95" customHeight="1">
      <c r="A23" s="373"/>
      <c r="B23" s="374"/>
      <c r="C23" s="374"/>
      <c r="D23" s="374"/>
      <c r="E23" s="374"/>
      <c r="F23" s="375"/>
    </row>
    <row r="24" spans="1:6" ht="18.95" customHeight="1">
      <c r="A24" s="373"/>
      <c r="B24" s="374"/>
      <c r="C24" s="374"/>
      <c r="D24" s="374"/>
      <c r="E24" s="374"/>
      <c r="F24" s="375"/>
    </row>
    <row r="25" spans="1:6" ht="18.95" customHeight="1">
      <c r="A25" s="373"/>
      <c r="B25" s="374"/>
      <c r="C25" s="374"/>
      <c r="D25" s="374"/>
      <c r="E25" s="374"/>
      <c r="F25" s="375"/>
    </row>
    <row r="26" spans="1:6" ht="18.95" customHeight="1">
      <c r="A26" s="373"/>
      <c r="B26" s="374"/>
      <c r="C26" s="374"/>
      <c r="D26" s="374"/>
      <c r="E26" s="374"/>
      <c r="F26" s="375"/>
    </row>
    <row r="27" spans="1:6" ht="18.95" customHeight="1">
      <c r="A27" s="373"/>
      <c r="B27" s="374"/>
      <c r="C27" s="374"/>
      <c r="D27" s="374"/>
      <c r="E27" s="374"/>
      <c r="F27" s="375"/>
    </row>
    <row r="28" spans="1:6" ht="18.95" customHeight="1">
      <c r="A28" s="373"/>
      <c r="B28" s="374"/>
      <c r="C28" s="374"/>
      <c r="D28" s="374"/>
      <c r="E28" s="374"/>
      <c r="F28" s="375"/>
    </row>
    <row r="29" spans="1:6" ht="18.95" customHeight="1">
      <c r="A29" s="373"/>
      <c r="B29" s="374"/>
      <c r="C29" s="374"/>
      <c r="D29" s="374"/>
      <c r="E29" s="374"/>
      <c r="F29" s="375"/>
    </row>
    <row r="30" spans="1:6" ht="18.95" customHeight="1">
      <c r="A30" s="373"/>
      <c r="B30" s="374"/>
      <c r="C30" s="374"/>
      <c r="D30" s="374"/>
      <c r="E30" s="374"/>
      <c r="F30" s="375"/>
    </row>
    <row r="31" spans="1:6" ht="18.95" customHeight="1">
      <c r="A31" s="373"/>
      <c r="B31" s="374"/>
      <c r="C31" s="374"/>
      <c r="D31" s="374"/>
      <c r="E31" s="374"/>
      <c r="F31" s="375"/>
    </row>
    <row r="32" spans="1:6" ht="18.95" customHeight="1">
      <c r="A32" s="373"/>
      <c r="B32" s="374"/>
      <c r="C32" s="374"/>
      <c r="D32" s="374"/>
      <c r="E32" s="374"/>
      <c r="F32" s="375"/>
    </row>
    <row r="33" spans="1:6" ht="18.95" customHeight="1">
      <c r="A33" s="373"/>
      <c r="B33" s="374"/>
      <c r="C33" s="374"/>
      <c r="D33" s="374"/>
      <c r="E33" s="374"/>
      <c r="F33" s="375"/>
    </row>
    <row r="34" spans="1:6" ht="18.95" customHeight="1">
      <c r="A34" s="373"/>
      <c r="B34" s="374"/>
      <c r="C34" s="374"/>
      <c r="D34" s="374"/>
      <c r="E34" s="374"/>
      <c r="F34" s="375"/>
    </row>
    <row r="35" spans="1:6" ht="18.95" customHeight="1">
      <c r="A35" s="373"/>
      <c r="B35" s="374"/>
      <c r="C35" s="374"/>
      <c r="D35" s="374"/>
      <c r="E35" s="374"/>
      <c r="F35" s="375"/>
    </row>
    <row r="36" spans="1:6" ht="18.95" customHeight="1">
      <c r="A36" s="373"/>
      <c r="B36" s="374"/>
      <c r="C36" s="374"/>
      <c r="D36" s="374"/>
      <c r="E36" s="374"/>
      <c r="F36" s="375"/>
    </row>
    <row r="37" spans="1:6" ht="18.95" customHeight="1">
      <c r="A37" s="373"/>
      <c r="B37" s="374"/>
      <c r="C37" s="374"/>
      <c r="D37" s="374"/>
      <c r="E37" s="374"/>
      <c r="F37" s="375"/>
    </row>
    <row r="38" spans="1:6" ht="18.95" customHeight="1">
      <c r="A38" s="373"/>
      <c r="B38" s="374"/>
      <c r="C38" s="374"/>
      <c r="D38" s="374"/>
      <c r="E38" s="374"/>
      <c r="F38" s="375"/>
    </row>
    <row r="39" spans="1:6" ht="18.95" customHeight="1">
      <c r="A39" s="382" t="s">
        <v>430</v>
      </c>
      <c r="B39" s="383"/>
      <c r="C39" s="383"/>
      <c r="D39" s="374"/>
      <c r="E39" s="379" t="s">
        <v>431</v>
      </c>
      <c r="F39" s="384"/>
    </row>
    <row r="40" spans="1:6" ht="18.95" customHeight="1">
      <c r="A40" s="373"/>
      <c r="B40" s="383"/>
      <c r="C40" s="383"/>
      <c r="D40" s="374"/>
      <c r="E40" s="374"/>
      <c r="F40" s="375"/>
    </row>
    <row r="41" spans="1:6" ht="18.95" customHeight="1">
      <c r="A41" s="373"/>
      <c r="B41" s="383"/>
      <c r="C41" s="383"/>
      <c r="D41" s="374"/>
      <c r="E41" s="374"/>
      <c r="F41" s="375"/>
    </row>
    <row r="42" spans="1:6" ht="18.95" customHeight="1">
      <c r="A42" s="373"/>
      <c r="B42" s="374"/>
      <c r="C42" s="374"/>
      <c r="D42" s="374"/>
      <c r="E42" s="374"/>
      <c r="F42" s="375"/>
    </row>
    <row r="43" spans="1:6" ht="18.95" customHeight="1">
      <c r="A43" s="385"/>
      <c r="B43" s="383"/>
      <c r="C43" s="386" t="s">
        <v>432</v>
      </c>
      <c r="D43" s="387" t="s">
        <v>643</v>
      </c>
      <c r="E43" s="386" t="s">
        <v>433</v>
      </c>
      <c r="F43" s="387" t="s">
        <v>648</v>
      </c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12" ht="15" customHeight="1"/>
    <row r="50" spans="1:12" ht="15" customHeight="1"/>
    <row r="51" spans="1:12" ht="15" customHeight="1"/>
    <row r="52" spans="1:12" ht="15" customHeight="1"/>
    <row r="53" spans="1:12" ht="15" customHeight="1">
      <c r="D53" s="151" t="s">
        <v>256</v>
      </c>
      <c r="E53" s="151"/>
      <c r="F53" s="151"/>
      <c r="G53" s="151"/>
      <c r="H53" s="151"/>
      <c r="I53" s="151"/>
      <c r="J53" s="151"/>
      <c r="K53" s="151"/>
      <c r="L53" s="151"/>
    </row>
    <row r="54" spans="1:12" ht="15" customHeight="1">
      <c r="A54" s="388">
        <v>100</v>
      </c>
      <c r="B54" s="151">
        <v>0</v>
      </c>
      <c r="C54" s="151">
        <v>0.25606253743171692</v>
      </c>
      <c r="D54" s="151">
        <v>100</v>
      </c>
      <c r="E54" s="151"/>
      <c r="F54" s="151"/>
      <c r="G54" s="151"/>
      <c r="H54" s="151"/>
      <c r="I54" s="151"/>
      <c r="J54" s="151"/>
      <c r="K54" s="151"/>
      <c r="L54" s="151"/>
    </row>
    <row r="55" spans="1:12" ht="15" customHeight="1">
      <c r="A55" s="388">
        <v>99.799999967217445</v>
      </c>
      <c r="B55" s="151">
        <v>115.5586080518153</v>
      </c>
      <c r="C55" s="151">
        <v>137.37158203125</v>
      </c>
      <c r="D55" s="151">
        <v>99.599998474121094</v>
      </c>
      <c r="E55" s="151"/>
      <c r="F55" s="151"/>
      <c r="G55" s="151"/>
      <c r="H55" s="151"/>
      <c r="I55" s="151"/>
      <c r="J55" s="151"/>
      <c r="K55" s="151"/>
      <c r="L55" s="151"/>
    </row>
    <row r="56" spans="1:12" ht="15" customHeight="1">
      <c r="A56" s="388">
        <v>98.999999836087227</v>
      </c>
      <c r="B56" s="151">
        <v>205</v>
      </c>
      <c r="C56" s="151">
        <v>394.81265258789063</v>
      </c>
      <c r="D56" s="151">
        <v>98</v>
      </c>
      <c r="E56" s="151"/>
      <c r="F56" s="151"/>
      <c r="G56" s="151"/>
      <c r="H56" s="151"/>
      <c r="I56" s="151"/>
      <c r="J56" s="151"/>
      <c r="K56" s="151"/>
      <c r="L56" s="151"/>
    </row>
    <row r="57" spans="1:12">
      <c r="A57" s="388">
        <v>93.789473548531532</v>
      </c>
      <c r="B57" s="151">
        <v>146.65315040575888</v>
      </c>
      <c r="C57" s="151">
        <v>456.8087158203125</v>
      </c>
      <c r="D57" s="151">
        <v>83.852630615234375</v>
      </c>
      <c r="E57" s="151"/>
      <c r="F57" s="151"/>
      <c r="G57" s="151"/>
      <c r="H57" s="151"/>
      <c r="I57" s="151"/>
      <c r="J57" s="151"/>
      <c r="K57" s="151"/>
      <c r="L57" s="151"/>
    </row>
    <row r="58" spans="1:12">
      <c r="A58" s="388">
        <v>88.578946888446808</v>
      </c>
      <c r="B58" s="151">
        <v>130.55157334346151</v>
      </c>
      <c r="C58" s="151">
        <v>475.47805786132813</v>
      </c>
      <c r="D58" s="151">
        <v>70.305259704589844</v>
      </c>
      <c r="E58" s="151"/>
      <c r="F58" s="151"/>
      <c r="G58" s="151"/>
      <c r="H58" s="151"/>
      <c r="I58" s="151"/>
      <c r="J58" s="151"/>
      <c r="K58" s="151"/>
      <c r="L58" s="151"/>
    </row>
    <row r="59" spans="1:12">
      <c r="A59" s="388">
        <v>83.368420600891113</v>
      </c>
      <c r="B59" s="151">
        <v>125.67901769900863</v>
      </c>
      <c r="C59" s="151">
        <v>485.89642333984375</v>
      </c>
      <c r="D59" s="151">
        <v>57.410526275634766</v>
      </c>
      <c r="E59" s="151"/>
      <c r="F59" s="151"/>
      <c r="G59" s="151"/>
      <c r="H59" s="151"/>
      <c r="I59" s="151"/>
      <c r="J59" s="151"/>
      <c r="K59" s="151"/>
      <c r="L59" s="151"/>
    </row>
    <row r="60" spans="1:12">
      <c r="A60" s="388">
        <v>72.947368025779724</v>
      </c>
      <c r="B60" s="151">
        <v>124.16242590920089</v>
      </c>
      <c r="C60" s="151">
        <v>500.76101684570313</v>
      </c>
      <c r="D60" s="151">
        <v>38.010524749755859</v>
      </c>
      <c r="E60" s="151"/>
      <c r="F60" s="151"/>
      <c r="G60" s="151"/>
      <c r="H60" s="151"/>
      <c r="I60" s="151"/>
      <c r="J60" s="151"/>
      <c r="K60" s="151"/>
      <c r="L60" s="151"/>
    </row>
    <row r="61" spans="1:12">
      <c r="A61" s="388">
        <v>62.526315450668335</v>
      </c>
      <c r="B61" s="151">
        <v>124.10696410735633</v>
      </c>
      <c r="C61" s="151">
        <v>512.525634765625</v>
      </c>
      <c r="D61" s="151">
        <v>24.778947830200195</v>
      </c>
      <c r="E61" s="151"/>
      <c r="F61" s="151"/>
      <c r="G61" s="151"/>
      <c r="H61" s="151"/>
      <c r="I61" s="151"/>
      <c r="J61" s="151"/>
      <c r="K61" s="151"/>
      <c r="L61" s="151"/>
    </row>
    <row r="62" spans="1:12">
      <c r="A62" s="388">
        <v>52.105262875556946</v>
      </c>
      <c r="B62" s="151">
        <v>124.07093621778235</v>
      </c>
      <c r="C62" s="151">
        <v>522.21173095703125</v>
      </c>
      <c r="D62" s="151">
        <v>15.684209823608398</v>
      </c>
      <c r="E62" s="151"/>
      <c r="F62" s="151"/>
      <c r="G62" s="151"/>
      <c r="H62" s="151"/>
      <c r="I62" s="151"/>
      <c r="J62" s="151"/>
      <c r="K62" s="151"/>
      <c r="L62" s="151"/>
    </row>
    <row r="63" spans="1:12">
      <c r="A63" s="388">
        <v>41.684210300445557</v>
      </c>
      <c r="B63" s="151">
        <v>124.04927397374487</v>
      </c>
      <c r="C63" s="151">
        <v>530.0684814453125</v>
      </c>
      <c r="D63" s="151">
        <v>9.0105257034301758</v>
      </c>
      <c r="E63" s="151"/>
      <c r="F63" s="151"/>
      <c r="G63" s="151"/>
      <c r="H63" s="151"/>
      <c r="I63" s="151"/>
      <c r="J63" s="151"/>
      <c r="K63" s="151"/>
      <c r="L63" s="151"/>
    </row>
    <row r="64" spans="1:12">
      <c r="A64" s="388">
        <v>31.263160705566406</v>
      </c>
      <c r="B64" s="151">
        <v>124.02946833697074</v>
      </c>
      <c r="C64" s="151">
        <v>536.27947998046875</v>
      </c>
      <c r="D64" s="151">
        <v>6.2526321411132813</v>
      </c>
      <c r="E64" s="151"/>
      <c r="F64" s="151"/>
      <c r="G64" s="151"/>
      <c r="H64" s="151"/>
      <c r="I64" s="151"/>
      <c r="J64" s="151"/>
      <c r="K64" s="151"/>
      <c r="L64" s="151"/>
    </row>
    <row r="65" spans="1:12">
      <c r="A65" s="388">
        <v>20.842105150222778</v>
      </c>
      <c r="B65" s="151">
        <v>124.01654183213263</v>
      </c>
      <c r="C65" s="151">
        <v>541.13177490234375</v>
      </c>
      <c r="D65" s="151">
        <v>7.8315787315368652</v>
      </c>
      <c r="E65" s="151"/>
      <c r="F65" s="151"/>
      <c r="G65" s="151"/>
      <c r="H65" s="151"/>
      <c r="I65" s="151"/>
      <c r="J65" s="151"/>
      <c r="K65" s="151"/>
      <c r="L65" s="151"/>
    </row>
    <row r="66" spans="1:12">
      <c r="A66" s="388">
        <v>10.421055555343628</v>
      </c>
      <c r="B66" s="151">
        <v>124.00416329957984</v>
      </c>
      <c r="C66" s="151">
        <v>545.14349365234375</v>
      </c>
      <c r="D66" s="151">
        <v>14.70526123046875</v>
      </c>
      <c r="E66" s="151"/>
      <c r="F66" s="151"/>
      <c r="G66" s="151"/>
      <c r="H66" s="151"/>
      <c r="I66" s="151"/>
      <c r="J66" s="151"/>
      <c r="K66" s="151"/>
      <c r="L66" s="151"/>
    </row>
    <row r="67" spans="1:12">
      <c r="A67" s="389">
        <v>0</v>
      </c>
      <c r="B67" s="151">
        <v>124</v>
      </c>
      <c r="C67" s="151">
        <v>548.521728515625</v>
      </c>
      <c r="D67" s="151">
        <v>30</v>
      </c>
      <c r="E67" s="151"/>
      <c r="F67" s="151"/>
      <c r="G67" s="151"/>
      <c r="H67" s="151"/>
      <c r="I67" s="151"/>
      <c r="J67" s="151"/>
      <c r="K67" s="151"/>
      <c r="L67" s="151"/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61"/>
  <sheetViews>
    <sheetView workbookViewId="0"/>
  </sheetViews>
  <sheetFormatPr defaultRowHeight="12.75"/>
  <cols>
    <col min="1" max="1" width="19.7109375" style="348" customWidth="1"/>
    <col min="2" max="7" width="10.7109375" style="348" customWidth="1"/>
    <col min="8" max="16384" width="9.140625" style="348"/>
  </cols>
  <sheetData>
    <row r="1" spans="1:12" ht="21" customHeight="1">
      <c r="A1" s="390" t="s">
        <v>439</v>
      </c>
      <c r="B1" s="526" t="s">
        <v>478</v>
      </c>
      <c r="C1" s="526"/>
      <c r="D1" s="526"/>
      <c r="E1" s="526"/>
      <c r="F1" s="526"/>
      <c r="G1" s="526"/>
    </row>
    <row r="2" spans="1:12" ht="15" customHeight="1"/>
    <row r="3" spans="1:12" ht="20.25">
      <c r="A3" s="391" t="s">
        <v>440</v>
      </c>
    </row>
    <row r="4" spans="1:12" ht="12" customHeight="1">
      <c r="A4" s="349"/>
      <c r="B4" s="349"/>
      <c r="C4" s="349"/>
      <c r="D4" s="349" t="s">
        <v>492</v>
      </c>
      <c r="E4" s="349"/>
      <c r="F4" s="349"/>
      <c r="G4" s="349"/>
      <c r="H4" s="349"/>
      <c r="I4" s="349"/>
      <c r="J4" s="349"/>
      <c r="K4" s="349"/>
      <c r="L4" s="349"/>
    </row>
    <row r="5" spans="1:12" ht="15.6" customHeight="1">
      <c r="A5" s="392" t="s">
        <v>5</v>
      </c>
      <c r="B5" s="392" t="s">
        <v>441</v>
      </c>
      <c r="C5" s="392" t="s">
        <v>442</v>
      </c>
      <c r="D5" s="392" t="s">
        <v>443</v>
      </c>
      <c r="E5" s="392" t="s">
        <v>444</v>
      </c>
      <c r="F5" s="392" t="s">
        <v>445</v>
      </c>
      <c r="G5" s="392" t="s">
        <v>446</v>
      </c>
      <c r="H5" s="349"/>
      <c r="I5" s="349"/>
      <c r="J5" s="349"/>
      <c r="K5" s="349"/>
      <c r="L5" s="349"/>
    </row>
    <row r="6" spans="1:12" ht="15.6" customHeight="1">
      <c r="A6" s="393" t="s">
        <v>447</v>
      </c>
      <c r="B6" s="393" t="s">
        <v>165</v>
      </c>
      <c r="C6" s="393" t="s">
        <v>165</v>
      </c>
      <c r="D6" s="393" t="s">
        <v>448</v>
      </c>
      <c r="E6" s="393" t="s">
        <v>135</v>
      </c>
      <c r="F6" s="393" t="s">
        <v>449</v>
      </c>
      <c r="G6" s="393" t="s">
        <v>449</v>
      </c>
      <c r="H6" s="349"/>
      <c r="I6" s="349"/>
      <c r="J6" s="349"/>
      <c r="K6" s="349"/>
      <c r="L6" s="349"/>
    </row>
    <row r="7" spans="1:12" ht="15.95" customHeight="1">
      <c r="A7" s="394" t="s">
        <v>479</v>
      </c>
      <c r="B7" s="394" t="s">
        <v>493</v>
      </c>
      <c r="C7" s="394" t="s">
        <v>501</v>
      </c>
      <c r="D7" s="394" t="s">
        <v>514</v>
      </c>
      <c r="E7" s="394" t="s">
        <v>527</v>
      </c>
      <c r="F7" s="394" t="s">
        <v>540</v>
      </c>
      <c r="G7" s="394" t="s">
        <v>553</v>
      </c>
      <c r="H7" s="349"/>
      <c r="I7" s="349"/>
      <c r="J7" s="349"/>
      <c r="K7" s="349"/>
      <c r="L7" s="349"/>
    </row>
    <row r="8" spans="1:12" ht="15.95" customHeight="1">
      <c r="A8" s="394" t="s">
        <v>480</v>
      </c>
      <c r="B8" s="394" t="s">
        <v>493</v>
      </c>
      <c r="C8" s="394" t="s">
        <v>502</v>
      </c>
      <c r="D8" s="394" t="s">
        <v>515</v>
      </c>
      <c r="E8" s="394" t="s">
        <v>528</v>
      </c>
      <c r="F8" s="394" t="s">
        <v>541</v>
      </c>
      <c r="G8" s="394" t="s">
        <v>554</v>
      </c>
      <c r="H8" s="349"/>
      <c r="I8" s="349"/>
      <c r="J8" s="349"/>
      <c r="K8" s="349"/>
      <c r="L8" s="349"/>
    </row>
    <row r="9" spans="1:12" ht="15.95" customHeight="1">
      <c r="A9" s="394" t="s">
        <v>481</v>
      </c>
      <c r="B9" s="394" t="s">
        <v>493</v>
      </c>
      <c r="C9" s="394" t="s">
        <v>503</v>
      </c>
      <c r="D9" s="394" t="s">
        <v>516</v>
      </c>
      <c r="E9" s="394" t="s">
        <v>529</v>
      </c>
      <c r="F9" s="394" t="s">
        <v>542</v>
      </c>
      <c r="G9" s="394" t="s">
        <v>555</v>
      </c>
      <c r="H9" s="349"/>
      <c r="I9" s="349"/>
      <c r="J9" s="349"/>
      <c r="K9" s="349"/>
      <c r="L9" s="349"/>
    </row>
    <row r="10" spans="1:12" ht="15.95" customHeight="1">
      <c r="A10" s="394" t="s">
        <v>482</v>
      </c>
      <c r="B10" s="394" t="s">
        <v>493</v>
      </c>
      <c r="C10" s="394" t="s">
        <v>504</v>
      </c>
      <c r="D10" s="394" t="s">
        <v>517</v>
      </c>
      <c r="E10" s="394" t="s">
        <v>530</v>
      </c>
      <c r="F10" s="394" t="s">
        <v>543</v>
      </c>
      <c r="G10" s="394" t="s">
        <v>556</v>
      </c>
      <c r="H10" s="349"/>
      <c r="I10" s="349"/>
      <c r="J10" s="349"/>
      <c r="K10" s="349"/>
      <c r="L10" s="349"/>
    </row>
    <row r="11" spans="1:12" ht="15.95" customHeight="1">
      <c r="A11" s="394" t="s">
        <v>483</v>
      </c>
      <c r="B11" s="394" t="s">
        <v>494</v>
      </c>
      <c r="C11" s="394" t="s">
        <v>505</v>
      </c>
      <c r="D11" s="394" t="s">
        <v>518</v>
      </c>
      <c r="E11" s="394" t="s">
        <v>531</v>
      </c>
      <c r="F11" s="394" t="s">
        <v>544</v>
      </c>
      <c r="G11" s="394" t="s">
        <v>557</v>
      </c>
      <c r="H11" s="349"/>
      <c r="I11" s="349"/>
      <c r="J11" s="349"/>
      <c r="K11" s="349"/>
      <c r="L11" s="349"/>
    </row>
    <row r="12" spans="1:12" ht="15.95" customHeight="1">
      <c r="A12" s="394" t="s">
        <v>484</v>
      </c>
      <c r="B12" s="394" t="s">
        <v>494</v>
      </c>
      <c r="C12" s="394" t="s">
        <v>506</v>
      </c>
      <c r="D12" s="394" t="s">
        <v>519</v>
      </c>
      <c r="E12" s="394" t="s">
        <v>532</v>
      </c>
      <c r="F12" s="394" t="s">
        <v>545</v>
      </c>
      <c r="G12" s="394" t="s">
        <v>558</v>
      </c>
      <c r="H12" s="349"/>
      <c r="I12" s="349"/>
      <c r="J12" s="349"/>
      <c r="K12" s="349"/>
      <c r="L12" s="349"/>
    </row>
    <row r="13" spans="1:12" ht="15.95" customHeight="1">
      <c r="A13" s="394" t="s">
        <v>485</v>
      </c>
      <c r="B13" s="394" t="s">
        <v>494</v>
      </c>
      <c r="C13" s="394" t="s">
        <v>507</v>
      </c>
      <c r="D13" s="394" t="s">
        <v>520</v>
      </c>
      <c r="E13" s="394" t="s">
        <v>533</v>
      </c>
      <c r="F13" s="394" t="s">
        <v>546</v>
      </c>
      <c r="G13" s="394" t="s">
        <v>559</v>
      </c>
      <c r="H13" s="349"/>
      <c r="I13" s="349"/>
      <c r="J13" s="349"/>
      <c r="K13" s="349"/>
      <c r="L13" s="349"/>
    </row>
    <row r="14" spans="1:12" ht="15.95" customHeight="1">
      <c r="A14" s="394" t="s">
        <v>486</v>
      </c>
      <c r="B14" s="394" t="s">
        <v>495</v>
      </c>
      <c r="C14" s="394" t="s">
        <v>508</v>
      </c>
      <c r="D14" s="394" t="s">
        <v>521</v>
      </c>
      <c r="E14" s="394" t="s">
        <v>534</v>
      </c>
      <c r="F14" s="394" t="s">
        <v>547</v>
      </c>
      <c r="G14" s="394" t="s">
        <v>560</v>
      </c>
      <c r="H14" s="349"/>
      <c r="I14" s="349"/>
      <c r="J14" s="349"/>
      <c r="K14" s="349"/>
      <c r="L14" s="349"/>
    </row>
    <row r="15" spans="1:12" ht="15.95" customHeight="1">
      <c r="A15" s="394" t="s">
        <v>487</v>
      </c>
      <c r="B15" s="394" t="s">
        <v>496</v>
      </c>
      <c r="C15" s="394" t="s">
        <v>509</v>
      </c>
      <c r="D15" s="394" t="s">
        <v>522</v>
      </c>
      <c r="E15" s="394" t="s">
        <v>535</v>
      </c>
      <c r="F15" s="394" t="s">
        <v>548</v>
      </c>
      <c r="G15" s="394" t="s">
        <v>561</v>
      </c>
      <c r="H15" s="349"/>
      <c r="I15" s="349"/>
      <c r="J15" s="349"/>
      <c r="K15" s="349"/>
      <c r="L15" s="349"/>
    </row>
    <row r="16" spans="1:12" ht="15.95" customHeight="1">
      <c r="A16" s="394" t="s">
        <v>488</v>
      </c>
      <c r="B16" s="394" t="s">
        <v>497</v>
      </c>
      <c r="C16" s="394" t="s">
        <v>510</v>
      </c>
      <c r="D16" s="394" t="s">
        <v>523</v>
      </c>
      <c r="E16" s="394" t="s">
        <v>536</v>
      </c>
      <c r="F16" s="394" t="s">
        <v>549</v>
      </c>
      <c r="G16" s="394" t="s">
        <v>562</v>
      </c>
      <c r="H16" s="349"/>
      <c r="I16" s="349"/>
      <c r="J16" s="349"/>
      <c r="K16" s="349"/>
      <c r="L16" s="349"/>
    </row>
    <row r="17" spans="1:12" ht="15.95" customHeight="1">
      <c r="A17" s="394" t="s">
        <v>489</v>
      </c>
      <c r="B17" s="394" t="s">
        <v>498</v>
      </c>
      <c r="C17" s="394" t="s">
        <v>511</v>
      </c>
      <c r="D17" s="394" t="s">
        <v>524</v>
      </c>
      <c r="E17" s="394" t="s">
        <v>537</v>
      </c>
      <c r="F17" s="394" t="s">
        <v>550</v>
      </c>
      <c r="G17" s="394" t="s">
        <v>563</v>
      </c>
      <c r="H17" s="349"/>
      <c r="I17" s="349"/>
      <c r="J17" s="349"/>
      <c r="K17" s="349"/>
      <c r="L17" s="349"/>
    </row>
    <row r="18" spans="1:12" ht="15.95" customHeight="1">
      <c r="A18" s="394" t="s">
        <v>490</v>
      </c>
      <c r="B18" s="394" t="s">
        <v>499</v>
      </c>
      <c r="C18" s="394" t="s">
        <v>512</v>
      </c>
      <c r="D18" s="394" t="s">
        <v>525</v>
      </c>
      <c r="E18" s="394" t="s">
        <v>538</v>
      </c>
      <c r="F18" s="394" t="s">
        <v>551</v>
      </c>
      <c r="G18" s="394" t="s">
        <v>564</v>
      </c>
      <c r="H18" s="349"/>
      <c r="I18" s="349"/>
      <c r="J18" s="349"/>
      <c r="K18" s="349"/>
      <c r="L18" s="349"/>
    </row>
    <row r="19" spans="1:12" ht="15.95" customHeight="1">
      <c r="A19" s="394" t="s">
        <v>491</v>
      </c>
      <c r="B19" s="394" t="s">
        <v>500</v>
      </c>
      <c r="C19" s="394" t="s">
        <v>513</v>
      </c>
      <c r="D19" s="394" t="s">
        <v>526</v>
      </c>
      <c r="E19" s="394" t="s">
        <v>539</v>
      </c>
      <c r="F19" s="394" t="s">
        <v>552</v>
      </c>
      <c r="G19" s="394" t="s">
        <v>565</v>
      </c>
      <c r="H19" s="349"/>
      <c r="I19" s="349"/>
      <c r="J19" s="349"/>
      <c r="K19" s="349"/>
      <c r="L19" s="349"/>
    </row>
    <row r="20" spans="1:12" ht="15.75">
      <c r="A20" s="349"/>
      <c r="B20" s="349"/>
      <c r="C20" s="349"/>
      <c r="D20" s="349"/>
      <c r="E20" s="349"/>
      <c r="F20" s="349"/>
      <c r="G20" s="349"/>
      <c r="H20" s="349"/>
      <c r="I20" s="349"/>
      <c r="J20" s="349"/>
      <c r="K20" s="349"/>
      <c r="L20" s="349"/>
    </row>
    <row r="21" spans="1:12" ht="15.75">
      <c r="A21" s="349"/>
      <c r="B21" s="349"/>
      <c r="C21" s="349"/>
      <c r="D21" s="555" t="s">
        <v>574</v>
      </c>
      <c r="E21" s="556"/>
      <c r="F21" s="556"/>
      <c r="G21" s="557"/>
      <c r="H21" s="349"/>
      <c r="I21" s="349"/>
      <c r="J21" s="349"/>
      <c r="K21" s="349"/>
      <c r="L21" s="349"/>
    </row>
    <row r="22" spans="1:12" ht="17.25" customHeight="1">
      <c r="A22" s="349"/>
      <c r="B22" s="558" t="s">
        <v>450</v>
      </c>
      <c r="C22" s="558"/>
      <c r="D22" s="558" t="s">
        <v>451</v>
      </c>
      <c r="E22" s="558"/>
      <c r="F22" s="558" t="s">
        <v>452</v>
      </c>
      <c r="G22" s="558"/>
      <c r="H22" s="349"/>
      <c r="I22" s="349"/>
      <c r="J22" s="349"/>
      <c r="K22" s="349"/>
      <c r="L22" s="349"/>
    </row>
    <row r="23" spans="1:12" ht="15.75">
      <c r="A23" s="395" t="s">
        <v>453</v>
      </c>
      <c r="B23" s="554" t="s">
        <v>566</v>
      </c>
      <c r="C23" s="554"/>
      <c r="D23" s="554" t="s">
        <v>569</v>
      </c>
      <c r="E23" s="554"/>
      <c r="F23" s="554" t="s">
        <v>572</v>
      </c>
      <c r="G23" s="554"/>
      <c r="H23" s="349"/>
      <c r="I23" s="349"/>
      <c r="J23" s="349"/>
      <c r="K23" s="349"/>
      <c r="L23" s="349"/>
    </row>
    <row r="24" spans="1:12" ht="18" customHeight="1">
      <c r="A24" s="395" t="s">
        <v>454</v>
      </c>
      <c r="B24" s="554" t="s">
        <v>567</v>
      </c>
      <c r="C24" s="554"/>
      <c r="D24" s="554" t="s">
        <v>570</v>
      </c>
      <c r="E24" s="554"/>
      <c r="F24" s="554" t="s">
        <v>467</v>
      </c>
      <c r="G24" s="554"/>
      <c r="H24" s="349"/>
      <c r="I24" s="349"/>
      <c r="J24" s="349"/>
      <c r="K24" s="349"/>
      <c r="L24" s="349"/>
    </row>
    <row r="25" spans="1:12" ht="15.75">
      <c r="A25" s="395" t="s">
        <v>455</v>
      </c>
      <c r="B25" s="554" t="s">
        <v>568</v>
      </c>
      <c r="C25" s="554"/>
      <c r="D25" s="554" t="s">
        <v>571</v>
      </c>
      <c r="E25" s="554"/>
      <c r="F25" s="554" t="s">
        <v>573</v>
      </c>
      <c r="G25" s="554"/>
      <c r="H25" s="349"/>
      <c r="I25" s="349"/>
      <c r="J25" s="349"/>
      <c r="K25" s="349"/>
      <c r="L25" s="349"/>
    </row>
    <row r="26" spans="1:12" ht="15.75">
      <c r="A26" s="349"/>
      <c r="B26" s="349"/>
      <c r="C26" s="349"/>
      <c r="D26" s="349"/>
      <c r="E26" s="349"/>
      <c r="F26" s="349"/>
      <c r="G26" s="349"/>
      <c r="H26" s="349"/>
      <c r="I26" s="349"/>
      <c r="J26" s="349"/>
      <c r="K26" s="349"/>
      <c r="L26" s="349"/>
    </row>
    <row r="27" spans="1:12" ht="20.25">
      <c r="A27" s="391" t="s">
        <v>456</v>
      </c>
      <c r="B27" s="349"/>
      <c r="C27" s="349"/>
      <c r="D27" s="349"/>
      <c r="E27" s="349"/>
      <c r="F27" s="349"/>
      <c r="G27" s="349"/>
      <c r="H27" s="349"/>
      <c r="I27" s="349"/>
      <c r="J27" s="349"/>
      <c r="K27" s="349"/>
      <c r="L27" s="349"/>
    </row>
    <row r="28" spans="1:12" ht="15.75">
      <c r="A28" s="349"/>
      <c r="B28" s="349"/>
      <c r="C28" s="349"/>
      <c r="D28" s="349"/>
      <c r="E28" s="559" t="s">
        <v>457</v>
      </c>
      <c r="F28" s="556"/>
      <c r="G28" s="557"/>
      <c r="H28" s="349"/>
      <c r="I28" s="349"/>
      <c r="J28" s="349"/>
      <c r="K28" s="349"/>
      <c r="L28" s="349"/>
    </row>
    <row r="29" spans="1:12" ht="15.75">
      <c r="A29" s="349"/>
      <c r="B29" s="558" t="s">
        <v>458</v>
      </c>
      <c r="C29" s="558"/>
      <c r="D29" s="396" t="s">
        <v>459</v>
      </c>
      <c r="E29" s="396" t="s">
        <v>460</v>
      </c>
      <c r="F29" s="558" t="s">
        <v>461</v>
      </c>
      <c r="G29" s="558"/>
      <c r="H29" s="349"/>
      <c r="I29" s="349"/>
      <c r="J29" s="349"/>
      <c r="K29" s="349"/>
      <c r="L29" s="349"/>
    </row>
    <row r="30" spans="1:12" ht="15.75">
      <c r="A30" s="395" t="s">
        <v>462</v>
      </c>
      <c r="B30" s="554" t="s">
        <v>575</v>
      </c>
      <c r="C30" s="554"/>
      <c r="D30" s="394" t="s">
        <v>578</v>
      </c>
      <c r="E30" s="394" t="s">
        <v>463</v>
      </c>
      <c r="F30" s="554" t="s">
        <v>581</v>
      </c>
      <c r="G30" s="554"/>
      <c r="H30" s="349"/>
      <c r="I30" s="349"/>
      <c r="J30" s="349"/>
      <c r="K30" s="349"/>
      <c r="L30" s="349"/>
    </row>
    <row r="31" spans="1:12" ht="15.75">
      <c r="A31" s="395" t="s">
        <v>464</v>
      </c>
      <c r="B31" s="554" t="s">
        <v>576</v>
      </c>
      <c r="C31" s="554"/>
      <c r="D31" s="394" t="s">
        <v>579</v>
      </c>
      <c r="E31" s="394" t="s">
        <v>465</v>
      </c>
      <c r="F31" s="554" t="s">
        <v>582</v>
      </c>
      <c r="G31" s="554"/>
      <c r="H31" s="349"/>
      <c r="I31" s="349"/>
      <c r="J31" s="349"/>
      <c r="K31" s="349"/>
      <c r="L31" s="349"/>
    </row>
    <row r="32" spans="1:12" ht="15.75">
      <c r="A32" s="395" t="s">
        <v>466</v>
      </c>
      <c r="B32" s="554" t="s">
        <v>577</v>
      </c>
      <c r="C32" s="554"/>
      <c r="D32" s="394" t="s">
        <v>580</v>
      </c>
      <c r="E32" s="394" t="s">
        <v>467</v>
      </c>
      <c r="F32" s="554" t="s">
        <v>583</v>
      </c>
      <c r="G32" s="554"/>
      <c r="H32" s="349"/>
      <c r="I32" s="349"/>
      <c r="J32" s="349"/>
      <c r="K32" s="349"/>
      <c r="L32" s="349"/>
    </row>
    <row r="33" spans="1:12" ht="15.75">
      <c r="A33" s="349"/>
      <c r="B33" s="349"/>
      <c r="C33" s="349"/>
      <c r="D33" s="349"/>
      <c r="E33" s="349"/>
      <c r="F33" s="349"/>
      <c r="G33" s="349"/>
      <c r="H33" s="349"/>
      <c r="I33" s="349"/>
      <c r="J33" s="349"/>
      <c r="K33" s="349"/>
      <c r="L33" s="349"/>
    </row>
    <row r="34" spans="1:12" ht="15.75">
      <c r="A34" s="349"/>
      <c r="B34" s="349"/>
      <c r="C34" s="349"/>
      <c r="D34" s="349"/>
      <c r="E34" s="559" t="s">
        <v>468</v>
      </c>
      <c r="F34" s="556"/>
      <c r="G34" s="557"/>
      <c r="H34" s="349"/>
      <c r="I34" s="349"/>
      <c r="J34" s="349"/>
      <c r="K34" s="349"/>
      <c r="L34" s="349"/>
    </row>
    <row r="35" spans="1:12" ht="15.75">
      <c r="A35" s="349"/>
      <c r="B35" s="558" t="s">
        <v>469</v>
      </c>
      <c r="C35" s="558"/>
      <c r="D35" s="396" t="s">
        <v>460</v>
      </c>
      <c r="E35" s="396" t="s">
        <v>470</v>
      </c>
      <c r="F35" s="396" t="s">
        <v>100</v>
      </c>
      <c r="G35" s="396" t="s">
        <v>471</v>
      </c>
      <c r="H35" s="349"/>
      <c r="I35" s="349"/>
      <c r="J35" s="349"/>
      <c r="K35" s="349"/>
      <c r="L35" s="349"/>
    </row>
    <row r="36" spans="1:12" ht="15.75">
      <c r="A36" s="395" t="s">
        <v>462</v>
      </c>
      <c r="B36" s="560" t="s">
        <v>584</v>
      </c>
      <c r="C36" s="561"/>
      <c r="D36" s="397" t="s">
        <v>586</v>
      </c>
      <c r="E36" s="397" t="s">
        <v>472</v>
      </c>
      <c r="F36" s="398" t="s">
        <v>473</v>
      </c>
      <c r="G36" s="394" t="s">
        <v>589</v>
      </c>
      <c r="H36" s="349"/>
      <c r="I36" s="349"/>
      <c r="J36" s="349"/>
      <c r="K36" s="349"/>
      <c r="L36" s="349"/>
    </row>
    <row r="37" spans="1:12" ht="15.75">
      <c r="A37" s="395" t="s">
        <v>464</v>
      </c>
      <c r="B37" s="560" t="s">
        <v>585</v>
      </c>
      <c r="C37" s="561"/>
      <c r="D37" s="397" t="s">
        <v>587</v>
      </c>
      <c r="E37" s="397" t="s">
        <v>472</v>
      </c>
      <c r="F37" s="398" t="s">
        <v>474</v>
      </c>
      <c r="G37" s="399" t="s">
        <v>590</v>
      </c>
      <c r="H37" s="349"/>
      <c r="I37" s="349"/>
      <c r="J37" s="349"/>
      <c r="K37" s="349"/>
      <c r="L37" s="349"/>
    </row>
    <row r="38" spans="1:12" ht="15.75">
      <c r="A38" s="395" t="s">
        <v>466</v>
      </c>
      <c r="B38" s="560" t="s">
        <v>585</v>
      </c>
      <c r="C38" s="561"/>
      <c r="D38" s="397" t="s">
        <v>588</v>
      </c>
      <c r="E38" s="397" t="s">
        <v>472</v>
      </c>
      <c r="F38" s="398" t="s">
        <v>475</v>
      </c>
      <c r="G38" s="394" t="s">
        <v>591</v>
      </c>
      <c r="H38" s="349"/>
      <c r="I38" s="349"/>
      <c r="J38" s="349"/>
      <c r="K38" s="349"/>
      <c r="L38" s="349"/>
    </row>
    <row r="39" spans="1:12" ht="15.75">
      <c r="A39" s="349"/>
      <c r="B39" s="349"/>
      <c r="C39" s="349"/>
      <c r="D39" s="349"/>
      <c r="E39" s="349"/>
      <c r="F39" s="349"/>
      <c r="G39" s="349"/>
      <c r="H39" s="349"/>
      <c r="I39" s="349"/>
      <c r="J39" s="349"/>
      <c r="K39" s="349"/>
      <c r="L39" s="349"/>
    </row>
    <row r="40" spans="1:12" ht="15.75">
      <c r="A40" s="400" t="s">
        <v>476</v>
      </c>
      <c r="B40" s="562" t="s">
        <v>592</v>
      </c>
      <c r="C40" s="562"/>
      <c r="D40" s="563" t="s">
        <v>477</v>
      </c>
      <c r="E40" s="563"/>
      <c r="F40" s="562" t="s">
        <v>593</v>
      </c>
      <c r="G40" s="562"/>
      <c r="H40" s="349"/>
      <c r="I40" s="349"/>
      <c r="J40" s="349"/>
      <c r="K40" s="349"/>
      <c r="L40" s="349"/>
    </row>
    <row r="41" spans="1:12" ht="15.75">
      <c r="A41" s="349"/>
      <c r="B41" s="349"/>
      <c r="C41" s="349"/>
      <c r="D41" s="349"/>
      <c r="E41" s="349"/>
      <c r="F41" s="349"/>
      <c r="G41" s="349"/>
      <c r="H41" s="349"/>
      <c r="I41" s="349"/>
      <c r="J41" s="349"/>
      <c r="K41" s="349"/>
      <c r="L41" s="349"/>
    </row>
    <row r="42" spans="1:12" ht="15.75">
      <c r="A42" s="349"/>
      <c r="B42" s="349"/>
      <c r="C42" s="349"/>
      <c r="D42" s="349"/>
      <c r="E42" s="349"/>
      <c r="F42" s="349"/>
      <c r="G42" s="349"/>
      <c r="H42" s="349"/>
      <c r="I42" s="349"/>
      <c r="J42" s="349"/>
      <c r="K42" s="349"/>
      <c r="L42" s="349"/>
    </row>
    <row r="43" spans="1:12" ht="15.75">
      <c r="A43" s="349"/>
      <c r="B43" s="349"/>
      <c r="C43" s="349"/>
      <c r="D43" s="349"/>
      <c r="E43" s="349"/>
      <c r="F43" s="349"/>
      <c r="G43" s="349"/>
      <c r="H43" s="349"/>
      <c r="I43" s="349"/>
      <c r="J43" s="349"/>
      <c r="K43" s="349"/>
      <c r="L43" s="349"/>
    </row>
    <row r="44" spans="1:12" ht="15.75">
      <c r="A44" s="349"/>
      <c r="B44" s="349"/>
      <c r="C44" s="349"/>
      <c r="D44" s="349"/>
      <c r="E44" s="349"/>
      <c r="F44" s="349"/>
      <c r="G44" s="349"/>
      <c r="H44" s="349"/>
      <c r="I44" s="349"/>
      <c r="J44" s="349"/>
      <c r="K44" s="349"/>
      <c r="L44" s="349"/>
    </row>
    <row r="45" spans="1:12" ht="15.75">
      <c r="A45" s="349"/>
      <c r="B45" s="349"/>
      <c r="C45" s="349"/>
      <c r="D45" s="349"/>
      <c r="E45" s="349"/>
      <c r="F45" s="349"/>
      <c r="G45" s="349"/>
      <c r="H45" s="349"/>
      <c r="I45" s="349"/>
      <c r="J45" s="349"/>
      <c r="K45" s="349"/>
      <c r="L45" s="349"/>
    </row>
    <row r="46" spans="1:12" ht="15.75">
      <c r="A46" s="349"/>
      <c r="B46" s="349"/>
      <c r="C46" s="349"/>
      <c r="D46" s="349"/>
      <c r="E46" s="349"/>
      <c r="F46" s="349"/>
      <c r="G46" s="349"/>
      <c r="H46" s="349"/>
      <c r="I46" s="349"/>
      <c r="J46" s="349"/>
      <c r="K46" s="349"/>
      <c r="L46" s="349"/>
    </row>
    <row r="47" spans="1:12" ht="15.75">
      <c r="A47" s="349"/>
      <c r="B47" s="349"/>
      <c r="C47" s="349"/>
      <c r="D47" s="349"/>
      <c r="E47" s="349"/>
      <c r="F47" s="349"/>
      <c r="G47" s="349"/>
      <c r="H47" s="349"/>
      <c r="I47" s="349"/>
      <c r="J47" s="349"/>
      <c r="K47" s="349"/>
      <c r="L47" s="349"/>
    </row>
    <row r="48" spans="1:12" ht="15.75">
      <c r="A48" s="349"/>
      <c r="B48" s="349"/>
      <c r="C48" s="349"/>
      <c r="D48" s="349"/>
      <c r="E48" s="349"/>
      <c r="F48" s="349"/>
      <c r="G48" s="349"/>
      <c r="H48" s="349"/>
      <c r="I48" s="349"/>
      <c r="J48" s="349"/>
      <c r="K48" s="349"/>
      <c r="L48" s="349"/>
    </row>
    <row r="49" spans="1:12" ht="15.75">
      <c r="A49" s="349"/>
      <c r="B49" s="349"/>
      <c r="C49" s="349"/>
      <c r="D49" s="349"/>
      <c r="E49" s="349"/>
      <c r="F49" s="349"/>
      <c r="G49" s="349"/>
      <c r="H49" s="349"/>
      <c r="I49" s="349"/>
      <c r="J49" s="349"/>
      <c r="K49" s="349"/>
      <c r="L49" s="349"/>
    </row>
    <row r="50" spans="1:12" ht="15.75">
      <c r="A50" s="349"/>
      <c r="B50" s="349"/>
      <c r="C50" s="349"/>
      <c r="D50" s="349"/>
      <c r="E50" s="349"/>
      <c r="F50" s="349"/>
      <c r="G50" s="349"/>
      <c r="H50" s="349"/>
      <c r="I50" s="349"/>
      <c r="J50" s="349"/>
      <c r="K50" s="349"/>
      <c r="L50" s="349"/>
    </row>
    <row r="51" spans="1:12" ht="15.75">
      <c r="A51" s="349"/>
      <c r="B51" s="349"/>
      <c r="C51" s="349"/>
      <c r="D51" s="349"/>
      <c r="E51" s="349"/>
      <c r="F51" s="349"/>
      <c r="G51" s="349"/>
      <c r="H51" s="349"/>
      <c r="I51" s="349"/>
      <c r="J51" s="349"/>
      <c r="K51" s="349"/>
      <c r="L51" s="349"/>
    </row>
    <row r="52" spans="1:12" ht="15.75">
      <c r="A52" s="349"/>
      <c r="B52" s="349"/>
      <c r="C52" s="349"/>
      <c r="D52" s="349"/>
      <c r="E52" s="349"/>
      <c r="F52" s="349"/>
      <c r="G52" s="349"/>
      <c r="H52" s="349"/>
      <c r="I52" s="349"/>
      <c r="J52" s="349"/>
      <c r="K52" s="349"/>
      <c r="L52" s="349"/>
    </row>
    <row r="53" spans="1:12" ht="15.75">
      <c r="A53" s="349"/>
      <c r="B53" s="349"/>
      <c r="C53" s="349"/>
      <c r="D53" s="349"/>
      <c r="E53" s="349"/>
      <c r="F53" s="349"/>
      <c r="G53" s="349"/>
      <c r="H53" s="349"/>
      <c r="I53" s="349"/>
      <c r="J53" s="349"/>
      <c r="K53" s="349"/>
      <c r="L53" s="349"/>
    </row>
    <row r="54" spans="1:12" ht="15.75">
      <c r="A54" s="349"/>
      <c r="B54" s="349"/>
      <c r="C54" s="349"/>
      <c r="D54" s="349"/>
      <c r="E54" s="349"/>
      <c r="F54" s="349"/>
      <c r="G54" s="349"/>
      <c r="H54" s="349"/>
      <c r="I54" s="349"/>
      <c r="J54" s="349"/>
      <c r="K54" s="349"/>
      <c r="L54" s="349"/>
    </row>
    <row r="55" spans="1:12" ht="15.75">
      <c r="A55" s="349"/>
      <c r="B55" s="349"/>
      <c r="C55" s="349"/>
      <c r="D55" s="349"/>
      <c r="E55" s="349"/>
      <c r="F55" s="349"/>
      <c r="G55" s="349"/>
      <c r="H55" s="349"/>
      <c r="I55" s="349"/>
      <c r="J55" s="349"/>
      <c r="K55" s="349"/>
      <c r="L55" s="349"/>
    </row>
    <row r="56" spans="1:12" ht="15.75">
      <c r="A56" s="349"/>
      <c r="B56" s="349"/>
      <c r="C56" s="349"/>
      <c r="D56" s="349"/>
      <c r="E56" s="349"/>
      <c r="F56" s="349"/>
      <c r="G56" s="349"/>
      <c r="H56" s="349"/>
      <c r="I56" s="349"/>
      <c r="J56" s="349"/>
      <c r="K56" s="349"/>
      <c r="L56" s="349"/>
    </row>
    <row r="57" spans="1:12" ht="15.75">
      <c r="A57" s="349"/>
      <c r="B57" s="349"/>
      <c r="C57" s="349"/>
      <c r="D57" s="349"/>
      <c r="E57" s="349"/>
      <c r="F57" s="349"/>
      <c r="G57" s="349"/>
      <c r="H57" s="349"/>
      <c r="I57" s="349"/>
      <c r="J57" s="349"/>
      <c r="K57" s="349"/>
      <c r="L57" s="349"/>
    </row>
    <row r="58" spans="1:12" ht="15.75">
      <c r="A58" s="349"/>
      <c r="B58" s="349"/>
      <c r="C58" s="349"/>
      <c r="D58" s="349"/>
      <c r="E58" s="349"/>
      <c r="F58" s="349"/>
      <c r="G58" s="349"/>
      <c r="H58" s="349"/>
      <c r="I58" s="349"/>
      <c r="J58" s="349"/>
      <c r="K58" s="349"/>
      <c r="L58" s="349"/>
    </row>
    <row r="59" spans="1:12" ht="15.75">
      <c r="A59" s="349"/>
      <c r="B59" s="349"/>
      <c r="C59" s="349"/>
      <c r="D59" s="349"/>
      <c r="E59" s="349"/>
      <c r="F59" s="349"/>
      <c r="G59" s="349"/>
      <c r="H59" s="349"/>
      <c r="I59" s="349"/>
      <c r="J59" s="349"/>
      <c r="K59" s="349"/>
      <c r="L59" s="349"/>
    </row>
    <row r="60" spans="1:12" ht="15.75">
      <c r="A60" s="349"/>
      <c r="B60" s="349"/>
      <c r="C60" s="349"/>
      <c r="D60" s="349"/>
      <c r="E60" s="349"/>
      <c r="F60" s="349"/>
      <c r="G60" s="349"/>
      <c r="H60" s="349"/>
      <c r="I60" s="349"/>
      <c r="J60" s="349"/>
      <c r="K60" s="349"/>
      <c r="L60" s="349"/>
    </row>
    <row r="61" spans="1:12" ht="15.75">
      <c r="A61" s="349"/>
      <c r="B61" s="349"/>
      <c r="C61" s="349"/>
      <c r="D61" s="349"/>
      <c r="E61" s="349"/>
      <c r="F61" s="349"/>
      <c r="G61" s="349"/>
      <c r="H61" s="349"/>
      <c r="I61" s="349"/>
      <c r="J61" s="349"/>
      <c r="K61" s="349"/>
      <c r="L61" s="349"/>
    </row>
  </sheetData>
  <mergeCells count="31"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  <mergeCell ref="B31:C31"/>
    <mergeCell ref="F31:G31"/>
    <mergeCell ref="B24:C24"/>
    <mergeCell ref="D24:E24"/>
    <mergeCell ref="F24:G24"/>
    <mergeCell ref="B25:C25"/>
    <mergeCell ref="D25:E25"/>
    <mergeCell ref="F25:G25"/>
    <mergeCell ref="E28:G28"/>
    <mergeCell ref="B29:C29"/>
    <mergeCell ref="F29:G29"/>
    <mergeCell ref="B30:C30"/>
    <mergeCell ref="F30:G30"/>
    <mergeCell ref="B23:C23"/>
    <mergeCell ref="D23:E23"/>
    <mergeCell ref="F23:G23"/>
    <mergeCell ref="B1:G1"/>
    <mergeCell ref="D21:G21"/>
    <mergeCell ref="B22:C22"/>
    <mergeCell ref="D22:E22"/>
    <mergeCell ref="F22:G22"/>
  </mergeCells>
  <printOptions horizontalCentered="1"/>
  <pageMargins left="0.75" right="0.75" top="1" bottom="1" header="0.5" footer="0.5"/>
  <pageSetup scale="98" orientation="portrait" horizontalDpi="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81"/>
  <sheetViews>
    <sheetView topLeftCell="A16" workbookViewId="0">
      <selection activeCell="H43" sqref="H43"/>
    </sheetView>
  </sheetViews>
  <sheetFormatPr defaultRowHeight="12.75"/>
  <cols>
    <col min="1" max="6" width="16.7109375" style="348" customWidth="1"/>
    <col min="7" max="16384" width="9.140625" style="348"/>
  </cols>
  <sheetData>
    <row r="1" spans="1:6" ht="18.95" customHeight="1">
      <c r="A1" s="366"/>
      <c r="B1" s="367"/>
      <c r="C1" s="367"/>
      <c r="D1" s="367"/>
      <c r="E1" s="367"/>
      <c r="F1" s="368"/>
    </row>
    <row r="2" spans="1:6" ht="26.1" customHeight="1">
      <c r="A2" s="369" t="s">
        <v>266</v>
      </c>
      <c r="B2" s="370"/>
      <c r="C2" s="370"/>
      <c r="D2" s="370"/>
      <c r="E2" s="370"/>
      <c r="F2" s="371"/>
    </row>
    <row r="3" spans="1:6" ht="18.95" customHeight="1">
      <c r="A3" s="564" t="s">
        <v>594</v>
      </c>
      <c r="B3" s="565"/>
      <c r="C3" s="565"/>
      <c r="D3" s="565"/>
      <c r="E3" s="565"/>
      <c r="F3" s="566"/>
    </row>
    <row r="4" spans="1:6" ht="18.95" customHeight="1">
      <c r="A4" s="567" t="s">
        <v>595</v>
      </c>
      <c r="B4" s="568"/>
      <c r="C4" s="568"/>
      <c r="D4" s="568"/>
      <c r="E4" s="568"/>
      <c r="F4" s="569"/>
    </row>
    <row r="5" spans="1:6" ht="18.95" customHeight="1">
      <c r="A5" s="373"/>
      <c r="B5" s="374"/>
      <c r="C5" s="374"/>
      <c r="D5" s="374"/>
      <c r="E5" s="374"/>
      <c r="F5" s="375"/>
    </row>
    <row r="6" spans="1:6" ht="18.95" customHeight="1">
      <c r="A6" s="376" t="s">
        <v>413</v>
      </c>
      <c r="B6" s="551" t="s">
        <v>638</v>
      </c>
      <c r="C6" s="552"/>
      <c r="D6" s="553"/>
      <c r="E6" s="376" t="s">
        <v>414</v>
      </c>
      <c r="F6" s="377">
        <v>575</v>
      </c>
    </row>
    <row r="7" spans="1:6" ht="18.95" customHeight="1">
      <c r="A7" s="376" t="s">
        <v>415</v>
      </c>
      <c r="B7" s="377" t="s">
        <v>176</v>
      </c>
      <c r="C7" s="376" t="s">
        <v>416</v>
      </c>
      <c r="D7" s="377" t="s">
        <v>434</v>
      </c>
      <c r="E7" s="376" t="s">
        <v>417</v>
      </c>
      <c r="F7" s="377" t="s">
        <v>177</v>
      </c>
    </row>
    <row r="8" spans="1:6" ht="18.95" customHeight="1">
      <c r="A8" s="376" t="s">
        <v>418</v>
      </c>
      <c r="B8" s="377">
        <v>4</v>
      </c>
      <c r="C8" s="376" t="s">
        <v>419</v>
      </c>
      <c r="D8" s="377" t="s">
        <v>420</v>
      </c>
      <c r="E8" s="376" t="s">
        <v>421</v>
      </c>
      <c r="F8" s="377" t="s">
        <v>358</v>
      </c>
    </row>
    <row r="9" spans="1:6" ht="18.95" customHeight="1">
      <c r="A9" s="376" t="s">
        <v>422</v>
      </c>
      <c r="B9" s="377">
        <v>4500</v>
      </c>
      <c r="C9" s="376" t="s">
        <v>423</v>
      </c>
      <c r="D9" s="377" t="s">
        <v>435</v>
      </c>
      <c r="E9" s="376" t="s">
        <v>2</v>
      </c>
      <c r="F9" s="378">
        <v>41886</v>
      </c>
    </row>
    <row r="10" spans="1:6" ht="18.95" customHeight="1">
      <c r="A10" s="376" t="s">
        <v>424</v>
      </c>
      <c r="B10" s="377">
        <v>1790</v>
      </c>
      <c r="C10" s="376" t="s">
        <v>258</v>
      </c>
      <c r="D10" s="377" t="s">
        <v>436</v>
      </c>
      <c r="E10" s="376" t="s">
        <v>1</v>
      </c>
      <c r="F10" s="377" t="s">
        <v>375</v>
      </c>
    </row>
    <row r="11" spans="1:6" ht="18.95" customHeight="1">
      <c r="A11" s="373"/>
      <c r="B11" s="374"/>
      <c r="C11" s="374"/>
      <c r="D11" s="374"/>
      <c r="E11" s="374"/>
      <c r="F11" s="375"/>
    </row>
    <row r="12" spans="1:6" ht="18.95" customHeight="1">
      <c r="A12" s="373"/>
      <c r="B12" s="379"/>
      <c r="C12" s="380"/>
      <c r="D12" s="379"/>
      <c r="E12" s="380"/>
      <c r="F12" s="375"/>
    </row>
    <row r="13" spans="1:6" ht="18.95" customHeight="1">
      <c r="A13" s="373"/>
      <c r="B13" s="379"/>
      <c r="C13" s="381"/>
      <c r="D13" s="379"/>
      <c r="E13" s="380"/>
      <c r="F13" s="375"/>
    </row>
    <row r="14" spans="1:6" ht="18.95" customHeight="1">
      <c r="A14" s="373"/>
      <c r="B14" s="379"/>
      <c r="C14" s="381"/>
      <c r="D14" s="379"/>
      <c r="E14" s="380"/>
      <c r="F14" s="375"/>
    </row>
    <row r="15" spans="1:6" ht="18.95" customHeight="1">
      <c r="A15" s="373"/>
      <c r="B15" s="379"/>
      <c r="C15" s="380"/>
      <c r="D15" s="374"/>
      <c r="E15" s="374"/>
      <c r="F15" s="375"/>
    </row>
    <row r="16" spans="1:6" ht="18.95" customHeight="1">
      <c r="A16" s="373"/>
      <c r="B16" s="374"/>
      <c r="C16" s="374"/>
      <c r="D16" s="374"/>
      <c r="E16" s="374"/>
      <c r="F16" s="375"/>
    </row>
    <row r="17" spans="1:6" ht="18.95" customHeight="1">
      <c r="A17" s="373"/>
      <c r="B17" s="374"/>
      <c r="C17" s="374"/>
      <c r="D17" s="374"/>
      <c r="E17" s="374"/>
      <c r="F17" s="375"/>
    </row>
    <row r="18" spans="1:6" ht="18.95" customHeight="1">
      <c r="A18" s="373"/>
      <c r="B18" s="374"/>
      <c r="C18" s="374"/>
      <c r="D18" s="374"/>
      <c r="E18" s="374"/>
      <c r="F18" s="375"/>
    </row>
    <row r="19" spans="1:6" ht="18.95" customHeight="1">
      <c r="A19" s="373"/>
      <c r="B19" s="374"/>
      <c r="C19" s="374"/>
      <c r="D19" s="374"/>
      <c r="E19" s="374"/>
      <c r="F19" s="375"/>
    </row>
    <row r="20" spans="1:6" ht="18.95" customHeight="1">
      <c r="A20" s="373"/>
      <c r="B20" s="374"/>
      <c r="C20" s="374"/>
      <c r="D20" s="374"/>
      <c r="E20" s="374"/>
      <c r="F20" s="375"/>
    </row>
    <row r="21" spans="1:6" ht="18.95" customHeight="1">
      <c r="A21" s="373"/>
      <c r="B21" s="374"/>
      <c r="C21" s="374"/>
      <c r="D21" s="374"/>
      <c r="E21" s="374"/>
      <c r="F21" s="375"/>
    </row>
    <row r="22" spans="1:6" ht="18.95" customHeight="1">
      <c r="A22" s="373"/>
      <c r="B22" s="374"/>
      <c r="C22" s="374"/>
      <c r="D22" s="374"/>
      <c r="E22" s="374"/>
      <c r="F22" s="375"/>
    </row>
    <row r="23" spans="1:6" ht="18.95" customHeight="1">
      <c r="A23" s="373"/>
      <c r="B23" s="374"/>
      <c r="C23" s="374"/>
      <c r="D23" s="374"/>
      <c r="E23" s="374"/>
      <c r="F23" s="375"/>
    </row>
    <row r="24" spans="1:6" ht="18.95" customHeight="1">
      <c r="A24" s="373"/>
      <c r="B24" s="374"/>
      <c r="C24" s="374"/>
      <c r="D24" s="374"/>
      <c r="E24" s="374"/>
      <c r="F24" s="375"/>
    </row>
    <row r="25" spans="1:6" ht="18.95" customHeight="1">
      <c r="A25" s="373"/>
      <c r="B25" s="374"/>
      <c r="C25" s="374"/>
      <c r="D25" s="374"/>
      <c r="E25" s="374"/>
      <c r="F25" s="375"/>
    </row>
    <row r="26" spans="1:6" ht="18.95" customHeight="1">
      <c r="A26" s="373"/>
      <c r="B26" s="374"/>
      <c r="C26" s="374"/>
      <c r="D26" s="374"/>
      <c r="E26" s="374"/>
      <c r="F26" s="375"/>
    </row>
    <row r="27" spans="1:6" ht="18.95" customHeight="1">
      <c r="A27" s="373"/>
      <c r="B27" s="374"/>
      <c r="C27" s="374"/>
      <c r="D27" s="374"/>
      <c r="E27" s="374"/>
      <c r="F27" s="375"/>
    </row>
    <row r="28" spans="1:6" ht="18.95" customHeight="1">
      <c r="A28" s="373"/>
      <c r="B28" s="374"/>
      <c r="C28" s="374"/>
      <c r="D28" s="374"/>
      <c r="E28" s="374"/>
      <c r="F28" s="375"/>
    </row>
    <row r="29" spans="1:6" ht="18.95" customHeight="1">
      <c r="A29" s="373"/>
      <c r="B29" s="374"/>
      <c r="C29" s="374"/>
      <c r="D29" s="374"/>
      <c r="E29" s="374"/>
      <c r="F29" s="375"/>
    </row>
    <row r="30" spans="1:6" ht="18.95" customHeight="1">
      <c r="A30" s="373"/>
      <c r="B30" s="374"/>
      <c r="C30" s="374"/>
      <c r="D30" s="374"/>
      <c r="E30" s="374"/>
      <c r="F30" s="375"/>
    </row>
    <row r="31" spans="1:6" ht="18.95" customHeight="1">
      <c r="A31" s="373"/>
      <c r="B31" s="374"/>
      <c r="C31" s="374"/>
      <c r="D31" s="374"/>
      <c r="E31" s="374"/>
      <c r="F31" s="375"/>
    </row>
    <row r="32" spans="1:6" ht="18.95" customHeight="1">
      <c r="A32" s="373"/>
      <c r="B32" s="374"/>
      <c r="C32" s="374"/>
      <c r="D32" s="374"/>
      <c r="E32" s="374"/>
      <c r="F32" s="375"/>
    </row>
    <row r="33" spans="1:6" ht="18.95" customHeight="1">
      <c r="A33" s="373"/>
      <c r="B33" s="374"/>
      <c r="C33" s="374"/>
      <c r="D33" s="374"/>
      <c r="E33" s="374"/>
      <c r="F33" s="375"/>
    </row>
    <row r="34" spans="1:6" ht="18.95" customHeight="1">
      <c r="A34" s="373"/>
      <c r="B34" s="374"/>
      <c r="C34" s="374"/>
      <c r="D34" s="374"/>
      <c r="E34" s="374"/>
      <c r="F34" s="375"/>
    </row>
    <row r="35" spans="1:6" ht="18.95" customHeight="1">
      <c r="A35" s="373"/>
      <c r="B35" s="374"/>
      <c r="C35" s="374"/>
      <c r="D35" s="374"/>
      <c r="E35" s="374"/>
      <c r="F35" s="375"/>
    </row>
    <row r="36" spans="1:6" ht="18.95" customHeight="1">
      <c r="A36" s="373"/>
      <c r="B36" s="374"/>
      <c r="C36" s="374"/>
      <c r="D36" s="374"/>
      <c r="E36" s="374"/>
      <c r="F36" s="375"/>
    </row>
    <row r="37" spans="1:6" ht="18.95" customHeight="1">
      <c r="A37" s="373"/>
      <c r="B37" s="374"/>
      <c r="C37" s="374"/>
      <c r="D37" s="374"/>
      <c r="E37" s="374"/>
      <c r="F37" s="375"/>
    </row>
    <row r="38" spans="1:6" ht="18.95" customHeight="1">
      <c r="A38" s="373"/>
      <c r="B38" s="374"/>
      <c r="C38" s="374"/>
      <c r="D38" s="374"/>
      <c r="E38" s="374"/>
      <c r="F38" s="375"/>
    </row>
    <row r="39" spans="1:6" ht="18.95" customHeight="1">
      <c r="A39" s="382" t="s">
        <v>430</v>
      </c>
      <c r="B39" s="383"/>
      <c r="C39" s="383"/>
      <c r="D39" s="374"/>
      <c r="E39" s="379" t="s">
        <v>431</v>
      </c>
      <c r="F39" s="384"/>
    </row>
    <row r="40" spans="1:6" ht="18.95" customHeight="1">
      <c r="A40" s="373"/>
      <c r="B40" s="383"/>
      <c r="C40" s="383"/>
      <c r="D40" s="374"/>
      <c r="E40" s="374"/>
      <c r="F40" s="375"/>
    </row>
    <row r="41" spans="1:6" ht="18.95" customHeight="1">
      <c r="A41" s="373"/>
      <c r="B41" s="383"/>
      <c r="C41" s="383"/>
      <c r="D41" s="374"/>
      <c r="E41" s="374"/>
      <c r="F41" s="375"/>
    </row>
    <row r="42" spans="1:6" ht="18.95" customHeight="1">
      <c r="A42" s="373"/>
      <c r="B42" s="374"/>
      <c r="C42" s="374"/>
      <c r="D42" s="374"/>
      <c r="E42" s="374"/>
      <c r="F42" s="375"/>
    </row>
    <row r="43" spans="1:6" ht="18.95" customHeight="1">
      <c r="A43" s="385"/>
      <c r="B43" s="383"/>
      <c r="C43" s="386" t="s">
        <v>432</v>
      </c>
      <c r="D43" s="387" t="s">
        <v>643</v>
      </c>
      <c r="E43" s="386" t="s">
        <v>433</v>
      </c>
      <c r="F43" s="387" t="s">
        <v>648</v>
      </c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401" t="e">
        <f>5252.1*B50/D53</f>
        <v>#DIV/0!</v>
      </c>
      <c r="G50" s="401"/>
    </row>
    <row r="51" spans="6:9" ht="15" customHeight="1"/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402"/>
    </row>
    <row r="63" spans="6:9">
      <c r="I63" s="348" t="s">
        <v>39</v>
      </c>
    </row>
    <row r="66" spans="1:6">
      <c r="D66" s="401" t="e">
        <f>D65/D64</f>
        <v>#DIV/0!</v>
      </c>
    </row>
    <row r="67" spans="1:6">
      <c r="A67" s="403" t="s">
        <v>254</v>
      </c>
      <c r="B67" s="403" t="s">
        <v>596</v>
      </c>
      <c r="C67" s="403" t="s">
        <v>597</v>
      </c>
      <c r="E67" s="403" t="s">
        <v>598</v>
      </c>
      <c r="F67" s="403" t="s">
        <v>599</v>
      </c>
    </row>
    <row r="68" spans="1:6">
      <c r="A68" s="404">
        <v>548.52173913043475</v>
      </c>
      <c r="B68" s="405">
        <v>35</v>
      </c>
      <c r="C68" s="405">
        <v>15</v>
      </c>
      <c r="E68" s="404">
        <f>A68</f>
        <v>548.52173913043475</v>
      </c>
      <c r="F68" s="405">
        <v>1E-4</v>
      </c>
    </row>
    <row r="69" spans="1:6">
      <c r="A69" s="404">
        <v>470.35564347826084</v>
      </c>
      <c r="B69" s="405">
        <f>((A68/A69)^2)*B68</f>
        <v>47.599568367845208</v>
      </c>
      <c r="C69" s="405">
        <f>((A68/A69)^2)*C68</f>
        <v>20.399815014790804</v>
      </c>
      <c r="E69" s="404">
        <v>546.8347826086956</v>
      </c>
      <c r="F69" s="405">
        <v>0.5350000262260437</v>
      </c>
    </row>
    <row r="70" spans="1:6">
      <c r="A70" s="404">
        <v>392.16609565217391</v>
      </c>
      <c r="B70" s="405">
        <f>((A68/A70)^2)*B68</f>
        <v>68.472414766436458</v>
      </c>
      <c r="C70" s="405">
        <f>((A68/A70)^2)*C68</f>
        <v>29.345320614187056</v>
      </c>
      <c r="E70" s="404">
        <v>543.13043478260875</v>
      </c>
      <c r="F70" s="405">
        <v>1.0170000791549683</v>
      </c>
    </row>
    <row r="71" spans="1:6">
      <c r="A71" s="404">
        <v>314</v>
      </c>
      <c r="B71" s="405">
        <f>((A68/A71)^2)*B68</f>
        <v>106.80619335930145</v>
      </c>
      <c r="C71" s="405">
        <f>((A68/A71)^2)*C68</f>
        <v>45.774082868272046</v>
      </c>
      <c r="E71" s="404">
        <v>538.71304347826083</v>
      </c>
      <c r="F71" s="405">
        <v>1.4820001125335693</v>
      </c>
    </row>
    <row r="72" spans="1:6">
      <c r="A72" s="404">
        <f>A71-100</f>
        <v>214</v>
      </c>
      <c r="B72" s="405">
        <f>((A68/A72)^2)*B68</f>
        <v>229.94723208257673</v>
      </c>
      <c r="C72" s="405"/>
      <c r="E72" s="404">
        <v>533.18260869565222</v>
      </c>
      <c r="F72" s="405">
        <v>1.9490001201629639</v>
      </c>
    </row>
    <row r="73" spans="1:6">
      <c r="A73" s="404">
        <f>A72-100</f>
        <v>114</v>
      </c>
      <c r="B73" s="405">
        <f>((A68/A73)^2)*B68</f>
        <v>810.30035706784292</v>
      </c>
      <c r="C73" s="405"/>
      <c r="E73" s="404">
        <v>526.1391304347826</v>
      </c>
      <c r="F73" s="405">
        <v>2.4360001087188721</v>
      </c>
    </row>
    <row r="74" spans="1:6">
      <c r="A74" s="404">
        <v>205</v>
      </c>
      <c r="B74" s="405">
        <f>((A68/A74)^2)*B68</f>
        <v>250.58092660211028</v>
      </c>
      <c r="C74" s="405">
        <f>((A68/A74)^2)*C68</f>
        <v>107.39182568661869</v>
      </c>
      <c r="E74" s="404">
        <v>517.3739130434783</v>
      </c>
      <c r="F74" s="405">
        <v>2.9590001106262207</v>
      </c>
    </row>
    <row r="75" spans="1:6">
      <c r="A75" s="406">
        <v>180</v>
      </c>
      <c r="B75" s="405">
        <f>((A68/A75)^2)*B69</f>
        <v>442.02383985241897</v>
      </c>
      <c r="C75" s="405">
        <f>((A68/A75)^2)*C68</f>
        <v>139.29448995309104</v>
      </c>
      <c r="E75" s="404">
        <v>506.64347826086959</v>
      </c>
      <c r="F75" s="405">
        <v>3.5450000762939453</v>
      </c>
    </row>
    <row r="76" spans="1:6">
      <c r="A76" s="406">
        <v>120</v>
      </c>
      <c r="B76" s="405">
        <f>((A68/A76)^2)*B68</f>
        <v>731.29607225372808</v>
      </c>
      <c r="C76" s="405">
        <f>((A68/A76)^2)*C68</f>
        <v>313.41260239445489</v>
      </c>
      <c r="E76" s="404">
        <v>493.32173913043476</v>
      </c>
      <c r="F76" s="405">
        <v>4.249000072479248</v>
      </c>
    </row>
    <row r="77" spans="1:6">
      <c r="A77" s="406">
        <v>110</v>
      </c>
      <c r="B77" s="405"/>
      <c r="C77" s="404">
        <f>CEILING(C76*2,100)</f>
        <v>700</v>
      </c>
      <c r="E77" s="404">
        <v>480.69565217391306</v>
      </c>
      <c r="F77" s="405">
        <v>4.6719999313354492</v>
      </c>
    </row>
    <row r="78" spans="1:6">
      <c r="A78" s="406">
        <v>110</v>
      </c>
      <c r="B78" s="405"/>
      <c r="C78" s="404">
        <f>2*C77</f>
        <v>1400</v>
      </c>
      <c r="E78" s="404">
        <v>466.1391304347826</v>
      </c>
      <c r="F78" s="405">
        <v>5.1139998435974121</v>
      </c>
    </row>
    <row r="79" spans="1:6">
      <c r="A79" s="406">
        <v>110</v>
      </c>
      <c r="B79" s="406"/>
      <c r="C79" s="406">
        <v>10000</v>
      </c>
      <c r="E79" s="404">
        <v>425.80869565217392</v>
      </c>
      <c r="F79" s="405">
        <v>5.4340000152587891</v>
      </c>
    </row>
    <row r="80" spans="1:6">
      <c r="E80" s="404">
        <v>266.08695652173913</v>
      </c>
      <c r="F80" s="405">
        <v>5.5019998550415039</v>
      </c>
    </row>
    <row r="81" spans="5:6">
      <c r="E81" s="404">
        <v>0</v>
      </c>
      <c r="F81" s="405">
        <v>5.6319999694824219</v>
      </c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3"/>
  <sheetViews>
    <sheetView workbookViewId="0">
      <selection sqref="A1:K1"/>
    </sheetView>
  </sheetViews>
  <sheetFormatPr defaultRowHeight="12.75"/>
  <cols>
    <col min="1" max="1" width="9.5703125" style="348" customWidth="1"/>
    <col min="2" max="11" width="7.7109375" style="348" customWidth="1"/>
    <col min="12" max="16384" width="9.140625" style="348"/>
  </cols>
  <sheetData>
    <row r="1" spans="1:12" ht="20.25">
      <c r="A1" s="570" t="s">
        <v>600</v>
      </c>
      <c r="B1" s="570"/>
      <c r="C1" s="570"/>
      <c r="D1" s="570"/>
      <c r="E1" s="570"/>
      <c r="F1" s="570"/>
      <c r="G1" s="570"/>
      <c r="H1" s="570"/>
      <c r="I1" s="570"/>
      <c r="J1" s="570"/>
      <c r="K1" s="570"/>
      <c r="L1" s="349"/>
    </row>
    <row r="2" spans="1:12" ht="30" customHeight="1">
      <c r="A2" s="349"/>
      <c r="B2" s="349"/>
      <c r="C2" s="349"/>
      <c r="D2" s="349"/>
      <c r="E2" s="349"/>
      <c r="F2" s="349"/>
      <c r="G2" s="349"/>
      <c r="H2" s="349"/>
      <c r="I2" s="349"/>
      <c r="J2" s="349"/>
      <c r="K2" s="349"/>
      <c r="L2" s="349"/>
    </row>
    <row r="3" spans="1:12" ht="19.5">
      <c r="A3" s="379" t="s">
        <v>439</v>
      </c>
      <c r="B3" s="407" t="s">
        <v>478</v>
      </c>
      <c r="C3" s="349"/>
      <c r="D3" s="349"/>
      <c r="E3" s="349"/>
      <c r="F3" s="349"/>
      <c r="G3" s="349"/>
      <c r="H3" s="349"/>
      <c r="I3" s="349"/>
      <c r="J3" s="349"/>
      <c r="K3" s="349"/>
      <c r="L3" s="349"/>
    </row>
    <row r="4" spans="1:12" ht="12" customHeight="1">
      <c r="A4" s="349"/>
      <c r="B4" s="349"/>
      <c r="C4" s="349"/>
      <c r="D4" s="349"/>
      <c r="E4" s="349"/>
      <c r="F4" s="349"/>
      <c r="G4" s="349"/>
      <c r="H4" s="349"/>
      <c r="I4" s="349"/>
      <c r="J4" s="349"/>
      <c r="K4" s="349"/>
      <c r="L4" s="349"/>
    </row>
    <row r="5" spans="1:12" ht="19.5">
      <c r="A5" s="408" t="s">
        <v>601</v>
      </c>
      <c r="B5" s="374"/>
      <c r="C5" s="374"/>
      <c r="D5" s="374"/>
      <c r="E5" s="374"/>
      <c r="F5" s="349"/>
      <c r="G5" s="349"/>
      <c r="H5" s="349"/>
      <c r="I5" s="349"/>
      <c r="J5" s="349"/>
      <c r="K5" s="349"/>
      <c r="L5" s="349"/>
    </row>
    <row r="6" spans="1:12" ht="17.25" customHeight="1">
      <c r="A6" s="349"/>
      <c r="B6" s="349"/>
      <c r="C6" s="349"/>
      <c r="D6" s="349"/>
      <c r="E6" s="349"/>
      <c r="F6" s="349"/>
      <c r="G6" s="349"/>
      <c r="H6" s="349"/>
      <c r="I6" s="349"/>
      <c r="J6" s="349"/>
      <c r="K6" s="349"/>
      <c r="L6" s="349"/>
    </row>
    <row r="7" spans="1:12" ht="15.75">
      <c r="A7" s="349"/>
      <c r="B7" s="409" t="s">
        <v>602</v>
      </c>
      <c r="C7" s="410">
        <v>0</v>
      </c>
      <c r="D7" s="409" t="s">
        <v>602</v>
      </c>
      <c r="E7" s="411" t="s">
        <v>603</v>
      </c>
      <c r="F7" s="409" t="s">
        <v>602</v>
      </c>
      <c r="G7" s="411" t="s">
        <v>604</v>
      </c>
      <c r="H7" s="409" t="s">
        <v>605</v>
      </c>
      <c r="I7" s="411">
        <v>0</v>
      </c>
      <c r="J7" s="409" t="s">
        <v>605</v>
      </c>
      <c r="K7" s="411">
        <v>6.0000000000000001E-3</v>
      </c>
      <c r="L7" s="349"/>
    </row>
    <row r="8" spans="1:12" ht="15.75">
      <c r="A8" s="394" t="s">
        <v>606</v>
      </c>
      <c r="B8" s="554">
        <v>10</v>
      </c>
      <c r="C8" s="554"/>
      <c r="D8" s="554">
        <v>22</v>
      </c>
      <c r="E8" s="554"/>
      <c r="F8" s="554">
        <v>2</v>
      </c>
      <c r="G8" s="554"/>
      <c r="H8" s="554" t="s">
        <v>621</v>
      </c>
      <c r="I8" s="554"/>
      <c r="J8" s="554" t="s">
        <v>622</v>
      </c>
      <c r="K8" s="554"/>
      <c r="L8" s="349"/>
    </row>
    <row r="9" spans="1:12" ht="15.75">
      <c r="A9" s="394" t="s">
        <v>607</v>
      </c>
      <c r="B9" s="554">
        <v>18</v>
      </c>
      <c r="C9" s="554"/>
      <c r="D9" s="554">
        <v>30</v>
      </c>
      <c r="E9" s="554"/>
      <c r="F9" s="554">
        <v>6</v>
      </c>
      <c r="G9" s="554"/>
      <c r="H9" s="554" t="s">
        <v>623</v>
      </c>
      <c r="I9" s="554"/>
      <c r="J9" s="554" t="s">
        <v>624</v>
      </c>
      <c r="K9" s="554"/>
      <c r="L9" s="349"/>
    </row>
    <row r="10" spans="1:12" ht="15.75">
      <c r="A10" s="394" t="s">
        <v>608</v>
      </c>
      <c r="B10" s="554">
        <v>14</v>
      </c>
      <c r="C10" s="554"/>
      <c r="D10" s="554">
        <v>26</v>
      </c>
      <c r="E10" s="554"/>
      <c r="F10" s="554">
        <v>2</v>
      </c>
      <c r="G10" s="554"/>
      <c r="H10" s="554" t="s">
        <v>625</v>
      </c>
      <c r="I10" s="554"/>
      <c r="J10" s="554" t="s">
        <v>626</v>
      </c>
      <c r="K10" s="554"/>
      <c r="L10" s="349"/>
    </row>
    <row r="11" spans="1:12" ht="26.25" customHeight="1">
      <c r="A11" s="349"/>
      <c r="B11" s="349"/>
      <c r="C11" s="349"/>
      <c r="D11" s="349"/>
      <c r="E11" s="349"/>
      <c r="F11" s="349"/>
      <c r="G11" s="349"/>
      <c r="H11" s="349"/>
      <c r="I11" s="349"/>
      <c r="J11" s="349"/>
      <c r="K11" s="349"/>
      <c r="L11" s="349"/>
    </row>
    <row r="12" spans="1:12" ht="19.5">
      <c r="A12" s="408" t="s">
        <v>609</v>
      </c>
      <c r="B12" s="349"/>
      <c r="C12" s="349"/>
      <c r="D12" s="349"/>
      <c r="E12" s="349"/>
      <c r="F12" s="349"/>
      <c r="G12" s="349"/>
      <c r="H12" s="349"/>
      <c r="I12" s="349"/>
      <c r="J12" s="349"/>
      <c r="K12" s="349"/>
      <c r="L12" s="349"/>
    </row>
    <row r="13" spans="1:12" ht="15.75">
      <c r="A13" s="349"/>
      <c r="B13" s="349"/>
      <c r="C13" s="349"/>
      <c r="D13" s="349"/>
      <c r="E13" s="349"/>
      <c r="F13" s="349"/>
      <c r="G13" s="349"/>
      <c r="H13" s="349"/>
      <c r="I13" s="349"/>
      <c r="J13" s="349"/>
      <c r="K13" s="349"/>
      <c r="L13" s="349"/>
    </row>
    <row r="14" spans="1:12" ht="15.75">
      <c r="A14" s="349"/>
      <c r="B14" s="571" t="s">
        <v>610</v>
      </c>
      <c r="C14" s="560"/>
      <c r="D14" s="572" t="s">
        <v>627</v>
      </c>
      <c r="E14" s="554"/>
      <c r="F14" s="571" t="s">
        <v>611</v>
      </c>
      <c r="G14" s="560"/>
      <c r="H14" s="572" t="s">
        <v>632</v>
      </c>
      <c r="I14" s="554"/>
      <c r="J14" s="349"/>
      <c r="K14" s="349"/>
      <c r="L14" s="349"/>
    </row>
    <row r="15" spans="1:12" ht="15.75">
      <c r="A15" s="349"/>
      <c r="B15" s="571" t="s">
        <v>612</v>
      </c>
      <c r="C15" s="560"/>
      <c r="D15" s="572" t="s">
        <v>628</v>
      </c>
      <c r="E15" s="554"/>
      <c r="F15" s="571" t="s">
        <v>613</v>
      </c>
      <c r="G15" s="560"/>
      <c r="H15" s="572" t="s">
        <v>633</v>
      </c>
      <c r="I15" s="554"/>
      <c r="J15" s="349"/>
      <c r="K15" s="349"/>
      <c r="L15" s="349"/>
    </row>
    <row r="16" spans="1:12" ht="15.75">
      <c r="A16" s="349"/>
      <c r="B16" s="571" t="s">
        <v>614</v>
      </c>
      <c r="C16" s="560"/>
      <c r="D16" s="572" t="s">
        <v>629</v>
      </c>
      <c r="E16" s="554"/>
      <c r="F16" s="571" t="s">
        <v>615</v>
      </c>
      <c r="G16" s="560"/>
      <c r="H16" s="572" t="s">
        <v>634</v>
      </c>
      <c r="I16" s="554"/>
      <c r="J16" s="349"/>
      <c r="K16" s="349"/>
      <c r="L16" s="349"/>
    </row>
    <row r="17" spans="1:12" ht="15.75">
      <c r="A17" s="349"/>
      <c r="B17" s="571" t="s">
        <v>616</v>
      </c>
      <c r="C17" s="560"/>
      <c r="D17" s="572" t="s">
        <v>630</v>
      </c>
      <c r="E17" s="554"/>
      <c r="F17" s="571" t="s">
        <v>617</v>
      </c>
      <c r="G17" s="560"/>
      <c r="H17" s="572" t="s">
        <v>635</v>
      </c>
      <c r="I17" s="554"/>
      <c r="J17" s="349"/>
      <c r="K17" s="349"/>
      <c r="L17" s="349"/>
    </row>
    <row r="18" spans="1:12" ht="15.75">
      <c r="A18" s="349"/>
      <c r="B18" s="571" t="s">
        <v>618</v>
      </c>
      <c r="C18" s="560"/>
      <c r="D18" s="572" t="s">
        <v>631</v>
      </c>
      <c r="E18" s="554"/>
      <c r="F18" s="571" t="s">
        <v>619</v>
      </c>
      <c r="G18" s="560"/>
      <c r="H18" s="572" t="s">
        <v>636</v>
      </c>
      <c r="I18" s="554"/>
      <c r="J18" s="349"/>
      <c r="K18" s="349"/>
      <c r="L18" s="349"/>
    </row>
    <row r="19" spans="1:12" ht="27" customHeight="1">
      <c r="A19" s="349"/>
      <c r="B19" s="349"/>
      <c r="C19" s="349"/>
      <c r="D19" s="349"/>
      <c r="E19" s="349"/>
      <c r="F19" s="349"/>
      <c r="G19" s="349"/>
      <c r="H19" s="349"/>
      <c r="I19" s="349"/>
      <c r="J19" s="349"/>
      <c r="K19" s="349"/>
      <c r="L19" s="349"/>
    </row>
    <row r="20" spans="1:12" ht="19.5">
      <c r="A20" s="408" t="s">
        <v>620</v>
      </c>
      <c r="B20" s="349"/>
      <c r="C20" s="349"/>
      <c r="D20" s="349"/>
      <c r="E20" s="349"/>
      <c r="F20" s="349"/>
      <c r="G20" s="349"/>
      <c r="H20" s="349"/>
      <c r="I20" s="349"/>
      <c r="J20" s="349"/>
      <c r="K20" s="349"/>
      <c r="L20" s="349"/>
    </row>
    <row r="21" spans="1:12" ht="15.75">
      <c r="A21" s="349"/>
      <c r="B21" s="349"/>
      <c r="C21" s="349"/>
      <c r="D21" s="349"/>
      <c r="E21" s="349"/>
      <c r="F21" s="349"/>
      <c r="G21" s="349"/>
      <c r="H21" s="349"/>
      <c r="I21" s="349"/>
      <c r="J21" s="349"/>
      <c r="K21" s="349"/>
      <c r="L21" s="349"/>
    </row>
    <row r="22" spans="1:12" ht="19.5">
      <c r="A22" s="349"/>
      <c r="B22" s="408" t="s">
        <v>637</v>
      </c>
      <c r="C22" s="349"/>
      <c r="D22" s="349"/>
      <c r="E22" s="349"/>
      <c r="F22" s="349"/>
      <c r="G22" s="349"/>
      <c r="H22" s="349"/>
      <c r="I22" s="349"/>
      <c r="J22" s="349"/>
      <c r="K22" s="349"/>
      <c r="L22" s="349"/>
    </row>
    <row r="23" spans="1:12" ht="15.75">
      <c r="A23" s="349"/>
      <c r="B23" s="349"/>
      <c r="C23" s="349"/>
      <c r="D23" s="349"/>
      <c r="E23" s="349"/>
      <c r="F23" s="349"/>
      <c r="G23" s="349"/>
      <c r="H23" s="349"/>
      <c r="I23" s="349"/>
      <c r="J23" s="349"/>
      <c r="K23" s="349"/>
      <c r="L23" s="349"/>
    </row>
    <row r="24" spans="1:12" ht="15.75">
      <c r="A24" s="349"/>
      <c r="B24" s="349"/>
      <c r="C24" s="349"/>
      <c r="D24" s="349"/>
      <c r="E24" s="349"/>
      <c r="F24" s="349"/>
      <c r="G24" s="349"/>
      <c r="H24" s="349"/>
      <c r="I24" s="349"/>
      <c r="J24" s="349"/>
      <c r="K24" s="349"/>
      <c r="L24" s="349"/>
    </row>
    <row r="25" spans="1:12" ht="15.75">
      <c r="A25" s="349"/>
      <c r="B25" s="349"/>
      <c r="C25" s="349"/>
      <c r="D25" s="349"/>
      <c r="E25" s="349"/>
      <c r="F25" s="349"/>
      <c r="G25" s="349"/>
      <c r="H25" s="349"/>
      <c r="I25" s="349"/>
      <c r="J25" s="349"/>
      <c r="K25" s="349"/>
      <c r="L25" s="349"/>
    </row>
    <row r="26" spans="1:12" ht="15.75">
      <c r="A26" s="349"/>
      <c r="B26" s="349"/>
      <c r="C26" s="349"/>
      <c r="D26" s="349"/>
      <c r="E26" s="349"/>
      <c r="F26" s="349"/>
      <c r="G26" s="349"/>
      <c r="H26" s="349"/>
      <c r="I26" s="349"/>
      <c r="J26" s="349"/>
      <c r="K26" s="349"/>
      <c r="L26" s="349"/>
    </row>
    <row r="27" spans="1:12" ht="15.75">
      <c r="A27" s="349"/>
      <c r="B27" s="349"/>
      <c r="C27" s="349"/>
      <c r="D27" s="349"/>
      <c r="E27" s="349"/>
      <c r="F27" s="349"/>
      <c r="G27" s="349"/>
      <c r="H27" s="349"/>
      <c r="I27" s="349"/>
      <c r="J27" s="349"/>
      <c r="K27" s="349"/>
      <c r="L27" s="349"/>
    </row>
    <row r="28" spans="1:12" ht="15.75">
      <c r="A28" s="349"/>
      <c r="B28" s="349"/>
      <c r="C28" s="349"/>
      <c r="D28" s="349"/>
      <c r="E28" s="349"/>
      <c r="F28" s="349"/>
      <c r="G28" s="349"/>
      <c r="H28" s="349"/>
      <c r="I28" s="349"/>
      <c r="J28" s="349"/>
      <c r="K28" s="349"/>
      <c r="L28" s="349"/>
    </row>
    <row r="29" spans="1:12" ht="15.75">
      <c r="A29" s="349"/>
      <c r="B29" s="349"/>
      <c r="C29" s="349"/>
      <c r="D29" s="349"/>
      <c r="E29" s="349"/>
      <c r="F29" s="349"/>
      <c r="G29" s="349"/>
      <c r="H29" s="349"/>
      <c r="I29" s="349"/>
      <c r="J29" s="349"/>
      <c r="K29" s="349"/>
      <c r="L29" s="349"/>
    </row>
    <row r="30" spans="1:12" ht="15.75">
      <c r="A30" s="349"/>
      <c r="B30" s="349"/>
      <c r="C30" s="349"/>
      <c r="D30" s="349"/>
      <c r="E30" s="349"/>
      <c r="F30" s="349"/>
      <c r="G30" s="349"/>
      <c r="H30" s="349"/>
      <c r="I30" s="349"/>
      <c r="J30" s="349"/>
      <c r="K30" s="349"/>
      <c r="L30" s="349"/>
    </row>
    <row r="31" spans="1:12" ht="15.75">
      <c r="A31" s="349"/>
      <c r="B31" s="349"/>
      <c r="C31" s="349"/>
      <c r="D31" s="349"/>
      <c r="E31" s="349"/>
      <c r="F31" s="349"/>
      <c r="G31" s="349"/>
      <c r="H31" s="349"/>
      <c r="I31" s="349"/>
      <c r="J31" s="349"/>
      <c r="K31" s="349"/>
      <c r="L31" s="349"/>
    </row>
    <row r="32" spans="1:12" ht="15.75">
      <c r="A32" s="349"/>
      <c r="B32" s="349"/>
      <c r="C32" s="349"/>
      <c r="D32" s="349"/>
      <c r="E32" s="349"/>
      <c r="F32" s="349"/>
      <c r="G32" s="349"/>
      <c r="H32" s="349"/>
      <c r="I32" s="349"/>
      <c r="J32" s="349"/>
      <c r="K32" s="349"/>
      <c r="L32" s="349"/>
    </row>
    <row r="33" spans="1:12" ht="15.75">
      <c r="A33" s="349"/>
      <c r="B33" s="349"/>
      <c r="C33" s="349"/>
      <c r="D33" s="349"/>
      <c r="E33" s="349"/>
      <c r="F33" s="349"/>
      <c r="G33" s="349"/>
      <c r="H33" s="349"/>
      <c r="I33" s="349"/>
      <c r="J33" s="349"/>
      <c r="K33" s="349"/>
      <c r="L33" s="349"/>
    </row>
  </sheetData>
  <mergeCells count="36">
    <mergeCell ref="B18:C18"/>
    <mergeCell ref="D18:E18"/>
    <mergeCell ref="F18:G18"/>
    <mergeCell ref="H18:I18"/>
    <mergeCell ref="B16:C16"/>
    <mergeCell ref="D16:E16"/>
    <mergeCell ref="F16:G16"/>
    <mergeCell ref="H16:I16"/>
    <mergeCell ref="B17:C17"/>
    <mergeCell ref="D17:E17"/>
    <mergeCell ref="F17:G17"/>
    <mergeCell ref="H17:I17"/>
    <mergeCell ref="B14:C14"/>
    <mergeCell ref="D14:E14"/>
    <mergeCell ref="F14:G14"/>
    <mergeCell ref="H14:I14"/>
    <mergeCell ref="B15:C15"/>
    <mergeCell ref="D15:E15"/>
    <mergeCell ref="F15:G15"/>
    <mergeCell ref="H15:I15"/>
    <mergeCell ref="B9:C9"/>
    <mergeCell ref="D9:E9"/>
    <mergeCell ref="F9:G9"/>
    <mergeCell ref="H9:I9"/>
    <mergeCell ref="J9:K9"/>
    <mergeCell ref="B10:C10"/>
    <mergeCell ref="D10:E10"/>
    <mergeCell ref="F10:G10"/>
    <mergeCell ref="H10:I10"/>
    <mergeCell ref="J10:K10"/>
    <mergeCell ref="A1:K1"/>
    <mergeCell ref="B8:C8"/>
    <mergeCell ref="D8:E8"/>
    <mergeCell ref="F8:G8"/>
    <mergeCell ref="H8:I8"/>
    <mergeCell ref="J8:K8"/>
  </mergeCells>
  <printOptions horizontalCentered="1"/>
  <pageMargins left="0.75" right="0.75" top="1" bottom="1" header="0.5" footer="0.5"/>
  <pageSetup orientation="portrait" horizontalDpi="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DesignSheet</vt:lpstr>
      <vt:lpstr>Data Sheet</vt:lpstr>
      <vt:lpstr>LoginSheet</vt:lpstr>
      <vt:lpstr>Form</vt:lpstr>
      <vt:lpstr>STCurve</vt:lpstr>
      <vt:lpstr>StallTime</vt:lpstr>
      <vt:lpstr>Thermdam</vt:lpstr>
      <vt:lpstr>MagNoise</vt:lpstr>
      <vt:lpstr>'Data Sheet'!Print_Area</vt:lpstr>
      <vt:lpstr>DesignSheet!Print_Area</vt:lpstr>
      <vt:lpstr>Form!Print_Area</vt:lpstr>
      <vt:lpstr>LoginSheet!Print_Area</vt:lpstr>
      <vt:lpstr>StallTime!Print_Area</vt:lpstr>
      <vt:lpstr>STCurve!Print_Area</vt:lpstr>
      <vt:lpstr>Thermdam!Print_Area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Toshiba International Corp</dc:creator>
  <cp:lastModifiedBy>Mammen, Bibin (TIC)</cp:lastModifiedBy>
  <cp:lastPrinted>2014-10-29T13:29:52Z</cp:lastPrinted>
  <dcterms:created xsi:type="dcterms:W3CDTF">1997-10-03T20:37:30Z</dcterms:created>
  <dcterms:modified xsi:type="dcterms:W3CDTF">2026-06-01T16:52:43Z</dcterms:modified>
</cp:coreProperties>
</file>