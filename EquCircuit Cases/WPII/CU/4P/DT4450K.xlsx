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N:\ELECTRICAL DESIGN\Design Database\TIC\Form Wound\4 Pole\DT4450K\"/>
    </mc:Choice>
  </mc:AlternateContent>
  <bookViews>
    <workbookView xWindow="3165" yWindow="1080" windowWidth="4800" windowHeight="5190" tabRatio="636" activeTab="4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10" r:id="rId5"/>
    <sheet name="STCurve" sheetId="7" r:id="rId6"/>
    <sheet name="Thermdam" sheetId="8" r:id="rId7"/>
    <sheet name="Performance" sheetId="9" r:id="rId8"/>
    <sheet name="Circuit Param" sheetId="11" r:id="rId9"/>
    <sheet name="Performance API" sheetId="12" r:id="rId10"/>
  </sheets>
  <definedNames>
    <definedName name="_Regression_Int" localSheetId="8" hidden="1">1</definedName>
    <definedName name="_Regression_Int" localSheetId="9" hidden="1">1</definedName>
    <definedName name="_Regression_Int" localSheetId="4" hidden="1">1</definedName>
    <definedName name="_xlnm.Print_Area" localSheetId="8">'Circuit Param'!$A$1:$M$42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9">'Performance API'!$A$1:$M$54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 localSheetId="8">'Circuit Param'!$A$8:$N$43</definedName>
    <definedName name="Print_Area_MI" localSheetId="9">'Performance API'!$A$10:$N$18</definedName>
    <definedName name="Print_Area_MI">'Performance Data Sheet'!$A$10:$N$42</definedName>
    <definedName name="thermal">#REF!</definedName>
    <definedName name="transfer">#REF!</definedName>
    <definedName name="unit_sht">"unit_sht"</definedName>
    <definedName name="vassvelo">#REF!</definedName>
    <definedName name="velcoity">#REF!</definedName>
    <definedName name="viscosity">#REF!</definedName>
    <definedName name="vollheatre">#REF!</definedName>
    <definedName name="volumetri">#REF!</definedName>
    <definedName name="weight">#REF!</definedName>
    <definedName name="weights">#REF!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L13" i="3" l="1"/>
  <c r="F59" i="9" l="1"/>
  <c r="E59" i="9"/>
  <c r="F58" i="9"/>
  <c r="E58" i="9"/>
  <c r="F57" i="9"/>
  <c r="E57" i="9"/>
  <c r="F56" i="9"/>
  <c r="E56" i="9"/>
  <c r="F55" i="9"/>
  <c r="E55" i="9"/>
  <c r="F54" i="9"/>
  <c r="O47" i="9"/>
  <c r="N47" i="9"/>
  <c r="O46" i="9"/>
  <c r="N46" i="9"/>
  <c r="O45" i="9"/>
  <c r="N45" i="9"/>
  <c r="O44" i="9"/>
  <c r="N44" i="9"/>
  <c r="O43" i="9"/>
  <c r="N43" i="9"/>
  <c r="O42" i="9"/>
  <c r="N42" i="9"/>
  <c r="O41" i="9"/>
  <c r="N41" i="9"/>
  <c r="O40" i="9"/>
  <c r="N40" i="9"/>
  <c r="O39" i="9"/>
  <c r="N39" i="9"/>
  <c r="O38" i="9"/>
  <c r="N38" i="9"/>
  <c r="O37" i="9"/>
  <c r="N37" i="9"/>
  <c r="D43" i="9"/>
  <c r="D43" i="8"/>
  <c r="D43" i="7"/>
  <c r="C39" i="9"/>
  <c r="C39" i="8"/>
  <c r="C39" i="7"/>
  <c r="C15" i="9"/>
  <c r="C15" i="8"/>
  <c r="C15" i="7"/>
  <c r="C13" i="9"/>
  <c r="C13" i="8"/>
  <c r="C13" i="7"/>
  <c r="C12" i="9"/>
  <c r="C12" i="8"/>
  <c r="C12" i="7"/>
  <c r="F39" i="9"/>
  <c r="F39" i="8"/>
  <c r="F39" i="7"/>
  <c r="F9" i="9"/>
  <c r="F9" i="8"/>
  <c r="F9" i="7"/>
  <c r="F8" i="9"/>
  <c r="F8" i="8"/>
  <c r="F8" i="7"/>
  <c r="F7" i="9"/>
  <c r="F7" i="8"/>
  <c r="F7" i="7"/>
  <c r="F6" i="9"/>
  <c r="F6" i="8"/>
  <c r="F6" i="7"/>
  <c r="D7" i="9"/>
  <c r="D7" i="8"/>
  <c r="D7" i="7"/>
  <c r="B10" i="9"/>
  <c r="B10" i="8"/>
  <c r="B10" i="7"/>
  <c r="B9" i="9"/>
  <c r="B9" i="8"/>
  <c r="B9" i="7"/>
  <c r="B7" i="9"/>
  <c r="B7" i="8"/>
  <c r="B7" i="7"/>
  <c r="B6" i="9"/>
  <c r="B6" i="8"/>
  <c r="B6" i="7"/>
  <c r="I80" i="8"/>
  <c r="E80" i="8"/>
  <c r="I68" i="8"/>
  <c r="C76" i="8"/>
  <c r="C77" i="8" s="1"/>
  <c r="C78" i="8" s="1"/>
  <c r="B76" i="8"/>
  <c r="C75" i="8"/>
  <c r="C74" i="8"/>
  <c r="B74" i="8"/>
  <c r="E68" i="8"/>
  <c r="D66" i="8"/>
  <c r="F50" i="8"/>
  <c r="M28" i="3"/>
  <c r="M18" i="3"/>
  <c r="M52" i="2"/>
  <c r="M53" i="2" s="1"/>
  <c r="M41" i="2"/>
  <c r="L41" i="2"/>
  <c r="M40" i="2"/>
  <c r="L40" i="2"/>
  <c r="M39" i="2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47" i="2"/>
  <c r="B70" i="8" l="1"/>
  <c r="C70" i="8"/>
  <c r="B69" i="8"/>
  <c r="B75" i="8" s="1"/>
  <c r="C69" i="8"/>
  <c r="N40" i="2"/>
  <c r="N39" i="2"/>
  <c r="N41" i="2"/>
  <c r="A72" i="8" l="1"/>
  <c r="C71" i="8"/>
  <c r="B71" i="8"/>
  <c r="A73" i="8" l="1"/>
  <c r="B73" i="8" s="1"/>
  <c r="B72" i="8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<sst xmlns="http://schemas.openxmlformats.org/spreadsheetml/2006/main" count="1149" uniqueCount="785">
  <si>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</si>
  <si>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</si>
  <si>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</si>
  <si>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</si>
  <si>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</si>
  <si>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</si>
  <si>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</si>
  <si>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</si>
  <si>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</si>
  <si>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</si>
  <si>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</si>
  <si>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</si>
  <si>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</si>
  <si>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</si>
  <si>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</si>
  <si>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</si>
  <si>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</si>
  <si>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</si>
  <si>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</si>
  <si>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</si>
  <si>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</si>
  <si>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</si>
  <si>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</si>
  <si>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</si>
  <si>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</si>
  <si>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</si>
  <si>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</si>
  <si>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</si>
  <si>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</si>
  <si>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</si>
  <si>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</si>
  <si>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</si>
  <si>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</si>
  <si>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</si>
  <si>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</si>
  <si>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</si>
  <si>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</si>
  <si>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</si>
  <si>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</si>
  <si>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</si>
  <si>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</si>
  <si>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</si>
  <si>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</si>
  <si>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</si>
  <si>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</si>
  <si>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</si>
  <si>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</si>
  <si>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</si>
  <si>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</si>
  <si>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</si>
  <si>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</si>
  <si>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</si>
  <si>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</si>
  <si>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</si>
  <si>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</si>
  <si>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</si>
  <si>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</si>
  <si>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</si>
  <si>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</si>
  <si>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</si>
  <si>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</si>
  <si>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</si>
  <si>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</si>
  <si>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</si>
  <si>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</si>
  <si>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</si>
  <si>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</si>
  <si>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</si>
  <si>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</si>
  <si>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</si>
  <si>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</si>
  <si>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</si>
  <si>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</si>
  <si>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</si>
  <si>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</si>
  <si>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</si>
  <si>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</si>
  <si>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</si>
  <si>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</si>
  <si>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</si>
  <si>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</si>
  <si>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</si>
  <si>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</si>
  <si>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</si>
  <si>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</si>
  <si>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</si>
  <si>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</si>
  <si>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</si>
  <si>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</si>
  <si>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</si>
  <si>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</si>
  <si>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</si>
  <si>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</si>
  <si>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</si>
  <si>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</si>
  <si>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</si>
  <si>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</si>
  <si>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</si>
  <si>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</si>
  <si>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</si>
  <si>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</si>
  <si>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</si>
  <si>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</si>
  <si>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</si>
  <si>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</si>
  <si>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</si>
  <si>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</si>
  <si>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</si>
  <si>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</si>
  <si>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</si>
  <si>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</si>
  <si>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</si>
  <si>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</si>
  <si>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</si>
  <si>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</si>
  <si>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</si>
  <si>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</si>
  <si>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</si>
  <si>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</si>
  <si>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</si>
  <si>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</si>
  <si>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</si>
  <si>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</si>
  <si>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</si>
  <si>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</si>
  <si>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</si>
  <si>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</si>
  <si>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</si>
  <si>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</si>
  <si>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</si>
  <si>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</si>
  <si>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</si>
  <si>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</si>
  <si>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</si>
  <si>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</si>
  <si>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</si>
  <si>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</si>
  <si>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</si>
  <si>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</si>
  <si>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</si>
  <si>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</si>
  <si>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</si>
  <si>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</si>
  <si>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</si>
  <si>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</si>
  <si>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</si>
  <si>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</si>
  <si>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</si>
  <si>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</si>
  <si>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</si>
  <si>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</si>
  <si>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</si>
  <si>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</si>
  <si>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</si>
  <si>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</si>
  <si>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</si>
  <si>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</si>
  <si>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</si>
  <si>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</si>
  <si>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</si>
  <si>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</si>
  <si>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</si>
  <si>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</si>
  <si>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</si>
  <si>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</si>
  <si>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</si>
  <si>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</si>
  <si>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</si>
  <si>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</si>
  <si>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</si>
  <si>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</si>
  <si>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</si>
  <si>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</si>
  <si>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</si>
  <si>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</si>
  <si>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</si>
  <si>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</si>
  <si>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</si>
  <si>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</si>
  <si>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</si>
  <si>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</si>
  <si>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</si>
  <si>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</si>
  <si>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</si>
  <si>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</si>
  <si>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</si>
  <si>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</si>
  <si>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</si>
  <si>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</si>
  <si>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</si>
  <si>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</si>
  <si>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</si>
  <si>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DCKW</t>
  </si>
  <si>
    <t>5011/12</t>
  </si>
  <si>
    <t>Open</t>
  </si>
  <si>
    <t>Rectang</t>
  </si>
  <si>
    <t>8.00 - 8.00</t>
  </si>
  <si>
    <t>2.40 - 2.00</t>
  </si>
  <si>
    <t>Magnetic</t>
  </si>
  <si>
    <t>6 x 10</t>
  </si>
  <si>
    <t>1 ~ 14</t>
  </si>
  <si>
    <t>(.057"x.162")x2</t>
  </si>
  <si>
    <t>Wye</t>
  </si>
  <si>
    <t>(105°C)</t>
  </si>
  <si>
    <t>CU</t>
  </si>
  <si>
    <t>ERD1: 282.5</t>
  </si>
  <si>
    <t>EBL: 40.0</t>
  </si>
  <si>
    <t>ERT: 55.00</t>
  </si>
  <si>
    <t>ERH: 25.00</t>
  </si>
  <si>
    <t>(8 x 25)</t>
  </si>
  <si>
    <t>LB:  -</t>
  </si>
  <si>
    <t>LER:  -</t>
  </si>
  <si>
    <t>Single Cage Data</t>
  </si>
  <si>
    <t>UB: 200.0</t>
  </si>
  <si>
    <t>UER: 1375.0</t>
  </si>
  <si>
    <t>(Coeff.: 0.1167)</t>
  </si>
  <si>
    <t>Skew R.: 0.00</t>
  </si>
  <si>
    <t>G:\Top_Hat_5012\Electric\SERIES DESIGNS\Cu-Bar\WPII\4P\DT4450K.rat</t>
  </si>
  <si>
    <t>2-2-2-0-1-2</t>
  </si>
  <si>
    <t>B.L.-1  P.F.-1</t>
  </si>
  <si>
    <t>6909.8 / 7200.1</t>
  </si>
  <si>
    <t>4506.6 / 3658.5</t>
  </si>
  <si>
    <t>6469.0 / 7538.1</t>
  </si>
  <si>
    <t>1600.0 / 4783.2</t>
  </si>
  <si>
    <t>4309.4 / 3546.8</t>
  </si>
  <si>
    <t>922.6 / 759.4</t>
  </si>
  <si>
    <t>3386.8 / 2787.5</t>
  </si>
  <si>
    <t>1.50 / 1.23</t>
  </si>
  <si>
    <t>71 / 65</t>
  </si>
  <si>
    <t>Temp. Rise @ 100%:</t>
  </si>
  <si>
    <t>Stray Loss</t>
  </si>
  <si>
    <t>0.920 / 0.899</t>
  </si>
  <si>
    <t>0.949 / 0.927</t>
  </si>
  <si>
    <t>0.954 / 0.932</t>
  </si>
  <si>
    <t>0.953 / 0.931</t>
  </si>
  <si>
    <t>0.538 / 0.549</t>
  </si>
  <si>
    <t>0.758 / 0.773</t>
  </si>
  <si>
    <t>0.839 / 0.856</t>
  </si>
  <si>
    <t>0.870 / 0.887</t>
  </si>
  <si>
    <t>0.880 / 0.897</t>
  </si>
  <si>
    <t>24.47 / 24.55</t>
  </si>
  <si>
    <t>33.66 / 33.78</t>
  </si>
  <si>
    <t>45.39 / 45.55</t>
  </si>
  <si>
    <t>58.46 / 58.66</t>
  </si>
  <si>
    <t>72.59 / 72.84</t>
  </si>
  <si>
    <t>5.18 / 5.19</t>
  </si>
  <si>
    <t>UB: 6.84 / 6.86</t>
  </si>
  <si>
    <t>UER: 3.50 / 3.51</t>
  </si>
  <si>
    <t>1794.3 / 1791.8</t>
  </si>
  <si>
    <t>1788.7 / 1786.2</t>
  </si>
  <si>
    <t>1783.0 / 1780.5</t>
  </si>
  <si>
    <t>1777.1 / 1774.5</t>
  </si>
  <si>
    <t>1771.1 / 1768.5</t>
  </si>
  <si>
    <t>0.0032 / 0.0046</t>
  </si>
  <si>
    <t>0.0063 / 0.0077</t>
  </si>
  <si>
    <t>0.0094 / 0.0109</t>
  </si>
  <si>
    <t>0.0127 / 0.0142</t>
  </si>
  <si>
    <t>0.0161 / 0.0175</t>
  </si>
  <si>
    <t>19.215 / 16.458</t>
  </si>
  <si>
    <t>0.621 / 0.532</t>
  </si>
  <si>
    <t>19.23 / 16.47</t>
  </si>
  <si>
    <t>309.4 / 352.8</t>
  </si>
  <si>
    <t>529.2 / 603.5</t>
  </si>
  <si>
    <t>217.0 / 250.1</t>
  </si>
  <si>
    <t>117.9 / 135.9</t>
  </si>
  <si>
    <t>247.0 / 275.8</t>
  </si>
  <si>
    <t>Correlated to: H202029_WPII_Lab8343B.dat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</si>
  <si>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</si>
  <si>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</si>
  <si>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</si>
  <si>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</si>
  <si>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</si>
  <si>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</si>
  <si>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</si>
  <si>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</si>
  <si>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</si>
  <si>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</si>
  <si>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</si>
  <si>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</si>
  <si>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</si>
  <si>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</si>
  <si>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</si>
  <si>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</si>
  <si>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</si>
  <si>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</si>
  <si>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</si>
  <si>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</si>
  <si>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</si>
  <si>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</si>
  <si>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</si>
  <si>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</si>
  <si>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</si>
  <si>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</si>
  <si>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</si>
  <si>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</si>
  <si>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</si>
  <si>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</si>
  <si>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</si>
  <si>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</si>
  <si>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</si>
  <si>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</si>
  <si>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</si>
  <si>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</si>
  <si>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</si>
  <si>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</si>
  <si>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</si>
  <si>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</si>
  <si>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</si>
  <si>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</si>
  <si>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</si>
  <si>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</si>
  <si>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</si>
  <si>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</si>
  <si>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</si>
  <si>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</si>
  <si>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</si>
  <si>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</si>
  <si>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</si>
  <si>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</si>
  <si>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</si>
  <si>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</si>
  <si>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</si>
  <si>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</si>
  <si>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</si>
  <si>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</si>
  <si>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</si>
  <si>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</si>
  <si>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</si>
  <si>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</si>
  <si>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</si>
  <si>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</si>
  <si>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</si>
  <si>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</si>
  <si>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</si>
  <si>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</si>
  <si>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</si>
  <si>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</si>
  <si>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</si>
  <si>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</si>
  <si>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</si>
  <si>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</si>
  <si>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</si>
  <si>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</si>
  <si>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</si>
  <si>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</si>
  <si>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</si>
  <si>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</si>
  <si>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</si>
  <si>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</si>
  <si>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</si>
  <si>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</si>
  <si>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</si>
  <si>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</si>
  <si>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</si>
  <si>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</si>
  <si>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</si>
  <si>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</si>
  <si>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</si>
  <si>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</si>
  <si>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</si>
  <si>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</si>
  <si>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</si>
  <si>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</si>
  <si>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</si>
  <si>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</si>
  <si>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</si>
  <si>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</si>
  <si>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</si>
  <si>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</si>
  <si>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</si>
  <si>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</si>
  <si>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</si>
  <si>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</si>
  <si>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</si>
  <si>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</si>
  <si>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</si>
  <si>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</si>
  <si>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</si>
  <si>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</si>
  <si>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DT4450K</t>
  </si>
  <si>
    <t>Type: TIKE - Form: DCKW - 4 Pole - 450 HP - 4000 V - 60 Hz - 5011/12 - Class F</t>
  </si>
  <si>
    <t>21 x 2</t>
  </si>
  <si>
    <t>1 x Wye</t>
  </si>
  <si>
    <t>71 / 94</t>
  </si>
  <si>
    <t>519 / 3105</t>
  </si>
  <si>
    <t>686 / 351</t>
  </si>
  <si>
    <t>4504WTAK11F-C</t>
  </si>
  <si>
    <t>10,11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</si>
  <si>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</si>
  <si>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</si>
  <si>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</si>
  <si>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</si>
  <si>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</si>
  <si>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</si>
  <si>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</si>
  <si>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</si>
  <si>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</si>
  <si>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25.7 kg.m²</t>
  </si>
  <si>
    <t>184.0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</si>
  <si>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</si>
  <si>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</si>
  <si>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</si>
  <si>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</si>
  <si>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</si>
  <si>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</si>
  <si>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</si>
  <si>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</si>
  <si>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</si>
  <si>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</si>
  <si>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</si>
  <si>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</si>
  <si>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</si>
  <si>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</si>
  <si>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</si>
  <si>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</si>
  <si>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</si>
  <si>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</si>
  <si>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</si>
  <si>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</si>
  <si>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</si>
  <si>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</si>
  <si>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</si>
  <si>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</si>
  <si>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</si>
  <si>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</si>
  <si>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</si>
  <si>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</si>
  <si>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</si>
  <si>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</si>
  <si>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</si>
  <si>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</si>
  <si>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</si>
  <si>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</si>
  <si>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</si>
  <si>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</si>
  <si>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</si>
  <si>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</si>
  <si>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</si>
  <si>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- 450.0 HP - 1800 RPM - 4000 V - 60 Hz</t>
  </si>
  <si>
    <t>0~186</t>
  </si>
  <si>
    <t>186~372</t>
  </si>
  <si>
    <t>372~558</t>
  </si>
  <si>
    <t>558~744</t>
  </si>
  <si>
    <t>744~930</t>
  </si>
  <si>
    <t>930~1116</t>
  </si>
  <si>
    <t>1116~1302</t>
  </si>
  <si>
    <t>1302~1488</t>
  </si>
  <si>
    <t>1488~1581</t>
  </si>
  <si>
    <t>1581~1674</t>
  </si>
  <si>
    <t>1674~1737</t>
  </si>
  <si>
    <t>1737~1777</t>
  </si>
  <si>
    <t/>
  </si>
  <si>
    <t>Load Type: Fan / Pump - 152.4 lb-ft²</t>
  </si>
  <si>
    <t>135.1</t>
  </si>
  <si>
    <t>135.3</t>
  </si>
  <si>
    <t>135.8</t>
  </si>
  <si>
    <t>136.5</t>
  </si>
  <si>
    <t>137.9</t>
  </si>
  <si>
    <t>140.5</t>
  </si>
  <si>
    <t>146.4</t>
  </si>
  <si>
    <t>160.6</t>
  </si>
  <si>
    <t>184.6</t>
  </si>
  <si>
    <t>236.7</t>
  </si>
  <si>
    <t>262.8</t>
  </si>
  <si>
    <t>175.3</t>
  </si>
  <si>
    <t>22.4</t>
  </si>
  <si>
    <t>11.3</t>
  </si>
  <si>
    <t>7.0</t>
  </si>
  <si>
    <t>7.5</t>
  </si>
  <si>
    <t>12.1</t>
  </si>
  <si>
    <t>19.8</t>
  </si>
  <si>
    <t>30.6</t>
  </si>
  <si>
    <t>46.4</t>
  </si>
  <si>
    <t>62.1</t>
  </si>
  <si>
    <t>75.1</t>
  </si>
  <si>
    <t>86.5</t>
  </si>
  <si>
    <t>94.9</t>
  </si>
  <si>
    <t>0.111</t>
  </si>
  <si>
    <t>0.101</t>
  </si>
  <si>
    <t>0.097</t>
  </si>
  <si>
    <t>0.100</t>
  </si>
  <si>
    <t>0.104</t>
  </si>
  <si>
    <t>0.108</t>
  </si>
  <si>
    <t>0.110</t>
  </si>
  <si>
    <t>0.051</t>
  </si>
  <si>
    <t>0.039</t>
  </si>
  <si>
    <t>0.024</t>
  </si>
  <si>
    <t>0.034</t>
  </si>
  <si>
    <t>351.5</t>
  </si>
  <si>
    <t>348.3</t>
  </si>
  <si>
    <t>344.8</t>
  </si>
  <si>
    <t>340.8</t>
  </si>
  <si>
    <t>336.2</t>
  </si>
  <si>
    <t>330.7</t>
  </si>
  <si>
    <t>323.5</t>
  </si>
  <si>
    <t>311.2</t>
  </si>
  <si>
    <t>294.9</t>
  </si>
  <si>
    <t>269.6</t>
  </si>
  <si>
    <t>213.1</t>
  </si>
  <si>
    <t>110.2</t>
  </si>
  <si>
    <t>28.0</t>
  </si>
  <si>
    <t>25.0</t>
  </si>
  <si>
    <t>23.7</t>
  </si>
  <si>
    <t>23.1</t>
  </si>
  <si>
    <t>23.4</t>
  </si>
  <si>
    <t>23.5</t>
  </si>
  <si>
    <t>22.6</t>
  </si>
  <si>
    <t>9.5</t>
  </si>
  <si>
    <t>6.4</t>
  </si>
  <si>
    <t>3.1</t>
  </si>
  <si>
    <t>0.2</t>
  </si>
  <si>
    <t>60.6</t>
  </si>
  <si>
    <t>49.4</t>
  </si>
  <si>
    <t>42.2</t>
  </si>
  <si>
    <t>36.8</t>
  </si>
  <si>
    <t>32.3</t>
  </si>
  <si>
    <t>28.1</t>
  </si>
  <si>
    <t>23.6</t>
  </si>
  <si>
    <t>18.4</t>
  </si>
  <si>
    <t>12.2</t>
  </si>
  <si>
    <t>7.6</t>
  </si>
  <si>
    <t>5.5</t>
  </si>
  <si>
    <t>2.0</t>
  </si>
  <si>
    <t>212 kW / s</t>
  </si>
  <si>
    <t>302 kW / s</t>
  </si>
  <si>
    <t>17 kW / s</t>
  </si>
  <si>
    <t>6°C</t>
  </si>
  <si>
    <t>20°C</t>
  </si>
  <si>
    <t>2°C</t>
  </si>
  <si>
    <t>11°C</t>
  </si>
  <si>
    <t>4°C</t>
  </si>
  <si>
    <t>Acceleration Time:  1.0 s</t>
  </si>
  <si>
    <t>7.8°C / s</t>
  </si>
  <si>
    <t>28.8°C / s</t>
  </si>
  <si>
    <t>2.7°C / s</t>
  </si>
  <si>
    <t>296.6 kW</t>
  </si>
  <si>
    <t>428.8 kW</t>
  </si>
  <si>
    <t>24.4 kW</t>
  </si>
  <si>
    <t>20.5 s</t>
  </si>
  <si>
    <t>9.0 s</t>
  </si>
  <si>
    <t>67.1 s</t>
  </si>
  <si>
    <t>71°C    +</t>
  </si>
  <si>
    <t>95°C    +</t>
  </si>
  <si>
    <t>89°C    +</t>
  </si>
  <si>
    <t>165°C   +</t>
  </si>
  <si>
    <t>85°C   +</t>
  </si>
  <si>
    <t>11.4 s</t>
  </si>
  <si>
    <t>5.7 s</t>
  </si>
  <si>
    <t>31.6 s</t>
  </si>
  <si>
    <t>22.1 s</t>
  </si>
  <si>
    <t>10.4 s</t>
  </si>
  <si>
    <t>Thermal Limit &amp; Acceleration Curves</t>
  </si>
  <si>
    <t>Design Values (For Reference Only)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</si>
  <si>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</si>
  <si>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</si>
  <si>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</si>
  <si>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</si>
  <si>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</si>
  <si>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</si>
  <si>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</si>
  <si>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</si>
  <si>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</si>
  <si>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</si>
  <si>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</si>
  <si>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</si>
  <si>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Comments:</t>
  </si>
  <si>
    <t>D.E.Curve #:</t>
  </si>
  <si>
    <t>Prepared by:</t>
  </si>
  <si>
    <t>Checked by:</t>
  </si>
  <si>
    <t>Cold</t>
  </si>
  <si>
    <t>Hot</t>
  </si>
  <si>
    <t>CURRENT (%)</t>
  </si>
  <si>
    <t>Accel. Time</t>
  </si>
  <si>
    <t>123.4 lb-ft²</t>
  </si>
  <si>
    <t>152.4 lb-ft²</t>
  </si>
  <si>
    <t>Torque 80%</t>
  </si>
  <si>
    <t>LRA 80%</t>
  </si>
  <si>
    <t>Acceleration Data (FV / 0.80 V)</t>
  </si>
  <si>
    <t>1.0 / 1.8 (s)</t>
  </si>
  <si>
    <t>Speed Torque/Current Curve</t>
  </si>
  <si>
    <t>Locked Rotor Amps:</t>
  </si>
  <si>
    <t>Locked Rotor Torque:</t>
  </si>
  <si>
    <t>Starting at:</t>
  </si>
  <si>
    <t>Breakdown Torque:</t>
  </si>
  <si>
    <t>FV / 0.80 (V)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</si>
  <si>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</si>
  <si>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</si>
  <si>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</si>
  <si>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</si>
  <si>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</si>
  <si>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</si>
  <si>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</si>
  <si>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</si>
  <si>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</si>
  <si>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</si>
  <si>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</si>
  <si>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</si>
  <si>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</si>
  <si>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</si>
  <si>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</si>
  <si>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</si>
  <si>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</si>
  <si>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</si>
  <si>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</si>
  <si>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</si>
  <si>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</si>
  <si>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</si>
  <si>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</si>
  <si>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</si>
  <si>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</si>
  <si>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</si>
  <si>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</si>
  <si>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</si>
  <si>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</si>
  <si>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</si>
  <si>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</si>
  <si>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</si>
  <si>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</si>
  <si>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</si>
  <si>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</si>
  <si>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</si>
  <si>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</si>
  <si>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</si>
  <si>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</si>
  <si>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</si>
  <si>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</si>
  <si>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</si>
  <si>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</si>
  <si>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</si>
  <si>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</si>
  <si>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</si>
  <si>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</si>
  <si>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</si>
  <si>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</si>
  <si>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</si>
  <si>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</si>
  <si>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</si>
  <si>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</si>
  <si>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</si>
  <si>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</si>
  <si>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</si>
  <si>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</si>
  <si>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</si>
  <si>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</si>
  <si>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</si>
  <si>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</si>
  <si>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</si>
  <si>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</si>
  <si>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</si>
  <si>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</si>
  <si>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</si>
  <si>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</si>
  <si>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</si>
  <si>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</si>
  <si>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</si>
  <si>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</si>
  <si>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</si>
  <si>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</si>
  <si>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</si>
  <si>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</si>
  <si>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</si>
  <si>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</si>
  <si>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</si>
  <si>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</si>
  <si>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</si>
  <si>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</si>
  <si>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</si>
  <si>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</si>
  <si>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</si>
  <si>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</si>
  <si>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</si>
  <si>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</si>
  <si>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</si>
  <si>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</si>
  <si>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</si>
  <si>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</si>
  <si>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</si>
  <si>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</si>
  <si>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</si>
  <si>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</si>
  <si>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</si>
  <si>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</si>
  <si>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</si>
  <si>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</si>
  <si>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</si>
  <si>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</si>
  <si>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</si>
  <si>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</si>
  <si>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</si>
  <si>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</si>
  <si>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</si>
  <si>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</si>
  <si>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</si>
  <si>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</si>
  <si>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SULZER PUMPS MEXICO S.A. DE C.V.</t>
  </si>
  <si>
    <t>2182344.3</t>
  </si>
  <si>
    <t>5012US</t>
  </si>
  <si>
    <t>DCW4</t>
  </si>
  <si>
    <t>WP-II</t>
  </si>
  <si>
    <t>1.0</t>
  </si>
  <si>
    <t>A1-10033109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</si>
  <si>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</si>
  <si>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</si>
  <si>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</si>
  <si>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</si>
  <si>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</si>
  <si>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</si>
  <si>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</si>
  <si>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H. Yamaga</t>
  </si>
  <si>
    <t>MPCF-1109</t>
  </si>
  <si>
    <t>EQUIVALENT CIRCUIT DATA</t>
  </si>
  <si>
    <t>NEW</t>
  </si>
  <si>
    <t>REV. 0</t>
  </si>
  <si>
    <t xml:space="preserve">All Values are Presented in Ohms/Phase, Equivalent Wye Connection. </t>
  </si>
  <si>
    <t>Paul Anderson</t>
  </si>
  <si>
    <t>Primary Resistance (R1) :</t>
  </si>
  <si>
    <t>Secondary Resistance (R2) :</t>
  </si>
  <si>
    <t>Starting Secondary Resistance (R3) :</t>
  </si>
  <si>
    <t>Primary Reactance (X1) :</t>
  </si>
  <si>
    <t>Secondary Reactance (X2) :</t>
  </si>
  <si>
    <t>Starting Secondary Reactance (X3) :</t>
  </si>
  <si>
    <t>Magnetizing Reactance (Xm) :</t>
  </si>
  <si>
    <t>Transient Reactance :</t>
  </si>
  <si>
    <t>Sub Transient Reactance :</t>
  </si>
  <si>
    <t>Short Circuit Time Constant :</t>
  </si>
  <si>
    <t>Sub Transient Time Constant :</t>
  </si>
  <si>
    <t>Open Circuit Time Constant :</t>
  </si>
  <si>
    <t>MPCF-1082</t>
  </si>
  <si>
    <t>2/14/02</t>
  </si>
  <si>
    <t>M. CAMPBELL</t>
  </si>
  <si>
    <t>API 541 PERFORMANCE SPECIFICATIONS</t>
  </si>
  <si>
    <t>P.A.A</t>
  </si>
  <si>
    <t>LOCKED ROTOR DATA</t>
  </si>
  <si>
    <t>AMPS AT RATED VOLTAGE:</t>
  </si>
  <si>
    <t>353 A</t>
  </si>
  <si>
    <t>POWER FACTOR:</t>
  </si>
  <si>
    <t>AMPS AT 80% VOLTAGE:</t>
  </si>
  <si>
    <t>276 A</t>
  </si>
  <si>
    <t>TORQUE VALUES</t>
  </si>
  <si>
    <t>CURVE NUMBERS</t>
  </si>
  <si>
    <t>FULL LOAD (LB.FT):</t>
  </si>
  <si>
    <t>SPEED-TORQUE CURVE:</t>
  </si>
  <si>
    <t>LOCKED ROTOR TORQUE (% OF FLT):</t>
  </si>
  <si>
    <t>SPEED-CURRENT CURVE:</t>
  </si>
  <si>
    <t>PULL UP TORQUE (% OF FLT):</t>
  </si>
  <si>
    <t>ACCELERATION CURVE:</t>
  </si>
  <si>
    <t>BREAKDOWN TORQUE (% OF FLT):</t>
  </si>
  <si>
    <t>LOCKED ROTOR WITHSTAND TIMES</t>
  </si>
  <si>
    <t>COLD CONDITION</t>
  </si>
  <si>
    <t>HOT CONDITION</t>
  </si>
  <si>
    <t>100% VOLTAGE:</t>
  </si>
  <si>
    <t>31 (s)</t>
  </si>
  <si>
    <t>14 (s)</t>
  </si>
  <si>
    <t>90% VOLTAGE:</t>
  </si>
  <si>
    <t>39 (s)</t>
  </si>
  <si>
    <t>18 (s)</t>
  </si>
  <si>
    <t>80% VOLTAGE:</t>
  </si>
  <si>
    <t>49 (s)</t>
  </si>
  <si>
    <t>23 (s)</t>
  </si>
  <si>
    <t>70% VOLTAGE:</t>
  </si>
  <si>
    <t>64 (s)</t>
  </si>
  <si>
    <t>30 (s)</t>
  </si>
  <si>
    <t>DESIGN DATA</t>
  </si>
  <si>
    <r>
      <t>MOTOR ROTOR wk</t>
    </r>
    <r>
      <rPr>
        <vertAlign val="superscript"/>
        <sz val="8"/>
        <rFont val="Univers"/>
        <family val="2"/>
      </rPr>
      <t xml:space="preserve">2 </t>
    </r>
    <r>
      <rPr>
        <sz val="8"/>
        <rFont val="Univers"/>
        <family val="2"/>
      </rPr>
      <t>(LB.FT</t>
    </r>
    <r>
      <rPr>
        <vertAlign val="superscript"/>
        <sz val="8"/>
        <rFont val="Univers"/>
        <family val="2"/>
      </rPr>
      <t>2</t>
    </r>
    <r>
      <rPr>
        <sz val="8"/>
        <rFont val="Univers"/>
        <family val="2"/>
      </rPr>
      <t>):</t>
    </r>
  </si>
  <si>
    <t>123.4</t>
  </si>
  <si>
    <t>NO LOAD CURRENT:</t>
  </si>
  <si>
    <t>16.47 A</t>
  </si>
  <si>
    <t>AIR GAP:</t>
  </si>
  <si>
    <t>1.7 mm</t>
  </si>
  <si>
    <t>ACCELERATION TIME:</t>
  </si>
  <si>
    <t>1 / 2 (s)</t>
  </si>
  <si>
    <t>LOAD CHARACTERISTICS</t>
  </si>
  <si>
    <t>LOAD</t>
  </si>
  <si>
    <t>1/2</t>
  </si>
  <si>
    <t>3/4</t>
  </si>
  <si>
    <t>FULL</t>
  </si>
  <si>
    <t>SF</t>
  </si>
  <si>
    <t>AMPS (A)</t>
  </si>
  <si>
    <t>EFFICIENCY (%)</t>
  </si>
  <si>
    <t>POWER FACTOR (%)</t>
  </si>
  <si>
    <t>GUARENTEED EFFICIENCY (%)</t>
  </si>
  <si>
    <t>EFFICIENCY TO BE DETERMINED BY IEEE 112, METHOD B</t>
  </si>
  <si>
    <t>ALL CHARACTERISTICS ARE AVERAGE EXPECTED VALUES BASED UPON RATED VOLTAGE, FREQUENCY AND SINEWAVE POWER INPUT.</t>
  </si>
  <si>
    <t>RM</t>
  </si>
  <si>
    <t>RTD 1.0SF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</si>
</sst>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  <numFmt numFmtId="173" formatCode="m/d/yy"/>
    <numFmt numFmtId="174" formatCode="0.000\ &quot;Ohms/Phase&quot;"/>
    <numFmt numFmtId="175" formatCode="0.00000\ &quot;Ohm&quot;"/>
    <numFmt numFmtId="176" formatCode="@\ &quot;ohm&quot;"/>
    <numFmt numFmtId="177" formatCode="0.0000\ &quot;Ohm&quot;"/>
    <numFmt numFmtId="178" formatCode="&quot;#,##0.00&quot;\ @\ &quot;ohm&quot;"/>
    <numFmt numFmtId="179" formatCode="0.0\ &quot;Ohms/Phase&quot;"/>
    <numFmt numFmtId="180" formatCode="0.0000\ &quot;Ohms&quot;"/>
    <numFmt numFmtId="181" formatCode="0.00\ &quot;Ohms&quot;"/>
    <numFmt numFmtId="182" formatCode=".0"/>
    <numFmt numFmtId="183" formatCode="\ 0.0\ \A"/>
  </numFmts>
  <fonts count="9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u/>
      <sz val="14"/>
      <name val="Times New Roman"/>
      <family val="1"/>
    </font>
    <font>
      <b/>
      <i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name val="Helv"/>
    </font>
    <font>
      <b/>
      <sz val="12"/>
      <name val="Univers (W1)"/>
    </font>
    <font>
      <sz val="10"/>
      <name val="Univers (W1)"/>
    </font>
    <font>
      <i/>
      <sz val="10"/>
      <name val="Script"/>
      <family val="4"/>
      <charset val="255"/>
    </font>
    <font>
      <sz val="12"/>
      <name val="Univers"/>
      <family val="2"/>
    </font>
    <font>
      <sz val="9"/>
      <name val="Helv"/>
    </font>
    <font>
      <sz val="11"/>
      <name val="Univers (W1)"/>
      <family val="2"/>
    </font>
    <font>
      <sz val="11"/>
      <name val="Univers (W1)"/>
    </font>
    <font>
      <sz val="12"/>
      <name val="Lucida Calligraphy"/>
      <family val="4"/>
    </font>
    <font>
      <sz val="10"/>
      <name val="Univers"/>
      <family val="2"/>
    </font>
    <font>
      <sz val="9"/>
      <name val="Univers"/>
      <family val="2"/>
    </font>
    <font>
      <sz val="8"/>
      <name val="Univers"/>
      <family val="2"/>
    </font>
    <font>
      <sz val="11"/>
      <name val="Univers"/>
      <family val="2"/>
    </font>
    <font>
      <vertAlign val="superscript"/>
      <sz val="8"/>
      <name val="Univers"/>
      <family val="2"/>
    </font>
    <font>
      <sz val="8"/>
      <name val="Helv"/>
    </font>
    <font>
      <b/>
      <sz val="12"/>
      <name val="Helv"/>
    </font>
    <font>
      <sz val="7"/>
      <name val="Univers (W1)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0" fontId="24" fillId="0" borderId="0"/>
    <xf numFmtId="0" fontId="24" fillId="0" borderId="0"/>
    <xf numFmtId="0" fontId="54" fillId="0" borderId="0"/>
    <xf numFmtId="0" fontId="2" fillId="0" borderId="0"/>
    <xf numFmtId="172" fontId="68" fillId="0" borderId="0"/>
    <xf numFmtId="0" fontId="81" fillId="0" borderId="0"/>
    <xf numFmtId="0" fontId="68" fillId="0" borderId="0"/>
    <xf numFmtId="172" fontId="68" fillId="0" borderId="0"/>
    <xf numFmtId="0" fontId="24" fillId="0" borderId="0"/>
    <xf numFmtId="0" fontId="1" fillId="0" borderId="0"/>
    <xf numFmtId="0" fontId="68" fillId="0" borderId="0"/>
    <xf numFmtId="0" fontId="68" fillId="0" borderId="0"/>
    <xf numFmtId="0" fontId="2" fillId="0" borderId="0"/>
    <xf numFmtId="0" fontId="2" fillId="0" borderId="0"/>
  </cellStyleXfs>
  <cellXfs count="936">
    <xf numFmtId="0" fontId="0" fillId="0" borderId="0" xfId="0"/>
    <xf numFmtId="0" fontId="3" fillId="0" borderId="0" xfId="0" applyFont="1"/>
    <xf numFmtId="0" fontId="0" fillId="0" borderId="0" xfId="0" applyAlignment="1">
      <alignment horizontal="centerContinuous"/>
    </xf>
    <xf numFmtId="0" fontId="3" fillId="0" borderId="0" xfId="0" applyFont="1" applyBorder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4" fillId="0" borderId="3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4" xfId="0" applyFont="1" applyBorder="1"/>
    <xf numFmtId="0" fontId="3" fillId="0" borderId="0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10" xfId="0" applyFont="1" applyBorder="1"/>
    <xf numFmtId="0" fontId="4" fillId="0" borderId="11" xfId="0" applyFont="1" applyBorder="1" applyAlignment="1">
      <alignment horizontal="right"/>
    </xf>
    <xf numFmtId="0" fontId="4" fillId="0" borderId="7" xfId="0" applyFont="1" applyBorder="1" applyAlignment="1">
      <alignment horizontal="centerContinuous"/>
    </xf>
    <xf numFmtId="0" fontId="5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3" fillId="0" borderId="14" xfId="0" applyFont="1" applyBorder="1"/>
    <xf numFmtId="0" fontId="5" fillId="0" borderId="15" xfId="0" applyFont="1" applyBorder="1"/>
    <xf numFmtId="0" fontId="3" fillId="0" borderId="14" xfId="0" applyFont="1" applyBorder="1" applyAlignment="1">
      <alignment horizontal="centerContinuous"/>
    </xf>
    <xf numFmtId="0" fontId="3" fillId="0" borderId="16" xfId="0" applyFont="1" applyBorder="1" applyAlignment="1">
      <alignment horizontal="centerContinuous"/>
    </xf>
    <xf numFmtId="0" fontId="4" fillId="0" borderId="9" xfId="0" applyFont="1" applyBorder="1" applyAlignment="1">
      <alignment horizontal="centerContinuous"/>
    </xf>
    <xf numFmtId="0" fontId="6" fillId="0" borderId="0" xfId="0" applyFont="1"/>
    <xf numFmtId="0" fontId="7" fillId="0" borderId="0" xfId="0" applyFont="1" applyAlignment="1">
      <alignment horizontal="centerContinuous"/>
    </xf>
    <xf numFmtId="0" fontId="3" fillId="0" borderId="1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19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3" fillId="0" borderId="21" xfId="0" applyFont="1" applyBorder="1"/>
    <xf numFmtId="0" fontId="4" fillId="0" borderId="2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13" xfId="0" applyFont="1" applyBorder="1"/>
    <xf numFmtId="0" fontId="5" fillId="0" borderId="0" xfId="0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21" xfId="0" applyFont="1" applyBorder="1"/>
    <xf numFmtId="0" fontId="6" fillId="0" borderId="23" xfId="0" applyFont="1" applyBorder="1"/>
    <xf numFmtId="0" fontId="6" fillId="0" borderId="24" xfId="0" applyFont="1" applyBorder="1"/>
    <xf numFmtId="0" fontId="4" fillId="0" borderId="0" xfId="0" applyFont="1" applyAlignment="1">
      <alignment horizontal="right"/>
    </xf>
    <xf numFmtId="0" fontId="3" fillId="0" borderId="2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9" xfId="0" applyFont="1" applyBorder="1" applyAlignment="1">
      <alignment horizontal="centerContinuous"/>
    </xf>
    <xf numFmtId="0" fontId="3" fillId="0" borderId="31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32" xfId="0" applyNumberFormat="1" applyFont="1" applyBorder="1" applyAlignment="1">
      <alignment horizontal="center"/>
    </xf>
    <xf numFmtId="166" fontId="3" fillId="0" borderId="25" xfId="0" applyNumberFormat="1" applyFont="1" applyBorder="1" applyAlignment="1">
      <alignment horizontal="center"/>
    </xf>
    <xf numFmtId="167" fontId="3" fillId="0" borderId="25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166" fontId="3" fillId="0" borderId="33" xfId="0" applyNumberFormat="1" applyFont="1" applyBorder="1" applyAlignment="1">
      <alignment horizontal="center"/>
    </xf>
    <xf numFmtId="2" fontId="3" fillId="0" borderId="33" xfId="0" applyNumberFormat="1" applyFont="1" applyBorder="1" applyAlignment="1">
      <alignment horizontal="center"/>
    </xf>
    <xf numFmtId="167" fontId="3" fillId="0" borderId="33" xfId="0" applyNumberFormat="1" applyFont="1" applyBorder="1" applyAlignment="1">
      <alignment horizontal="center"/>
    </xf>
    <xf numFmtId="167" fontId="3" fillId="0" borderId="34" xfId="0" applyNumberFormat="1" applyFont="1" applyBorder="1" applyAlignment="1">
      <alignment horizontal="center"/>
    </xf>
    <xf numFmtId="167" fontId="3" fillId="0" borderId="10" xfId="0" applyNumberFormat="1" applyFont="1" applyBorder="1" applyAlignment="1">
      <alignment horizontal="center"/>
    </xf>
    <xf numFmtId="167" fontId="3" fillId="0" borderId="30" xfId="0" applyNumberFormat="1" applyFont="1" applyBorder="1" applyAlignment="1">
      <alignment horizontal="center"/>
    </xf>
    <xf numFmtId="167" fontId="3" fillId="0" borderId="35" xfId="0" applyNumberFormat="1" applyFont="1" applyBorder="1" applyAlignment="1">
      <alignment horizontal="center"/>
    </xf>
    <xf numFmtId="167" fontId="3" fillId="0" borderId="36" xfId="0" applyNumberFormat="1" applyFont="1" applyBorder="1" applyAlignment="1">
      <alignment horizontal="center"/>
    </xf>
    <xf numFmtId="167" fontId="3" fillId="0" borderId="37" xfId="0" applyNumberFormat="1" applyFont="1" applyBorder="1" applyAlignment="1">
      <alignment horizontal="center"/>
    </xf>
    <xf numFmtId="166" fontId="3" fillId="0" borderId="26" xfId="0" applyNumberFormat="1" applyFont="1" applyBorder="1" applyAlignment="1">
      <alignment horizontal="center"/>
    </xf>
    <xf numFmtId="167" fontId="3" fillId="0" borderId="38" xfId="0" applyNumberFormat="1" applyFont="1" applyBorder="1" applyAlignment="1">
      <alignment horizontal="center"/>
    </xf>
    <xf numFmtId="167" fontId="3" fillId="0" borderId="39" xfId="0" applyNumberFormat="1" applyFont="1" applyBorder="1" applyAlignment="1">
      <alignment horizontal="center"/>
    </xf>
    <xf numFmtId="167" fontId="3" fillId="0" borderId="26" xfId="0" applyNumberFormat="1" applyFont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0" fontId="4" fillId="0" borderId="0" xfId="0" applyFont="1"/>
    <xf numFmtId="2" fontId="3" fillId="0" borderId="27" xfId="0" applyNumberFormat="1" applyFont="1" applyBorder="1" applyAlignment="1">
      <alignment horizontal="center"/>
    </xf>
    <xf numFmtId="2" fontId="10" fillId="0" borderId="40" xfId="0" applyNumberFormat="1" applyFont="1" applyBorder="1" applyAlignment="1">
      <alignment horizontal="centerContinuous"/>
    </xf>
    <xf numFmtId="0" fontId="10" fillId="0" borderId="40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167" fontId="3" fillId="0" borderId="42" xfId="0" applyNumberFormat="1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4" fillId="0" borderId="17" xfId="0" applyFont="1" applyBorder="1" applyAlignment="1">
      <alignment horizontal="centerContinuous"/>
    </xf>
    <xf numFmtId="0" fontId="5" fillId="0" borderId="12" xfId="0" applyFont="1" applyBorder="1" applyAlignment="1">
      <alignment horizontal="left"/>
    </xf>
    <xf numFmtId="0" fontId="4" fillId="0" borderId="45" xfId="0" applyFont="1" applyBorder="1"/>
    <xf numFmtId="0" fontId="3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" fontId="3" fillId="0" borderId="25" xfId="0" applyNumberFormat="1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21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45" xfId="0" applyFont="1" applyBorder="1"/>
    <xf numFmtId="0" fontId="6" fillId="0" borderId="46" xfId="0" applyFont="1" applyBorder="1"/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centerContinuous"/>
    </xf>
    <xf numFmtId="2" fontId="4" fillId="0" borderId="20" xfId="0" quotePrefix="1" applyNumberFormat="1" applyFont="1" applyBorder="1" applyAlignment="1">
      <alignment horizontal="center"/>
    </xf>
    <xf numFmtId="2" fontId="4" fillId="0" borderId="47" xfId="0" quotePrefix="1" applyNumberFormat="1" applyFont="1" applyBorder="1" applyAlignment="1">
      <alignment horizontal="center"/>
    </xf>
    <xf numFmtId="2" fontId="4" fillId="0" borderId="30" xfId="0" quotePrefix="1" applyNumberFormat="1" applyFont="1" applyBorder="1" applyAlignment="1">
      <alignment horizontal="center"/>
    </xf>
    <xf numFmtId="2" fontId="4" fillId="0" borderId="30" xfId="0" applyNumberFormat="1" applyFont="1" applyBorder="1" applyAlignment="1">
      <alignment horizontal="center"/>
    </xf>
    <xf numFmtId="166" fontId="4" fillId="0" borderId="20" xfId="0" quotePrefix="1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7" xfId="0" applyFont="1" applyBorder="1" applyAlignment="1">
      <alignment horizontal="centerContinuous"/>
    </xf>
    <xf numFmtId="0" fontId="12" fillId="0" borderId="8" xfId="0" applyFont="1" applyBorder="1" applyAlignment="1">
      <alignment horizontal="centerContinuous"/>
    </xf>
    <xf numFmtId="2" fontId="3" fillId="0" borderId="48" xfId="0" applyNumberFormat="1" applyFont="1" applyBorder="1" applyAlignment="1">
      <alignment horizontal="center"/>
    </xf>
    <xf numFmtId="2" fontId="3" fillId="0" borderId="24" xfId="0" applyNumberFormat="1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4" fillId="0" borderId="49" xfId="0" applyFont="1" applyBorder="1" applyAlignment="1">
      <alignment horizontal="right"/>
    </xf>
    <xf numFmtId="167" fontId="15" fillId="0" borderId="1" xfId="0" applyNumberFormat="1" applyFont="1" applyBorder="1" applyAlignment="1">
      <alignment horizontal="center"/>
    </xf>
    <xf numFmtId="167" fontId="3" fillId="0" borderId="7" xfId="0" applyNumberFormat="1" applyFont="1" applyBorder="1" applyAlignment="1">
      <alignment horizontal="center"/>
    </xf>
    <xf numFmtId="167" fontId="3" fillId="0" borderId="8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0" fontId="3" fillId="0" borderId="50" xfId="0" applyFont="1" applyBorder="1"/>
    <xf numFmtId="0" fontId="2" fillId="0" borderId="45" xfId="0" applyFont="1" applyBorder="1"/>
    <xf numFmtId="0" fontId="2" fillId="0" borderId="3" xfId="0" applyFont="1" applyBorder="1"/>
    <xf numFmtId="0" fontId="2" fillId="0" borderId="13" xfId="0" applyFont="1" applyBorder="1"/>
    <xf numFmtId="49" fontId="3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/>
    <xf numFmtId="165" fontId="0" fillId="0" borderId="0" xfId="0" applyNumberFormat="1"/>
    <xf numFmtId="167" fontId="0" fillId="0" borderId="0" xfId="0" applyNumberFormat="1"/>
    <xf numFmtId="168" fontId="3" fillId="2" borderId="1" xfId="0" applyNumberFormat="1" applyFont="1" applyFill="1" applyBorder="1" applyAlignment="1">
      <alignment horizontal="center"/>
    </xf>
    <xf numFmtId="0" fontId="3" fillId="3" borderId="0" xfId="0" applyFont="1" applyFill="1" applyBorder="1"/>
    <xf numFmtId="0" fontId="18" fillId="4" borderId="0" xfId="0" applyFont="1" applyFill="1"/>
    <xf numFmtId="0" fontId="6" fillId="4" borderId="0" xfId="0" applyFont="1" applyFill="1"/>
    <xf numFmtId="0" fontId="5" fillId="0" borderId="41" xfId="0" applyFont="1" applyBorder="1" applyAlignment="1">
      <alignment horizontal="center"/>
    </xf>
    <xf numFmtId="1" fontId="3" fillId="0" borderId="44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Continuous"/>
    </xf>
    <xf numFmtId="165" fontId="3" fillId="2" borderId="0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13" fillId="0" borderId="47" xfId="0" applyFont="1" applyBorder="1" applyAlignment="1">
      <alignment horizontal="right"/>
    </xf>
    <xf numFmtId="0" fontId="4" fillId="0" borderId="1" xfId="0" applyFont="1" applyBorder="1" applyAlignment="1"/>
    <xf numFmtId="0" fontId="4" fillId="0" borderId="11" xfId="0" applyFont="1" applyBorder="1" applyAlignment="1"/>
    <xf numFmtId="2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2" fontId="21" fillId="0" borderId="11" xfId="0" applyNumberFormat="1" applyFont="1" applyBorder="1" applyAlignment="1">
      <alignment horizontal="center"/>
    </xf>
    <xf numFmtId="167" fontId="21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4" fillId="0" borderId="0" xfId="0" applyNumberFormat="1" applyFont="1" applyAlignment="1">
      <alignment horizontal="center"/>
    </xf>
    <xf numFmtId="19" fontId="4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 applyFill="1"/>
    <xf numFmtId="0" fontId="27" fillId="0" borderId="0" xfId="1" applyFont="1" applyFill="1"/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20" fillId="0" borderId="0" xfId="1" applyFont="1" applyFill="1"/>
    <xf numFmtId="0" fontId="33" fillId="0" borderId="52" xfId="1" applyFont="1" applyFill="1" applyBorder="1"/>
    <xf numFmtId="0" fontId="20" fillId="0" borderId="54" xfId="1" applyFont="1" applyFill="1" applyBorder="1"/>
    <xf numFmtId="0" fontId="33" fillId="0" borderId="54" xfId="1" applyFont="1" applyFill="1" applyBorder="1"/>
    <xf numFmtId="0" fontId="34" fillId="0" borderId="0" xfId="1" applyFont="1" applyFill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Border="1" applyAlignment="1">
      <alignment horizontal="left"/>
    </xf>
    <xf numFmtId="0" fontId="31" fillId="5" borderId="0" xfId="1" applyFont="1" applyFill="1" applyBorder="1"/>
    <xf numFmtId="0" fontId="36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Fill="1" applyBorder="1"/>
    <xf numFmtId="0" fontId="20" fillId="0" borderId="21" xfId="1" applyFont="1" applyFill="1" applyBorder="1"/>
    <xf numFmtId="0" fontId="33" fillId="0" borderId="21" xfId="1" applyFont="1" applyFill="1" applyBorder="1"/>
    <xf numFmtId="0" fontId="37" fillId="5" borderId="67" xfId="1" applyFont="1" applyFill="1" applyBorder="1"/>
    <xf numFmtId="0" fontId="37" fillId="5" borderId="68" xfId="1" applyFont="1" applyFill="1" applyBorder="1"/>
    <xf numFmtId="0" fontId="40" fillId="5" borderId="68" xfId="1" applyFont="1" applyFill="1" applyBorder="1"/>
    <xf numFmtId="0" fontId="40" fillId="5" borderId="69" xfId="1" applyFont="1" applyFill="1" applyBorder="1"/>
    <xf numFmtId="167" fontId="39" fillId="5" borderId="64" xfId="1" applyNumberFormat="1" applyFont="1" applyFill="1" applyBorder="1" applyAlignment="1">
      <alignment horizontal="center"/>
    </xf>
    <xf numFmtId="0" fontId="39" fillId="5" borderId="70" xfId="1" applyFont="1" applyFill="1" applyBorder="1" applyAlignment="1">
      <alignment horizontal="center"/>
    </xf>
    <xf numFmtId="0" fontId="37" fillId="5" borderId="71" xfId="1" applyFont="1" applyFill="1" applyBorder="1"/>
    <xf numFmtId="0" fontId="37" fillId="5" borderId="72" xfId="1" applyFont="1" applyFill="1" applyBorder="1"/>
    <xf numFmtId="0" fontId="40" fillId="5" borderId="72" xfId="1" applyFont="1" applyFill="1" applyBorder="1"/>
    <xf numFmtId="0" fontId="40" fillId="5" borderId="73" xfId="1" applyFont="1" applyFill="1" applyBorder="1"/>
    <xf numFmtId="1" fontId="39" fillId="5" borderId="64" xfId="1" applyNumberFormat="1" applyFont="1" applyFill="1" applyBorder="1" applyAlignment="1">
      <alignment horizontal="center"/>
    </xf>
    <xf numFmtId="0" fontId="39" fillId="5" borderId="74" xfId="1" applyFont="1" applyFill="1" applyBorder="1" applyAlignment="1">
      <alignment horizontal="center"/>
    </xf>
    <xf numFmtId="0" fontId="41" fillId="5" borderId="68" xfId="1" applyFont="1" applyFill="1" applyBorder="1"/>
    <xf numFmtId="0" fontId="42" fillId="5" borderId="69" xfId="1" applyFont="1" applyFill="1" applyBorder="1" applyAlignment="1">
      <alignment horizontal="left"/>
    </xf>
    <xf numFmtId="0" fontId="39" fillId="5" borderId="64" xfId="1" applyFont="1" applyFill="1" applyBorder="1" applyAlignment="1">
      <alignment horizontal="center"/>
    </xf>
    <xf numFmtId="0" fontId="33" fillId="0" borderId="46" xfId="1" applyFont="1" applyFill="1" applyBorder="1"/>
    <xf numFmtId="0" fontId="33" fillId="0" borderId="24" xfId="1" applyFont="1" applyFill="1" applyBorder="1"/>
    <xf numFmtId="0" fontId="37" fillId="5" borderId="76" xfId="1" applyFont="1" applyFill="1" applyBorder="1"/>
    <xf numFmtId="0" fontId="37" fillId="5" borderId="77" xfId="1" applyFont="1" applyFill="1" applyBorder="1"/>
    <xf numFmtId="0" fontId="41" fillId="5" borderId="77" xfId="1" applyFont="1" applyFill="1" applyBorder="1"/>
    <xf numFmtId="0" fontId="39" fillId="5" borderId="78" xfId="1" applyFont="1" applyFill="1" applyBorder="1" applyAlignment="1">
      <alignment horizontal="center"/>
    </xf>
    <xf numFmtId="0" fontId="39" fillId="5" borderId="79" xfId="1" applyFont="1" applyFill="1" applyBorder="1" applyAlignment="1">
      <alignment horizontal="center"/>
    </xf>
    <xf numFmtId="0" fontId="37" fillId="5" borderId="63" xfId="1" quotePrefix="1" applyFont="1" applyFill="1" applyBorder="1" applyAlignment="1">
      <alignment horizontal="left"/>
    </xf>
    <xf numFmtId="0" fontId="34" fillId="0" borderId="69" xfId="1" applyFont="1" applyFill="1" applyBorder="1"/>
    <xf numFmtId="0" fontId="20" fillId="0" borderId="24" xfId="1" applyFont="1" applyFill="1" applyBorder="1"/>
    <xf numFmtId="0" fontId="37" fillId="5" borderId="83" xfId="1" quotePrefix="1" applyFont="1" applyFill="1" applyBorder="1" applyAlignment="1">
      <alignment horizontal="left"/>
    </xf>
    <xf numFmtId="0" fontId="37" fillId="5" borderId="59" xfId="1" applyFont="1" applyFill="1" applyBorder="1"/>
    <xf numFmtId="0" fontId="40" fillId="5" borderId="59" xfId="1" applyFont="1" applyFill="1" applyBorder="1"/>
    <xf numFmtId="0" fontId="44" fillId="5" borderId="59" xfId="1" applyFont="1" applyFill="1" applyBorder="1" applyAlignment="1">
      <alignment horizontal="right"/>
    </xf>
    <xf numFmtId="49" fontId="39" fillId="5" borderId="59" xfId="1" applyNumberFormat="1" applyFont="1" applyFill="1" applyBorder="1" applyAlignment="1">
      <alignment horizontal="center"/>
    </xf>
    <xf numFmtId="0" fontId="39" fillId="5" borderId="84" xfId="1" applyFont="1" applyFill="1" applyBorder="1" applyAlignment="1">
      <alignment horizontal="center"/>
    </xf>
    <xf numFmtId="0" fontId="37" fillId="5" borderId="64" xfId="1" applyFont="1" applyFill="1" applyBorder="1"/>
    <xf numFmtId="0" fontId="40" fillId="5" borderId="64" xfId="1" applyFont="1" applyFill="1" applyBorder="1"/>
    <xf numFmtId="0" fontId="37" fillId="5" borderId="85" xfId="1" quotePrefix="1" applyFont="1" applyFill="1" applyBorder="1" applyAlignment="1">
      <alignment horizontal="left"/>
    </xf>
    <xf numFmtId="0" fontId="37" fillId="5" borderId="78" xfId="1" applyFont="1" applyFill="1" applyBorder="1"/>
    <xf numFmtId="0" fontId="40" fillId="5" borderId="78" xfId="1" applyFont="1" applyFill="1" applyBorder="1"/>
    <xf numFmtId="0" fontId="37" fillId="5" borderId="63" xfId="1" applyFont="1" applyFill="1" applyBorder="1" applyAlignment="1">
      <alignment horizontal="left"/>
    </xf>
    <xf numFmtId="0" fontId="20" fillId="5" borderId="86" xfId="1" applyFont="1" applyFill="1" applyBorder="1"/>
    <xf numFmtId="0" fontId="20" fillId="5" borderId="69" xfId="1" applyFont="1" applyFill="1" applyBorder="1"/>
    <xf numFmtId="0" fontId="37" fillId="5" borderId="63" xfId="1" applyFont="1" applyFill="1" applyBorder="1"/>
    <xf numFmtId="0" fontId="20" fillId="5" borderId="68" xfId="1" applyFont="1" applyFill="1" applyBorder="1"/>
    <xf numFmtId="0" fontId="37" fillId="5" borderId="86" xfId="1" applyFont="1" applyFill="1" applyBorder="1"/>
    <xf numFmtId="0" fontId="44" fillId="5" borderId="69" xfId="1" applyFont="1" applyFill="1" applyBorder="1" applyAlignment="1">
      <alignment horizontal="right"/>
    </xf>
    <xf numFmtId="0" fontId="37" fillId="5" borderId="58" xfId="1" quotePrefix="1" applyFont="1" applyFill="1" applyBorder="1" applyAlignment="1">
      <alignment horizontal="left"/>
    </xf>
    <xf numFmtId="0" fontId="34" fillId="0" borderId="93" xfId="1" applyFont="1" applyFill="1" applyBorder="1"/>
    <xf numFmtId="0" fontId="37" fillId="5" borderId="86" xfId="1" quotePrefix="1" applyFont="1" applyFill="1" applyBorder="1" applyAlignment="1">
      <alignment horizontal="left"/>
    </xf>
    <xf numFmtId="0" fontId="20" fillId="5" borderId="64" xfId="1" applyFont="1" applyFill="1" applyBorder="1"/>
    <xf numFmtId="0" fontId="37" fillId="5" borderId="94" xfId="1" applyFont="1" applyFill="1" applyBorder="1" applyAlignment="1">
      <alignment horizontal="left"/>
    </xf>
    <xf numFmtId="0" fontId="37" fillId="5" borderId="68" xfId="1" quotePrefix="1" applyFont="1" applyFill="1" applyBorder="1" applyAlignment="1">
      <alignment horizontal="center"/>
    </xf>
    <xf numFmtId="0" fontId="20" fillId="5" borderId="69" xfId="1" quotePrefix="1" applyFont="1" applyFill="1" applyBorder="1" applyAlignment="1">
      <alignment horizontal="center"/>
    </xf>
    <xf numFmtId="0" fontId="37" fillId="5" borderId="95" xfId="1" applyFont="1" applyFill="1" applyBorder="1"/>
    <xf numFmtId="0" fontId="34" fillId="0" borderId="96" xfId="1" applyFont="1" applyFill="1" applyBorder="1"/>
    <xf numFmtId="0" fontId="39" fillId="0" borderId="96" xfId="1" applyNumberFormat="1" applyFont="1" applyFill="1" applyBorder="1" applyAlignment="1">
      <alignment horizontal="center"/>
    </xf>
    <xf numFmtId="0" fontId="39" fillId="0" borderId="97" xfId="1" applyFont="1" applyFill="1" applyBorder="1" applyAlignment="1">
      <alignment horizontal="center"/>
    </xf>
    <xf numFmtId="0" fontId="37" fillId="5" borderId="98" xfId="1" applyFont="1" applyFill="1" applyBorder="1" applyAlignment="1">
      <alignment horizontal="center"/>
    </xf>
    <xf numFmtId="0" fontId="37" fillId="5" borderId="77" xfId="1" quotePrefix="1" applyFont="1" applyFill="1" applyBorder="1" applyAlignment="1">
      <alignment horizontal="center"/>
    </xf>
    <xf numFmtId="0" fontId="20" fillId="5" borderId="99" xfId="1" quotePrefix="1" applyFont="1" applyFill="1" applyBorder="1" applyAlignment="1">
      <alignment horizontal="center"/>
    </xf>
    <xf numFmtId="0" fontId="39" fillId="0" borderId="69" xfId="1" applyNumberFormat="1" applyFont="1" applyFill="1" applyBorder="1" applyAlignment="1">
      <alignment horizontal="center"/>
    </xf>
    <xf numFmtId="0" fontId="39" fillId="0" borderId="74" xfId="1" applyFont="1" applyFill="1" applyBorder="1" applyAlignment="1">
      <alignment horizontal="center"/>
    </xf>
    <xf numFmtId="0" fontId="39" fillId="0" borderId="46" xfId="1" applyFont="1" applyFill="1" applyBorder="1"/>
    <xf numFmtId="0" fontId="45" fillId="0" borderId="24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47" fillId="5" borderId="103" xfId="1" applyFont="1" applyFill="1" applyBorder="1" applyAlignment="1">
      <alignment horizontal="center"/>
    </xf>
    <xf numFmtId="167" fontId="39" fillId="0" borderId="69" xfId="1" applyNumberFormat="1" applyFont="1" applyFill="1" applyBorder="1" applyAlignment="1">
      <alignment horizontal="center"/>
    </xf>
    <xf numFmtId="0" fontId="37" fillId="5" borderId="104" xfId="1" applyFont="1" applyFill="1" applyBorder="1" applyAlignment="1">
      <alignment horizontal="left"/>
    </xf>
    <xf numFmtId="0" fontId="20" fillId="5" borderId="105" xfId="1" applyFont="1" applyFill="1" applyBorder="1"/>
    <xf numFmtId="0" fontId="20" fillId="5" borderId="106" xfId="1" applyFont="1" applyFill="1" applyBorder="1"/>
    <xf numFmtId="0" fontId="39" fillId="5" borderId="107" xfId="1" applyFont="1" applyFill="1" applyBorder="1" applyAlignment="1">
      <alignment horizontal="center"/>
    </xf>
    <xf numFmtId="0" fontId="34" fillId="0" borderId="78" xfId="1" applyFont="1" applyFill="1" applyBorder="1"/>
    <xf numFmtId="0" fontId="34" fillId="0" borderId="79" xfId="1" applyFont="1" applyFill="1" applyBorder="1"/>
    <xf numFmtId="0" fontId="34" fillId="0" borderId="87" xfId="1" applyFont="1" applyFill="1" applyBorder="1"/>
    <xf numFmtId="0" fontId="37" fillId="5" borderId="96" xfId="1" applyFont="1" applyFill="1" applyBorder="1"/>
    <xf numFmtId="0" fontId="44" fillId="5" borderId="64" xfId="1" applyFont="1" applyFill="1" applyBorder="1" applyAlignment="1">
      <alignment horizontal="right" shrinkToFit="1"/>
    </xf>
    <xf numFmtId="1" fontId="39" fillId="5" borderId="70" xfId="1" quotePrefix="1" applyNumberFormat="1" applyFont="1" applyFill="1" applyBorder="1" applyAlignment="1">
      <alignment horizontal="center"/>
    </xf>
    <xf numFmtId="2" fontId="34" fillId="0" borderId="0" xfId="1" applyNumberFormat="1" applyFont="1" applyFill="1"/>
    <xf numFmtId="0" fontId="37" fillId="5" borderId="83" xfId="1" applyFont="1" applyFill="1" applyBorder="1"/>
    <xf numFmtId="0" fontId="37" fillId="5" borderId="56" xfId="1" applyFont="1" applyFill="1" applyBorder="1"/>
    <xf numFmtId="0" fontId="44" fillId="5" borderId="64" xfId="1" applyFont="1" applyFill="1" applyBorder="1" applyAlignment="1">
      <alignment horizontal="right"/>
    </xf>
    <xf numFmtId="2" fontId="39" fillId="5" borderId="70" xfId="1" quotePrefix="1" applyNumberFormat="1" applyFont="1" applyFill="1" applyBorder="1" applyAlignment="1">
      <alignment horizontal="center"/>
    </xf>
    <xf numFmtId="0" fontId="39" fillId="5" borderId="70" xfId="1" quotePrefix="1" applyFont="1" applyFill="1" applyBorder="1" applyAlignment="1">
      <alignment horizontal="center"/>
    </xf>
    <xf numFmtId="2" fontId="39" fillId="5" borderId="64" xfId="1" applyNumberFormat="1" applyFont="1" applyFill="1" applyBorder="1" applyAlignment="1">
      <alignment horizontal="center"/>
    </xf>
    <xf numFmtId="0" fontId="44" fillId="5" borderId="56" xfId="1" applyFont="1" applyFill="1" applyBorder="1" applyAlignment="1">
      <alignment horizontal="right"/>
    </xf>
    <xf numFmtId="0" fontId="44" fillId="5" borderId="64" xfId="1" applyFont="1" applyFill="1" applyBorder="1"/>
    <xf numFmtId="0" fontId="48" fillId="0" borderId="0" xfId="1" applyFont="1" applyFill="1"/>
    <xf numFmtId="0" fontId="37" fillId="5" borderId="110" xfId="1" applyFont="1" applyFill="1" applyBorder="1"/>
    <xf numFmtId="0" fontId="37" fillId="5" borderId="111" xfId="1" applyFont="1" applyFill="1" applyBorder="1"/>
    <xf numFmtId="0" fontId="37" fillId="5" borderId="112" xfId="1" applyFont="1" applyFill="1" applyBorder="1"/>
    <xf numFmtId="0" fontId="44" fillId="5" borderId="112" xfId="1" applyFont="1" applyFill="1" applyBorder="1"/>
    <xf numFmtId="167" fontId="39" fillId="5" borderId="112" xfId="1" applyNumberFormat="1" applyFont="1" applyFill="1" applyBorder="1" applyAlignment="1">
      <alignment horizontal="center"/>
    </xf>
    <xf numFmtId="0" fontId="39" fillId="5" borderId="113" xfId="1" quotePrefix="1" applyFont="1" applyFill="1" applyBorder="1" applyAlignment="1">
      <alignment horizontal="center"/>
    </xf>
    <xf numFmtId="0" fontId="37" fillId="5" borderId="73" xfId="1" applyFont="1" applyFill="1" applyBorder="1"/>
    <xf numFmtId="0" fontId="37" fillId="5" borderId="103" xfId="1" applyFont="1" applyFill="1" applyBorder="1" applyAlignment="1">
      <alignment horizontal="left"/>
    </xf>
    <xf numFmtId="0" fontId="37" fillId="5" borderId="73" xfId="1" applyFont="1" applyFill="1" applyBorder="1" applyAlignment="1">
      <alignment horizontal="left"/>
    </xf>
    <xf numFmtId="1" fontId="39" fillId="5" borderId="59" xfId="1" applyNumberFormat="1" applyFont="1" applyFill="1" applyBorder="1" applyAlignment="1">
      <alignment horizontal="center"/>
    </xf>
    <xf numFmtId="0" fontId="39" fillId="5" borderId="114" xfId="1" applyFont="1" applyFill="1" applyBorder="1" applyAlignment="1">
      <alignment horizontal="center"/>
    </xf>
    <xf numFmtId="0" fontId="49" fillId="0" borderId="0" xfId="1" applyFont="1" applyFill="1" applyAlignment="1">
      <alignment horizontal="right"/>
    </xf>
    <xf numFmtId="2" fontId="34" fillId="0" borderId="0" xfId="2" applyNumberFormat="1" applyFont="1" applyFill="1"/>
    <xf numFmtId="0" fontId="37" fillId="5" borderId="0" xfId="1" applyFont="1" applyFill="1" applyBorder="1"/>
    <xf numFmtId="0" fontId="37" fillId="5" borderId="86" xfId="1" applyFont="1" applyFill="1" applyBorder="1" applyAlignment="1">
      <alignment horizontal="left"/>
    </xf>
    <xf numFmtId="0" fontId="37" fillId="5" borderId="69" xfId="1" applyFont="1" applyFill="1" applyBorder="1" applyAlignment="1">
      <alignment horizontal="left"/>
    </xf>
    <xf numFmtId="0" fontId="34" fillId="0" borderId="0" xfId="1" applyFont="1" applyFill="1" applyAlignment="1">
      <alignment horizontal="right"/>
    </xf>
    <xf numFmtId="0" fontId="37" fillId="5" borderId="40" xfId="1" applyFont="1" applyFill="1" applyBorder="1"/>
    <xf numFmtId="0" fontId="37" fillId="5" borderId="107" xfId="1" applyFont="1" applyFill="1" applyBorder="1" applyAlignment="1">
      <alignment horizontal="left"/>
    </xf>
    <xf numFmtId="0" fontId="37" fillId="5" borderId="99" xfId="1" applyFont="1" applyFill="1" applyBorder="1" applyAlignment="1">
      <alignment horizontal="left"/>
    </xf>
    <xf numFmtId="1" fontId="39" fillId="5" borderId="78" xfId="1" applyNumberFormat="1" applyFont="1" applyFill="1" applyBorder="1" applyAlignment="1">
      <alignment horizontal="center"/>
    </xf>
    <xf numFmtId="0" fontId="39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50" fillId="0" borderId="0" xfId="1" applyFont="1" applyFill="1"/>
    <xf numFmtId="0" fontId="37" fillId="0" borderId="116" xfId="1" applyFont="1" applyFill="1" applyBorder="1"/>
    <xf numFmtId="0" fontId="37" fillId="5" borderId="119" xfId="1" applyFont="1" applyFill="1" applyBorder="1"/>
    <xf numFmtId="0" fontId="31" fillId="5" borderId="45" xfId="1" applyFont="1" applyFill="1" applyBorder="1"/>
    <xf numFmtId="0" fontId="37" fillId="5" borderId="121" xfId="1" applyFont="1" applyFill="1" applyBorder="1"/>
    <xf numFmtId="0" fontId="37" fillId="5" borderId="23" xfId="1" applyFont="1" applyFill="1" applyBorder="1"/>
    <xf numFmtId="0" fontId="31" fillId="0" borderId="23" xfId="1" applyFont="1" applyFill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 applyFill="1"/>
    <xf numFmtId="0" fontId="31" fillId="0" borderId="0" xfId="1" applyFont="1" applyFill="1" applyBorder="1"/>
    <xf numFmtId="0" fontId="54" fillId="0" borderId="6" xfId="3" applyBorder="1"/>
    <xf numFmtId="0" fontId="54" fillId="0" borderId="7" xfId="3" applyBorder="1"/>
    <xf numFmtId="0" fontId="54" fillId="0" borderId="41" xfId="3" applyBorder="1"/>
    <xf numFmtId="0" fontId="54" fillId="0" borderId="41" xfId="3" applyBorder="1" applyAlignment="1">
      <alignment horizontal="center"/>
    </xf>
    <xf numFmtId="0" fontId="55" fillId="0" borderId="41" xfId="3" applyFont="1" applyBorder="1" applyAlignment="1">
      <alignment horizontal="center"/>
    </xf>
    <xf numFmtId="0" fontId="54" fillId="0" borderId="0" xfId="3"/>
    <xf numFmtId="0" fontId="56" fillId="0" borderId="127" xfId="3" applyFont="1" applyBorder="1" applyAlignment="1">
      <alignment horizontal="center"/>
    </xf>
    <xf numFmtId="0" fontId="54" fillId="0" borderId="127" xfId="3" applyBorder="1" applyAlignment="1">
      <alignment horizontal="center"/>
    </xf>
    <xf numFmtId="0" fontId="55" fillId="0" borderId="127" xfId="3" applyFon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4" fillId="0" borderId="45" xfId="3" applyBorder="1"/>
    <xf numFmtId="0" fontId="57" fillId="0" borderId="0" xfId="3" applyFont="1"/>
    <xf numFmtId="0" fontId="54" fillId="0" borderId="127" xfId="3" applyBorder="1"/>
    <xf numFmtId="0" fontId="55" fillId="0" borderId="0" xfId="3" applyFont="1"/>
    <xf numFmtId="0" fontId="55" fillId="0" borderId="127" xfId="3" applyFont="1" applyBorder="1"/>
    <xf numFmtId="170" fontId="54" fillId="0" borderId="3" xfId="3" applyNumberFormat="1" applyBorder="1"/>
    <xf numFmtId="49" fontId="54" fillId="0" borderId="1" xfId="3" applyNumberFormat="1" applyBorder="1" applyAlignment="1">
      <alignment horizontal="center"/>
    </xf>
    <xf numFmtId="49" fontId="54" fillId="0" borderId="1" xfId="3" applyNumberFormat="1" applyBorder="1"/>
    <xf numFmtId="49" fontId="55" fillId="0" borderId="1" xfId="3" applyNumberFormat="1" applyFont="1" applyBorder="1"/>
    <xf numFmtId="171" fontId="55" fillId="0" borderId="1" xfId="3" applyNumberFormat="1" applyFont="1" applyBorder="1"/>
    <xf numFmtId="0" fontId="54" fillId="0" borderId="1" xfId="3" applyBorder="1"/>
    <xf numFmtId="0" fontId="54" fillId="0" borderId="9" xfId="3" applyBorder="1"/>
    <xf numFmtId="171" fontId="54" fillId="0" borderId="1" xfId="3" applyNumberFormat="1" applyBorder="1"/>
    <xf numFmtId="0" fontId="54" fillId="0" borderId="1" xfId="3" applyBorder="1" applyAlignment="1">
      <alignment horizontal="center"/>
    </xf>
    <xf numFmtId="170" fontId="54" fillId="0" borderId="18" xfId="3" applyNumberFormat="1" applyBorder="1"/>
    <xf numFmtId="49" fontId="54" fillId="0" borderId="26" xfId="3" applyNumberFormat="1" applyBorder="1"/>
    <xf numFmtId="171" fontId="54" fillId="0" borderId="26" xfId="3" applyNumberFormat="1" applyBorder="1"/>
    <xf numFmtId="0" fontId="54" fillId="0" borderId="26" xfId="3" applyBorder="1"/>
    <xf numFmtId="0" fontId="54" fillId="0" borderId="128" xfId="3" applyBorder="1"/>
    <xf numFmtId="0" fontId="55" fillId="0" borderId="129" xfId="3" applyFont="1" applyBorder="1" applyAlignment="1">
      <alignment horizontal="center"/>
    </xf>
    <xf numFmtId="0" fontId="55" fillId="0" borderId="130" xfId="3" applyFont="1" applyBorder="1" applyAlignment="1">
      <alignment horizontal="center"/>
    </xf>
    <xf numFmtId="49" fontId="55" fillId="0" borderId="2" xfId="3" applyNumberFormat="1" applyFont="1" applyBorder="1" applyAlignment="1">
      <alignment horizontal="center"/>
    </xf>
    <xf numFmtId="0" fontId="54" fillId="0" borderId="55" xfId="3" applyBorder="1" applyAlignment="1">
      <alignment horizontal="left"/>
    </xf>
    <xf numFmtId="49" fontId="54" fillId="0" borderId="3" xfId="3" applyNumberFormat="1" applyBorder="1"/>
    <xf numFmtId="0" fontId="54" fillId="0" borderId="132" xfId="3" applyBorder="1" applyAlignment="1">
      <alignment horizontal="left"/>
    </xf>
    <xf numFmtId="49" fontId="54" fillId="0" borderId="4" xfId="3" applyNumberFormat="1" applyBorder="1"/>
    <xf numFmtId="0" fontId="54" fillId="0" borderId="133" xfId="3" applyBorder="1" applyAlignment="1">
      <alignment horizontal="left"/>
    </xf>
    <xf numFmtId="167" fontId="3" fillId="0" borderId="0" xfId="0" applyNumberFormat="1" applyFont="1" applyBorder="1" applyAlignment="1">
      <alignment horizontal="center"/>
    </xf>
    <xf numFmtId="167" fontId="3" fillId="0" borderId="0" xfId="0" applyNumberFormat="1" applyFont="1" applyAlignment="1">
      <alignment horizontal="center"/>
    </xf>
    <xf numFmtId="2" fontId="8" fillId="0" borderId="36" xfId="0" applyNumberFormat="1" applyFont="1" applyFill="1" applyBorder="1" applyAlignment="1">
      <alignment horizontal="center"/>
    </xf>
    <xf numFmtId="167" fontId="3" fillId="0" borderId="36" xfId="0" applyNumberFormat="1" applyFont="1" applyFill="1" applyBorder="1" applyAlignment="1">
      <alignment horizontal="center"/>
    </xf>
    <xf numFmtId="167" fontId="3" fillId="0" borderId="134" xfId="0" applyNumberFormat="1" applyFont="1" applyFill="1" applyBorder="1" applyAlignment="1">
      <alignment horizontal="center"/>
    </xf>
    <xf numFmtId="2" fontId="5" fillId="0" borderId="40" xfId="0" applyNumberFormat="1" applyFont="1" applyFill="1" applyBorder="1" applyAlignment="1">
      <alignment horizontal="left"/>
    </xf>
    <xf numFmtId="167" fontId="15" fillId="0" borderId="4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23" xfId="0" applyNumberFormat="1" applyFont="1" applyFill="1" applyBorder="1" applyAlignment="1">
      <alignment horizontal="right"/>
    </xf>
    <xf numFmtId="167" fontId="3" fillId="0" borderId="0" xfId="0" applyNumberFormat="1" applyFont="1" applyFill="1" applyBorder="1" applyAlignment="1">
      <alignment horizontal="centerContinuous"/>
    </xf>
    <xf numFmtId="167" fontId="3" fillId="0" borderId="0" xfId="0" applyNumberFormat="1" applyFont="1" applyBorder="1" applyAlignment="1">
      <alignment horizontal="centerContinuous"/>
    </xf>
    <xf numFmtId="167" fontId="3" fillId="0" borderId="23" xfId="0" applyNumberFormat="1" applyFont="1" applyFill="1" applyBorder="1" applyAlignment="1">
      <alignment horizontal="centerContinuous"/>
    </xf>
    <xf numFmtId="0" fontId="7" fillId="0" borderId="0" xfId="4" applyFont="1" applyAlignment="1">
      <alignment horizontal="right"/>
    </xf>
    <xf numFmtId="0" fontId="2" fillId="0" borderId="0" xfId="4"/>
    <xf numFmtId="0" fontId="25" fillId="0" borderId="0" xfId="4" applyFont="1"/>
    <xf numFmtId="0" fontId="58" fillId="0" borderId="0" xfId="4" applyFont="1"/>
    <xf numFmtId="0" fontId="59" fillId="0" borderId="26" xfId="4" applyFont="1" applyBorder="1" applyAlignment="1">
      <alignment horizontal="center"/>
    </xf>
    <xf numFmtId="0" fontId="59" fillId="0" borderId="28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59" fillId="0" borderId="1" xfId="4" applyFont="1" applyBorder="1" applyAlignment="1">
      <alignment horizontal="right"/>
    </xf>
    <xf numFmtId="0" fontId="59" fillId="0" borderId="1" xfId="4" applyFont="1" applyBorder="1" applyAlignment="1">
      <alignment horizontal="center"/>
    </xf>
    <xf numFmtId="0" fontId="58" fillId="0" borderId="131" xfId="4" applyFont="1" applyBorder="1" applyAlignment="1">
      <alignment horizontal="center"/>
    </xf>
    <xf numFmtId="0" fontId="58" fillId="0" borderId="132" xfId="4" quotePrefix="1" applyFont="1" applyBorder="1" applyAlignment="1">
      <alignment horizontal="center"/>
    </xf>
    <xf numFmtId="0" fontId="58" fillId="0" borderId="132" xfId="4" applyFont="1" applyBorder="1" applyAlignment="1">
      <alignment horizontal="center"/>
    </xf>
    <xf numFmtId="0" fontId="59" fillId="0" borderId="0" xfId="4" applyFont="1" applyAlignment="1">
      <alignment horizontal="right"/>
    </xf>
    <xf numFmtId="0" fontId="58" fillId="0" borderId="62" xfId="4" applyFont="1" applyBorder="1" applyAlignment="1">
      <alignment horizontal="center"/>
    </xf>
    <xf numFmtId="0" fontId="61" fillId="0" borderId="61" xfId="4" applyFont="1" applyBorder="1"/>
    <xf numFmtId="0" fontId="61" fillId="0" borderId="62" xfId="4" applyFont="1" applyBorder="1"/>
    <xf numFmtId="0" fontId="61" fillId="0" borderId="38" xfId="4" applyFont="1" applyBorder="1"/>
    <xf numFmtId="0" fontId="62" fillId="0" borderId="83" xfId="4" applyFont="1" applyBorder="1" applyAlignment="1">
      <alignment horizontal="centerContinuous"/>
    </xf>
    <xf numFmtId="0" fontId="61" fillId="0" borderId="0" xfId="4" applyFont="1" applyBorder="1" applyAlignment="1">
      <alignment horizontal="centerContinuous"/>
    </xf>
    <xf numFmtId="0" fontId="61" fillId="0" borderId="108" xfId="4" applyFont="1" applyBorder="1" applyAlignment="1">
      <alignment horizontal="centerContinuous"/>
    </xf>
    <xf numFmtId="0" fontId="61" fillId="0" borderId="83" xfId="4" applyFont="1" applyBorder="1"/>
    <xf numFmtId="0" fontId="61" fillId="0" borderId="0" xfId="4" applyFont="1" applyBorder="1"/>
    <xf numFmtId="0" fontId="61" fillId="0" borderId="108" xfId="4" applyFont="1" applyBorder="1"/>
    <xf numFmtId="0" fontId="65" fillId="0" borderId="1" xfId="4" applyFont="1" applyBorder="1" applyAlignment="1">
      <alignment horizontal="right"/>
    </xf>
    <xf numFmtId="0" fontId="61" fillId="0" borderId="1" xfId="4" applyFont="1" applyBorder="1" applyAlignment="1">
      <alignment horizontal="center"/>
    </xf>
    <xf numFmtId="14" fontId="61" fillId="0" borderId="1" xfId="4" applyNumberFormat="1" applyFont="1" applyBorder="1" applyAlignment="1">
      <alignment horizontal="center"/>
    </xf>
    <xf numFmtId="0" fontId="65" fillId="0" borderId="0" xfId="4" applyFont="1" applyBorder="1" applyAlignment="1">
      <alignment horizontal="right"/>
    </xf>
    <xf numFmtId="0" fontId="61" fillId="0" borderId="0" xfId="4" applyFont="1" applyBorder="1" applyAlignment="1">
      <alignment horizontal="center"/>
    </xf>
    <xf numFmtId="9" fontId="61" fillId="0" borderId="0" xfId="4" applyNumberFormat="1" applyFont="1" applyBorder="1" applyAlignment="1">
      <alignment horizontal="center"/>
    </xf>
    <xf numFmtId="0" fontId="65" fillId="0" borderId="83" xfId="4" applyFont="1" applyBorder="1" applyAlignment="1">
      <alignment horizontal="right"/>
    </xf>
    <xf numFmtId="0" fontId="61" fillId="0" borderId="40" xfId="4" applyFont="1" applyBorder="1"/>
    <xf numFmtId="0" fontId="61" fillId="0" borderId="39" xfId="4" applyFont="1" applyBorder="1" applyAlignment="1">
      <alignment horizontal="center"/>
    </xf>
    <xf numFmtId="0" fontId="61" fillId="0" borderId="85" xfId="4" applyFont="1" applyBorder="1"/>
    <xf numFmtId="0" fontId="65" fillId="0" borderId="17" xfId="4" applyFont="1" applyBorder="1" applyAlignment="1">
      <alignment horizontal="right"/>
    </xf>
    <xf numFmtId="0" fontId="61" fillId="0" borderId="132" xfId="4" applyFont="1" applyBorder="1"/>
    <xf numFmtId="0" fontId="66" fillId="0" borderId="0" xfId="4" applyFont="1"/>
    <xf numFmtId="0" fontId="2" fillId="0" borderId="0" xfId="4" applyBorder="1"/>
    <xf numFmtId="0" fontId="67" fillId="0" borderId="0" xfId="4" applyFont="1" applyFill="1" applyBorder="1"/>
    <xf numFmtId="0" fontId="2" fillId="0" borderId="0" xfId="4" applyFont="1" applyFill="1" applyBorder="1"/>
    <xf numFmtId="0" fontId="3" fillId="0" borderId="1" xfId="4" applyFont="1" applyBorder="1" applyAlignment="1">
      <alignment horizontal="center"/>
    </xf>
    <xf numFmtId="1" fontId="3" fillId="5" borderId="1" xfId="4" applyNumberFormat="1" applyFont="1" applyFill="1" applyBorder="1" applyAlignment="1">
      <alignment horizontal="center"/>
    </xf>
    <xf numFmtId="2" fontId="3" fillId="5" borderId="1" xfId="4" applyNumberFormat="1" applyFont="1" applyFill="1" applyBorder="1" applyAlignment="1">
      <alignment horizontal="center"/>
    </xf>
    <xf numFmtId="0" fontId="3" fillId="5" borderId="1" xfId="4" applyFont="1" applyFill="1" applyBorder="1" applyAlignment="1">
      <alignment horizontal="center"/>
    </xf>
    <xf numFmtId="0" fontId="63" fillId="0" borderId="83" xfId="4" applyFont="1" applyBorder="1" applyAlignment="1">
      <alignment horizontal="centerContinuous"/>
    </xf>
    <xf numFmtId="167" fontId="4" fillId="0" borderId="0" xfId="4" quotePrefix="1" applyNumberFormat="1" applyFont="1" applyBorder="1" applyAlignment="1">
      <alignment horizontal="center"/>
    </xf>
    <xf numFmtId="167" fontId="3" fillId="0" borderId="0" xfId="4" applyNumberFormat="1" applyFont="1" applyBorder="1" applyAlignment="1">
      <alignment horizontal="center"/>
    </xf>
    <xf numFmtId="167" fontId="4" fillId="0" borderId="0" xfId="0" quotePrefix="1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center"/>
    </xf>
    <xf numFmtId="0" fontId="19" fillId="0" borderId="0" xfId="4" applyFont="1"/>
    <xf numFmtId="167" fontId="4" fillId="0" borderId="135" xfId="4" quotePrefix="1" applyNumberFormat="1" applyFont="1" applyBorder="1" applyAlignment="1">
      <alignment horizontal="center"/>
    </xf>
    <xf numFmtId="167" fontId="3" fillId="0" borderId="39" xfId="4" applyNumberFormat="1" applyFont="1" applyBorder="1" applyAlignment="1">
      <alignment horizontal="center"/>
    </xf>
    <xf numFmtId="167" fontId="3" fillId="0" borderId="28" xfId="4" applyNumberFormat="1" applyFont="1" applyBorder="1" applyAlignment="1">
      <alignment horizontal="center"/>
    </xf>
    <xf numFmtId="167" fontId="3" fillId="0" borderId="136" xfId="4" applyNumberFormat="1" applyFont="1" applyBorder="1" applyAlignment="1">
      <alignment horizontal="center"/>
    </xf>
    <xf numFmtId="167" fontId="4" fillId="0" borderId="137" xfId="4" quotePrefix="1" applyNumberFormat="1" applyFont="1" applyBorder="1" applyAlignment="1">
      <alignment horizontal="center"/>
    </xf>
    <xf numFmtId="167" fontId="3" fillId="0" borderId="132" xfId="4" applyNumberFormat="1" applyFont="1" applyBorder="1" applyAlignment="1">
      <alignment horizontal="center"/>
    </xf>
    <xf numFmtId="167" fontId="3" fillId="0" borderId="1" xfId="4" applyNumberFormat="1" applyFont="1" applyBorder="1" applyAlignment="1">
      <alignment horizontal="center"/>
    </xf>
    <xf numFmtId="167" fontId="3" fillId="0" borderId="9" xfId="4" applyNumberFormat="1" applyFont="1" applyBorder="1" applyAlignment="1">
      <alignment horizontal="center"/>
    </xf>
    <xf numFmtId="167" fontId="4" fillId="0" borderId="25" xfId="4" quotePrefix="1" applyNumberFormat="1" applyFont="1" applyBorder="1" applyAlignment="1">
      <alignment horizontal="center"/>
    </xf>
    <xf numFmtId="167" fontId="3" fillId="0" borderId="133" xfId="4" applyNumberFormat="1" applyFont="1" applyBorder="1" applyAlignment="1">
      <alignment horizontal="center"/>
    </xf>
    <xf numFmtId="167" fontId="3" fillId="0" borderId="11" xfId="4" applyNumberFormat="1" applyFont="1" applyBorder="1" applyAlignment="1">
      <alignment horizontal="center"/>
    </xf>
    <xf numFmtId="167" fontId="3" fillId="0" borderId="33" xfId="4" applyNumberFormat="1" applyFont="1" applyBorder="1" applyAlignment="1">
      <alignment horizontal="center"/>
    </xf>
    <xf numFmtId="172" fontId="69" fillId="0" borderId="6" xfId="5" applyFont="1" applyBorder="1" applyAlignment="1" applyProtection="1">
      <alignment horizontal="centerContinuous"/>
    </xf>
    <xf numFmtId="172" fontId="69" fillId="0" borderId="7" xfId="5" applyFont="1" applyBorder="1" applyAlignment="1">
      <alignment horizontal="centerContinuous"/>
    </xf>
    <xf numFmtId="172" fontId="70" fillId="0" borderId="12" xfId="5" applyFont="1" applyBorder="1" applyAlignment="1" applyProtection="1">
      <alignment horizontal="left"/>
    </xf>
    <xf numFmtId="172" fontId="71" fillId="0" borderId="55" xfId="5" applyFont="1" applyBorder="1"/>
    <xf numFmtId="172" fontId="70" fillId="0" borderId="13" xfId="5" applyFont="1" applyBorder="1" applyAlignment="1">
      <alignment horizontal="centerContinuous"/>
    </xf>
    <xf numFmtId="172" fontId="71" fillId="0" borderId="14" xfId="5" applyFont="1" applyBorder="1" applyAlignment="1">
      <alignment horizontal="centerContinuous"/>
    </xf>
    <xf numFmtId="172" fontId="72" fillId="0" borderId="0" xfId="5" applyFont="1"/>
    <xf numFmtId="172" fontId="68" fillId="0" borderId="0" xfId="5"/>
    <xf numFmtId="172" fontId="69" fillId="0" borderId="45" xfId="5" applyFont="1" applyBorder="1" applyAlignment="1" applyProtection="1">
      <alignment horizontal="centerContinuous"/>
    </xf>
    <xf numFmtId="172" fontId="69" fillId="0" borderId="0" xfId="5" applyFont="1" applyBorder="1" applyAlignment="1">
      <alignment horizontal="centerContinuous"/>
    </xf>
    <xf numFmtId="172" fontId="70" fillId="0" borderId="109" xfId="5" applyFont="1" applyBorder="1" applyAlignment="1" applyProtection="1">
      <alignment horizontal="left"/>
    </xf>
    <xf numFmtId="172" fontId="71" fillId="0" borderId="39" xfId="5" applyFont="1" applyBorder="1"/>
    <xf numFmtId="172" fontId="70" fillId="0" borderId="40" xfId="5" applyFont="1" applyBorder="1" applyAlignment="1" applyProtection="1">
      <alignment horizontal="centerContinuous"/>
    </xf>
    <xf numFmtId="172" fontId="71" fillId="0" borderId="29" xfId="5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1" fillId="0" borderId="0" xfId="5" applyFont="1" applyBorder="1" applyAlignment="1">
      <alignment horizontal="centerContinuous"/>
    </xf>
    <xf numFmtId="172" fontId="70" fillId="0" borderId="40" xfId="5" quotePrefix="1" applyFont="1" applyBorder="1" applyAlignment="1">
      <alignment horizontal="centerContinuous"/>
    </xf>
    <xf numFmtId="172" fontId="73" fillId="0" borderId="45" xfId="5" applyFont="1" applyBorder="1" applyAlignment="1" applyProtection="1">
      <alignment horizontal="centerContinuous"/>
    </xf>
    <xf numFmtId="172" fontId="70" fillId="0" borderId="40" xfId="5" quotePrefix="1" applyFont="1" applyBorder="1" applyAlignment="1" applyProtection="1">
      <alignment horizontal="centerContinuous"/>
    </xf>
    <xf numFmtId="172" fontId="72" fillId="0" borderId="45" xfId="5" applyFont="1" applyBorder="1" applyAlignment="1">
      <alignment horizontal="centerContinuous"/>
    </xf>
    <xf numFmtId="172" fontId="70" fillId="0" borderId="40" xfId="5" applyFont="1" applyBorder="1" applyAlignment="1">
      <alignment horizontal="centerContinuous"/>
    </xf>
    <xf numFmtId="172" fontId="72" fillId="0" borderId="46" xfId="5" applyFont="1" applyBorder="1" applyAlignment="1" applyProtection="1">
      <alignment horizontal="centerContinuous"/>
    </xf>
    <xf numFmtId="172" fontId="71" fillId="0" borderId="23" xfId="5" applyFont="1" applyBorder="1" applyAlignment="1">
      <alignment horizontal="centerContinuous"/>
    </xf>
    <xf numFmtId="172" fontId="70" fillId="0" borderId="46" xfId="5" applyFont="1" applyBorder="1" applyAlignment="1" applyProtection="1">
      <alignment horizontal="left"/>
    </xf>
    <xf numFmtId="172" fontId="71" fillId="0" borderId="48" xfId="5" applyFont="1" applyBorder="1"/>
    <xf numFmtId="172" fontId="74" fillId="0" borderId="23" xfId="5" applyFont="1" applyBorder="1" applyAlignment="1">
      <alignment horizontal="centerContinuous"/>
    </xf>
    <xf numFmtId="172" fontId="71" fillId="0" borderId="24" xfId="5" applyFont="1" applyBorder="1" applyAlignment="1">
      <alignment horizontal="centerContinuous"/>
    </xf>
    <xf numFmtId="172" fontId="72" fillId="0" borderId="0" xfId="5" applyFont="1" applyBorder="1" applyAlignment="1" applyProtection="1">
      <alignment horizontal="centerContinuous"/>
    </xf>
    <xf numFmtId="172" fontId="70" fillId="0" borderId="0" xfId="5" applyFont="1" applyBorder="1" applyAlignment="1" applyProtection="1">
      <alignment horizontal="left"/>
    </xf>
    <xf numFmtId="172" fontId="71" fillId="0" borderId="0" xfId="5" applyFont="1" applyBorder="1"/>
    <xf numFmtId="172" fontId="70" fillId="0" borderId="0" xfId="5" applyFont="1" applyBorder="1" applyAlignment="1">
      <alignment horizontal="centerContinuous"/>
    </xf>
    <xf numFmtId="172" fontId="75" fillId="0" borderId="0" xfId="5" applyFont="1"/>
    <xf numFmtId="172" fontId="75" fillId="0" borderId="0" xfId="5" applyFont="1" applyAlignment="1" applyProtection="1">
      <alignment horizontal="right"/>
    </xf>
    <xf numFmtId="172" fontId="75" fillId="0" borderId="0" xfId="5" applyFont="1" applyAlignment="1" applyProtection="1">
      <alignment horizontal="left"/>
      <protection locked="0"/>
    </xf>
    <xf numFmtId="172" fontId="75" fillId="0" borderId="0" xfId="5" applyFont="1" applyBorder="1" applyAlignment="1">
      <alignment horizontal="centerContinuous"/>
    </xf>
    <xf numFmtId="172" fontId="75" fillId="0" borderId="0" xfId="5" applyFont="1" applyBorder="1" applyAlignment="1" applyProtection="1">
      <alignment horizontal="left"/>
    </xf>
    <xf numFmtId="172" fontId="75" fillId="0" borderId="0" xfId="5" applyFont="1" applyBorder="1"/>
    <xf numFmtId="49" fontId="75" fillId="0" borderId="0" xfId="5" quotePrefix="1" applyNumberFormat="1" applyFont="1" applyAlignment="1" applyProtection="1">
      <alignment horizontal="left"/>
      <protection locked="0"/>
    </xf>
    <xf numFmtId="172" fontId="71" fillId="0" borderId="0" xfId="5" applyFont="1"/>
    <xf numFmtId="172" fontId="76" fillId="0" borderId="138" xfId="5" applyFont="1" applyBorder="1" applyAlignment="1" applyProtection="1">
      <alignment horizontal="centerContinuous"/>
    </xf>
    <xf numFmtId="172" fontId="72" fillId="0" borderId="139" xfId="5" applyFont="1" applyBorder="1" applyAlignment="1">
      <alignment horizontal="centerContinuous"/>
    </xf>
    <xf numFmtId="172" fontId="72" fillId="0" borderId="140" xfId="5" applyFont="1" applyBorder="1" applyAlignment="1">
      <alignment horizontal="centerContinuous"/>
    </xf>
    <xf numFmtId="172" fontId="75" fillId="0" borderId="45" xfId="5" applyFont="1" applyBorder="1"/>
    <xf numFmtId="172" fontId="75" fillId="0" borderId="0" xfId="5" applyFont="1" applyBorder="1" applyAlignment="1" applyProtection="1">
      <alignment horizontal="right"/>
    </xf>
    <xf numFmtId="172" fontId="75" fillId="0" borderId="0" xfId="5" applyFont="1" applyBorder="1" applyAlignment="1" applyProtection="1">
      <alignment horizontal="center"/>
      <protection locked="0"/>
    </xf>
    <xf numFmtId="172" fontId="75" fillId="0" borderId="21" xfId="5" applyFont="1" applyBorder="1" applyAlignment="1" applyProtection="1">
      <alignment horizontal="center"/>
      <protection locked="0"/>
    </xf>
    <xf numFmtId="172" fontId="75" fillId="0" borderId="0" xfId="5" applyFont="1" applyBorder="1" applyAlignment="1">
      <alignment horizontal="center"/>
    </xf>
    <xf numFmtId="49" fontId="75" fillId="0" borderId="0" xfId="5" applyNumberFormat="1" applyFont="1" applyBorder="1" applyAlignment="1">
      <alignment horizontal="center"/>
    </xf>
    <xf numFmtId="172" fontId="75" fillId="0" borderId="0" xfId="5" quotePrefix="1" applyFont="1" applyBorder="1" applyAlignment="1" applyProtection="1">
      <alignment horizontal="right"/>
    </xf>
    <xf numFmtId="172" fontId="75" fillId="0" borderId="0" xfId="5" quotePrefix="1" applyFont="1" applyBorder="1" applyAlignment="1" applyProtection="1">
      <alignment horizontal="center"/>
      <protection locked="0"/>
    </xf>
    <xf numFmtId="172" fontId="75" fillId="0" borderId="0" xfId="5" applyFont="1" applyBorder="1" applyAlignment="1" applyProtection="1">
      <alignment horizontal="left"/>
      <protection locked="0"/>
    </xf>
    <xf numFmtId="172" fontId="75" fillId="0" borderId="21" xfId="5" applyFont="1" applyBorder="1"/>
    <xf numFmtId="172" fontId="75" fillId="0" borderId="46" xfId="5" applyFont="1" applyBorder="1"/>
    <xf numFmtId="172" fontId="75" fillId="0" borderId="23" xfId="5" applyFont="1" applyBorder="1" applyAlignment="1" applyProtection="1">
      <alignment horizontal="right"/>
    </xf>
    <xf numFmtId="167" fontId="75" fillId="0" borderId="23" xfId="5" quotePrefix="1" applyNumberFormat="1" applyFont="1" applyBorder="1" applyAlignment="1" applyProtection="1">
      <alignment horizontal="center"/>
      <protection locked="0"/>
    </xf>
    <xf numFmtId="172" fontId="75" fillId="0" borderId="23" xfId="5" applyFont="1" applyBorder="1"/>
    <xf numFmtId="172" fontId="75" fillId="0" borderId="23" xfId="5" applyFont="1" applyBorder="1" applyAlignment="1">
      <alignment horizontal="right"/>
    </xf>
    <xf numFmtId="167" fontId="75" fillId="0" borderId="23" xfId="5" applyNumberFormat="1" applyFont="1" applyBorder="1" applyProtection="1"/>
    <xf numFmtId="172" fontId="75" fillId="0" borderId="24" xfId="5" applyFont="1" applyBorder="1"/>
    <xf numFmtId="172" fontId="77" fillId="0" borderId="45" xfId="5" quotePrefix="1" applyFont="1" applyBorder="1" applyAlignment="1">
      <alignment horizontal="left"/>
    </xf>
    <xf numFmtId="172" fontId="71" fillId="0" borderId="0" xfId="5" quotePrefix="1" applyFont="1" applyBorder="1" applyAlignment="1" applyProtection="1">
      <alignment horizontal="right"/>
    </xf>
    <xf numFmtId="172" fontId="71" fillId="0" borderId="108" xfId="5" applyFont="1" applyBorder="1"/>
    <xf numFmtId="172" fontId="77" fillId="0" borderId="0" xfId="5" applyFont="1" applyBorder="1" applyAlignment="1" applyProtection="1">
      <alignment horizontal="left"/>
    </xf>
    <xf numFmtId="172" fontId="71" fillId="0" borderId="0" xfId="5" applyFont="1" applyBorder="1" applyAlignment="1" applyProtection="1">
      <alignment horizontal="right"/>
    </xf>
    <xf numFmtId="172" fontId="71" fillId="0" borderId="108" xfId="5" applyFont="1" applyBorder="1" applyAlignment="1" applyProtection="1">
      <alignment horizontal="right"/>
    </xf>
    <xf numFmtId="172" fontId="77" fillId="0" borderId="0" xfId="5" quotePrefix="1" applyFont="1" applyBorder="1" applyAlignment="1" applyProtection="1">
      <alignment horizontal="left"/>
    </xf>
    <xf numFmtId="172" fontId="71" fillId="0" borderId="0" xfId="5" applyFont="1" applyBorder="1" applyAlignment="1">
      <alignment horizontal="right"/>
    </xf>
    <xf numFmtId="172" fontId="71" fillId="0" borderId="21" xfId="5" applyFont="1" applyBorder="1"/>
    <xf numFmtId="172" fontId="68" fillId="0" borderId="45" xfId="5" applyBorder="1"/>
    <xf numFmtId="172" fontId="75" fillId="0" borderId="0" xfId="5" applyFont="1" applyBorder="1" applyAlignment="1">
      <alignment horizontal="right"/>
    </xf>
    <xf numFmtId="172" fontId="75" fillId="0" borderId="108" xfId="5" applyFont="1" applyBorder="1" applyAlignment="1" applyProtection="1">
      <alignment horizontal="center"/>
      <protection locked="0"/>
    </xf>
    <xf numFmtId="1" fontId="75" fillId="0" borderId="108" xfId="5" applyNumberFormat="1" applyFont="1" applyBorder="1" applyAlignment="1">
      <alignment horizontal="center"/>
    </xf>
    <xf numFmtId="172" fontId="75" fillId="0" borderId="0" xfId="5" applyFont="1" applyBorder="1" applyAlignment="1">
      <alignment horizontal="left"/>
    </xf>
    <xf numFmtId="172" fontId="75" fillId="0" borderId="108" xfId="5" applyFont="1" applyBorder="1"/>
    <xf numFmtId="172" fontId="75" fillId="0" borderId="48" xfId="5" applyFont="1" applyBorder="1"/>
    <xf numFmtId="172" fontId="75" fillId="0" borderId="48" xfId="5" applyFont="1" applyBorder="1" applyAlignment="1">
      <alignment horizontal="left"/>
    </xf>
    <xf numFmtId="172" fontId="72" fillId="0" borderId="0" xfId="5" applyFont="1" applyBorder="1" applyAlignment="1">
      <alignment horizontal="centerContinuous"/>
    </xf>
    <xf numFmtId="172" fontId="72" fillId="0" borderId="0" xfId="5" applyFont="1" applyBorder="1"/>
    <xf numFmtId="172" fontId="76" fillId="0" borderId="141" xfId="5" applyFont="1" applyBorder="1" applyAlignment="1" applyProtection="1">
      <alignment horizontal="centerContinuous"/>
    </xf>
    <xf numFmtId="172" fontId="72" fillId="0" borderId="142" xfId="5" applyFont="1" applyBorder="1" applyAlignment="1">
      <alignment horizontal="centerContinuous"/>
    </xf>
    <xf numFmtId="172" fontId="68" fillId="0" borderId="143" xfId="5" applyBorder="1"/>
    <xf numFmtId="172" fontId="72" fillId="0" borderId="144" xfId="5" applyFont="1" applyBorder="1" applyAlignment="1">
      <alignment horizontal="centerContinuous"/>
    </xf>
    <xf numFmtId="172" fontId="77" fillId="0" borderId="45" xfId="5" applyFont="1" applyBorder="1" applyAlignment="1">
      <alignment horizontal="left"/>
    </xf>
    <xf numFmtId="172" fontId="68" fillId="0" borderId="108" xfId="5" applyBorder="1"/>
    <xf numFmtId="167" fontId="75" fillId="0" borderId="0" xfId="5" applyNumberFormat="1" applyFont="1" applyBorder="1" applyAlignment="1" applyProtection="1">
      <alignment horizontal="center"/>
      <protection locked="0"/>
    </xf>
    <xf numFmtId="172" fontId="75" fillId="0" borderId="45" xfId="5" applyFont="1" applyBorder="1" applyAlignment="1">
      <alignment horizontal="left"/>
    </xf>
    <xf numFmtId="172" fontId="68" fillId="0" borderId="48" xfId="5" applyBorder="1"/>
    <xf numFmtId="172" fontId="72" fillId="0" borderId="0" xfId="5" applyFont="1" applyBorder="1" applyAlignment="1">
      <alignment horizontal="left"/>
    </xf>
    <xf numFmtId="172" fontId="72" fillId="0" borderId="0" xfId="5" applyFont="1" applyAlignment="1">
      <alignment horizontal="left"/>
    </xf>
    <xf numFmtId="172" fontId="72" fillId="0" borderId="141" xfId="5" applyFont="1" applyBorder="1"/>
    <xf numFmtId="172" fontId="71" fillId="0" borderId="142" xfId="5" applyFont="1" applyBorder="1" applyAlignment="1">
      <alignment horizontal="left"/>
    </xf>
    <xf numFmtId="172" fontId="71" fillId="0" borderId="144" xfId="5" applyFont="1" applyBorder="1" applyAlignment="1">
      <alignment horizontal="left"/>
    </xf>
    <xf numFmtId="172" fontId="75" fillId="0" borderId="45" xfId="5" quotePrefix="1" applyFont="1" applyBorder="1" applyAlignment="1">
      <alignment horizontal="left"/>
    </xf>
    <xf numFmtId="172" fontId="75" fillId="0" borderId="21" xfId="5" applyFont="1" applyBorder="1" applyAlignment="1">
      <alignment horizontal="left"/>
    </xf>
    <xf numFmtId="172" fontId="78" fillId="0" borderId="145" xfId="5" applyFont="1" applyBorder="1"/>
    <xf numFmtId="172" fontId="75" fillId="0" borderId="0" xfId="5" quotePrefix="1" applyFont="1" applyBorder="1" applyAlignment="1" applyProtection="1">
      <alignment horizontal="left"/>
    </xf>
    <xf numFmtId="172" fontId="75" fillId="0" borderId="146" xfId="5" quotePrefix="1" applyFont="1" applyBorder="1" applyAlignment="1" applyProtection="1">
      <alignment horizontal="left"/>
    </xf>
    <xf numFmtId="172" fontId="75" fillId="0" borderId="147" xfId="5" quotePrefix="1" applyFont="1" applyBorder="1" applyAlignment="1">
      <alignment horizontal="left"/>
    </xf>
    <xf numFmtId="172" fontId="75" fillId="0" borderId="46" xfId="5" applyFont="1" applyBorder="1" applyAlignment="1">
      <alignment horizontal="left"/>
    </xf>
    <xf numFmtId="172" fontId="75" fillId="0" borderId="23" xfId="5" applyFont="1" applyBorder="1" applyAlignment="1">
      <alignment horizontal="left"/>
    </xf>
    <xf numFmtId="172" fontId="75" fillId="0" borderId="24" xfId="5" applyFont="1" applyBorder="1" applyAlignment="1">
      <alignment horizontal="left"/>
    </xf>
    <xf numFmtId="172" fontId="71" fillId="0" borderId="0" xfId="5" applyFont="1" applyAlignment="1">
      <alignment horizontal="left"/>
    </xf>
    <xf numFmtId="172" fontId="79" fillId="0" borderId="0" xfId="5" applyFont="1" applyAlignment="1" applyProtection="1">
      <alignment horizontal="right"/>
    </xf>
    <xf numFmtId="172" fontId="68" fillId="0" borderId="0" xfId="5" applyAlignment="1">
      <alignment horizontal="right"/>
    </xf>
    <xf numFmtId="49" fontId="61" fillId="0" borderId="40" xfId="4" applyNumberFormat="1" applyFont="1" applyBorder="1"/>
    <xf numFmtId="0" fontId="2" fillId="0" borderId="0" xfId="4" applyAlignment="1">
      <alignment horizontal="center"/>
    </xf>
    <xf numFmtId="0" fontId="3" fillId="0" borderId="42" xfId="4" applyFont="1" applyBorder="1" applyAlignment="1">
      <alignment horizontal="center"/>
    </xf>
    <xf numFmtId="0" fontId="3" fillId="0" borderId="24" xfId="4" applyFont="1" applyBorder="1" applyAlignment="1">
      <alignment horizontal="center"/>
    </xf>
    <xf numFmtId="0" fontId="2" fillId="0" borderId="0" xfId="4" applyAlignment="1">
      <alignment horizontal="right"/>
    </xf>
    <xf numFmtId="0" fontId="2" fillId="6" borderId="0" xfId="4" applyFill="1"/>
    <xf numFmtId="0" fontId="2" fillId="7" borderId="0" xfId="4" applyFill="1"/>
    <xf numFmtId="167" fontId="2" fillId="0" borderId="0" xfId="4" applyNumberFormat="1" applyAlignment="1">
      <alignment horizontal="center"/>
    </xf>
    <xf numFmtId="0" fontId="51" fillId="5" borderId="120" xfId="2" applyFont="1" applyFill="1" applyBorder="1" applyAlignment="1">
      <alignment horizontal="center"/>
    </xf>
    <xf numFmtId="14" fontId="20" fillId="5" borderId="124" xfId="2" applyNumberFormat="1" applyFont="1" applyFill="1" applyBorder="1" applyAlignment="1">
      <alignment horizontal="center"/>
    </xf>
    <xf numFmtId="172" fontId="69" fillId="0" borderId="6" xfId="6" applyNumberFormat="1" applyFont="1" applyBorder="1" applyAlignment="1" applyProtection="1">
      <alignment horizontal="centerContinuous"/>
    </xf>
    <xf numFmtId="172" fontId="69" fillId="0" borderId="7" xfId="6" applyNumberFormat="1" applyFont="1" applyBorder="1" applyAlignment="1">
      <alignment horizontal="centerContinuous"/>
    </xf>
    <xf numFmtId="172" fontId="70" fillId="0" borderId="12" xfId="6" applyNumberFormat="1" applyFont="1" applyBorder="1" applyAlignment="1" applyProtection="1">
      <alignment horizontal="left"/>
    </xf>
    <xf numFmtId="172" fontId="71" fillId="0" borderId="55" xfId="6" applyNumberFormat="1" applyFont="1" applyBorder="1"/>
    <xf numFmtId="172" fontId="70" fillId="0" borderId="13" xfId="6" applyNumberFormat="1" applyFont="1" applyBorder="1" applyAlignment="1">
      <alignment horizontal="centerContinuous"/>
    </xf>
    <xf numFmtId="172" fontId="71" fillId="0" borderId="14" xfId="6" applyNumberFormat="1" applyFont="1" applyBorder="1" applyAlignment="1">
      <alignment horizontal="centerContinuous"/>
    </xf>
    <xf numFmtId="172" fontId="81" fillId="0" borderId="0" xfId="6" applyNumberFormat="1"/>
    <xf numFmtId="172" fontId="69" fillId="0" borderId="45" xfId="6" applyNumberFormat="1" applyFont="1" applyBorder="1" applyAlignment="1" applyProtection="1">
      <alignment horizontal="centerContinuous"/>
    </xf>
    <xf numFmtId="172" fontId="69" fillId="0" borderId="0" xfId="6" applyNumberFormat="1" applyFont="1" applyBorder="1" applyAlignment="1">
      <alignment horizontal="centerContinuous"/>
    </xf>
    <xf numFmtId="172" fontId="70" fillId="0" borderId="109" xfId="6" applyNumberFormat="1" applyFont="1" applyBorder="1" applyAlignment="1" applyProtection="1">
      <alignment horizontal="left"/>
    </xf>
    <xf numFmtId="172" fontId="71" fillId="0" borderId="39" xfId="6" applyNumberFormat="1" applyFont="1" applyBorder="1"/>
    <xf numFmtId="172" fontId="70" fillId="0" borderId="40" xfId="6" applyNumberFormat="1" applyFont="1" applyBorder="1" applyAlignment="1" applyProtection="1">
      <alignment horizontal="centerContinuous"/>
    </xf>
    <xf numFmtId="172" fontId="71" fillId="0" borderId="29" xfId="6" applyNumberFormat="1" applyFont="1" applyBorder="1" applyAlignment="1">
      <alignment horizontal="centerContinuous"/>
    </xf>
    <xf numFmtId="172" fontId="71" fillId="0" borderId="45" xfId="6" applyNumberFormat="1" applyFont="1" applyBorder="1" applyAlignment="1">
      <alignment horizontal="centerContinuous"/>
    </xf>
    <xf numFmtId="172" fontId="71" fillId="0" borderId="0" xfId="6" applyNumberFormat="1" applyFont="1" applyBorder="1" applyAlignment="1">
      <alignment horizontal="centerContinuous"/>
    </xf>
    <xf numFmtId="172" fontId="72" fillId="0" borderId="45" xfId="6" applyNumberFormat="1" applyFont="1" applyBorder="1" applyAlignment="1">
      <alignment horizontal="centerContinuous"/>
    </xf>
    <xf numFmtId="172" fontId="70" fillId="0" borderId="40" xfId="6" applyNumberFormat="1" applyFont="1" applyBorder="1" applyAlignment="1">
      <alignment horizontal="centerContinuous"/>
    </xf>
    <xf numFmtId="172" fontId="83" fillId="0" borderId="46" xfId="6" applyNumberFormat="1" applyFont="1" applyBorder="1" applyAlignment="1" applyProtection="1">
      <alignment horizontal="centerContinuous"/>
    </xf>
    <xf numFmtId="172" fontId="71" fillId="0" borderId="23" xfId="6" applyNumberFormat="1" applyFont="1" applyBorder="1" applyAlignment="1">
      <alignment horizontal="centerContinuous"/>
    </xf>
    <xf numFmtId="172" fontId="70" fillId="0" borderId="46" xfId="6" applyNumberFormat="1" applyFont="1" applyBorder="1" applyAlignment="1" applyProtection="1">
      <alignment horizontal="left"/>
    </xf>
    <xf numFmtId="172" fontId="71" fillId="0" borderId="48" xfId="6" applyNumberFormat="1" applyFont="1" applyBorder="1"/>
    <xf numFmtId="172" fontId="84" fillId="0" borderId="23" xfId="6" applyNumberFormat="1" applyFont="1" applyBorder="1" applyAlignment="1">
      <alignment horizontal="centerContinuous"/>
    </xf>
    <xf numFmtId="172" fontId="71" fillId="0" borderId="24" xfId="6" applyNumberFormat="1" applyFont="1" applyBorder="1" applyAlignment="1">
      <alignment horizontal="centerContinuous"/>
    </xf>
    <xf numFmtId="172" fontId="72" fillId="0" borderId="0" xfId="7" applyNumberFormat="1" applyFont="1" applyBorder="1" applyAlignment="1" applyProtection="1">
      <alignment horizontal="centerContinuous"/>
    </xf>
    <xf numFmtId="172" fontId="71" fillId="0" borderId="0" xfId="7" applyNumberFormat="1" applyFont="1" applyBorder="1" applyAlignment="1">
      <alignment horizontal="centerContinuous"/>
    </xf>
    <xf numFmtId="172" fontId="70" fillId="0" borderId="0" xfId="7" applyNumberFormat="1" applyFont="1" applyBorder="1" applyAlignment="1" applyProtection="1">
      <alignment horizontal="left"/>
    </xf>
    <xf numFmtId="172" fontId="71" fillId="0" borderId="0" xfId="7" applyNumberFormat="1" applyFont="1" applyBorder="1"/>
    <xf numFmtId="172" fontId="70" fillId="0" borderId="0" xfId="7" applyNumberFormat="1" applyFont="1" applyBorder="1" applyAlignment="1">
      <alignment horizontal="centerContinuous"/>
    </xf>
    <xf numFmtId="172" fontId="71" fillId="0" borderId="0" xfId="6" applyNumberFormat="1" applyFont="1"/>
    <xf numFmtId="172" fontId="75" fillId="0" borderId="0" xfId="8" applyFont="1"/>
    <xf numFmtId="172" fontId="75" fillId="0" borderId="0" xfId="8" applyFont="1" applyAlignment="1" applyProtection="1">
      <alignment horizontal="right"/>
    </xf>
    <xf numFmtId="172" fontId="75" fillId="0" borderId="0" xfId="8" applyFont="1" applyAlignment="1" applyProtection="1">
      <alignment horizontal="left"/>
      <protection locked="0"/>
    </xf>
    <xf numFmtId="172" fontId="75" fillId="0" borderId="0" xfId="8" applyFont="1" applyBorder="1" applyAlignment="1">
      <alignment horizontal="centerContinuous"/>
    </xf>
    <xf numFmtId="172" fontId="75" fillId="0" borderId="0" xfId="8" applyFont="1" applyBorder="1" applyAlignment="1" applyProtection="1">
      <alignment horizontal="left"/>
    </xf>
    <xf numFmtId="172" fontId="75" fillId="0" borderId="0" xfId="8" applyFont="1" applyBorder="1"/>
    <xf numFmtId="49" fontId="75" fillId="0" borderId="0" xfId="9" quotePrefix="1" applyNumberFormat="1" applyFont="1" applyAlignment="1" applyProtection="1">
      <alignment horizontal="left"/>
      <protection locked="0"/>
    </xf>
    <xf numFmtId="172" fontId="71" fillId="0" borderId="0" xfId="8" applyFont="1"/>
    <xf numFmtId="172" fontId="76" fillId="0" borderId="138" xfId="8" applyFont="1" applyBorder="1" applyAlignment="1" applyProtection="1">
      <alignment horizontal="centerContinuous"/>
    </xf>
    <xf numFmtId="172" fontId="72" fillId="0" borderId="139" xfId="8" applyFont="1" applyBorder="1" applyAlignment="1">
      <alignment horizontal="centerContinuous"/>
    </xf>
    <xf numFmtId="172" fontId="72" fillId="0" borderId="140" xfId="8" applyFont="1" applyBorder="1" applyAlignment="1">
      <alignment horizontal="centerContinuous"/>
    </xf>
    <xf numFmtId="0" fontId="1" fillId="0" borderId="0" xfId="10"/>
    <xf numFmtId="172" fontId="71" fillId="0" borderId="0" xfId="6" applyNumberFormat="1" applyFont="1" applyAlignment="1">
      <alignment horizontal="centerContinuous"/>
    </xf>
    <xf numFmtId="172" fontId="76" fillId="0" borderId="0" xfId="6" applyNumberFormat="1" applyFont="1" applyBorder="1" applyAlignment="1" applyProtection="1">
      <alignment horizontal="center"/>
    </xf>
    <xf numFmtId="172" fontId="75" fillId="0" borderId="0" xfId="6" applyNumberFormat="1" applyFont="1" applyBorder="1" applyAlignment="1" applyProtection="1">
      <alignment horizontal="center"/>
    </xf>
    <xf numFmtId="167" fontId="75" fillId="0" borderId="0" xfId="6" quotePrefix="1" applyNumberFormat="1" applyFont="1" applyBorder="1" applyAlignment="1">
      <alignment horizontal="center"/>
    </xf>
    <xf numFmtId="1" fontId="75" fillId="0" borderId="0" xfId="6" quotePrefix="1" applyNumberFormat="1" applyFont="1" applyBorder="1" applyAlignment="1">
      <alignment horizontal="center"/>
    </xf>
    <xf numFmtId="175" fontId="81" fillId="0" borderId="0" xfId="6" applyNumberFormat="1"/>
    <xf numFmtId="172" fontId="75" fillId="0" borderId="0" xfId="6" applyNumberFormat="1" applyFont="1" applyBorder="1" applyAlignment="1">
      <alignment horizontal="centerContinuous"/>
    </xf>
    <xf numFmtId="172" fontId="75" fillId="0" borderId="0" xfId="6" applyNumberFormat="1" applyFont="1" applyBorder="1" applyAlignment="1"/>
    <xf numFmtId="176" fontId="81" fillId="0" borderId="0" xfId="6" applyNumberFormat="1"/>
    <xf numFmtId="172" fontId="86" fillId="0" borderId="0" xfId="6" applyNumberFormat="1" applyFont="1" applyBorder="1" applyAlignment="1">
      <alignment horizontal="center"/>
    </xf>
    <xf numFmtId="172" fontId="75" fillId="0" borderId="0" xfId="6" applyNumberFormat="1" applyFont="1" applyBorder="1" applyAlignment="1">
      <alignment horizontal="center"/>
    </xf>
    <xf numFmtId="172" fontId="71" fillId="0" borderId="0" xfId="6" applyNumberFormat="1" applyFont="1" applyFill="1" applyBorder="1"/>
    <xf numFmtId="172" fontId="81" fillId="0" borderId="0" xfId="6" applyNumberFormat="1" applyFill="1" applyBorder="1"/>
    <xf numFmtId="177" fontId="81" fillId="0" borderId="0" xfId="6" applyNumberFormat="1"/>
    <xf numFmtId="39" fontId="75" fillId="0" borderId="0" xfId="6" applyNumberFormat="1" applyFont="1" applyBorder="1" applyAlignment="1" applyProtection="1">
      <alignment horizontal="center"/>
    </xf>
    <xf numFmtId="178" fontId="81" fillId="0" borderId="0" xfId="6" applyNumberFormat="1"/>
    <xf numFmtId="172" fontId="78" fillId="0" borderId="0" xfId="6" applyNumberFormat="1" applyFont="1" applyBorder="1" applyAlignment="1">
      <alignment horizontal="center"/>
    </xf>
    <xf numFmtId="1" fontId="75" fillId="0" borderId="0" xfId="6" applyNumberFormat="1" applyFont="1" applyBorder="1" applyAlignment="1">
      <alignment horizontal="center"/>
    </xf>
    <xf numFmtId="180" fontId="81" fillId="0" borderId="0" xfId="6" applyNumberFormat="1"/>
    <xf numFmtId="181" fontId="81" fillId="0" borderId="0" xfId="6" applyNumberFormat="1"/>
    <xf numFmtId="172" fontId="81" fillId="0" borderId="0" xfId="6" applyNumberFormat="1" applyBorder="1" applyAlignment="1"/>
    <xf numFmtId="172" fontId="76" fillId="0" borderId="0" xfId="11" applyNumberFormat="1" applyFont="1" applyFill="1" applyBorder="1" applyAlignment="1">
      <alignment horizontal="centerContinuous"/>
    </xf>
    <xf numFmtId="172" fontId="72" fillId="0" borderId="0" xfId="11" applyNumberFormat="1" applyFont="1" applyFill="1" applyBorder="1" applyAlignment="1">
      <alignment horizontal="centerContinuous"/>
    </xf>
    <xf numFmtId="172" fontId="75" fillId="0" borderId="0" xfId="11" quotePrefix="1" applyNumberFormat="1" applyFont="1" applyFill="1" applyBorder="1" applyAlignment="1">
      <alignment horizontal="center"/>
    </xf>
    <xf numFmtId="182" fontId="75" fillId="0" borderId="0" xfId="11" quotePrefix="1" applyNumberFormat="1" applyFont="1" applyFill="1" applyBorder="1" applyAlignment="1">
      <alignment horizontal="centerContinuous"/>
    </xf>
    <xf numFmtId="172" fontId="75" fillId="0" borderId="0" xfId="11" applyNumberFormat="1" applyFont="1" applyFill="1" applyBorder="1" applyAlignment="1">
      <alignment horizontal="centerContinuous"/>
    </xf>
    <xf numFmtId="172" fontId="75" fillId="0" borderId="0" xfId="6" applyNumberFormat="1" applyFont="1" applyBorder="1" applyAlignment="1" applyProtection="1">
      <alignment horizontal="left"/>
    </xf>
    <xf numFmtId="172" fontId="72" fillId="0" borderId="0" xfId="11" applyNumberFormat="1" applyFont="1" applyFill="1" applyBorder="1" applyAlignment="1" applyProtection="1">
      <alignment horizontal="centerContinuous"/>
    </xf>
    <xf numFmtId="1" fontId="78" fillId="0" borderId="0" xfId="6" applyNumberFormat="1" applyFont="1" applyBorder="1" applyAlignment="1">
      <alignment horizontal="center"/>
    </xf>
    <xf numFmtId="172" fontId="78" fillId="0" borderId="0" xfId="6" applyNumberFormat="1" applyFont="1" applyBorder="1" applyAlignment="1"/>
    <xf numFmtId="172" fontId="87" fillId="0" borderId="0" xfId="11" applyNumberFormat="1" applyFont="1" applyFill="1" applyBorder="1" applyAlignment="1" applyProtection="1">
      <alignment horizontal="center"/>
    </xf>
    <xf numFmtId="172" fontId="72" fillId="0" borderId="0" xfId="11" applyNumberFormat="1" applyFont="1" applyFill="1" applyBorder="1" applyAlignment="1">
      <alignment horizontal="center"/>
    </xf>
    <xf numFmtId="172" fontId="71" fillId="0" borderId="0" xfId="6" applyNumberFormat="1" applyFont="1" applyFill="1" applyBorder="1" applyAlignment="1">
      <alignment horizontal="centerContinuous"/>
    </xf>
    <xf numFmtId="172" fontId="79" fillId="0" borderId="0" xfId="6" applyNumberFormat="1" applyFont="1" applyAlignment="1" applyProtection="1">
      <alignment horizontal="left"/>
    </xf>
    <xf numFmtId="172" fontId="71" fillId="0" borderId="0" xfId="6" applyNumberFormat="1" applyFont="1" applyBorder="1"/>
    <xf numFmtId="1" fontId="81" fillId="0" borderId="0" xfId="6" applyNumberFormat="1" applyBorder="1" applyAlignment="1">
      <alignment horizontal="center"/>
    </xf>
    <xf numFmtId="1" fontId="72" fillId="0" borderId="0" xfId="6" applyNumberFormat="1" applyFont="1" applyBorder="1" applyAlignment="1">
      <alignment horizontal="center"/>
    </xf>
    <xf numFmtId="172" fontId="79" fillId="0" borderId="0" xfId="6" applyNumberFormat="1" applyFont="1" applyAlignment="1" applyProtection="1">
      <alignment horizontal="right"/>
    </xf>
    <xf numFmtId="172" fontId="89" fillId="0" borderId="148" xfId="6" applyNumberFormat="1" applyFont="1" applyBorder="1" applyAlignment="1">
      <alignment horizontal="centerContinuous"/>
    </xf>
    <xf numFmtId="172" fontId="72" fillId="0" borderId="148" xfId="6" applyNumberFormat="1" applyFont="1" applyBorder="1" applyAlignment="1">
      <alignment horizontal="centerContinuous"/>
    </xf>
    <xf numFmtId="14" fontId="72" fillId="0" borderId="148" xfId="6" quotePrefix="1" applyNumberFormat="1" applyFont="1" applyBorder="1" applyAlignment="1">
      <alignment horizontal="centerContinuous"/>
    </xf>
    <xf numFmtId="172" fontId="69" fillId="0" borderId="6" xfId="12" applyNumberFormat="1" applyFont="1" applyBorder="1" applyAlignment="1" applyProtection="1">
      <alignment horizontal="centerContinuous"/>
    </xf>
    <xf numFmtId="172" fontId="69" fillId="0" borderId="7" xfId="12" applyNumberFormat="1" applyFont="1" applyBorder="1" applyAlignment="1">
      <alignment horizontal="centerContinuous"/>
    </xf>
    <xf numFmtId="172" fontId="70" fillId="0" borderId="12" xfId="12" applyNumberFormat="1" applyFont="1" applyBorder="1" applyAlignment="1" applyProtection="1">
      <alignment horizontal="left"/>
    </xf>
    <xf numFmtId="172" fontId="71" fillId="0" borderId="55" xfId="12" applyNumberFormat="1" applyFont="1" applyBorder="1"/>
    <xf numFmtId="172" fontId="72" fillId="0" borderId="0" xfId="12" applyNumberFormat="1" applyFont="1"/>
    <xf numFmtId="172" fontId="68" fillId="0" borderId="0" xfId="12" applyNumberFormat="1"/>
    <xf numFmtId="172" fontId="69" fillId="0" borderId="45" xfId="12" applyNumberFormat="1" applyFont="1" applyBorder="1" applyAlignment="1" applyProtection="1">
      <alignment horizontal="centerContinuous"/>
    </xf>
    <xf numFmtId="172" fontId="69" fillId="0" borderId="0" xfId="12" applyNumberFormat="1" applyFont="1" applyBorder="1" applyAlignment="1">
      <alignment horizontal="centerContinuous"/>
    </xf>
    <xf numFmtId="172" fontId="70" fillId="0" borderId="109" xfId="12" applyNumberFormat="1" applyFont="1" applyBorder="1" applyAlignment="1" applyProtection="1">
      <alignment horizontal="left"/>
    </xf>
    <xf numFmtId="172" fontId="71" fillId="0" borderId="39" xfId="12" applyNumberFormat="1" applyFont="1" applyBorder="1"/>
    <xf numFmtId="172" fontId="70" fillId="0" borderId="40" xfId="12" applyNumberFormat="1" applyFont="1" applyBorder="1" applyAlignment="1" applyProtection="1">
      <alignment horizontal="centerContinuous"/>
    </xf>
    <xf numFmtId="172" fontId="71" fillId="0" borderId="29" xfId="12" applyNumberFormat="1" applyFont="1" applyBorder="1" applyAlignment="1">
      <alignment horizontal="centerContinuous"/>
    </xf>
    <xf numFmtId="172" fontId="71" fillId="0" borderId="45" xfId="12" applyNumberFormat="1" applyFont="1" applyBorder="1" applyAlignment="1">
      <alignment horizontal="centerContinuous"/>
    </xf>
    <xf numFmtId="172" fontId="71" fillId="0" borderId="0" xfId="12" applyNumberFormat="1" applyFont="1" applyBorder="1" applyAlignment="1">
      <alignment horizontal="centerContinuous"/>
    </xf>
    <xf numFmtId="172" fontId="73" fillId="0" borderId="45" xfId="12" applyNumberFormat="1" applyFont="1" applyBorder="1" applyAlignment="1" applyProtection="1">
      <alignment horizontal="centerContinuous"/>
    </xf>
    <xf numFmtId="172" fontId="72" fillId="0" borderId="45" xfId="12" applyNumberFormat="1" applyFont="1" applyBorder="1" applyAlignment="1">
      <alignment horizontal="centerContinuous"/>
    </xf>
    <xf numFmtId="172" fontId="72" fillId="0" borderId="46" xfId="12" applyNumberFormat="1" applyFont="1" applyBorder="1" applyAlignment="1" applyProtection="1">
      <alignment horizontal="centerContinuous"/>
    </xf>
    <xf numFmtId="172" fontId="71" fillId="0" borderId="23" xfId="12" applyNumberFormat="1" applyFont="1" applyBorder="1" applyAlignment="1">
      <alignment horizontal="centerContinuous"/>
    </xf>
    <xf numFmtId="172" fontId="70" fillId="0" borderId="46" xfId="12" applyNumberFormat="1" applyFont="1" applyBorder="1" applyAlignment="1" applyProtection="1">
      <alignment horizontal="left"/>
    </xf>
    <xf numFmtId="172" fontId="71" fillId="0" borderId="48" xfId="12" applyNumberFormat="1" applyFont="1" applyBorder="1"/>
    <xf numFmtId="172" fontId="72" fillId="0" borderId="0" xfId="12" applyNumberFormat="1" applyFont="1" applyBorder="1" applyAlignment="1" applyProtection="1">
      <alignment horizontal="centerContinuous"/>
    </xf>
    <xf numFmtId="172" fontId="70" fillId="0" borderId="0" xfId="12" applyNumberFormat="1" applyFont="1" applyBorder="1" applyAlignment="1" applyProtection="1">
      <alignment horizontal="left"/>
    </xf>
    <xf numFmtId="172" fontId="71" fillId="0" borderId="0" xfId="12" applyNumberFormat="1" applyFont="1" applyBorder="1"/>
    <xf numFmtId="172" fontId="70" fillId="0" borderId="0" xfId="12" applyNumberFormat="1" applyFont="1" applyBorder="1" applyAlignment="1">
      <alignment horizontal="centerContinuous"/>
    </xf>
    <xf numFmtId="172" fontId="71" fillId="0" borderId="0" xfId="12" applyNumberFormat="1" applyFont="1"/>
    <xf numFmtId="172" fontId="86" fillId="0" borderId="151" xfId="12" applyNumberFormat="1" applyFont="1" applyBorder="1"/>
    <xf numFmtId="172" fontId="86" fillId="0" borderId="152" xfId="12" applyNumberFormat="1" applyFont="1" applyBorder="1"/>
    <xf numFmtId="172" fontId="68" fillId="0" borderId="152" xfId="12" applyNumberFormat="1" applyBorder="1"/>
    <xf numFmtId="172" fontId="91" fillId="0" borderId="152" xfId="12" applyNumberFormat="1" applyFont="1" applyBorder="1" applyAlignment="1">
      <alignment horizontal="right"/>
    </xf>
    <xf numFmtId="0" fontId="91" fillId="0" borderId="152" xfId="12" applyNumberFormat="1" applyFont="1" applyBorder="1"/>
    <xf numFmtId="172" fontId="91" fillId="0" borderId="152" xfId="12" applyNumberFormat="1" applyFont="1" applyBorder="1"/>
    <xf numFmtId="168" fontId="91" fillId="0" borderId="152" xfId="12" quotePrefix="1" applyNumberFormat="1" applyFont="1" applyFill="1" applyBorder="1" applyAlignment="1">
      <alignment horizontal="center"/>
    </xf>
    <xf numFmtId="172" fontId="68" fillId="0" borderId="153" xfId="12" applyNumberFormat="1" applyBorder="1"/>
    <xf numFmtId="172" fontId="68" fillId="0" borderId="46" xfId="12" applyNumberFormat="1" applyBorder="1"/>
    <xf numFmtId="172" fontId="68" fillId="0" borderId="23" xfId="12" applyNumberFormat="1" applyBorder="1"/>
    <xf numFmtId="172" fontId="91" fillId="0" borderId="23" xfId="12" applyNumberFormat="1" applyFont="1" applyBorder="1" applyAlignment="1">
      <alignment horizontal="right"/>
    </xf>
    <xf numFmtId="0" fontId="91" fillId="0" borderId="23" xfId="12" applyNumberFormat="1" applyFont="1" applyBorder="1"/>
    <xf numFmtId="172" fontId="91" fillId="0" borderId="23" xfId="12" applyNumberFormat="1" applyFont="1" applyBorder="1"/>
    <xf numFmtId="172" fontId="68" fillId="0" borderId="24" xfId="12" applyNumberFormat="1" applyBorder="1"/>
    <xf numFmtId="172" fontId="85" fillId="0" borderId="127" xfId="12" applyNumberFormat="1" applyFont="1" applyBorder="1" applyAlignment="1">
      <alignment horizontal="center"/>
    </xf>
    <xf numFmtId="172" fontId="68" fillId="0" borderId="151" xfId="12" applyNumberFormat="1" applyBorder="1"/>
    <xf numFmtId="172" fontId="90" fillId="0" borderId="152" xfId="12" applyNumberFormat="1" applyFont="1" applyBorder="1" applyAlignment="1">
      <alignment horizontal="right"/>
    </xf>
    <xf numFmtId="172" fontId="91" fillId="0" borderId="127" xfId="12" applyNumberFormat="1" applyFont="1" applyBorder="1" applyAlignment="1">
      <alignment horizontal="right"/>
    </xf>
    <xf numFmtId="172" fontId="92" fillId="0" borderId="152" xfId="12" applyNumberFormat="1" applyFont="1" applyBorder="1" applyAlignment="1">
      <alignment horizontal="right"/>
    </xf>
    <xf numFmtId="172" fontId="68" fillId="0" borderId="45" xfId="12" applyNumberFormat="1" applyBorder="1"/>
    <xf numFmtId="172" fontId="68" fillId="0" borderId="0" xfId="12" applyNumberFormat="1" applyBorder="1"/>
    <xf numFmtId="172" fontId="91" fillId="0" borderId="0" xfId="12" applyNumberFormat="1" applyFont="1" applyBorder="1" applyAlignment="1">
      <alignment horizontal="right"/>
    </xf>
    <xf numFmtId="172" fontId="90" fillId="0" borderId="0" xfId="12" applyNumberFormat="1" applyFont="1" applyBorder="1" applyAlignment="1">
      <alignment horizontal="right"/>
    </xf>
    <xf numFmtId="172" fontId="68" fillId="0" borderId="127" xfId="12" applyNumberFormat="1" applyBorder="1"/>
    <xf numFmtId="172" fontId="92" fillId="0" borderId="0" xfId="12" applyNumberFormat="1" applyFont="1" applyBorder="1" applyAlignment="1">
      <alignment horizontal="right"/>
    </xf>
    <xf numFmtId="172" fontId="90" fillId="0" borderId="23" xfId="12" applyNumberFormat="1" applyFont="1" applyBorder="1" applyAlignment="1">
      <alignment horizontal="right"/>
    </xf>
    <xf numFmtId="172" fontId="92" fillId="0" borderId="23" xfId="12" applyNumberFormat="1" applyFont="1" applyBorder="1" applyAlignment="1">
      <alignment horizontal="right"/>
    </xf>
    <xf numFmtId="172" fontId="68" fillId="0" borderId="159" xfId="12" applyNumberFormat="1" applyBorder="1"/>
    <xf numFmtId="172" fontId="68" fillId="0" borderId="0" xfId="12" applyNumberFormat="1" applyBorder="1" applyAlignment="1">
      <alignment horizontal="right"/>
    </xf>
    <xf numFmtId="172" fontId="68" fillId="0" borderId="30" xfId="12" applyNumberFormat="1" applyBorder="1"/>
    <xf numFmtId="172" fontId="68" fillId="0" borderId="23" xfId="12" applyNumberFormat="1" applyBorder="1" applyAlignment="1">
      <alignment horizontal="right"/>
    </xf>
    <xf numFmtId="172" fontId="68" fillId="0" borderId="0" xfId="12" applyNumberFormat="1" applyAlignment="1">
      <alignment horizontal="center"/>
    </xf>
    <xf numFmtId="0" fontId="2" fillId="0" borderId="0" xfId="13"/>
    <xf numFmtId="172" fontId="68" fillId="0" borderId="2" xfId="12" quotePrefix="1" applyNumberFormat="1" applyBorder="1" applyAlignment="1">
      <alignment horizontal="center"/>
    </xf>
    <xf numFmtId="172" fontId="68" fillId="0" borderId="22" xfId="12" quotePrefix="1" applyNumberFormat="1" applyBorder="1" applyAlignment="1">
      <alignment horizontal="center"/>
    </xf>
    <xf numFmtId="172" fontId="68" fillId="0" borderId="22" xfId="12" applyNumberFormat="1" applyBorder="1" applyAlignment="1">
      <alignment horizontal="center"/>
    </xf>
    <xf numFmtId="172" fontId="68" fillId="0" borderId="10" xfId="12" applyNumberFormat="1" applyBorder="1" applyAlignment="1">
      <alignment horizontal="center"/>
    </xf>
    <xf numFmtId="167" fontId="91" fillId="0" borderId="3" xfId="12" applyNumberFormat="1" applyFont="1" applyBorder="1" applyAlignment="1">
      <alignment horizontal="center"/>
    </xf>
    <xf numFmtId="167" fontId="91" fillId="0" borderId="1" xfId="12" applyNumberFormat="1" applyFont="1" applyBorder="1" applyAlignment="1">
      <alignment horizontal="center"/>
    </xf>
    <xf numFmtId="167" fontId="91" fillId="0" borderId="9" xfId="12" applyNumberFormat="1" applyFont="1" applyBorder="1" applyAlignment="1">
      <alignment horizontal="center"/>
    </xf>
    <xf numFmtId="167" fontId="91" fillId="0" borderId="4" xfId="12" quotePrefix="1" applyNumberFormat="1" applyFont="1" applyBorder="1" applyAlignment="1">
      <alignment horizontal="center"/>
    </xf>
    <xf numFmtId="167" fontId="91" fillId="0" borderId="11" xfId="12" quotePrefix="1" applyNumberFormat="1" applyFont="1" applyBorder="1" applyAlignment="1">
      <alignment horizontal="center"/>
    </xf>
    <xf numFmtId="167" fontId="91" fillId="0" borderId="33" xfId="12" quotePrefix="1" applyNumberFormat="1" applyFont="1" applyBorder="1" applyAlignment="1">
      <alignment horizontal="center"/>
    </xf>
    <xf numFmtId="172" fontId="96" fillId="0" borderId="0" xfId="12" applyNumberFormat="1" applyFont="1" applyAlignment="1">
      <alignment horizontal="right"/>
    </xf>
    <xf numFmtId="0" fontId="72" fillId="0" borderId="0" xfId="9" applyFont="1"/>
    <xf numFmtId="0" fontId="6" fillId="0" borderId="0" xfId="14" applyFont="1" applyBorder="1"/>
    <xf numFmtId="172" fontId="97" fillId="0" borderId="0" xfId="12" applyNumberFormat="1" applyFont="1" applyBorder="1" applyAlignment="1">
      <alignment horizontal="left"/>
    </xf>
    <xf numFmtId="172" fontId="75" fillId="0" borderId="0" xfId="12" applyNumberFormat="1" applyFont="1" applyBorder="1" applyAlignment="1">
      <alignment horizontal="left"/>
    </xf>
    <xf numFmtId="0" fontId="29" fillId="0" borderId="80" xfId="1" applyFont="1" applyFill="1" applyBorder="1" applyAlignment="1"/>
    <xf numFmtId="0" fontId="29" fillId="0" borderId="81" xfId="1" applyFont="1" applyFill="1" applyBorder="1" applyAlignment="1"/>
    <xf numFmtId="0" fontId="29" fillId="0" borderId="82" xfId="1" applyFont="1" applyFill="1" applyBorder="1" applyAlignment="1"/>
    <xf numFmtId="0" fontId="20" fillId="0" borderId="0" xfId="1" applyFont="1" applyFill="1" applyAlignment="1">
      <alignment horizontal="center"/>
    </xf>
    <xf numFmtId="167" fontId="20" fillId="0" borderId="0" xfId="1" applyNumberFormat="1" applyFont="1" applyFill="1" applyAlignment="1">
      <alignment horizontal="center"/>
    </xf>
    <xf numFmtId="0" fontId="34" fillId="0" borderId="107" xfId="1" applyFont="1" applyFill="1" applyBorder="1" applyAlignment="1">
      <alignment horizontal="left"/>
    </xf>
    <xf numFmtId="0" fontId="34" fillId="0" borderId="77" xfId="1" applyFont="1" applyFill="1" applyBorder="1" applyAlignment="1">
      <alignment horizontal="left"/>
    </xf>
    <xf numFmtId="14" fontId="20" fillId="5" borderId="122" xfId="1" applyNumberFormat="1" applyFont="1" applyFill="1" applyBorder="1" applyAlignment="1">
      <alignment horizontal="center"/>
    </xf>
    <xf numFmtId="14" fontId="20" fillId="5" borderId="123" xfId="1" applyNumberFormat="1" applyFont="1" applyFill="1" applyBorder="1" applyAlignment="1">
      <alignment horizontal="center"/>
    </xf>
    <xf numFmtId="0" fontId="34" fillId="0" borderId="45" xfId="1" applyFont="1" applyFill="1" applyBorder="1" applyAlignment="1">
      <alignment horizontal="center"/>
    </xf>
    <xf numFmtId="0" fontId="34" fillId="0" borderId="0" xfId="1" applyFont="1" applyFill="1" applyBorder="1" applyAlignment="1">
      <alignment horizontal="center"/>
    </xf>
    <xf numFmtId="0" fontId="34" fillId="0" borderId="108" xfId="1" applyFont="1" applyFill="1" applyBorder="1" applyAlignment="1">
      <alignment horizontal="center"/>
    </xf>
    <xf numFmtId="0" fontId="34" fillId="0" borderId="109" xfId="1" applyFont="1" applyFill="1" applyBorder="1" applyAlignment="1">
      <alignment horizontal="center"/>
    </xf>
    <xf numFmtId="0" fontId="34" fillId="0" borderId="40" xfId="1" applyFont="1" applyFill="1" applyBorder="1" applyAlignment="1">
      <alignment horizontal="center"/>
    </xf>
    <xf numFmtId="0" fontId="34" fillId="0" borderId="39" xfId="1" applyFont="1" applyFill="1" applyBorder="1" applyAlignment="1">
      <alignment horizontal="center"/>
    </xf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9" fillId="0" borderId="38" xfId="1" applyFont="1" applyFill="1" applyBorder="1" applyAlignment="1">
      <alignment horizontal="left"/>
    </xf>
    <xf numFmtId="0" fontId="34" fillId="0" borderId="46" xfId="1" applyFont="1" applyFill="1" applyBorder="1" applyAlignment="1">
      <alignment horizontal="center"/>
    </xf>
    <xf numFmtId="0" fontId="34" fillId="0" borderId="23" xfId="1" applyFont="1" applyFill="1" applyBorder="1" applyAlignment="1">
      <alignment horizontal="center"/>
    </xf>
    <xf numFmtId="0" fontId="34" fillId="0" borderId="48" xfId="1" applyFont="1" applyFill="1" applyBorder="1" applyAlignment="1">
      <alignment horizontal="center"/>
    </xf>
    <xf numFmtId="0" fontId="51" fillId="5" borderId="117" xfId="1" applyFont="1" applyFill="1" applyBorder="1" applyAlignment="1">
      <alignment horizontal="center"/>
    </xf>
    <xf numFmtId="0" fontId="51" fillId="5" borderId="118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7" fillId="5" borderId="75" xfId="1" quotePrefix="1" applyFont="1" applyFill="1" applyBorder="1" applyAlignment="1">
      <alignment horizontal="left"/>
    </xf>
    <xf numFmtId="0" fontId="37" fillId="5" borderId="68" xfId="1" quotePrefix="1" applyFont="1" applyFill="1" applyBorder="1" applyAlignment="1">
      <alignment horizontal="left"/>
    </xf>
    <xf numFmtId="0" fontId="37" fillId="5" borderId="69" xfId="1" quotePrefix="1" applyFont="1" applyFill="1" applyBorder="1" applyAlignment="1">
      <alignment horizontal="left"/>
    </xf>
    <xf numFmtId="2" fontId="39" fillId="5" borderId="65" xfId="1" applyNumberFormat="1" applyFont="1" applyFill="1" applyBorder="1" applyAlignment="1">
      <alignment horizontal="center"/>
    </xf>
    <xf numFmtId="2" fontId="39" fillId="5" borderId="66" xfId="1" applyNumberFormat="1" applyFont="1" applyFill="1" applyBorder="1" applyAlignment="1">
      <alignment horizontal="center"/>
    </xf>
    <xf numFmtId="0" fontId="39" fillId="5" borderId="65" xfId="1" applyFont="1" applyFill="1" applyBorder="1" applyAlignment="1">
      <alignment horizontal="center"/>
    </xf>
    <xf numFmtId="0" fontId="39" fillId="5" borderId="66" xfId="1" applyFont="1" applyFill="1" applyBorder="1" applyAlignment="1">
      <alignment horizontal="center"/>
    </xf>
    <xf numFmtId="0" fontId="29" fillId="0" borderId="80" xfId="1" applyFont="1" applyFill="1" applyBorder="1" applyAlignment="1">
      <alignment horizontal="left"/>
    </xf>
    <xf numFmtId="0" fontId="29" fillId="0" borderId="81" xfId="1" applyFont="1" applyFill="1" applyBorder="1" applyAlignment="1">
      <alignment horizontal="left"/>
    </xf>
    <xf numFmtId="0" fontId="29" fillId="0" borderId="82" xfId="1" applyFont="1" applyFill="1" applyBorder="1" applyAlignment="1">
      <alignment horizontal="left"/>
    </xf>
    <xf numFmtId="167" fontId="39" fillId="5" borderId="65" xfId="1" applyNumberFormat="1" applyFont="1" applyFill="1" applyBorder="1" applyAlignment="1">
      <alignment horizontal="center"/>
    </xf>
    <xf numFmtId="167" fontId="39" fillId="5" borderId="66" xfId="1" applyNumberFormat="1" applyFont="1" applyFill="1" applyBorder="1" applyAlignment="1">
      <alignment horizontal="center"/>
    </xf>
    <xf numFmtId="0" fontId="37" fillId="5" borderId="87" xfId="1" applyFont="1" applyFill="1" applyBorder="1" applyAlignment="1">
      <alignment horizontal="center"/>
    </xf>
    <xf numFmtId="0" fontId="37" fillId="5" borderId="88" xfId="1" applyFont="1" applyFill="1" applyBorder="1" applyAlignment="1">
      <alignment horizontal="center"/>
    </xf>
    <xf numFmtId="0" fontId="37" fillId="5" borderId="83" xfId="1" applyFont="1" applyFill="1" applyBorder="1" applyAlignment="1">
      <alignment horizontal="center"/>
    </xf>
    <xf numFmtId="0" fontId="37" fillId="5" borderId="0" xfId="1" applyFont="1" applyFill="1" applyBorder="1" applyAlignment="1">
      <alignment horizontal="center"/>
    </xf>
    <xf numFmtId="0" fontId="37" fillId="5" borderId="85" xfId="1" applyFont="1" applyFill="1" applyBorder="1" applyAlignment="1">
      <alignment horizontal="center"/>
    </xf>
    <xf numFmtId="0" fontId="37" fillId="5" borderId="40" xfId="1" applyFont="1" applyFill="1" applyBorder="1" applyAlignment="1">
      <alignment horizontal="center"/>
    </xf>
    <xf numFmtId="0" fontId="37" fillId="5" borderId="89" xfId="1" applyFont="1" applyFill="1" applyBorder="1" applyAlignment="1">
      <alignment horizontal="left"/>
    </xf>
    <xf numFmtId="0" fontId="37" fillId="5" borderId="90" xfId="1" applyFont="1" applyFill="1" applyBorder="1" applyAlignment="1">
      <alignment horizontal="left"/>
    </xf>
    <xf numFmtId="0" fontId="37" fillId="5" borderId="91" xfId="1" applyFont="1" applyFill="1" applyBorder="1" applyAlignment="1">
      <alignment horizontal="left"/>
    </xf>
    <xf numFmtId="0" fontId="39" fillId="5" borderId="92" xfId="1" applyFont="1" applyFill="1" applyBorder="1" applyAlignment="1">
      <alignment horizontal="center"/>
    </xf>
    <xf numFmtId="0" fontId="39" fillId="0" borderId="92" xfId="1" applyFont="1" applyFill="1" applyBorder="1" applyAlignment="1">
      <alignment horizontal="center"/>
    </xf>
    <xf numFmtId="0" fontId="39" fillId="0" borderId="66" xfId="1" applyFont="1" applyFill="1" applyBorder="1" applyAlignment="1">
      <alignment horizontal="center"/>
    </xf>
    <xf numFmtId="0" fontId="37" fillId="5" borderId="75" xfId="1" applyFont="1" applyFill="1" applyBorder="1" applyAlignment="1">
      <alignment horizontal="left"/>
    </xf>
    <xf numFmtId="0" fontId="37" fillId="5" borderId="68" xfId="1" applyFont="1" applyFill="1" applyBorder="1" applyAlignment="1">
      <alignment horizontal="left"/>
    </xf>
    <xf numFmtId="0" fontId="37" fillId="5" borderId="69" xfId="1" applyFont="1" applyFill="1" applyBorder="1" applyAlignment="1">
      <alignment horizontal="left"/>
    </xf>
    <xf numFmtId="0" fontId="39" fillId="0" borderId="65" xfId="1" applyFont="1" applyFill="1" applyBorder="1" applyAlignment="1">
      <alignment horizontal="center"/>
    </xf>
    <xf numFmtId="169" fontId="39" fillId="5" borderId="65" xfId="1" applyNumberFormat="1" applyFont="1" applyFill="1" applyBorder="1" applyAlignment="1">
      <alignment horizontal="center"/>
    </xf>
    <xf numFmtId="169" fontId="39" fillId="5" borderId="66" xfId="1" applyNumberFormat="1" applyFont="1" applyFill="1" applyBorder="1" applyAlignment="1">
      <alignment horizontal="center"/>
    </xf>
    <xf numFmtId="1" fontId="39" fillId="5" borderId="65" xfId="1" applyNumberFormat="1" applyFont="1" applyFill="1" applyBorder="1" applyAlignment="1">
      <alignment horizontal="center"/>
    </xf>
    <xf numFmtId="1" fontId="39" fillId="5" borderId="66" xfId="1" applyNumberFormat="1" applyFont="1" applyFill="1" applyBorder="1" applyAlignment="1">
      <alignment horizontal="center"/>
    </xf>
    <xf numFmtId="1" fontId="39" fillId="5" borderId="100" xfId="1" applyNumberFormat="1" applyFont="1" applyFill="1" applyBorder="1" applyAlignment="1">
      <alignment horizontal="center"/>
    </xf>
    <xf numFmtId="1" fontId="39" fillId="5" borderId="101" xfId="1" applyNumberFormat="1" applyFont="1" applyFill="1" applyBorder="1" applyAlignment="1">
      <alignment horizontal="center"/>
    </xf>
    <xf numFmtId="0" fontId="37" fillId="0" borderId="75" xfId="1" applyFont="1" applyFill="1" applyBorder="1" applyAlignment="1">
      <alignment horizontal="left"/>
    </xf>
    <xf numFmtId="0" fontId="37" fillId="0" borderId="68" xfId="1" applyFont="1" applyFill="1" applyBorder="1" applyAlignment="1">
      <alignment horizontal="left"/>
    </xf>
    <xf numFmtId="0" fontId="37" fillId="0" borderId="69" xfId="1" applyFont="1" applyFill="1" applyBorder="1" applyAlignment="1">
      <alignment horizontal="left"/>
    </xf>
    <xf numFmtId="167" fontId="39" fillId="0" borderId="65" xfId="1" applyNumberFormat="1" applyFont="1" applyFill="1" applyBorder="1" applyAlignment="1">
      <alignment horizontal="center"/>
    </xf>
    <xf numFmtId="167" fontId="39" fillId="0" borderId="66" xfId="1" applyNumberFormat="1" applyFont="1" applyFill="1" applyBorder="1" applyAlignment="1">
      <alignment horizontal="center"/>
    </xf>
    <xf numFmtId="0" fontId="37" fillId="0" borderId="63" xfId="1" applyFont="1" applyFill="1" applyBorder="1" applyAlignment="1">
      <alignment horizontal="left"/>
    </xf>
    <xf numFmtId="0" fontId="37" fillId="0" borderId="64" xfId="1" applyFont="1" applyFill="1" applyBorder="1" applyAlignment="1">
      <alignment horizontal="left"/>
    </xf>
    <xf numFmtId="2" fontId="39" fillId="0" borderId="65" xfId="1" applyNumberFormat="1" applyFont="1" applyFill="1" applyBorder="1" applyAlignment="1">
      <alignment horizontal="center"/>
    </xf>
    <xf numFmtId="2" fontId="39" fillId="0" borderId="66" xfId="1" applyNumberFormat="1" applyFont="1" applyFill="1" applyBorder="1" applyAlignment="1">
      <alignment horizontal="center"/>
    </xf>
    <xf numFmtId="0" fontId="39" fillId="0" borderId="65" xfId="2" applyFont="1" applyFill="1" applyBorder="1" applyAlignment="1">
      <alignment horizontal="center"/>
    </xf>
    <xf numFmtId="0" fontId="39" fillId="0" borderId="66" xfId="2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2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7" fillId="0" borderId="58" xfId="1" applyFont="1" applyFill="1" applyBorder="1" applyAlignment="1">
      <alignment horizontal="left"/>
    </xf>
    <xf numFmtId="0" fontId="37" fillId="0" borderId="59" xfId="1" applyFont="1" applyFill="1" applyBorder="1" applyAlignment="1">
      <alignment horizontal="left"/>
    </xf>
    <xf numFmtId="0" fontId="38" fillId="5" borderId="60" xfId="2" applyFont="1" applyFill="1" applyBorder="1" applyAlignment="1">
      <alignment horizontal="center"/>
    </xf>
    <xf numFmtId="0" fontId="38" fillId="5" borderId="56" xfId="2" applyFont="1" applyFill="1" applyBorder="1" applyAlignment="1">
      <alignment horizontal="center"/>
    </xf>
    <xf numFmtId="0" fontId="54" fillId="0" borderId="17" xfId="3" applyBorder="1" applyAlignment="1">
      <alignment horizontal="left"/>
    </xf>
    <xf numFmtId="0" fontId="54" fillId="0" borderId="131" xfId="3" applyBorder="1" applyAlignment="1">
      <alignment horizontal="left"/>
    </xf>
    <xf numFmtId="170" fontId="54" fillId="0" borderId="17" xfId="3" applyNumberFormat="1" applyBorder="1" applyAlignment="1">
      <alignment horizontal="center"/>
    </xf>
    <xf numFmtId="170" fontId="54" fillId="0" borderId="131" xfId="3" applyNumberFormat="1" applyBorder="1" applyAlignment="1">
      <alignment horizontal="center"/>
    </xf>
    <xf numFmtId="170" fontId="54" fillId="0" borderId="132" xfId="3" applyNumberFormat="1" applyBorder="1" applyAlignment="1">
      <alignment horizontal="center"/>
    </xf>
    <xf numFmtId="49" fontId="54" fillId="0" borderId="17" xfId="3" applyNumberFormat="1" applyBorder="1" applyAlignment="1">
      <alignment horizontal="center"/>
    </xf>
    <xf numFmtId="49" fontId="54" fillId="0" borderId="131" xfId="3" applyNumberFormat="1" applyBorder="1" applyAlignment="1">
      <alignment horizontal="center"/>
    </xf>
    <xf numFmtId="49" fontId="54" fillId="0" borderId="16" xfId="3" applyNumberFormat="1" applyBorder="1" applyAlignment="1">
      <alignment horizontal="center"/>
    </xf>
    <xf numFmtId="0" fontId="54" fillId="0" borderId="31" xfId="3" applyBorder="1" applyAlignment="1">
      <alignment horizontal="left"/>
    </xf>
    <xf numFmtId="0" fontId="54" fillId="0" borderId="51" xfId="3" applyBorder="1" applyAlignment="1">
      <alignment horizontal="left"/>
    </xf>
    <xf numFmtId="170" fontId="54" fillId="0" borderId="31" xfId="3" applyNumberFormat="1" applyBorder="1" applyAlignment="1">
      <alignment horizontal="center"/>
    </xf>
    <xf numFmtId="170" fontId="54" fillId="0" borderId="51" xfId="3" applyNumberFormat="1" applyBorder="1" applyAlignment="1">
      <alignment horizontal="center"/>
    </xf>
    <xf numFmtId="170" fontId="54" fillId="0" borderId="133" xfId="3" applyNumberFormat="1" applyBorder="1" applyAlignment="1">
      <alignment horizontal="center"/>
    </xf>
    <xf numFmtId="49" fontId="54" fillId="0" borderId="31" xfId="3" applyNumberFormat="1" applyBorder="1" applyAlignment="1">
      <alignment horizontal="center"/>
    </xf>
    <xf numFmtId="49" fontId="54" fillId="0" borderId="51" xfId="3" applyNumberFormat="1" applyBorder="1" applyAlignment="1">
      <alignment horizontal="center"/>
    </xf>
    <xf numFmtId="49" fontId="54" fillId="0" borderId="32" xfId="3" applyNumberFormat="1" applyBorder="1" applyAlignment="1">
      <alignment horizontal="center"/>
    </xf>
    <xf numFmtId="0" fontId="54" fillId="0" borderId="50" xfId="3" applyBorder="1" applyAlignment="1">
      <alignment horizontal="left"/>
    </xf>
    <xf numFmtId="0" fontId="54" fillId="0" borderId="13" xfId="3" applyBorder="1" applyAlignment="1">
      <alignment horizontal="left"/>
    </xf>
    <xf numFmtId="170" fontId="54" fillId="0" borderId="50" xfId="3" applyNumberFormat="1" applyBorder="1" applyAlignment="1">
      <alignment horizontal="center"/>
    </xf>
    <xf numFmtId="170" fontId="54" fillId="0" borderId="13" xfId="3" applyNumberFormat="1" applyBorder="1" applyAlignment="1">
      <alignment horizontal="center"/>
    </xf>
    <xf numFmtId="170" fontId="54" fillId="0" borderId="55" xfId="3" applyNumberFormat="1" applyBorder="1" applyAlignment="1">
      <alignment horizontal="center"/>
    </xf>
    <xf numFmtId="49" fontId="54" fillId="0" borderId="50" xfId="3" applyNumberFormat="1" applyBorder="1" applyAlignment="1">
      <alignment horizontal="center"/>
    </xf>
    <xf numFmtId="49" fontId="54" fillId="0" borderId="13" xfId="3" applyNumberFormat="1" applyBorder="1" applyAlignment="1">
      <alignment horizontal="center"/>
    </xf>
    <xf numFmtId="49" fontId="54" fillId="0" borderId="14" xfId="3" applyNumberForma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6" fillId="0" borderId="53" xfId="3" applyFont="1" applyBorder="1" applyAlignment="1">
      <alignment horizontal="center"/>
    </xf>
    <xf numFmtId="0" fontId="55" fillId="0" borderId="15" xfId="3" applyFont="1" applyBorder="1" applyAlignment="1">
      <alignment horizontal="center"/>
    </xf>
    <xf numFmtId="0" fontId="55" fillId="0" borderId="7" xfId="3" applyFont="1" applyBorder="1" applyAlignment="1">
      <alignment horizontal="center"/>
    </xf>
    <xf numFmtId="0" fontId="55" fillId="0" borderId="130" xfId="3" applyFont="1" applyBorder="1" applyAlignment="1">
      <alignment horizontal="center"/>
    </xf>
    <xf numFmtId="0" fontId="55" fillId="0" borderId="8" xfId="3" applyFont="1" applyBorder="1" applyAlignment="1">
      <alignment horizontal="center"/>
    </xf>
    <xf numFmtId="0" fontId="58" fillId="0" borderId="17" xfId="4" applyFont="1" applyBorder="1" applyAlignment="1">
      <alignment horizontal="right"/>
    </xf>
    <xf numFmtId="0" fontId="58" fillId="0" borderId="131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9" fillId="0" borderId="0" xfId="4" applyFont="1" applyAlignment="1">
      <alignment horizontal="right"/>
    </xf>
    <xf numFmtId="0" fontId="58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7" fillId="0" borderId="0" xfId="4" applyFont="1" applyAlignment="1">
      <alignment horizontal="center"/>
    </xf>
    <xf numFmtId="0" fontId="60" fillId="0" borderId="17" xfId="4" applyFont="1" applyBorder="1" applyAlignment="1">
      <alignment horizontal="center"/>
    </xf>
    <xf numFmtId="172" fontId="80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0" fontId="61" fillId="0" borderId="17" xfId="4" applyFont="1" applyBorder="1" applyAlignment="1">
      <alignment horizontal="center"/>
    </xf>
    <xf numFmtId="0" fontId="61" fillId="0" borderId="131" xfId="4" applyFont="1" applyBorder="1" applyAlignment="1">
      <alignment horizontal="center"/>
    </xf>
    <xf numFmtId="0" fontId="61" fillId="0" borderId="132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Border="1" applyAlignment="1">
      <alignment horizontal="center"/>
    </xf>
    <xf numFmtId="0" fontId="63" fillId="0" borderId="108" xfId="4" applyFont="1" applyBorder="1" applyAlignment="1">
      <alignment horizontal="center"/>
    </xf>
    <xf numFmtId="0" fontId="64" fillId="0" borderId="83" xfId="4" applyFont="1" applyBorder="1" applyAlignment="1">
      <alignment horizontal="center"/>
    </xf>
    <xf numFmtId="0" fontId="64" fillId="0" borderId="0" xfId="4" applyFont="1" applyBorder="1" applyAlignment="1">
      <alignment horizontal="center"/>
    </xf>
    <xf numFmtId="0" fontId="64" fillId="0" borderId="108" xfId="4" applyFont="1" applyBorder="1" applyAlignment="1">
      <alignment horizontal="center"/>
    </xf>
    <xf numFmtId="0" fontId="2" fillId="0" borderId="52" xfId="4" applyBorder="1" applyAlignment="1">
      <alignment horizontal="center"/>
    </xf>
    <xf numFmtId="0" fontId="2" fillId="0" borderId="53" xfId="4" applyBorder="1" applyAlignment="1">
      <alignment horizontal="center"/>
    </xf>
    <xf numFmtId="0" fontId="2" fillId="0" borderId="54" xfId="4" applyBorder="1" applyAlignment="1">
      <alignment horizontal="center"/>
    </xf>
    <xf numFmtId="172" fontId="85" fillId="0" borderId="149" xfId="6" applyNumberFormat="1" applyFont="1" applyBorder="1" applyAlignment="1" applyProtection="1">
      <alignment horizontal="right"/>
    </xf>
    <xf numFmtId="172" fontId="85" fillId="0" borderId="131" xfId="6" applyNumberFormat="1" applyFont="1" applyBorder="1" applyAlignment="1" applyProtection="1">
      <alignment horizontal="right"/>
    </xf>
    <xf numFmtId="174" fontId="24" fillId="0" borderId="131" xfId="6" applyNumberFormat="1" applyFont="1" applyBorder="1" applyAlignment="1" applyProtection="1">
      <alignment horizontal="center"/>
    </xf>
    <xf numFmtId="174" fontId="24" fillId="0" borderId="16" xfId="6" applyNumberFormat="1" applyFont="1" applyBorder="1" applyAlignment="1" applyProtection="1">
      <alignment horizontal="center"/>
    </xf>
    <xf numFmtId="173" fontId="70" fillId="0" borderId="17" xfId="6" quotePrefix="1" applyNumberFormat="1" applyFont="1" applyBorder="1" applyAlignment="1">
      <alignment horizontal="center"/>
    </xf>
    <xf numFmtId="173" fontId="70" fillId="0" borderId="16" xfId="6" quotePrefix="1" applyNumberFormat="1" applyFont="1" applyBorder="1" applyAlignment="1">
      <alignment horizontal="center"/>
    </xf>
    <xf numFmtId="172" fontId="24" fillId="0" borderId="45" xfId="6" applyNumberFormat="1" applyFont="1" applyBorder="1" applyAlignment="1" applyProtection="1">
      <alignment horizontal="center"/>
    </xf>
    <xf numFmtId="172" fontId="82" fillId="0" borderId="0" xfId="6" applyNumberFormat="1" applyFont="1" applyBorder="1" applyAlignment="1" applyProtection="1">
      <alignment horizontal="center"/>
    </xf>
    <xf numFmtId="172" fontId="82" fillId="0" borderId="21" xfId="6" applyNumberFormat="1" applyFont="1" applyBorder="1" applyAlignment="1" applyProtection="1">
      <alignment horizontal="center"/>
    </xf>
    <xf numFmtId="172" fontId="24" fillId="0" borderId="45" xfId="6" applyNumberFormat="1" applyFont="1" applyBorder="1" applyAlignment="1">
      <alignment horizontal="center"/>
    </xf>
    <xf numFmtId="172" fontId="24" fillId="0" borderId="0" xfId="6" applyNumberFormat="1" applyFont="1" applyBorder="1" applyAlignment="1">
      <alignment horizontal="center"/>
    </xf>
    <xf numFmtId="172" fontId="24" fillId="0" borderId="21" xfId="6" applyNumberFormat="1" applyFont="1" applyBorder="1" applyAlignment="1">
      <alignment horizontal="center"/>
    </xf>
    <xf numFmtId="172" fontId="85" fillId="0" borderId="12" xfId="6" applyNumberFormat="1" applyFont="1" applyBorder="1" applyAlignment="1" applyProtection="1">
      <alignment horizontal="right"/>
    </xf>
    <xf numFmtId="172" fontId="85" fillId="0" borderId="13" xfId="6" applyNumberFormat="1" applyFont="1" applyBorder="1" applyAlignment="1" applyProtection="1">
      <alignment horizontal="right"/>
    </xf>
    <xf numFmtId="174" fontId="24" fillId="0" borderId="13" xfId="6" applyNumberFormat="1" applyFont="1" applyBorder="1" applyAlignment="1" applyProtection="1">
      <alignment horizontal="center"/>
    </xf>
    <xf numFmtId="174" fontId="24" fillId="0" borderId="14" xfId="6" applyNumberFormat="1" applyFont="1" applyBorder="1" applyAlignment="1" applyProtection="1">
      <alignment horizontal="center"/>
    </xf>
    <xf numFmtId="179" fontId="24" fillId="0" borderId="131" xfId="6" applyNumberFormat="1" applyFont="1" applyBorder="1" applyAlignment="1" applyProtection="1">
      <alignment horizontal="center"/>
    </xf>
    <xf numFmtId="179" fontId="24" fillId="0" borderId="16" xfId="6" applyNumberFormat="1" applyFont="1" applyBorder="1" applyAlignment="1" applyProtection="1">
      <alignment horizontal="center"/>
    </xf>
    <xf numFmtId="172" fontId="88" fillId="0" borderId="0" xfId="11" applyNumberFormat="1" applyFont="1" applyFill="1" applyBorder="1" applyAlignment="1">
      <alignment horizontal="center"/>
    </xf>
    <xf numFmtId="172" fontId="85" fillId="0" borderId="150" xfId="6" applyNumberFormat="1" applyFont="1" applyBorder="1" applyAlignment="1" applyProtection="1">
      <alignment horizontal="right"/>
    </xf>
    <xf numFmtId="172" fontId="85" fillId="0" borderId="51" xfId="6" applyNumberFormat="1" applyFont="1" applyBorder="1" applyAlignment="1" applyProtection="1">
      <alignment horizontal="right"/>
    </xf>
    <xf numFmtId="174" fontId="24" fillId="0" borderId="51" xfId="6" applyNumberFormat="1" applyFont="1" applyBorder="1" applyAlignment="1" applyProtection="1">
      <alignment horizontal="center"/>
    </xf>
    <xf numFmtId="174" fontId="24" fillId="0" borderId="32" xfId="6" applyNumberFormat="1" applyFont="1" applyBorder="1" applyAlignment="1" applyProtection="1">
      <alignment horizontal="center"/>
    </xf>
    <xf numFmtId="172" fontId="24" fillId="0" borderId="0" xfId="11" applyNumberFormat="1" applyFont="1" applyFill="1" applyBorder="1" applyAlignment="1">
      <alignment horizontal="center"/>
    </xf>
    <xf numFmtId="172" fontId="24" fillId="0" borderId="0" xfId="11" applyNumberFormat="1" applyFont="1" applyFill="1" applyBorder="1" applyAlignment="1">
      <alignment horizontal="center" wrapText="1"/>
    </xf>
    <xf numFmtId="0" fontId="91" fillId="0" borderId="154" xfId="12" applyNumberFormat="1" applyFont="1" applyBorder="1" applyAlignment="1">
      <alignment horizontal="center"/>
    </xf>
    <xf numFmtId="0" fontId="91" fillId="0" borderId="155" xfId="12" applyNumberFormat="1" applyFont="1" applyBorder="1" applyAlignment="1">
      <alignment horizontal="center"/>
    </xf>
    <xf numFmtId="0" fontId="91" fillId="0" borderId="156" xfId="12" applyNumberFormat="1" applyFont="1" applyBorder="1" applyAlignment="1">
      <alignment horizontal="center"/>
    </xf>
    <xf numFmtId="172" fontId="70" fillId="0" borderId="50" xfId="12" applyNumberFormat="1" applyFont="1" applyBorder="1" applyAlignment="1">
      <alignment horizontal="center"/>
    </xf>
    <xf numFmtId="172" fontId="70" fillId="0" borderId="14" xfId="12" applyNumberFormat="1" applyFont="1" applyBorder="1" applyAlignment="1">
      <alignment horizontal="center"/>
    </xf>
    <xf numFmtId="172" fontId="70" fillId="0" borderId="17" xfId="12" quotePrefix="1" applyNumberFormat="1" applyFont="1" applyBorder="1" applyAlignment="1">
      <alignment horizontal="center"/>
    </xf>
    <xf numFmtId="172" fontId="68" fillId="0" borderId="16" xfId="12" applyNumberFormat="1" applyBorder="1" applyAlignment="1">
      <alignment horizontal="center"/>
    </xf>
    <xf numFmtId="172" fontId="70" fillId="0" borderId="17" xfId="12" applyNumberFormat="1" applyFont="1" applyBorder="1" applyAlignment="1" applyProtection="1">
      <alignment horizontal="center"/>
    </xf>
    <xf numFmtId="172" fontId="70" fillId="0" borderId="16" xfId="12" quotePrefix="1" applyNumberFormat="1" applyFont="1" applyBorder="1" applyAlignment="1" applyProtection="1">
      <alignment horizontal="center"/>
    </xf>
    <xf numFmtId="172" fontId="70" fillId="0" borderId="16" xfId="12" applyNumberFormat="1" applyFont="1" applyBorder="1" applyAlignment="1" applyProtection="1">
      <alignment horizontal="center"/>
    </xf>
    <xf numFmtId="172" fontId="70" fillId="0" borderId="17" xfId="12" applyNumberFormat="1" applyFont="1" applyBorder="1" applyAlignment="1">
      <alignment horizontal="center"/>
    </xf>
    <xf numFmtId="172" fontId="70" fillId="0" borderId="16" xfId="12" applyNumberFormat="1" applyFont="1" applyBorder="1" applyAlignment="1">
      <alignment horizontal="center"/>
    </xf>
    <xf numFmtId="172" fontId="90" fillId="0" borderId="31" xfId="12" applyNumberFormat="1" applyFont="1" applyBorder="1" applyAlignment="1">
      <alignment horizontal="center"/>
    </xf>
    <xf numFmtId="172" fontId="90" fillId="0" borderId="32" xfId="12" applyNumberFormat="1" applyFont="1" applyBorder="1" applyAlignment="1">
      <alignment horizontal="center"/>
    </xf>
    <xf numFmtId="172" fontId="85" fillId="0" borderId="141" xfId="12" applyNumberFormat="1" applyFont="1" applyBorder="1" applyAlignment="1">
      <alignment horizontal="center"/>
    </xf>
    <xf numFmtId="172" fontId="85" fillId="0" borderId="142" xfId="12" applyNumberFormat="1" applyFont="1" applyBorder="1" applyAlignment="1">
      <alignment horizontal="center"/>
    </xf>
    <xf numFmtId="172" fontId="85" fillId="0" borderId="144" xfId="12" applyNumberFormat="1" applyFont="1" applyBorder="1" applyAlignment="1">
      <alignment horizontal="center"/>
    </xf>
    <xf numFmtId="172" fontId="91" fillId="0" borderId="23" xfId="12" applyNumberFormat="1" applyFont="1" applyBorder="1" applyAlignment="1">
      <alignment horizontal="center"/>
    </xf>
    <xf numFmtId="172" fontId="91" fillId="0" borderId="24" xfId="12" applyNumberFormat="1" applyFont="1" applyBorder="1" applyAlignment="1">
      <alignment horizontal="center"/>
    </xf>
    <xf numFmtId="172" fontId="68" fillId="0" borderId="141" xfId="12" applyNumberFormat="1" applyBorder="1" applyAlignment="1">
      <alignment horizontal="center"/>
    </xf>
    <xf numFmtId="172" fontId="68" fillId="0" borderId="142" xfId="12" applyNumberFormat="1" applyBorder="1" applyAlignment="1">
      <alignment horizontal="center"/>
    </xf>
    <xf numFmtId="172" fontId="68" fillId="0" borderId="144" xfId="12" applyNumberFormat="1" applyBorder="1" applyAlignment="1">
      <alignment horizontal="center"/>
    </xf>
    <xf numFmtId="172" fontId="90" fillId="0" borderId="157" xfId="12" applyNumberFormat="1" applyFont="1" applyBorder="1" applyAlignment="1">
      <alignment horizontal="center"/>
    </xf>
    <xf numFmtId="172" fontId="90" fillId="0" borderId="155" xfId="12" applyNumberFormat="1" applyFont="1" applyBorder="1" applyAlignment="1">
      <alignment horizontal="center"/>
    </xf>
    <xf numFmtId="172" fontId="90" fillId="0" borderId="158" xfId="12" applyNumberFormat="1" applyFont="1" applyBorder="1" applyAlignment="1">
      <alignment horizontal="center"/>
    </xf>
    <xf numFmtId="172" fontId="90" fillId="0" borderId="154" xfId="12" applyNumberFormat="1" applyFont="1" applyBorder="1" applyAlignment="1">
      <alignment horizontal="center"/>
    </xf>
    <xf numFmtId="172" fontId="90" fillId="0" borderId="156" xfId="12" applyNumberFormat="1" applyFont="1" applyBorder="1" applyAlignment="1">
      <alignment horizontal="center"/>
    </xf>
    <xf numFmtId="0" fontId="93" fillId="0" borderId="62" xfId="12" applyNumberFormat="1" applyFont="1" applyBorder="1" applyAlignment="1">
      <alignment horizontal="left"/>
    </xf>
    <xf numFmtId="0" fontId="93" fillId="0" borderId="38" xfId="12" applyNumberFormat="1" applyFont="1" applyBorder="1" applyAlignment="1">
      <alignment horizontal="left"/>
    </xf>
    <xf numFmtId="0" fontId="93" fillId="0" borderId="27" xfId="12" applyNumberFormat="1" applyFont="1" applyBorder="1" applyAlignment="1">
      <alignment horizontal="left"/>
    </xf>
    <xf numFmtId="172" fontId="68" fillId="0" borderId="46" xfId="12" applyNumberFormat="1" applyBorder="1" applyAlignment="1">
      <alignment horizontal="center"/>
    </xf>
    <xf numFmtId="172" fontId="68" fillId="0" borderId="23" xfId="12" applyNumberFormat="1" applyBorder="1" applyAlignment="1">
      <alignment horizontal="center"/>
    </xf>
    <xf numFmtId="172" fontId="68" fillId="0" borderId="24" xfId="12" applyNumberFormat="1" applyBorder="1" applyAlignment="1">
      <alignment horizontal="center"/>
    </xf>
    <xf numFmtId="0" fontId="93" fillId="0" borderId="0" xfId="12" applyNumberFormat="1" applyFont="1" applyBorder="1" applyAlignment="1">
      <alignment horizontal="left"/>
    </xf>
    <xf numFmtId="0" fontId="93" fillId="0" borderId="108" xfId="12" applyNumberFormat="1" applyFont="1" applyBorder="1" applyAlignment="1">
      <alignment horizontal="left"/>
    </xf>
    <xf numFmtId="0" fontId="93" fillId="0" borderId="21" xfId="12" applyNumberFormat="1" applyFont="1" applyBorder="1" applyAlignment="1">
      <alignment horizontal="left"/>
    </xf>
    <xf numFmtId="0" fontId="93" fillId="0" borderId="23" xfId="12" applyNumberFormat="1" applyFont="1" applyBorder="1" applyAlignment="1">
      <alignment horizontal="left"/>
    </xf>
    <xf numFmtId="0" fontId="93" fillId="0" borderId="48" xfId="12" applyNumberFormat="1" applyFont="1" applyBorder="1" applyAlignment="1">
      <alignment horizontal="left"/>
    </xf>
    <xf numFmtId="0" fontId="93" fillId="0" borderId="24" xfId="12" applyNumberFormat="1" applyFont="1" applyBorder="1" applyAlignment="1">
      <alignment horizontal="left"/>
    </xf>
    <xf numFmtId="172" fontId="68" fillId="0" borderId="141" xfId="12" applyNumberFormat="1" applyFont="1" applyBorder="1" applyAlignment="1">
      <alignment horizontal="center"/>
    </xf>
    <xf numFmtId="172" fontId="68" fillId="0" borderId="142" xfId="12" applyNumberFormat="1" applyFont="1" applyBorder="1" applyAlignment="1">
      <alignment horizontal="center"/>
    </xf>
    <xf numFmtId="172" fontId="68" fillId="0" borderId="144" xfId="12" applyNumberFormat="1" applyFont="1" applyBorder="1" applyAlignment="1">
      <alignment horizontal="center"/>
    </xf>
    <xf numFmtId="49" fontId="91" fillId="0" borderId="152" xfId="12" applyNumberFormat="1" applyFont="1" applyBorder="1" applyAlignment="1">
      <alignment horizontal="left"/>
    </xf>
    <xf numFmtId="183" fontId="91" fillId="0" borderId="152" xfId="12" applyNumberFormat="1" applyFont="1" applyBorder="1" applyAlignment="1">
      <alignment horizontal="left"/>
    </xf>
    <xf numFmtId="183" fontId="91" fillId="0" borderId="153" xfId="12" applyNumberFormat="1" applyFont="1" applyBorder="1" applyAlignment="1">
      <alignment horizontal="left"/>
    </xf>
    <xf numFmtId="0" fontId="91" fillId="0" borderId="23" xfId="12" applyNumberFormat="1" applyFont="1" applyBorder="1" applyAlignment="1">
      <alignment horizontal="left"/>
    </xf>
    <xf numFmtId="0" fontId="91" fillId="0" borderId="24" xfId="12" applyNumberFormat="1" applyFont="1" applyBorder="1" applyAlignment="1">
      <alignment horizontal="left"/>
    </xf>
    <xf numFmtId="0" fontId="80" fillId="0" borderId="148" xfId="9" applyFont="1" applyBorder="1" applyAlignment="1" applyProtection="1">
      <alignment horizontal="center"/>
      <protection locked="0"/>
    </xf>
    <xf numFmtId="14" fontId="24" fillId="0" borderId="148" xfId="9" quotePrefix="1" applyNumberFormat="1" applyFont="1" applyBorder="1" applyAlignment="1" applyProtection="1">
      <alignment horizontal="center"/>
      <protection locked="0"/>
    </xf>
    <xf numFmtId="172" fontId="91" fillId="0" borderId="12" xfId="12" applyNumberFormat="1" applyFont="1" applyBorder="1" applyAlignment="1">
      <alignment horizontal="right"/>
    </xf>
    <xf numFmtId="172" fontId="91" fillId="0" borderId="13" xfId="12" applyNumberFormat="1" applyFont="1" applyBorder="1" applyAlignment="1">
      <alignment horizontal="right"/>
    </xf>
    <xf numFmtId="172" fontId="91" fillId="0" borderId="14" xfId="12" applyNumberFormat="1" applyFont="1" applyBorder="1" applyAlignment="1">
      <alignment horizontal="right"/>
    </xf>
    <xf numFmtId="172" fontId="91" fillId="0" borderId="149" xfId="12" applyNumberFormat="1" applyFont="1" applyBorder="1" applyAlignment="1">
      <alignment horizontal="right"/>
    </xf>
    <xf numFmtId="172" fontId="91" fillId="0" borderId="131" xfId="12" applyNumberFormat="1" applyFont="1" applyBorder="1" applyAlignment="1">
      <alignment horizontal="right"/>
    </xf>
    <xf numFmtId="172" fontId="91" fillId="0" borderId="16" xfId="12" applyNumberFormat="1" applyFont="1" applyBorder="1" applyAlignment="1">
      <alignment horizontal="right"/>
    </xf>
    <xf numFmtId="172" fontId="92" fillId="0" borderId="150" xfId="12" applyNumberFormat="1" applyFont="1" applyBorder="1" applyAlignment="1">
      <alignment horizontal="right"/>
    </xf>
    <xf numFmtId="172" fontId="92" fillId="0" borderId="51" xfId="12" applyNumberFormat="1" applyFont="1" applyBorder="1" applyAlignment="1">
      <alignment horizontal="right"/>
    </xf>
    <xf numFmtId="172" fontId="92" fillId="0" borderId="32" xfId="12" applyNumberFormat="1" applyFont="1" applyBorder="1" applyAlignment="1">
      <alignment horizontal="right"/>
    </xf>
    <xf numFmtId="172" fontId="95" fillId="0" borderId="0" xfId="12" applyNumberFormat="1" applyFont="1" applyAlignment="1">
      <alignment horizontal="center"/>
    </xf>
  </cellXfs>
  <cellStyles count="15">
    <cellStyle name="Normal" xfId="0" builtinId="0"/>
    <cellStyle name="Normal 2" xfId="1"/>
    <cellStyle name="Normal 2 2" xfId="13"/>
    <cellStyle name="Normal 3" xfId="4"/>
    <cellStyle name="Normal 3 2 2" xfId="8"/>
    <cellStyle name="Normal 4" xfId="5"/>
    <cellStyle name="Normal 4 2" xfId="9"/>
    <cellStyle name="Normal 5" xfId="10"/>
    <cellStyle name="Normal 5 2" xfId="14"/>
    <cellStyle name="Normal_MPCF1082" xfId="7"/>
    <cellStyle name="Normal_MPCF1082 2" xfId="12"/>
    <cellStyle name="Normal_MPCF1109" xfId="6"/>
    <cellStyle name="Normal_OPTEST" xfId="2"/>
    <cellStyle name="Normal_PROJ_REV_HIST" xfId="3"/>
    <cellStyle name="Normal_Rev. 1" xfId="1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7.0000000298023224E-2</c:v>
                </c:pt>
                <c:pt idx="4" formatCode="0.00">
                  <c:v>0.12166666984558105</c:v>
                </c:pt>
                <c:pt idx="5" formatCode="0.00">
                  <c:v>0.17333333194255829</c:v>
                </c:pt>
                <c:pt idx="6" formatCode="0.00">
                  <c:v>0.27666667103767395</c:v>
                </c:pt>
                <c:pt idx="7" formatCode="0.00">
                  <c:v>0.37999999523162842</c:v>
                </c:pt>
                <c:pt idx="8" formatCode="0.00">
                  <c:v>0.48333331942558289</c:v>
                </c:pt>
                <c:pt idx="9" formatCode="0.00">
                  <c:v>0.58666670322418213</c:v>
                </c:pt>
                <c:pt idx="10" formatCode="0.00">
                  <c:v>0.68999999761581421</c:v>
                </c:pt>
                <c:pt idx="11" formatCode="0.00">
                  <c:v>0.79333335161209106</c:v>
                </c:pt>
                <c:pt idx="12" formatCode="0.00">
                  <c:v>0.89666664600372314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72.31168220971216</c:v>
                </c:pt>
                <c:pt idx="2">
                  <c:v>250.60270872525527</c:v>
                </c:pt>
                <c:pt idx="3">
                  <c:v>275</c:v>
                </c:pt>
                <c:pt idx="4">
                  <c:v>198.4448907413925</c:v>
                </c:pt>
                <c:pt idx="5">
                  <c:v>170.67299609782827</c:v>
                </c:pt>
                <c:pt idx="6">
                  <c:v>150.49269318242565</c:v>
                </c:pt>
                <c:pt idx="7">
                  <c:v>142.34381439063083</c:v>
                </c:pt>
                <c:pt idx="8">
                  <c:v>138.74980207306584</c:v>
                </c:pt>
                <c:pt idx="9">
                  <c:v>136.98820539467948</c:v>
                </c:pt>
                <c:pt idx="10">
                  <c:v>136.03276632707357</c:v>
                </c:pt>
                <c:pt idx="11">
                  <c:v>135.49055052290333</c:v>
                </c:pt>
                <c:pt idx="12">
                  <c:v>135.17735454711453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3B-40DD-921B-2CA70D51AE8D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7.0000000298023224E-2</c:v>
                </c:pt>
                <c:pt idx="4" formatCode="0.00">
                  <c:v>0.12166666984558105</c:v>
                </c:pt>
                <c:pt idx="5" formatCode="0.00">
                  <c:v>0.17333333194255829</c:v>
                </c:pt>
                <c:pt idx="6" formatCode="0.00">
                  <c:v>0.27666667103767395</c:v>
                </c:pt>
                <c:pt idx="7" formatCode="0.00">
                  <c:v>0.37999999523162842</c:v>
                </c:pt>
                <c:pt idx="8" formatCode="0.00">
                  <c:v>0.48333331942558289</c:v>
                </c:pt>
                <c:pt idx="9" formatCode="0.00">
                  <c:v>0.58666670322418213</c:v>
                </c:pt>
                <c:pt idx="10" formatCode="0.00">
                  <c:v>0.68999999761581421</c:v>
                </c:pt>
                <c:pt idx="11" formatCode="0.00">
                  <c:v>0.79333335161209106</c:v>
                </c:pt>
                <c:pt idx="12" formatCode="0.00">
                  <c:v>0.89666664600372314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98.599998474121094</c:v>
                </c:pt>
                <c:pt idx="2">
                  <c:v>91.125</c:v>
                </c:pt>
                <c:pt idx="3">
                  <c:v>81.800003051757813</c:v>
                </c:pt>
                <c:pt idx="4">
                  <c:v>68.366668701171875</c:v>
                </c:pt>
                <c:pt idx="5">
                  <c:v>55.866668701171875</c:v>
                </c:pt>
                <c:pt idx="6">
                  <c:v>36.966667175292969</c:v>
                </c:pt>
                <c:pt idx="7">
                  <c:v>24.200000762939453</c:v>
                </c:pt>
                <c:pt idx="8">
                  <c:v>15.333333969116211</c:v>
                </c:pt>
                <c:pt idx="9">
                  <c:v>8.7999973297119141</c:v>
                </c:pt>
                <c:pt idx="10">
                  <c:v>6.1999998092651367</c:v>
                </c:pt>
                <c:pt idx="11">
                  <c:v>7.8666667938232422</c:v>
                </c:pt>
                <c:pt idx="12">
                  <c:v>14.766665458679199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3B-40DD-921B-2CA70D51AE8D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7.0000000298023224E-2</c:v>
                </c:pt>
                <c:pt idx="4" formatCode="0.00">
                  <c:v>0.12166666984558105</c:v>
                </c:pt>
                <c:pt idx="5" formatCode="0.00">
                  <c:v>0.17333333194255829</c:v>
                </c:pt>
                <c:pt idx="6" formatCode="0.00">
                  <c:v>0.27666667103767395</c:v>
                </c:pt>
                <c:pt idx="7" formatCode="0.00">
                  <c:v>0.37999999523162842</c:v>
                </c:pt>
                <c:pt idx="8" formatCode="0.00">
                  <c:v>0.48333331942558289</c:v>
                </c:pt>
                <c:pt idx="9" formatCode="0.00">
                  <c:v>0.58666670322418213</c:v>
                </c:pt>
                <c:pt idx="10" formatCode="0.00">
                  <c:v>0.68999999761581421</c:v>
                </c:pt>
                <c:pt idx="11" formatCode="0.00">
                  <c:v>0.79333335161209106</c:v>
                </c:pt>
                <c:pt idx="12" formatCode="0.00">
                  <c:v>0.89666664600372314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DesignSheet!$B$100:$B$113</c:f>
              <c:numCache>
                <c:formatCode>0.0</c:formatCode>
                <c:ptCount val="14"/>
                <c:pt idx="0">
                  <c:v>0</c:v>
                </c:pt>
                <c:pt idx="1">
                  <c:v>46.279478918298423</c:v>
                </c:pt>
                <c:pt idx="2">
                  <c:v>160.38573720174233</c:v>
                </c:pt>
                <c:pt idx="3">
                  <c:v>176.00000524520877</c:v>
                </c:pt>
                <c:pt idx="4">
                  <c:v>127.00473034753584</c:v>
                </c:pt>
                <c:pt idx="5">
                  <c:v>109.23071614595395</c:v>
                </c:pt>
                <c:pt idx="6">
                  <c:v>96.315325136045303</c:v>
                </c:pt>
                <c:pt idx="7">
                  <c:v>91.100041777492748</c:v>
                </c:pt>
                <c:pt idx="8">
                  <c:v>88.79987569331746</c:v>
                </c:pt>
                <c:pt idx="9">
                  <c:v>87.672453784717675</c:v>
                </c:pt>
                <c:pt idx="10">
                  <c:v>87.060969391494012</c:v>
                </c:pt>
                <c:pt idx="11">
                  <c:v>86.713957662402265</c:v>
                </c:pt>
                <c:pt idx="12">
                  <c:v>86.513508437678411</c:v>
                </c:pt>
                <c:pt idx="13">
                  <c:v>86.400002574920677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3B-40DD-921B-2CA70D51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686120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7.0000000298023224E-2</c:v>
                </c:pt>
                <c:pt idx="4" formatCode="0.00">
                  <c:v>0.12166666984558105</c:v>
                </c:pt>
                <c:pt idx="5" formatCode="0.00">
                  <c:v>0.17333333194255829</c:v>
                </c:pt>
                <c:pt idx="6" formatCode="0.00">
                  <c:v>0.27666667103767395</c:v>
                </c:pt>
                <c:pt idx="7" formatCode="0.00">
                  <c:v>0.37999999523162842</c:v>
                </c:pt>
                <c:pt idx="8" formatCode="0.00">
                  <c:v>0.48333331942558289</c:v>
                </c:pt>
                <c:pt idx="9" formatCode="0.00">
                  <c:v>0.58666670322418213</c:v>
                </c:pt>
                <c:pt idx="10" formatCode="0.00">
                  <c:v>0.68999999761581421</c:v>
                </c:pt>
                <c:pt idx="11" formatCode="0.00">
                  <c:v>0.79333335161209106</c:v>
                </c:pt>
                <c:pt idx="12" formatCode="0.00">
                  <c:v>0.89666664600372314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0.27908942103385925</c:v>
                </c:pt>
                <c:pt idx="1">
                  <c:v>79.240234375</c:v>
                </c:pt>
                <c:pt idx="2">
                  <c:v>294.15884399414063</c:v>
                </c:pt>
                <c:pt idx="3">
                  <c:v>428.28451538085938</c:v>
                </c:pt>
                <c:pt idx="4">
                  <c:v>485.64483642578125</c:v>
                </c:pt>
                <c:pt idx="5">
                  <c:v>513.91986083984375</c:v>
                </c:pt>
                <c:pt idx="6">
                  <c:v>541.1221923828125</c:v>
                </c:pt>
                <c:pt idx="7">
                  <c:v>555.4576416015625</c:v>
                </c:pt>
                <c:pt idx="8">
                  <c:v>565.6614990234375</c:v>
                </c:pt>
                <c:pt idx="9">
                  <c:v>574.0672607421875</c:v>
                </c:pt>
                <c:pt idx="10">
                  <c:v>581.21661376953125</c:v>
                </c:pt>
                <c:pt idx="11">
                  <c:v>587.5648193359375</c:v>
                </c:pt>
                <c:pt idx="12">
                  <c:v>593.23492431640625</c:v>
                </c:pt>
                <c:pt idx="13">
                  <c:v>598.3050537109375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3B-40DD-921B-2CA70D51AE8D}"/>
            </c:ext>
          </c:extLst>
        </c:ser>
        <c:ser>
          <c:idx val="4"/>
          <c:order val="4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6.99999975040555E-3</c:v>
                </c:pt>
                <c:pt idx="2">
                  <c:v>3.5000000149011612E-2</c:v>
                </c:pt>
                <c:pt idx="3" formatCode="0.00">
                  <c:v>7.0000000298023224E-2</c:v>
                </c:pt>
                <c:pt idx="4" formatCode="0.00">
                  <c:v>0.12166666984558105</c:v>
                </c:pt>
                <c:pt idx="5" formatCode="0.00">
                  <c:v>0.17333333194255829</c:v>
                </c:pt>
                <c:pt idx="6" formatCode="0.00">
                  <c:v>0.27666667103767395</c:v>
                </c:pt>
                <c:pt idx="7" formatCode="0.00">
                  <c:v>0.37999999523162842</c:v>
                </c:pt>
                <c:pt idx="8" formatCode="0.00">
                  <c:v>0.48333331942558289</c:v>
                </c:pt>
                <c:pt idx="9" formatCode="0.00">
                  <c:v>0.58666670322418213</c:v>
                </c:pt>
                <c:pt idx="10" formatCode="0.00">
                  <c:v>0.68999999761581421</c:v>
                </c:pt>
                <c:pt idx="11" formatCode="0.00">
                  <c:v>0.79333335161209106</c:v>
                </c:pt>
                <c:pt idx="12" formatCode="0.00">
                  <c:v>0.89666664600372314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DesignSheet!$C$100:$C$113</c:f>
              <c:numCache>
                <c:formatCode>0.0</c:formatCode>
                <c:ptCount val="14"/>
                <c:pt idx="0">
                  <c:v>13.17302131652832</c:v>
                </c:pt>
                <c:pt idx="1">
                  <c:v>63.392189025878906</c:v>
                </c:pt>
                <c:pt idx="2">
                  <c:v>235.32707214355469</c:v>
                </c:pt>
                <c:pt idx="3">
                  <c:v>342.62762451171875</c:v>
                </c:pt>
                <c:pt idx="4">
                  <c:v>388.515869140625</c:v>
                </c:pt>
                <c:pt idx="5">
                  <c:v>411.13589477539063</c:v>
                </c:pt>
                <c:pt idx="6">
                  <c:v>432.89776611328125</c:v>
                </c:pt>
                <c:pt idx="7">
                  <c:v>444.36611938476563</c:v>
                </c:pt>
                <c:pt idx="8">
                  <c:v>452.52920532226563</c:v>
                </c:pt>
                <c:pt idx="9">
                  <c:v>459.25381469726563</c:v>
                </c:pt>
                <c:pt idx="10">
                  <c:v>464.97329711914063</c:v>
                </c:pt>
                <c:pt idx="11">
                  <c:v>470.05184936523438</c:v>
                </c:pt>
                <c:pt idx="12">
                  <c:v>474.58795166015625</c:v>
                </c:pt>
                <c:pt idx="13">
                  <c:v>478.64404296875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3B-40DD-921B-2CA70D51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2168612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21686120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92.999999970197678</c:v>
                </c:pt>
                <c:pt idx="4">
                  <c:v>87.833333015441895</c:v>
                </c:pt>
                <c:pt idx="5">
                  <c:v>82.666666805744171</c:v>
                </c:pt>
                <c:pt idx="6">
                  <c:v>72.333332896232605</c:v>
                </c:pt>
                <c:pt idx="7">
                  <c:v>62.000000476837158</c:v>
                </c:pt>
                <c:pt idx="8">
                  <c:v>51.666668057441711</c:v>
                </c:pt>
                <c:pt idx="9">
                  <c:v>41.333329677581787</c:v>
                </c:pt>
                <c:pt idx="10">
                  <c:v>31.000000238418579</c:v>
                </c:pt>
                <c:pt idx="11">
                  <c:v>20.666664838790894</c:v>
                </c:pt>
                <c:pt idx="12">
                  <c:v>10.333335399627686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98.599998474121094</c:v>
                </c:pt>
                <c:pt idx="2">
                  <c:v>91.125</c:v>
                </c:pt>
                <c:pt idx="3">
                  <c:v>81.800003051757813</c:v>
                </c:pt>
                <c:pt idx="4">
                  <c:v>68.366668701171875</c:v>
                </c:pt>
                <c:pt idx="5">
                  <c:v>55.866668701171875</c:v>
                </c:pt>
                <c:pt idx="6">
                  <c:v>36.966667175292969</c:v>
                </c:pt>
                <c:pt idx="7">
                  <c:v>24.200000762939453</c:v>
                </c:pt>
                <c:pt idx="8">
                  <c:v>15.333333969116211</c:v>
                </c:pt>
                <c:pt idx="9">
                  <c:v>8.7999973297119141</c:v>
                </c:pt>
                <c:pt idx="10">
                  <c:v>6.1999998092651367</c:v>
                </c:pt>
                <c:pt idx="11">
                  <c:v>7.8666667938232422</c:v>
                </c:pt>
                <c:pt idx="12">
                  <c:v>14.766665458679199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F9-4DFC-8C16-0C491EAD4F04}"/>
            </c:ext>
          </c:extLst>
        </c:ser>
        <c:ser>
          <c:idx val="3"/>
          <c:order val="3"/>
          <c:tx>
            <c:v>Torque (FV / 0.80)</c:v>
          </c:tx>
          <c:spPr>
            <a:ln w="254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92.999999970197678</c:v>
                </c:pt>
                <c:pt idx="4">
                  <c:v>87.833333015441895</c:v>
                </c:pt>
                <c:pt idx="5">
                  <c:v>82.666666805744171</c:v>
                </c:pt>
                <c:pt idx="6">
                  <c:v>72.333332896232605</c:v>
                </c:pt>
                <c:pt idx="7">
                  <c:v>62.000000476837158</c:v>
                </c:pt>
                <c:pt idx="8">
                  <c:v>51.666668057441711</c:v>
                </c:pt>
                <c:pt idx="9">
                  <c:v>41.333329677581787</c:v>
                </c:pt>
                <c:pt idx="10">
                  <c:v>31.000000238418579</c:v>
                </c:pt>
                <c:pt idx="11">
                  <c:v>20.666664838790894</c:v>
                </c:pt>
                <c:pt idx="12">
                  <c:v>10.333335399627686</c:v>
                </c:pt>
                <c:pt idx="13">
                  <c:v>0</c:v>
                </c:pt>
              </c:numCache>
            </c:numRef>
          </c:xVal>
          <c:yVal>
            <c:numRef>
              <c:f>STCurve!$E$54:$E$67</c:f>
              <c:numCache>
                <c:formatCode>0.0</c:formatCode>
                <c:ptCount val="14"/>
                <c:pt idx="0">
                  <c:v>0</c:v>
                </c:pt>
                <c:pt idx="1">
                  <c:v>46.279478918298423</c:v>
                </c:pt>
                <c:pt idx="2">
                  <c:v>160.38573720174233</c:v>
                </c:pt>
                <c:pt idx="3">
                  <c:v>176.00000524520877</c:v>
                </c:pt>
                <c:pt idx="4">
                  <c:v>127.00473034753584</c:v>
                </c:pt>
                <c:pt idx="5">
                  <c:v>109.23071614595395</c:v>
                </c:pt>
                <c:pt idx="6">
                  <c:v>96.315325136045303</c:v>
                </c:pt>
                <c:pt idx="7">
                  <c:v>91.100041777492748</c:v>
                </c:pt>
                <c:pt idx="8">
                  <c:v>88.79987569331746</c:v>
                </c:pt>
                <c:pt idx="9">
                  <c:v>87.672453784717675</c:v>
                </c:pt>
                <c:pt idx="10">
                  <c:v>87.060969391494012</c:v>
                </c:pt>
                <c:pt idx="11">
                  <c:v>86.713957662402265</c:v>
                </c:pt>
                <c:pt idx="12">
                  <c:v>86.513508437678411</c:v>
                </c:pt>
                <c:pt idx="13">
                  <c:v>86.400002574920677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F9-4DFC-8C16-0C491EAD4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920856"/>
        <c:axId val="1"/>
      </c:scatterChart>
      <c:scatterChart>
        <c:scatterStyle val="smoothMarker"/>
        <c:varyColors val="0"/>
        <c:ser>
          <c:idx val="0"/>
          <c:order val="0"/>
          <c:tx>
            <c:v>Torque (FV / 0.80)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92.999999970197678</c:v>
                </c:pt>
                <c:pt idx="4">
                  <c:v>87.833333015441895</c:v>
                </c:pt>
                <c:pt idx="5">
                  <c:v>82.666666805744171</c:v>
                </c:pt>
                <c:pt idx="6">
                  <c:v>72.333332896232605</c:v>
                </c:pt>
                <c:pt idx="7">
                  <c:v>62.000000476837158</c:v>
                </c:pt>
                <c:pt idx="8">
                  <c:v>51.666668057441711</c:v>
                </c:pt>
                <c:pt idx="9">
                  <c:v>41.333329677581787</c:v>
                </c:pt>
                <c:pt idx="10">
                  <c:v>31.000000238418579</c:v>
                </c:pt>
                <c:pt idx="11">
                  <c:v>20.666664838790894</c:v>
                </c:pt>
                <c:pt idx="12">
                  <c:v>10.333335399627686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72.31168220971216</c:v>
                </c:pt>
                <c:pt idx="2">
                  <c:v>250.60270872525527</c:v>
                </c:pt>
                <c:pt idx="3">
                  <c:v>275</c:v>
                </c:pt>
                <c:pt idx="4">
                  <c:v>198.4448907413925</c:v>
                </c:pt>
                <c:pt idx="5">
                  <c:v>170.67299609782827</c:v>
                </c:pt>
                <c:pt idx="6">
                  <c:v>150.49269318242565</c:v>
                </c:pt>
                <c:pt idx="7">
                  <c:v>142.34381439063083</c:v>
                </c:pt>
                <c:pt idx="8">
                  <c:v>138.74980207306584</c:v>
                </c:pt>
                <c:pt idx="9">
                  <c:v>136.98820539467948</c:v>
                </c:pt>
                <c:pt idx="10">
                  <c:v>136.03276632707357</c:v>
                </c:pt>
                <c:pt idx="11">
                  <c:v>135.49055052290333</c:v>
                </c:pt>
                <c:pt idx="12">
                  <c:v>135.17735454711453</c:v>
                </c:pt>
                <c:pt idx="13">
                  <c:v>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F9-4DFC-8C16-0C491EAD4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2920856"/>
        <c:axId val="1"/>
      </c:scatterChart>
      <c:scatterChart>
        <c:scatterStyle val="lineMarker"/>
        <c:varyColors val="0"/>
        <c:ser>
          <c:idx val="1"/>
          <c:order val="1"/>
          <c:tx>
            <c:v>Current (FV / 0.80)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92.999999970197678</c:v>
                </c:pt>
                <c:pt idx="4">
                  <c:v>87.833333015441895</c:v>
                </c:pt>
                <c:pt idx="5">
                  <c:v>82.666666805744171</c:v>
                </c:pt>
                <c:pt idx="6">
                  <c:v>72.333332896232605</c:v>
                </c:pt>
                <c:pt idx="7">
                  <c:v>62.000000476837158</c:v>
                </c:pt>
                <c:pt idx="8">
                  <c:v>51.666668057441711</c:v>
                </c:pt>
                <c:pt idx="9">
                  <c:v>41.333329677581787</c:v>
                </c:pt>
                <c:pt idx="10">
                  <c:v>31.000000238418579</c:v>
                </c:pt>
                <c:pt idx="11">
                  <c:v>20.666664838790894</c:v>
                </c:pt>
                <c:pt idx="12">
                  <c:v>10.333335399627686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0.27908942103385925</c:v>
                </c:pt>
                <c:pt idx="1">
                  <c:v>79.240234375</c:v>
                </c:pt>
                <c:pt idx="2">
                  <c:v>294.15884399414063</c:v>
                </c:pt>
                <c:pt idx="3">
                  <c:v>428.28451538085938</c:v>
                </c:pt>
                <c:pt idx="4">
                  <c:v>485.64483642578125</c:v>
                </c:pt>
                <c:pt idx="5">
                  <c:v>513.91986083984375</c:v>
                </c:pt>
                <c:pt idx="6">
                  <c:v>541.1221923828125</c:v>
                </c:pt>
                <c:pt idx="7">
                  <c:v>555.4576416015625</c:v>
                </c:pt>
                <c:pt idx="8">
                  <c:v>565.6614990234375</c:v>
                </c:pt>
                <c:pt idx="9">
                  <c:v>574.0672607421875</c:v>
                </c:pt>
                <c:pt idx="10">
                  <c:v>581.21661376953125</c:v>
                </c:pt>
                <c:pt idx="11">
                  <c:v>587.5648193359375</c:v>
                </c:pt>
                <c:pt idx="12">
                  <c:v>593.23492431640625</c:v>
                </c:pt>
                <c:pt idx="13">
                  <c:v>598.3050537109375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F9-4DFC-8C16-0C491EAD4F04}"/>
            </c:ext>
          </c:extLst>
        </c:ser>
        <c:ser>
          <c:idx val="4"/>
          <c:order val="4"/>
          <c:tx>
            <c:v>Current (FV / 0.80)</c:v>
          </c:tx>
          <c:spPr>
            <a:ln w="2540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99.300000024959445</c:v>
                </c:pt>
                <c:pt idx="2">
                  <c:v>96.499999985098839</c:v>
                </c:pt>
                <c:pt idx="3">
                  <c:v>92.999999970197678</c:v>
                </c:pt>
                <c:pt idx="4">
                  <c:v>87.833333015441895</c:v>
                </c:pt>
                <c:pt idx="5">
                  <c:v>82.666666805744171</c:v>
                </c:pt>
                <c:pt idx="6">
                  <c:v>72.333332896232605</c:v>
                </c:pt>
                <c:pt idx="7">
                  <c:v>62.000000476837158</c:v>
                </c:pt>
                <c:pt idx="8">
                  <c:v>51.666668057441711</c:v>
                </c:pt>
                <c:pt idx="9">
                  <c:v>41.333329677581787</c:v>
                </c:pt>
                <c:pt idx="10">
                  <c:v>31.000000238418579</c:v>
                </c:pt>
                <c:pt idx="11">
                  <c:v>20.666664838790894</c:v>
                </c:pt>
                <c:pt idx="12">
                  <c:v>10.333335399627686</c:v>
                </c:pt>
                <c:pt idx="13">
                  <c:v>0</c:v>
                </c:pt>
              </c:numCache>
            </c:numRef>
          </c:xVal>
          <c:yVal>
            <c:numRef>
              <c:f>STCurve!$F$54:$F$67</c:f>
              <c:numCache>
                <c:formatCode>0.0</c:formatCode>
                <c:ptCount val="14"/>
                <c:pt idx="0">
                  <c:v>13.17302131652832</c:v>
                </c:pt>
                <c:pt idx="1">
                  <c:v>63.392189025878906</c:v>
                </c:pt>
                <c:pt idx="2">
                  <c:v>235.32707214355469</c:v>
                </c:pt>
                <c:pt idx="3">
                  <c:v>342.62762451171875</c:v>
                </c:pt>
                <c:pt idx="4">
                  <c:v>388.515869140625</c:v>
                </c:pt>
                <c:pt idx="5">
                  <c:v>411.13589477539063</c:v>
                </c:pt>
                <c:pt idx="6">
                  <c:v>432.89776611328125</c:v>
                </c:pt>
                <c:pt idx="7">
                  <c:v>444.36611938476563</c:v>
                </c:pt>
                <c:pt idx="8">
                  <c:v>452.52920532226563</c:v>
                </c:pt>
                <c:pt idx="9">
                  <c:v>459.25381469726563</c:v>
                </c:pt>
                <c:pt idx="10">
                  <c:v>464.97329711914063</c:v>
                </c:pt>
                <c:pt idx="11">
                  <c:v>470.05184936523438</c:v>
                </c:pt>
                <c:pt idx="12">
                  <c:v>474.58795166015625</c:v>
                </c:pt>
                <c:pt idx="13">
                  <c:v>478.64404296875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F9-4DFC-8C16-0C491EAD4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2292085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2920856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4210584927674287"/>
          <c:y val="0.88783349799906186"/>
          <c:w val="0.25508864023576"/>
          <c:h val="0.112166502000938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598.30508474576266</c:v>
                </c:pt>
                <c:pt idx="1">
                  <c:v>532.87659999999994</c:v>
                </c:pt>
                <c:pt idx="2">
                  <c:v>467.42848474576272</c:v>
                </c:pt>
                <c:pt idx="3">
                  <c:v>402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31.614052908761163</c:v>
                </c:pt>
                <c:pt idx="1">
                  <c:v>39.854031888742604</c:v>
                </c:pt>
                <c:pt idx="2">
                  <c:v>51.795879803510807</c:v>
                </c:pt>
                <c:pt idx="3">
                  <c:v>70.028279605754008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32-4B54-A111-B8DA6DDAAB6D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598.30508474576266</c:v>
                </c:pt>
                <c:pt idx="1">
                  <c:v>532.87659999999994</c:v>
                </c:pt>
                <c:pt idx="2">
                  <c:v>467.42848474576272</c:v>
                </c:pt>
                <c:pt idx="3">
                  <c:v>402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14.881785256522043</c:v>
                </c:pt>
                <c:pt idx="1">
                  <c:v>18.760617181433396</c:v>
                </c:pt>
                <c:pt idx="2">
                  <c:v>24.382041829089871</c:v>
                </c:pt>
                <c:pt idx="3">
                  <c:v>32.964638288680305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32-4B54-A111-B8DA6DDAAB6D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302</c:v>
                </c:pt>
                <c:pt idx="1">
                  <c:v>202</c:v>
                </c:pt>
                <c:pt idx="2">
                  <c:v>275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70.442544211621708</c:v>
                </c:pt>
                <c:pt idx="3">
                  <c:v>164.42029030876213</c:v>
                </c:pt>
                <c:pt idx="4">
                  <c:v>369.94565319471474</c:v>
                </c:pt>
                <c:pt idx="5" formatCode="0">
                  <c:v>800</c:v>
                </c:pt>
                <c:pt idx="6" formatCode="0">
                  <c:v>1600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32-4B54-A111-B8DA6DDAAB6D}"/>
            </c:ext>
          </c:extLst>
        </c:ser>
        <c:ser>
          <c:idx val="3"/>
          <c:order val="3"/>
          <c:tx>
            <c:v>Acceleration Curve @ 0.80V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598.30508474576266</c:v>
                </c:pt>
                <c:pt idx="1">
                  <c:v>476.61016949152543</c:v>
                </c:pt>
                <c:pt idx="2">
                  <c:v>472.37288135593218</c:v>
                </c:pt>
                <c:pt idx="3">
                  <c:v>467.45762711864404</c:v>
                </c:pt>
                <c:pt idx="4">
                  <c:v>462.03389830508479</c:v>
                </c:pt>
                <c:pt idx="5">
                  <c:v>455.93220338983053</c:v>
                </c:pt>
                <c:pt idx="6">
                  <c:v>448.47457627118649</c:v>
                </c:pt>
                <c:pt idx="7">
                  <c:v>438.64406779661016</c:v>
                </c:pt>
                <c:pt idx="8">
                  <c:v>422.03389830508473</c:v>
                </c:pt>
                <c:pt idx="9">
                  <c:v>399.83050847457628</c:v>
                </c:pt>
                <c:pt idx="10">
                  <c:v>365.59322033898303</c:v>
                </c:pt>
                <c:pt idx="11">
                  <c:v>288.9830508474576</c:v>
                </c:pt>
                <c:pt idx="12">
                  <c:v>186.77966101694915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0.19499999284744263</c:v>
                </c:pt>
                <c:pt idx="2">
                  <c:v>0.36100000143051147</c:v>
                </c:pt>
                <c:pt idx="3">
                  <c:v>0.51800000667572021</c:v>
                </c:pt>
                <c:pt idx="4">
                  <c:v>0.67500001192092896</c:v>
                </c:pt>
                <c:pt idx="5">
                  <c:v>0.83899998664855957</c:v>
                </c:pt>
                <c:pt idx="6">
                  <c:v>1.0180000066757202</c:v>
                </c:pt>
                <c:pt idx="7">
                  <c:v>1.2170000076293945</c:v>
                </c:pt>
                <c:pt idx="8">
                  <c:v>1.4390000104904175</c:v>
                </c:pt>
                <c:pt idx="9">
                  <c:v>1.5509999990463257</c:v>
                </c:pt>
                <c:pt idx="10">
                  <c:v>1.6330000162124634</c:v>
                </c:pt>
                <c:pt idx="11">
                  <c:v>1.6850000619888306</c:v>
                </c:pt>
                <c:pt idx="12">
                  <c:v>1.7610000371932983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32-4B54-A111-B8DA6DDAAB6D}"/>
            </c:ext>
          </c:extLst>
        </c:ser>
        <c:ser>
          <c:idx val="4"/>
          <c:order val="4"/>
          <c:tx>
            <c:v>Acceleration Curve @ FV</c:v>
          </c:tx>
          <c:marker>
            <c:symbol val="none"/>
          </c:marker>
          <c:xVal>
            <c:numRef>
              <c:f>Thermdam!$I$68:$I$80</c:f>
              <c:numCache>
                <c:formatCode>0</c:formatCode>
                <c:ptCount val="13"/>
                <c:pt idx="0">
                  <c:v>598.30508474576266</c:v>
                </c:pt>
                <c:pt idx="1">
                  <c:v>595.76271186440681</c:v>
                </c:pt>
                <c:pt idx="2">
                  <c:v>590.33898305084745</c:v>
                </c:pt>
                <c:pt idx="3">
                  <c:v>584.40677966101691</c:v>
                </c:pt>
                <c:pt idx="4">
                  <c:v>577.62711864406776</c:v>
                </c:pt>
                <c:pt idx="5">
                  <c:v>569.83050847457628</c:v>
                </c:pt>
                <c:pt idx="6">
                  <c:v>560.50847457627117</c:v>
                </c:pt>
                <c:pt idx="7">
                  <c:v>548.30508474576266</c:v>
                </c:pt>
                <c:pt idx="8">
                  <c:v>527.45762711864404</c:v>
                </c:pt>
                <c:pt idx="9">
                  <c:v>499.83050847457622</c:v>
                </c:pt>
                <c:pt idx="10">
                  <c:v>456.94915254237293</c:v>
                </c:pt>
                <c:pt idx="11">
                  <c:v>361.18644067796612</c:v>
                </c:pt>
                <c:pt idx="12">
                  <c:v>186.77966101694915</c:v>
                </c:pt>
              </c:numCache>
            </c:numRef>
          </c:xVal>
          <c:yVal>
            <c:numRef>
              <c:f>Thermdam!$J$68:$J$80</c:f>
              <c:numCache>
                <c:formatCode>0.00</c:formatCode>
                <c:ptCount val="13"/>
                <c:pt idx="0">
                  <c:v>1E-4</c:v>
                </c:pt>
                <c:pt idx="1">
                  <c:v>0.11100000143051147</c:v>
                </c:pt>
                <c:pt idx="2">
                  <c:v>0.21199999749660492</c:v>
                </c:pt>
                <c:pt idx="3">
                  <c:v>0.30899998545646667</c:v>
                </c:pt>
                <c:pt idx="4">
                  <c:v>0.40599998831748962</c:v>
                </c:pt>
                <c:pt idx="5">
                  <c:v>0.50599998235702515</c:v>
                </c:pt>
                <c:pt idx="6">
                  <c:v>0.60999995470046997</c:v>
                </c:pt>
                <c:pt idx="7">
                  <c:v>0.71799993515014648</c:v>
                </c:pt>
                <c:pt idx="8">
                  <c:v>0.82799994945526123</c:v>
                </c:pt>
                <c:pt idx="9">
                  <c:v>0.87899994850158691</c:v>
                </c:pt>
                <c:pt idx="10">
                  <c:v>0.91799992322921753</c:v>
                </c:pt>
                <c:pt idx="11">
                  <c:v>0.94199991226196289</c:v>
                </c:pt>
                <c:pt idx="12">
                  <c:v>0.97599989175796509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32-4B54-A111-B8DA6DDA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358800"/>
        <c:axId val="1"/>
      </c:scatterChart>
      <c:valAx>
        <c:axId val="862358800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2358800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89.900001525878906</c:v>
                </c:pt>
                <c:pt idx="2">
                  <c:v>92.699996948242188</c:v>
                </c:pt>
                <c:pt idx="3">
                  <c:v>93.199996948242188</c:v>
                </c:pt>
                <c:pt idx="4">
                  <c:v>93.099998474121094</c:v>
                </c:pt>
                <c:pt idx="5">
                  <c:v>92.699996948242188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68-4012-92F2-B1A001039B3A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54.900001525878906</c:v>
                </c:pt>
                <c:pt idx="1">
                  <c:v>77.300003051757813</c:v>
                </c:pt>
                <c:pt idx="2">
                  <c:v>85.599998474121094</c:v>
                </c:pt>
                <c:pt idx="3">
                  <c:v>88.700004577636719</c:v>
                </c:pt>
                <c:pt idx="4">
                  <c:v>89.700004577636719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68-4012-92F2-B1A001039B3A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85.393937500000447</c:v>
                </c:pt>
                <c:pt idx="2">
                  <c:v>69.800562500000183</c:v>
                </c:pt>
                <c:pt idx="3">
                  <c:v>53.927625000000603</c:v>
                </c:pt>
                <c:pt idx="4">
                  <c:v>37.5</c:v>
                </c:pt>
                <c:pt idx="5">
                  <c:v>20.791924999999765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68-4012-92F2-B1A001039B3A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0.75380000000000003</c:v>
                </c:pt>
                <c:pt idx="1">
                  <c:v>9.3377979999999994</c:v>
                </c:pt>
                <c:pt idx="2">
                  <c:v>18.090879999999999</c:v>
                </c:pt>
                <c:pt idx="3">
                  <c:v>27.01362</c:v>
                </c:pt>
                <c:pt idx="4">
                  <c:v>36.048429999999996</c:v>
                </c:pt>
                <c:pt idx="5">
                  <c:v>45.267130000000002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68-4012-92F2-B1A001039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32954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16.5</c:v>
                </c:pt>
                <c:pt idx="1">
                  <c:v>24.549999237060547</c:v>
                </c:pt>
                <c:pt idx="2">
                  <c:v>33.779998779296875</c:v>
                </c:pt>
                <c:pt idx="3">
                  <c:v>45.549999237060547</c:v>
                </c:pt>
                <c:pt idx="4">
                  <c:v>58.659999847412109</c:v>
                </c:pt>
                <c:pt idx="5">
                  <c:v>72.839996337890625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68-4012-92F2-B1A001039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2832954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2832954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8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8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27.05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11.6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179294</xdr:colOff>
      <xdr:row>42</xdr:row>
      <xdr:rowOff>66114</xdr:rowOff>
    </xdr:from>
    <xdr:to>
      <xdr:col>3</xdr:col>
      <xdr:colOff>503144</xdr:colOff>
      <xdr:row>42</xdr:row>
      <xdr:rowOff>191060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912844" y="9733989"/>
          <a:ext cx="323850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282.5</a:t>
          </a:r>
        </a:p>
      </xdr:txBody>
    </xdr:sp>
    <xdr:clientData/>
  </xdr:twoCellAnchor>
  <xdr:twoCellAnchor>
    <xdr:from>
      <xdr:col>3</xdr:col>
      <xdr:colOff>333376</xdr:colOff>
      <xdr:row>40</xdr:row>
      <xdr:rowOff>64247</xdr:rowOff>
    </xdr:from>
    <xdr:to>
      <xdr:col>3</xdr:col>
      <xdr:colOff>598955</xdr:colOff>
      <xdr:row>40</xdr:row>
      <xdr:rowOff>158376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2066926" y="9274922"/>
          <a:ext cx="265579" cy="94129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25.0</a:t>
          </a:r>
        </a:p>
      </xdr:txBody>
    </xdr:sp>
    <xdr:clientData/>
  </xdr:twoCellAnchor>
  <xdr:twoCellAnchor>
    <xdr:from>
      <xdr:col>2</xdr:col>
      <xdr:colOff>130548</xdr:colOff>
      <xdr:row>41</xdr:row>
      <xdr:rowOff>52107</xdr:rowOff>
    </xdr:from>
    <xdr:to>
      <xdr:col>2</xdr:col>
      <xdr:colOff>387723</xdr:colOff>
      <xdr:row>41</xdr:row>
      <xdr:rowOff>166407</xdr:rowOff>
    </xdr:to>
    <xdr:sp macro="" textlink="">
      <xdr:nvSpPr>
        <xdr:cNvPr id="71" name="Clear"/>
        <xdr:cNvSpPr txBox="1">
          <a:spLocks noChangeArrowheads="1"/>
        </xdr:cNvSpPr>
      </xdr:nvSpPr>
      <xdr:spPr bwMode="auto">
        <a:xfrm>
          <a:off x="1349748" y="9491382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2</xdr:col>
      <xdr:colOff>418353</xdr:colOff>
      <xdr:row>41</xdr:row>
      <xdr:rowOff>169582</xdr:rowOff>
    </xdr:from>
    <xdr:to>
      <xdr:col>3</xdr:col>
      <xdr:colOff>190874</xdr:colOff>
      <xdr:row>42</xdr:row>
      <xdr:rowOff>45757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37553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55.0</a:t>
          </a: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3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74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75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76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7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78" name="Group 104"/>
        <xdr:cNvGrpSpPr>
          <a:grpSpLocks/>
        </xdr:cNvGrpSpPr>
      </xdr:nvGrpSpPr>
      <xdr:grpSpPr bwMode="auto">
        <a:xfrm>
          <a:off x="1047750" y="9086850"/>
          <a:ext cx="1114425" cy="733425"/>
          <a:chOff x="921807" y="9129183"/>
          <a:chExt cx="1110192" cy="729192"/>
        </a:xfrm>
      </xdr:grpSpPr>
      <xdr:grpSp>
        <xdr:nvGrpSpPr>
          <xdr:cNvPr id="79" name="Group 112"/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0" name="Group 113"/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2" name="Line 114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15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16"/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17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18"/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7" name="Line 119"/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Line 120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106"/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1" name="Line 121"/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2" name="Group 108"/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83" name="Line 102"/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4" name="Line 103"/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5" name="Line 104"/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105"/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106"/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107"/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102"/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98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99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0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1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314325</xdr:colOff>
      <xdr:row>53</xdr:row>
      <xdr:rowOff>47625</xdr:rowOff>
    </xdr:to>
    <xdr:sp macro="" textlink="">
      <xdr:nvSpPr>
        <xdr:cNvPr id="102" name="Radius"/>
        <xdr:cNvSpPr txBox="1">
          <a:spLocks noChangeArrowheads="1"/>
        </xdr:cNvSpPr>
      </xdr:nvSpPr>
      <xdr:spPr bwMode="auto">
        <a:xfrm>
          <a:off x="4133850" y="11906250"/>
          <a:ext cx="2952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361950</xdr:colOff>
      <xdr:row>52</xdr:row>
      <xdr:rowOff>19050</xdr:rowOff>
    </xdr:from>
    <xdr:to>
      <xdr:col>6</xdr:col>
      <xdr:colOff>57150</xdr:colOff>
      <xdr:row>52</xdr:row>
      <xdr:rowOff>123825</xdr:rowOff>
    </xdr:to>
    <xdr:sp macro="" textlink="">
      <xdr:nvSpPr>
        <xdr:cNvPr id="103" name="Thickness"/>
        <xdr:cNvSpPr txBox="1">
          <a:spLocks noChangeArrowheads="1"/>
        </xdr:cNvSpPr>
      </xdr:nvSpPr>
      <xdr:spPr bwMode="auto">
        <a:xfrm>
          <a:off x="3848100" y="11772900"/>
          <a:ext cx="3238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04" name="Radius"/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05" name="Thickness"/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06" name="Text 583"/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695325</xdr:colOff>
      <xdr:row>28</xdr:row>
      <xdr:rowOff>190500</xdr:rowOff>
    </xdr:from>
    <xdr:to>
      <xdr:col>4</xdr:col>
      <xdr:colOff>722098</xdr:colOff>
      <xdr:row>29</xdr:row>
      <xdr:rowOff>123825</xdr:rowOff>
    </xdr:to>
    <xdr:sp macro="" textlink="">
      <xdr:nvSpPr>
        <xdr:cNvPr id="107" name="Text 219"/>
        <xdr:cNvSpPr txBox="1">
          <a:spLocks noChangeArrowheads="1"/>
        </xdr:cNvSpPr>
      </xdr:nvSpPr>
      <xdr:spPr bwMode="auto">
        <a:xfrm>
          <a:off x="242887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695325</xdr:colOff>
      <xdr:row>34</xdr:row>
      <xdr:rowOff>200025</xdr:rowOff>
    </xdr:from>
    <xdr:to>
      <xdr:col>4</xdr:col>
      <xdr:colOff>722098</xdr:colOff>
      <xdr:row>35</xdr:row>
      <xdr:rowOff>133350</xdr:rowOff>
    </xdr:to>
    <xdr:sp macro="" textlink="">
      <xdr:nvSpPr>
        <xdr:cNvPr id="108" name="Text 219"/>
        <xdr:cNvSpPr txBox="1">
          <a:spLocks noChangeArrowheads="1"/>
        </xdr:cNvSpPr>
      </xdr:nvSpPr>
      <xdr:spPr bwMode="auto">
        <a:xfrm>
          <a:off x="242887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695325</xdr:colOff>
      <xdr:row>40</xdr:row>
      <xdr:rowOff>142875</xdr:rowOff>
    </xdr:from>
    <xdr:to>
      <xdr:col>4</xdr:col>
      <xdr:colOff>722098</xdr:colOff>
      <xdr:row>41</xdr:row>
      <xdr:rowOff>76200</xdr:rowOff>
    </xdr:to>
    <xdr:sp macro="" textlink="">
      <xdr:nvSpPr>
        <xdr:cNvPr id="109" name="Text 219"/>
        <xdr:cNvSpPr txBox="1">
          <a:spLocks noChangeArrowheads="1"/>
        </xdr:cNvSpPr>
      </xdr:nvSpPr>
      <xdr:spPr bwMode="auto">
        <a:xfrm>
          <a:off x="242887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0.673</cdr:x>
      <cdr:y>0.5001</cdr:y>
    </cdr:from>
    <cdr:to>
      <cdr:x>0.90885</cdr:x>
      <cdr:y>0.52079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35959" y="32201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0.65997</cdr:x>
      <cdr:y>0.43881</cdr:y>
    </cdr:from>
    <cdr:to>
      <cdr:x>0.94279</cdr:x>
      <cdr:y>0.46394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59759" y="2825456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0.25291</cdr:x>
      <cdr:y>0.63633</cdr:y>
    </cdr:from>
    <cdr:to>
      <cdr:x>0.55863</cdr:x>
      <cdr:y>0.65828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79109" y="4097263"/>
          <a:ext cx="1787966" cy="1413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 @ 0.80V</a:t>
          </a:r>
        </a:p>
      </cdr:txBody>
    </cdr:sp>
  </cdr:relSizeAnchor>
  <cdr:relSizeAnchor xmlns:cdr="http://schemas.openxmlformats.org/drawingml/2006/chartDrawing">
    <cdr:from>
      <cdr:x>0.26512</cdr:x>
      <cdr:y>0.16803</cdr:y>
    </cdr:from>
    <cdr:to>
      <cdr:x>0.59024</cdr:x>
      <cdr:y>0.19611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0503" y="1081948"/>
          <a:ext cx="1901416" cy="1808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0.62909</cdr:x>
      <cdr:y>0.1539</cdr:y>
    </cdr:from>
    <cdr:to>
      <cdr:x>0.95421</cdr:x>
      <cdr:y>0.18198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79115" y="990946"/>
          <a:ext cx="1901416" cy="1808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  <cdr:relSizeAnchor xmlns:cdr="http://schemas.openxmlformats.org/drawingml/2006/chartDrawing">
    <cdr:from>
      <cdr:x>0.23662</cdr:x>
      <cdr:y>0.74432</cdr:y>
    </cdr:from>
    <cdr:to>
      <cdr:x>0.54235</cdr:x>
      <cdr:y>0.76627</cdr:y>
    </cdr:to>
    <cdr:sp macro="" textlink="">
      <cdr:nvSpPr>
        <cdr:cNvPr id="7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3859" y="4792588"/>
          <a:ext cx="1787966" cy="1413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 @ FV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/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1783530-A5D8-4794-A8EE-91F4CEFD304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1800</a:t>
          </a:fld>
          <a:endParaRPr lang="en-US"/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/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15D7070-87E2-4336-BD42-71C88638C4C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1796</a:t>
          </a:fld>
          <a:endParaRPr lang="en-US"/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/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3E37319-9C9D-4C94-A298-F2E86E33DA6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1792</a:t>
          </a:fld>
          <a:endParaRPr lang="en-US"/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/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1E05728-D580-4916-A2A1-A80950E17BE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1788</a:t>
          </a:fld>
          <a:endParaRPr lang="en-US"/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/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B9B92F4-F3BA-4262-B7F2-A481605547B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1784</a:t>
          </a:fld>
          <a:endParaRPr lang="en-US"/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/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5C29B7B-404E-4518-B329-8168343B8AB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1780</a:t>
          </a:fld>
          <a:endParaRPr lang="en-US"/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/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3065185-75C6-4AA1-93A3-0B4AD432652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1776</a:t>
          </a:fld>
          <a:endParaRPr lang="en-US"/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/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4D1DBB6-2E79-489A-B877-C7B06A6D96E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1772</a:t>
          </a:fld>
          <a:endParaRPr lang="en-US"/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/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DFCCEE3-4BF8-4C51-A3F9-CEBAC64D041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1768</a:t>
          </a:fld>
          <a:endParaRPr lang="en-US"/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/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9B7FE6D-C56B-4635-B60C-C7076028C27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1764</a:t>
          </a:fld>
          <a:endParaRPr lang="en-US"/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/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E2238D6-3E48-4ABA-A54D-29B00A04E23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1760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85725</xdr:rowOff>
    </xdr:from>
    <xdr:to>
      <xdr:col>5</xdr:col>
      <xdr:colOff>769200</xdr:colOff>
      <xdr:row>17</xdr:row>
      <xdr:rowOff>38100</xdr:rowOff>
    </xdr:to>
    <xdr:sp macro="" textlink="$O$37">
      <xdr:nvSpPr>
        <xdr:cNvPr id="15" name="Watts11"/>
        <xdr:cNvSpPr txBox="1">
          <a:spLocks noChangeArrowheads="1"/>
        </xdr:cNvSpPr>
      </xdr:nvSpPr>
      <xdr:spPr bwMode="auto">
        <a:xfrm>
          <a:off x="5924549" y="39814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89476BDD-11CD-467C-AB9A-FF361114DB5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1000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$O$42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98A8BD6-1BB4-458D-9FBE-33DFB7A03BF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500</a:t>
          </a:fld>
          <a:endParaRPr lang="en-US"/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$O$43">
      <xdr:nvSpPr>
        <xdr:cNvPr id="17" name="Watts5"/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73614C1-DF20-42C4-AC5C-B722A894327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400</a:t>
          </a:fld>
          <a:endParaRPr lang="en-US"/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$O$44">
      <xdr:nvSpPr>
        <xdr:cNvPr id="18" name="Watts4"/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DABFF6C-67B8-4ED3-A81E-DBCCB9E18A98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300</a:t>
          </a:fld>
          <a:endParaRPr lang="en-US"/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$O$45">
      <xdr:nvSpPr>
        <xdr:cNvPr id="19" name="Watts3"/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8620CD7-7F21-45D5-8A7C-705600FE4C5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200</a:t>
          </a:fld>
          <a:endParaRPr lang="en-US"/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$O$46">
      <xdr:nvSpPr>
        <xdr:cNvPr id="20" name="Watts2"/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98B1DA7-195E-4E10-81CF-AAD89FE93D0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100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$O$41">
      <xdr:nvSpPr>
        <xdr:cNvPr id="22" name="Watts7"/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4BC62CEA-4A8D-4BDF-82E1-64FB2D0E75F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600</a:t>
          </a:fld>
          <a:endParaRPr lang="en-US"/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$O$40">
      <xdr:nvSpPr>
        <xdr:cNvPr id="23" name="Watts8"/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AA26853A-1B93-4CC2-9F43-6CC048EB145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700</a:t>
          </a:fld>
          <a:endParaRPr lang="en-US"/>
        </a:p>
      </xdr:txBody>
    </xdr:sp>
    <xdr:clientData/>
  </xdr:twoCellAnchor>
  <xdr:twoCellAnchor>
    <xdr:from>
      <xdr:col>5</xdr:col>
      <xdr:colOff>361949</xdr:colOff>
      <xdr:row>19</xdr:row>
      <xdr:rowOff>200025</xdr:rowOff>
    </xdr:from>
    <xdr:to>
      <xdr:col>5</xdr:col>
      <xdr:colOff>778725</xdr:colOff>
      <xdr:row>20</xdr:row>
      <xdr:rowOff>152400</xdr:rowOff>
    </xdr:to>
    <xdr:sp macro="" textlink="$O$39">
      <xdr:nvSpPr>
        <xdr:cNvPr id="24" name="Watts9"/>
        <xdr:cNvSpPr txBox="1">
          <a:spLocks noChangeArrowheads="1"/>
        </xdr:cNvSpPr>
      </xdr:nvSpPr>
      <xdr:spPr bwMode="auto">
        <a:xfrm>
          <a:off x="5934074" y="48101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5FF93BE0-A7F6-4855-A6D0-4B08C931C78E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800</a:t>
          </a:fld>
          <a:endParaRPr lang="en-US"/>
        </a:p>
      </xdr:txBody>
    </xdr:sp>
    <xdr:clientData/>
  </xdr:twoCellAnchor>
  <xdr:twoCellAnchor>
    <xdr:from>
      <xdr:col>5</xdr:col>
      <xdr:colOff>361949</xdr:colOff>
      <xdr:row>18</xdr:row>
      <xdr:rowOff>28575</xdr:rowOff>
    </xdr:from>
    <xdr:to>
      <xdr:col>5</xdr:col>
      <xdr:colOff>778725</xdr:colOff>
      <xdr:row>18</xdr:row>
      <xdr:rowOff>219075</xdr:rowOff>
    </xdr:to>
    <xdr:sp macro="" textlink="$O$38">
      <xdr:nvSpPr>
        <xdr:cNvPr id="25" name="Watts10"/>
        <xdr:cNvSpPr txBox="1">
          <a:spLocks noChangeArrowheads="1"/>
        </xdr:cNvSpPr>
      </xdr:nvSpPr>
      <xdr:spPr bwMode="auto">
        <a:xfrm>
          <a:off x="5934074" y="44005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CDEEE0F1-C353-40FA-8E0F-363C8BBF697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900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533400</xdr:colOff>
      <xdr:row>19</xdr:row>
      <xdr:rowOff>123825</xdr:rowOff>
    </xdr:from>
    <xdr:to>
      <xdr:col>3</xdr:col>
      <xdr:colOff>866775</xdr:colOff>
      <xdr:row>20</xdr:row>
      <xdr:rowOff>57150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876675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809625</xdr:colOff>
      <xdr:row>23</xdr:row>
      <xdr:rowOff>28575</xdr:rowOff>
    </xdr:from>
    <xdr:to>
      <xdr:col>3</xdr:col>
      <xdr:colOff>38100</xdr:colOff>
      <xdr:row>23</xdr:row>
      <xdr:rowOff>171450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038475" y="55911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133350</xdr:colOff>
      <xdr:row>29</xdr:row>
      <xdr:rowOff>19050</xdr:rowOff>
    </xdr:from>
    <xdr:to>
      <xdr:col>2</xdr:col>
      <xdr:colOff>571500</xdr:colOff>
      <xdr:row>29</xdr:row>
      <xdr:rowOff>171450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362200" y="70104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609600</xdr:colOff>
      <xdr:row>31</xdr:row>
      <xdr:rowOff>161925</xdr:rowOff>
    </xdr:from>
    <xdr:to>
      <xdr:col>3</xdr:col>
      <xdr:colOff>0</xdr:colOff>
      <xdr:row>32</xdr:row>
      <xdr:rowOff>76200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38450" y="76295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$O$47">
      <xdr:nvSpPr>
        <xdr:cNvPr id="31" name="Watts1"/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B921BC5-36C2-480E-9B76-636667C4066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0.0</a:t>
          </a:fld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113"/>
  <sheetViews>
    <sheetView topLeftCell="A16"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218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219</v>
      </c>
    </row>
    <row r="3" spans="1:10" ht="15" customHeight="1" thickBot="1">
      <c r="A3" s="49" t="s">
        <v>1</v>
      </c>
      <c r="B3" s="96" t="s">
        <v>217</v>
      </c>
      <c r="C3" s="1"/>
      <c r="D3" s="49"/>
      <c r="E3" s="1"/>
      <c r="F3" s="1"/>
      <c r="G3" s="49" t="s">
        <v>2</v>
      </c>
      <c r="H3" s="171">
        <v>44021</v>
      </c>
      <c r="I3" s="49" t="s">
        <v>3</v>
      </c>
      <c r="J3" s="172">
        <v>0.62706018518518525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450.00001636331268</v>
      </c>
      <c r="C5" s="140">
        <v>1800</v>
      </c>
      <c r="D5" s="50" t="s">
        <v>192</v>
      </c>
      <c r="E5" s="158">
        <v>4000</v>
      </c>
      <c r="F5" s="140">
        <v>60</v>
      </c>
      <c r="G5" s="50">
        <v>105</v>
      </c>
      <c r="H5" s="78" t="s">
        <v>251</v>
      </c>
      <c r="I5" s="77" t="s">
        <v>256</v>
      </c>
      <c r="J5" s="50" t="s">
        <v>193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20.420334999999998</v>
      </c>
      <c r="J7" s="106" t="s">
        <v>19</v>
      </c>
    </row>
    <row r="8" spans="1:10" ht="15" customHeight="1">
      <c r="A8" s="10" t="s">
        <v>20</v>
      </c>
      <c r="B8" s="69">
        <v>1.7000000476837158</v>
      </c>
      <c r="C8" s="52"/>
      <c r="D8" s="6"/>
      <c r="E8" s="51"/>
      <c r="F8" s="4"/>
      <c r="G8" s="16"/>
      <c r="H8" s="10" t="s">
        <v>21</v>
      </c>
      <c r="I8" s="68">
        <v>27.603152129554424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200</v>
      </c>
      <c r="F9" s="107" t="s">
        <v>25</v>
      </c>
      <c r="G9" s="30"/>
      <c r="H9" s="10" t="s">
        <v>26</v>
      </c>
      <c r="I9" s="69">
        <v>24.011743564777213</v>
      </c>
      <c r="J9" s="104">
        <v>755.84118556696922</v>
      </c>
    </row>
    <row r="10" spans="1:10" ht="15" customHeight="1">
      <c r="A10" s="10" t="s">
        <v>27</v>
      </c>
      <c r="B10" s="69">
        <v>305</v>
      </c>
      <c r="C10" s="73">
        <v>305</v>
      </c>
      <c r="D10" s="6"/>
      <c r="E10" s="51"/>
      <c r="F10" s="116" t="s">
        <v>213</v>
      </c>
      <c r="G10" s="114" t="s">
        <v>214</v>
      </c>
      <c r="H10" s="10" t="s">
        <v>28</v>
      </c>
      <c r="I10" s="68">
        <v>12.416524461106047</v>
      </c>
      <c r="J10" s="103" t="s">
        <v>29</v>
      </c>
    </row>
    <row r="11" spans="1:10" ht="15" customHeight="1" thickBot="1">
      <c r="A11" s="10" t="s">
        <v>30</v>
      </c>
      <c r="B11" s="69">
        <v>590</v>
      </c>
      <c r="C11" s="73">
        <v>386.59999990463257</v>
      </c>
      <c r="D11" s="10" t="s">
        <v>31</v>
      </c>
      <c r="E11" s="68">
        <v>0.86657999999999991</v>
      </c>
      <c r="F11" s="117"/>
      <c r="G11" s="113"/>
      <c r="H11" s="10" t="s">
        <v>32</v>
      </c>
      <c r="I11" s="68">
        <v>26.848828802663952</v>
      </c>
      <c r="J11" s="104">
        <v>21198.658280291856</v>
      </c>
    </row>
    <row r="12" spans="1:10" ht="15" customHeight="1">
      <c r="A12" s="10" t="s">
        <v>33</v>
      </c>
      <c r="B12" s="69">
        <v>390</v>
      </c>
      <c r="C12" s="73">
        <v>220</v>
      </c>
      <c r="D12" s="10" t="s">
        <v>34</v>
      </c>
      <c r="E12" s="153" t="s">
        <v>174</v>
      </c>
      <c r="F12" s="123" t="s">
        <v>206</v>
      </c>
      <c r="G12" s="115" t="s">
        <v>205</v>
      </c>
      <c r="H12" s="10" t="s">
        <v>35</v>
      </c>
      <c r="I12" s="68">
        <v>1.2245199353199294</v>
      </c>
      <c r="J12" s="103" t="s">
        <v>36</v>
      </c>
    </row>
    <row r="13" spans="1:10" ht="15" customHeight="1" thickBot="1">
      <c r="A13" s="10" t="s">
        <v>37</v>
      </c>
      <c r="B13" s="69">
        <v>54</v>
      </c>
      <c r="C13" s="73">
        <v>56.250000715255737</v>
      </c>
      <c r="D13" s="10" t="s">
        <v>38</v>
      </c>
      <c r="E13" s="70">
        <v>21</v>
      </c>
      <c r="F13" s="123"/>
      <c r="G13" s="115" t="s">
        <v>207</v>
      </c>
      <c r="H13" s="10" t="s">
        <v>40</v>
      </c>
      <c r="I13" s="68">
        <v>1.028095204168296</v>
      </c>
      <c r="J13" s="104">
        <v>58.462333679199219</v>
      </c>
    </row>
    <row r="14" spans="1:10" ht="15" customHeight="1" thickBot="1">
      <c r="A14" s="162" t="s">
        <v>41</v>
      </c>
      <c r="B14" s="133">
        <v>227.85000610351563</v>
      </c>
      <c r="C14" s="134">
        <v>227.85000610351563</v>
      </c>
      <c r="D14" s="10" t="s">
        <v>42</v>
      </c>
      <c r="E14" s="51" t="s">
        <v>201</v>
      </c>
      <c r="F14" s="51" t="s">
        <v>209</v>
      </c>
      <c r="G14" s="115" t="s">
        <v>208</v>
      </c>
      <c r="H14" s="49" t="s">
        <v>43</v>
      </c>
      <c r="I14" s="68">
        <v>1.2589230729108916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174</v>
      </c>
      <c r="F15" s="51"/>
      <c r="G15" s="115"/>
      <c r="H15" s="10" t="s">
        <v>47</v>
      </c>
      <c r="I15" s="68">
        <v>0.97811904826498275</v>
      </c>
      <c r="J15" s="104">
        <v>10.997470238095238</v>
      </c>
    </row>
    <row r="16" spans="1:10" ht="15" customHeight="1">
      <c r="A16" s="10" t="s">
        <v>48</v>
      </c>
      <c r="B16" s="51">
        <v>60</v>
      </c>
      <c r="C16" s="52">
        <v>44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4" ht="15" customHeight="1" thickBot="1">
      <c r="A17" s="10" t="s">
        <v>52</v>
      </c>
      <c r="B17" s="51" t="s">
        <v>194</v>
      </c>
      <c r="C17" s="52" t="s">
        <v>195</v>
      </c>
      <c r="D17" s="49" t="s">
        <v>53</v>
      </c>
      <c r="E17" s="51" t="s">
        <v>202</v>
      </c>
      <c r="F17" s="51"/>
      <c r="G17" s="115"/>
      <c r="H17" s="10" t="s">
        <v>54</v>
      </c>
      <c r="I17" s="68">
        <v>0.93557673708121603</v>
      </c>
      <c r="J17" s="104">
        <v>601.21883762591733</v>
      </c>
    </row>
    <row r="18" spans="1:14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780</v>
      </c>
      <c r="F18" s="70">
        <v>440</v>
      </c>
      <c r="G18" s="74"/>
      <c r="H18" s="13" t="s">
        <v>57</v>
      </c>
      <c r="I18" s="131" t="s">
        <v>215</v>
      </c>
      <c r="J18" s="132"/>
    </row>
    <row r="19" spans="1:14" ht="15" customHeight="1">
      <c r="A19" s="10" t="s">
        <v>58</v>
      </c>
      <c r="B19" s="69">
        <v>46</v>
      </c>
      <c r="C19" s="73">
        <v>27.049999237060547</v>
      </c>
      <c r="D19" s="10" t="s">
        <v>59</v>
      </c>
      <c r="E19" s="70">
        <v>420</v>
      </c>
      <c r="F19" s="51"/>
      <c r="G19" s="52"/>
      <c r="H19" s="143"/>
      <c r="I19" s="4" t="s">
        <v>60</v>
      </c>
      <c r="J19" s="31" t="s">
        <v>61</v>
      </c>
    </row>
    <row r="20" spans="1:14" ht="15" customHeight="1">
      <c r="A20" s="10" t="s">
        <v>62</v>
      </c>
      <c r="B20" s="69" t="s">
        <v>196</v>
      </c>
      <c r="C20" s="73">
        <v>8.0500001907348633</v>
      </c>
      <c r="D20" s="10" t="s">
        <v>166</v>
      </c>
      <c r="E20" s="161">
        <v>0.50517068616481098</v>
      </c>
      <c r="F20" s="51"/>
      <c r="G20" s="52"/>
      <c r="H20" s="10" t="s">
        <v>63</v>
      </c>
      <c r="I20" s="68">
        <v>17.917881011962891</v>
      </c>
      <c r="J20" s="72">
        <v>17.917881011962891</v>
      </c>
    </row>
    <row r="21" spans="1:14" ht="15" customHeight="1">
      <c r="A21" s="10" t="s">
        <v>64</v>
      </c>
      <c r="B21" s="69">
        <v>11.600000381469727</v>
      </c>
      <c r="C21" s="73">
        <v>3</v>
      </c>
      <c r="D21" s="10" t="s">
        <v>203</v>
      </c>
      <c r="E21" s="67">
        <v>0.67389174048311717</v>
      </c>
      <c r="F21" s="67">
        <v>0.54525762796401978</v>
      </c>
      <c r="G21" s="71">
        <v>3.1016242545337837E-2</v>
      </c>
      <c r="H21" s="10" t="s">
        <v>65</v>
      </c>
      <c r="I21" s="68">
        <v>18.340248107910156</v>
      </c>
      <c r="J21" s="72">
        <v>13.927567481994629</v>
      </c>
    </row>
    <row r="22" spans="1:14" ht="15" customHeight="1">
      <c r="A22" s="10" t="s">
        <v>66</v>
      </c>
      <c r="B22" s="69">
        <v>2.8299999237060547</v>
      </c>
      <c r="C22" s="73">
        <v>2</v>
      </c>
      <c r="D22" s="10" t="s">
        <v>67</v>
      </c>
      <c r="E22" s="51" t="s">
        <v>204</v>
      </c>
      <c r="F22" s="51" t="s">
        <v>204</v>
      </c>
      <c r="G22" s="52" t="s">
        <v>204</v>
      </c>
      <c r="H22" s="10" t="s">
        <v>68</v>
      </c>
      <c r="I22" s="68">
        <v>7.4954614639282227</v>
      </c>
      <c r="J22" s="72">
        <v>4.9915032386779785</v>
      </c>
    </row>
    <row r="23" spans="1:14" ht="15" customHeight="1">
      <c r="A23" s="10" t="s">
        <v>69</v>
      </c>
      <c r="B23" s="69">
        <v>8.8203344345092773</v>
      </c>
      <c r="C23" s="73">
        <v>15.690769195556641</v>
      </c>
      <c r="D23" s="10" t="s">
        <v>70</v>
      </c>
      <c r="E23" s="68">
        <v>1.7419999837875366</v>
      </c>
      <c r="F23" s="68">
        <v>1.7419999837875366</v>
      </c>
      <c r="G23" s="72">
        <v>1.7419999837875366</v>
      </c>
      <c r="H23" s="10" t="s">
        <v>71</v>
      </c>
      <c r="I23" s="68">
        <v>21.097484925530143</v>
      </c>
      <c r="J23" s="16" t="s">
        <v>216</v>
      </c>
    </row>
    <row r="24" spans="1:14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5.3123690386653637</v>
      </c>
      <c r="J24" s="72">
        <v>3.6120793712355104</v>
      </c>
    </row>
    <row r="25" spans="1:14" ht="15" customHeight="1">
      <c r="A25" s="10" t="s">
        <v>75</v>
      </c>
      <c r="B25" s="51" t="s">
        <v>174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1.250165581703186</v>
      </c>
      <c r="J25" s="72">
        <v>2.0674490928649902</v>
      </c>
    </row>
    <row r="26" spans="1:14" ht="15" customHeight="1">
      <c r="A26" s="10" t="s">
        <v>78</v>
      </c>
      <c r="B26" s="53" t="s">
        <v>197</v>
      </c>
      <c r="C26" s="60" t="s">
        <v>198</v>
      </c>
      <c r="D26" s="10" t="s">
        <v>79</v>
      </c>
      <c r="E26" s="69">
        <v>98.70083430400075</v>
      </c>
      <c r="F26" s="69">
        <v>38.724841495513914</v>
      </c>
      <c r="G26" s="73">
        <v>23.617237640880184</v>
      </c>
      <c r="H26" s="10" t="s">
        <v>80</v>
      </c>
      <c r="I26" s="68">
        <v>8.1866827011108398</v>
      </c>
      <c r="J26" s="72">
        <v>7.1725797653198242</v>
      </c>
    </row>
    <row r="27" spans="1:14" ht="15" customHeight="1" thickBot="1">
      <c r="A27" s="10" t="s">
        <v>81</v>
      </c>
      <c r="B27" s="51" t="s">
        <v>199</v>
      </c>
      <c r="C27" s="52" t="s">
        <v>199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8.2815876007080078</v>
      </c>
      <c r="J27" s="81">
        <v>7.464599609375</v>
      </c>
    </row>
    <row r="28" spans="1:14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</row>
    <row r="29" spans="1:14" ht="15" customHeight="1">
      <c r="A29" s="7"/>
      <c r="B29" s="34" t="s">
        <v>87</v>
      </c>
      <c r="C29" s="75">
        <v>25.040983570422465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52" t="str">
        <f>RIGHT(F$41,SEARCH("/",F$41,1)-1)</f>
        <v xml:space="preserve"> 1768.5</v>
      </c>
      <c r="N29" t="s">
        <v>186</v>
      </c>
    </row>
    <row r="30" spans="1:14" ht="15" customHeight="1" thickBot="1">
      <c r="A30" s="8"/>
      <c r="B30" s="63" t="s">
        <v>94</v>
      </c>
      <c r="C30" s="76">
        <v>25.047422428987929</v>
      </c>
      <c r="D30" s="10" t="s">
        <v>95</v>
      </c>
      <c r="E30" s="165">
        <v>23.169226250000001</v>
      </c>
      <c r="F30" s="165">
        <v>246.07800659179688</v>
      </c>
      <c r="G30" s="165">
        <v>17.931076366629231</v>
      </c>
      <c r="H30" s="166">
        <v>648.88991079929042</v>
      </c>
      <c r="I30" s="70">
        <v>20718.44228672978</v>
      </c>
      <c r="J30" s="74">
        <v>1893.0554764717826</v>
      </c>
      <c r="M30" s="152" t="str">
        <f>RIGHT(E$41,SEARCH("/",E$41,1)-1)</f>
        <v xml:space="preserve"> 1774.5</v>
      </c>
      <c r="N30" t="s">
        <v>187</v>
      </c>
    </row>
    <row r="31" spans="1:14" ht="15" customHeight="1">
      <c r="A31" s="23" t="s">
        <v>96</v>
      </c>
      <c r="B31" s="144"/>
      <c r="C31" s="27"/>
      <c r="D31" s="10" t="s">
        <v>97</v>
      </c>
      <c r="E31" s="165">
        <v>4.6000000000000005</v>
      </c>
      <c r="F31" s="165">
        <v>301.45698821069817</v>
      </c>
      <c r="G31" s="165">
        <v>14.637058356270046</v>
      </c>
      <c r="H31" s="166">
        <v>47.4448952967251</v>
      </c>
      <c r="I31" s="70">
        <v>5546.8085830768468</v>
      </c>
      <c r="J31" s="74">
        <v>364.78945844338085</v>
      </c>
      <c r="M31" s="152" t="str">
        <f>RIGHT(D$41,SEARCH("/",D$41,1)-1)</f>
        <v xml:space="preserve"> 1780.5</v>
      </c>
      <c r="N31" t="s">
        <v>188</v>
      </c>
    </row>
    <row r="32" spans="1:14" ht="15" customHeight="1">
      <c r="A32" s="6" t="s">
        <v>98</v>
      </c>
      <c r="B32" s="68" t="s">
        <v>258</v>
      </c>
      <c r="C32" s="110"/>
      <c r="D32" s="10" t="s">
        <v>99</v>
      </c>
      <c r="E32" s="165">
        <v>13.057233493676007</v>
      </c>
      <c r="F32" s="165">
        <v>256.33126012587559</v>
      </c>
      <c r="G32" s="165">
        <v>17.213833093078851</v>
      </c>
      <c r="H32" s="166">
        <v>298.18050420080073</v>
      </c>
      <c r="I32" s="9" t="s">
        <v>100</v>
      </c>
      <c r="J32" s="74">
        <v>2257.8449349151633</v>
      </c>
      <c r="M32" s="152" t="str">
        <f>RIGHT(C$41,SEARCH("/",C$41,1)-1)</f>
        <v xml:space="preserve"> 1786.2</v>
      </c>
      <c r="N32" t="s">
        <v>189</v>
      </c>
    </row>
    <row r="33" spans="1:15" ht="15" customHeight="1">
      <c r="A33" s="6" t="s">
        <v>101</v>
      </c>
      <c r="B33" s="68" t="s">
        <v>259</v>
      </c>
      <c r="C33" s="111" t="s">
        <v>102</v>
      </c>
      <c r="D33" s="10" t="s">
        <v>97</v>
      </c>
      <c r="E33" s="165">
        <v>2.7049999237060547</v>
      </c>
      <c r="F33" s="165">
        <v>393.26560426740792</v>
      </c>
      <c r="G33" s="165">
        <v>11.220008768794033</v>
      </c>
      <c r="H33" s="166">
        <v>12.230037984083811</v>
      </c>
      <c r="I33" s="9" t="s">
        <v>103</v>
      </c>
      <c r="J33" s="73" t="s">
        <v>227</v>
      </c>
      <c r="M33" s="152" t="str">
        <f>RIGHT(B$41,SEARCH("/",B$41,1)-1)</f>
        <v xml:space="preserve"> 1791.8</v>
      </c>
      <c r="N33" t="s">
        <v>190</v>
      </c>
    </row>
    <row r="34" spans="1:15" ht="15" customHeight="1" thickBot="1">
      <c r="A34" s="17" t="s">
        <v>104</v>
      </c>
      <c r="B34" s="79" t="s">
        <v>260</v>
      </c>
      <c r="C34" s="160">
        <v>4.4124435283454</v>
      </c>
      <c r="D34" s="11" t="s">
        <v>20</v>
      </c>
      <c r="E34" s="167">
        <v>0.1700000047683716</v>
      </c>
      <c r="F34" s="168">
        <v>596.10259546265206</v>
      </c>
      <c r="G34" s="168">
        <v>7.4021545316721502</v>
      </c>
      <c r="H34" s="169">
        <v>1001.376934673596</v>
      </c>
      <c r="I34" s="9" t="s">
        <v>105</v>
      </c>
      <c r="J34" s="73">
        <v>6.0500001907348633</v>
      </c>
    </row>
    <row r="35" spans="1:15" ht="15" customHeight="1">
      <c r="A35" s="13" t="s">
        <v>106</v>
      </c>
      <c r="B35" s="14"/>
      <c r="C35" s="14"/>
      <c r="D35" s="135" t="s">
        <v>229</v>
      </c>
      <c r="E35" s="145" t="s">
        <v>228</v>
      </c>
      <c r="F35" s="15"/>
      <c r="G35" s="26" t="s">
        <v>107</v>
      </c>
      <c r="H35" s="85" t="s">
        <v>222</v>
      </c>
      <c r="I35" s="10" t="s">
        <v>108</v>
      </c>
      <c r="J35" s="74" t="s">
        <v>226</v>
      </c>
    </row>
    <row r="36" spans="1:15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220</v>
      </c>
      <c r="I36" s="10" t="s">
        <v>111</v>
      </c>
      <c r="J36" s="74" t="s">
        <v>225</v>
      </c>
    </row>
    <row r="37" spans="1:15" ht="15" customHeight="1" thickBot="1">
      <c r="A37" s="10" t="s">
        <v>112</v>
      </c>
      <c r="B37" s="173" t="s">
        <v>240</v>
      </c>
      <c r="C37" s="173" t="s">
        <v>241</v>
      </c>
      <c r="D37" s="173" t="s">
        <v>242</v>
      </c>
      <c r="E37" s="173" t="s">
        <v>243</v>
      </c>
      <c r="F37" s="174" t="s">
        <v>244</v>
      </c>
      <c r="G37" s="10" t="s">
        <v>113</v>
      </c>
      <c r="H37" s="74" t="s">
        <v>221</v>
      </c>
      <c r="I37" s="11" t="s">
        <v>114</v>
      </c>
      <c r="J37" s="83" t="s">
        <v>224</v>
      </c>
      <c r="O37" s="150"/>
    </row>
    <row r="38" spans="1:15" ht="15" customHeight="1" thickBot="1">
      <c r="A38" s="10" t="s">
        <v>115</v>
      </c>
      <c r="B38" s="175" t="s">
        <v>231</v>
      </c>
      <c r="C38" s="175" t="s">
        <v>232</v>
      </c>
      <c r="D38" s="175" t="s">
        <v>233</v>
      </c>
      <c r="E38" s="175" t="s">
        <v>234</v>
      </c>
      <c r="F38" s="176" t="s">
        <v>232</v>
      </c>
      <c r="G38" s="17" t="s">
        <v>116</v>
      </c>
      <c r="H38" s="83" t="s">
        <v>223</v>
      </c>
      <c r="I38" s="136" t="s">
        <v>230</v>
      </c>
      <c r="J38" s="84">
        <v>5719.017578125</v>
      </c>
      <c r="L38" t="str">
        <f>LEFT(E38,SEARCH("/",E38,1)-1)</f>
        <v xml:space="preserve">0.953 </v>
      </c>
      <c r="M38" t="str">
        <f>RIGHT(E38,SEARCH("/",E38,1)-1)</f>
        <v xml:space="preserve"> 0.931</v>
      </c>
      <c r="N38" s="151">
        <f>M38/L38</f>
        <v>0.97691500524658981</v>
      </c>
      <c r="O38" s="150" t="s">
        <v>177</v>
      </c>
    </row>
    <row r="39" spans="1:15" ht="15" customHeight="1">
      <c r="A39" s="10" t="s">
        <v>117</v>
      </c>
      <c r="B39" s="175" t="s">
        <v>235</v>
      </c>
      <c r="C39" s="175" t="s">
        <v>236</v>
      </c>
      <c r="D39" s="175" t="s">
        <v>237</v>
      </c>
      <c r="E39" s="175" t="s">
        <v>238</v>
      </c>
      <c r="F39" s="176" t="s">
        <v>239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0.870 </v>
      </c>
      <c r="M39" t="str">
        <f>RIGHT(E39,SEARCH("/",E39,1)-1)</f>
        <v xml:space="preserve"> 0.887</v>
      </c>
      <c r="N39" s="151">
        <f>M39/L39</f>
        <v>1.0195402298850575</v>
      </c>
      <c r="O39" s="150" t="s">
        <v>178</v>
      </c>
    </row>
    <row r="40" spans="1:15" ht="15" customHeight="1">
      <c r="A40" s="10" t="s">
        <v>119</v>
      </c>
      <c r="B40" s="177" t="s">
        <v>253</v>
      </c>
      <c r="C40" s="177" t="s">
        <v>254</v>
      </c>
      <c r="D40" s="177" t="s">
        <v>255</v>
      </c>
      <c r="E40" s="177" t="s">
        <v>256</v>
      </c>
      <c r="F40" s="178" t="s">
        <v>257</v>
      </c>
      <c r="G40" s="35" t="s">
        <v>121</v>
      </c>
      <c r="H40" s="91" t="s">
        <v>261</v>
      </c>
      <c r="I40" s="55"/>
      <c r="J40" s="56"/>
      <c r="L40" t="str">
        <f>LEFT(E37,SEARCH("/",E37,1)-1)</f>
        <v xml:space="preserve">58.46 </v>
      </c>
      <c r="M40" t="str">
        <f>RIGHT(E37,SEARCH("/",E37,1)-1)</f>
        <v xml:space="preserve"> 58.66</v>
      </c>
      <c r="N40" s="151">
        <f>M40/L40</f>
        <v>1.0034211426616488</v>
      </c>
      <c r="O40" s="150" t="s">
        <v>176</v>
      </c>
    </row>
    <row r="41" spans="1:15" ht="15" customHeight="1">
      <c r="A41" s="10" t="s">
        <v>5</v>
      </c>
      <c r="B41" s="179" t="s">
        <v>248</v>
      </c>
      <c r="C41" s="179" t="s">
        <v>249</v>
      </c>
      <c r="D41" s="179" t="s">
        <v>250</v>
      </c>
      <c r="E41" s="179" t="s">
        <v>251</v>
      </c>
      <c r="F41" s="180" t="s">
        <v>252</v>
      </c>
      <c r="G41" s="36" t="s">
        <v>122</v>
      </c>
      <c r="H41" s="92" t="s">
        <v>262</v>
      </c>
      <c r="I41" s="57"/>
      <c r="J41" s="58"/>
      <c r="L41" t="str">
        <f>LEFT(E41,SEARCH("/",E41,1)-1)</f>
        <v xml:space="preserve">1777.1 </v>
      </c>
      <c r="M41" t="str">
        <f>RIGHT(E41,SEARCH("/",E41,1)-1)</f>
        <v xml:space="preserve"> 1774.5</v>
      </c>
      <c r="N41" s="151">
        <f>M41/L41</f>
        <v>0.99853694220921729</v>
      </c>
      <c r="O41" s="150" t="s">
        <v>5</v>
      </c>
    </row>
    <row r="42" spans="1:15" ht="15" customHeight="1">
      <c r="A42" s="10" t="s">
        <v>123</v>
      </c>
      <c r="B42" s="175">
        <v>16.529753872047689</v>
      </c>
      <c r="C42" s="175">
        <v>16.529753872047689</v>
      </c>
      <c r="D42" s="175">
        <v>16.529753872047689</v>
      </c>
      <c r="E42" s="175">
        <v>16.516669172585363</v>
      </c>
      <c r="F42" s="176">
        <v>16.407001850133934</v>
      </c>
      <c r="G42" s="35" t="s">
        <v>124</v>
      </c>
      <c r="H42" s="91" t="s">
        <v>263</v>
      </c>
      <c r="I42" s="55"/>
      <c r="J42" s="97">
        <v>0.27697543242471373</v>
      </c>
    </row>
    <row r="43" spans="1:15" ht="15" customHeight="1" thickBot="1">
      <c r="A43" s="11" t="s">
        <v>125</v>
      </c>
      <c r="B43" s="181">
        <v>16.529753872047689</v>
      </c>
      <c r="C43" s="182"/>
      <c r="D43" s="183" t="s">
        <v>266</v>
      </c>
      <c r="E43" s="183"/>
      <c r="F43" s="184"/>
      <c r="G43" s="36" t="s">
        <v>122</v>
      </c>
      <c r="H43" s="92" t="s">
        <v>264</v>
      </c>
      <c r="I43" s="57"/>
      <c r="J43" s="58"/>
    </row>
    <row r="44" spans="1:15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839.84838381926886</v>
      </c>
      <c r="I44" s="90">
        <v>7.0154342770017891E-2</v>
      </c>
      <c r="J44" s="97">
        <v>0.58976222875450712</v>
      </c>
    </row>
    <row r="45" spans="1:15" ht="15" customHeight="1">
      <c r="A45" s="10" t="s">
        <v>129</v>
      </c>
      <c r="B45" s="68">
        <v>0.37635713815689087</v>
      </c>
      <c r="C45" s="163" t="s">
        <v>130</v>
      </c>
      <c r="D45" s="72">
        <v>1.6929378733038902E-2</v>
      </c>
      <c r="E45" s="10" t="s">
        <v>131</v>
      </c>
      <c r="F45" s="74">
        <v>365.49828500323184</v>
      </c>
      <c r="G45" s="37" t="s">
        <v>122</v>
      </c>
      <c r="H45" s="86" t="s">
        <v>265</v>
      </c>
      <c r="I45" s="59"/>
      <c r="J45" s="60"/>
    </row>
    <row r="46" spans="1:15" ht="15" customHeight="1">
      <c r="A46" s="10" t="s">
        <v>132</v>
      </c>
      <c r="B46" s="68">
        <v>0.18098601698875427</v>
      </c>
      <c r="C46" s="163" t="s">
        <v>133</v>
      </c>
      <c r="D46" s="72">
        <v>1.2739898636937141E-2</v>
      </c>
      <c r="E46" s="10" t="s">
        <v>134</v>
      </c>
      <c r="F46" s="74">
        <v>644.04333685900065</v>
      </c>
      <c r="G46" s="36" t="s">
        <v>135</v>
      </c>
      <c r="H46" s="94">
        <v>191.11794117521023</v>
      </c>
      <c r="I46" s="57"/>
      <c r="J46" s="58"/>
      <c r="L46" s="146" t="s">
        <v>179</v>
      </c>
      <c r="M46" s="148">
        <f>B5^0.95</f>
        <v>331.55219167078911</v>
      </c>
    </row>
    <row r="47" spans="1:15" ht="15" customHeight="1">
      <c r="A47" s="10" t="s">
        <v>136</v>
      </c>
      <c r="B47" s="68">
        <v>0.55734312534332275</v>
      </c>
      <c r="C47" s="163" t="s">
        <v>137</v>
      </c>
      <c r="D47" s="72">
        <v>4.7661601565778255E-3</v>
      </c>
      <c r="E47" s="10" t="s">
        <v>138</v>
      </c>
      <c r="F47" s="74">
        <v>518.88140843378108</v>
      </c>
      <c r="G47" s="64" t="s">
        <v>139</v>
      </c>
      <c r="H47" s="93">
        <v>783.15015725313151</v>
      </c>
      <c r="I47" s="90">
        <v>6.5057901184847874E-2</v>
      </c>
      <c r="J47" s="95">
        <v>0.61497544511022595</v>
      </c>
      <c r="L47" s="146" t="s">
        <v>180</v>
      </c>
      <c r="M47" s="148">
        <f>B5^1.5</f>
        <v>9545.9420666958213</v>
      </c>
    </row>
    <row r="48" spans="1:15" ht="15" customHeight="1">
      <c r="A48" s="10" t="s">
        <v>140</v>
      </c>
      <c r="B48" s="68">
        <v>1.0709862224757671E-2</v>
      </c>
      <c r="C48" s="163" t="s">
        <v>100</v>
      </c>
      <c r="D48" s="72">
        <v>4.5145299285650253E-2</v>
      </c>
      <c r="E48" s="10" t="s">
        <v>141</v>
      </c>
      <c r="F48" s="74">
        <v>106.0183859506312</v>
      </c>
      <c r="G48" s="65" t="s">
        <v>122</v>
      </c>
      <c r="H48" s="86">
        <v>233.28868894117019</v>
      </c>
      <c r="I48" s="59"/>
      <c r="J48" s="60"/>
      <c r="L48" s="146" t="s">
        <v>181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4" t="s">
        <v>142</v>
      </c>
      <c r="D49" s="81">
        <v>0.95485472679138184</v>
      </c>
      <c r="E49" s="11" t="s">
        <v>143</v>
      </c>
      <c r="F49" s="83">
        <v>212.25686163297516</v>
      </c>
      <c r="G49" s="66" t="s">
        <v>135</v>
      </c>
      <c r="H49" s="94">
        <v>183.80356017132092</v>
      </c>
      <c r="I49" s="57"/>
      <c r="J49" s="61"/>
      <c r="L49" s="146" t="s">
        <v>182</v>
      </c>
      <c r="M49" s="147">
        <f>IF(A5="",0,(7200/(1000*A5))^1.8)</f>
        <v>2.8806500970683282</v>
      </c>
    </row>
    <row r="50" spans="1:13" ht="15" customHeight="1">
      <c r="A50" s="13" t="s">
        <v>212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24</v>
      </c>
    </row>
    <row r="51" spans="1:13" ht="15" customHeight="1">
      <c r="A51" s="10" t="s">
        <v>145</v>
      </c>
      <c r="B51" s="51">
        <v>44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0.12519617675229308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27.049999237060547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36617.592181934167</v>
      </c>
      <c r="I52" s="98" t="s">
        <v>245</v>
      </c>
      <c r="J52" s="62"/>
      <c r="L52" s="146" t="s">
        <v>191</v>
      </c>
      <c r="M52" s="170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20.796826748704806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1714.3773173035611</v>
      </c>
    </row>
    <row r="54" spans="1:13" ht="15" customHeight="1">
      <c r="A54" s="10" t="s">
        <v>66</v>
      </c>
      <c r="B54" s="69">
        <v>2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85284.5</v>
      </c>
      <c r="I54" s="99" t="s">
        <v>246</v>
      </c>
      <c r="J54" s="100" t="s">
        <v>210</v>
      </c>
    </row>
    <row r="55" spans="1:13" ht="15" customHeight="1">
      <c r="A55" s="10" t="s">
        <v>156</v>
      </c>
      <c r="B55" s="69">
        <v>8.0500001907348633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0.89993499999999993</v>
      </c>
      <c r="I56" s="101" t="s">
        <v>247</v>
      </c>
      <c r="J56" s="61" t="s">
        <v>211</v>
      </c>
    </row>
    <row r="57" spans="1:13" ht="15" customHeight="1">
      <c r="A57" s="23" t="s">
        <v>390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388</v>
      </c>
      <c r="D58" s="4" t="s">
        <v>119</v>
      </c>
      <c r="E58" s="4" t="s">
        <v>165</v>
      </c>
      <c r="F58" s="16" t="s">
        <v>389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0.27908942103385925</v>
      </c>
      <c r="D59" s="127">
        <v>0.68999999761581421</v>
      </c>
      <c r="E59" s="86">
        <v>136.03276632707357</v>
      </c>
      <c r="F59" s="87">
        <v>581.21661376953125</v>
      </c>
      <c r="G59" s="121"/>
      <c r="H59" s="45"/>
      <c r="I59" s="45"/>
      <c r="J59" s="46"/>
    </row>
    <row r="60" spans="1:13" ht="15" customHeight="1">
      <c r="A60" s="129">
        <v>6.99999975040555E-3</v>
      </c>
      <c r="B60" s="86">
        <v>72.31168220971216</v>
      </c>
      <c r="C60" s="87">
        <v>79.240234375</v>
      </c>
      <c r="D60" s="127">
        <v>0.79333335161209106</v>
      </c>
      <c r="E60" s="86">
        <v>135.49055052290333</v>
      </c>
      <c r="F60" s="87">
        <v>587.5648193359375</v>
      </c>
      <c r="G60" s="121"/>
      <c r="H60" s="45"/>
      <c r="I60" s="45"/>
      <c r="J60" s="46"/>
    </row>
    <row r="61" spans="1:13" ht="15" customHeight="1">
      <c r="A61" s="129">
        <v>3.5000000149011612E-2</v>
      </c>
      <c r="B61" s="86">
        <v>250.60270872525527</v>
      </c>
      <c r="C61" s="87">
        <v>294.15884399414063</v>
      </c>
      <c r="D61" s="127">
        <v>0.89666664600372314</v>
      </c>
      <c r="E61" s="86">
        <v>135.17735454711453</v>
      </c>
      <c r="F61" s="87">
        <v>593.23492431640625</v>
      </c>
      <c r="G61" s="121"/>
      <c r="H61" s="45"/>
      <c r="I61" s="45"/>
      <c r="J61" s="46"/>
    </row>
    <row r="62" spans="1:13" ht="15" customHeight="1">
      <c r="A62" s="125">
        <v>7.0000000298023224E-2</v>
      </c>
      <c r="B62" s="86">
        <v>275</v>
      </c>
      <c r="C62" s="87">
        <v>428.28451538085938</v>
      </c>
      <c r="D62" s="128">
        <v>1</v>
      </c>
      <c r="E62" s="86">
        <v>135</v>
      </c>
      <c r="F62" s="87">
        <v>598.3050537109375</v>
      </c>
      <c r="G62" s="121"/>
      <c r="H62" s="45"/>
      <c r="I62" s="45"/>
      <c r="J62" s="46"/>
    </row>
    <row r="63" spans="1:13" ht="15" customHeight="1" thickBot="1">
      <c r="A63" s="125">
        <v>0.12166666984558105</v>
      </c>
      <c r="B63" s="86">
        <v>198.4448907413925</v>
      </c>
      <c r="C63" s="87">
        <v>485.64483642578125</v>
      </c>
      <c r="D63" s="376"/>
      <c r="E63" s="377"/>
      <c r="F63" s="378"/>
      <c r="G63" s="121"/>
      <c r="H63" s="45"/>
      <c r="I63" s="45"/>
      <c r="J63" s="46"/>
    </row>
    <row r="64" spans="1:13" ht="15" customHeight="1">
      <c r="A64" s="125">
        <v>0.17333333194255829</v>
      </c>
      <c r="B64" s="86">
        <v>170.67299609782827</v>
      </c>
      <c r="C64" s="87">
        <v>513.91986083984375</v>
      </c>
      <c r="D64" s="379" t="s">
        <v>577</v>
      </c>
      <c r="E64" s="380"/>
      <c r="F64" s="380"/>
      <c r="G64" s="121"/>
      <c r="H64" s="45"/>
      <c r="I64" s="45"/>
      <c r="J64" s="46"/>
    </row>
    <row r="65" spans="1:10" ht="15" customHeight="1">
      <c r="A65" s="125">
        <v>0.27666667103767395</v>
      </c>
      <c r="B65" s="86">
        <v>150.49269318242565</v>
      </c>
      <c r="C65" s="87">
        <v>541.1221923828125</v>
      </c>
      <c r="D65" s="381" t="s">
        <v>392</v>
      </c>
      <c r="E65" s="383" t="s">
        <v>396</v>
      </c>
      <c r="F65" s="384"/>
      <c r="G65" s="121"/>
      <c r="H65" s="45"/>
      <c r="I65" s="45"/>
      <c r="J65" s="46"/>
    </row>
    <row r="66" spans="1:10" ht="15" customHeight="1">
      <c r="A66" s="125">
        <v>0.37999999523162842</v>
      </c>
      <c r="B66" s="86">
        <v>142.34381439063083</v>
      </c>
      <c r="C66" s="87">
        <v>555.4576416015625</v>
      </c>
      <c r="D66" s="381" t="s">
        <v>393</v>
      </c>
      <c r="E66" s="383" t="s">
        <v>397</v>
      </c>
      <c r="F66" s="384"/>
      <c r="G66" s="121"/>
      <c r="H66" s="45"/>
      <c r="I66" s="45"/>
      <c r="J66" s="46"/>
    </row>
    <row r="67" spans="1:10" ht="15" customHeight="1">
      <c r="A67" s="125">
        <v>0.48333331942558289</v>
      </c>
      <c r="B67" s="86">
        <v>138.74980207306584</v>
      </c>
      <c r="C67" s="87">
        <v>565.6614990234375</v>
      </c>
      <c r="D67" s="381" t="s">
        <v>394</v>
      </c>
      <c r="E67" s="383" t="s">
        <v>578</v>
      </c>
      <c r="F67" s="384"/>
      <c r="G67" s="121"/>
      <c r="H67" s="45"/>
      <c r="I67" s="45"/>
      <c r="J67" s="46"/>
    </row>
    <row r="68" spans="1:10" ht="15" customHeight="1" thickBot="1">
      <c r="A68" s="126">
        <v>0.58666670322418213</v>
      </c>
      <c r="B68" s="88">
        <v>136.98820539467948</v>
      </c>
      <c r="C68" s="89">
        <v>574.0672607421875</v>
      </c>
      <c r="D68" s="382" t="s">
        <v>395</v>
      </c>
      <c r="E68" s="385" t="s">
        <v>398</v>
      </c>
      <c r="F68" s="385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5" t="s">
        <v>391</v>
      </c>
      <c r="B99" s="375" t="s">
        <v>575</v>
      </c>
      <c r="C99" s="375" t="s">
        <v>576</v>
      </c>
      <c r="D99" s="375"/>
      <c r="E99" s="375"/>
      <c r="F99" s="375"/>
      <c r="G99" s="375"/>
      <c r="H99" s="375"/>
      <c r="I99" s="375"/>
    </row>
    <row r="100" spans="1:9">
      <c r="A100" s="375">
        <v>100</v>
      </c>
      <c r="B100" s="375">
        <v>0</v>
      </c>
      <c r="C100" s="375">
        <v>13.17302131652832</v>
      </c>
      <c r="D100" s="375"/>
      <c r="E100" s="375"/>
      <c r="F100" s="375"/>
      <c r="G100" s="375"/>
      <c r="H100" s="375"/>
      <c r="I100" s="375"/>
    </row>
    <row r="101" spans="1:9">
      <c r="A101" s="375">
        <v>98.599998474121094</v>
      </c>
      <c r="B101" s="375">
        <v>46.279478918298423</v>
      </c>
      <c r="C101" s="375">
        <v>63.392189025878906</v>
      </c>
      <c r="D101" s="375"/>
      <c r="E101" s="375"/>
      <c r="F101" s="375"/>
      <c r="G101" s="375"/>
      <c r="H101" s="375"/>
      <c r="I101" s="375"/>
    </row>
    <row r="102" spans="1:9">
      <c r="A102" s="375">
        <v>91.125</v>
      </c>
      <c r="B102" s="375">
        <v>160.38573720174233</v>
      </c>
      <c r="C102" s="375">
        <v>235.32707214355469</v>
      </c>
      <c r="D102" s="375"/>
      <c r="E102" s="375"/>
      <c r="F102" s="375"/>
      <c r="G102" s="375"/>
      <c r="H102" s="375"/>
      <c r="I102" s="375"/>
    </row>
    <row r="103" spans="1:9">
      <c r="A103" s="375">
        <v>81.800003051757813</v>
      </c>
      <c r="B103" s="375">
        <v>176.00000524520877</v>
      </c>
      <c r="C103" s="375">
        <v>342.62762451171875</v>
      </c>
      <c r="D103" s="375"/>
      <c r="E103" s="375"/>
      <c r="F103" s="375"/>
      <c r="G103" s="375"/>
      <c r="H103" s="375"/>
      <c r="I103" s="375"/>
    </row>
    <row r="104" spans="1:9">
      <c r="A104" s="375">
        <v>68.366668701171875</v>
      </c>
      <c r="B104" s="375">
        <v>127.00473034753584</v>
      </c>
      <c r="C104" s="375">
        <v>388.515869140625</v>
      </c>
      <c r="D104" s="375"/>
      <c r="E104" s="375"/>
      <c r="F104" s="375"/>
      <c r="G104" s="375"/>
      <c r="H104" s="375"/>
      <c r="I104" s="375"/>
    </row>
    <row r="105" spans="1:9">
      <c r="A105" s="375">
        <v>55.866668701171875</v>
      </c>
      <c r="B105" s="375">
        <v>109.23071614595395</v>
      </c>
      <c r="C105" s="375">
        <v>411.13589477539063</v>
      </c>
      <c r="D105" s="375"/>
      <c r="E105" s="375"/>
      <c r="F105" s="375"/>
      <c r="G105" s="375"/>
      <c r="H105" s="375"/>
      <c r="I105" s="375"/>
    </row>
    <row r="106" spans="1:9">
      <c r="A106" s="375">
        <v>36.966667175292969</v>
      </c>
      <c r="B106" s="375">
        <v>96.315325136045303</v>
      </c>
      <c r="C106" s="375">
        <v>432.89776611328125</v>
      </c>
      <c r="D106" s="375"/>
      <c r="E106" s="375"/>
      <c r="F106" s="375"/>
      <c r="G106" s="375"/>
      <c r="H106" s="375"/>
      <c r="I106" s="375"/>
    </row>
    <row r="107" spans="1:9">
      <c r="A107" s="375">
        <v>24.200000762939453</v>
      </c>
      <c r="B107" s="375">
        <v>91.100041777492748</v>
      </c>
      <c r="C107" s="375">
        <v>444.36611938476563</v>
      </c>
      <c r="D107" s="375"/>
      <c r="E107" s="375"/>
      <c r="F107" s="375"/>
      <c r="G107" s="375"/>
      <c r="H107" s="375"/>
      <c r="I107" s="375"/>
    </row>
    <row r="108" spans="1:9">
      <c r="A108" s="375">
        <v>15.333333969116211</v>
      </c>
      <c r="B108" s="375">
        <v>88.79987569331746</v>
      </c>
      <c r="C108" s="375">
        <v>452.52920532226563</v>
      </c>
      <c r="D108" s="375"/>
      <c r="E108" s="375"/>
      <c r="F108" s="375"/>
      <c r="G108" s="375"/>
      <c r="H108" s="375"/>
      <c r="I108" s="375"/>
    </row>
    <row r="109" spans="1:9">
      <c r="A109" s="375">
        <v>8.7999973297119141</v>
      </c>
      <c r="B109" s="375">
        <v>87.672453784717675</v>
      </c>
      <c r="C109" s="375">
        <v>459.25381469726563</v>
      </c>
      <c r="D109" s="375"/>
      <c r="E109" s="375"/>
      <c r="F109" s="375"/>
      <c r="G109" s="375"/>
      <c r="H109" s="375"/>
      <c r="I109" s="375"/>
    </row>
    <row r="110" spans="1:9">
      <c r="A110" s="375">
        <v>6.1999998092651367</v>
      </c>
      <c r="B110" s="375">
        <v>87.060969391494012</v>
      </c>
      <c r="C110" s="375">
        <v>464.97329711914063</v>
      </c>
      <c r="D110" s="375"/>
      <c r="E110" s="375"/>
      <c r="F110" s="375"/>
      <c r="G110" s="375"/>
      <c r="H110" s="375"/>
      <c r="I110" s="375"/>
    </row>
    <row r="111" spans="1:9">
      <c r="A111" s="375">
        <v>7.8666667938232422</v>
      </c>
      <c r="B111" s="375">
        <v>86.713957662402265</v>
      </c>
      <c r="C111" s="375">
        <v>470.05184936523438</v>
      </c>
      <c r="D111" s="375"/>
      <c r="E111" s="375"/>
      <c r="F111" s="375"/>
      <c r="G111" s="375"/>
      <c r="H111" s="375"/>
      <c r="I111" s="375"/>
    </row>
    <row r="112" spans="1:9">
      <c r="A112" s="375">
        <v>14.766665458679199</v>
      </c>
      <c r="B112" s="375">
        <v>86.513508437678411</v>
      </c>
      <c r="C112" s="375">
        <v>474.58795166015625</v>
      </c>
      <c r="D112" s="375"/>
      <c r="E112" s="375"/>
      <c r="F112" s="375"/>
      <c r="G112" s="375"/>
      <c r="H112" s="375"/>
      <c r="I112" s="375"/>
    </row>
    <row r="113" spans="1:9">
      <c r="A113" s="375">
        <v>30</v>
      </c>
      <c r="B113" s="375">
        <v>86.400002574920677</v>
      </c>
      <c r="C113" s="375">
        <v>478.64404296875</v>
      </c>
      <c r="D113" s="375"/>
      <c r="E113" s="375"/>
      <c r="F113" s="375"/>
      <c r="G113" s="375"/>
      <c r="H113" s="375"/>
      <c r="I113" s="375"/>
    </row>
  </sheetData>
  <phoneticPr fontId="9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topLeftCell="A16" zoomScaleNormal="100" workbookViewId="0">
      <selection activeCell="Q16" sqref="Q16"/>
    </sheetView>
  </sheetViews>
  <sheetFormatPr defaultRowHeight="15.75"/>
  <cols>
    <col min="1" max="1" width="12.140625" style="334" customWidth="1"/>
    <col min="2" max="2" width="6.140625" style="334" customWidth="1"/>
    <col min="3" max="3" width="7.7109375" style="334" customWidth="1"/>
    <col min="4" max="5" width="13.140625" style="334" customWidth="1"/>
    <col min="6" max="6" width="9.42578125" style="334" customWidth="1"/>
    <col min="7" max="7" width="5.7109375" style="334" customWidth="1"/>
    <col min="8" max="8" width="7.85546875" style="334" customWidth="1"/>
    <col min="9" max="9" width="6.5703125" style="334" customWidth="1"/>
    <col min="10" max="10" width="12" style="335" customWidth="1"/>
    <col min="11" max="11" width="12" style="334" customWidth="1"/>
    <col min="12" max="12" width="16" style="185" customWidth="1"/>
    <col min="13" max="26" width="9.140625" style="185"/>
    <col min="27" max="16384" width="9.140625" style="186"/>
  </cols>
  <sheetData>
    <row r="1" spans="1:26" ht="20.25" customHeight="1">
      <c r="A1" s="787" t="s">
        <v>267</v>
      </c>
      <c r="B1" s="787"/>
      <c r="C1" s="787"/>
      <c r="D1" s="787"/>
      <c r="E1" s="787"/>
      <c r="F1" s="787"/>
      <c r="G1" s="787"/>
      <c r="H1" s="787"/>
      <c r="I1" s="787"/>
      <c r="J1" s="787"/>
      <c r="K1" s="787"/>
    </row>
    <row r="2" spans="1:26" ht="20.25" customHeight="1">
      <c r="A2" s="788" t="s">
        <v>268</v>
      </c>
      <c r="B2" s="788"/>
      <c r="C2" s="788"/>
      <c r="D2" s="788"/>
      <c r="E2" s="788"/>
      <c r="F2" s="788"/>
      <c r="G2" s="788"/>
      <c r="H2" s="788"/>
      <c r="I2" s="788"/>
      <c r="J2" s="788"/>
      <c r="K2" s="788"/>
    </row>
    <row r="3" spans="1:26" ht="18.75" customHeight="1" thickBot="1">
      <c r="A3" s="187" t="s">
        <v>1</v>
      </c>
      <c r="B3" s="188" t="s">
        <v>379</v>
      </c>
      <c r="C3" s="189"/>
      <c r="D3" s="189"/>
      <c r="E3" s="189"/>
      <c r="F3" s="190"/>
      <c r="G3" s="189"/>
      <c r="H3" s="189"/>
      <c r="I3" s="187" t="s">
        <v>269</v>
      </c>
      <c r="J3" s="789" t="s">
        <v>386</v>
      </c>
      <c r="K3" s="789"/>
    </row>
    <row r="4" spans="1:26" s="199" customFormat="1" ht="18.399999999999999" customHeight="1" thickBot="1">
      <c r="A4" s="191" t="s">
        <v>380</v>
      </c>
      <c r="B4" s="192"/>
      <c r="C4" s="193"/>
      <c r="D4" s="193"/>
      <c r="E4" s="193"/>
      <c r="F4" s="193"/>
      <c r="G4" s="193"/>
      <c r="H4" s="193"/>
      <c r="I4" s="193"/>
      <c r="J4" s="193"/>
      <c r="K4" s="194"/>
      <c r="L4" s="195"/>
      <c r="M4" s="195"/>
      <c r="N4" s="195"/>
      <c r="O4" s="195"/>
      <c r="P4" s="195"/>
      <c r="Q4" s="196" t="s">
        <v>270</v>
      </c>
      <c r="R4" s="197"/>
      <c r="S4" s="195"/>
      <c r="T4" s="196" t="s">
        <v>271</v>
      </c>
      <c r="U4" s="198"/>
      <c r="V4" s="195"/>
      <c r="W4" s="195"/>
      <c r="X4" s="195"/>
      <c r="Y4" s="195"/>
      <c r="Z4" s="195"/>
    </row>
    <row r="5" spans="1:26" s="199" customFormat="1" ht="18.399999999999999" customHeight="1">
      <c r="A5" s="790" t="s">
        <v>272</v>
      </c>
      <c r="B5" s="791"/>
      <c r="C5" s="791"/>
      <c r="D5" s="200"/>
      <c r="E5" s="201"/>
      <c r="F5" s="202" t="s">
        <v>273</v>
      </c>
      <c r="G5" s="203"/>
      <c r="H5" s="203"/>
      <c r="I5" s="204"/>
      <c r="J5" s="205" t="s">
        <v>274</v>
      </c>
      <c r="K5" s="206" t="s">
        <v>275</v>
      </c>
      <c r="L5" s="195"/>
      <c r="M5" s="195"/>
      <c r="N5" s="195"/>
      <c r="O5" s="195"/>
      <c r="P5" s="195"/>
      <c r="Q5" s="207" t="s">
        <v>276</v>
      </c>
      <c r="R5" s="208"/>
      <c r="S5" s="195"/>
      <c r="T5" s="207" t="s">
        <v>277</v>
      </c>
      <c r="U5" s="209"/>
      <c r="V5" s="195"/>
      <c r="W5" s="195"/>
      <c r="X5" s="195"/>
      <c r="Y5" s="195"/>
      <c r="Z5" s="195"/>
    </row>
    <row r="6" spans="1:26" s="199" customFormat="1" ht="18.399999999999999" customHeight="1">
      <c r="A6" s="792" t="s">
        <v>67</v>
      </c>
      <c r="B6" s="793"/>
      <c r="C6" s="793"/>
      <c r="D6" s="794" t="s">
        <v>277</v>
      </c>
      <c r="E6" s="795"/>
      <c r="F6" s="739" t="s">
        <v>279</v>
      </c>
      <c r="G6" s="740"/>
      <c r="H6" s="740"/>
      <c r="I6" s="740"/>
      <c r="J6" s="740"/>
      <c r="K6" s="741"/>
      <c r="L6" s="195"/>
      <c r="M6" s="195"/>
      <c r="N6" s="195"/>
      <c r="O6" s="195"/>
      <c r="P6" s="195"/>
      <c r="Q6" s="207" t="s">
        <v>280</v>
      </c>
      <c r="R6" s="208"/>
      <c r="S6" s="195"/>
      <c r="T6" s="207" t="s">
        <v>281</v>
      </c>
      <c r="U6" s="209"/>
      <c r="V6" s="195"/>
      <c r="W6" s="195"/>
      <c r="X6" s="195"/>
      <c r="Y6" s="195"/>
      <c r="Z6" s="195"/>
    </row>
    <row r="7" spans="1:26" s="199" customFormat="1" ht="18.399999999999999" customHeight="1">
      <c r="A7" s="781" t="s">
        <v>20</v>
      </c>
      <c r="B7" s="782"/>
      <c r="C7" s="782"/>
      <c r="D7" s="783">
        <v>1.70000004768372</v>
      </c>
      <c r="E7" s="784"/>
      <c r="F7" s="210" t="s">
        <v>282</v>
      </c>
      <c r="G7" s="211"/>
      <c r="H7" s="212"/>
      <c r="I7" s="213"/>
      <c r="J7" s="214">
        <v>16.5</v>
      </c>
      <c r="K7" s="215" t="s">
        <v>174</v>
      </c>
      <c r="L7" s="195"/>
      <c r="M7" s="195"/>
      <c r="N7" s="195"/>
      <c r="O7" s="195"/>
      <c r="P7" s="195"/>
      <c r="Q7" s="207" t="s">
        <v>283</v>
      </c>
      <c r="R7" s="208"/>
      <c r="S7" s="195"/>
      <c r="T7" s="207" t="s">
        <v>278</v>
      </c>
      <c r="U7" s="209"/>
      <c r="V7" s="195"/>
      <c r="W7" s="195"/>
      <c r="X7" s="195"/>
      <c r="Y7" s="195"/>
      <c r="Z7" s="195"/>
    </row>
    <row r="8" spans="1:26" s="199" customFormat="1" ht="18.399999999999999" customHeight="1">
      <c r="A8" s="781" t="s">
        <v>284</v>
      </c>
      <c r="B8" s="782"/>
      <c r="C8" s="782"/>
      <c r="D8" s="769">
        <v>305</v>
      </c>
      <c r="E8" s="765"/>
      <c r="F8" s="216" t="s">
        <v>285</v>
      </c>
      <c r="G8" s="217"/>
      <c r="H8" s="218"/>
      <c r="I8" s="219"/>
      <c r="J8" s="220">
        <v>7538</v>
      </c>
      <c r="K8" s="221" t="s">
        <v>174</v>
      </c>
      <c r="L8" s="195"/>
      <c r="M8" s="195"/>
      <c r="N8" s="195"/>
      <c r="O8" s="195"/>
      <c r="P8" s="195"/>
      <c r="Q8" s="207" t="s">
        <v>286</v>
      </c>
      <c r="R8" s="208"/>
      <c r="S8" s="195"/>
      <c r="T8" s="207" t="s">
        <v>287</v>
      </c>
      <c r="U8" s="209"/>
      <c r="V8" s="195"/>
      <c r="W8" s="195"/>
      <c r="X8" s="195"/>
      <c r="Y8" s="195"/>
      <c r="Z8" s="195"/>
    </row>
    <row r="9" spans="1:26" s="199" customFormat="1" ht="18.399999999999999" customHeight="1">
      <c r="A9" s="776" t="s">
        <v>288</v>
      </c>
      <c r="B9" s="777"/>
      <c r="C9" s="778"/>
      <c r="D9" s="785" t="s">
        <v>387</v>
      </c>
      <c r="E9" s="786"/>
      <c r="F9" s="210" t="s">
        <v>289</v>
      </c>
      <c r="G9" s="211"/>
      <c r="H9" s="222">
        <v>3</v>
      </c>
      <c r="I9" s="223" t="s">
        <v>290</v>
      </c>
      <c r="J9" s="224">
        <v>89</v>
      </c>
      <c r="K9" s="221" t="s">
        <v>174</v>
      </c>
      <c r="L9" s="195"/>
      <c r="M9" s="195"/>
      <c r="N9" s="195"/>
      <c r="O9" s="195"/>
      <c r="P9" s="195"/>
      <c r="Q9" s="207" t="s">
        <v>291</v>
      </c>
      <c r="R9" s="208"/>
      <c r="S9" s="195"/>
      <c r="T9" s="207" t="s">
        <v>292</v>
      </c>
      <c r="U9" s="209"/>
      <c r="V9" s="195"/>
      <c r="W9" s="195"/>
      <c r="X9" s="195"/>
      <c r="Y9" s="195"/>
      <c r="Z9" s="195"/>
    </row>
    <row r="10" spans="1:26" s="199" customFormat="1" ht="18.399999999999999" customHeight="1" thickBot="1">
      <c r="A10" s="776" t="s">
        <v>293</v>
      </c>
      <c r="B10" s="777"/>
      <c r="C10" s="778"/>
      <c r="D10" s="752" t="s">
        <v>201</v>
      </c>
      <c r="E10" s="753"/>
      <c r="F10" s="210" t="s">
        <v>294</v>
      </c>
      <c r="G10" s="211"/>
      <c r="H10" s="222">
        <v>3</v>
      </c>
      <c r="I10" s="223" t="s">
        <v>290</v>
      </c>
      <c r="J10" s="224">
        <v>1150</v>
      </c>
      <c r="K10" s="221" t="s">
        <v>174</v>
      </c>
      <c r="L10" s="195"/>
      <c r="M10" s="195"/>
      <c r="N10" s="195"/>
      <c r="O10" s="195"/>
      <c r="P10" s="195"/>
      <c r="Q10" s="207" t="s">
        <v>295</v>
      </c>
      <c r="R10" s="208"/>
      <c r="S10" s="195"/>
      <c r="T10" s="225" t="s">
        <v>296</v>
      </c>
      <c r="U10" s="226"/>
      <c r="V10" s="195"/>
      <c r="W10" s="195"/>
      <c r="X10" s="195"/>
      <c r="Y10" s="195"/>
      <c r="Z10" s="195"/>
    </row>
    <row r="11" spans="1:26" s="199" customFormat="1" ht="18.399999999999999" customHeight="1" thickBot="1">
      <c r="A11" s="776" t="s">
        <v>297</v>
      </c>
      <c r="B11" s="777"/>
      <c r="C11" s="778"/>
      <c r="D11" s="747" t="s">
        <v>174</v>
      </c>
      <c r="E11" s="748"/>
      <c r="F11" s="227" t="s">
        <v>298</v>
      </c>
      <c r="G11" s="228"/>
      <c r="H11" s="229">
        <v>3</v>
      </c>
      <c r="I11" s="223" t="s">
        <v>290</v>
      </c>
      <c r="J11" s="230">
        <v>21199</v>
      </c>
      <c r="K11" s="231" t="s">
        <v>174</v>
      </c>
      <c r="L11" s="195"/>
      <c r="M11" s="195"/>
      <c r="N11" s="195"/>
      <c r="O11" s="195"/>
      <c r="P11" s="195"/>
      <c r="Q11" s="207" t="s">
        <v>299</v>
      </c>
      <c r="R11" s="208"/>
      <c r="S11" s="195"/>
      <c r="T11" s="196" t="s">
        <v>300</v>
      </c>
      <c r="U11" s="198"/>
      <c r="V11" s="195"/>
      <c r="W11" s="195"/>
      <c r="X11" s="195"/>
      <c r="Y11" s="195"/>
      <c r="Z11" s="195"/>
    </row>
    <row r="12" spans="1:26" s="199" customFormat="1" ht="18.399999999999999" customHeight="1" thickBot="1">
      <c r="A12" s="232" t="s">
        <v>301</v>
      </c>
      <c r="C12" s="233"/>
      <c r="D12" s="779" t="s">
        <v>174</v>
      </c>
      <c r="E12" s="780"/>
      <c r="F12" s="716" t="s">
        <v>302</v>
      </c>
      <c r="G12" s="717"/>
      <c r="H12" s="717"/>
      <c r="I12" s="717"/>
      <c r="J12" s="717" t="s">
        <v>783</v>
      </c>
      <c r="K12" s="718"/>
      <c r="L12" s="719" t="s">
        <v>784</v>
      </c>
      <c r="M12" s="195"/>
      <c r="N12" s="195"/>
      <c r="O12" s="195"/>
      <c r="P12" s="195"/>
      <c r="Q12" s="225" t="s">
        <v>303</v>
      </c>
      <c r="R12" s="234"/>
      <c r="S12" s="195"/>
      <c r="T12" s="195"/>
      <c r="U12" s="195"/>
      <c r="V12" s="195"/>
      <c r="W12" s="195"/>
      <c r="X12" s="195"/>
      <c r="Y12" s="195"/>
      <c r="Z12" s="195"/>
    </row>
    <row r="13" spans="1:26" s="199" customFormat="1" ht="18.399999999999999" customHeight="1">
      <c r="A13" s="776" t="s">
        <v>53</v>
      </c>
      <c r="B13" s="777"/>
      <c r="C13" s="778"/>
      <c r="D13" s="772" t="s">
        <v>382</v>
      </c>
      <c r="E13" s="773"/>
      <c r="F13" s="235"/>
      <c r="G13" s="236" t="s">
        <v>304</v>
      </c>
      <c r="H13" s="237"/>
      <c r="I13" s="238" t="s">
        <v>305</v>
      </c>
      <c r="J13" s="239" t="s">
        <v>383</v>
      </c>
      <c r="K13" s="240" t="s">
        <v>174</v>
      </c>
      <c r="L13" s="720">
        <f>81.4/71.1*71</f>
        <v>81.285513361462733</v>
      </c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 s="199" customFormat="1" ht="18.399999999999999" customHeight="1">
      <c r="A14" s="776" t="s">
        <v>56</v>
      </c>
      <c r="B14" s="777"/>
      <c r="C14" s="778"/>
      <c r="D14" s="779">
        <v>780</v>
      </c>
      <c r="E14" s="780"/>
      <c r="F14" s="235"/>
      <c r="G14" s="241" t="s">
        <v>10</v>
      </c>
      <c r="H14" s="242"/>
      <c r="I14" s="242"/>
      <c r="J14" s="224" t="s">
        <v>174</v>
      </c>
      <c r="K14" s="221" t="s">
        <v>174</v>
      </c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spans="1:26" s="199" customFormat="1" ht="18.399999999999999" customHeight="1">
      <c r="A15" s="766" t="s">
        <v>306</v>
      </c>
      <c r="B15" s="767"/>
      <c r="C15" s="768"/>
      <c r="D15" s="745">
        <v>8.5662002563476563</v>
      </c>
      <c r="E15" s="746"/>
      <c r="F15" s="235"/>
      <c r="G15" s="241" t="s">
        <v>307</v>
      </c>
      <c r="H15" s="242"/>
      <c r="I15" s="242"/>
      <c r="J15" s="224" t="s">
        <v>174</v>
      </c>
      <c r="K15" s="221" t="s">
        <v>174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spans="1:26" s="199" customFormat="1" ht="18.399999999999999" customHeight="1">
      <c r="A16" s="742" t="s">
        <v>308</v>
      </c>
      <c r="B16" s="743"/>
      <c r="C16" s="744"/>
      <c r="D16" s="745">
        <v>2.970400333404541</v>
      </c>
      <c r="E16" s="746"/>
      <c r="F16" s="243"/>
      <c r="G16" s="244" t="s">
        <v>17</v>
      </c>
      <c r="H16" s="245"/>
      <c r="I16" s="245"/>
      <c r="J16" s="230" t="s">
        <v>174</v>
      </c>
      <c r="K16" s="231" t="s">
        <v>174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 s="199" customFormat="1" ht="18.399999999999999" customHeight="1">
      <c r="A17" s="246" t="s">
        <v>309</v>
      </c>
      <c r="B17" s="247"/>
      <c r="C17" s="248"/>
      <c r="D17" s="747" t="s">
        <v>381</v>
      </c>
      <c r="E17" s="748"/>
      <c r="F17" s="749" t="s">
        <v>310</v>
      </c>
      <c r="G17" s="750"/>
      <c r="H17" s="750"/>
      <c r="I17" s="750"/>
      <c r="J17" s="750"/>
      <c r="K17" s="751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spans="1:26" s="199" customFormat="1" ht="18.399999999999999" customHeight="1">
      <c r="A18" s="249" t="s">
        <v>311</v>
      </c>
      <c r="B18" s="250"/>
      <c r="C18" s="248"/>
      <c r="D18" s="752" t="s">
        <v>174</v>
      </c>
      <c r="E18" s="753"/>
      <c r="F18" s="754"/>
      <c r="G18" s="755"/>
      <c r="H18" s="251" t="s">
        <v>312</v>
      </c>
      <c r="I18" s="252"/>
      <c r="J18" s="220">
        <v>59</v>
      </c>
      <c r="K18" s="221"/>
      <c r="L18" s="195"/>
      <c r="M18" s="195">
        <f>J18*6.5</f>
        <v>383.5</v>
      </c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spans="1:26" s="199" customFormat="1" ht="18.399999999999999" customHeight="1">
      <c r="A19" s="760" t="s">
        <v>313</v>
      </c>
      <c r="B19" s="761"/>
      <c r="C19" s="762"/>
      <c r="D19" s="763" t="s">
        <v>174</v>
      </c>
      <c r="E19" s="748"/>
      <c r="F19" s="756"/>
      <c r="G19" s="757"/>
      <c r="H19" s="251" t="s">
        <v>5</v>
      </c>
      <c r="I19" s="213"/>
      <c r="J19" s="220">
        <v>1775</v>
      </c>
      <c r="K19" s="221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 s="199" customFormat="1" ht="18.399999999999999" customHeight="1" thickBot="1">
      <c r="A20" s="253" t="s">
        <v>314</v>
      </c>
      <c r="C20" s="254"/>
      <c r="D20" s="764" t="s">
        <v>200</v>
      </c>
      <c r="E20" s="765"/>
      <c r="F20" s="756"/>
      <c r="G20" s="757"/>
      <c r="H20" s="251" t="s">
        <v>315</v>
      </c>
      <c r="I20" s="213"/>
      <c r="J20" s="224" t="s">
        <v>363</v>
      </c>
      <c r="K20" s="221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 s="199" customFormat="1" ht="18.399999999999999" customHeight="1" thickBot="1">
      <c r="A21" s="766" t="s">
        <v>316</v>
      </c>
      <c r="B21" s="767"/>
      <c r="C21" s="768"/>
      <c r="D21" s="769" t="s">
        <v>174</v>
      </c>
      <c r="E21" s="765"/>
      <c r="F21" s="756"/>
      <c r="G21" s="757"/>
      <c r="H21" s="255" t="s">
        <v>317</v>
      </c>
      <c r="I21" s="213"/>
      <c r="J21" s="224">
        <v>1.1499999999999999</v>
      </c>
      <c r="K21" s="221"/>
      <c r="L21" s="195"/>
      <c r="M21" s="195"/>
      <c r="N21" s="195"/>
      <c r="O21" s="195"/>
      <c r="P21" s="195"/>
      <c r="Q21" s="196" t="s">
        <v>318</v>
      </c>
      <c r="R21" s="198"/>
      <c r="S21" s="195"/>
      <c r="T21" s="195"/>
      <c r="U21" s="195"/>
      <c r="V21" s="195"/>
      <c r="W21" s="195"/>
      <c r="X21" s="195"/>
      <c r="Y21" s="195"/>
      <c r="Z21" s="195"/>
    </row>
    <row r="22" spans="1:26" s="199" customFormat="1" ht="18.399999999999999" customHeight="1">
      <c r="A22" s="249" t="s">
        <v>319</v>
      </c>
      <c r="B22" s="256"/>
      <c r="C22" s="256"/>
      <c r="D22" s="770">
        <v>0.50520002841949463</v>
      </c>
      <c r="E22" s="771"/>
      <c r="F22" s="756"/>
      <c r="G22" s="757"/>
      <c r="H22" s="251" t="s">
        <v>274</v>
      </c>
      <c r="I22" s="213"/>
      <c r="J22" s="224" t="s">
        <v>320</v>
      </c>
      <c r="K22" s="221"/>
      <c r="L22" s="195"/>
      <c r="M22" s="195"/>
      <c r="N22" s="195"/>
      <c r="O22" s="195"/>
      <c r="P22" s="195"/>
      <c r="Q22" s="207" t="s">
        <v>321</v>
      </c>
      <c r="R22" s="209"/>
      <c r="S22" s="195"/>
      <c r="T22" s="195"/>
      <c r="U22" s="195"/>
      <c r="V22" s="195"/>
      <c r="W22" s="195"/>
      <c r="X22" s="195"/>
      <c r="Y22" s="195"/>
      <c r="Z22" s="195"/>
    </row>
    <row r="23" spans="1:26" s="199" customFormat="1" ht="18.399999999999999" customHeight="1">
      <c r="A23" s="257" t="s">
        <v>322</v>
      </c>
      <c r="B23" s="258" t="s">
        <v>323</v>
      </c>
      <c r="C23" s="259"/>
      <c r="D23" s="772">
        <v>217.1</v>
      </c>
      <c r="E23" s="773"/>
      <c r="F23" s="756"/>
      <c r="G23" s="757"/>
      <c r="H23" s="260" t="s">
        <v>324</v>
      </c>
      <c r="I23" s="261"/>
      <c r="J23" s="262" t="s">
        <v>174</v>
      </c>
      <c r="K23" s="263"/>
      <c r="L23" s="195"/>
      <c r="Q23" s="207" t="s">
        <v>325</v>
      </c>
      <c r="R23" s="209"/>
      <c r="S23" s="195"/>
      <c r="T23" s="195"/>
      <c r="U23" s="195"/>
      <c r="V23" s="195"/>
      <c r="W23" s="195"/>
      <c r="X23" s="195"/>
      <c r="Y23" s="195"/>
      <c r="Z23" s="195"/>
    </row>
    <row r="24" spans="1:26" s="199" customFormat="1" ht="18.399999999999999" customHeight="1" thickBot="1">
      <c r="A24" s="264" t="s">
        <v>326</v>
      </c>
      <c r="B24" s="265" t="s">
        <v>327</v>
      </c>
      <c r="C24" s="266"/>
      <c r="D24" s="774" t="s">
        <v>174</v>
      </c>
      <c r="E24" s="775"/>
      <c r="F24" s="756"/>
      <c r="G24" s="757"/>
      <c r="H24" s="251" t="s">
        <v>328</v>
      </c>
      <c r="I24" s="233"/>
      <c r="J24" s="267" t="s">
        <v>174</v>
      </c>
      <c r="K24" s="268"/>
      <c r="Q24" s="269" t="s">
        <v>174</v>
      </c>
      <c r="R24" s="270"/>
      <c r="S24" s="195"/>
      <c r="T24" s="195"/>
      <c r="U24" s="195"/>
      <c r="V24" s="195"/>
      <c r="W24" s="195"/>
      <c r="X24" s="195"/>
      <c r="Y24" s="195"/>
      <c r="Z24" s="195"/>
    </row>
    <row r="25" spans="1:26" s="199" customFormat="1" ht="18.399999999999999" customHeight="1">
      <c r="A25" s="271" t="s">
        <v>329</v>
      </c>
      <c r="B25" s="272"/>
      <c r="C25" s="272"/>
      <c r="D25" s="273"/>
      <c r="E25" s="273" t="s">
        <v>330</v>
      </c>
      <c r="F25" s="756"/>
      <c r="G25" s="757"/>
      <c r="H25" s="251" t="s">
        <v>331</v>
      </c>
      <c r="I25" s="233"/>
      <c r="J25" s="274" t="s">
        <v>174</v>
      </c>
      <c r="K25" s="268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 s="199" customFormat="1" ht="18.399999999999999" customHeight="1">
      <c r="A26" s="275" t="s">
        <v>332</v>
      </c>
      <c r="B26" s="276"/>
      <c r="C26" s="277"/>
      <c r="D26" s="278" t="s">
        <v>384</v>
      </c>
      <c r="E26" s="278" t="s">
        <v>385</v>
      </c>
      <c r="F26" s="758"/>
      <c r="G26" s="759"/>
      <c r="H26" s="721"/>
      <c r="I26" s="722"/>
      <c r="J26" s="279"/>
      <c r="K26" s="280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 s="199" customFormat="1" ht="18.399999999999999" customHeight="1">
      <c r="A27" s="731" t="s">
        <v>333</v>
      </c>
      <c r="B27" s="732"/>
      <c r="C27" s="732"/>
      <c r="D27" s="732"/>
      <c r="E27" s="732"/>
      <c r="F27" s="739" t="s">
        <v>334</v>
      </c>
      <c r="G27" s="740"/>
      <c r="H27" s="740"/>
      <c r="I27" s="740"/>
      <c r="J27" s="740"/>
      <c r="K27" s="741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 s="199" customFormat="1" ht="18.399999999999999" customHeight="1">
      <c r="A28" s="725"/>
      <c r="B28" s="726"/>
      <c r="C28" s="726"/>
      <c r="D28" s="726"/>
      <c r="E28" s="727"/>
      <c r="F28" s="281"/>
      <c r="G28" s="282"/>
      <c r="H28" s="241" t="s">
        <v>335</v>
      </c>
      <c r="I28" s="283">
        <v>374</v>
      </c>
      <c r="J28" s="220">
        <v>353</v>
      </c>
      <c r="K28" s="284" t="s">
        <v>174</v>
      </c>
      <c r="M28" s="199">
        <f>(J28/J18)*100</f>
        <v>598.30508474576277</v>
      </c>
      <c r="N28" s="285"/>
      <c r="O28" s="285"/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 s="199" customFormat="1" ht="18.399999999999999" customHeight="1">
      <c r="A29" s="725"/>
      <c r="B29" s="726"/>
      <c r="C29" s="726"/>
      <c r="D29" s="726"/>
      <c r="E29" s="727"/>
      <c r="F29" s="286"/>
      <c r="G29" s="287"/>
      <c r="H29" s="241" t="s">
        <v>336</v>
      </c>
      <c r="I29" s="288">
        <v>80</v>
      </c>
      <c r="J29" s="220">
        <v>135</v>
      </c>
      <c r="K29" s="289" t="s">
        <v>174</v>
      </c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spans="1:26" s="199" customFormat="1" ht="18.399999999999999" customHeight="1">
      <c r="A30" s="725"/>
      <c r="B30" s="726"/>
      <c r="C30" s="726"/>
      <c r="D30" s="726"/>
      <c r="E30" s="727"/>
      <c r="F30" s="286"/>
      <c r="G30" s="287"/>
      <c r="H30" s="241" t="s">
        <v>337</v>
      </c>
      <c r="I30" s="288">
        <v>175</v>
      </c>
      <c r="J30" s="220">
        <v>275</v>
      </c>
      <c r="K30" s="290" t="s">
        <v>174</v>
      </c>
      <c r="L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spans="1:26" s="199" customFormat="1" ht="18.399999999999999" customHeight="1">
      <c r="A31" s="725"/>
      <c r="B31" s="726"/>
      <c r="C31" s="726"/>
      <c r="D31" s="726"/>
      <c r="E31" s="727"/>
      <c r="F31" s="286"/>
      <c r="G31" s="287"/>
      <c r="H31" s="241" t="s">
        <v>338</v>
      </c>
      <c r="I31" s="242"/>
      <c r="J31" s="291">
        <v>1.42</v>
      </c>
      <c r="K31" s="215" t="s">
        <v>174</v>
      </c>
      <c r="L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 s="199" customFormat="1" ht="18.399999999999999" customHeight="1">
      <c r="A32" s="728"/>
      <c r="B32" s="729"/>
      <c r="C32" s="729"/>
      <c r="D32" s="729"/>
      <c r="E32" s="730"/>
      <c r="F32" s="286"/>
      <c r="G32" s="292" t="s">
        <v>339</v>
      </c>
      <c r="H32" s="241" t="s">
        <v>340</v>
      </c>
      <c r="I32" s="293"/>
      <c r="J32" s="214">
        <v>93.1</v>
      </c>
      <c r="K32" s="289" t="s">
        <v>174</v>
      </c>
      <c r="L32" s="195"/>
      <c r="N32" s="294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 s="199" customFormat="1" ht="18.399999999999999" customHeight="1">
      <c r="A33" s="731" t="s">
        <v>341</v>
      </c>
      <c r="B33" s="732"/>
      <c r="C33" s="732"/>
      <c r="D33" s="732"/>
      <c r="E33" s="733"/>
      <c r="F33" s="295"/>
      <c r="G33" s="296"/>
      <c r="H33" s="297" t="s">
        <v>342</v>
      </c>
      <c r="I33" s="298"/>
      <c r="J33" s="299">
        <v>88.7</v>
      </c>
      <c r="K33" s="300" t="s">
        <v>174</v>
      </c>
      <c r="L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 s="199" customFormat="1" ht="18.399999999999999" customHeight="1">
      <c r="A34" s="725"/>
      <c r="B34" s="726"/>
      <c r="C34" s="726"/>
      <c r="D34" s="726"/>
      <c r="E34" s="727"/>
      <c r="F34" s="216" t="s">
        <v>343</v>
      </c>
      <c r="G34" s="301"/>
      <c r="H34" s="302" t="s">
        <v>14</v>
      </c>
      <c r="I34" s="303"/>
      <c r="J34" s="304">
        <v>7200</v>
      </c>
      <c r="K34" s="305" t="s">
        <v>174</v>
      </c>
      <c r="L34" s="306"/>
      <c r="M34" s="307"/>
      <c r="R34" s="195"/>
      <c r="S34" s="195"/>
      <c r="T34" s="195"/>
      <c r="U34" s="195"/>
      <c r="V34" s="195"/>
      <c r="W34" s="195"/>
      <c r="X34" s="195"/>
      <c r="Y34" s="195"/>
      <c r="Z34" s="195"/>
    </row>
    <row r="35" spans="1:26" s="199" customFormat="1" ht="18.399999999999999" customHeight="1">
      <c r="A35" s="725"/>
      <c r="B35" s="726"/>
      <c r="C35" s="726"/>
      <c r="D35" s="726"/>
      <c r="E35" s="727"/>
      <c r="F35" s="235"/>
      <c r="G35" s="308"/>
      <c r="H35" s="309" t="s">
        <v>15</v>
      </c>
      <c r="I35" s="310"/>
      <c r="J35" s="220">
        <v>3659</v>
      </c>
      <c r="K35" s="215" t="s">
        <v>174</v>
      </c>
      <c r="L35" s="311"/>
      <c r="M35" s="307"/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 s="199" customFormat="1" ht="18.399999999999999" customHeight="1">
      <c r="A36" s="725"/>
      <c r="B36" s="726"/>
      <c r="C36" s="726"/>
      <c r="D36" s="726"/>
      <c r="E36" s="727"/>
      <c r="F36" s="235"/>
      <c r="G36" s="308"/>
      <c r="H36" s="309" t="s">
        <v>344</v>
      </c>
      <c r="I36" s="310"/>
      <c r="J36" s="220">
        <v>3547</v>
      </c>
      <c r="K36" s="215" t="s">
        <v>174</v>
      </c>
      <c r="L36" s="311"/>
      <c r="M36" s="28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 s="199" customFormat="1" ht="18.399999999999999" customHeight="1">
      <c r="A37" s="725"/>
      <c r="B37" s="726"/>
      <c r="C37" s="726"/>
      <c r="D37" s="726"/>
      <c r="E37" s="727"/>
      <c r="F37" s="286"/>
      <c r="G37" s="308"/>
      <c r="H37" s="309" t="s">
        <v>345</v>
      </c>
      <c r="I37" s="310"/>
      <c r="J37" s="220">
        <v>4783</v>
      </c>
      <c r="K37" s="215" t="s">
        <v>174</v>
      </c>
      <c r="L37" s="311"/>
      <c r="M37" s="285"/>
      <c r="N37" s="311"/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 s="199" customFormat="1" ht="18.399999999999999" customHeight="1">
      <c r="A38" s="728"/>
      <c r="B38" s="729"/>
      <c r="C38" s="729"/>
      <c r="D38" s="729"/>
      <c r="E38" s="730"/>
      <c r="F38" s="243"/>
      <c r="G38" s="312"/>
      <c r="H38" s="313" t="s">
        <v>346</v>
      </c>
      <c r="I38" s="314"/>
      <c r="J38" s="315">
        <v>5719</v>
      </c>
      <c r="K38" s="316" t="s">
        <v>174</v>
      </c>
      <c r="R38" s="195"/>
      <c r="S38" s="195"/>
      <c r="T38" s="195"/>
      <c r="U38" s="195"/>
      <c r="V38" s="195"/>
      <c r="W38" s="195"/>
      <c r="X38" s="195"/>
      <c r="Y38" s="195"/>
      <c r="Z38" s="195"/>
    </row>
    <row r="39" spans="1:26" s="199" customFormat="1" ht="18.399999999999999" customHeight="1">
      <c r="A39" s="731" t="s">
        <v>347</v>
      </c>
      <c r="B39" s="732"/>
      <c r="C39" s="732"/>
      <c r="D39" s="732"/>
      <c r="E39" s="732"/>
      <c r="F39" s="317" t="s">
        <v>348</v>
      </c>
      <c r="G39" s="318"/>
      <c r="H39" s="318"/>
      <c r="I39" s="318"/>
      <c r="J39" s="318"/>
      <c r="K39" s="319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 s="199" customFormat="1" ht="18.399999999999999" customHeight="1">
      <c r="A40" s="725"/>
      <c r="B40" s="726"/>
      <c r="C40" s="726"/>
      <c r="D40" s="726"/>
      <c r="E40" s="727"/>
      <c r="F40" s="320"/>
      <c r="G40" s="321"/>
      <c r="H40" s="321"/>
      <c r="I40" s="321"/>
      <c r="J40" s="321"/>
      <c r="K40" s="322"/>
      <c r="R40" s="195"/>
      <c r="S40" s="195"/>
      <c r="T40" s="195"/>
      <c r="U40" s="195"/>
      <c r="V40" s="195"/>
      <c r="W40" s="195"/>
      <c r="X40" s="195"/>
      <c r="Y40" s="195"/>
      <c r="Z40" s="195"/>
    </row>
    <row r="41" spans="1:26" s="199" customFormat="1" ht="18.399999999999999" customHeight="1">
      <c r="A41" s="725"/>
      <c r="B41" s="726"/>
      <c r="C41" s="726"/>
      <c r="D41" s="726"/>
      <c r="E41" s="727"/>
      <c r="F41" s="320"/>
      <c r="G41" s="323"/>
      <c r="H41" s="323"/>
      <c r="I41" s="323"/>
      <c r="J41" s="323"/>
      <c r="K41" s="324"/>
      <c r="L41" s="325"/>
      <c r="R41" s="195"/>
      <c r="S41" s="195"/>
      <c r="T41" s="195"/>
      <c r="U41" s="195"/>
      <c r="V41" s="195"/>
      <c r="W41" s="195"/>
      <c r="X41" s="195"/>
      <c r="Y41" s="195"/>
      <c r="Z41" s="195"/>
    </row>
    <row r="42" spans="1:26" s="199" customFormat="1" ht="18.399999999999999" customHeight="1">
      <c r="A42" s="725"/>
      <c r="B42" s="726"/>
      <c r="C42" s="726"/>
      <c r="D42" s="726"/>
      <c r="E42" s="727"/>
      <c r="F42" s="320"/>
      <c r="G42" s="323"/>
      <c r="H42" s="323"/>
      <c r="I42" s="323"/>
      <c r="J42" s="323"/>
      <c r="K42" s="324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spans="1:26" s="199" customFormat="1" ht="18.399999999999999" customHeight="1">
      <c r="A43" s="725"/>
      <c r="B43" s="726"/>
      <c r="C43" s="726"/>
      <c r="D43" s="726"/>
      <c r="E43" s="727"/>
      <c r="F43" s="320"/>
      <c r="G43" s="323"/>
      <c r="H43" s="323"/>
      <c r="I43" s="323"/>
      <c r="J43" s="323"/>
      <c r="K43" s="324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spans="1:26" s="199" customFormat="1" ht="17.100000000000001" customHeight="1" thickBot="1">
      <c r="A44" s="734"/>
      <c r="B44" s="735"/>
      <c r="C44" s="735"/>
      <c r="D44" s="735"/>
      <c r="E44" s="736"/>
      <c r="F44" s="320"/>
      <c r="G44" s="323"/>
      <c r="H44" s="323"/>
      <c r="I44" s="323"/>
      <c r="J44" s="323"/>
      <c r="K44" s="324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spans="1:26" s="199" customFormat="1" ht="17.100000000000001" customHeight="1">
      <c r="A45" s="326" t="s">
        <v>349</v>
      </c>
      <c r="B45" s="737"/>
      <c r="C45" s="738"/>
      <c r="D45" s="327" t="s">
        <v>350</v>
      </c>
      <c r="E45" s="559" t="s">
        <v>708</v>
      </c>
      <c r="F45" s="328"/>
      <c r="G45" s="323"/>
      <c r="H45" s="323"/>
      <c r="I45" s="323"/>
      <c r="J45" s="323"/>
      <c r="K45" s="324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 s="199" customFormat="1" ht="17.100000000000001" customHeight="1" thickBot="1">
      <c r="A46" s="329" t="s">
        <v>351</v>
      </c>
      <c r="B46" s="723"/>
      <c r="C46" s="724"/>
      <c r="D46" s="330" t="s">
        <v>351</v>
      </c>
      <c r="E46" s="560">
        <v>38294</v>
      </c>
      <c r="F46" s="331"/>
      <c r="G46" s="332"/>
      <c r="H46" s="332"/>
      <c r="I46" s="332"/>
      <c r="J46" s="332"/>
      <c r="K46" s="333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spans="1:26" s="199" customFormat="1" ht="17.100000000000001" customHeight="1">
      <c r="F47" s="334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</row>
    <row r="48" spans="1:26" s="199" customFormat="1" ht="17.100000000000001" customHeight="1">
      <c r="F48" s="195"/>
      <c r="G48" s="195"/>
      <c r="H48" s="195"/>
      <c r="I48" s="195"/>
      <c r="J48" s="195"/>
      <c r="K48" s="195"/>
    </row>
    <row r="49" spans="2:26" ht="17.100000000000001" customHeight="1">
      <c r="F49" s="185"/>
      <c r="G49" s="185"/>
      <c r="H49" s="185"/>
      <c r="I49" s="185"/>
      <c r="J49" s="185"/>
      <c r="K49" s="185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spans="2:26">
      <c r="D50" s="335"/>
      <c r="F50" s="335"/>
      <c r="H50" s="335"/>
      <c r="I50" s="185"/>
      <c r="J50" s="185"/>
      <c r="K50" s="185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spans="2:26">
      <c r="D51" s="335"/>
      <c r="F51" s="335"/>
      <c r="H51" s="335"/>
      <c r="I51" s="185"/>
      <c r="J51" s="185"/>
      <c r="K51" s="185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spans="2:26">
      <c r="B52" s="185"/>
      <c r="C52" s="185"/>
      <c r="D52" s="335"/>
      <c r="F52" s="335"/>
      <c r="H52" s="335"/>
      <c r="I52" s="185"/>
      <c r="J52" s="185"/>
      <c r="K52" s="185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spans="2:26">
      <c r="D53" s="335"/>
      <c r="F53" s="335"/>
      <c r="H53" s="335"/>
      <c r="I53" s="185"/>
      <c r="J53" s="185"/>
      <c r="K53" s="185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  <row r="54" spans="2:26">
      <c r="D54" s="335"/>
      <c r="F54" s="335"/>
      <c r="H54" s="335"/>
    </row>
    <row r="56" spans="2:26">
      <c r="D56" s="335"/>
    </row>
    <row r="57" spans="2:26">
      <c r="D57" s="335"/>
    </row>
    <row r="58" spans="2:26">
      <c r="D58" s="335"/>
    </row>
    <row r="59" spans="2:26">
      <c r="D59" s="335"/>
    </row>
    <row r="60" spans="2:26">
      <c r="D60" s="335"/>
    </row>
    <row r="61" spans="2:26">
      <c r="D61" s="335"/>
    </row>
  </sheetData>
  <mergeCells count="48">
    <mergeCell ref="A1:K1"/>
    <mergeCell ref="A2:K2"/>
    <mergeCell ref="J3:K3"/>
    <mergeCell ref="A5:C5"/>
    <mergeCell ref="A6:C6"/>
    <mergeCell ref="D6:E6"/>
    <mergeCell ref="F6:K6"/>
    <mergeCell ref="A10:C10"/>
    <mergeCell ref="D10:E10"/>
    <mergeCell ref="A11:C11"/>
    <mergeCell ref="D11:E11"/>
    <mergeCell ref="D12:E12"/>
    <mergeCell ref="A7:C7"/>
    <mergeCell ref="D7:E7"/>
    <mergeCell ref="A8:C8"/>
    <mergeCell ref="D8:E8"/>
    <mergeCell ref="A9:C9"/>
    <mergeCell ref="D9:E9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  <dataValidation type="list" allowBlank="1" showInputMessage="1" sqref="D6:E6">
      <formula1>$T$5:$T$10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341" customWidth="1"/>
    <col min="2" max="2" width="18.140625" style="341" customWidth="1"/>
    <col min="3" max="3" width="21.5703125" style="341" customWidth="1"/>
    <col min="4" max="4" width="21.28515625" style="341" bestFit="1" customWidth="1"/>
    <col min="5" max="5" width="6.85546875" style="341" bestFit="1" customWidth="1"/>
    <col min="6" max="6" width="29.85546875" style="341" customWidth="1"/>
    <col min="7" max="7" width="43.7109375" style="341" customWidth="1"/>
    <col min="8" max="8" width="17.140625" style="341" customWidth="1"/>
    <col min="9" max="9" width="7.85546875" style="341" customWidth="1"/>
    <col min="10" max="10" width="2.28515625" style="341" bestFit="1" customWidth="1"/>
    <col min="11" max="12" width="2.28515625" style="341" customWidth="1"/>
    <col min="13" max="13" width="2.5703125" style="341" bestFit="1" customWidth="1"/>
    <col min="14" max="14" width="2.28515625" style="341" bestFit="1" customWidth="1"/>
    <col min="15" max="16384" width="9.140625" style="341"/>
  </cols>
  <sheetData>
    <row r="1" spans="2:14" ht="12.75" customHeight="1">
      <c r="B1" s="336"/>
      <c r="C1" s="337"/>
      <c r="D1" s="337"/>
      <c r="E1" s="337"/>
      <c r="F1" s="337"/>
      <c r="G1" s="337"/>
      <c r="H1" s="338"/>
      <c r="I1" s="339"/>
      <c r="J1" s="340" t="s">
        <v>352</v>
      </c>
      <c r="K1" s="340" t="s">
        <v>353</v>
      </c>
      <c r="L1" s="340" t="s">
        <v>354</v>
      </c>
      <c r="M1" s="340" t="s">
        <v>353</v>
      </c>
      <c r="N1" s="340"/>
    </row>
    <row r="2" spans="2:14" ht="12.75" customHeight="1">
      <c r="B2" s="820" t="s">
        <v>355</v>
      </c>
      <c r="C2" s="821"/>
      <c r="D2" s="821"/>
      <c r="E2" s="821"/>
      <c r="F2" s="821"/>
      <c r="G2" s="821"/>
      <c r="H2" s="342"/>
      <c r="I2" s="343"/>
      <c r="J2" s="344" t="s">
        <v>356</v>
      </c>
      <c r="K2" s="344" t="s">
        <v>357</v>
      </c>
      <c r="L2" s="344" t="s">
        <v>358</v>
      </c>
      <c r="M2" s="344" t="s">
        <v>359</v>
      </c>
      <c r="N2" s="344" t="s">
        <v>360</v>
      </c>
    </row>
    <row r="3" spans="2:14" ht="12.75" customHeight="1">
      <c r="B3" s="820"/>
      <c r="C3" s="821"/>
      <c r="D3" s="821"/>
      <c r="E3" s="821"/>
      <c r="F3" s="821"/>
      <c r="G3" s="821"/>
      <c r="H3" s="342"/>
      <c r="I3" s="343"/>
      <c r="J3" s="344" t="s">
        <v>361</v>
      </c>
      <c r="K3" s="344"/>
      <c r="L3" s="344" t="s">
        <v>362</v>
      </c>
      <c r="M3" s="344" t="s">
        <v>352</v>
      </c>
      <c r="N3" s="344"/>
    </row>
    <row r="4" spans="2:14" ht="12.75" customHeight="1">
      <c r="B4" s="820"/>
      <c r="C4" s="821"/>
      <c r="D4" s="821"/>
      <c r="E4" s="821"/>
      <c r="F4" s="821"/>
      <c r="G4" s="821"/>
      <c r="H4" s="342"/>
      <c r="I4" s="343"/>
      <c r="J4" s="344" t="s">
        <v>363</v>
      </c>
      <c r="K4" s="344"/>
      <c r="L4" s="344" t="s">
        <v>358</v>
      </c>
      <c r="M4" s="344" t="s">
        <v>356</v>
      </c>
      <c r="N4" s="344"/>
    </row>
    <row r="5" spans="2:14" ht="12.75" customHeight="1">
      <c r="B5" s="345"/>
      <c r="C5" s="346"/>
      <c r="D5" s="346"/>
      <c r="E5" s="346"/>
      <c r="F5" s="346"/>
      <c r="G5" s="346"/>
      <c r="H5" s="342"/>
      <c r="I5" s="343"/>
      <c r="J5" s="344"/>
      <c r="K5" s="344" t="s">
        <v>364</v>
      </c>
      <c r="L5" s="344" t="s">
        <v>353</v>
      </c>
      <c r="M5" s="344"/>
      <c r="N5" s="344" t="s">
        <v>358</v>
      </c>
    </row>
    <row r="6" spans="2:14" ht="12" customHeight="1">
      <c r="B6" s="347"/>
      <c r="C6" s="348"/>
      <c r="D6" s="348"/>
      <c r="F6" s="348"/>
      <c r="H6" s="349"/>
      <c r="I6" s="343"/>
      <c r="J6" s="344" t="s">
        <v>357</v>
      </c>
      <c r="K6" s="344" t="s">
        <v>365</v>
      </c>
      <c r="L6" s="344"/>
      <c r="M6" s="344" t="s">
        <v>353</v>
      </c>
      <c r="N6" s="344" t="s">
        <v>366</v>
      </c>
    </row>
    <row r="7" spans="2:14" ht="12.75" customHeight="1">
      <c r="B7" s="347"/>
      <c r="D7" s="350"/>
      <c r="H7" s="349"/>
      <c r="I7" s="343"/>
      <c r="J7" s="344" t="s">
        <v>183</v>
      </c>
      <c r="K7" s="344" t="s">
        <v>361</v>
      </c>
      <c r="L7" s="344" t="s">
        <v>361</v>
      </c>
      <c r="M7" s="344" t="s">
        <v>356</v>
      </c>
      <c r="N7" s="344" t="s">
        <v>367</v>
      </c>
    </row>
    <row r="8" spans="2:14" ht="12.75" customHeight="1">
      <c r="B8" s="347"/>
      <c r="G8" s="350"/>
      <c r="H8" s="351"/>
      <c r="I8" s="344" t="s">
        <v>367</v>
      </c>
      <c r="J8" s="344" t="s">
        <v>353</v>
      </c>
      <c r="K8" s="344" t="s">
        <v>368</v>
      </c>
      <c r="L8" s="344" t="s">
        <v>356</v>
      </c>
      <c r="M8" s="344" t="s">
        <v>367</v>
      </c>
      <c r="N8" s="344" t="s">
        <v>365</v>
      </c>
    </row>
    <row r="9" spans="2:14">
      <c r="B9" s="344" t="s">
        <v>369</v>
      </c>
      <c r="C9" s="351" t="s">
        <v>370</v>
      </c>
      <c r="D9" s="351" t="s">
        <v>371</v>
      </c>
      <c r="E9" s="351" t="s">
        <v>372</v>
      </c>
      <c r="F9" s="344" t="s">
        <v>373</v>
      </c>
      <c r="G9" s="344" t="s">
        <v>374</v>
      </c>
      <c r="H9" s="344" t="s">
        <v>375</v>
      </c>
      <c r="I9" s="344" t="s">
        <v>363</v>
      </c>
      <c r="J9" s="344" t="s">
        <v>183</v>
      </c>
      <c r="K9" s="344" t="s">
        <v>356</v>
      </c>
      <c r="L9" s="344" t="s">
        <v>368</v>
      </c>
      <c r="M9" s="344" t="s">
        <v>353</v>
      </c>
      <c r="N9" s="344" t="s">
        <v>354</v>
      </c>
    </row>
    <row r="10" spans="2:14" ht="15" customHeight="1">
      <c r="B10" s="352"/>
      <c r="C10" s="353"/>
      <c r="D10" s="353"/>
      <c r="E10" s="353"/>
      <c r="F10" s="354"/>
      <c r="G10" s="355"/>
      <c r="H10" s="355"/>
      <c r="I10" s="356"/>
      <c r="J10" s="357"/>
      <c r="K10" s="357"/>
      <c r="L10" s="357"/>
      <c r="M10" s="357"/>
      <c r="N10" s="358"/>
    </row>
    <row r="11" spans="2:14" ht="15" customHeight="1">
      <c r="B11" s="352"/>
      <c r="C11" s="354"/>
      <c r="D11" s="354"/>
      <c r="E11" s="354"/>
      <c r="F11" s="354"/>
      <c r="G11" s="354"/>
      <c r="H11" s="354"/>
      <c r="I11" s="359"/>
      <c r="J11" s="357"/>
      <c r="K11" s="357"/>
      <c r="L11" s="357"/>
      <c r="M11" s="357"/>
      <c r="N11" s="358"/>
    </row>
    <row r="12" spans="2:14" ht="15" customHeight="1">
      <c r="B12" s="352"/>
      <c r="C12" s="354"/>
      <c r="D12" s="354"/>
      <c r="E12" s="354"/>
      <c r="F12" s="354"/>
      <c r="G12" s="354"/>
      <c r="H12" s="354"/>
      <c r="I12" s="359"/>
      <c r="J12" s="360"/>
      <c r="K12" s="357"/>
      <c r="L12" s="357"/>
      <c r="M12" s="357"/>
      <c r="N12" s="358"/>
    </row>
    <row r="13" spans="2:14" ht="15" customHeight="1">
      <c r="B13" s="352"/>
      <c r="C13" s="354"/>
      <c r="D13" s="354"/>
      <c r="E13" s="354"/>
      <c r="F13" s="354"/>
      <c r="G13" s="354"/>
      <c r="H13" s="354"/>
      <c r="I13" s="359"/>
      <c r="J13" s="357"/>
      <c r="K13" s="357"/>
      <c r="L13" s="357"/>
      <c r="M13" s="357"/>
      <c r="N13" s="358"/>
    </row>
    <row r="14" spans="2:14" ht="15" customHeight="1">
      <c r="B14" s="352"/>
      <c r="C14" s="354"/>
      <c r="D14" s="354"/>
      <c r="E14" s="354"/>
      <c r="F14" s="354"/>
      <c r="G14" s="354"/>
      <c r="H14" s="354"/>
      <c r="I14" s="359"/>
      <c r="J14" s="357"/>
      <c r="K14" s="357"/>
      <c r="L14" s="357"/>
      <c r="M14" s="357"/>
      <c r="N14" s="358"/>
    </row>
    <row r="15" spans="2:14" ht="15" customHeight="1">
      <c r="B15" s="352"/>
      <c r="C15" s="354"/>
      <c r="D15" s="354"/>
      <c r="E15" s="354"/>
      <c r="F15" s="354"/>
      <c r="G15" s="354"/>
      <c r="H15" s="354"/>
      <c r="I15" s="359"/>
      <c r="J15" s="357"/>
      <c r="K15" s="357"/>
      <c r="L15" s="357"/>
      <c r="M15" s="357"/>
      <c r="N15" s="358"/>
    </row>
    <row r="16" spans="2:14" ht="15" customHeight="1">
      <c r="B16" s="352"/>
      <c r="C16" s="354"/>
      <c r="D16" s="354"/>
      <c r="E16" s="354"/>
      <c r="F16" s="354"/>
      <c r="G16" s="354"/>
      <c r="H16" s="354"/>
      <c r="I16" s="359"/>
      <c r="J16" s="357"/>
      <c r="K16" s="357"/>
      <c r="L16" s="357"/>
      <c r="M16" s="357"/>
      <c r="N16" s="358"/>
    </row>
    <row r="17" spans="2:14" ht="15" customHeight="1">
      <c r="B17" s="352"/>
      <c r="C17" s="354"/>
      <c r="D17" s="354"/>
      <c r="E17" s="354"/>
      <c r="F17" s="354"/>
      <c r="G17" s="354"/>
      <c r="H17" s="354"/>
      <c r="I17" s="359"/>
      <c r="J17" s="357"/>
      <c r="K17" s="357"/>
      <c r="L17" s="357"/>
      <c r="M17" s="357"/>
      <c r="N17" s="358"/>
    </row>
    <row r="18" spans="2:14" ht="15" customHeight="1">
      <c r="B18" s="352"/>
      <c r="C18" s="354"/>
      <c r="D18" s="354"/>
      <c r="E18" s="354"/>
      <c r="F18" s="354"/>
      <c r="G18" s="354"/>
      <c r="H18" s="354"/>
      <c r="I18" s="359"/>
      <c r="J18" s="357"/>
      <c r="K18" s="357"/>
      <c r="L18" s="357"/>
      <c r="M18" s="357"/>
      <c r="N18" s="358"/>
    </row>
    <row r="19" spans="2:14" ht="15" customHeight="1">
      <c r="B19" s="352"/>
      <c r="C19" s="354"/>
      <c r="D19" s="354"/>
      <c r="E19" s="354"/>
      <c r="F19" s="354"/>
      <c r="G19" s="354"/>
      <c r="H19" s="354"/>
      <c r="I19" s="359"/>
      <c r="J19" s="357"/>
      <c r="K19" s="357"/>
      <c r="L19" s="357"/>
      <c r="M19" s="357"/>
      <c r="N19" s="358"/>
    </row>
    <row r="20" spans="2:14" ht="15" customHeight="1">
      <c r="B20" s="352"/>
      <c r="C20" s="354"/>
      <c r="D20" s="354"/>
      <c r="E20" s="354"/>
      <c r="F20" s="354"/>
      <c r="G20" s="354"/>
      <c r="H20" s="354"/>
      <c r="I20" s="359"/>
      <c r="J20" s="357"/>
      <c r="K20" s="357"/>
      <c r="L20" s="357"/>
      <c r="M20" s="357"/>
      <c r="N20" s="358"/>
    </row>
    <row r="21" spans="2:14" ht="15" customHeight="1">
      <c r="B21" s="352"/>
      <c r="C21" s="354"/>
      <c r="D21" s="354"/>
      <c r="E21" s="354"/>
      <c r="F21" s="354"/>
      <c r="G21" s="354"/>
      <c r="H21" s="354"/>
      <c r="I21" s="359"/>
      <c r="J21" s="357"/>
      <c r="K21" s="357"/>
      <c r="L21" s="357"/>
      <c r="M21" s="357"/>
      <c r="N21" s="358"/>
    </row>
    <row r="22" spans="2:14" ht="15" customHeight="1">
      <c r="B22" s="352"/>
      <c r="C22" s="354"/>
      <c r="D22" s="354"/>
      <c r="E22" s="354"/>
      <c r="F22" s="354"/>
      <c r="G22" s="354"/>
      <c r="H22" s="354"/>
      <c r="I22" s="359"/>
      <c r="J22" s="357"/>
      <c r="K22" s="357"/>
      <c r="L22" s="357"/>
      <c r="M22" s="357"/>
      <c r="N22" s="358"/>
    </row>
    <row r="23" spans="2:14" ht="15" customHeight="1">
      <c r="B23" s="352"/>
      <c r="C23" s="354"/>
      <c r="D23" s="354"/>
      <c r="E23" s="354"/>
      <c r="F23" s="354"/>
      <c r="G23" s="354"/>
      <c r="H23" s="354"/>
      <c r="I23" s="359"/>
      <c r="J23" s="357"/>
      <c r="K23" s="357"/>
      <c r="L23" s="357"/>
      <c r="M23" s="357"/>
      <c r="N23" s="358"/>
    </row>
    <row r="24" spans="2:14" ht="15" customHeight="1">
      <c r="B24" s="352"/>
      <c r="C24" s="354"/>
      <c r="D24" s="354"/>
      <c r="E24" s="354"/>
      <c r="F24" s="354"/>
      <c r="G24" s="354"/>
      <c r="H24" s="354"/>
      <c r="I24" s="359"/>
      <c r="J24" s="357"/>
      <c r="K24" s="357"/>
      <c r="L24" s="357"/>
      <c r="M24" s="357"/>
      <c r="N24" s="358"/>
    </row>
    <row r="25" spans="2:14" ht="15" customHeight="1">
      <c r="B25" s="352"/>
      <c r="C25" s="354"/>
      <c r="D25" s="354"/>
      <c r="E25" s="354"/>
      <c r="F25" s="354"/>
      <c r="G25" s="354"/>
      <c r="H25" s="354"/>
      <c r="I25" s="359"/>
      <c r="J25" s="357"/>
      <c r="K25" s="357"/>
      <c r="L25" s="357"/>
      <c r="M25" s="357"/>
      <c r="N25" s="358"/>
    </row>
    <row r="26" spans="2:14" ht="15" customHeight="1">
      <c r="B26" s="352"/>
      <c r="C26" s="354"/>
      <c r="D26" s="354"/>
      <c r="E26" s="354"/>
      <c r="F26" s="354"/>
      <c r="G26" s="354"/>
      <c r="H26" s="354"/>
      <c r="I26" s="359"/>
      <c r="J26" s="357"/>
      <c r="K26" s="357"/>
      <c r="L26" s="357"/>
      <c r="M26" s="357"/>
      <c r="N26" s="358"/>
    </row>
    <row r="27" spans="2:14" ht="15" customHeight="1">
      <c r="B27" s="352"/>
      <c r="C27" s="354"/>
      <c r="D27" s="354"/>
      <c r="E27" s="354"/>
      <c r="F27" s="354"/>
      <c r="G27" s="354"/>
      <c r="H27" s="354"/>
      <c r="I27" s="359"/>
      <c r="J27" s="357"/>
      <c r="K27" s="357"/>
      <c r="L27" s="357"/>
      <c r="M27" s="357"/>
      <c r="N27" s="358"/>
    </row>
    <row r="28" spans="2:14" ht="15" customHeight="1">
      <c r="B28" s="352"/>
      <c r="C28" s="354"/>
      <c r="D28" s="354"/>
      <c r="E28" s="354"/>
      <c r="F28" s="354"/>
      <c r="G28" s="354"/>
      <c r="H28" s="354"/>
      <c r="I28" s="359"/>
      <c r="J28" s="357"/>
      <c r="K28" s="357"/>
      <c r="L28" s="357"/>
      <c r="M28" s="357"/>
      <c r="N28" s="358"/>
    </row>
    <row r="29" spans="2:14" ht="15" customHeight="1">
      <c r="B29" s="352"/>
      <c r="C29" s="354"/>
      <c r="D29" s="354"/>
      <c r="E29" s="354"/>
      <c r="F29" s="354"/>
      <c r="G29" s="354"/>
      <c r="H29" s="354"/>
      <c r="I29" s="359"/>
      <c r="J29" s="357"/>
      <c r="K29" s="357"/>
      <c r="L29" s="357"/>
      <c r="M29" s="357"/>
      <c r="N29" s="358"/>
    </row>
    <row r="30" spans="2:14" ht="15" customHeight="1">
      <c r="B30" s="352"/>
      <c r="C30" s="354"/>
      <c r="D30" s="354"/>
      <c r="E30" s="354"/>
      <c r="F30" s="354"/>
      <c r="G30" s="354"/>
      <c r="H30" s="354"/>
      <c r="I30" s="359"/>
      <c r="J30" s="357"/>
      <c r="K30" s="357"/>
      <c r="L30" s="357"/>
      <c r="M30" s="357"/>
      <c r="N30" s="358"/>
    </row>
    <row r="31" spans="2:14" ht="15" customHeight="1">
      <c r="B31" s="352"/>
      <c r="C31" s="354"/>
      <c r="D31" s="354"/>
      <c r="E31" s="354"/>
      <c r="F31" s="354"/>
      <c r="G31" s="354"/>
      <c r="H31" s="354"/>
      <c r="I31" s="359"/>
      <c r="J31" s="357"/>
      <c r="K31" s="357"/>
      <c r="L31" s="357"/>
      <c r="M31" s="357"/>
      <c r="N31" s="358"/>
    </row>
    <row r="32" spans="2:14" ht="15" customHeight="1">
      <c r="B32" s="352"/>
      <c r="C32" s="354"/>
      <c r="D32" s="354"/>
      <c r="E32" s="354"/>
      <c r="F32" s="354"/>
      <c r="G32" s="354"/>
      <c r="H32" s="354"/>
      <c r="I32" s="359"/>
      <c r="J32" s="357"/>
      <c r="K32" s="357"/>
      <c r="L32" s="357"/>
      <c r="M32" s="357"/>
      <c r="N32" s="358"/>
    </row>
    <row r="33" spans="2:14" ht="15" customHeight="1">
      <c r="B33" s="352"/>
      <c r="C33" s="354"/>
      <c r="D33" s="354"/>
      <c r="E33" s="354"/>
      <c r="F33" s="354"/>
      <c r="G33" s="354"/>
      <c r="H33" s="354"/>
      <c r="I33" s="359"/>
      <c r="J33" s="357"/>
      <c r="K33" s="357"/>
      <c r="L33" s="357"/>
      <c r="M33" s="357"/>
      <c r="N33" s="358"/>
    </row>
    <row r="34" spans="2:14" ht="15" customHeight="1">
      <c r="B34" s="352"/>
      <c r="C34" s="354"/>
      <c r="D34" s="354"/>
      <c r="E34" s="354"/>
      <c r="F34" s="354"/>
      <c r="G34" s="354"/>
      <c r="H34" s="354"/>
      <c r="I34" s="359"/>
      <c r="J34" s="357"/>
      <c r="K34" s="357"/>
      <c r="L34" s="357"/>
      <c r="M34" s="357"/>
      <c r="N34" s="358"/>
    </row>
    <row r="35" spans="2:14" ht="15" customHeight="1">
      <c r="B35" s="352"/>
      <c r="C35" s="354"/>
      <c r="D35" s="354"/>
      <c r="E35" s="354"/>
      <c r="F35" s="354"/>
      <c r="G35" s="354"/>
      <c r="H35" s="354"/>
      <c r="I35" s="359"/>
      <c r="J35" s="357"/>
      <c r="K35" s="357"/>
      <c r="L35" s="357"/>
      <c r="M35" s="357"/>
      <c r="N35" s="358"/>
    </row>
    <row r="36" spans="2:14" ht="15" customHeight="1">
      <c r="B36" s="352"/>
      <c r="C36" s="354"/>
      <c r="D36" s="354"/>
      <c r="E36" s="354"/>
      <c r="F36" s="354"/>
      <c r="G36" s="354"/>
      <c r="H36" s="354"/>
      <c r="I36" s="359"/>
      <c r="J36" s="357"/>
      <c r="K36" s="357"/>
      <c r="L36" s="357"/>
      <c r="M36" s="357"/>
      <c r="N36" s="358"/>
    </row>
    <row r="37" spans="2:14" ht="15" customHeight="1">
      <c r="B37" s="352"/>
      <c r="C37" s="354"/>
      <c r="D37" s="354"/>
      <c r="E37" s="354"/>
      <c r="F37" s="354"/>
      <c r="G37" s="354"/>
      <c r="H37" s="354"/>
      <c r="I37" s="359"/>
      <c r="J37" s="357"/>
      <c r="K37" s="357"/>
      <c r="L37" s="357"/>
      <c r="M37" s="357"/>
      <c r="N37" s="358"/>
    </row>
    <row r="38" spans="2:14" ht="15" customHeight="1">
      <c r="B38" s="352"/>
      <c r="C38" s="354"/>
      <c r="D38" s="354"/>
      <c r="E38" s="354"/>
      <c r="F38" s="354"/>
      <c r="G38" s="354"/>
      <c r="H38" s="354"/>
      <c r="I38" s="359"/>
      <c r="J38" s="357"/>
      <c r="K38" s="357"/>
      <c r="L38" s="357"/>
      <c r="M38" s="357"/>
      <c r="N38" s="358"/>
    </row>
    <row r="39" spans="2:14" ht="15" customHeight="1">
      <c r="B39" s="352"/>
      <c r="C39" s="354"/>
      <c r="D39" s="354"/>
      <c r="E39" s="354"/>
      <c r="F39" s="354"/>
      <c r="G39" s="354"/>
      <c r="H39" s="354"/>
      <c r="I39" s="359"/>
      <c r="J39" s="357"/>
      <c r="K39" s="357"/>
      <c r="L39" s="357"/>
      <c r="M39" s="357"/>
      <c r="N39" s="358"/>
    </row>
    <row r="40" spans="2:14" ht="15" customHeight="1">
      <c r="B40" s="352"/>
      <c r="C40" s="354"/>
      <c r="D40" s="354"/>
      <c r="E40" s="354"/>
      <c r="F40" s="354"/>
      <c r="G40" s="354"/>
      <c r="H40" s="354"/>
      <c r="I40" s="359"/>
      <c r="J40" s="357"/>
      <c r="K40" s="357"/>
      <c r="L40" s="357"/>
      <c r="M40" s="357"/>
      <c r="N40" s="358"/>
    </row>
    <row r="41" spans="2:14" ht="15" customHeight="1">
      <c r="B41" s="352"/>
      <c r="C41" s="354"/>
      <c r="D41" s="354"/>
      <c r="E41" s="354"/>
      <c r="F41" s="354"/>
      <c r="G41" s="354"/>
      <c r="H41" s="354"/>
      <c r="I41" s="359"/>
      <c r="J41" s="357"/>
      <c r="K41" s="357"/>
      <c r="L41" s="357"/>
      <c r="M41" s="357"/>
      <c r="N41" s="358"/>
    </row>
    <row r="42" spans="2:14" ht="15" customHeight="1">
      <c r="B42" s="352"/>
      <c r="C42" s="354"/>
      <c r="D42" s="354"/>
      <c r="E42" s="354"/>
      <c r="F42" s="354"/>
      <c r="G42" s="354"/>
      <c r="H42" s="354"/>
      <c r="I42" s="359"/>
      <c r="J42" s="357"/>
      <c r="K42" s="357"/>
      <c r="L42" s="357"/>
      <c r="M42" s="357"/>
      <c r="N42" s="358"/>
    </row>
    <row r="43" spans="2:14" ht="15" customHeight="1">
      <c r="B43" s="352"/>
      <c r="C43" s="354"/>
      <c r="D43" s="354"/>
      <c r="E43" s="354"/>
      <c r="F43" s="354"/>
      <c r="G43" s="354"/>
      <c r="H43" s="354"/>
      <c r="I43" s="359"/>
      <c r="J43" s="357"/>
      <c r="K43" s="357"/>
      <c r="L43" s="357"/>
      <c r="M43" s="357"/>
      <c r="N43" s="358"/>
    </row>
    <row r="44" spans="2:14" ht="15" customHeight="1">
      <c r="B44" s="352"/>
      <c r="C44" s="354"/>
      <c r="D44" s="354"/>
      <c r="E44" s="354"/>
      <c r="F44" s="354"/>
      <c r="G44" s="354"/>
      <c r="H44" s="354"/>
      <c r="I44" s="359"/>
      <c r="J44" s="357"/>
      <c r="K44" s="357"/>
      <c r="L44" s="357"/>
      <c r="M44" s="357"/>
      <c r="N44" s="358"/>
    </row>
    <row r="45" spans="2:14" ht="15" customHeight="1">
      <c r="B45" s="352"/>
      <c r="C45" s="354"/>
      <c r="D45" s="354"/>
      <c r="E45" s="354"/>
      <c r="F45" s="354"/>
      <c r="G45" s="354"/>
      <c r="H45" s="354"/>
      <c r="I45" s="359"/>
      <c r="J45" s="357"/>
      <c r="K45" s="357"/>
      <c r="L45" s="357"/>
      <c r="M45" s="357"/>
      <c r="N45" s="358"/>
    </row>
    <row r="46" spans="2:14" ht="15" customHeight="1">
      <c r="B46" s="352"/>
      <c r="C46" s="354"/>
      <c r="D46" s="354"/>
      <c r="E46" s="354"/>
      <c r="F46" s="354"/>
      <c r="G46" s="354"/>
      <c r="H46" s="354"/>
      <c r="I46" s="359"/>
      <c r="J46" s="357"/>
      <c r="K46" s="357"/>
      <c r="L46" s="357"/>
      <c r="M46" s="357"/>
      <c r="N46" s="358"/>
    </row>
    <row r="47" spans="2:14" ht="15" customHeight="1">
      <c r="B47" s="352"/>
      <c r="C47" s="354"/>
      <c r="D47" s="354"/>
      <c r="E47" s="354"/>
      <c r="F47" s="354"/>
      <c r="G47" s="354"/>
      <c r="H47" s="354"/>
      <c r="I47" s="359"/>
      <c r="J47" s="357"/>
      <c r="K47" s="357"/>
      <c r="L47" s="357"/>
      <c r="M47" s="357"/>
      <c r="N47" s="358"/>
    </row>
    <row r="48" spans="2:14" ht="15" customHeight="1">
      <c r="B48" s="352"/>
      <c r="C48" s="354"/>
      <c r="D48" s="354"/>
      <c r="E48" s="354"/>
      <c r="F48" s="354"/>
      <c r="G48" s="354"/>
      <c r="H48" s="354"/>
      <c r="I48" s="359"/>
      <c r="J48" s="357"/>
      <c r="K48" s="357"/>
      <c r="L48" s="357"/>
      <c r="M48" s="357"/>
      <c r="N48" s="358"/>
    </row>
    <row r="49" spans="2:14" ht="15" customHeight="1">
      <c r="B49" s="352"/>
      <c r="C49" s="354"/>
      <c r="D49" s="354"/>
      <c r="E49" s="354"/>
      <c r="F49" s="354"/>
      <c r="G49" s="354"/>
      <c r="H49" s="354"/>
      <c r="I49" s="359"/>
      <c r="J49" s="357"/>
      <c r="K49" s="357"/>
      <c r="L49" s="357"/>
      <c r="M49" s="357"/>
      <c r="N49" s="358"/>
    </row>
    <row r="50" spans="2:14" ht="15" customHeight="1">
      <c r="B50" s="352"/>
      <c r="C50" s="354"/>
      <c r="D50" s="354"/>
      <c r="E50" s="354"/>
      <c r="F50" s="354"/>
      <c r="G50" s="354"/>
      <c r="H50" s="354"/>
      <c r="I50" s="359"/>
      <c r="J50" s="357"/>
      <c r="K50" s="357"/>
      <c r="L50" s="357"/>
      <c r="M50" s="357"/>
      <c r="N50" s="358"/>
    </row>
    <row r="51" spans="2:14" ht="15" customHeight="1">
      <c r="B51" s="352"/>
      <c r="C51" s="354"/>
      <c r="D51" s="354"/>
      <c r="E51" s="354"/>
      <c r="F51" s="354"/>
      <c r="G51" s="354"/>
      <c r="H51" s="354"/>
      <c r="I51" s="359"/>
      <c r="J51" s="357"/>
      <c r="K51" s="357"/>
      <c r="L51" s="357"/>
      <c r="M51" s="357"/>
      <c r="N51" s="358"/>
    </row>
    <row r="52" spans="2:14" ht="15" customHeight="1" thickBot="1">
      <c r="B52" s="361"/>
      <c r="C52" s="362"/>
      <c r="D52" s="362"/>
      <c r="E52" s="362"/>
      <c r="F52" s="362"/>
      <c r="G52" s="362"/>
      <c r="H52" s="362"/>
      <c r="I52" s="363"/>
      <c r="J52" s="364"/>
      <c r="K52" s="364"/>
      <c r="L52" s="364"/>
      <c r="M52" s="364"/>
      <c r="N52" s="365"/>
    </row>
    <row r="53" spans="2:14" ht="20.25" customHeight="1" thickBot="1">
      <c r="B53" s="822" t="s">
        <v>376</v>
      </c>
      <c r="C53" s="822"/>
      <c r="D53" s="822"/>
      <c r="E53" s="822"/>
      <c r="F53" s="822"/>
      <c r="G53" s="822"/>
      <c r="H53" s="822"/>
      <c r="I53" s="822"/>
      <c r="J53" s="822"/>
      <c r="K53" s="822"/>
      <c r="L53" s="822"/>
      <c r="M53" s="822"/>
      <c r="N53" s="822"/>
    </row>
    <row r="54" spans="2:14" ht="15" customHeight="1" thickBot="1">
      <c r="B54" s="366" t="s">
        <v>377</v>
      </c>
      <c r="C54" s="823" t="s">
        <v>374</v>
      </c>
      <c r="D54" s="824"/>
      <c r="E54" s="824"/>
      <c r="F54" s="824"/>
      <c r="G54" s="824"/>
      <c r="H54" s="367"/>
      <c r="I54" s="823" t="s">
        <v>369</v>
      </c>
      <c r="J54" s="824"/>
      <c r="K54" s="825"/>
      <c r="L54" s="823" t="s">
        <v>378</v>
      </c>
      <c r="M54" s="824"/>
      <c r="N54" s="826"/>
    </row>
    <row r="55" spans="2:14" ht="15" customHeight="1">
      <c r="B55" s="368"/>
      <c r="C55" s="812"/>
      <c r="D55" s="813"/>
      <c r="E55" s="813"/>
      <c r="F55" s="813"/>
      <c r="G55" s="813"/>
      <c r="H55" s="369"/>
      <c r="I55" s="814"/>
      <c r="J55" s="815"/>
      <c r="K55" s="816"/>
      <c r="L55" s="817"/>
      <c r="M55" s="818"/>
      <c r="N55" s="819"/>
    </row>
    <row r="56" spans="2:14" ht="15" customHeight="1">
      <c r="B56" s="370"/>
      <c r="C56" s="796"/>
      <c r="D56" s="797"/>
      <c r="E56" s="797"/>
      <c r="F56" s="797"/>
      <c r="G56" s="797"/>
      <c r="H56" s="371"/>
      <c r="I56" s="798"/>
      <c r="J56" s="799"/>
      <c r="K56" s="800"/>
      <c r="L56" s="801"/>
      <c r="M56" s="802"/>
      <c r="N56" s="803"/>
    </row>
    <row r="57" spans="2:14" ht="15" customHeight="1">
      <c r="B57" s="370"/>
      <c r="C57" s="796"/>
      <c r="D57" s="797"/>
      <c r="E57" s="797"/>
      <c r="F57" s="797"/>
      <c r="G57" s="797"/>
      <c r="H57" s="371"/>
      <c r="I57" s="798"/>
      <c r="J57" s="799"/>
      <c r="K57" s="800"/>
      <c r="L57" s="801"/>
      <c r="M57" s="802"/>
      <c r="N57" s="803"/>
    </row>
    <row r="58" spans="2:14" ht="15" customHeight="1">
      <c r="B58" s="370"/>
      <c r="C58" s="796"/>
      <c r="D58" s="797"/>
      <c r="E58" s="797"/>
      <c r="F58" s="797"/>
      <c r="G58" s="797"/>
      <c r="H58" s="371"/>
      <c r="I58" s="798"/>
      <c r="J58" s="799"/>
      <c r="K58" s="800"/>
      <c r="L58" s="801"/>
      <c r="M58" s="802"/>
      <c r="N58" s="803"/>
    </row>
    <row r="59" spans="2:14" ht="15" customHeight="1">
      <c r="B59" s="370"/>
      <c r="C59" s="796"/>
      <c r="D59" s="797"/>
      <c r="E59" s="797"/>
      <c r="F59" s="797"/>
      <c r="G59" s="797"/>
      <c r="H59" s="371"/>
      <c r="I59" s="798"/>
      <c r="J59" s="799"/>
      <c r="K59" s="800"/>
      <c r="L59" s="801"/>
      <c r="M59" s="802"/>
      <c r="N59" s="803"/>
    </row>
    <row r="60" spans="2:14" ht="15" customHeight="1">
      <c r="B60" s="370"/>
      <c r="C60" s="796"/>
      <c r="D60" s="797"/>
      <c r="E60" s="797"/>
      <c r="F60" s="797"/>
      <c r="G60" s="797"/>
      <c r="H60" s="371"/>
      <c r="I60" s="798"/>
      <c r="J60" s="799"/>
      <c r="K60" s="800"/>
      <c r="L60" s="801"/>
      <c r="M60" s="802"/>
      <c r="N60" s="803"/>
    </row>
    <row r="61" spans="2:14" ht="15" customHeight="1">
      <c r="B61" s="370"/>
      <c r="C61" s="796"/>
      <c r="D61" s="797"/>
      <c r="E61" s="797"/>
      <c r="F61" s="797"/>
      <c r="G61" s="797"/>
      <c r="H61" s="371"/>
      <c r="I61" s="798"/>
      <c r="J61" s="799"/>
      <c r="K61" s="800"/>
      <c r="L61" s="801"/>
      <c r="M61" s="802"/>
      <c r="N61" s="803"/>
    </row>
    <row r="62" spans="2:14" ht="15" customHeight="1">
      <c r="B62" s="370"/>
      <c r="C62" s="796"/>
      <c r="D62" s="797"/>
      <c r="E62" s="797"/>
      <c r="F62" s="797"/>
      <c r="G62" s="797"/>
      <c r="H62" s="371"/>
      <c r="I62" s="798"/>
      <c r="J62" s="799"/>
      <c r="K62" s="800"/>
      <c r="L62" s="801"/>
      <c r="M62" s="802"/>
      <c r="N62" s="803"/>
    </row>
    <row r="63" spans="2:14" ht="15" customHeight="1">
      <c r="B63" s="370"/>
      <c r="C63" s="796"/>
      <c r="D63" s="797"/>
      <c r="E63" s="797"/>
      <c r="F63" s="797"/>
      <c r="G63" s="797"/>
      <c r="H63" s="371"/>
      <c r="I63" s="798"/>
      <c r="J63" s="799"/>
      <c r="K63" s="800"/>
      <c r="L63" s="801"/>
      <c r="M63" s="802"/>
      <c r="N63" s="803"/>
    </row>
    <row r="64" spans="2:14" ht="15" customHeight="1">
      <c r="B64" s="370"/>
      <c r="C64" s="796"/>
      <c r="D64" s="797"/>
      <c r="E64" s="797"/>
      <c r="F64" s="797"/>
      <c r="G64" s="797"/>
      <c r="H64" s="371"/>
      <c r="I64" s="798"/>
      <c r="J64" s="799"/>
      <c r="K64" s="800"/>
      <c r="L64" s="801"/>
      <c r="M64" s="802"/>
      <c r="N64" s="803"/>
    </row>
    <row r="65" spans="2:14" ht="15" customHeight="1">
      <c r="B65" s="370"/>
      <c r="C65" s="796"/>
      <c r="D65" s="797"/>
      <c r="E65" s="797"/>
      <c r="F65" s="797"/>
      <c r="G65" s="797"/>
      <c r="H65" s="371"/>
      <c r="I65" s="798"/>
      <c r="J65" s="799"/>
      <c r="K65" s="800"/>
      <c r="L65" s="801"/>
      <c r="M65" s="802"/>
      <c r="N65" s="803"/>
    </row>
    <row r="66" spans="2:14" ht="15" customHeight="1">
      <c r="B66" s="370"/>
      <c r="C66" s="796"/>
      <c r="D66" s="797"/>
      <c r="E66" s="797"/>
      <c r="F66" s="797"/>
      <c r="G66" s="797"/>
      <c r="H66" s="371"/>
      <c r="I66" s="798"/>
      <c r="J66" s="799"/>
      <c r="K66" s="800"/>
      <c r="L66" s="801"/>
      <c r="M66" s="802"/>
      <c r="N66" s="803"/>
    </row>
    <row r="67" spans="2:14" ht="15" customHeight="1">
      <c r="B67" s="370"/>
      <c r="C67" s="796"/>
      <c r="D67" s="797"/>
      <c r="E67" s="797"/>
      <c r="F67" s="797"/>
      <c r="G67" s="797"/>
      <c r="H67" s="371"/>
      <c r="I67" s="798"/>
      <c r="J67" s="799"/>
      <c r="K67" s="800"/>
      <c r="L67" s="801"/>
      <c r="M67" s="802"/>
      <c r="N67" s="803"/>
    </row>
    <row r="68" spans="2:14" ht="15" customHeight="1">
      <c r="B68" s="370"/>
      <c r="C68" s="796"/>
      <c r="D68" s="797"/>
      <c r="E68" s="797"/>
      <c r="F68" s="797"/>
      <c r="G68" s="797"/>
      <c r="H68" s="371"/>
      <c r="I68" s="798"/>
      <c r="J68" s="799"/>
      <c r="K68" s="800"/>
      <c r="L68" s="801"/>
      <c r="M68" s="802"/>
      <c r="N68" s="803"/>
    </row>
    <row r="69" spans="2:14" ht="15" customHeight="1">
      <c r="B69" s="370"/>
      <c r="C69" s="796"/>
      <c r="D69" s="797"/>
      <c r="E69" s="797"/>
      <c r="F69" s="797"/>
      <c r="G69" s="797"/>
      <c r="H69" s="371"/>
      <c r="I69" s="798"/>
      <c r="J69" s="799"/>
      <c r="K69" s="800"/>
      <c r="L69" s="801"/>
      <c r="M69" s="802"/>
      <c r="N69" s="803"/>
    </row>
    <row r="70" spans="2:14" ht="15" customHeight="1">
      <c r="B70" s="370"/>
      <c r="C70" s="796"/>
      <c r="D70" s="797"/>
      <c r="E70" s="797"/>
      <c r="F70" s="797"/>
      <c r="G70" s="797"/>
      <c r="H70" s="371"/>
      <c r="I70" s="798"/>
      <c r="J70" s="799"/>
      <c r="K70" s="800"/>
      <c r="L70" s="801"/>
      <c r="M70" s="802"/>
      <c r="N70" s="803"/>
    </row>
    <row r="71" spans="2:14" ht="15" customHeight="1">
      <c r="B71" s="370"/>
      <c r="C71" s="796"/>
      <c r="D71" s="797"/>
      <c r="E71" s="797"/>
      <c r="F71" s="797"/>
      <c r="G71" s="797"/>
      <c r="H71" s="371"/>
      <c r="I71" s="798"/>
      <c r="J71" s="799"/>
      <c r="K71" s="800"/>
      <c r="L71" s="801"/>
      <c r="M71" s="802"/>
      <c r="N71" s="803"/>
    </row>
    <row r="72" spans="2:14">
      <c r="B72" s="370"/>
      <c r="C72" s="796"/>
      <c r="D72" s="797"/>
      <c r="E72" s="797"/>
      <c r="F72" s="797"/>
      <c r="G72" s="797"/>
      <c r="H72" s="371"/>
      <c r="I72" s="798"/>
      <c r="J72" s="799"/>
      <c r="K72" s="800"/>
      <c r="L72" s="801"/>
      <c r="M72" s="802"/>
      <c r="N72" s="803"/>
    </row>
    <row r="73" spans="2:14">
      <c r="B73" s="370"/>
      <c r="C73" s="796"/>
      <c r="D73" s="797"/>
      <c r="E73" s="797"/>
      <c r="F73" s="797"/>
      <c r="G73" s="797"/>
      <c r="H73" s="371"/>
      <c r="I73" s="798"/>
      <c r="J73" s="799"/>
      <c r="K73" s="800"/>
      <c r="L73" s="801"/>
      <c r="M73" s="802"/>
      <c r="N73" s="803"/>
    </row>
    <row r="74" spans="2:14">
      <c r="B74" s="370"/>
      <c r="C74" s="796"/>
      <c r="D74" s="797"/>
      <c r="E74" s="797"/>
      <c r="F74" s="797"/>
      <c r="G74" s="797"/>
      <c r="H74" s="371"/>
      <c r="I74" s="798"/>
      <c r="J74" s="799"/>
      <c r="K74" s="800"/>
      <c r="L74" s="801"/>
      <c r="M74" s="802"/>
      <c r="N74" s="803"/>
    </row>
    <row r="75" spans="2:14">
      <c r="B75" s="370"/>
      <c r="C75" s="796"/>
      <c r="D75" s="797"/>
      <c r="E75" s="797"/>
      <c r="F75" s="797"/>
      <c r="G75" s="797"/>
      <c r="H75" s="371"/>
      <c r="I75" s="798"/>
      <c r="J75" s="799"/>
      <c r="K75" s="800"/>
      <c r="L75" s="801"/>
      <c r="M75" s="802"/>
      <c r="N75" s="803"/>
    </row>
    <row r="76" spans="2:14">
      <c r="B76" s="370"/>
      <c r="C76" s="796"/>
      <c r="D76" s="797"/>
      <c r="E76" s="797"/>
      <c r="F76" s="797"/>
      <c r="G76" s="797"/>
      <c r="H76" s="371"/>
      <c r="I76" s="798"/>
      <c r="J76" s="799"/>
      <c r="K76" s="800"/>
      <c r="L76" s="801"/>
      <c r="M76" s="802"/>
      <c r="N76" s="803"/>
    </row>
    <row r="77" spans="2:14">
      <c r="B77" s="370"/>
      <c r="C77" s="796"/>
      <c r="D77" s="797"/>
      <c r="E77" s="797"/>
      <c r="F77" s="797"/>
      <c r="G77" s="797"/>
      <c r="H77" s="371"/>
      <c r="I77" s="798"/>
      <c r="J77" s="799"/>
      <c r="K77" s="800"/>
      <c r="L77" s="801"/>
      <c r="M77" s="802"/>
      <c r="N77" s="803"/>
    </row>
    <row r="78" spans="2:14">
      <c r="B78" s="370"/>
      <c r="C78" s="796"/>
      <c r="D78" s="797"/>
      <c r="E78" s="797"/>
      <c r="F78" s="797"/>
      <c r="G78" s="797"/>
      <c r="H78" s="371"/>
      <c r="I78" s="798"/>
      <c r="J78" s="799"/>
      <c r="K78" s="800"/>
      <c r="L78" s="801"/>
      <c r="M78" s="802"/>
      <c r="N78" s="803"/>
    </row>
    <row r="79" spans="2:14" ht="13.5" thickBot="1">
      <c r="B79" s="372"/>
      <c r="C79" s="804"/>
      <c r="D79" s="805"/>
      <c r="E79" s="805"/>
      <c r="F79" s="805"/>
      <c r="G79" s="805"/>
      <c r="H79" s="373"/>
      <c r="I79" s="806"/>
      <c r="J79" s="807"/>
      <c r="K79" s="808"/>
      <c r="L79" s="809"/>
      <c r="M79" s="810"/>
      <c r="N79" s="811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topLeftCell="A7" workbookViewId="0"/>
  </sheetViews>
  <sheetFormatPr defaultRowHeight="12.75"/>
  <cols>
    <col min="1" max="1" width="19.7109375" style="387" customWidth="1"/>
    <col min="2" max="7" width="10.7109375" style="387" customWidth="1"/>
    <col min="8" max="16384" width="9.140625" style="387"/>
  </cols>
  <sheetData>
    <row r="1" spans="1:12" ht="21" customHeight="1">
      <c r="A1" s="386" t="s">
        <v>399</v>
      </c>
      <c r="B1" s="836" t="s">
        <v>438</v>
      </c>
      <c r="C1" s="836"/>
      <c r="D1" s="836"/>
      <c r="E1" s="836"/>
      <c r="F1" s="836"/>
      <c r="G1" s="836"/>
    </row>
    <row r="2" spans="1:12" ht="15" customHeight="1"/>
    <row r="3" spans="1:12" ht="20.25">
      <c r="A3" s="388" t="s">
        <v>400</v>
      </c>
    </row>
    <row r="4" spans="1:12" ht="12" customHeight="1">
      <c r="A4" s="389"/>
      <c r="B4" s="389"/>
      <c r="C4" s="389"/>
      <c r="D4" s="389" t="s">
        <v>452</v>
      </c>
      <c r="E4" s="389"/>
      <c r="F4" s="389"/>
      <c r="G4" s="389"/>
      <c r="H4" s="389"/>
      <c r="I4" s="389"/>
      <c r="J4" s="389"/>
      <c r="K4" s="389"/>
      <c r="L4" s="389"/>
    </row>
    <row r="5" spans="1:12" ht="15.6" customHeight="1">
      <c r="A5" s="390" t="s">
        <v>5</v>
      </c>
      <c r="B5" s="390" t="s">
        <v>401</v>
      </c>
      <c r="C5" s="390" t="s">
        <v>402</v>
      </c>
      <c r="D5" s="390" t="s">
        <v>403</v>
      </c>
      <c r="E5" s="390" t="s">
        <v>404</v>
      </c>
      <c r="F5" s="390" t="s">
        <v>405</v>
      </c>
      <c r="G5" s="390" t="s">
        <v>406</v>
      </c>
      <c r="H5" s="389"/>
      <c r="I5" s="389"/>
      <c r="J5" s="389"/>
      <c r="K5" s="389"/>
      <c r="L5" s="389"/>
    </row>
    <row r="6" spans="1:12" ht="15.6" customHeight="1">
      <c r="A6" s="391" t="s">
        <v>407</v>
      </c>
      <c r="B6" s="391" t="s">
        <v>165</v>
      </c>
      <c r="C6" s="391" t="s">
        <v>165</v>
      </c>
      <c r="D6" s="391" t="s">
        <v>408</v>
      </c>
      <c r="E6" s="391" t="s">
        <v>135</v>
      </c>
      <c r="F6" s="391" t="s">
        <v>409</v>
      </c>
      <c r="G6" s="391" t="s">
        <v>409</v>
      </c>
      <c r="H6" s="389"/>
      <c r="I6" s="389"/>
      <c r="J6" s="389"/>
      <c r="K6" s="389"/>
      <c r="L6" s="389"/>
    </row>
    <row r="7" spans="1:12" ht="15.95" customHeight="1">
      <c r="A7" s="392" t="s">
        <v>439</v>
      </c>
      <c r="B7" s="392" t="s">
        <v>453</v>
      </c>
      <c r="C7" s="392" t="s">
        <v>465</v>
      </c>
      <c r="D7" s="392" t="s">
        <v>477</v>
      </c>
      <c r="E7" s="392" t="s">
        <v>488</v>
      </c>
      <c r="F7" s="392" t="s">
        <v>500</v>
      </c>
      <c r="G7" s="392" t="s">
        <v>511</v>
      </c>
      <c r="H7" s="389"/>
      <c r="I7" s="389"/>
      <c r="J7" s="389"/>
      <c r="K7" s="389"/>
      <c r="L7" s="389"/>
    </row>
    <row r="8" spans="1:12" ht="15.95" customHeight="1">
      <c r="A8" s="392" t="s">
        <v>440</v>
      </c>
      <c r="B8" s="392" t="s">
        <v>454</v>
      </c>
      <c r="C8" s="392" t="s">
        <v>466</v>
      </c>
      <c r="D8" s="392" t="s">
        <v>478</v>
      </c>
      <c r="E8" s="392" t="s">
        <v>489</v>
      </c>
      <c r="F8" s="392" t="s">
        <v>501</v>
      </c>
      <c r="G8" s="392" t="s">
        <v>512</v>
      </c>
      <c r="H8" s="389"/>
      <c r="I8" s="389"/>
      <c r="J8" s="389"/>
      <c r="K8" s="389"/>
      <c r="L8" s="389"/>
    </row>
    <row r="9" spans="1:12" ht="15.95" customHeight="1">
      <c r="A9" s="392" t="s">
        <v>441</v>
      </c>
      <c r="B9" s="392" t="s">
        <v>455</v>
      </c>
      <c r="C9" s="392" t="s">
        <v>467</v>
      </c>
      <c r="D9" s="392" t="s">
        <v>479</v>
      </c>
      <c r="E9" s="392" t="s">
        <v>490</v>
      </c>
      <c r="F9" s="392" t="s">
        <v>502</v>
      </c>
      <c r="G9" s="392" t="s">
        <v>513</v>
      </c>
      <c r="H9" s="389"/>
      <c r="I9" s="389"/>
      <c r="J9" s="389"/>
      <c r="K9" s="389"/>
      <c r="L9" s="389"/>
    </row>
    <row r="10" spans="1:12" ht="15.95" customHeight="1">
      <c r="A10" s="392" t="s">
        <v>442</v>
      </c>
      <c r="B10" s="392" t="s">
        <v>456</v>
      </c>
      <c r="C10" s="392" t="s">
        <v>468</v>
      </c>
      <c r="D10" s="392" t="s">
        <v>479</v>
      </c>
      <c r="E10" s="392" t="s">
        <v>491</v>
      </c>
      <c r="F10" s="392" t="s">
        <v>503</v>
      </c>
      <c r="G10" s="392" t="s">
        <v>514</v>
      </c>
      <c r="H10" s="389"/>
      <c r="I10" s="389"/>
      <c r="J10" s="389"/>
      <c r="K10" s="389"/>
      <c r="L10" s="389"/>
    </row>
    <row r="11" spans="1:12" ht="15.95" customHeight="1">
      <c r="A11" s="392" t="s">
        <v>443</v>
      </c>
      <c r="B11" s="392" t="s">
        <v>457</v>
      </c>
      <c r="C11" s="392" t="s">
        <v>469</v>
      </c>
      <c r="D11" s="392" t="s">
        <v>480</v>
      </c>
      <c r="E11" s="392" t="s">
        <v>492</v>
      </c>
      <c r="F11" s="392" t="s">
        <v>503</v>
      </c>
      <c r="G11" s="392" t="s">
        <v>515</v>
      </c>
      <c r="H11" s="389"/>
      <c r="I11" s="389"/>
      <c r="J11" s="389"/>
      <c r="K11" s="389"/>
      <c r="L11" s="389"/>
    </row>
    <row r="12" spans="1:12" ht="15.95" customHeight="1">
      <c r="A12" s="392" t="s">
        <v>444</v>
      </c>
      <c r="B12" s="392" t="s">
        <v>458</v>
      </c>
      <c r="C12" s="392" t="s">
        <v>470</v>
      </c>
      <c r="D12" s="392" t="s">
        <v>481</v>
      </c>
      <c r="E12" s="392" t="s">
        <v>493</v>
      </c>
      <c r="F12" s="392" t="s">
        <v>504</v>
      </c>
      <c r="G12" s="392" t="s">
        <v>516</v>
      </c>
      <c r="H12" s="389"/>
      <c r="I12" s="389"/>
      <c r="J12" s="389"/>
      <c r="K12" s="389"/>
      <c r="L12" s="389"/>
    </row>
    <row r="13" spans="1:12" ht="15.95" customHeight="1">
      <c r="A13" s="392" t="s">
        <v>445</v>
      </c>
      <c r="B13" s="392" t="s">
        <v>459</v>
      </c>
      <c r="C13" s="392" t="s">
        <v>471</v>
      </c>
      <c r="D13" s="392" t="s">
        <v>482</v>
      </c>
      <c r="E13" s="392" t="s">
        <v>494</v>
      </c>
      <c r="F13" s="392" t="s">
        <v>505</v>
      </c>
      <c r="G13" s="392" t="s">
        <v>517</v>
      </c>
      <c r="H13" s="389"/>
      <c r="I13" s="389"/>
      <c r="J13" s="389"/>
      <c r="K13" s="389"/>
      <c r="L13" s="389"/>
    </row>
    <row r="14" spans="1:12" ht="15.95" customHeight="1">
      <c r="A14" s="392" t="s">
        <v>446</v>
      </c>
      <c r="B14" s="392" t="s">
        <v>460</v>
      </c>
      <c r="C14" s="392" t="s">
        <v>472</v>
      </c>
      <c r="D14" s="392" t="s">
        <v>483</v>
      </c>
      <c r="E14" s="392" t="s">
        <v>495</v>
      </c>
      <c r="F14" s="392" t="s">
        <v>506</v>
      </c>
      <c r="G14" s="392" t="s">
        <v>518</v>
      </c>
      <c r="H14" s="389"/>
      <c r="I14" s="389"/>
      <c r="J14" s="389"/>
      <c r="K14" s="389"/>
      <c r="L14" s="389"/>
    </row>
    <row r="15" spans="1:12" ht="15.95" customHeight="1">
      <c r="A15" s="392" t="s">
        <v>447</v>
      </c>
      <c r="B15" s="392" t="s">
        <v>461</v>
      </c>
      <c r="C15" s="392" t="s">
        <v>473</v>
      </c>
      <c r="D15" s="392" t="s">
        <v>484</v>
      </c>
      <c r="E15" s="392" t="s">
        <v>496</v>
      </c>
      <c r="F15" s="392" t="s">
        <v>507</v>
      </c>
      <c r="G15" s="392" t="s">
        <v>519</v>
      </c>
      <c r="H15" s="389"/>
      <c r="I15" s="389"/>
      <c r="J15" s="389"/>
      <c r="K15" s="389"/>
      <c r="L15" s="389"/>
    </row>
    <row r="16" spans="1:12" ht="15.95" customHeight="1">
      <c r="A16" s="392" t="s">
        <v>448</v>
      </c>
      <c r="B16" s="392" t="s">
        <v>462</v>
      </c>
      <c r="C16" s="392" t="s">
        <v>474</v>
      </c>
      <c r="D16" s="392" t="s">
        <v>485</v>
      </c>
      <c r="E16" s="392" t="s">
        <v>497</v>
      </c>
      <c r="F16" s="392" t="s">
        <v>508</v>
      </c>
      <c r="G16" s="392" t="s">
        <v>520</v>
      </c>
      <c r="H16" s="389"/>
      <c r="I16" s="389"/>
      <c r="J16" s="389"/>
      <c r="K16" s="389"/>
      <c r="L16" s="389"/>
    </row>
    <row r="17" spans="1:12" ht="15.95" customHeight="1">
      <c r="A17" s="392" t="s">
        <v>449</v>
      </c>
      <c r="B17" s="392" t="s">
        <v>463</v>
      </c>
      <c r="C17" s="392" t="s">
        <v>475</v>
      </c>
      <c r="D17" s="392" t="s">
        <v>486</v>
      </c>
      <c r="E17" s="392" t="s">
        <v>498</v>
      </c>
      <c r="F17" s="392" t="s">
        <v>509</v>
      </c>
      <c r="G17" s="392" t="s">
        <v>521</v>
      </c>
      <c r="H17" s="389"/>
      <c r="I17" s="389"/>
      <c r="J17" s="389"/>
      <c r="K17" s="389"/>
      <c r="L17" s="389"/>
    </row>
    <row r="18" spans="1:12" ht="15.95" customHeight="1">
      <c r="A18" s="392" t="s">
        <v>450</v>
      </c>
      <c r="B18" s="392" t="s">
        <v>464</v>
      </c>
      <c r="C18" s="392" t="s">
        <v>476</v>
      </c>
      <c r="D18" s="392" t="s">
        <v>487</v>
      </c>
      <c r="E18" s="392" t="s">
        <v>499</v>
      </c>
      <c r="F18" s="392" t="s">
        <v>510</v>
      </c>
      <c r="G18" s="392" t="s">
        <v>522</v>
      </c>
      <c r="H18" s="389"/>
      <c r="I18" s="389"/>
      <c r="J18" s="389"/>
      <c r="K18" s="389"/>
      <c r="L18" s="389"/>
    </row>
    <row r="19" spans="1:12" ht="15.95" customHeight="1">
      <c r="A19" s="399" t="s">
        <v>451</v>
      </c>
      <c r="B19" s="399" t="s">
        <v>451</v>
      </c>
      <c r="C19" s="399" t="s">
        <v>451</v>
      </c>
      <c r="D19" s="399" t="s">
        <v>451</v>
      </c>
      <c r="E19" s="399" t="s">
        <v>451</v>
      </c>
      <c r="F19" s="399" t="s">
        <v>451</v>
      </c>
      <c r="G19" s="399" t="s">
        <v>451</v>
      </c>
      <c r="H19" s="389"/>
      <c r="I19" s="389"/>
      <c r="J19" s="389"/>
      <c r="K19" s="389"/>
      <c r="L19" s="389"/>
    </row>
    <row r="20" spans="1:12" ht="15.75">
      <c r="A20" s="389"/>
      <c r="B20" s="389"/>
      <c r="C20" s="389"/>
      <c r="D20" s="389"/>
      <c r="E20" s="389"/>
      <c r="F20" s="389"/>
      <c r="G20" s="389"/>
      <c r="H20" s="389"/>
      <c r="I20" s="389"/>
      <c r="J20" s="389"/>
      <c r="K20" s="389"/>
      <c r="L20" s="389"/>
    </row>
    <row r="21" spans="1:12" ht="15.75">
      <c r="A21" s="389"/>
      <c r="B21" s="389"/>
      <c r="C21" s="389"/>
      <c r="D21" s="837" t="s">
        <v>531</v>
      </c>
      <c r="E21" s="833"/>
      <c r="F21" s="833"/>
      <c r="G21" s="834"/>
      <c r="H21" s="389"/>
      <c r="I21" s="389"/>
      <c r="J21" s="389"/>
      <c r="K21" s="389"/>
      <c r="L21" s="389"/>
    </row>
    <row r="22" spans="1:12" ht="17.25" customHeight="1">
      <c r="A22" s="389"/>
      <c r="B22" s="835" t="s">
        <v>410</v>
      </c>
      <c r="C22" s="835"/>
      <c r="D22" s="835" t="s">
        <v>411</v>
      </c>
      <c r="E22" s="835"/>
      <c r="F22" s="835" t="s">
        <v>412</v>
      </c>
      <c r="G22" s="835"/>
      <c r="H22" s="389"/>
      <c r="I22" s="389"/>
      <c r="J22" s="389"/>
      <c r="K22" s="389"/>
      <c r="L22" s="389"/>
    </row>
    <row r="23" spans="1:12" ht="15.75">
      <c r="A23" s="393" t="s">
        <v>413</v>
      </c>
      <c r="B23" s="831" t="s">
        <v>523</v>
      </c>
      <c r="C23" s="831"/>
      <c r="D23" s="831" t="s">
        <v>526</v>
      </c>
      <c r="E23" s="831"/>
      <c r="F23" s="831" t="s">
        <v>529</v>
      </c>
      <c r="G23" s="831"/>
      <c r="H23" s="389"/>
      <c r="I23" s="389"/>
      <c r="J23" s="389"/>
      <c r="K23" s="389"/>
      <c r="L23" s="389"/>
    </row>
    <row r="24" spans="1:12" ht="18" customHeight="1">
      <c r="A24" s="393" t="s">
        <v>414</v>
      </c>
      <c r="B24" s="831" t="s">
        <v>524</v>
      </c>
      <c r="C24" s="831"/>
      <c r="D24" s="831" t="s">
        <v>527</v>
      </c>
      <c r="E24" s="831"/>
      <c r="F24" s="831" t="s">
        <v>432</v>
      </c>
      <c r="G24" s="831"/>
      <c r="H24" s="389"/>
      <c r="I24" s="389"/>
      <c r="J24" s="389"/>
      <c r="K24" s="389"/>
      <c r="L24" s="389"/>
    </row>
    <row r="25" spans="1:12" ht="15.75">
      <c r="A25" s="393" t="s">
        <v>415</v>
      </c>
      <c r="B25" s="831" t="s">
        <v>525</v>
      </c>
      <c r="C25" s="831"/>
      <c r="D25" s="831" t="s">
        <v>528</v>
      </c>
      <c r="E25" s="831"/>
      <c r="F25" s="831" t="s">
        <v>530</v>
      </c>
      <c r="G25" s="831"/>
      <c r="H25" s="389"/>
      <c r="I25" s="389"/>
      <c r="J25" s="389"/>
      <c r="K25" s="389"/>
      <c r="L25" s="389"/>
    </row>
    <row r="26" spans="1:12" ht="15.75">
      <c r="A26" s="389"/>
      <c r="B26" s="389"/>
      <c r="C26" s="389"/>
      <c r="D26" s="389"/>
      <c r="E26" s="389"/>
      <c r="F26" s="389"/>
      <c r="G26" s="389"/>
      <c r="H26" s="389"/>
      <c r="I26" s="389"/>
      <c r="J26" s="389"/>
      <c r="K26" s="389"/>
      <c r="L26" s="389"/>
    </row>
    <row r="27" spans="1:12" ht="20.25">
      <c r="A27" s="388" t="s">
        <v>416</v>
      </c>
      <c r="B27" s="389"/>
      <c r="C27" s="389"/>
      <c r="D27" s="389"/>
      <c r="E27" s="389"/>
      <c r="F27" s="389"/>
      <c r="G27" s="389"/>
      <c r="H27" s="389"/>
      <c r="I27" s="389"/>
      <c r="J27" s="389"/>
      <c r="K27" s="389"/>
      <c r="L27" s="389"/>
    </row>
    <row r="28" spans="1:12" ht="15.75">
      <c r="A28" s="389"/>
      <c r="B28" s="389"/>
      <c r="C28" s="389"/>
      <c r="D28" s="389"/>
      <c r="E28" s="832" t="s">
        <v>417</v>
      </c>
      <c r="F28" s="833"/>
      <c r="G28" s="834"/>
      <c r="H28" s="389"/>
      <c r="I28" s="389"/>
      <c r="J28" s="389"/>
      <c r="K28" s="389"/>
      <c r="L28" s="389"/>
    </row>
    <row r="29" spans="1:12" ht="15.75">
      <c r="A29" s="389"/>
      <c r="B29" s="835" t="s">
        <v>418</v>
      </c>
      <c r="C29" s="835"/>
      <c r="D29" s="394" t="s">
        <v>419</v>
      </c>
      <c r="E29" s="394" t="s">
        <v>420</v>
      </c>
      <c r="F29" s="835" t="s">
        <v>421</v>
      </c>
      <c r="G29" s="835"/>
      <c r="H29" s="389"/>
      <c r="I29" s="389"/>
      <c r="J29" s="389"/>
      <c r="K29" s="389"/>
      <c r="L29" s="389"/>
    </row>
    <row r="30" spans="1:12" ht="15.75">
      <c r="A30" s="393" t="s">
        <v>422</v>
      </c>
      <c r="B30" s="831" t="s">
        <v>532</v>
      </c>
      <c r="C30" s="831"/>
      <c r="D30" s="392" t="s">
        <v>535</v>
      </c>
      <c r="E30" s="392" t="s">
        <v>423</v>
      </c>
      <c r="F30" s="831" t="s">
        <v>538</v>
      </c>
      <c r="G30" s="831"/>
      <c r="H30" s="389"/>
      <c r="I30" s="389"/>
      <c r="J30" s="389"/>
      <c r="K30" s="389"/>
      <c r="L30" s="389"/>
    </row>
    <row r="31" spans="1:12" ht="15.75">
      <c r="A31" s="393" t="s">
        <v>424</v>
      </c>
      <c r="B31" s="831" t="s">
        <v>533</v>
      </c>
      <c r="C31" s="831"/>
      <c r="D31" s="392" t="s">
        <v>536</v>
      </c>
      <c r="E31" s="392" t="s">
        <v>425</v>
      </c>
      <c r="F31" s="831" t="s">
        <v>539</v>
      </c>
      <c r="G31" s="831"/>
      <c r="H31" s="389"/>
      <c r="I31" s="389"/>
      <c r="J31" s="389"/>
      <c r="K31" s="389"/>
      <c r="L31" s="389"/>
    </row>
    <row r="32" spans="1:12" ht="15.75">
      <c r="A32" s="393" t="s">
        <v>426</v>
      </c>
      <c r="B32" s="831" t="s">
        <v>534</v>
      </c>
      <c r="C32" s="831"/>
      <c r="D32" s="392" t="s">
        <v>537</v>
      </c>
      <c r="E32" s="392" t="s">
        <v>427</v>
      </c>
      <c r="F32" s="831" t="s">
        <v>540</v>
      </c>
      <c r="G32" s="831"/>
      <c r="H32" s="389"/>
      <c r="I32" s="389"/>
      <c r="J32" s="389"/>
      <c r="K32" s="389"/>
      <c r="L32" s="389"/>
    </row>
    <row r="33" spans="1:12" ht="15.75">
      <c r="A33" s="389"/>
      <c r="B33" s="389"/>
      <c r="C33" s="389"/>
      <c r="D33" s="389"/>
      <c r="E33" s="389"/>
      <c r="F33" s="389"/>
      <c r="G33" s="389"/>
      <c r="H33" s="389"/>
      <c r="I33" s="389"/>
      <c r="J33" s="389"/>
      <c r="K33" s="389"/>
      <c r="L33" s="389"/>
    </row>
    <row r="34" spans="1:12" ht="15.75">
      <c r="A34" s="389"/>
      <c r="B34" s="389"/>
      <c r="C34" s="389"/>
      <c r="D34" s="389"/>
      <c r="E34" s="832" t="s">
        <v>428</v>
      </c>
      <c r="F34" s="833"/>
      <c r="G34" s="834"/>
      <c r="H34" s="389"/>
      <c r="I34" s="389"/>
      <c r="J34" s="389"/>
      <c r="K34" s="389"/>
      <c r="L34" s="389"/>
    </row>
    <row r="35" spans="1:12" ht="15.75">
      <c r="A35" s="389"/>
      <c r="B35" s="835" t="s">
        <v>429</v>
      </c>
      <c r="C35" s="835"/>
      <c r="D35" s="394" t="s">
        <v>420</v>
      </c>
      <c r="E35" s="394" t="s">
        <v>430</v>
      </c>
      <c r="F35" s="394" t="s">
        <v>100</v>
      </c>
      <c r="G35" s="394" t="s">
        <v>431</v>
      </c>
      <c r="H35" s="389"/>
      <c r="I35" s="389"/>
      <c r="J35" s="389"/>
      <c r="K35" s="389"/>
      <c r="L35" s="389"/>
    </row>
    <row r="36" spans="1:12" ht="15.75">
      <c r="A36" s="393" t="s">
        <v>422</v>
      </c>
      <c r="B36" s="827" t="s">
        <v>541</v>
      </c>
      <c r="C36" s="828"/>
      <c r="D36" s="395" t="s">
        <v>543</v>
      </c>
      <c r="E36" s="395" t="s">
        <v>432</v>
      </c>
      <c r="F36" s="396" t="s">
        <v>433</v>
      </c>
      <c r="G36" s="392" t="s">
        <v>546</v>
      </c>
      <c r="H36" s="389"/>
      <c r="I36" s="389"/>
      <c r="J36" s="389"/>
      <c r="K36" s="389"/>
      <c r="L36" s="389"/>
    </row>
    <row r="37" spans="1:12" ht="15.75">
      <c r="A37" s="393" t="s">
        <v>424</v>
      </c>
      <c r="B37" s="827" t="s">
        <v>542</v>
      </c>
      <c r="C37" s="828"/>
      <c r="D37" s="395" t="s">
        <v>544</v>
      </c>
      <c r="E37" s="395" t="s">
        <v>432</v>
      </c>
      <c r="F37" s="396" t="s">
        <v>434</v>
      </c>
      <c r="G37" s="397" t="s">
        <v>547</v>
      </c>
      <c r="H37" s="389"/>
      <c r="I37" s="389"/>
      <c r="J37" s="389"/>
      <c r="K37" s="389"/>
      <c r="L37" s="389"/>
    </row>
    <row r="38" spans="1:12" ht="15.75">
      <c r="A38" s="393" t="s">
        <v>426</v>
      </c>
      <c r="B38" s="827" t="s">
        <v>542</v>
      </c>
      <c r="C38" s="828"/>
      <c r="D38" s="395" t="s">
        <v>545</v>
      </c>
      <c r="E38" s="395" t="s">
        <v>432</v>
      </c>
      <c r="F38" s="396" t="s">
        <v>435</v>
      </c>
      <c r="G38" s="392" t="s">
        <v>548</v>
      </c>
      <c r="H38" s="389"/>
      <c r="I38" s="389"/>
      <c r="J38" s="389"/>
      <c r="K38" s="389"/>
      <c r="L38" s="389"/>
    </row>
    <row r="39" spans="1:12" ht="15.75">
      <c r="A39" s="389"/>
      <c r="B39" s="389"/>
      <c r="C39" s="389"/>
      <c r="D39" s="389"/>
      <c r="E39" s="389"/>
      <c r="F39" s="389"/>
      <c r="G39" s="389"/>
      <c r="H39" s="389"/>
      <c r="I39" s="389"/>
      <c r="J39" s="389"/>
      <c r="K39" s="389"/>
      <c r="L39" s="389"/>
    </row>
    <row r="40" spans="1:12" ht="15.75">
      <c r="A40" s="398" t="s">
        <v>436</v>
      </c>
      <c r="B40" s="829" t="s">
        <v>549</v>
      </c>
      <c r="C40" s="829"/>
      <c r="D40" s="830" t="s">
        <v>437</v>
      </c>
      <c r="E40" s="830"/>
      <c r="F40" s="829" t="s">
        <v>550</v>
      </c>
      <c r="G40" s="829"/>
      <c r="H40" s="389"/>
      <c r="I40" s="389"/>
      <c r="J40" s="389"/>
      <c r="K40" s="389"/>
      <c r="L40" s="389"/>
    </row>
    <row r="41" spans="1:12" ht="15.75">
      <c r="A41" s="389"/>
      <c r="B41" s="389"/>
      <c r="C41" s="389"/>
      <c r="D41" s="389"/>
      <c r="E41" s="389"/>
      <c r="F41" s="389"/>
      <c r="G41" s="389"/>
      <c r="H41" s="389"/>
      <c r="I41" s="389"/>
      <c r="J41" s="389"/>
      <c r="K41" s="389"/>
      <c r="L41" s="389"/>
    </row>
    <row r="42" spans="1:12" ht="15.75">
      <c r="A42" s="389"/>
      <c r="B42" s="389"/>
      <c r="C42" s="389"/>
      <c r="D42" s="389"/>
      <c r="E42" s="389"/>
      <c r="F42" s="389"/>
      <c r="G42" s="389"/>
      <c r="H42" s="389"/>
      <c r="I42" s="389"/>
      <c r="J42" s="389"/>
      <c r="K42" s="389"/>
      <c r="L42" s="389"/>
    </row>
    <row r="43" spans="1:12" ht="15.75">
      <c r="A43" s="389"/>
      <c r="B43" s="389"/>
      <c r="C43" s="389"/>
      <c r="D43" s="389"/>
      <c r="E43" s="389"/>
      <c r="F43" s="389"/>
      <c r="G43" s="389"/>
      <c r="H43" s="389"/>
      <c r="I43" s="389"/>
      <c r="J43" s="389"/>
      <c r="K43" s="389"/>
      <c r="L43" s="389"/>
    </row>
    <row r="44" spans="1:12" ht="15.75">
      <c r="A44" s="389"/>
      <c r="B44" s="389"/>
      <c r="C44" s="389"/>
      <c r="D44" s="389"/>
      <c r="E44" s="389"/>
      <c r="F44" s="389"/>
      <c r="G44" s="389"/>
      <c r="H44" s="389"/>
      <c r="I44" s="389"/>
      <c r="J44" s="389"/>
      <c r="K44" s="389"/>
      <c r="L44" s="389"/>
    </row>
    <row r="45" spans="1:12" ht="15.75">
      <c r="A45" s="389"/>
      <c r="B45" s="389"/>
      <c r="C45" s="389"/>
      <c r="D45" s="389"/>
      <c r="E45" s="389"/>
      <c r="F45" s="389"/>
      <c r="G45" s="389"/>
      <c r="H45" s="389"/>
      <c r="I45" s="389"/>
      <c r="J45" s="389"/>
      <c r="K45" s="389"/>
      <c r="L45" s="389"/>
    </row>
    <row r="46" spans="1:12" ht="15.75">
      <c r="A46" s="389"/>
      <c r="B46" s="389"/>
      <c r="C46" s="389"/>
      <c r="D46" s="389"/>
      <c r="E46" s="389"/>
      <c r="F46" s="389"/>
      <c r="G46" s="389"/>
      <c r="H46" s="389"/>
      <c r="I46" s="389"/>
      <c r="J46" s="389"/>
      <c r="K46" s="389"/>
      <c r="L46" s="389"/>
    </row>
    <row r="47" spans="1:12" ht="15.75">
      <c r="A47" s="389"/>
      <c r="B47" s="389"/>
      <c r="C47" s="389"/>
      <c r="D47" s="389"/>
      <c r="E47" s="389"/>
      <c r="F47" s="389"/>
      <c r="G47" s="389"/>
      <c r="H47" s="389"/>
      <c r="I47" s="389"/>
      <c r="J47" s="389"/>
      <c r="K47" s="389"/>
      <c r="L47" s="389"/>
    </row>
    <row r="48" spans="1:12" ht="15.75">
      <c r="A48" s="389"/>
      <c r="B48" s="389"/>
      <c r="C48" s="389"/>
      <c r="D48" s="389"/>
      <c r="E48" s="389"/>
      <c r="F48" s="389"/>
      <c r="G48" s="389"/>
      <c r="H48" s="389"/>
      <c r="I48" s="389"/>
      <c r="J48" s="389"/>
      <c r="K48" s="389"/>
      <c r="L48" s="389"/>
    </row>
    <row r="49" spans="1:12" ht="15.75">
      <c r="A49" s="389"/>
      <c r="B49" s="389"/>
      <c r="C49" s="389"/>
      <c r="D49" s="389"/>
      <c r="E49" s="389"/>
      <c r="F49" s="389"/>
      <c r="G49" s="389"/>
      <c r="H49" s="389"/>
      <c r="I49" s="389"/>
      <c r="J49" s="389"/>
      <c r="K49" s="389"/>
      <c r="L49" s="389"/>
    </row>
    <row r="50" spans="1:12" ht="15.75">
      <c r="A50" s="389"/>
      <c r="B50" s="389"/>
      <c r="C50" s="389"/>
      <c r="D50" s="389"/>
      <c r="E50" s="389"/>
      <c r="F50" s="389"/>
      <c r="G50" s="389"/>
      <c r="H50" s="389"/>
      <c r="I50" s="389"/>
      <c r="J50" s="389"/>
      <c r="K50" s="389"/>
      <c r="L50" s="389"/>
    </row>
    <row r="51" spans="1:12" ht="15.75">
      <c r="A51" s="389"/>
      <c r="B51" s="389"/>
      <c r="C51" s="389"/>
      <c r="D51" s="389"/>
      <c r="E51" s="389"/>
      <c r="F51" s="389"/>
      <c r="G51" s="389"/>
      <c r="H51" s="389"/>
      <c r="I51" s="389"/>
      <c r="J51" s="389"/>
      <c r="K51" s="389"/>
      <c r="L51" s="389"/>
    </row>
    <row r="52" spans="1:12" ht="15.75">
      <c r="A52" s="389"/>
      <c r="B52" s="389"/>
      <c r="C52" s="389"/>
      <c r="D52" s="389"/>
      <c r="E52" s="389"/>
      <c r="F52" s="389"/>
      <c r="G52" s="389"/>
      <c r="H52" s="389"/>
      <c r="I52" s="389"/>
      <c r="J52" s="389"/>
      <c r="K52" s="389"/>
      <c r="L52" s="389"/>
    </row>
    <row r="53" spans="1:12" ht="15.75">
      <c r="A53" s="389"/>
      <c r="B53" s="389"/>
      <c r="C53" s="389"/>
      <c r="D53" s="389"/>
      <c r="E53" s="389"/>
      <c r="F53" s="389"/>
      <c r="G53" s="389"/>
      <c r="H53" s="389"/>
      <c r="I53" s="389"/>
      <c r="J53" s="389"/>
      <c r="K53" s="389"/>
      <c r="L53" s="389"/>
    </row>
    <row r="54" spans="1:12" ht="15.75">
      <c r="A54" s="389"/>
      <c r="B54" s="389"/>
      <c r="C54" s="389"/>
      <c r="D54" s="389"/>
      <c r="E54" s="389"/>
      <c r="F54" s="389"/>
      <c r="G54" s="389"/>
      <c r="H54" s="389"/>
      <c r="I54" s="389"/>
      <c r="J54" s="389"/>
      <c r="K54" s="389"/>
      <c r="L54" s="389"/>
    </row>
    <row r="55" spans="1:12" ht="15.75">
      <c r="A55" s="389"/>
      <c r="B55" s="389"/>
      <c r="C55" s="389"/>
      <c r="D55" s="389"/>
      <c r="E55" s="389"/>
      <c r="F55" s="389"/>
      <c r="G55" s="389"/>
      <c r="H55" s="389"/>
      <c r="I55" s="389"/>
      <c r="J55" s="389"/>
      <c r="K55" s="389"/>
      <c r="L55" s="389"/>
    </row>
    <row r="56" spans="1:12" ht="15.75">
      <c r="A56" s="389"/>
      <c r="B56" s="389"/>
      <c r="C56" s="389"/>
      <c r="D56" s="389"/>
      <c r="E56" s="389"/>
      <c r="F56" s="389"/>
      <c r="G56" s="389"/>
      <c r="H56" s="389"/>
      <c r="I56" s="389"/>
      <c r="J56" s="389"/>
      <c r="K56" s="389"/>
      <c r="L56" s="389"/>
    </row>
    <row r="57" spans="1:12" ht="15.75">
      <c r="A57" s="389"/>
      <c r="B57" s="389"/>
      <c r="C57" s="389"/>
      <c r="D57" s="389"/>
      <c r="E57" s="389"/>
      <c r="F57" s="389"/>
      <c r="G57" s="389"/>
      <c r="H57" s="389"/>
      <c r="I57" s="389"/>
      <c r="J57" s="389"/>
      <c r="K57" s="389"/>
      <c r="L57" s="389"/>
    </row>
    <row r="58" spans="1:12" ht="15.75">
      <c r="A58" s="389"/>
      <c r="B58" s="389"/>
      <c r="C58" s="389"/>
      <c r="D58" s="389"/>
      <c r="E58" s="389"/>
      <c r="F58" s="389"/>
      <c r="G58" s="389"/>
      <c r="H58" s="389"/>
      <c r="I58" s="389"/>
      <c r="J58" s="389"/>
      <c r="K58" s="389"/>
      <c r="L58" s="389"/>
    </row>
    <row r="59" spans="1:12" ht="15.75">
      <c r="A59" s="389"/>
      <c r="B59" s="389"/>
      <c r="C59" s="389"/>
      <c r="D59" s="389"/>
      <c r="E59" s="389"/>
      <c r="F59" s="389"/>
      <c r="G59" s="389"/>
      <c r="H59" s="389"/>
      <c r="I59" s="389"/>
      <c r="J59" s="389"/>
      <c r="K59" s="389"/>
      <c r="L59" s="389"/>
    </row>
    <row r="60" spans="1:12" ht="15.75">
      <c r="A60" s="389"/>
      <c r="B60" s="389"/>
      <c r="C60" s="389"/>
      <c r="D60" s="389"/>
      <c r="E60" s="389"/>
      <c r="F60" s="389"/>
      <c r="G60" s="389"/>
      <c r="H60" s="389"/>
      <c r="I60" s="389"/>
      <c r="J60" s="389"/>
      <c r="K60" s="389"/>
      <c r="L60" s="389"/>
    </row>
    <row r="61" spans="1:12" ht="15.75">
      <c r="A61" s="389"/>
      <c r="B61" s="389"/>
      <c r="C61" s="389"/>
      <c r="D61" s="389"/>
      <c r="E61" s="389"/>
      <c r="F61" s="389"/>
      <c r="G61" s="389"/>
      <c r="H61" s="389"/>
      <c r="I61" s="389"/>
      <c r="J61" s="389"/>
      <c r="K61" s="389"/>
      <c r="L61" s="389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tabSelected="1" zoomScaleNormal="100" workbookViewId="0">
      <selection activeCell="X24" sqref="X24"/>
    </sheetView>
  </sheetViews>
  <sheetFormatPr defaultColWidth="12.5703125" defaultRowHeight="15.75"/>
  <cols>
    <col min="1" max="13" width="7" style="454" customWidth="1"/>
    <col min="14" max="14" width="7.140625" style="454" customWidth="1"/>
    <col min="15" max="16384" width="12.5703125" style="454"/>
  </cols>
  <sheetData>
    <row r="1" spans="1:14" ht="17.100000000000001" customHeight="1">
      <c r="A1" s="447" t="s">
        <v>267</v>
      </c>
      <c r="B1" s="448"/>
      <c r="C1" s="448"/>
      <c r="D1" s="448"/>
      <c r="E1" s="448"/>
      <c r="F1" s="448"/>
      <c r="G1" s="448"/>
      <c r="H1" s="448"/>
      <c r="I1" s="448"/>
      <c r="J1" s="449" t="s">
        <v>587</v>
      </c>
      <c r="K1" s="450"/>
      <c r="L1" s="451" t="s">
        <v>588</v>
      </c>
      <c r="M1" s="452"/>
      <c r="N1" s="453"/>
    </row>
    <row r="2" spans="1:14" ht="17.100000000000001" customHeight="1">
      <c r="A2" s="455" t="s">
        <v>589</v>
      </c>
      <c r="B2" s="456"/>
      <c r="C2" s="456"/>
      <c r="D2" s="456"/>
      <c r="E2" s="456"/>
      <c r="F2" s="456"/>
      <c r="G2" s="456"/>
      <c r="H2" s="456"/>
      <c r="I2" s="456"/>
      <c r="J2" s="457" t="s">
        <v>590</v>
      </c>
      <c r="K2" s="458"/>
      <c r="L2" s="459" t="s">
        <v>591</v>
      </c>
      <c r="M2" s="460"/>
      <c r="N2" s="453"/>
    </row>
    <row r="3" spans="1:14" ht="15.95" customHeight="1">
      <c r="A3" s="461"/>
      <c r="B3" s="462"/>
      <c r="C3" s="462"/>
      <c r="D3" s="462"/>
      <c r="E3" s="462"/>
      <c r="F3" s="462"/>
      <c r="G3" s="462"/>
      <c r="H3" s="462"/>
      <c r="I3" s="462"/>
      <c r="J3" s="457" t="s">
        <v>592</v>
      </c>
      <c r="K3" s="458"/>
      <c r="L3" s="463" t="s">
        <v>593</v>
      </c>
      <c r="M3" s="460"/>
      <c r="N3" s="453"/>
    </row>
    <row r="4" spans="1:14" ht="15.95" customHeight="1">
      <c r="A4" s="464"/>
      <c r="B4" s="462"/>
      <c r="C4" s="462"/>
      <c r="D4" s="462"/>
      <c r="E4" s="462"/>
      <c r="F4" s="462"/>
      <c r="G4" s="462"/>
      <c r="H4" s="462"/>
      <c r="I4" s="462"/>
      <c r="J4" s="457" t="s">
        <v>594</v>
      </c>
      <c r="K4" s="458"/>
      <c r="L4" s="465" t="s">
        <v>595</v>
      </c>
      <c r="M4" s="460"/>
      <c r="N4" s="453"/>
    </row>
    <row r="5" spans="1:14" ht="15.95" customHeight="1">
      <c r="A5" s="461"/>
      <c r="B5" s="462"/>
      <c r="C5" s="462"/>
      <c r="D5" s="462"/>
      <c r="E5" s="462"/>
      <c r="F5" s="462"/>
      <c r="G5" s="462"/>
      <c r="H5" s="462"/>
      <c r="I5" s="462"/>
      <c r="J5" s="457" t="s">
        <v>596</v>
      </c>
      <c r="K5" s="458"/>
      <c r="L5" s="459">
        <v>2</v>
      </c>
      <c r="M5" s="460"/>
      <c r="N5" s="453"/>
    </row>
    <row r="6" spans="1:14" ht="15.95" customHeight="1">
      <c r="A6" s="466" t="s">
        <v>597</v>
      </c>
      <c r="B6" s="462"/>
      <c r="C6" s="462"/>
      <c r="D6" s="462"/>
      <c r="E6" s="462"/>
      <c r="F6" s="462"/>
      <c r="G6" s="462"/>
      <c r="H6" s="462"/>
      <c r="I6" s="462"/>
      <c r="J6" s="457" t="s">
        <v>598</v>
      </c>
      <c r="K6" s="458"/>
      <c r="L6" s="467" t="s">
        <v>599</v>
      </c>
      <c r="M6" s="460"/>
      <c r="N6" s="453"/>
    </row>
    <row r="7" spans="1:14" ht="15.95" customHeight="1" thickBot="1">
      <c r="A7" s="468" t="s">
        <v>600</v>
      </c>
      <c r="B7" s="469"/>
      <c r="C7" s="469"/>
      <c r="D7" s="469"/>
      <c r="E7" s="469"/>
      <c r="F7" s="469"/>
      <c r="G7" s="469"/>
      <c r="H7" s="469"/>
      <c r="I7" s="469"/>
      <c r="J7" s="470" t="s">
        <v>601</v>
      </c>
      <c r="K7" s="471"/>
      <c r="L7" s="472" t="s">
        <v>602</v>
      </c>
      <c r="M7" s="473"/>
      <c r="N7" s="453"/>
    </row>
    <row r="8" spans="1:14" ht="15.95" customHeight="1">
      <c r="A8" s="474"/>
      <c r="B8" s="462"/>
      <c r="C8" s="462"/>
      <c r="D8" s="462"/>
      <c r="E8" s="462"/>
      <c r="F8" s="462"/>
      <c r="G8" s="462"/>
      <c r="H8" s="462"/>
      <c r="I8" s="462"/>
      <c r="J8" s="462"/>
      <c r="K8" s="475"/>
      <c r="L8" s="476"/>
      <c r="M8" s="477"/>
      <c r="N8" s="462"/>
    </row>
    <row r="9" spans="1:14" ht="12" customHeight="1">
      <c r="A9" s="478"/>
      <c r="B9" s="479" t="s">
        <v>603</v>
      </c>
      <c r="C9" s="480" t="s">
        <v>694</v>
      </c>
      <c r="D9" s="481"/>
      <c r="E9" s="481"/>
      <c r="F9" s="481"/>
      <c r="G9" s="481"/>
      <c r="H9" s="481"/>
      <c r="I9" s="481"/>
      <c r="J9" s="481"/>
      <c r="K9" s="482"/>
      <c r="L9" s="483"/>
      <c r="M9" s="481"/>
      <c r="N9" s="462"/>
    </row>
    <row r="10" spans="1:14" ht="12" customHeight="1">
      <c r="A10" s="478"/>
      <c r="B10" s="479" t="s">
        <v>604</v>
      </c>
      <c r="C10" s="484" t="s">
        <v>695</v>
      </c>
      <c r="D10" s="483"/>
      <c r="E10" s="483"/>
      <c r="F10" s="483"/>
      <c r="G10" s="483"/>
      <c r="H10" s="483"/>
      <c r="I10" s="483"/>
      <c r="J10" s="483"/>
      <c r="K10" s="483"/>
      <c r="L10" s="483"/>
      <c r="M10" s="483"/>
      <c r="N10" s="476"/>
    </row>
    <row r="11" spans="1:14" ht="16.5" thickBot="1">
      <c r="A11" s="485"/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</row>
    <row r="12" spans="1:14" ht="20.100000000000001" customHeight="1" thickBot="1">
      <c r="A12" s="486" t="s">
        <v>605</v>
      </c>
      <c r="B12" s="487"/>
      <c r="C12" s="487"/>
      <c r="D12" s="487"/>
      <c r="E12" s="487"/>
      <c r="F12" s="487"/>
      <c r="G12" s="487"/>
      <c r="H12" s="487"/>
      <c r="I12" s="487"/>
      <c r="J12" s="487"/>
      <c r="K12" s="487"/>
      <c r="L12" s="487"/>
      <c r="M12" s="488"/>
      <c r="N12" s="453"/>
    </row>
    <row r="13" spans="1:14" ht="12.95" customHeight="1" thickTop="1">
      <c r="A13" s="489"/>
      <c r="B13" s="490" t="s">
        <v>606</v>
      </c>
      <c r="C13" s="491">
        <v>450</v>
      </c>
      <c r="D13" s="483"/>
      <c r="E13" s="490" t="s">
        <v>607</v>
      </c>
      <c r="F13" s="491">
        <v>4000</v>
      </c>
      <c r="G13" s="483"/>
      <c r="H13" s="490" t="s">
        <v>608</v>
      </c>
      <c r="I13" s="491" t="s">
        <v>693</v>
      </c>
      <c r="J13" s="483"/>
      <c r="K13" s="483"/>
      <c r="L13" s="490" t="s">
        <v>609</v>
      </c>
      <c r="M13" s="492">
        <v>1800</v>
      </c>
      <c r="N13" s="453"/>
    </row>
    <row r="14" spans="1:14" ht="12.95" customHeight="1">
      <c r="A14" s="489"/>
      <c r="B14" s="490" t="s">
        <v>610</v>
      </c>
      <c r="C14" s="491" t="s">
        <v>696</v>
      </c>
      <c r="D14" s="483"/>
      <c r="E14" s="490" t="s">
        <v>611</v>
      </c>
      <c r="F14" s="493" t="s">
        <v>698</v>
      </c>
      <c r="G14" s="483"/>
      <c r="H14" s="490" t="s">
        <v>612</v>
      </c>
      <c r="I14" s="491">
        <v>59</v>
      </c>
      <c r="J14" s="483"/>
      <c r="K14" s="483"/>
      <c r="L14" s="490" t="s">
        <v>564</v>
      </c>
      <c r="M14" s="492">
        <v>1775</v>
      </c>
      <c r="N14" s="453"/>
    </row>
    <row r="15" spans="1:14" ht="12.95" customHeight="1">
      <c r="A15" s="489"/>
      <c r="B15" s="490" t="s">
        <v>613</v>
      </c>
      <c r="C15" s="491" t="s">
        <v>697</v>
      </c>
      <c r="D15" s="483"/>
      <c r="E15" s="490" t="s">
        <v>614</v>
      </c>
      <c r="F15" s="494" t="s">
        <v>699</v>
      </c>
      <c r="G15" s="483"/>
      <c r="H15" s="490" t="s">
        <v>615</v>
      </c>
      <c r="I15" s="493" t="s">
        <v>320</v>
      </c>
      <c r="J15" s="483"/>
      <c r="K15" s="483"/>
      <c r="L15" s="490" t="s">
        <v>616</v>
      </c>
      <c r="M15" s="492" t="s">
        <v>363</v>
      </c>
      <c r="N15" s="453"/>
    </row>
    <row r="16" spans="1:14" ht="12.95" customHeight="1">
      <c r="A16" s="489"/>
      <c r="B16" s="490" t="s">
        <v>617</v>
      </c>
      <c r="C16" s="491" t="s">
        <v>692</v>
      </c>
      <c r="D16" s="483"/>
      <c r="E16" s="490" t="s">
        <v>618</v>
      </c>
      <c r="F16" s="491" t="s">
        <v>432</v>
      </c>
      <c r="G16" s="483"/>
      <c r="H16" s="495" t="s">
        <v>619</v>
      </c>
      <c r="I16" s="496" t="s">
        <v>363</v>
      </c>
      <c r="J16" s="483"/>
      <c r="K16" s="483"/>
      <c r="L16" s="490" t="s">
        <v>620</v>
      </c>
      <c r="M16" s="492" t="s">
        <v>621</v>
      </c>
      <c r="N16" s="453"/>
    </row>
    <row r="17" spans="1:14" ht="12.95" customHeight="1">
      <c r="A17" s="489"/>
      <c r="B17" s="490" t="s">
        <v>622</v>
      </c>
      <c r="C17" s="497" t="s">
        <v>700</v>
      </c>
      <c r="D17" s="483"/>
      <c r="E17" s="490"/>
      <c r="F17" s="493"/>
      <c r="G17" s="483"/>
      <c r="H17" s="490" t="s">
        <v>623</v>
      </c>
      <c r="I17" s="496">
        <v>336</v>
      </c>
      <c r="J17" s="483"/>
      <c r="K17" s="483"/>
      <c r="L17" s="490"/>
      <c r="M17" s="498"/>
      <c r="N17" s="453"/>
    </row>
    <row r="18" spans="1:14" ht="12.95" customHeight="1" thickBot="1">
      <c r="A18" s="499"/>
      <c r="B18" s="500" t="s">
        <v>624</v>
      </c>
      <c r="C18" s="501">
        <v>93</v>
      </c>
      <c r="D18" s="502"/>
      <c r="E18" s="503" t="s">
        <v>625</v>
      </c>
      <c r="F18" s="501" t="s">
        <v>174</v>
      </c>
      <c r="G18" s="504"/>
      <c r="H18" s="503" t="s">
        <v>626</v>
      </c>
      <c r="I18" s="501">
        <v>88.5</v>
      </c>
      <c r="J18" s="502"/>
      <c r="K18" s="502"/>
      <c r="L18" s="502"/>
      <c r="M18" s="505"/>
      <c r="N18" s="453"/>
    </row>
    <row r="19" spans="1:14" ht="16.5" thickBot="1">
      <c r="A19" s="453"/>
      <c r="B19" s="453"/>
      <c r="C19" s="453"/>
      <c r="D19" s="453"/>
      <c r="E19" s="453"/>
      <c r="F19" s="453"/>
      <c r="G19" s="453"/>
      <c r="H19" s="453"/>
      <c r="I19" s="453"/>
      <c r="J19" s="453"/>
      <c r="K19" s="453"/>
      <c r="L19" s="453"/>
      <c r="M19" s="453"/>
      <c r="N19" s="453"/>
    </row>
    <row r="20" spans="1:14" ht="20.100000000000001" customHeight="1" thickBot="1">
      <c r="A20" s="486"/>
      <c r="B20" s="487"/>
      <c r="C20" s="487"/>
      <c r="D20" s="487"/>
      <c r="E20" s="487"/>
      <c r="F20" s="487"/>
      <c r="G20" s="487"/>
      <c r="H20" s="487"/>
      <c r="I20" s="487"/>
      <c r="J20" s="487"/>
      <c r="K20" s="487"/>
      <c r="L20" s="487"/>
      <c r="M20" s="488"/>
    </row>
    <row r="21" spans="1:14" ht="15.95" customHeight="1" thickTop="1">
      <c r="A21" s="506" t="s">
        <v>627</v>
      </c>
      <c r="B21" s="507"/>
      <c r="C21" s="476"/>
      <c r="D21" s="508"/>
      <c r="E21" s="509" t="s">
        <v>628</v>
      </c>
      <c r="F21" s="510"/>
      <c r="G21" s="510"/>
      <c r="H21" s="511"/>
      <c r="I21" s="512" t="s">
        <v>629</v>
      </c>
      <c r="J21" s="513"/>
      <c r="K21" s="513"/>
      <c r="L21" s="476"/>
      <c r="M21" s="514"/>
    </row>
    <row r="22" spans="1:14" ht="15.95" customHeight="1">
      <c r="A22" s="515"/>
      <c r="B22" s="483"/>
      <c r="C22" s="516" t="s">
        <v>630</v>
      </c>
      <c r="D22" s="517">
        <v>353</v>
      </c>
      <c r="E22" s="490"/>
      <c r="G22" s="495" t="s">
        <v>631</v>
      </c>
      <c r="H22" s="518">
        <v>1332</v>
      </c>
      <c r="I22" s="516"/>
      <c r="J22" s="483"/>
      <c r="K22" s="516" t="s">
        <v>632</v>
      </c>
      <c r="L22" s="483" t="s">
        <v>633</v>
      </c>
      <c r="M22" s="498"/>
    </row>
    <row r="23" spans="1:14" ht="15.95" customHeight="1">
      <c r="A23" s="515"/>
      <c r="B23" s="516"/>
      <c r="C23" s="519"/>
      <c r="D23" s="520"/>
      <c r="E23" s="490"/>
      <c r="G23" s="490" t="s">
        <v>634</v>
      </c>
      <c r="H23" s="517">
        <v>135</v>
      </c>
      <c r="I23" s="483"/>
      <c r="J23" s="483"/>
      <c r="K23" s="490" t="s">
        <v>635</v>
      </c>
      <c r="L23" s="483" t="s">
        <v>633</v>
      </c>
      <c r="M23" s="498"/>
    </row>
    <row r="24" spans="1:14" ht="15.95" customHeight="1">
      <c r="A24" s="489"/>
      <c r="B24" s="490"/>
      <c r="C24" s="483"/>
      <c r="D24" s="520"/>
      <c r="E24" s="490"/>
      <c r="G24" s="495" t="s">
        <v>636</v>
      </c>
      <c r="H24" s="517">
        <v>275</v>
      </c>
      <c r="I24" s="483"/>
      <c r="J24" s="490"/>
      <c r="K24" s="483"/>
      <c r="L24" s="483"/>
      <c r="M24" s="498"/>
    </row>
    <row r="25" spans="1:14" ht="15.95" customHeight="1" thickBot="1">
      <c r="A25" s="499"/>
      <c r="B25" s="500"/>
      <c r="C25" s="502"/>
      <c r="D25" s="521"/>
      <c r="E25" s="503"/>
      <c r="F25" s="503"/>
      <c r="G25" s="503"/>
      <c r="H25" s="522"/>
      <c r="I25" s="502"/>
      <c r="J25" s="503"/>
      <c r="K25" s="502"/>
      <c r="L25" s="502"/>
      <c r="M25" s="505"/>
    </row>
    <row r="26" spans="1:14" ht="18.95" customHeight="1" thickBot="1">
      <c r="A26" s="523"/>
      <c r="B26" s="523"/>
      <c r="C26" s="523"/>
      <c r="D26" s="524"/>
      <c r="E26" s="524"/>
      <c r="F26" s="524"/>
      <c r="G26" s="524"/>
      <c r="H26" s="524"/>
      <c r="I26" s="524"/>
      <c r="J26" s="524"/>
      <c r="K26" s="524"/>
      <c r="L26" s="524"/>
      <c r="M26" s="453"/>
      <c r="N26" s="453"/>
    </row>
    <row r="27" spans="1:14" ht="20.100000000000001" customHeight="1" thickBot="1">
      <c r="A27" s="525"/>
      <c r="B27" s="526"/>
      <c r="C27" s="526"/>
      <c r="D27" s="526"/>
      <c r="E27" s="526"/>
      <c r="F27" s="526"/>
      <c r="G27" s="527"/>
      <c r="H27" s="526"/>
      <c r="I27" s="526"/>
      <c r="J27" s="526"/>
      <c r="K27" s="526"/>
      <c r="L27" s="526"/>
      <c r="M27" s="528"/>
    </row>
    <row r="28" spans="1:14" ht="15.95" customHeight="1" thickTop="1">
      <c r="A28" s="529" t="s">
        <v>637</v>
      </c>
      <c r="B28" s="507"/>
      <c r="C28" s="476"/>
      <c r="D28" s="476"/>
      <c r="E28" s="510"/>
      <c r="F28" s="510"/>
      <c r="G28" s="530"/>
      <c r="H28" s="509" t="s">
        <v>638</v>
      </c>
      <c r="I28" s="510"/>
      <c r="J28" s="513"/>
      <c r="K28" s="509"/>
      <c r="L28" s="513"/>
      <c r="M28" s="514"/>
    </row>
    <row r="29" spans="1:14" ht="15.95" customHeight="1">
      <c r="A29" s="489"/>
      <c r="B29" s="516"/>
      <c r="C29" s="516" t="s">
        <v>639</v>
      </c>
      <c r="D29" s="531">
        <v>93.1</v>
      </c>
      <c r="E29" s="490"/>
      <c r="F29" s="490"/>
      <c r="G29" s="530"/>
      <c r="H29" s="495"/>
      <c r="I29" s="516"/>
      <c r="J29" s="516" t="s">
        <v>639</v>
      </c>
      <c r="K29" s="531">
        <v>88.7</v>
      </c>
      <c r="L29" s="483"/>
      <c r="M29" s="498"/>
    </row>
    <row r="30" spans="1:14" ht="15.95" customHeight="1">
      <c r="A30" s="532"/>
      <c r="B30" s="483"/>
      <c r="C30" s="516" t="s">
        <v>640</v>
      </c>
      <c r="D30" s="531">
        <v>93.2</v>
      </c>
      <c r="E30" s="490"/>
      <c r="F30" s="490"/>
      <c r="G30" s="530"/>
      <c r="H30" s="490"/>
      <c r="I30" s="483"/>
      <c r="J30" s="516" t="s">
        <v>640</v>
      </c>
      <c r="K30" s="531">
        <v>85.6</v>
      </c>
      <c r="L30" s="483"/>
      <c r="M30" s="498"/>
    </row>
    <row r="31" spans="1:14" ht="15.95" customHeight="1">
      <c r="A31" s="489"/>
      <c r="B31" s="490"/>
      <c r="C31" s="516" t="s">
        <v>641</v>
      </c>
      <c r="D31" s="531">
        <v>92.7</v>
      </c>
      <c r="E31" s="490"/>
      <c r="F31" s="490"/>
      <c r="G31" s="530"/>
      <c r="H31" s="490"/>
      <c r="I31" s="483"/>
      <c r="J31" s="516" t="s">
        <v>641</v>
      </c>
      <c r="K31" s="531">
        <v>77.3</v>
      </c>
      <c r="L31" s="490"/>
      <c r="M31" s="498"/>
    </row>
    <row r="32" spans="1:14" ht="15.95" customHeight="1" thickBot="1">
      <c r="A32" s="499"/>
      <c r="B32" s="500"/>
      <c r="C32" s="502"/>
      <c r="D32" s="502"/>
      <c r="E32" s="503"/>
      <c r="F32" s="503"/>
      <c r="G32" s="533"/>
      <c r="H32" s="503"/>
      <c r="I32" s="502"/>
      <c r="J32" s="503"/>
      <c r="K32" s="502"/>
      <c r="L32" s="503"/>
      <c r="M32" s="505"/>
    </row>
    <row r="33" spans="1:14" ht="20.100000000000001" customHeight="1" thickBot="1">
      <c r="A33" s="534"/>
      <c r="B33" s="534"/>
      <c r="C33" s="534"/>
      <c r="D33" s="534"/>
      <c r="E33" s="534"/>
      <c r="F33" s="534"/>
      <c r="G33" s="534"/>
      <c r="H33" s="534"/>
      <c r="I33" s="534"/>
      <c r="J33" s="534"/>
      <c r="K33" s="534"/>
      <c r="L33" s="534"/>
      <c r="M33" s="535"/>
      <c r="N33" s="535"/>
    </row>
    <row r="34" spans="1:14" ht="20.100000000000001" customHeight="1" thickBot="1">
      <c r="A34" s="536"/>
      <c r="B34" s="537"/>
      <c r="C34" s="537"/>
      <c r="D34" s="537"/>
      <c r="E34" s="537"/>
      <c r="F34" s="537"/>
      <c r="G34" s="537"/>
      <c r="H34" s="537"/>
      <c r="I34" s="537"/>
      <c r="J34" s="537"/>
      <c r="K34" s="537"/>
      <c r="L34" s="537"/>
      <c r="M34" s="538"/>
    </row>
    <row r="35" spans="1:14" ht="15.95" customHeight="1" thickTop="1">
      <c r="A35" s="539" t="s">
        <v>642</v>
      </c>
      <c r="B35" s="519"/>
      <c r="C35" s="519"/>
      <c r="D35" s="519"/>
      <c r="E35" s="519"/>
      <c r="F35" s="519"/>
      <c r="G35" s="519"/>
      <c r="H35" s="519"/>
      <c r="I35" s="519"/>
      <c r="J35" s="519"/>
      <c r="K35" s="519"/>
      <c r="L35" s="519"/>
      <c r="M35" s="540"/>
    </row>
    <row r="36" spans="1:14" ht="15.95" customHeight="1">
      <c r="A36" s="532" t="s">
        <v>643</v>
      </c>
      <c r="B36" s="519"/>
      <c r="C36" s="519"/>
      <c r="D36" s="519"/>
      <c r="E36" s="519"/>
      <c r="F36" s="519"/>
      <c r="G36" s="519"/>
      <c r="H36" s="519"/>
      <c r="I36" s="519"/>
      <c r="J36" s="519"/>
      <c r="K36" s="519"/>
      <c r="L36" s="519"/>
      <c r="M36" s="540"/>
    </row>
    <row r="37" spans="1:14" ht="15.95" customHeight="1">
      <c r="A37" s="541" t="s">
        <v>644</v>
      </c>
      <c r="B37" s="519"/>
      <c r="C37" s="519"/>
      <c r="D37" s="519"/>
      <c r="E37" s="542"/>
      <c r="F37" s="519"/>
      <c r="G37" s="519"/>
      <c r="H37" s="519"/>
      <c r="I37" s="519"/>
      <c r="J37" s="519"/>
      <c r="K37" s="519"/>
      <c r="L37" s="519"/>
      <c r="M37" s="540"/>
    </row>
    <row r="38" spans="1:14" ht="15.95" customHeight="1">
      <c r="A38" s="543" t="s">
        <v>645</v>
      </c>
      <c r="B38" s="519"/>
      <c r="C38" s="519"/>
      <c r="D38" s="519"/>
      <c r="E38" s="519"/>
      <c r="F38" s="519"/>
      <c r="G38" s="519"/>
      <c r="H38" s="519"/>
      <c r="I38" s="519"/>
      <c r="J38" s="519"/>
      <c r="K38" s="519"/>
      <c r="L38" s="519"/>
      <c r="M38" s="540"/>
    </row>
    <row r="39" spans="1:14" ht="15.95" customHeight="1">
      <c r="A39" s="544" t="s">
        <v>646</v>
      </c>
      <c r="B39" s="519"/>
      <c r="C39" s="519"/>
      <c r="D39" s="519"/>
      <c r="E39" s="519"/>
      <c r="F39" s="519"/>
      <c r="G39" s="519"/>
      <c r="H39" s="519"/>
      <c r="I39" s="519"/>
      <c r="J39" s="519"/>
      <c r="K39" s="519"/>
      <c r="L39" s="519"/>
      <c r="M39" s="540"/>
    </row>
    <row r="40" spans="1:14" ht="15.95" customHeight="1" thickBot="1">
      <c r="A40" s="545" t="s">
        <v>647</v>
      </c>
      <c r="B40" s="546"/>
      <c r="C40" s="546"/>
      <c r="D40" s="546"/>
      <c r="E40" s="546"/>
      <c r="F40" s="546"/>
      <c r="G40" s="546"/>
      <c r="H40" s="546"/>
      <c r="I40" s="546"/>
      <c r="J40" s="546"/>
      <c r="K40" s="546"/>
      <c r="L40" s="546"/>
      <c r="M40" s="547"/>
    </row>
    <row r="41" spans="1:14" ht="15.95" customHeight="1"/>
    <row r="42" spans="1:14" ht="18">
      <c r="A42" s="548"/>
      <c r="B42" s="548"/>
      <c r="C42" s="548"/>
      <c r="D42" s="548"/>
      <c r="E42" s="548"/>
      <c r="F42" s="548"/>
      <c r="G42" s="548"/>
      <c r="H42" s="453"/>
      <c r="I42" s="453"/>
      <c r="J42" s="549" t="s">
        <v>648</v>
      </c>
      <c r="K42" s="838" t="s">
        <v>649</v>
      </c>
      <c r="L42" s="838"/>
      <c r="M42" s="838"/>
      <c r="N42" s="548"/>
    </row>
    <row r="43" spans="1:14" ht="7.5" customHeight="1">
      <c r="H43" s="453"/>
      <c r="I43" s="453"/>
      <c r="J43" s="453"/>
      <c r="K43" s="453"/>
      <c r="L43" s="453"/>
      <c r="M43" s="453"/>
    </row>
    <row r="44" spans="1:14" ht="16.5">
      <c r="H44" s="453"/>
      <c r="I44" s="453"/>
      <c r="J44" s="549" t="s">
        <v>650</v>
      </c>
      <c r="K44" s="839">
        <v>44021</v>
      </c>
      <c r="L44" s="839"/>
      <c r="M44" s="839"/>
    </row>
    <row r="59" spans="1:5">
      <c r="A59" s="454" t="s">
        <v>174</v>
      </c>
      <c r="B59" s="454" t="s">
        <v>651</v>
      </c>
      <c r="D59" s="454">
        <v>1</v>
      </c>
      <c r="E59" s="550" t="s">
        <v>174</v>
      </c>
    </row>
    <row r="60" spans="1:5">
      <c r="A60" s="454" t="s">
        <v>652</v>
      </c>
      <c r="B60" s="454" t="s">
        <v>653</v>
      </c>
      <c r="D60" s="454">
        <v>1.1499999999999999</v>
      </c>
      <c r="E60" s="550" t="s">
        <v>183</v>
      </c>
    </row>
    <row r="61" spans="1:5">
      <c r="A61" s="454" t="s">
        <v>654</v>
      </c>
      <c r="B61" s="454" t="s">
        <v>655</v>
      </c>
      <c r="E61" s="550" t="s">
        <v>320</v>
      </c>
    </row>
    <row r="62" spans="1:5">
      <c r="B62" s="454" t="s">
        <v>656</v>
      </c>
    </row>
    <row r="63" spans="1:5">
      <c r="B63" s="454" t="s">
        <v>657</v>
      </c>
    </row>
    <row r="64" spans="1:5">
      <c r="B64" s="454" t="s">
        <v>658</v>
      </c>
    </row>
    <row r="65" spans="2:2">
      <c r="B65" s="454" t="s">
        <v>659</v>
      </c>
    </row>
    <row r="66" spans="2:2">
      <c r="B66" s="454" t="s">
        <v>660</v>
      </c>
    </row>
    <row r="67" spans="2:2">
      <c r="B67" s="454" t="s">
        <v>661</v>
      </c>
    </row>
    <row r="68" spans="2:2">
      <c r="B68" s="454" t="s">
        <v>662</v>
      </c>
    </row>
    <row r="69" spans="2:2">
      <c r="B69" s="454" t="s">
        <v>663</v>
      </c>
    </row>
    <row r="70" spans="2:2">
      <c r="B70" s="454" t="s">
        <v>664</v>
      </c>
    </row>
    <row r="71" spans="2:2">
      <c r="B71" s="454" t="s">
        <v>665</v>
      </c>
    </row>
    <row r="72" spans="2:2">
      <c r="B72" s="454" t="s">
        <v>666</v>
      </c>
    </row>
    <row r="73" spans="2:2">
      <c r="B73" s="454" t="s">
        <v>667</v>
      </c>
    </row>
    <row r="74" spans="2:2">
      <c r="B74" s="454" t="s">
        <v>668</v>
      </c>
    </row>
    <row r="75" spans="2:2">
      <c r="B75" s="454" t="s">
        <v>669</v>
      </c>
    </row>
    <row r="76" spans="2:2">
      <c r="B76" s="454" t="s">
        <v>670</v>
      </c>
    </row>
    <row r="77" spans="2:2">
      <c r="B77" s="454" t="s">
        <v>671</v>
      </c>
    </row>
    <row r="78" spans="2:2">
      <c r="B78" s="454" t="s">
        <v>672</v>
      </c>
    </row>
    <row r="79" spans="2:2">
      <c r="B79" s="454" t="s">
        <v>673</v>
      </c>
    </row>
    <row r="80" spans="2:2">
      <c r="B80" s="454">
        <v>6312</v>
      </c>
    </row>
    <row r="81" spans="2:2">
      <c r="B81" s="454" t="s">
        <v>674</v>
      </c>
    </row>
    <row r="82" spans="2:2">
      <c r="B82" s="454" t="s">
        <v>675</v>
      </c>
    </row>
    <row r="83" spans="2:2">
      <c r="B83" s="454" t="s">
        <v>676</v>
      </c>
    </row>
    <row r="84" spans="2:2">
      <c r="B84" s="454" t="s">
        <v>677</v>
      </c>
    </row>
    <row r="85" spans="2:2">
      <c r="B85" s="454">
        <v>6313</v>
      </c>
    </row>
    <row r="86" spans="2:2">
      <c r="B86" s="454" t="s">
        <v>678</v>
      </c>
    </row>
    <row r="87" spans="2:2">
      <c r="B87" s="454" t="s">
        <v>679</v>
      </c>
    </row>
    <row r="88" spans="2:2">
      <c r="B88" s="454" t="s">
        <v>680</v>
      </c>
    </row>
    <row r="89" spans="2:2">
      <c r="B89" s="454">
        <v>6314</v>
      </c>
    </row>
    <row r="90" spans="2:2">
      <c r="B90" s="454" t="s">
        <v>681</v>
      </c>
    </row>
    <row r="91" spans="2:2">
      <c r="B91" s="454">
        <v>6317</v>
      </c>
    </row>
    <row r="92" spans="2:2">
      <c r="B92" s="454" t="s">
        <v>682</v>
      </c>
    </row>
    <row r="93" spans="2:2">
      <c r="B93" s="454">
        <v>6318</v>
      </c>
    </row>
    <row r="94" spans="2:2">
      <c r="B94" s="454" t="s">
        <v>683</v>
      </c>
    </row>
    <row r="95" spans="2:2">
      <c r="B95" s="454" t="s">
        <v>684</v>
      </c>
    </row>
    <row r="96" spans="2:2">
      <c r="B96" s="454" t="s">
        <v>685</v>
      </c>
    </row>
    <row r="97" spans="2:2">
      <c r="B97" s="454">
        <v>6320</v>
      </c>
    </row>
    <row r="98" spans="2:2">
      <c r="B98" s="454" t="s">
        <v>686</v>
      </c>
    </row>
    <row r="99" spans="2:2">
      <c r="B99" s="454" t="s">
        <v>687</v>
      </c>
    </row>
    <row r="100" spans="2:2">
      <c r="B100" s="454" t="s">
        <v>688</v>
      </c>
    </row>
    <row r="101" spans="2:2">
      <c r="B101" s="454" t="s">
        <v>689</v>
      </c>
    </row>
    <row r="102" spans="2:2">
      <c r="B102" s="454" t="s">
        <v>689</v>
      </c>
    </row>
    <row r="118" spans="2:2">
      <c r="B118" s="454" t="s">
        <v>690</v>
      </c>
    </row>
    <row r="120" spans="2:2">
      <c r="B120" s="454" t="s">
        <v>691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X24" sqref="X24"/>
    </sheetView>
  </sheetViews>
  <sheetFormatPr defaultRowHeight="12.75"/>
  <cols>
    <col min="1" max="6" width="16.7109375" style="387" customWidth="1"/>
    <col min="7" max="16384" width="9.140625" style="387"/>
  </cols>
  <sheetData>
    <row r="1" spans="1:6" ht="18.95" customHeight="1">
      <c r="A1" s="400"/>
      <c r="B1" s="401"/>
      <c r="C1" s="401"/>
      <c r="D1" s="401"/>
      <c r="E1" s="401"/>
      <c r="F1" s="402"/>
    </row>
    <row r="2" spans="1:6" ht="26.1" customHeight="1">
      <c r="A2" s="403" t="s">
        <v>267</v>
      </c>
      <c r="B2" s="404"/>
      <c r="C2" s="404"/>
      <c r="D2" s="404"/>
      <c r="E2" s="404"/>
      <c r="F2" s="405"/>
    </row>
    <row r="3" spans="1:6" ht="18.95" customHeight="1">
      <c r="A3" s="429" t="s">
        <v>579</v>
      </c>
      <c r="B3" s="404"/>
      <c r="C3" s="404"/>
      <c r="D3" s="404"/>
      <c r="E3" s="404"/>
      <c r="F3" s="405"/>
    </row>
    <row r="4" spans="1:6" ht="18.95" customHeight="1">
      <c r="A4" s="406"/>
      <c r="B4" s="407"/>
      <c r="C4" s="407"/>
      <c r="D4" s="407"/>
      <c r="E4" s="407"/>
      <c r="F4" s="408"/>
    </row>
    <row r="5" spans="1:6" ht="18.95" customHeight="1">
      <c r="A5" s="406"/>
      <c r="B5" s="407"/>
      <c r="C5" s="407"/>
      <c r="D5" s="407"/>
      <c r="E5" s="407"/>
      <c r="F5" s="408"/>
    </row>
    <row r="6" spans="1:6" ht="18.95" customHeight="1">
      <c r="A6" s="409" t="s">
        <v>553</v>
      </c>
      <c r="B6" s="840" t="str">
        <f>'Performance Data Sheet'!C17</f>
        <v>A1-10033109</v>
      </c>
      <c r="C6" s="841"/>
      <c r="D6" s="842"/>
      <c r="E6" s="409" t="s">
        <v>554</v>
      </c>
      <c r="F6" s="410">
        <f>'Performance Data Sheet'!I14</f>
        <v>59</v>
      </c>
    </row>
    <row r="7" spans="1:6" ht="18.95" customHeight="1">
      <c r="A7" s="409" t="s">
        <v>555</v>
      </c>
      <c r="B7" s="410" t="str">
        <f>'Performance Data Sheet'!F14</f>
        <v>WP-II</v>
      </c>
      <c r="C7" s="409" t="s">
        <v>556</v>
      </c>
      <c r="D7" s="410" t="str">
        <f>'Performance Data Sheet'!F13 &amp; " V"</f>
        <v>4000 V</v>
      </c>
      <c r="E7" s="409" t="s">
        <v>557</v>
      </c>
      <c r="F7" s="410" t="str">
        <f>'Performance Data Sheet'!C14</f>
        <v>5012US</v>
      </c>
    </row>
    <row r="8" spans="1:6" ht="18.95" customHeight="1">
      <c r="A8" s="409" t="s">
        <v>558</v>
      </c>
      <c r="B8" s="410">
        <v>4</v>
      </c>
      <c r="C8" s="409" t="s">
        <v>559</v>
      </c>
      <c r="D8" s="410" t="s">
        <v>560</v>
      </c>
      <c r="E8" s="409" t="s">
        <v>561</v>
      </c>
      <c r="F8" s="410" t="str">
        <f>'Performance Data Sheet'!M15</f>
        <v>F</v>
      </c>
    </row>
    <row r="9" spans="1:6" ht="18.95" customHeight="1">
      <c r="A9" s="409" t="s">
        <v>562</v>
      </c>
      <c r="B9" s="410">
        <f>'Performance Data Sheet'!C13</f>
        <v>450</v>
      </c>
      <c r="C9" s="409" t="s">
        <v>563</v>
      </c>
      <c r="D9" s="410" t="s">
        <v>573</v>
      </c>
      <c r="E9" s="409" t="s">
        <v>2</v>
      </c>
      <c r="F9" s="411">
        <f>'Performance Data Sheet'!K44</f>
        <v>44021</v>
      </c>
    </row>
    <row r="10" spans="1:6" ht="18.95" customHeight="1">
      <c r="A10" s="409" t="s">
        <v>564</v>
      </c>
      <c r="B10" s="410">
        <f>'Performance Data Sheet'!M14</f>
        <v>1775</v>
      </c>
      <c r="C10" s="409" t="s">
        <v>393</v>
      </c>
      <c r="D10" s="410" t="s">
        <v>574</v>
      </c>
      <c r="E10" s="409" t="s">
        <v>1</v>
      </c>
      <c r="F10" s="410" t="s">
        <v>379</v>
      </c>
    </row>
    <row r="11" spans="1:6" ht="18.95" customHeight="1">
      <c r="A11" s="406"/>
      <c r="B11" s="407"/>
      <c r="C11" s="407"/>
      <c r="D11" s="407"/>
      <c r="E11" s="407"/>
      <c r="F11" s="408"/>
    </row>
    <row r="12" spans="1:6" ht="18.95" customHeight="1">
      <c r="A12" s="406"/>
      <c r="B12" s="412" t="s">
        <v>580</v>
      </c>
      <c r="C12" s="413" t="str">
        <f>'Performance Data Sheet'!D22 &amp; " A"</f>
        <v>353 A</v>
      </c>
      <c r="D12" s="412" t="s">
        <v>392</v>
      </c>
      <c r="E12" s="413" t="s">
        <v>396</v>
      </c>
      <c r="F12" s="408"/>
    </row>
    <row r="13" spans="1:6" ht="18.95" customHeight="1">
      <c r="A13" s="406"/>
      <c r="B13" s="412" t="s">
        <v>581</v>
      </c>
      <c r="C13" s="414">
        <f>'Performance Data Sheet'!H23/100</f>
        <v>1.35</v>
      </c>
      <c r="D13" s="412" t="s">
        <v>582</v>
      </c>
      <c r="E13" s="413" t="s">
        <v>584</v>
      </c>
      <c r="F13" s="408"/>
    </row>
    <row r="14" spans="1:6" ht="18.95" customHeight="1">
      <c r="A14" s="406"/>
      <c r="B14" s="412" t="s">
        <v>583</v>
      </c>
      <c r="C14" s="414">
        <v>2.75</v>
      </c>
      <c r="D14" s="412" t="s">
        <v>394</v>
      </c>
      <c r="E14" s="413" t="s">
        <v>578</v>
      </c>
      <c r="F14" s="408"/>
    </row>
    <row r="15" spans="1:6" ht="18.95" customHeight="1">
      <c r="A15" s="406"/>
      <c r="B15" s="412" t="s">
        <v>395</v>
      </c>
      <c r="C15" s="413" t="str">
        <f>'Performance Data Sheet'!H22 &amp; " lb-ft"</f>
        <v>1332 lb-ft</v>
      </c>
      <c r="D15" s="407"/>
      <c r="E15" s="407"/>
      <c r="F15" s="408"/>
    </row>
    <row r="16" spans="1:6" ht="18.95" customHeight="1">
      <c r="A16" s="406"/>
      <c r="B16" s="407"/>
      <c r="C16" s="407"/>
      <c r="D16" s="407"/>
      <c r="E16" s="407"/>
      <c r="F16" s="408"/>
    </row>
    <row r="17" spans="1:6" ht="18.95" customHeight="1">
      <c r="A17" s="406"/>
      <c r="B17" s="407"/>
      <c r="C17" s="407"/>
      <c r="D17" s="407"/>
      <c r="E17" s="407"/>
      <c r="F17" s="408"/>
    </row>
    <row r="18" spans="1:6" ht="18.95" customHeight="1">
      <c r="A18" s="406"/>
      <c r="B18" s="407"/>
      <c r="C18" s="407"/>
      <c r="D18" s="407"/>
      <c r="E18" s="407"/>
      <c r="F18" s="408"/>
    </row>
    <row r="19" spans="1:6" ht="18.95" customHeight="1">
      <c r="A19" s="406"/>
      <c r="B19" s="407"/>
      <c r="C19" s="407"/>
      <c r="D19" s="407"/>
      <c r="E19" s="407"/>
      <c r="F19" s="408"/>
    </row>
    <row r="20" spans="1:6" ht="18.95" customHeight="1">
      <c r="A20" s="406"/>
      <c r="B20" s="407"/>
      <c r="C20" s="407"/>
      <c r="D20" s="407"/>
      <c r="E20" s="407"/>
      <c r="F20" s="408"/>
    </row>
    <row r="21" spans="1:6" ht="18.95" customHeight="1">
      <c r="A21" s="406"/>
      <c r="B21" s="407"/>
      <c r="C21" s="407"/>
      <c r="D21" s="407"/>
      <c r="E21" s="407"/>
      <c r="F21" s="408"/>
    </row>
    <row r="22" spans="1:6" ht="18.95" customHeight="1">
      <c r="A22" s="406"/>
      <c r="B22" s="407"/>
      <c r="C22" s="407"/>
      <c r="D22" s="407"/>
      <c r="E22" s="407"/>
      <c r="F22" s="408"/>
    </row>
    <row r="23" spans="1:6" ht="18.95" customHeight="1">
      <c r="A23" s="406"/>
      <c r="B23" s="407"/>
      <c r="C23" s="407"/>
      <c r="D23" s="407"/>
      <c r="E23" s="407"/>
      <c r="F23" s="408"/>
    </row>
    <row r="24" spans="1:6" ht="18.95" customHeight="1">
      <c r="A24" s="406"/>
      <c r="B24" s="407"/>
      <c r="C24" s="407"/>
      <c r="D24" s="407"/>
      <c r="E24" s="407"/>
      <c r="F24" s="408"/>
    </row>
    <row r="25" spans="1:6" ht="18.95" customHeight="1">
      <c r="A25" s="406"/>
      <c r="B25" s="407"/>
      <c r="C25" s="407"/>
      <c r="D25" s="407"/>
      <c r="E25" s="407"/>
      <c r="F25" s="408"/>
    </row>
    <row r="26" spans="1:6" ht="18.95" customHeight="1">
      <c r="A26" s="406"/>
      <c r="B26" s="407"/>
      <c r="C26" s="407"/>
      <c r="D26" s="407"/>
      <c r="E26" s="407"/>
      <c r="F26" s="408"/>
    </row>
    <row r="27" spans="1:6" ht="18.95" customHeight="1">
      <c r="A27" s="406"/>
      <c r="B27" s="407"/>
      <c r="C27" s="407"/>
      <c r="D27" s="407"/>
      <c r="E27" s="407"/>
      <c r="F27" s="408"/>
    </row>
    <row r="28" spans="1:6" ht="18.95" customHeight="1">
      <c r="A28" s="406"/>
      <c r="B28" s="407"/>
      <c r="C28" s="407"/>
      <c r="D28" s="407"/>
      <c r="E28" s="407"/>
      <c r="F28" s="408"/>
    </row>
    <row r="29" spans="1:6" ht="18.95" customHeight="1">
      <c r="A29" s="406"/>
      <c r="B29" s="407"/>
      <c r="C29" s="407"/>
      <c r="D29" s="407"/>
      <c r="E29" s="407"/>
      <c r="F29" s="408"/>
    </row>
    <row r="30" spans="1:6" ht="18.95" customHeight="1">
      <c r="A30" s="406"/>
      <c r="B30" s="407"/>
      <c r="C30" s="407"/>
      <c r="D30" s="407"/>
      <c r="E30" s="407"/>
      <c r="F30" s="408"/>
    </row>
    <row r="31" spans="1:6" ht="18.95" customHeight="1">
      <c r="A31" s="406"/>
      <c r="B31" s="407"/>
      <c r="C31" s="407"/>
      <c r="D31" s="407"/>
      <c r="E31" s="407"/>
      <c r="F31" s="408"/>
    </row>
    <row r="32" spans="1:6" ht="18.95" customHeight="1">
      <c r="A32" s="406"/>
      <c r="B32" s="407"/>
      <c r="C32" s="407"/>
      <c r="D32" s="407"/>
      <c r="E32" s="407"/>
      <c r="F32" s="408"/>
    </row>
    <row r="33" spans="1:6" ht="18.95" customHeight="1">
      <c r="A33" s="406"/>
      <c r="B33" s="407"/>
      <c r="C33" s="407"/>
      <c r="D33" s="407"/>
      <c r="E33" s="407"/>
      <c r="F33" s="408"/>
    </row>
    <row r="34" spans="1:6" ht="18.95" customHeight="1">
      <c r="A34" s="406"/>
      <c r="B34" s="407"/>
      <c r="C34" s="407"/>
      <c r="D34" s="407"/>
      <c r="E34" s="407"/>
      <c r="F34" s="408"/>
    </row>
    <row r="35" spans="1:6" ht="18.95" customHeight="1">
      <c r="A35" s="406"/>
      <c r="B35" s="407"/>
      <c r="C35" s="407"/>
      <c r="D35" s="407"/>
      <c r="E35" s="407"/>
      <c r="F35" s="408"/>
    </row>
    <row r="36" spans="1:6" ht="18.95" customHeight="1">
      <c r="A36" s="406"/>
      <c r="B36" s="407"/>
      <c r="C36" s="407"/>
      <c r="D36" s="407"/>
      <c r="E36" s="407"/>
      <c r="F36" s="408"/>
    </row>
    <row r="37" spans="1:6" ht="18.95" customHeight="1">
      <c r="A37" s="406"/>
      <c r="B37" s="407"/>
      <c r="C37" s="407"/>
      <c r="D37" s="407"/>
      <c r="E37" s="407"/>
      <c r="F37" s="408"/>
    </row>
    <row r="38" spans="1:6" ht="18.95" customHeight="1">
      <c r="A38" s="406"/>
      <c r="B38" s="407"/>
      <c r="C38" s="407"/>
      <c r="D38" s="407"/>
      <c r="E38" s="407"/>
      <c r="F38" s="408"/>
    </row>
    <row r="39" spans="1:6" ht="18.95" customHeight="1">
      <c r="A39" s="415" t="s">
        <v>565</v>
      </c>
      <c r="B39" s="416" t="s">
        <v>370</v>
      </c>
      <c r="C39" s="551" t="str">
        <f>'Performance Data Sheet'!C10</f>
        <v>2182344.3</v>
      </c>
      <c r="D39" s="407"/>
      <c r="E39" s="412" t="s">
        <v>566</v>
      </c>
      <c r="F39" s="417" t="str">
        <f>F10</f>
        <v>DT4450K</v>
      </c>
    </row>
    <row r="40" spans="1:6" ht="18.95" customHeight="1">
      <c r="A40" s="406"/>
      <c r="B40" s="416"/>
      <c r="C40" s="416"/>
      <c r="D40" s="407"/>
      <c r="E40" s="407"/>
      <c r="F40" s="408"/>
    </row>
    <row r="41" spans="1:6" ht="18.95" customHeight="1">
      <c r="A41" s="406"/>
      <c r="B41" s="416"/>
      <c r="C41" s="416"/>
      <c r="D41" s="407"/>
      <c r="E41" s="407"/>
      <c r="F41" s="408"/>
    </row>
    <row r="42" spans="1:6" ht="18.95" customHeight="1">
      <c r="A42" s="406"/>
      <c r="B42" s="407"/>
      <c r="C42" s="407"/>
      <c r="D42" s="407"/>
      <c r="E42" s="407"/>
      <c r="F42" s="408"/>
    </row>
    <row r="43" spans="1:6" ht="18.95" customHeight="1">
      <c r="A43" s="418"/>
      <c r="B43" s="416"/>
      <c r="C43" s="419" t="s">
        <v>567</v>
      </c>
      <c r="D43" s="420" t="str">
        <f>'Performance Data Sheet'!K42</f>
        <v>Zichao Xie</v>
      </c>
      <c r="E43" s="419" t="s">
        <v>568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5" t="s">
        <v>391</v>
      </c>
      <c r="E53" s="375" t="s">
        <v>575</v>
      </c>
      <c r="F53" s="375" t="s">
        <v>576</v>
      </c>
      <c r="G53" s="375"/>
      <c r="H53" s="375"/>
      <c r="I53" s="375"/>
      <c r="J53" s="375"/>
      <c r="K53" s="375"/>
      <c r="L53" s="375"/>
    </row>
    <row r="54" spans="1:12" ht="15" customHeight="1">
      <c r="A54" s="432">
        <v>100</v>
      </c>
      <c r="B54" s="374">
        <v>0</v>
      </c>
      <c r="C54" s="374">
        <v>0.27908942103385925</v>
      </c>
      <c r="D54" s="375">
        <v>100</v>
      </c>
      <c r="E54" s="375">
        <v>0</v>
      </c>
      <c r="F54" s="375">
        <v>13.17302131652832</v>
      </c>
      <c r="G54" s="375"/>
      <c r="H54" s="375"/>
      <c r="I54" s="375"/>
      <c r="J54" s="375"/>
      <c r="K54" s="375"/>
      <c r="L54" s="375"/>
    </row>
    <row r="55" spans="1:12" ht="15" customHeight="1">
      <c r="A55" s="432">
        <v>99.300000024959445</v>
      </c>
      <c r="B55" s="374">
        <v>72.31168220971216</v>
      </c>
      <c r="C55" s="374">
        <v>79.240234375</v>
      </c>
      <c r="D55" s="375">
        <v>98.599998474121094</v>
      </c>
      <c r="E55" s="375">
        <v>46.279478918298423</v>
      </c>
      <c r="F55" s="375">
        <v>63.392189025878906</v>
      </c>
      <c r="G55" s="375"/>
      <c r="H55" s="375"/>
      <c r="I55" s="375"/>
      <c r="J55" s="375"/>
      <c r="K55" s="375"/>
      <c r="L55" s="375"/>
    </row>
    <row r="56" spans="1:12" ht="15" customHeight="1">
      <c r="A56" s="432">
        <v>96.499999985098839</v>
      </c>
      <c r="B56" s="374">
        <v>250.60270872525527</v>
      </c>
      <c r="C56" s="374">
        <v>294.15884399414063</v>
      </c>
      <c r="D56" s="375">
        <v>91.125</v>
      </c>
      <c r="E56" s="375">
        <v>160.38573720174233</v>
      </c>
      <c r="F56" s="375">
        <v>235.32707214355469</v>
      </c>
      <c r="G56" s="375"/>
      <c r="H56" s="375"/>
      <c r="I56" s="375"/>
      <c r="J56" s="375"/>
      <c r="K56" s="375"/>
      <c r="L56" s="375"/>
    </row>
    <row r="57" spans="1:12">
      <c r="A57" s="432">
        <v>92.999999970197678</v>
      </c>
      <c r="B57" s="374">
        <v>275</v>
      </c>
      <c r="C57" s="374">
        <v>428.28451538085938</v>
      </c>
      <c r="D57" s="375">
        <v>81.800003051757813</v>
      </c>
      <c r="E57" s="375">
        <v>176.00000524520877</v>
      </c>
      <c r="F57" s="375">
        <v>342.62762451171875</v>
      </c>
      <c r="G57" s="375"/>
      <c r="H57" s="375"/>
      <c r="I57" s="375"/>
      <c r="J57" s="375"/>
      <c r="K57" s="375"/>
      <c r="L57" s="375"/>
    </row>
    <row r="58" spans="1:12">
      <c r="A58" s="432">
        <v>87.833333015441895</v>
      </c>
      <c r="B58" s="374">
        <v>198.4448907413925</v>
      </c>
      <c r="C58" s="374">
        <v>485.64483642578125</v>
      </c>
      <c r="D58" s="375">
        <v>68.366668701171875</v>
      </c>
      <c r="E58" s="375">
        <v>127.00473034753584</v>
      </c>
      <c r="F58" s="375">
        <v>388.515869140625</v>
      </c>
      <c r="G58" s="375"/>
      <c r="H58" s="375"/>
      <c r="I58" s="375"/>
      <c r="J58" s="375"/>
      <c r="K58" s="375"/>
      <c r="L58" s="375"/>
    </row>
    <row r="59" spans="1:12">
      <c r="A59" s="432">
        <v>82.666666805744171</v>
      </c>
      <c r="B59" s="374">
        <v>170.67299609782827</v>
      </c>
      <c r="C59" s="374">
        <v>513.91986083984375</v>
      </c>
      <c r="D59" s="375">
        <v>55.866668701171875</v>
      </c>
      <c r="E59" s="375">
        <v>109.23071614595395</v>
      </c>
      <c r="F59" s="375">
        <v>411.13589477539063</v>
      </c>
      <c r="G59" s="375"/>
      <c r="H59" s="375"/>
      <c r="I59" s="375"/>
      <c r="J59" s="375"/>
      <c r="K59" s="375"/>
      <c r="L59" s="375"/>
    </row>
    <row r="60" spans="1:12">
      <c r="A60" s="432">
        <v>72.333332896232605</v>
      </c>
      <c r="B60" s="374">
        <v>150.49269318242565</v>
      </c>
      <c r="C60" s="374">
        <v>541.1221923828125</v>
      </c>
      <c r="D60" s="375">
        <v>36.966667175292969</v>
      </c>
      <c r="E60" s="375">
        <v>96.315325136045303</v>
      </c>
      <c r="F60" s="375">
        <v>432.89776611328125</v>
      </c>
      <c r="G60" s="375"/>
      <c r="H60" s="375"/>
      <c r="I60" s="375"/>
      <c r="J60" s="375"/>
      <c r="K60" s="375"/>
      <c r="L60" s="375"/>
    </row>
    <row r="61" spans="1:12">
      <c r="A61" s="432">
        <v>62.000000476837158</v>
      </c>
      <c r="B61" s="374">
        <v>142.34381439063083</v>
      </c>
      <c r="C61" s="374">
        <v>555.4576416015625</v>
      </c>
      <c r="D61" s="375">
        <v>24.200000762939453</v>
      </c>
      <c r="E61" s="375">
        <v>91.100041777492748</v>
      </c>
      <c r="F61" s="375">
        <v>444.36611938476563</v>
      </c>
      <c r="G61" s="375"/>
      <c r="H61" s="375"/>
      <c r="I61" s="375"/>
      <c r="J61" s="375"/>
      <c r="K61" s="375"/>
      <c r="L61" s="375"/>
    </row>
    <row r="62" spans="1:12">
      <c r="A62" s="432">
        <v>51.666668057441711</v>
      </c>
      <c r="B62" s="374">
        <v>138.74980207306584</v>
      </c>
      <c r="C62" s="374">
        <v>565.6614990234375</v>
      </c>
      <c r="D62" s="375">
        <v>15.333333969116211</v>
      </c>
      <c r="E62" s="375">
        <v>88.79987569331746</v>
      </c>
      <c r="F62" s="375">
        <v>452.52920532226563</v>
      </c>
      <c r="G62" s="375"/>
      <c r="H62" s="375"/>
      <c r="I62" s="375"/>
      <c r="J62" s="375"/>
      <c r="K62" s="375"/>
      <c r="L62" s="375"/>
    </row>
    <row r="63" spans="1:12">
      <c r="A63" s="432">
        <v>41.333329677581787</v>
      </c>
      <c r="B63" s="374">
        <v>136.98820539467948</v>
      </c>
      <c r="C63" s="374">
        <v>574.0672607421875</v>
      </c>
      <c r="D63" s="375">
        <v>8.7999973297119141</v>
      </c>
      <c r="E63" s="375">
        <v>87.672453784717675</v>
      </c>
      <c r="F63" s="375">
        <v>459.25381469726563</v>
      </c>
      <c r="G63" s="375"/>
      <c r="H63" s="375"/>
      <c r="I63" s="375"/>
      <c r="J63" s="375"/>
      <c r="K63" s="375"/>
      <c r="L63" s="375"/>
    </row>
    <row r="64" spans="1:12">
      <c r="A64" s="432">
        <v>31.000000238418579</v>
      </c>
      <c r="B64" s="374">
        <v>136.03276632707357</v>
      </c>
      <c r="C64" s="374">
        <v>581.21661376953125</v>
      </c>
      <c r="D64" s="375">
        <v>6.1999998092651367</v>
      </c>
      <c r="E64" s="375">
        <v>87.060969391494012</v>
      </c>
      <c r="F64" s="375">
        <v>464.97329711914063</v>
      </c>
      <c r="G64" s="375"/>
      <c r="H64" s="375"/>
      <c r="I64" s="375"/>
      <c r="J64" s="375"/>
      <c r="K64" s="375"/>
      <c r="L64" s="375"/>
    </row>
    <row r="65" spans="1:12">
      <c r="A65" s="432">
        <v>20.666664838790894</v>
      </c>
      <c r="B65" s="374">
        <v>135.49055052290333</v>
      </c>
      <c r="C65" s="374">
        <v>587.5648193359375</v>
      </c>
      <c r="D65" s="375">
        <v>7.8666667938232422</v>
      </c>
      <c r="E65" s="375">
        <v>86.713957662402265</v>
      </c>
      <c r="F65" s="375">
        <v>470.05184936523438</v>
      </c>
      <c r="G65" s="375"/>
      <c r="H65" s="375"/>
      <c r="I65" s="375"/>
      <c r="J65" s="375"/>
      <c r="K65" s="375"/>
      <c r="L65" s="375"/>
    </row>
    <row r="66" spans="1:12">
      <c r="A66" s="432">
        <v>10.333335399627686</v>
      </c>
      <c r="B66" s="374">
        <v>135.17735454711453</v>
      </c>
      <c r="C66" s="374">
        <v>593.23492431640625</v>
      </c>
      <c r="D66" s="375">
        <v>14.766665458679199</v>
      </c>
      <c r="E66" s="375">
        <v>86.513508437678411</v>
      </c>
      <c r="F66" s="375">
        <v>474.58795166015625</v>
      </c>
      <c r="G66" s="375"/>
      <c r="H66" s="375"/>
      <c r="I66" s="375"/>
      <c r="J66" s="375"/>
      <c r="K66" s="375"/>
      <c r="L66" s="375"/>
    </row>
    <row r="67" spans="1:12">
      <c r="A67" s="433">
        <v>0</v>
      </c>
      <c r="B67" s="374">
        <v>135</v>
      </c>
      <c r="C67" s="374">
        <v>598.3050537109375</v>
      </c>
      <c r="D67" s="375">
        <v>30</v>
      </c>
      <c r="E67" s="375">
        <v>86.400002574920677</v>
      </c>
      <c r="F67" s="375">
        <v>478.64404296875</v>
      </c>
      <c r="G67" s="375"/>
      <c r="H67" s="375"/>
      <c r="I67" s="375"/>
      <c r="J67" s="375"/>
      <c r="K67" s="375"/>
      <c r="L67" s="375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1"/>
  <sheetViews>
    <sheetView workbookViewId="0">
      <selection activeCell="X24" sqref="X24"/>
    </sheetView>
  </sheetViews>
  <sheetFormatPr defaultRowHeight="12.75"/>
  <cols>
    <col min="1" max="6" width="16.7109375" style="387" customWidth="1"/>
    <col min="7" max="8" width="9.140625" style="387"/>
    <col min="9" max="10" width="16.7109375" style="387" customWidth="1"/>
    <col min="11" max="16384" width="9.140625" style="387"/>
  </cols>
  <sheetData>
    <row r="1" spans="1:6" ht="18.95" customHeight="1">
      <c r="A1" s="400"/>
      <c r="B1" s="401"/>
      <c r="C1" s="401"/>
      <c r="D1" s="401"/>
      <c r="E1" s="401"/>
      <c r="F1" s="402"/>
    </row>
    <row r="2" spans="1:6" ht="26.1" customHeight="1">
      <c r="A2" s="403" t="s">
        <v>267</v>
      </c>
      <c r="B2" s="404"/>
      <c r="C2" s="404"/>
      <c r="D2" s="404"/>
      <c r="E2" s="404"/>
      <c r="F2" s="405"/>
    </row>
    <row r="3" spans="1:6" ht="18.95" customHeight="1">
      <c r="A3" s="843" t="s">
        <v>551</v>
      </c>
      <c r="B3" s="844"/>
      <c r="C3" s="844"/>
      <c r="D3" s="844"/>
      <c r="E3" s="844"/>
      <c r="F3" s="845"/>
    </row>
    <row r="4" spans="1:6" ht="18.95" customHeight="1">
      <c r="A4" s="846" t="s">
        <v>552</v>
      </c>
      <c r="B4" s="847"/>
      <c r="C4" s="847"/>
      <c r="D4" s="847"/>
      <c r="E4" s="847"/>
      <c r="F4" s="848"/>
    </row>
    <row r="5" spans="1:6" ht="18.95" customHeight="1">
      <c r="A5" s="406"/>
      <c r="B5" s="407"/>
      <c r="C5" s="407"/>
      <c r="D5" s="407"/>
      <c r="E5" s="407"/>
      <c r="F5" s="408"/>
    </row>
    <row r="6" spans="1:6" ht="18.95" customHeight="1">
      <c r="A6" s="409" t="s">
        <v>553</v>
      </c>
      <c r="B6" s="840" t="str">
        <f>'Performance Data Sheet'!C17</f>
        <v>A1-10033109</v>
      </c>
      <c r="C6" s="841"/>
      <c r="D6" s="842"/>
      <c r="E6" s="409" t="s">
        <v>554</v>
      </c>
      <c r="F6" s="410">
        <f>'Performance Data Sheet'!I14</f>
        <v>59</v>
      </c>
    </row>
    <row r="7" spans="1:6" ht="18.95" customHeight="1">
      <c r="A7" s="409" t="s">
        <v>555</v>
      </c>
      <c r="B7" s="410" t="str">
        <f>'Performance Data Sheet'!F14</f>
        <v>WP-II</v>
      </c>
      <c r="C7" s="409" t="s">
        <v>556</v>
      </c>
      <c r="D7" s="410" t="str">
        <f>'Performance Data Sheet'!F13 &amp; " V"</f>
        <v>4000 V</v>
      </c>
      <c r="E7" s="409" t="s">
        <v>557</v>
      </c>
      <c r="F7" s="410" t="str">
        <f>'Performance Data Sheet'!C14</f>
        <v>5012US</v>
      </c>
    </row>
    <row r="8" spans="1:6" ht="18.95" customHeight="1">
      <c r="A8" s="409" t="s">
        <v>558</v>
      </c>
      <c r="B8" s="410">
        <v>4</v>
      </c>
      <c r="C8" s="409" t="s">
        <v>559</v>
      </c>
      <c r="D8" s="410" t="s">
        <v>560</v>
      </c>
      <c r="E8" s="409" t="s">
        <v>561</v>
      </c>
      <c r="F8" s="410" t="str">
        <f>'Performance Data Sheet'!M15</f>
        <v>F</v>
      </c>
    </row>
    <row r="9" spans="1:6" ht="18.95" customHeight="1">
      <c r="A9" s="409" t="s">
        <v>562</v>
      </c>
      <c r="B9" s="410">
        <f>'Performance Data Sheet'!C13</f>
        <v>450</v>
      </c>
      <c r="C9" s="409" t="s">
        <v>563</v>
      </c>
      <c r="D9" s="410" t="s">
        <v>573</v>
      </c>
      <c r="E9" s="409" t="s">
        <v>2</v>
      </c>
      <c r="F9" s="411">
        <f>'Performance Data Sheet'!K44</f>
        <v>44021</v>
      </c>
    </row>
    <row r="10" spans="1:6" ht="18.95" customHeight="1">
      <c r="A10" s="409" t="s">
        <v>564</v>
      </c>
      <c r="B10" s="410">
        <f>'Performance Data Sheet'!M14</f>
        <v>1775</v>
      </c>
      <c r="C10" s="409" t="s">
        <v>393</v>
      </c>
      <c r="D10" s="410" t="s">
        <v>574</v>
      </c>
      <c r="E10" s="409" t="s">
        <v>1</v>
      </c>
      <c r="F10" s="410" t="s">
        <v>379</v>
      </c>
    </row>
    <row r="11" spans="1:6" ht="18.95" customHeight="1">
      <c r="A11" s="406"/>
      <c r="B11" s="407"/>
      <c r="C11" s="407"/>
      <c r="D11" s="407"/>
      <c r="E11" s="407"/>
      <c r="F11" s="408"/>
    </row>
    <row r="12" spans="1:6" ht="18.95" customHeight="1">
      <c r="A12" s="406"/>
      <c r="B12" s="412"/>
      <c r="C12" s="413" t="str">
        <f>'Performance Data Sheet'!D22 &amp; " A"</f>
        <v>353 A</v>
      </c>
      <c r="D12" s="412"/>
      <c r="E12" s="413"/>
      <c r="F12" s="408"/>
    </row>
    <row r="13" spans="1:6" ht="18.95" customHeight="1">
      <c r="A13" s="406"/>
      <c r="B13" s="412"/>
      <c r="C13" s="414">
        <f>'Performance Data Sheet'!H23/100</f>
        <v>1.35</v>
      </c>
      <c r="D13" s="412"/>
      <c r="E13" s="413"/>
      <c r="F13" s="408"/>
    </row>
    <row r="14" spans="1:6" ht="18.95" customHeight="1">
      <c r="A14" s="406"/>
      <c r="B14" s="412"/>
      <c r="C14" s="414"/>
      <c r="D14" s="412"/>
      <c r="E14" s="413"/>
      <c r="F14" s="408"/>
    </row>
    <row r="15" spans="1:6" ht="18.95" customHeight="1">
      <c r="A15" s="406"/>
      <c r="B15" s="412"/>
      <c r="C15" s="413" t="str">
        <f>'Performance Data Sheet'!H22 &amp; " lb-ft"</f>
        <v>1332 lb-ft</v>
      </c>
      <c r="D15" s="407"/>
      <c r="E15" s="407"/>
      <c r="F15" s="408"/>
    </row>
    <row r="16" spans="1:6" ht="18.95" customHeight="1">
      <c r="A16" s="406"/>
      <c r="B16" s="407"/>
      <c r="C16" s="407"/>
      <c r="D16" s="407"/>
      <c r="E16" s="407"/>
      <c r="F16" s="408"/>
    </row>
    <row r="17" spans="1:6" ht="18.95" customHeight="1">
      <c r="A17" s="406"/>
      <c r="B17" s="407"/>
      <c r="C17" s="407"/>
      <c r="D17" s="407"/>
      <c r="E17" s="407"/>
      <c r="F17" s="408"/>
    </row>
    <row r="18" spans="1:6" ht="18.95" customHeight="1">
      <c r="A18" s="406"/>
      <c r="B18" s="407"/>
      <c r="C18" s="407"/>
      <c r="D18" s="407"/>
      <c r="E18" s="407"/>
      <c r="F18" s="408"/>
    </row>
    <row r="19" spans="1:6" ht="18.95" customHeight="1">
      <c r="A19" s="406"/>
      <c r="B19" s="407"/>
      <c r="C19" s="407"/>
      <c r="D19" s="407"/>
      <c r="E19" s="407"/>
      <c r="F19" s="408"/>
    </row>
    <row r="20" spans="1:6" ht="18.95" customHeight="1">
      <c r="A20" s="406"/>
      <c r="B20" s="407"/>
      <c r="C20" s="407"/>
      <c r="D20" s="407"/>
      <c r="E20" s="407"/>
      <c r="F20" s="408"/>
    </row>
    <row r="21" spans="1:6" ht="18.95" customHeight="1">
      <c r="A21" s="406"/>
      <c r="B21" s="407"/>
      <c r="C21" s="407"/>
      <c r="D21" s="407"/>
      <c r="E21" s="407"/>
      <c r="F21" s="408"/>
    </row>
    <row r="22" spans="1:6" ht="18.95" customHeight="1">
      <c r="A22" s="406"/>
      <c r="B22" s="407"/>
      <c r="C22" s="407"/>
      <c r="D22" s="407"/>
      <c r="E22" s="407"/>
      <c r="F22" s="408"/>
    </row>
    <row r="23" spans="1:6" ht="18.95" customHeight="1">
      <c r="A23" s="406"/>
      <c r="B23" s="407"/>
      <c r="C23" s="407"/>
      <c r="D23" s="407"/>
      <c r="E23" s="407"/>
      <c r="F23" s="408"/>
    </row>
    <row r="24" spans="1:6" ht="18.95" customHeight="1">
      <c r="A24" s="406"/>
      <c r="B24" s="407"/>
      <c r="C24" s="407"/>
      <c r="D24" s="407"/>
      <c r="E24" s="407"/>
      <c r="F24" s="408"/>
    </row>
    <row r="25" spans="1:6" ht="18.95" customHeight="1">
      <c r="A25" s="406"/>
      <c r="B25" s="407"/>
      <c r="C25" s="407"/>
      <c r="D25" s="407"/>
      <c r="E25" s="407"/>
      <c r="F25" s="408"/>
    </row>
    <row r="26" spans="1:6" ht="18.95" customHeight="1">
      <c r="A26" s="406"/>
      <c r="B26" s="407"/>
      <c r="C26" s="407"/>
      <c r="D26" s="407"/>
      <c r="E26" s="407"/>
      <c r="F26" s="408"/>
    </row>
    <row r="27" spans="1:6" ht="18.95" customHeight="1">
      <c r="A27" s="406"/>
      <c r="B27" s="407"/>
      <c r="C27" s="407"/>
      <c r="D27" s="407"/>
      <c r="E27" s="407"/>
      <c r="F27" s="408"/>
    </row>
    <row r="28" spans="1:6" ht="18.95" customHeight="1">
      <c r="A28" s="406"/>
      <c r="B28" s="407"/>
      <c r="C28" s="407"/>
      <c r="D28" s="407"/>
      <c r="E28" s="407"/>
      <c r="F28" s="408"/>
    </row>
    <row r="29" spans="1:6" ht="18.95" customHeight="1">
      <c r="A29" s="406"/>
      <c r="B29" s="407"/>
      <c r="C29" s="407"/>
      <c r="D29" s="407"/>
      <c r="E29" s="407"/>
      <c r="F29" s="408"/>
    </row>
    <row r="30" spans="1:6" ht="18.95" customHeight="1">
      <c r="A30" s="406"/>
      <c r="B30" s="407"/>
      <c r="C30" s="407"/>
      <c r="D30" s="407"/>
      <c r="E30" s="407"/>
      <c r="F30" s="408"/>
    </row>
    <row r="31" spans="1:6" ht="18.95" customHeight="1">
      <c r="A31" s="406"/>
      <c r="B31" s="407"/>
      <c r="C31" s="407"/>
      <c r="D31" s="407"/>
      <c r="E31" s="407"/>
      <c r="F31" s="408"/>
    </row>
    <row r="32" spans="1:6" ht="18.95" customHeight="1">
      <c r="A32" s="406"/>
      <c r="B32" s="407"/>
      <c r="C32" s="407"/>
      <c r="D32" s="407"/>
      <c r="E32" s="407"/>
      <c r="F32" s="408"/>
    </row>
    <row r="33" spans="1:6" ht="18.95" customHeight="1">
      <c r="A33" s="406"/>
      <c r="B33" s="407"/>
      <c r="C33" s="407"/>
      <c r="D33" s="407"/>
      <c r="E33" s="407"/>
      <c r="F33" s="408"/>
    </row>
    <row r="34" spans="1:6" ht="18.95" customHeight="1">
      <c r="A34" s="406"/>
      <c r="B34" s="407"/>
      <c r="C34" s="407"/>
      <c r="D34" s="407"/>
      <c r="E34" s="407"/>
      <c r="F34" s="408"/>
    </row>
    <row r="35" spans="1:6" ht="18.95" customHeight="1">
      <c r="A35" s="406"/>
      <c r="B35" s="407"/>
      <c r="C35" s="407"/>
      <c r="D35" s="407"/>
      <c r="E35" s="407"/>
      <c r="F35" s="408"/>
    </row>
    <row r="36" spans="1:6" ht="18.95" customHeight="1">
      <c r="A36" s="406"/>
      <c r="B36" s="407"/>
      <c r="C36" s="407"/>
      <c r="D36" s="407"/>
      <c r="E36" s="407"/>
      <c r="F36" s="408"/>
    </row>
    <row r="37" spans="1:6" ht="18.95" customHeight="1">
      <c r="A37" s="406"/>
      <c r="B37" s="407"/>
      <c r="C37" s="407"/>
      <c r="D37" s="407"/>
      <c r="E37" s="407"/>
      <c r="F37" s="408"/>
    </row>
    <row r="38" spans="1:6" ht="18.95" customHeight="1">
      <c r="A38" s="406"/>
      <c r="B38" s="407"/>
      <c r="C38" s="407"/>
      <c r="D38" s="407"/>
      <c r="E38" s="407"/>
      <c r="F38" s="408"/>
    </row>
    <row r="39" spans="1:6" ht="18.95" customHeight="1">
      <c r="A39" s="415" t="s">
        <v>565</v>
      </c>
      <c r="B39" s="416" t="s">
        <v>370</v>
      </c>
      <c r="C39" s="551" t="str">
        <f>'Performance Data Sheet'!C10</f>
        <v>2182344.3</v>
      </c>
      <c r="D39" s="407"/>
      <c r="E39" s="412" t="s">
        <v>566</v>
      </c>
      <c r="F39" s="417" t="str">
        <f>F10</f>
        <v>DT4450K</v>
      </c>
    </row>
    <row r="40" spans="1:6" ht="18.95" customHeight="1">
      <c r="A40" s="406"/>
      <c r="B40" s="416"/>
      <c r="C40" s="416"/>
      <c r="D40" s="407"/>
      <c r="E40" s="407"/>
      <c r="F40" s="408"/>
    </row>
    <row r="41" spans="1:6" ht="18.95" customHeight="1">
      <c r="A41" s="406"/>
      <c r="B41" s="416"/>
      <c r="C41" s="416"/>
      <c r="D41" s="407"/>
      <c r="E41" s="407"/>
      <c r="F41" s="408"/>
    </row>
    <row r="42" spans="1:6" ht="18.95" customHeight="1">
      <c r="A42" s="406"/>
      <c r="B42" s="407"/>
      <c r="C42" s="407"/>
      <c r="D42" s="407"/>
      <c r="E42" s="407"/>
      <c r="F42" s="408"/>
    </row>
    <row r="43" spans="1:6" ht="18.95" customHeight="1">
      <c r="A43" s="418"/>
      <c r="B43" s="416"/>
      <c r="C43" s="419" t="s">
        <v>567</v>
      </c>
      <c r="D43" s="420" t="str">
        <f>'Performance Data Sheet'!K42</f>
        <v>Zichao Xie</v>
      </c>
      <c r="E43" s="419" t="s">
        <v>568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1" t="e">
        <f>5252.1*B50/D53</f>
        <v>#DIV/0!</v>
      </c>
      <c r="G50" s="421"/>
    </row>
    <row r="51" spans="6:9" ht="15" customHeight="1">
      <c r="G51" s="422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3"/>
    </row>
    <row r="63" spans="6:9">
      <c r="I63" s="424" t="s">
        <v>39</v>
      </c>
    </row>
    <row r="64" spans="6:9">
      <c r="I64" s="424"/>
    </row>
    <row r="65" spans="1:10">
      <c r="I65" s="424"/>
    </row>
    <row r="66" spans="1:10">
      <c r="D66" s="421" t="e">
        <f>D65/D64</f>
        <v>#DIV/0!</v>
      </c>
    </row>
    <row r="67" spans="1:10">
      <c r="A67" s="425" t="s">
        <v>388</v>
      </c>
      <c r="B67" s="425" t="s">
        <v>569</v>
      </c>
      <c r="C67" s="425" t="s">
        <v>570</v>
      </c>
      <c r="E67" s="425" t="s">
        <v>571</v>
      </c>
      <c r="F67" s="425" t="s">
        <v>572</v>
      </c>
      <c r="I67" s="425" t="s">
        <v>571</v>
      </c>
      <c r="J67" s="425" t="s">
        <v>572</v>
      </c>
    </row>
    <row r="68" spans="1:10">
      <c r="A68" s="426">
        <v>598.30508474576266</v>
      </c>
      <c r="B68" s="427">
        <v>31.614052908761163</v>
      </c>
      <c r="C68" s="427">
        <v>14.881785256522043</v>
      </c>
      <c r="E68" s="426">
        <f>A68</f>
        <v>598.30508474576266</v>
      </c>
      <c r="F68" s="427">
        <v>1E-4</v>
      </c>
      <c r="I68" s="426">
        <f>E68</f>
        <v>598.30508474576266</v>
      </c>
      <c r="J68" s="427">
        <v>1E-4</v>
      </c>
    </row>
    <row r="69" spans="1:10">
      <c r="A69" s="426">
        <v>532.87659999999994</v>
      </c>
      <c r="B69" s="427">
        <f>((A68/A69)^2)*B68</f>
        <v>39.854031888742604</v>
      </c>
      <c r="C69" s="427">
        <f>((A68/A69)^2)*C68</f>
        <v>18.760617181433396</v>
      </c>
      <c r="E69" s="426">
        <v>476.61016949152543</v>
      </c>
      <c r="F69" s="427">
        <v>0.19499999284744263</v>
      </c>
      <c r="I69" s="426">
        <v>595.76271186440681</v>
      </c>
      <c r="J69" s="427">
        <v>0.11100000143051147</v>
      </c>
    </row>
    <row r="70" spans="1:10">
      <c r="A70" s="426">
        <v>467.42848474576272</v>
      </c>
      <c r="B70" s="427">
        <f>((A68/A70)^2)*B68</f>
        <v>51.795879803510807</v>
      </c>
      <c r="C70" s="427">
        <f>((A68/A70)^2)*C68</f>
        <v>24.382041829089871</v>
      </c>
      <c r="E70" s="426">
        <v>472.37288135593218</v>
      </c>
      <c r="F70" s="427">
        <v>0.36100000143051147</v>
      </c>
      <c r="I70" s="426">
        <v>590.33898305084745</v>
      </c>
      <c r="J70" s="427">
        <v>0.21199999749660492</v>
      </c>
    </row>
    <row r="71" spans="1:10">
      <c r="A71" s="426">
        <v>402</v>
      </c>
      <c r="B71" s="427">
        <f>((A68/A71)^2)*B68</f>
        <v>70.028279605754008</v>
      </c>
      <c r="C71" s="427">
        <f>((A68/A71)^2)*C68</f>
        <v>32.964638288680305</v>
      </c>
      <c r="E71" s="426">
        <v>467.45762711864404</v>
      </c>
      <c r="F71" s="427">
        <v>0.51800000667572021</v>
      </c>
      <c r="I71" s="426">
        <v>584.40677966101691</v>
      </c>
      <c r="J71" s="427">
        <v>0.30899998545646667</v>
      </c>
    </row>
    <row r="72" spans="1:10">
      <c r="A72" s="426">
        <f>A71-100</f>
        <v>302</v>
      </c>
      <c r="B72" s="427">
        <f>((A68/A72)^2)*B68</f>
        <v>124.08282638270548</v>
      </c>
      <c r="C72" s="427"/>
      <c r="E72" s="426">
        <v>462.03389830508479</v>
      </c>
      <c r="F72" s="427">
        <v>0.67500001192092896</v>
      </c>
      <c r="I72" s="426">
        <v>577.62711864406776</v>
      </c>
      <c r="J72" s="427">
        <v>0.40599998831748962</v>
      </c>
    </row>
    <row r="73" spans="1:10">
      <c r="A73" s="426">
        <f>A72-100</f>
        <v>202</v>
      </c>
      <c r="B73" s="427">
        <f>((A68/A73)^2)*B68</f>
        <v>277.3465860554914</v>
      </c>
      <c r="C73" s="427"/>
      <c r="E73" s="426">
        <v>455.93220338983053</v>
      </c>
      <c r="F73" s="427">
        <v>0.83899998664855957</v>
      </c>
      <c r="I73" s="426">
        <v>569.83050847457628</v>
      </c>
      <c r="J73" s="427">
        <v>0.50599998235702515</v>
      </c>
    </row>
    <row r="74" spans="1:10">
      <c r="A74" s="426">
        <v>275</v>
      </c>
      <c r="B74" s="427">
        <f>((A68/A74)^2)*B68</f>
        <v>149.64429880870438</v>
      </c>
      <c r="C74" s="427">
        <f>((A68/A74)^2)*C68</f>
        <v>70.442544211621708</v>
      </c>
      <c r="E74" s="426">
        <v>448.47457627118649</v>
      </c>
      <c r="F74" s="427">
        <v>1.0180000066757202</v>
      </c>
      <c r="I74" s="426">
        <v>560.50847457627117</v>
      </c>
      <c r="J74" s="427">
        <v>0.60999995470046997</v>
      </c>
    </row>
    <row r="75" spans="1:10">
      <c r="A75" s="428">
        <v>180</v>
      </c>
      <c r="B75" s="427">
        <f>((A68/A75)^2)*B69</f>
        <v>440.32428772279911</v>
      </c>
      <c r="C75" s="427">
        <f>((A68/A75)^2)*C68</f>
        <v>164.42029030876213</v>
      </c>
      <c r="E75" s="426">
        <v>438.64406779661016</v>
      </c>
      <c r="F75" s="427">
        <v>1.2170000076293945</v>
      </c>
      <c r="I75" s="426">
        <v>548.30508474576266</v>
      </c>
      <c r="J75" s="427">
        <v>0.71799993515014648</v>
      </c>
    </row>
    <row r="76" spans="1:10">
      <c r="A76" s="428">
        <v>120</v>
      </c>
      <c r="B76" s="427">
        <f>((A68/A76)^2)*B68</f>
        <v>785.89236787557434</v>
      </c>
      <c r="C76" s="427">
        <f>((A68/A76)^2)*C68</f>
        <v>369.94565319471474</v>
      </c>
      <c r="E76" s="426">
        <v>422.03389830508473</v>
      </c>
      <c r="F76" s="427">
        <v>1.4390000104904175</v>
      </c>
      <c r="I76" s="426">
        <v>527.45762711864404</v>
      </c>
      <c r="J76" s="427">
        <v>0.82799994945526123</v>
      </c>
    </row>
    <row r="77" spans="1:10">
      <c r="A77" s="428">
        <v>110</v>
      </c>
      <c r="B77" s="427"/>
      <c r="C77" s="426">
        <f>CEILING(C76*2,100)</f>
        <v>800</v>
      </c>
      <c r="E77" s="426">
        <v>399.83050847457628</v>
      </c>
      <c r="F77" s="427">
        <v>1.5509999990463257</v>
      </c>
      <c r="I77" s="426">
        <v>499.83050847457622</v>
      </c>
      <c r="J77" s="427">
        <v>0.87899994850158691</v>
      </c>
    </row>
    <row r="78" spans="1:10">
      <c r="A78" s="428">
        <v>110</v>
      </c>
      <c r="B78" s="427"/>
      <c r="C78" s="426">
        <f>2*C77</f>
        <v>1600</v>
      </c>
      <c r="E78" s="426">
        <v>365.59322033898303</v>
      </c>
      <c r="F78" s="427">
        <v>1.6330000162124634</v>
      </c>
      <c r="I78" s="426">
        <v>456.94915254237293</v>
      </c>
      <c r="J78" s="427">
        <v>0.91799992322921753</v>
      </c>
    </row>
    <row r="79" spans="1:10">
      <c r="A79" s="428">
        <v>110</v>
      </c>
      <c r="B79" s="428"/>
      <c r="C79" s="428">
        <v>10000</v>
      </c>
      <c r="E79" s="426">
        <v>288.9830508474576</v>
      </c>
      <c r="F79" s="427">
        <v>1.6850000619888306</v>
      </c>
      <c r="I79" s="426">
        <v>361.18644067796612</v>
      </c>
      <c r="J79" s="427">
        <v>0.94199991226196289</v>
      </c>
    </row>
    <row r="80" spans="1:10">
      <c r="E80" s="426">
        <f>110.2/59*100</f>
        <v>186.77966101694915</v>
      </c>
      <c r="F80" s="427">
        <v>1.7610000371932983</v>
      </c>
      <c r="I80" s="426">
        <f>110.2/59*100</f>
        <v>186.77966101694915</v>
      </c>
      <c r="J80" s="427">
        <v>0.97599989175796509</v>
      </c>
    </row>
    <row r="81" spans="5:10">
      <c r="E81" s="426"/>
      <c r="F81" s="427"/>
      <c r="I81" s="426"/>
      <c r="J81" s="427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workbookViewId="0">
      <selection activeCell="X24" sqref="X24"/>
    </sheetView>
  </sheetViews>
  <sheetFormatPr defaultRowHeight="12.75"/>
  <cols>
    <col min="1" max="6" width="16.7109375" style="387" customWidth="1"/>
    <col min="7" max="16384" width="9.140625" style="387"/>
  </cols>
  <sheetData>
    <row r="1" spans="1:6" ht="18.95" customHeight="1">
      <c r="A1" s="400"/>
      <c r="B1" s="401"/>
      <c r="C1" s="401"/>
      <c r="D1" s="401"/>
      <c r="E1" s="401"/>
      <c r="F1" s="402"/>
    </row>
    <row r="2" spans="1:6" ht="26.1" customHeight="1">
      <c r="A2" s="403" t="s">
        <v>267</v>
      </c>
      <c r="B2" s="404"/>
      <c r="C2" s="404"/>
      <c r="D2" s="404"/>
      <c r="E2" s="404"/>
      <c r="F2" s="405"/>
    </row>
    <row r="3" spans="1:6" ht="18.95" customHeight="1">
      <c r="A3" s="429" t="s">
        <v>585</v>
      </c>
      <c r="B3" s="404"/>
      <c r="C3" s="404"/>
      <c r="D3" s="404"/>
      <c r="E3" s="404"/>
      <c r="F3" s="405"/>
    </row>
    <row r="4" spans="1:6" ht="18.95" customHeight="1">
      <c r="A4" s="846" t="s">
        <v>552</v>
      </c>
      <c r="B4" s="847"/>
      <c r="C4" s="847"/>
      <c r="D4" s="847"/>
      <c r="E4" s="847"/>
      <c r="F4" s="848"/>
    </row>
    <row r="5" spans="1:6" ht="18.95" customHeight="1">
      <c r="A5" s="406"/>
      <c r="B5" s="407"/>
      <c r="C5" s="407"/>
      <c r="D5" s="407"/>
      <c r="E5" s="407"/>
      <c r="F5" s="408"/>
    </row>
    <row r="6" spans="1:6" ht="18.95" customHeight="1">
      <c r="A6" s="409" t="s">
        <v>553</v>
      </c>
      <c r="B6" s="840" t="str">
        <f>'Performance Data Sheet'!C17</f>
        <v>A1-10033109</v>
      </c>
      <c r="C6" s="841"/>
      <c r="D6" s="842"/>
      <c r="E6" s="409" t="s">
        <v>554</v>
      </c>
      <c r="F6" s="410">
        <f>'Performance Data Sheet'!I14</f>
        <v>59</v>
      </c>
    </row>
    <row r="7" spans="1:6" ht="18.95" customHeight="1">
      <c r="A7" s="409" t="s">
        <v>555</v>
      </c>
      <c r="B7" s="410" t="str">
        <f>'Performance Data Sheet'!F14</f>
        <v>WP-II</v>
      </c>
      <c r="C7" s="409" t="s">
        <v>556</v>
      </c>
      <c r="D7" s="410" t="str">
        <f>'Performance Data Sheet'!F13 &amp; " V"</f>
        <v>4000 V</v>
      </c>
      <c r="E7" s="409" t="s">
        <v>557</v>
      </c>
      <c r="F7" s="410" t="str">
        <f>'Performance Data Sheet'!C14</f>
        <v>5012US</v>
      </c>
    </row>
    <row r="8" spans="1:6" ht="18.95" customHeight="1">
      <c r="A8" s="409" t="s">
        <v>558</v>
      </c>
      <c r="B8" s="410">
        <v>4</v>
      </c>
      <c r="C8" s="409" t="s">
        <v>559</v>
      </c>
      <c r="D8" s="410" t="s">
        <v>560</v>
      </c>
      <c r="E8" s="409" t="s">
        <v>561</v>
      </c>
      <c r="F8" s="410" t="str">
        <f>'Performance Data Sheet'!M15</f>
        <v>F</v>
      </c>
    </row>
    <row r="9" spans="1:6" ht="18.95" customHeight="1">
      <c r="A9" s="409" t="s">
        <v>562</v>
      </c>
      <c r="B9" s="410">
        <f>'Performance Data Sheet'!C13</f>
        <v>450</v>
      </c>
      <c r="C9" s="409" t="s">
        <v>563</v>
      </c>
      <c r="D9" s="410" t="s">
        <v>573</v>
      </c>
      <c r="E9" s="409" t="s">
        <v>2</v>
      </c>
      <c r="F9" s="411">
        <f>'Performance Data Sheet'!K44</f>
        <v>44021</v>
      </c>
    </row>
    <row r="10" spans="1:6" ht="18.95" customHeight="1">
      <c r="A10" s="409" t="s">
        <v>564</v>
      </c>
      <c r="B10" s="410">
        <f>'Performance Data Sheet'!M14</f>
        <v>1775</v>
      </c>
      <c r="C10" s="409" t="s">
        <v>393</v>
      </c>
      <c r="D10" s="410" t="s">
        <v>574</v>
      </c>
      <c r="E10" s="409" t="s">
        <v>1</v>
      </c>
      <c r="F10" s="410" t="s">
        <v>379</v>
      </c>
    </row>
    <row r="11" spans="1:6" ht="18.95" customHeight="1">
      <c r="A11" s="406"/>
      <c r="B11" s="407"/>
      <c r="C11" s="407"/>
      <c r="D11" s="407"/>
      <c r="E11" s="407"/>
      <c r="F11" s="408"/>
    </row>
    <row r="12" spans="1:6" ht="18.95" customHeight="1">
      <c r="A12" s="406"/>
      <c r="B12" s="412" t="s">
        <v>580</v>
      </c>
      <c r="C12" s="413" t="str">
        <f>'Performance Data Sheet'!D22 &amp; " A"</f>
        <v>353 A</v>
      </c>
      <c r="D12" s="412" t="s">
        <v>392</v>
      </c>
      <c r="E12" s="413" t="s">
        <v>396</v>
      </c>
      <c r="F12" s="408"/>
    </row>
    <row r="13" spans="1:6" ht="18.95" customHeight="1">
      <c r="A13" s="406"/>
      <c r="B13" s="412" t="s">
        <v>581</v>
      </c>
      <c r="C13" s="414">
        <f>'Performance Data Sheet'!H23/100</f>
        <v>1.35</v>
      </c>
      <c r="D13" s="412" t="s">
        <v>582</v>
      </c>
      <c r="E13" s="413" t="s">
        <v>584</v>
      </c>
      <c r="F13" s="408"/>
    </row>
    <row r="14" spans="1:6" ht="18.95" customHeight="1">
      <c r="A14" s="406"/>
      <c r="B14" s="412" t="s">
        <v>583</v>
      </c>
      <c r="C14" s="414">
        <v>2.75</v>
      </c>
      <c r="D14" s="412" t="s">
        <v>394</v>
      </c>
      <c r="E14" s="413" t="s">
        <v>578</v>
      </c>
      <c r="F14" s="408"/>
    </row>
    <row r="15" spans="1:6" ht="18.95" customHeight="1">
      <c r="A15" s="406"/>
      <c r="B15" s="412" t="s">
        <v>395</v>
      </c>
      <c r="C15" s="413" t="str">
        <f>'Performance Data Sheet'!H22 &amp; " lb-ft"</f>
        <v>1332 lb-ft</v>
      </c>
      <c r="D15" s="407"/>
      <c r="E15" s="407"/>
      <c r="F15" s="408"/>
    </row>
    <row r="16" spans="1:6" ht="18.95" customHeight="1">
      <c r="A16" s="406"/>
      <c r="B16" s="407"/>
      <c r="C16" s="407"/>
      <c r="D16" s="407"/>
      <c r="E16" s="407"/>
      <c r="F16" s="408"/>
    </row>
    <row r="17" spans="1:8" ht="18.95" customHeight="1">
      <c r="A17" s="406"/>
      <c r="B17" s="407"/>
      <c r="C17" s="407"/>
      <c r="D17" s="407"/>
      <c r="E17" s="407"/>
      <c r="F17" s="408"/>
    </row>
    <row r="18" spans="1:8" ht="18.95" customHeight="1">
      <c r="A18" s="406"/>
      <c r="B18" s="407"/>
      <c r="C18" s="407"/>
      <c r="D18" s="407"/>
      <c r="E18" s="407"/>
      <c r="F18" s="408"/>
    </row>
    <row r="19" spans="1:8" ht="18.95" customHeight="1">
      <c r="A19" s="406"/>
      <c r="B19" s="407"/>
      <c r="C19" s="407"/>
      <c r="D19" s="407"/>
      <c r="E19" s="407"/>
      <c r="F19" s="408"/>
    </row>
    <row r="20" spans="1:8" ht="18.95" customHeight="1">
      <c r="A20" s="406"/>
      <c r="B20" s="407"/>
      <c r="C20" s="407"/>
      <c r="D20" s="407"/>
      <c r="E20" s="407"/>
      <c r="F20" s="408"/>
    </row>
    <row r="21" spans="1:8" ht="18.95" customHeight="1">
      <c r="A21" s="406"/>
      <c r="B21" s="407"/>
      <c r="C21" s="407"/>
      <c r="D21" s="407"/>
      <c r="E21" s="407"/>
      <c r="F21" s="408"/>
    </row>
    <row r="22" spans="1:8" ht="18.95" customHeight="1">
      <c r="A22" s="406"/>
      <c r="B22" s="407"/>
      <c r="C22" s="407"/>
      <c r="D22" s="407"/>
      <c r="E22" s="407"/>
      <c r="F22" s="408"/>
    </row>
    <row r="23" spans="1:8" ht="18.95" customHeight="1">
      <c r="A23" s="406"/>
      <c r="B23" s="407"/>
      <c r="C23" s="407"/>
      <c r="D23" s="407"/>
      <c r="E23" s="407"/>
      <c r="F23" s="408"/>
    </row>
    <row r="24" spans="1:8" ht="18.95" customHeight="1">
      <c r="A24" s="406"/>
      <c r="B24" s="407"/>
      <c r="C24" s="407"/>
      <c r="D24" s="407"/>
      <c r="E24" s="407"/>
      <c r="F24" s="408"/>
      <c r="H24" s="434"/>
    </row>
    <row r="25" spans="1:8" ht="18.95" customHeight="1">
      <c r="A25" s="406"/>
      <c r="B25" s="407"/>
      <c r="C25" s="407"/>
      <c r="D25" s="407"/>
      <c r="E25" s="407"/>
      <c r="F25" s="408"/>
    </row>
    <row r="26" spans="1:8" ht="18.95" customHeight="1">
      <c r="A26" s="406"/>
      <c r="B26" s="407"/>
      <c r="C26" s="407"/>
      <c r="D26" s="407"/>
      <c r="E26" s="407"/>
      <c r="F26" s="408"/>
    </row>
    <row r="27" spans="1:8" ht="18.95" customHeight="1">
      <c r="A27" s="406"/>
      <c r="B27" s="407"/>
      <c r="C27" s="407"/>
      <c r="D27" s="407"/>
      <c r="E27" s="407"/>
      <c r="F27" s="408"/>
    </row>
    <row r="28" spans="1:8" ht="18.95" customHeight="1">
      <c r="A28" s="406"/>
      <c r="B28" s="407"/>
      <c r="C28" s="407"/>
      <c r="D28" s="407"/>
      <c r="E28" s="407"/>
      <c r="F28" s="408"/>
    </row>
    <row r="29" spans="1:8" ht="18.95" customHeight="1">
      <c r="A29" s="406"/>
      <c r="B29" s="407"/>
      <c r="C29" s="407"/>
      <c r="D29" s="407"/>
      <c r="E29" s="407"/>
      <c r="F29" s="408"/>
    </row>
    <row r="30" spans="1:8" ht="18.95" customHeight="1">
      <c r="A30" s="406"/>
      <c r="B30" s="407"/>
      <c r="C30" s="407"/>
      <c r="D30" s="407"/>
      <c r="E30" s="407"/>
      <c r="F30" s="408"/>
    </row>
    <row r="31" spans="1:8" ht="18.95" customHeight="1">
      <c r="A31" s="406"/>
      <c r="B31" s="407"/>
      <c r="C31" s="407"/>
      <c r="D31" s="407"/>
      <c r="E31" s="407"/>
      <c r="F31" s="408"/>
    </row>
    <row r="32" spans="1:8" ht="18.95" customHeight="1">
      <c r="A32" s="406"/>
      <c r="B32" s="407"/>
      <c r="C32" s="407"/>
      <c r="D32" s="407"/>
      <c r="E32" s="407"/>
      <c r="F32" s="408"/>
    </row>
    <row r="33" spans="1:15" ht="18.95" customHeight="1">
      <c r="A33" s="406"/>
      <c r="B33" s="407"/>
      <c r="C33" s="407"/>
      <c r="D33" s="407"/>
      <c r="E33" s="407"/>
      <c r="F33" s="408"/>
    </row>
    <row r="34" spans="1:15" ht="18.95" customHeight="1">
      <c r="A34" s="406"/>
      <c r="B34" s="407"/>
      <c r="C34" s="407"/>
      <c r="D34" s="407"/>
      <c r="E34" s="407"/>
      <c r="F34" s="408"/>
    </row>
    <row r="35" spans="1:15" ht="18.95" customHeight="1">
      <c r="A35" s="406"/>
      <c r="B35" s="407"/>
      <c r="C35" s="407"/>
      <c r="D35" s="407"/>
      <c r="E35" s="407"/>
      <c r="F35" s="408"/>
    </row>
    <row r="36" spans="1:15" ht="18.95" customHeight="1">
      <c r="A36" s="406"/>
      <c r="B36" s="407"/>
      <c r="C36" s="407"/>
      <c r="D36" s="407"/>
      <c r="E36" s="407"/>
      <c r="F36" s="408"/>
      <c r="N36" s="552" t="s">
        <v>706</v>
      </c>
      <c r="O36" s="552" t="s">
        <v>707</v>
      </c>
    </row>
    <row r="37" spans="1:15" ht="18.95" customHeight="1">
      <c r="A37" s="406"/>
      <c r="B37" s="407"/>
      <c r="C37" s="407"/>
      <c r="D37" s="407"/>
      <c r="E37" s="407"/>
      <c r="F37" s="408"/>
      <c r="N37" s="552">
        <f xml:space="preserve"> L43 - (L43-L44) / 10 * 0</f>
        <v>1800</v>
      </c>
      <c r="O37" s="552">
        <f xml:space="preserve"> L45 / 10 * 10</f>
        <v>1000</v>
      </c>
    </row>
    <row r="38" spans="1:15" ht="18.95" customHeight="1">
      <c r="A38" s="406"/>
      <c r="B38" s="407"/>
      <c r="C38" s="407"/>
      <c r="D38" s="407"/>
      <c r="E38" s="407"/>
      <c r="F38" s="408"/>
      <c r="N38" s="552">
        <f xml:space="preserve"> L43 - (L43-L44) / 10 * 1</f>
        <v>1796</v>
      </c>
      <c r="O38" s="552">
        <f xml:space="preserve"> L45 / 10 * 9</f>
        <v>900</v>
      </c>
    </row>
    <row r="39" spans="1:15" ht="18.95" customHeight="1">
      <c r="A39" s="415" t="s">
        <v>565</v>
      </c>
      <c r="B39" s="416" t="s">
        <v>370</v>
      </c>
      <c r="C39" s="551" t="str">
        <f>'Performance Data Sheet'!C10</f>
        <v>2182344.3</v>
      </c>
      <c r="D39" s="407"/>
      <c r="E39" s="412" t="s">
        <v>566</v>
      </c>
      <c r="F39" s="417" t="str">
        <f>F10</f>
        <v>DT4450K</v>
      </c>
      <c r="N39" s="552">
        <f xml:space="preserve"> L43 - (L43-L44) / 10 * 2</f>
        <v>1792</v>
      </c>
      <c r="O39" s="552">
        <f xml:space="preserve"> L45 / 10 * 8</f>
        <v>800</v>
      </c>
    </row>
    <row r="40" spans="1:15" ht="18.95" customHeight="1">
      <c r="A40" s="406"/>
      <c r="B40" s="416"/>
      <c r="C40" s="416"/>
      <c r="D40" s="407"/>
      <c r="E40" s="407"/>
      <c r="F40" s="408"/>
      <c r="N40" s="552">
        <f xml:space="preserve"> L43 - (L43-L44) / 10 * 3</f>
        <v>1788</v>
      </c>
      <c r="O40" s="552">
        <f xml:space="preserve"> L45 / 10 * 7</f>
        <v>700</v>
      </c>
    </row>
    <row r="41" spans="1:15" ht="18.95" customHeight="1">
      <c r="A41" s="406"/>
      <c r="B41" s="416"/>
      <c r="C41" s="416"/>
      <c r="D41" s="407"/>
      <c r="E41" s="407"/>
      <c r="F41" s="408"/>
      <c r="N41" s="552">
        <f xml:space="preserve"> L43 - (L43-L44) / 10 * 4</f>
        <v>1784</v>
      </c>
      <c r="O41" s="552">
        <f xml:space="preserve"> L45 / 10 * 6</f>
        <v>600</v>
      </c>
    </row>
    <row r="42" spans="1:15" ht="18.95" customHeight="1">
      <c r="A42" s="406"/>
      <c r="B42" s="407"/>
      <c r="C42" s="407"/>
      <c r="D42" s="407"/>
      <c r="E42" s="407"/>
      <c r="F42" s="408"/>
      <c r="N42" s="552">
        <f xml:space="preserve"> L43 - (L43-L44) / 10 * 5</f>
        <v>1780</v>
      </c>
      <c r="O42" s="552">
        <f xml:space="preserve"> L45 / 10 * 5</f>
        <v>500</v>
      </c>
    </row>
    <row r="43" spans="1:15" ht="18.95" customHeight="1">
      <c r="A43" s="418"/>
      <c r="B43" s="416"/>
      <c r="C43" s="419" t="s">
        <v>567</v>
      </c>
      <c r="D43" s="420" t="str">
        <f>'Performance Data Sheet'!K42</f>
        <v>Zichao Xie</v>
      </c>
      <c r="E43" s="419" t="s">
        <v>568</v>
      </c>
      <c r="F43" s="420"/>
      <c r="K43" s="555" t="s">
        <v>703</v>
      </c>
      <c r="L43" s="556">
        <v>1800</v>
      </c>
      <c r="N43" s="552">
        <f xml:space="preserve"> L43 - (L43-L44) / 10 * 6</f>
        <v>1776</v>
      </c>
      <c r="O43" s="552">
        <f xml:space="preserve"> L45 / 10 * 4</f>
        <v>400</v>
      </c>
    </row>
    <row r="44" spans="1:15" ht="15" customHeight="1">
      <c r="K44" s="555" t="s">
        <v>704</v>
      </c>
      <c r="L44" s="557">
        <v>1760</v>
      </c>
      <c r="N44" s="552">
        <f xml:space="preserve"> L43 - (L43-L44) / 10 * 7</f>
        <v>1772</v>
      </c>
      <c r="O44" s="552">
        <f xml:space="preserve"> L45 / 10 * 3</f>
        <v>300</v>
      </c>
    </row>
    <row r="45" spans="1:15" ht="15" customHeight="1">
      <c r="K45" s="555" t="s">
        <v>705</v>
      </c>
      <c r="L45" s="557">
        <v>1000</v>
      </c>
      <c r="N45" s="552">
        <f xml:space="preserve"> L43 - (L43-L44) / 10 * 8</f>
        <v>1768</v>
      </c>
      <c r="O45" s="552">
        <f xml:space="preserve"> L45 / 10 * 2</f>
        <v>200</v>
      </c>
    </row>
    <row r="46" spans="1:15" ht="15" customHeight="1">
      <c r="N46" s="552">
        <f xml:space="preserve"> L43 - (L43-L44) / 10 * 9</f>
        <v>1764</v>
      </c>
      <c r="O46" s="552">
        <f xml:space="preserve"> L45 / 10 * 1</f>
        <v>100</v>
      </c>
    </row>
    <row r="47" spans="1:15" ht="15" customHeight="1">
      <c r="N47" s="552">
        <f xml:space="preserve"> L43 - (L43-L44) / 10 * 10</f>
        <v>1760</v>
      </c>
      <c r="O47" s="558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849" t="s">
        <v>701</v>
      </c>
      <c r="B52" s="850"/>
      <c r="C52" s="850"/>
      <c r="D52" s="850"/>
      <c r="E52" s="850"/>
      <c r="F52" s="851"/>
    </row>
    <row r="53" spans="1:6" ht="15" customHeight="1" thickBot="1">
      <c r="A53" s="553" t="s">
        <v>391</v>
      </c>
      <c r="B53" s="553" t="s">
        <v>142</v>
      </c>
      <c r="C53" s="553" t="s">
        <v>120</v>
      </c>
      <c r="D53" s="553" t="s">
        <v>135</v>
      </c>
      <c r="E53" s="553" t="s">
        <v>5</v>
      </c>
      <c r="F53" s="554" t="s">
        <v>586</v>
      </c>
    </row>
    <row r="54" spans="1:6" ht="15" customHeight="1">
      <c r="A54" s="435">
        <v>0</v>
      </c>
      <c r="B54" s="436"/>
      <c r="C54" s="437"/>
      <c r="D54" s="437">
        <v>16.5</v>
      </c>
      <c r="E54" s="437">
        <v>100</v>
      </c>
      <c r="F54" s="438">
        <f>7538/(L45*1000) * 100</f>
        <v>0.75380000000000003</v>
      </c>
    </row>
    <row r="55" spans="1:6" ht="15" customHeight="1">
      <c r="A55" s="439">
        <v>25</v>
      </c>
      <c r="B55" s="440">
        <v>89.900001525878906</v>
      </c>
      <c r="C55" s="441">
        <v>54.900001525878906</v>
      </c>
      <c r="D55" s="441">
        <v>24.549999237060547</v>
      </c>
      <c r="E55" s="441">
        <f xml:space="preserve"> (1.010793*B10-L44)/(L43-L44)*100</f>
        <v>85.393937500000447</v>
      </c>
      <c r="F55" s="442">
        <f xml:space="preserve"> 93377.98/(L45*1000)*100</f>
        <v>9.3377979999999994</v>
      </c>
    </row>
    <row r="56" spans="1:6" ht="15" customHeight="1">
      <c r="A56" s="439">
        <v>50</v>
      </c>
      <c r="B56" s="440">
        <v>92.699996948242188</v>
      </c>
      <c r="C56" s="441">
        <v>77.300003051757813</v>
      </c>
      <c r="D56" s="441">
        <v>33.779998779296875</v>
      </c>
      <c r="E56" s="441">
        <f xml:space="preserve"> (1.007279*B10-L44)/(L43-L44)*100</f>
        <v>69.800562500000183</v>
      </c>
      <c r="F56" s="442">
        <f xml:space="preserve"> 180908.8/(L45*1000)*100</f>
        <v>18.090879999999999</v>
      </c>
    </row>
    <row r="57" spans="1:6">
      <c r="A57" s="439">
        <v>75</v>
      </c>
      <c r="B57" s="440">
        <v>93.199996948242188</v>
      </c>
      <c r="C57" s="441">
        <v>85.599998474121094</v>
      </c>
      <c r="D57" s="441">
        <v>45.549999237060547</v>
      </c>
      <c r="E57" s="441">
        <f xml:space="preserve"> (1.003702*B10-L44)/(L43-L44)*100</f>
        <v>53.927625000000603</v>
      </c>
      <c r="F57" s="442">
        <f xml:space="preserve"> 270136.2/(L45*1000)*100</f>
        <v>27.01362</v>
      </c>
    </row>
    <row r="58" spans="1:6">
      <c r="A58" s="439">
        <v>100</v>
      </c>
      <c r="B58" s="440">
        <v>93.099998474121094</v>
      </c>
      <c r="C58" s="441">
        <v>88.700004577636719</v>
      </c>
      <c r="D58" s="441">
        <v>58.659999847412109</v>
      </c>
      <c r="E58" s="441">
        <f xml:space="preserve"> (1*B10-L44)/(L43-L44)*100</f>
        <v>37.5</v>
      </c>
      <c r="F58" s="442">
        <f xml:space="preserve"> 360484.3/(L45*1000)*100</f>
        <v>36.048429999999996</v>
      </c>
    </row>
    <row r="59" spans="1:6" ht="13.5" thickBot="1">
      <c r="A59" s="443">
        <v>125</v>
      </c>
      <c r="B59" s="444">
        <v>92.699996948242188</v>
      </c>
      <c r="C59" s="445">
        <v>89.700004577636719</v>
      </c>
      <c r="D59" s="445">
        <v>72.839996337890625</v>
      </c>
      <c r="E59" s="445">
        <f xml:space="preserve"> (0.9962348*B10-L44)/(L43-L44)*100</f>
        <v>20.791924999999765</v>
      </c>
      <c r="F59" s="446">
        <f xml:space="preserve"> 452671.3/(L45*1000)*100</f>
        <v>45.267130000000002</v>
      </c>
    </row>
    <row r="60" spans="1:6">
      <c r="A60" s="430"/>
      <c r="B60" s="431"/>
      <c r="C60" s="431"/>
    </row>
    <row r="61" spans="1:6" ht="13.5" thickBot="1">
      <c r="A61" s="430"/>
      <c r="B61" s="431"/>
      <c r="C61" s="431"/>
    </row>
    <row r="62" spans="1:6" ht="13.5" thickBot="1">
      <c r="A62" s="849" t="s">
        <v>702</v>
      </c>
      <c r="B62" s="850"/>
      <c r="C62" s="850"/>
      <c r="D62" s="850"/>
      <c r="E62" s="850"/>
      <c r="F62" s="851"/>
    </row>
    <row r="63" spans="1:6" ht="13.5" thickBot="1">
      <c r="A63" s="553" t="s">
        <v>391</v>
      </c>
      <c r="B63" s="553" t="s">
        <v>142</v>
      </c>
      <c r="C63" s="553" t="s">
        <v>120</v>
      </c>
      <c r="D63" s="553" t="s">
        <v>135</v>
      </c>
      <c r="E63" s="553" t="s">
        <v>5</v>
      </c>
      <c r="F63" s="554" t="s">
        <v>586</v>
      </c>
    </row>
    <row r="64" spans="1:6">
      <c r="A64" s="435">
        <v>0</v>
      </c>
      <c r="B64" s="436"/>
      <c r="C64" s="437"/>
      <c r="D64" s="437">
        <v>16.522260127232929</v>
      </c>
      <c r="E64" s="437">
        <v>100</v>
      </c>
      <c r="F64" s="438">
        <v>6.6175219499086086</v>
      </c>
    </row>
    <row r="65" spans="1:6">
      <c r="A65" s="439">
        <v>25</v>
      </c>
      <c r="B65" s="440">
        <v>89.872695922851563</v>
      </c>
      <c r="C65" s="441">
        <v>54.862991333007813</v>
      </c>
      <c r="D65" s="441">
        <v>24.550357818603516</v>
      </c>
      <c r="E65" s="441">
        <v>79.074980340287325</v>
      </c>
      <c r="F65" s="442">
        <v>9.3313653700423185</v>
      </c>
    </row>
    <row r="66" spans="1:6">
      <c r="A66" s="439">
        <v>50</v>
      </c>
      <c r="B66" s="440">
        <v>92.694068908691406</v>
      </c>
      <c r="C66" s="441">
        <v>77.322250366210938</v>
      </c>
      <c r="D66" s="441">
        <v>33.778369903564453</v>
      </c>
      <c r="E66" s="441">
        <v>65.166958136765345</v>
      </c>
      <c r="F66" s="442">
        <v>18.094685989517895</v>
      </c>
    </row>
    <row r="67" spans="1:6">
      <c r="A67" s="439">
        <v>75</v>
      </c>
      <c r="B67" s="440">
        <v>93.188255310058594</v>
      </c>
      <c r="C67" s="441">
        <v>85.558143615722656</v>
      </c>
      <c r="D67" s="441">
        <v>45.54742431640625</v>
      </c>
      <c r="E67" s="441">
        <v>50.845732684348413</v>
      </c>
      <c r="F67" s="442">
        <v>26.998091313967635</v>
      </c>
    </row>
    <row r="68" spans="1:6">
      <c r="A68" s="439">
        <v>100</v>
      </c>
      <c r="B68" s="440">
        <v>93.060173034667969</v>
      </c>
      <c r="C68" s="441">
        <v>88.697425842285156</v>
      </c>
      <c r="D68" s="441">
        <v>58.661102294921875</v>
      </c>
      <c r="E68" s="441">
        <v>36.006403844114374</v>
      </c>
      <c r="F68" s="442">
        <v>36.046999814584552</v>
      </c>
    </row>
    <row r="69" spans="1:6" ht="13.5" thickBot="1">
      <c r="A69" s="443">
        <v>125</v>
      </c>
      <c r="B69" s="444">
        <v>92.661766052246094</v>
      </c>
      <c r="C69" s="445">
        <v>89.672080993652344</v>
      </c>
      <c r="D69" s="445">
        <v>72.841224670410156</v>
      </c>
      <c r="E69" s="445">
        <v>20.987557055136573</v>
      </c>
      <c r="F69" s="446">
        <v>45.252480024713748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codeName="Sheet7"/>
  <dimension ref="A1:AD43"/>
  <sheetViews>
    <sheetView showGridLines="0" zoomScaleNormal="100" workbookViewId="0">
      <selection activeCell="X24" sqref="X24"/>
    </sheetView>
  </sheetViews>
  <sheetFormatPr defaultColWidth="9.7109375" defaultRowHeight="12.75"/>
  <cols>
    <col min="1" max="13" width="6.5703125" style="567" customWidth="1"/>
    <col min="14" max="14" width="6.42578125" style="567" customWidth="1"/>
    <col min="15" max="16" width="9.7109375" style="567"/>
    <col min="17" max="17" width="12.85546875" style="567" bestFit="1" customWidth="1"/>
    <col min="18" max="16384" width="9.7109375" style="567"/>
  </cols>
  <sheetData>
    <row r="1" spans="1:17" ht="15.75" customHeight="1">
      <c r="A1" s="561" t="s">
        <v>267</v>
      </c>
      <c r="B1" s="562"/>
      <c r="C1" s="562"/>
      <c r="D1" s="562"/>
      <c r="E1" s="562"/>
      <c r="F1" s="562"/>
      <c r="G1" s="562"/>
      <c r="H1" s="562"/>
      <c r="I1" s="562"/>
      <c r="J1" s="563" t="s">
        <v>587</v>
      </c>
      <c r="K1" s="564"/>
      <c r="L1" s="565" t="s">
        <v>709</v>
      </c>
      <c r="M1" s="566"/>
    </row>
    <row r="2" spans="1:17" ht="15.75" customHeight="1">
      <c r="A2" s="568" t="s">
        <v>589</v>
      </c>
      <c r="B2" s="569"/>
      <c r="C2" s="569"/>
      <c r="D2" s="569"/>
      <c r="E2" s="569"/>
      <c r="F2" s="569"/>
      <c r="G2" s="569"/>
      <c r="H2" s="569"/>
      <c r="I2" s="569"/>
      <c r="J2" s="570" t="s">
        <v>590</v>
      </c>
      <c r="K2" s="571"/>
      <c r="L2" s="572" t="s">
        <v>591</v>
      </c>
      <c r="M2" s="573"/>
    </row>
    <row r="3" spans="1:17" ht="15.75" customHeight="1">
      <c r="A3" s="574"/>
      <c r="B3" s="575"/>
      <c r="C3" s="575"/>
      <c r="D3" s="575"/>
      <c r="E3" s="575"/>
      <c r="F3" s="575"/>
      <c r="G3" s="575"/>
      <c r="H3" s="575"/>
      <c r="I3" s="575"/>
      <c r="J3" s="570" t="s">
        <v>592</v>
      </c>
      <c r="K3" s="571"/>
      <c r="L3" s="856">
        <v>38309</v>
      </c>
      <c r="M3" s="857"/>
    </row>
    <row r="4" spans="1:17" ht="15.75" customHeight="1">
      <c r="A4" s="858" t="s">
        <v>710</v>
      </c>
      <c r="B4" s="859"/>
      <c r="C4" s="859"/>
      <c r="D4" s="859"/>
      <c r="E4" s="859"/>
      <c r="F4" s="859"/>
      <c r="G4" s="859"/>
      <c r="H4" s="859"/>
      <c r="I4" s="860"/>
      <c r="J4" s="570" t="s">
        <v>594</v>
      </c>
      <c r="K4" s="571"/>
      <c r="L4" s="572" t="s">
        <v>711</v>
      </c>
      <c r="M4" s="573"/>
    </row>
    <row r="5" spans="1:17" ht="15.75" customHeight="1">
      <c r="A5" s="861"/>
      <c r="B5" s="862"/>
      <c r="C5" s="862"/>
      <c r="D5" s="862"/>
      <c r="E5" s="862"/>
      <c r="F5" s="862"/>
      <c r="G5" s="862"/>
      <c r="H5" s="862"/>
      <c r="I5" s="863"/>
      <c r="J5" s="570" t="s">
        <v>596</v>
      </c>
      <c r="K5" s="571"/>
      <c r="L5" s="572" t="s">
        <v>712</v>
      </c>
      <c r="M5" s="573"/>
    </row>
    <row r="6" spans="1:17" ht="15.75" customHeight="1">
      <c r="A6" s="576"/>
      <c r="B6" s="575"/>
      <c r="C6" s="575"/>
      <c r="D6" s="575"/>
      <c r="E6" s="575"/>
      <c r="F6" s="575"/>
      <c r="G6" s="575"/>
      <c r="H6" s="575"/>
      <c r="I6" s="575"/>
      <c r="J6" s="570" t="s">
        <v>598</v>
      </c>
      <c r="K6" s="571"/>
      <c r="L6" s="577" t="s">
        <v>599</v>
      </c>
      <c r="M6" s="573"/>
    </row>
    <row r="7" spans="1:17" ht="15.75" customHeight="1" thickBot="1">
      <c r="A7" s="578" t="s">
        <v>713</v>
      </c>
      <c r="B7" s="579"/>
      <c r="C7" s="579"/>
      <c r="D7" s="579"/>
      <c r="E7" s="579"/>
      <c r="F7" s="579"/>
      <c r="G7" s="579"/>
      <c r="H7" s="579"/>
      <c r="I7" s="579"/>
      <c r="J7" s="580" t="s">
        <v>601</v>
      </c>
      <c r="K7" s="581"/>
      <c r="L7" s="582" t="s">
        <v>714</v>
      </c>
      <c r="M7" s="583"/>
    </row>
    <row r="8" spans="1:17" ht="15.75" customHeight="1">
      <c r="A8" s="584"/>
      <c r="B8" s="585"/>
      <c r="C8" s="585"/>
      <c r="D8" s="585"/>
      <c r="E8" s="585"/>
      <c r="F8" s="585"/>
      <c r="G8" s="585"/>
      <c r="H8" s="585"/>
      <c r="I8" s="585"/>
      <c r="J8" s="585"/>
      <c r="K8" s="586"/>
      <c r="L8" s="587"/>
      <c r="M8" s="588"/>
      <c r="N8" s="589"/>
    </row>
    <row r="9" spans="1:17" ht="15.75" customHeight="1">
      <c r="A9" s="590"/>
      <c r="B9" s="591" t="s">
        <v>603</v>
      </c>
      <c r="C9" s="592" t="s">
        <v>694</v>
      </c>
      <c r="D9" s="593"/>
      <c r="E9" s="593"/>
      <c r="F9" s="593"/>
      <c r="G9" s="593"/>
      <c r="H9" s="593"/>
      <c r="I9" s="593"/>
      <c r="J9" s="593"/>
      <c r="K9" s="594"/>
      <c r="L9" s="595"/>
      <c r="M9" s="593"/>
      <c r="N9" s="589"/>
    </row>
    <row r="10" spans="1:17" ht="15.75" customHeight="1">
      <c r="A10" s="590"/>
      <c r="B10" s="591" t="s">
        <v>604</v>
      </c>
      <c r="C10" s="596" t="s">
        <v>695</v>
      </c>
      <c r="D10" s="595"/>
      <c r="E10" s="595"/>
      <c r="F10" s="595"/>
      <c r="G10" s="595"/>
      <c r="H10" s="595"/>
      <c r="I10" s="595"/>
      <c r="J10" s="595"/>
      <c r="K10" s="595"/>
      <c r="L10" s="595"/>
      <c r="M10" s="595"/>
      <c r="N10" s="589"/>
    </row>
    <row r="11" spans="1:17" ht="15.75" customHeight="1" thickBot="1">
      <c r="A11" s="597"/>
      <c r="B11" s="597"/>
      <c r="C11" s="597"/>
      <c r="D11" s="597"/>
      <c r="E11" s="597"/>
      <c r="F11" s="597"/>
      <c r="G11" s="597"/>
      <c r="H11" s="597"/>
      <c r="I11" s="597"/>
      <c r="J11" s="597"/>
      <c r="K11" s="597"/>
      <c r="L11" s="597"/>
      <c r="M11" s="597"/>
      <c r="N11" s="589"/>
    </row>
    <row r="12" spans="1:17" ht="15.75" customHeight="1" thickBot="1">
      <c r="A12" s="598" t="s">
        <v>605</v>
      </c>
      <c r="B12" s="599"/>
      <c r="C12" s="599"/>
      <c r="D12" s="599"/>
      <c r="E12" s="599"/>
      <c r="F12" s="599"/>
      <c r="G12" s="599"/>
      <c r="H12" s="599"/>
      <c r="I12" s="599"/>
      <c r="J12" s="599"/>
      <c r="K12" s="599"/>
      <c r="L12" s="599"/>
      <c r="M12" s="600"/>
    </row>
    <row r="13" spans="1:17" ht="14.1" customHeight="1" thickTop="1">
      <c r="A13" s="489"/>
      <c r="B13" s="490" t="s">
        <v>606</v>
      </c>
      <c r="C13" s="491">
        <v>450</v>
      </c>
      <c r="D13" s="483"/>
      <c r="E13" s="490" t="s">
        <v>607</v>
      </c>
      <c r="F13" s="491">
        <v>4000</v>
      </c>
      <c r="G13" s="483"/>
      <c r="H13" s="490" t="s">
        <v>608</v>
      </c>
      <c r="I13" s="491" t="s">
        <v>693</v>
      </c>
      <c r="J13" s="483"/>
      <c r="K13" s="483"/>
      <c r="L13" s="490" t="s">
        <v>609</v>
      </c>
      <c r="M13" s="492">
        <v>1800</v>
      </c>
    </row>
    <row r="14" spans="1:17" ht="14.1" customHeight="1">
      <c r="A14" s="489"/>
      <c r="B14" s="490" t="s">
        <v>610</v>
      </c>
      <c r="C14" s="491" t="s">
        <v>696</v>
      </c>
      <c r="D14" s="483"/>
      <c r="E14" s="490" t="s">
        <v>611</v>
      </c>
      <c r="F14" s="493" t="s">
        <v>698</v>
      </c>
      <c r="G14" s="483"/>
      <c r="H14" s="490" t="s">
        <v>612</v>
      </c>
      <c r="I14" s="491">
        <v>59</v>
      </c>
      <c r="J14" s="483"/>
      <c r="K14" s="483"/>
      <c r="L14" s="490" t="s">
        <v>564</v>
      </c>
      <c r="M14" s="492">
        <v>1775</v>
      </c>
    </row>
    <row r="15" spans="1:17" ht="14.1" customHeight="1">
      <c r="A15" s="489"/>
      <c r="B15" s="490" t="s">
        <v>613</v>
      </c>
      <c r="C15" s="491" t="s">
        <v>697</v>
      </c>
      <c r="D15" s="483"/>
      <c r="E15" s="490" t="s">
        <v>614</v>
      </c>
      <c r="F15" s="494" t="s">
        <v>699</v>
      </c>
      <c r="G15" s="483"/>
      <c r="H15" s="490" t="s">
        <v>615</v>
      </c>
      <c r="I15" s="493" t="s">
        <v>320</v>
      </c>
      <c r="J15" s="483"/>
      <c r="K15" s="483"/>
      <c r="L15" s="490" t="s">
        <v>616</v>
      </c>
      <c r="M15" s="492" t="s">
        <v>363</v>
      </c>
      <c r="Q15" s="601"/>
    </row>
    <row r="16" spans="1:17" ht="14.1" customHeight="1">
      <c r="A16" s="489"/>
      <c r="B16" s="490" t="s">
        <v>617</v>
      </c>
      <c r="C16" s="491" t="s">
        <v>692</v>
      </c>
      <c r="D16" s="483"/>
      <c r="E16" s="490" t="s">
        <v>618</v>
      </c>
      <c r="F16" s="491" t="s">
        <v>432</v>
      </c>
      <c r="G16" s="483"/>
      <c r="H16" s="495" t="s">
        <v>619</v>
      </c>
      <c r="I16" s="496" t="s">
        <v>363</v>
      </c>
      <c r="J16" s="483"/>
      <c r="K16" s="483"/>
      <c r="L16" s="490" t="s">
        <v>620</v>
      </c>
      <c r="M16" s="492" t="s">
        <v>621</v>
      </c>
    </row>
    <row r="17" spans="1:24" ht="14.1" customHeight="1">
      <c r="A17" s="489"/>
      <c r="B17" s="490" t="s">
        <v>622</v>
      </c>
      <c r="C17" s="497" t="s">
        <v>700</v>
      </c>
      <c r="D17" s="483"/>
      <c r="E17" s="490"/>
      <c r="F17" s="493"/>
      <c r="G17" s="483"/>
      <c r="H17" s="490" t="s">
        <v>623</v>
      </c>
      <c r="I17" s="496">
        <v>336</v>
      </c>
      <c r="J17" s="483"/>
      <c r="K17" s="483"/>
      <c r="L17" s="490"/>
      <c r="M17" s="498"/>
    </row>
    <row r="18" spans="1:24" ht="14.1" customHeight="1" thickBot="1">
      <c r="A18" s="499"/>
      <c r="B18" s="500" t="s">
        <v>624</v>
      </c>
      <c r="C18" s="501">
        <v>93</v>
      </c>
      <c r="D18" s="502"/>
      <c r="E18" s="503" t="s">
        <v>625</v>
      </c>
      <c r="F18" s="501" t="s">
        <v>174</v>
      </c>
      <c r="G18" s="504"/>
      <c r="H18" s="503" t="s">
        <v>626</v>
      </c>
      <c r="I18" s="501">
        <v>88.5</v>
      </c>
      <c r="J18" s="502"/>
      <c r="K18" s="502"/>
      <c r="L18" s="502"/>
      <c r="M18" s="505"/>
    </row>
    <row r="19" spans="1:24" ht="15.75" customHeight="1">
      <c r="A19" s="589"/>
      <c r="B19" s="589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589"/>
    </row>
    <row r="20" spans="1:24" ht="15.75" customHeight="1" thickBot="1">
      <c r="A20" s="603"/>
      <c r="B20" s="603"/>
      <c r="C20" s="603"/>
      <c r="D20" s="603"/>
      <c r="E20" s="603"/>
      <c r="F20" s="603"/>
      <c r="G20" s="603"/>
      <c r="H20" s="603"/>
      <c r="I20" s="603"/>
      <c r="J20" s="603"/>
      <c r="K20" s="603"/>
      <c r="L20" s="603"/>
      <c r="M20" s="603"/>
    </row>
    <row r="21" spans="1:24" ht="15.75" customHeight="1">
      <c r="A21" s="864" t="s">
        <v>715</v>
      </c>
      <c r="B21" s="865"/>
      <c r="C21" s="865"/>
      <c r="D21" s="865"/>
      <c r="E21" s="865"/>
      <c r="F21" s="865"/>
      <c r="G21" s="866">
        <v>0.67389174048311717</v>
      </c>
      <c r="H21" s="866"/>
      <c r="I21" s="866"/>
      <c r="J21" s="867"/>
      <c r="K21" s="604"/>
      <c r="L21" s="604"/>
      <c r="M21" s="604"/>
    </row>
    <row r="22" spans="1:24" ht="15.75" customHeight="1">
      <c r="A22" s="852" t="s">
        <v>716</v>
      </c>
      <c r="B22" s="853"/>
      <c r="C22" s="853"/>
      <c r="D22" s="853"/>
      <c r="E22" s="853"/>
      <c r="F22" s="853"/>
      <c r="G22" s="854">
        <v>0.57627387050935763</v>
      </c>
      <c r="H22" s="854"/>
      <c r="I22" s="854"/>
      <c r="J22" s="855"/>
      <c r="K22" s="605"/>
      <c r="L22" s="605"/>
      <c r="M22" s="605"/>
    </row>
    <row r="23" spans="1:24" ht="15.75" customHeight="1">
      <c r="A23" s="852" t="s">
        <v>717</v>
      </c>
      <c r="B23" s="853"/>
      <c r="C23" s="853"/>
      <c r="D23" s="853"/>
      <c r="E23" s="853"/>
      <c r="F23" s="853"/>
      <c r="G23" s="854">
        <v>1.3935573523818729</v>
      </c>
      <c r="H23" s="854"/>
      <c r="I23" s="854"/>
      <c r="J23" s="855"/>
      <c r="K23" s="606"/>
      <c r="L23" s="606"/>
      <c r="M23" s="606"/>
      <c r="Q23" s="607"/>
    </row>
    <row r="24" spans="1:24" ht="15.75" customHeight="1">
      <c r="A24" s="852"/>
      <c r="B24" s="853"/>
      <c r="C24" s="853"/>
      <c r="D24" s="853"/>
      <c r="E24" s="853"/>
      <c r="F24" s="853"/>
      <c r="G24" s="854"/>
      <c r="H24" s="854"/>
      <c r="I24" s="854"/>
      <c r="J24" s="855"/>
      <c r="K24" s="608"/>
      <c r="L24" s="608"/>
      <c r="M24" s="609"/>
      <c r="N24" s="589"/>
      <c r="P24" s="610"/>
      <c r="S24" s="610"/>
    </row>
    <row r="25" spans="1:24" ht="15.75" customHeight="1">
      <c r="A25" s="852" t="s">
        <v>718</v>
      </c>
      <c r="B25" s="853"/>
      <c r="C25" s="853"/>
      <c r="D25" s="853"/>
      <c r="E25" s="853"/>
      <c r="F25" s="853"/>
      <c r="G25" s="854">
        <v>4.0112663656358825</v>
      </c>
      <c r="H25" s="854"/>
      <c r="I25" s="854"/>
      <c r="J25" s="855"/>
      <c r="K25" s="611"/>
      <c r="L25" s="611"/>
      <c r="M25" s="612"/>
      <c r="N25" s="613"/>
      <c r="O25" s="614"/>
      <c r="P25" s="614"/>
      <c r="Q25" s="615"/>
    </row>
    <row r="26" spans="1:24" ht="15.75" customHeight="1">
      <c r="A26" s="852" t="s">
        <v>719</v>
      </c>
      <c r="B26" s="853"/>
      <c r="C26" s="853"/>
      <c r="D26" s="853"/>
      <c r="E26" s="853"/>
      <c r="F26" s="853"/>
      <c r="G26" s="854">
        <v>3.3205343130239338</v>
      </c>
      <c r="H26" s="854"/>
      <c r="I26" s="854"/>
      <c r="J26" s="855"/>
      <c r="K26" s="616"/>
      <c r="L26" s="616"/>
      <c r="M26" s="612"/>
      <c r="N26" s="613"/>
      <c r="O26" s="614"/>
      <c r="P26" s="617"/>
    </row>
    <row r="27" spans="1:24" ht="15.75" customHeight="1">
      <c r="A27" s="852" t="s">
        <v>720</v>
      </c>
      <c r="B27" s="853"/>
      <c r="C27" s="853"/>
      <c r="D27" s="853"/>
      <c r="E27" s="853"/>
      <c r="F27" s="853"/>
      <c r="G27" s="854">
        <v>2.9039498289584111</v>
      </c>
      <c r="H27" s="854"/>
      <c r="I27" s="854"/>
      <c r="J27" s="855"/>
      <c r="K27" s="618"/>
      <c r="L27" s="618"/>
      <c r="M27" s="612"/>
      <c r="N27" s="613"/>
      <c r="O27" s="614"/>
      <c r="P27" s="614"/>
    </row>
    <row r="28" spans="1:24" ht="15.75" customHeight="1">
      <c r="A28" s="852"/>
      <c r="B28" s="853"/>
      <c r="C28" s="853"/>
      <c r="D28" s="853"/>
      <c r="E28" s="853"/>
      <c r="F28" s="853"/>
      <c r="G28" s="854"/>
      <c r="H28" s="854"/>
      <c r="I28" s="854"/>
      <c r="J28" s="855"/>
      <c r="K28" s="618"/>
      <c r="L28" s="604"/>
      <c r="M28" s="604"/>
      <c r="N28" s="613"/>
      <c r="O28" s="614"/>
      <c r="P28" s="614"/>
    </row>
    <row r="29" spans="1:24" ht="15.75" customHeight="1">
      <c r="A29" s="852" t="s">
        <v>721</v>
      </c>
      <c r="B29" s="853"/>
      <c r="C29" s="853"/>
      <c r="D29" s="853"/>
      <c r="E29" s="853"/>
      <c r="F29" s="853"/>
      <c r="G29" s="868">
        <v>140.21864461193098</v>
      </c>
      <c r="H29" s="868"/>
      <c r="I29" s="868"/>
      <c r="J29" s="869"/>
      <c r="K29" s="612"/>
      <c r="L29" s="612"/>
      <c r="M29" s="619"/>
      <c r="N29" s="613"/>
      <c r="O29" s="614"/>
      <c r="P29" s="620"/>
    </row>
    <row r="30" spans="1:24" ht="15.75" customHeight="1">
      <c r="A30" s="852"/>
      <c r="B30" s="853"/>
      <c r="C30" s="853"/>
      <c r="D30" s="853"/>
      <c r="E30" s="853"/>
      <c r="F30" s="853"/>
      <c r="G30" s="854"/>
      <c r="H30" s="854"/>
      <c r="I30" s="854"/>
      <c r="J30" s="855"/>
      <c r="K30" s="611"/>
      <c r="L30" s="611"/>
      <c r="M30" s="609"/>
      <c r="N30" s="613"/>
      <c r="O30" s="614"/>
      <c r="P30" s="614"/>
    </row>
    <row r="31" spans="1:24" ht="15.75" customHeight="1">
      <c r="A31" s="852" t="s">
        <v>722</v>
      </c>
      <c r="B31" s="853"/>
      <c r="C31" s="853"/>
      <c r="D31" s="853"/>
      <c r="E31" s="853"/>
      <c r="F31" s="853"/>
      <c r="G31" s="854">
        <v>7.2549857755333758</v>
      </c>
      <c r="H31" s="854"/>
      <c r="I31" s="854"/>
      <c r="J31" s="855"/>
      <c r="K31" s="612"/>
      <c r="L31" s="612"/>
      <c r="M31" s="609"/>
      <c r="N31" s="613"/>
      <c r="O31" s="614"/>
      <c r="P31" s="621"/>
      <c r="Q31" s="614"/>
      <c r="R31" s="614"/>
    </row>
    <row r="32" spans="1:24" ht="15.75" customHeight="1">
      <c r="A32" s="852" t="s">
        <v>723</v>
      </c>
      <c r="B32" s="853"/>
      <c r="C32" s="853"/>
      <c r="D32" s="853"/>
      <c r="E32" s="853"/>
      <c r="F32" s="853"/>
      <c r="G32" s="854">
        <v>5.5434890763219098</v>
      </c>
      <c r="H32" s="854"/>
      <c r="I32" s="854"/>
      <c r="J32" s="855"/>
      <c r="K32" s="612"/>
      <c r="L32" s="612"/>
      <c r="M32" s="609"/>
      <c r="N32" s="613"/>
      <c r="O32" s="614"/>
      <c r="P32" s="614"/>
      <c r="Q32" s="614"/>
      <c r="R32" s="614"/>
      <c r="S32" s="614"/>
      <c r="T32" s="614"/>
      <c r="U32" s="614"/>
      <c r="V32" s="614"/>
      <c r="W32" s="614"/>
      <c r="X32" s="614"/>
    </row>
    <row r="33" spans="1:30" ht="15.75" customHeight="1">
      <c r="A33" s="852" t="s">
        <v>724</v>
      </c>
      <c r="B33" s="853"/>
      <c r="C33" s="853"/>
      <c r="D33" s="853"/>
      <c r="E33" s="853"/>
      <c r="F33" s="853"/>
      <c r="G33" s="854">
        <v>3.3384846201805836</v>
      </c>
      <c r="H33" s="854"/>
      <c r="I33" s="854"/>
      <c r="J33" s="855"/>
      <c r="K33" s="609"/>
      <c r="L33" s="609"/>
      <c r="M33" s="609"/>
      <c r="N33" s="613"/>
      <c r="O33" s="614"/>
      <c r="P33" s="621"/>
      <c r="Q33" s="614"/>
      <c r="R33" s="614"/>
      <c r="S33" s="614"/>
      <c r="T33" s="614"/>
      <c r="U33" s="614"/>
      <c r="V33" s="614"/>
      <c r="W33" s="614"/>
      <c r="X33" s="614"/>
    </row>
    <row r="34" spans="1:30" ht="15.75" customHeight="1">
      <c r="A34" s="852" t="s">
        <v>725</v>
      </c>
      <c r="B34" s="853"/>
      <c r="C34" s="853"/>
      <c r="D34" s="853"/>
      <c r="E34" s="853"/>
      <c r="F34" s="853"/>
      <c r="G34" s="854">
        <v>8.9413101227444058E-3</v>
      </c>
      <c r="H34" s="854"/>
      <c r="I34" s="854"/>
      <c r="J34" s="855"/>
      <c r="K34" s="622"/>
      <c r="L34" s="622"/>
      <c r="M34" s="609"/>
      <c r="N34" s="613"/>
      <c r="O34" s="614"/>
      <c r="P34" s="614"/>
      <c r="Q34" s="614"/>
      <c r="R34" s="614"/>
      <c r="S34" s="614"/>
      <c r="T34" s="614"/>
      <c r="U34" s="614"/>
      <c r="V34" s="614"/>
      <c r="W34" s="614"/>
      <c r="X34" s="614"/>
    </row>
    <row r="35" spans="1:30" ht="15.75" customHeight="1" thickBot="1">
      <c r="A35" s="871" t="s">
        <v>726</v>
      </c>
      <c r="B35" s="872"/>
      <c r="C35" s="872"/>
      <c r="D35" s="872"/>
      <c r="E35" s="872"/>
      <c r="F35" s="872"/>
      <c r="G35" s="873">
        <v>0.66070928605139145</v>
      </c>
      <c r="H35" s="873"/>
      <c r="I35" s="873"/>
      <c r="J35" s="874"/>
      <c r="K35" s="622"/>
      <c r="L35" s="622"/>
      <c r="M35" s="609"/>
      <c r="N35" s="613"/>
      <c r="T35" s="623"/>
      <c r="U35" s="623"/>
      <c r="V35" s="624"/>
      <c r="W35" s="624"/>
      <c r="X35" s="624"/>
      <c r="Y35" s="624"/>
      <c r="Z35" s="625"/>
      <c r="AA35" s="626"/>
      <c r="AB35" s="627"/>
      <c r="AC35" s="614"/>
      <c r="AD35" s="614"/>
    </row>
    <row r="36" spans="1:30" ht="15.75" customHeight="1">
      <c r="A36" s="628"/>
      <c r="B36" s="622"/>
      <c r="C36" s="622"/>
      <c r="D36" s="622"/>
      <c r="E36" s="618"/>
      <c r="F36" s="618"/>
      <c r="G36" s="618"/>
      <c r="H36" s="612"/>
      <c r="I36" s="612"/>
      <c r="J36" s="622"/>
      <c r="K36" s="622"/>
      <c r="L36" s="622"/>
      <c r="M36" s="609"/>
      <c r="N36" s="613"/>
      <c r="T36" s="629"/>
      <c r="U36" s="629"/>
      <c r="V36" s="624"/>
      <c r="W36" s="629"/>
      <c r="X36" s="627"/>
      <c r="Y36" s="624"/>
      <c r="Z36" s="875"/>
      <c r="AA36" s="875"/>
      <c r="AB36" s="876"/>
      <c r="AC36" s="614"/>
      <c r="AD36" s="614"/>
    </row>
    <row r="37" spans="1:30" ht="15.75" customHeight="1">
      <c r="A37" s="628"/>
      <c r="B37" s="622"/>
      <c r="C37" s="622"/>
      <c r="D37" s="622"/>
      <c r="E37" s="630"/>
      <c r="F37" s="630"/>
      <c r="G37" s="630"/>
      <c r="H37" s="619"/>
      <c r="I37" s="619"/>
      <c r="J37" s="622"/>
      <c r="K37" s="622"/>
      <c r="L37" s="622"/>
      <c r="M37" s="609"/>
      <c r="N37" s="613"/>
      <c r="T37" s="629"/>
      <c r="U37" s="629"/>
      <c r="V37" s="624"/>
      <c r="W37" s="629"/>
      <c r="X37" s="624"/>
      <c r="Y37" s="624"/>
      <c r="Z37" s="875"/>
      <c r="AA37" s="875"/>
      <c r="AB37" s="876"/>
      <c r="AC37" s="614"/>
      <c r="AD37" s="614"/>
    </row>
    <row r="38" spans="1:30" ht="15.75" customHeight="1">
      <c r="A38" s="628"/>
      <c r="B38" s="609"/>
      <c r="C38" s="609"/>
      <c r="D38" s="631"/>
      <c r="E38" s="630"/>
      <c r="F38" s="630"/>
      <c r="G38" s="630"/>
      <c r="H38" s="619"/>
      <c r="I38" s="619"/>
      <c r="J38" s="609"/>
      <c r="K38" s="609"/>
      <c r="L38" s="609"/>
      <c r="M38" s="609"/>
      <c r="N38" s="613"/>
      <c r="T38" s="632"/>
      <c r="U38" s="632"/>
      <c r="V38" s="632"/>
      <c r="W38" s="632"/>
      <c r="X38" s="632"/>
      <c r="Y38" s="632"/>
      <c r="Z38" s="870"/>
      <c r="AA38" s="870"/>
      <c r="AB38" s="633"/>
      <c r="AC38" s="614"/>
      <c r="AD38" s="614"/>
    </row>
    <row r="39" spans="1:30" ht="15.75" customHeight="1">
      <c r="A39" s="589"/>
      <c r="B39" s="589"/>
      <c r="C39" s="589"/>
      <c r="D39" s="589"/>
      <c r="E39" s="589"/>
      <c r="F39" s="589"/>
      <c r="G39" s="589"/>
      <c r="H39" s="589"/>
      <c r="I39" s="589"/>
      <c r="J39" s="589"/>
      <c r="K39" s="589"/>
      <c r="L39" s="589"/>
      <c r="M39" s="589"/>
      <c r="N39" s="634"/>
      <c r="O39" s="614"/>
      <c r="P39" s="614"/>
      <c r="Q39" s="614"/>
      <c r="R39" s="614"/>
      <c r="S39" s="614"/>
      <c r="T39" s="614"/>
      <c r="U39" s="614"/>
      <c r="V39" s="614"/>
      <c r="W39" s="614"/>
    </row>
    <row r="40" spans="1:30" ht="15.75" customHeight="1">
      <c r="A40" s="635"/>
      <c r="B40" s="636"/>
      <c r="C40" s="637"/>
      <c r="D40" s="638"/>
      <c r="E40" s="589"/>
      <c r="F40" s="589"/>
      <c r="G40" s="589"/>
      <c r="H40" s="602"/>
      <c r="I40" s="639" t="s">
        <v>648</v>
      </c>
      <c r="J40" s="640" t="s">
        <v>649</v>
      </c>
      <c r="K40" s="641"/>
      <c r="L40" s="641"/>
      <c r="M40" s="641"/>
      <c r="N40" s="613"/>
      <c r="O40" s="614"/>
      <c r="P40" s="614"/>
      <c r="Q40" s="614"/>
      <c r="R40" s="614"/>
      <c r="S40" s="614"/>
      <c r="T40" s="614"/>
      <c r="U40" s="614"/>
      <c r="V40" s="614"/>
      <c r="W40" s="614"/>
    </row>
    <row r="41" spans="1:30" ht="15.75" customHeight="1">
      <c r="A41" s="589"/>
      <c r="B41" s="589"/>
      <c r="C41" s="589"/>
      <c r="D41" s="589"/>
      <c r="E41" s="589"/>
      <c r="F41" s="589"/>
      <c r="G41" s="589"/>
      <c r="H41" s="589"/>
      <c r="I41" s="589"/>
      <c r="J41" s="602"/>
      <c r="K41" s="602"/>
      <c r="L41" s="602"/>
      <c r="M41" s="602"/>
      <c r="N41" s="614"/>
      <c r="O41" s="614"/>
      <c r="P41" s="614"/>
      <c r="Q41" s="614"/>
      <c r="R41" s="614"/>
      <c r="S41" s="614"/>
      <c r="T41" s="614"/>
      <c r="U41" s="614"/>
      <c r="V41" s="614"/>
      <c r="W41" s="614"/>
    </row>
    <row r="42" spans="1:30" ht="15.75" customHeight="1">
      <c r="A42" s="589"/>
      <c r="B42" s="589"/>
      <c r="C42" s="589"/>
      <c r="D42" s="589"/>
      <c r="E42" s="589"/>
      <c r="F42" s="589"/>
      <c r="G42" s="589"/>
      <c r="H42" s="602"/>
      <c r="I42" s="639" t="s">
        <v>650</v>
      </c>
      <c r="J42" s="642">
        <v>44021</v>
      </c>
      <c r="K42" s="642"/>
      <c r="L42" s="642"/>
      <c r="M42" s="642"/>
    </row>
    <row r="43" spans="1:30" ht="15.95" customHeight="1"/>
  </sheetData>
  <mergeCells count="37">
    <mergeCell ref="AB36:AB37"/>
    <mergeCell ref="Z37:AA37"/>
    <mergeCell ref="Z38:AA38"/>
    <mergeCell ref="A32:F32"/>
    <mergeCell ref="G32:J32"/>
    <mergeCell ref="A33:F33"/>
    <mergeCell ref="G33:J33"/>
    <mergeCell ref="A34:F34"/>
    <mergeCell ref="G34:J34"/>
    <mergeCell ref="A35:F35"/>
    <mergeCell ref="G35:J35"/>
    <mergeCell ref="Z36:AA36"/>
    <mergeCell ref="A29:F29"/>
    <mergeCell ref="G29:J29"/>
    <mergeCell ref="A30:F30"/>
    <mergeCell ref="G30:J30"/>
    <mergeCell ref="A31:F31"/>
    <mergeCell ref="G31:J31"/>
    <mergeCell ref="A26:F26"/>
    <mergeCell ref="G26:J26"/>
    <mergeCell ref="A27:F27"/>
    <mergeCell ref="G27:J27"/>
    <mergeCell ref="A28:F28"/>
    <mergeCell ref="G28:J28"/>
    <mergeCell ref="A23:F23"/>
    <mergeCell ref="G23:J23"/>
    <mergeCell ref="A24:F24"/>
    <mergeCell ref="G24:J24"/>
    <mergeCell ref="A25:F25"/>
    <mergeCell ref="G25:J25"/>
    <mergeCell ref="A22:F22"/>
    <mergeCell ref="G22:J22"/>
    <mergeCell ref="L3:M3"/>
    <mergeCell ref="A4:I4"/>
    <mergeCell ref="A5:I5"/>
    <mergeCell ref="A21:F21"/>
    <mergeCell ref="G21:J21"/>
  </mergeCells>
  <dataValidations count="3">
    <dataValidation type="list" errorStyle="warning" allowBlank="1" showInputMessage="1" showErrorMessage="1" error="You should choose from the list!" prompt="Choose Enclosure Type" sqref="F14">
      <formula1>$A$60:$A$62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Pick one!" sqref="I15">
      <formula1>$E$60:$E$62</formula1>
    </dataValidation>
  </dataValidations>
  <printOptions horizontalCentered="1" gridLinesSet="0"/>
  <pageMargins left="0.5" right="0.5" top="0.5" bottom="0.5" header="0.5" footer="0.5"/>
  <pageSetup scale="94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 codeName="Sheet8"/>
  <dimension ref="A1:U54"/>
  <sheetViews>
    <sheetView showGridLines="0" topLeftCell="A10" zoomScaleNormal="100" workbookViewId="0">
      <selection activeCell="X24" sqref="X24"/>
    </sheetView>
  </sheetViews>
  <sheetFormatPr defaultColWidth="12.5703125" defaultRowHeight="15.75"/>
  <cols>
    <col min="1" max="3" width="7" style="648" customWidth="1"/>
    <col min="4" max="4" width="8.28515625" style="648" customWidth="1"/>
    <col min="5" max="5" width="7" style="648" customWidth="1"/>
    <col min="6" max="6" width="7.5703125" style="648" customWidth="1"/>
    <col min="7" max="13" width="7" style="648" customWidth="1"/>
    <col min="14" max="14" width="7.140625" style="648" customWidth="1"/>
    <col min="15" max="16384" width="12.5703125" style="648"/>
  </cols>
  <sheetData>
    <row r="1" spans="1:17" ht="17.100000000000001" customHeight="1">
      <c r="A1" s="643" t="s">
        <v>267</v>
      </c>
      <c r="B1" s="644"/>
      <c r="C1" s="644"/>
      <c r="D1" s="644"/>
      <c r="E1" s="644"/>
      <c r="F1" s="644"/>
      <c r="G1" s="644"/>
      <c r="H1" s="644"/>
      <c r="I1" s="644"/>
      <c r="J1" s="645" t="s">
        <v>587</v>
      </c>
      <c r="K1" s="646"/>
      <c r="L1" s="880" t="s">
        <v>727</v>
      </c>
      <c r="M1" s="881"/>
      <c r="N1" s="647"/>
    </row>
    <row r="2" spans="1:17" ht="17.100000000000001" customHeight="1">
      <c r="A2" s="649" t="s">
        <v>589</v>
      </c>
      <c r="B2" s="650"/>
      <c r="C2" s="650"/>
      <c r="D2" s="650"/>
      <c r="E2" s="650"/>
      <c r="F2" s="650"/>
      <c r="G2" s="650"/>
      <c r="H2" s="650"/>
      <c r="I2" s="650"/>
      <c r="J2" s="651" t="s">
        <v>590</v>
      </c>
      <c r="K2" s="652"/>
      <c r="L2" s="653" t="s">
        <v>591</v>
      </c>
      <c r="M2" s="654"/>
      <c r="N2" s="647"/>
    </row>
    <row r="3" spans="1:17" ht="15.95" customHeight="1">
      <c r="A3" s="655"/>
      <c r="B3" s="656"/>
      <c r="C3" s="656"/>
      <c r="D3" s="656"/>
      <c r="E3" s="656"/>
      <c r="F3" s="656"/>
      <c r="G3" s="656"/>
      <c r="H3" s="656"/>
      <c r="I3" s="656"/>
      <c r="J3" s="651" t="s">
        <v>592</v>
      </c>
      <c r="K3" s="652"/>
      <c r="L3" s="882" t="s">
        <v>728</v>
      </c>
      <c r="M3" s="883"/>
      <c r="N3" s="647"/>
    </row>
    <row r="4" spans="1:17" ht="15.95" customHeight="1">
      <c r="A4" s="657"/>
      <c r="B4" s="656"/>
      <c r="C4" s="656"/>
      <c r="D4" s="656"/>
      <c r="E4" s="656"/>
      <c r="F4" s="656"/>
      <c r="G4" s="656"/>
      <c r="H4" s="656"/>
      <c r="I4" s="656"/>
      <c r="J4" s="651" t="s">
        <v>594</v>
      </c>
      <c r="K4" s="652"/>
      <c r="L4" s="884" t="s">
        <v>711</v>
      </c>
      <c r="M4" s="885"/>
      <c r="N4" s="647"/>
    </row>
    <row r="5" spans="1:17" ht="15.95" customHeight="1">
      <c r="A5" s="655"/>
      <c r="B5" s="656"/>
      <c r="C5" s="656"/>
      <c r="D5" s="656"/>
      <c r="E5" s="656"/>
      <c r="F5" s="656"/>
      <c r="G5" s="656"/>
      <c r="H5" s="656"/>
      <c r="I5" s="656"/>
      <c r="J5" s="651" t="s">
        <v>596</v>
      </c>
      <c r="K5" s="652"/>
      <c r="L5" s="884">
        <v>0</v>
      </c>
      <c r="M5" s="886"/>
      <c r="N5" s="647"/>
    </row>
    <row r="6" spans="1:17" ht="15.95" customHeight="1">
      <c r="A6" s="658" t="s">
        <v>597</v>
      </c>
      <c r="B6" s="656"/>
      <c r="C6" s="656"/>
      <c r="D6" s="656"/>
      <c r="E6" s="656"/>
      <c r="F6" s="656"/>
      <c r="G6" s="656"/>
      <c r="H6" s="656"/>
      <c r="I6" s="656"/>
      <c r="J6" s="651" t="s">
        <v>598</v>
      </c>
      <c r="K6" s="652"/>
      <c r="L6" s="887" t="s">
        <v>729</v>
      </c>
      <c r="M6" s="888"/>
      <c r="N6" s="647"/>
    </row>
    <row r="7" spans="1:17" ht="15.95" customHeight="1" thickBot="1">
      <c r="A7" s="659" t="s">
        <v>730</v>
      </c>
      <c r="B7" s="660"/>
      <c r="C7" s="660"/>
      <c r="D7" s="660"/>
      <c r="E7" s="660"/>
      <c r="F7" s="660"/>
      <c r="G7" s="660"/>
      <c r="H7" s="660"/>
      <c r="I7" s="660"/>
      <c r="J7" s="661" t="s">
        <v>601</v>
      </c>
      <c r="K7" s="662"/>
      <c r="L7" s="889" t="s">
        <v>731</v>
      </c>
      <c r="M7" s="890"/>
      <c r="N7" s="647"/>
    </row>
    <row r="8" spans="1:17" ht="6.75" customHeight="1">
      <c r="A8" s="663"/>
      <c r="B8" s="656"/>
      <c r="C8" s="656"/>
      <c r="D8" s="656"/>
      <c r="E8" s="656"/>
      <c r="F8" s="656"/>
      <c r="G8" s="656"/>
      <c r="H8" s="656"/>
      <c r="I8" s="656"/>
      <c r="J8" s="656"/>
      <c r="K8" s="664"/>
      <c r="L8" s="665"/>
      <c r="M8" s="666"/>
      <c r="N8" s="656"/>
    </row>
    <row r="9" spans="1:17" ht="12" customHeight="1">
      <c r="A9" s="590"/>
      <c r="B9" s="591" t="s">
        <v>603</v>
      </c>
      <c r="C9" s="592" t="s">
        <v>694</v>
      </c>
      <c r="D9" s="593"/>
      <c r="E9" s="593"/>
      <c r="F9" s="593"/>
      <c r="G9" s="593"/>
      <c r="H9" s="593"/>
      <c r="I9" s="593"/>
      <c r="J9" s="593"/>
      <c r="K9" s="594"/>
      <c r="L9" s="595"/>
      <c r="M9" s="593"/>
      <c r="N9" s="656"/>
    </row>
    <row r="10" spans="1:17" ht="12" customHeight="1">
      <c r="A10" s="590"/>
      <c r="B10" s="591" t="s">
        <v>604</v>
      </c>
      <c r="C10" s="596" t="s">
        <v>695</v>
      </c>
      <c r="D10" s="595"/>
      <c r="E10" s="595"/>
      <c r="F10" s="595"/>
      <c r="G10" s="595"/>
      <c r="H10" s="595"/>
      <c r="I10" s="595"/>
      <c r="J10" s="595"/>
      <c r="K10" s="595"/>
      <c r="L10" s="595"/>
      <c r="M10" s="595"/>
      <c r="N10" s="665"/>
    </row>
    <row r="11" spans="1:17" ht="6.75" customHeight="1" thickBot="1">
      <c r="A11" s="597"/>
      <c r="B11" s="597"/>
      <c r="C11" s="597"/>
      <c r="D11" s="597"/>
      <c r="E11" s="597"/>
      <c r="F11" s="597"/>
      <c r="G11" s="597"/>
      <c r="H11" s="597"/>
      <c r="I11" s="597"/>
      <c r="J11" s="597"/>
      <c r="K11" s="597"/>
      <c r="L11" s="597"/>
      <c r="M11" s="597"/>
      <c r="N11" s="667"/>
    </row>
    <row r="12" spans="1:17" ht="20.100000000000001" customHeight="1" thickBot="1">
      <c r="A12" s="598" t="s">
        <v>605</v>
      </c>
      <c r="B12" s="599"/>
      <c r="C12" s="599"/>
      <c r="D12" s="599"/>
      <c r="E12" s="599"/>
      <c r="F12" s="599"/>
      <c r="G12" s="599"/>
      <c r="H12" s="599"/>
      <c r="I12" s="599"/>
      <c r="J12" s="599"/>
      <c r="K12" s="599"/>
      <c r="L12" s="599"/>
      <c r="M12" s="600"/>
      <c r="N12" s="647"/>
    </row>
    <row r="13" spans="1:17" ht="12.95" customHeight="1" thickTop="1">
      <c r="A13" s="489"/>
      <c r="B13" s="490" t="s">
        <v>606</v>
      </c>
      <c r="C13" s="491">
        <v>450</v>
      </c>
      <c r="D13" s="483"/>
      <c r="E13" s="490" t="s">
        <v>607</v>
      </c>
      <c r="F13" s="491">
        <v>4000</v>
      </c>
      <c r="G13" s="483"/>
      <c r="H13" s="490" t="s">
        <v>608</v>
      </c>
      <c r="I13" s="491" t="s">
        <v>693</v>
      </c>
      <c r="J13" s="483"/>
      <c r="K13" s="483"/>
      <c r="L13" s="490" t="s">
        <v>609</v>
      </c>
      <c r="M13" s="492">
        <v>1800</v>
      </c>
      <c r="N13" s="647"/>
    </row>
    <row r="14" spans="1:17" ht="12.95" customHeight="1">
      <c r="A14" s="489"/>
      <c r="B14" s="490" t="s">
        <v>610</v>
      </c>
      <c r="C14" s="491" t="s">
        <v>696</v>
      </c>
      <c r="D14" s="483"/>
      <c r="E14" s="490" t="s">
        <v>611</v>
      </c>
      <c r="F14" s="493" t="s">
        <v>698</v>
      </c>
      <c r="G14" s="483"/>
      <c r="H14" s="490" t="s">
        <v>612</v>
      </c>
      <c r="I14" s="491">
        <v>59</v>
      </c>
      <c r="J14" s="483"/>
      <c r="K14" s="483"/>
      <c r="L14" s="490" t="s">
        <v>564</v>
      </c>
      <c r="M14" s="492">
        <v>1775</v>
      </c>
      <c r="N14" s="647"/>
    </row>
    <row r="15" spans="1:17" ht="12.95" customHeight="1">
      <c r="A15" s="489"/>
      <c r="B15" s="490" t="s">
        <v>613</v>
      </c>
      <c r="C15" s="491" t="s">
        <v>697</v>
      </c>
      <c r="D15" s="483"/>
      <c r="E15" s="490" t="s">
        <v>614</v>
      </c>
      <c r="F15" s="494" t="s">
        <v>699</v>
      </c>
      <c r="G15" s="483"/>
      <c r="H15" s="490" t="s">
        <v>615</v>
      </c>
      <c r="I15" s="493" t="s">
        <v>320</v>
      </c>
      <c r="J15" s="483"/>
      <c r="K15" s="483"/>
      <c r="L15" s="490" t="s">
        <v>616</v>
      </c>
      <c r="M15" s="492" t="s">
        <v>363</v>
      </c>
      <c r="N15" s="647"/>
      <c r="Q15" s="601"/>
    </row>
    <row r="16" spans="1:17" ht="12.95" customHeight="1">
      <c r="A16" s="489"/>
      <c r="B16" s="490" t="s">
        <v>617</v>
      </c>
      <c r="C16" s="491" t="s">
        <v>692</v>
      </c>
      <c r="D16" s="483"/>
      <c r="E16" s="490" t="s">
        <v>618</v>
      </c>
      <c r="F16" s="491" t="s">
        <v>432</v>
      </c>
      <c r="G16" s="483"/>
      <c r="H16" s="495" t="s">
        <v>619</v>
      </c>
      <c r="I16" s="496" t="s">
        <v>363</v>
      </c>
      <c r="J16" s="483"/>
      <c r="K16" s="483"/>
      <c r="L16" s="490" t="s">
        <v>620</v>
      </c>
      <c r="M16" s="492" t="s">
        <v>621</v>
      </c>
      <c r="N16" s="647"/>
    </row>
    <row r="17" spans="1:14" ht="12.95" customHeight="1">
      <c r="A17" s="489"/>
      <c r="B17" s="490" t="s">
        <v>622</v>
      </c>
      <c r="C17" s="497" t="s">
        <v>700</v>
      </c>
      <c r="D17" s="483"/>
      <c r="E17" s="490"/>
      <c r="F17" s="493"/>
      <c r="G17" s="483"/>
      <c r="H17" s="490" t="s">
        <v>623</v>
      </c>
      <c r="I17" s="496">
        <v>336</v>
      </c>
      <c r="J17" s="483"/>
      <c r="K17" s="483"/>
      <c r="L17" s="490"/>
      <c r="M17" s="498"/>
      <c r="N17" s="647"/>
    </row>
    <row r="18" spans="1:14" ht="12.95" customHeight="1" thickBot="1">
      <c r="A18" s="499"/>
      <c r="B18" s="500" t="s">
        <v>624</v>
      </c>
      <c r="C18" s="501">
        <v>93</v>
      </c>
      <c r="D18" s="502"/>
      <c r="E18" s="503" t="s">
        <v>625</v>
      </c>
      <c r="F18" s="501" t="s">
        <v>174</v>
      </c>
      <c r="G18" s="504"/>
      <c r="H18" s="503" t="s">
        <v>626</v>
      </c>
      <c r="I18" s="501">
        <v>88.5</v>
      </c>
      <c r="J18" s="502"/>
      <c r="K18" s="502"/>
      <c r="L18" s="502"/>
      <c r="M18" s="505"/>
      <c r="N18" s="647"/>
    </row>
    <row r="19" spans="1:14" ht="16.5" thickBot="1"/>
    <row r="20" spans="1:14" ht="16.5" thickBot="1">
      <c r="A20" s="891" t="s">
        <v>732</v>
      </c>
      <c r="B20" s="892"/>
      <c r="C20" s="892"/>
      <c r="D20" s="892"/>
      <c r="E20" s="892"/>
      <c r="F20" s="892"/>
      <c r="G20" s="892"/>
      <c r="H20" s="892"/>
      <c r="I20" s="892"/>
      <c r="J20" s="892"/>
      <c r="K20" s="892"/>
      <c r="L20" s="892"/>
      <c r="M20" s="893"/>
    </row>
    <row r="21" spans="1:14" ht="16.5" thickTop="1">
      <c r="A21" s="668"/>
      <c r="B21" s="669"/>
      <c r="C21" s="670"/>
      <c r="D21" s="671" t="s">
        <v>733</v>
      </c>
      <c r="E21" s="672" t="s">
        <v>734</v>
      </c>
      <c r="F21" s="673"/>
      <c r="G21" s="670"/>
      <c r="H21" s="670"/>
      <c r="I21" s="671" t="s">
        <v>735</v>
      </c>
      <c r="J21" s="674">
        <v>0.26200000000000001</v>
      </c>
      <c r="K21" s="673"/>
      <c r="L21" s="673"/>
      <c r="M21" s="675"/>
    </row>
    <row r="22" spans="1:14" ht="16.5" thickBot="1">
      <c r="A22" s="676"/>
      <c r="B22" s="677"/>
      <c r="C22" s="677"/>
      <c r="D22" s="678" t="s">
        <v>736</v>
      </c>
      <c r="E22" s="679" t="s">
        <v>737</v>
      </c>
      <c r="F22" s="680"/>
      <c r="G22" s="677"/>
      <c r="H22" s="677"/>
      <c r="I22" s="677"/>
      <c r="J22" s="677"/>
      <c r="K22" s="677"/>
      <c r="L22" s="677"/>
      <c r="M22" s="681"/>
    </row>
    <row r="23" spans="1:14" ht="16.5" thickBot="1"/>
    <row r="24" spans="1:14" ht="16.5" thickBot="1">
      <c r="A24" s="891" t="s">
        <v>738</v>
      </c>
      <c r="B24" s="892"/>
      <c r="C24" s="892"/>
      <c r="D24" s="892"/>
      <c r="E24" s="892"/>
      <c r="F24" s="893"/>
      <c r="G24" s="682"/>
      <c r="H24" s="891" t="s">
        <v>739</v>
      </c>
      <c r="I24" s="892"/>
      <c r="J24" s="892"/>
      <c r="K24" s="892"/>
      <c r="L24" s="892"/>
      <c r="M24" s="893"/>
    </row>
    <row r="25" spans="1:14" ht="17.25" thickTop="1" thickBot="1">
      <c r="A25" s="683"/>
      <c r="B25" s="670"/>
      <c r="C25" s="671"/>
      <c r="D25" s="671"/>
      <c r="E25" s="671" t="s">
        <v>740</v>
      </c>
      <c r="F25" s="684">
        <v>1332</v>
      </c>
      <c r="G25" s="685"/>
      <c r="H25" s="670"/>
      <c r="I25" s="670"/>
      <c r="J25" s="686" t="s">
        <v>741</v>
      </c>
      <c r="K25" s="877" t="s">
        <v>379</v>
      </c>
      <c r="L25" s="878"/>
      <c r="M25" s="879"/>
    </row>
    <row r="26" spans="1:14" ht="17.25" thickTop="1" thickBot="1">
      <c r="A26" s="687"/>
      <c r="B26" s="688"/>
      <c r="C26" s="688"/>
      <c r="D26" s="689"/>
      <c r="E26" s="689" t="s">
        <v>742</v>
      </c>
      <c r="F26" s="690">
        <v>135</v>
      </c>
      <c r="G26" s="691"/>
      <c r="H26" s="688"/>
      <c r="I26" s="688"/>
      <c r="J26" s="692" t="s">
        <v>743</v>
      </c>
      <c r="K26" s="877" t="s">
        <v>379</v>
      </c>
      <c r="L26" s="878"/>
      <c r="M26" s="879"/>
    </row>
    <row r="27" spans="1:14" ht="16.5" thickTop="1">
      <c r="A27" s="687"/>
      <c r="B27" s="688"/>
      <c r="C27" s="688"/>
      <c r="D27" s="689"/>
      <c r="E27" s="689" t="s">
        <v>744</v>
      </c>
      <c r="F27" s="690">
        <v>135</v>
      </c>
      <c r="G27" s="691"/>
      <c r="H27" s="688"/>
      <c r="I27" s="688"/>
      <c r="J27" s="692" t="s">
        <v>745</v>
      </c>
      <c r="K27" s="877" t="s">
        <v>379</v>
      </c>
      <c r="L27" s="878"/>
      <c r="M27" s="879"/>
    </row>
    <row r="28" spans="1:14" ht="16.5" thickBot="1">
      <c r="A28" s="676"/>
      <c r="B28" s="677"/>
      <c r="C28" s="677"/>
      <c r="D28" s="678"/>
      <c r="E28" s="678" t="s">
        <v>746</v>
      </c>
      <c r="F28" s="693">
        <v>275</v>
      </c>
      <c r="G28" s="691"/>
      <c r="H28" s="677"/>
      <c r="I28" s="677"/>
      <c r="J28" s="694"/>
      <c r="K28" s="894"/>
      <c r="L28" s="894"/>
      <c r="M28" s="895"/>
    </row>
    <row r="29" spans="1:14" ht="16.5" thickBot="1"/>
    <row r="30" spans="1:14" ht="16.5" thickBot="1">
      <c r="A30" s="896" t="s">
        <v>747</v>
      </c>
      <c r="B30" s="897"/>
      <c r="C30" s="897"/>
      <c r="D30" s="897"/>
      <c r="E30" s="897"/>
      <c r="F30" s="897"/>
      <c r="G30" s="897"/>
      <c r="H30" s="897"/>
      <c r="I30" s="897"/>
      <c r="J30" s="897"/>
      <c r="K30" s="897"/>
      <c r="L30" s="897"/>
      <c r="M30" s="898"/>
    </row>
    <row r="31" spans="1:14" ht="16.5" thickTop="1">
      <c r="A31" s="899" t="s">
        <v>748</v>
      </c>
      <c r="B31" s="900"/>
      <c r="C31" s="900"/>
      <c r="D31" s="900"/>
      <c r="E31" s="900"/>
      <c r="F31" s="901"/>
      <c r="G31" s="695"/>
      <c r="H31" s="902" t="s">
        <v>749</v>
      </c>
      <c r="I31" s="900"/>
      <c r="J31" s="900"/>
      <c r="K31" s="900"/>
      <c r="L31" s="900"/>
      <c r="M31" s="903"/>
    </row>
    <row r="32" spans="1:14">
      <c r="A32" s="687"/>
      <c r="B32" s="696"/>
      <c r="C32" s="689" t="s">
        <v>750</v>
      </c>
      <c r="D32" s="904" t="s">
        <v>751</v>
      </c>
      <c r="E32" s="904"/>
      <c r="F32" s="905"/>
      <c r="G32" s="697"/>
      <c r="H32" s="688"/>
      <c r="I32" s="688"/>
      <c r="J32" s="689" t="s">
        <v>750</v>
      </c>
      <c r="K32" s="904" t="s">
        <v>752</v>
      </c>
      <c r="L32" s="904"/>
      <c r="M32" s="906"/>
    </row>
    <row r="33" spans="1:21">
      <c r="A33" s="687"/>
      <c r="B33" s="696"/>
      <c r="C33" s="689" t="s">
        <v>753</v>
      </c>
      <c r="D33" s="910" t="s">
        <v>754</v>
      </c>
      <c r="E33" s="910"/>
      <c r="F33" s="911"/>
      <c r="G33" s="697"/>
      <c r="H33" s="688"/>
      <c r="I33" s="688"/>
      <c r="J33" s="689" t="s">
        <v>753</v>
      </c>
      <c r="K33" s="910" t="s">
        <v>755</v>
      </c>
      <c r="L33" s="910"/>
      <c r="M33" s="912"/>
    </row>
    <row r="34" spans="1:21">
      <c r="A34" s="687"/>
      <c r="B34" s="696"/>
      <c r="C34" s="689" t="s">
        <v>756</v>
      </c>
      <c r="D34" s="910" t="s">
        <v>757</v>
      </c>
      <c r="E34" s="910"/>
      <c r="F34" s="911"/>
      <c r="G34" s="697"/>
      <c r="H34" s="688"/>
      <c r="I34" s="688"/>
      <c r="J34" s="689" t="s">
        <v>756</v>
      </c>
      <c r="K34" s="910" t="s">
        <v>758</v>
      </c>
      <c r="L34" s="910"/>
      <c r="M34" s="912"/>
    </row>
    <row r="35" spans="1:21" ht="16.5" thickBot="1">
      <c r="A35" s="676"/>
      <c r="B35" s="698"/>
      <c r="C35" s="678" t="s">
        <v>759</v>
      </c>
      <c r="D35" s="913" t="s">
        <v>760</v>
      </c>
      <c r="E35" s="913"/>
      <c r="F35" s="914"/>
      <c r="G35" s="697"/>
      <c r="H35" s="677"/>
      <c r="I35" s="677"/>
      <c r="J35" s="678" t="s">
        <v>759</v>
      </c>
      <c r="K35" s="913" t="s">
        <v>761</v>
      </c>
      <c r="L35" s="913"/>
      <c r="M35" s="915"/>
    </row>
    <row r="36" spans="1:21" ht="16.5" thickBot="1"/>
    <row r="37" spans="1:21" ht="16.5" thickBot="1">
      <c r="A37" s="916" t="s">
        <v>762</v>
      </c>
      <c r="B37" s="917"/>
      <c r="C37" s="917"/>
      <c r="D37" s="917"/>
      <c r="E37" s="917"/>
      <c r="F37" s="917"/>
      <c r="G37" s="917"/>
      <c r="H37" s="917"/>
      <c r="I37" s="917"/>
      <c r="J37" s="917"/>
      <c r="K37" s="917"/>
      <c r="L37" s="917"/>
      <c r="M37" s="918"/>
      <c r="P37" s="387"/>
      <c r="Q37" s="387"/>
      <c r="R37" s="387"/>
      <c r="S37" s="387"/>
      <c r="T37" s="387"/>
      <c r="U37" s="387"/>
    </row>
    <row r="38" spans="1:21" ht="16.5" thickTop="1">
      <c r="A38" s="683"/>
      <c r="B38" s="684"/>
      <c r="C38" s="686" t="s">
        <v>763</v>
      </c>
      <c r="D38" s="919" t="s">
        <v>764</v>
      </c>
      <c r="E38" s="919"/>
      <c r="F38" s="919"/>
      <c r="G38" s="919"/>
      <c r="H38" s="670"/>
      <c r="I38" s="670"/>
      <c r="J38" s="671" t="s">
        <v>765</v>
      </c>
      <c r="K38" s="920" t="s">
        <v>766</v>
      </c>
      <c r="L38" s="920"/>
      <c r="M38" s="921"/>
      <c r="P38" s="387"/>
      <c r="Q38" s="387"/>
      <c r="R38" s="387"/>
      <c r="S38" s="387"/>
      <c r="T38" s="387"/>
      <c r="U38" s="387"/>
    </row>
    <row r="39" spans="1:21" ht="16.5" thickBot="1">
      <c r="A39" s="676"/>
      <c r="B39" s="677"/>
      <c r="C39" s="693" t="s">
        <v>767</v>
      </c>
      <c r="D39" s="922" t="s">
        <v>768</v>
      </c>
      <c r="E39" s="922"/>
      <c r="F39" s="922"/>
      <c r="G39" s="922"/>
      <c r="H39" s="677"/>
      <c r="I39" s="677"/>
      <c r="J39" s="678" t="s">
        <v>769</v>
      </c>
      <c r="K39" s="922" t="s">
        <v>770</v>
      </c>
      <c r="L39" s="922"/>
      <c r="M39" s="923"/>
      <c r="O39" s="387"/>
      <c r="P39" s="387"/>
      <c r="Q39" s="387"/>
      <c r="R39" s="387"/>
      <c r="S39" s="387"/>
      <c r="T39" s="387"/>
      <c r="U39" s="387"/>
    </row>
    <row r="40" spans="1:21" ht="16.5" thickBot="1">
      <c r="A40" s="699"/>
      <c r="B40" s="699"/>
      <c r="C40" s="699"/>
      <c r="D40" s="907" t="s">
        <v>771</v>
      </c>
      <c r="E40" s="908"/>
      <c r="F40" s="908"/>
      <c r="G40" s="908"/>
      <c r="H40" s="908"/>
      <c r="I40" s="908"/>
      <c r="J40" s="909"/>
      <c r="K40" s="699"/>
      <c r="L40" s="699"/>
      <c r="M40" s="699"/>
      <c r="O40" s="700"/>
      <c r="P40" s="700"/>
      <c r="Q40" s="700"/>
      <c r="R40" s="700"/>
      <c r="S40" s="387"/>
      <c r="T40" s="387"/>
      <c r="U40" s="387"/>
    </row>
    <row r="41" spans="1:21">
      <c r="D41" s="926" t="s">
        <v>772</v>
      </c>
      <c r="E41" s="927"/>
      <c r="F41" s="928"/>
      <c r="G41" s="701" t="s">
        <v>773</v>
      </c>
      <c r="H41" s="702" t="s">
        <v>774</v>
      </c>
      <c r="I41" s="703" t="s">
        <v>775</v>
      </c>
      <c r="J41" s="704" t="s">
        <v>776</v>
      </c>
      <c r="N41" s="700"/>
      <c r="O41" s="700"/>
      <c r="P41" s="700"/>
      <c r="Q41" s="700"/>
      <c r="R41" s="700"/>
      <c r="S41" s="387"/>
      <c r="T41" s="387"/>
      <c r="U41" s="387"/>
    </row>
    <row r="42" spans="1:21">
      <c r="D42" s="929" t="s">
        <v>777</v>
      </c>
      <c r="E42" s="930"/>
      <c r="F42" s="931"/>
      <c r="G42" s="705">
        <v>33.78</v>
      </c>
      <c r="H42" s="706">
        <v>45.55</v>
      </c>
      <c r="I42" s="706">
        <v>58.66</v>
      </c>
      <c r="J42" s="707" t="s">
        <v>174</v>
      </c>
      <c r="N42" s="700"/>
      <c r="O42" s="700"/>
      <c r="P42" s="700"/>
      <c r="Q42" s="700"/>
      <c r="R42" s="700"/>
      <c r="S42" s="387"/>
      <c r="T42" s="387"/>
      <c r="U42" s="387"/>
    </row>
    <row r="43" spans="1:21">
      <c r="D43" s="929" t="s">
        <v>778</v>
      </c>
      <c r="E43" s="930"/>
      <c r="F43" s="931"/>
      <c r="G43" s="705">
        <v>92.7</v>
      </c>
      <c r="H43" s="706">
        <v>93.2</v>
      </c>
      <c r="I43" s="706">
        <v>93.100000000000009</v>
      </c>
      <c r="J43" s="707" t="s">
        <v>174</v>
      </c>
      <c r="N43" s="700"/>
      <c r="O43" s="700"/>
      <c r="P43" s="700"/>
      <c r="Q43" s="700"/>
      <c r="R43" s="700"/>
      <c r="S43" s="387"/>
      <c r="T43" s="387"/>
      <c r="U43" s="387"/>
    </row>
    <row r="44" spans="1:21">
      <c r="D44" s="929" t="s">
        <v>779</v>
      </c>
      <c r="E44" s="930"/>
      <c r="F44" s="931"/>
      <c r="G44" s="705">
        <v>77.3</v>
      </c>
      <c r="H44" s="706">
        <v>85.6</v>
      </c>
      <c r="I44" s="706">
        <v>88.7</v>
      </c>
      <c r="J44" s="707" t="s">
        <v>174</v>
      </c>
      <c r="N44" s="700"/>
      <c r="O44" s="700"/>
      <c r="P44" s="700"/>
      <c r="Q44" s="700"/>
      <c r="R44" s="700"/>
      <c r="S44" s="387"/>
      <c r="T44" s="387"/>
      <c r="U44" s="387"/>
    </row>
    <row r="45" spans="1:21" ht="16.5" thickBot="1">
      <c r="D45" s="932" t="s">
        <v>780</v>
      </c>
      <c r="E45" s="933"/>
      <c r="F45" s="934"/>
      <c r="G45" s="708" t="s">
        <v>174</v>
      </c>
      <c r="H45" s="709" t="s">
        <v>174</v>
      </c>
      <c r="I45" s="709" t="s">
        <v>174</v>
      </c>
      <c r="J45" s="710" t="s">
        <v>174</v>
      </c>
      <c r="O45" s="387"/>
      <c r="P45" s="387"/>
      <c r="Q45" s="387"/>
      <c r="R45" s="387"/>
      <c r="S45" s="387"/>
      <c r="T45" s="387"/>
      <c r="U45" s="387"/>
    </row>
    <row r="46" spans="1:21">
      <c r="A46" s="935" t="s">
        <v>781</v>
      </c>
      <c r="B46" s="935"/>
      <c r="C46" s="935"/>
      <c r="D46" s="935"/>
      <c r="E46" s="935"/>
      <c r="F46" s="935"/>
      <c r="G46" s="935"/>
      <c r="H46" s="935"/>
      <c r="I46" s="935"/>
      <c r="J46" s="935"/>
      <c r="K46" s="935"/>
      <c r="L46" s="935"/>
      <c r="M46" s="935"/>
      <c r="P46" s="387"/>
      <c r="Q46" s="387"/>
      <c r="R46" s="387"/>
      <c r="S46" s="387"/>
      <c r="T46" s="387"/>
    </row>
    <row r="48" spans="1:21" ht="18">
      <c r="J48" s="711" t="s">
        <v>648</v>
      </c>
      <c r="K48" s="924" t="s">
        <v>649</v>
      </c>
      <c r="L48" s="924"/>
      <c r="M48" s="924"/>
    </row>
    <row r="49" spans="1:13">
      <c r="K49" s="712"/>
      <c r="L49" s="712"/>
      <c r="M49" s="712"/>
    </row>
    <row r="50" spans="1:13">
      <c r="J50" s="711" t="s">
        <v>650</v>
      </c>
      <c r="K50" s="925">
        <v>44021</v>
      </c>
      <c r="L50" s="925"/>
      <c r="M50" s="925"/>
    </row>
    <row r="52" spans="1:13">
      <c r="A52" s="713"/>
    </row>
    <row r="53" spans="1:13">
      <c r="A53" s="714" t="s">
        <v>782</v>
      </c>
    </row>
    <row r="54" spans="1:13">
      <c r="A54" s="715"/>
    </row>
  </sheetData>
  <mergeCells count="38">
    <mergeCell ref="K48:M48"/>
    <mergeCell ref="K50:M50"/>
    <mergeCell ref="D41:F41"/>
    <mergeCell ref="D42:F42"/>
    <mergeCell ref="D43:F43"/>
    <mergeCell ref="D44:F44"/>
    <mergeCell ref="D45:F45"/>
    <mergeCell ref="A46:M46"/>
    <mergeCell ref="D40:J40"/>
    <mergeCell ref="D33:F33"/>
    <mergeCell ref="K33:M33"/>
    <mergeCell ref="D34:F34"/>
    <mergeCell ref="K34:M34"/>
    <mergeCell ref="D35:F35"/>
    <mergeCell ref="K35:M35"/>
    <mergeCell ref="A37:M37"/>
    <mergeCell ref="D38:G38"/>
    <mergeCell ref="K38:M38"/>
    <mergeCell ref="D39:G39"/>
    <mergeCell ref="K39:M39"/>
    <mergeCell ref="K28:M28"/>
    <mergeCell ref="A30:M30"/>
    <mergeCell ref="A31:F31"/>
    <mergeCell ref="H31:M31"/>
    <mergeCell ref="D32:F32"/>
    <mergeCell ref="K32:M32"/>
    <mergeCell ref="K27:M27"/>
    <mergeCell ref="L1:M1"/>
    <mergeCell ref="L3:M3"/>
    <mergeCell ref="L4:M4"/>
    <mergeCell ref="L5:M5"/>
    <mergeCell ref="L6:M6"/>
    <mergeCell ref="L7:M7"/>
    <mergeCell ref="A20:M20"/>
    <mergeCell ref="A24:F24"/>
    <mergeCell ref="H24:M24"/>
    <mergeCell ref="K25:M25"/>
    <mergeCell ref="K26:M26"/>
  </mergeCells>
  <dataValidations count="3">
    <dataValidation type="list" errorStyle="warning" allowBlank="1" showInputMessage="1" showErrorMessage="1" error="You should choose from the list!" prompt="Choose Enclosure Type" sqref="F14">
      <formula1>$A$60:$A$62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Pick one!" sqref="I15">
      <formula1>$E$60:$E$62</formula1>
    </dataValidation>
  </dataValidations>
  <printOptions horizontalCentered="1" gridLinesSet="0"/>
  <pageMargins left="0.5" right="0.5" top="0.5" bottom="0.5" header="0.5" footer="0.5"/>
  <pageSetup scale="8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13</vt:i4>
      </vt:variant>
    </vt:vector>
  </HeadingPairs>
  <TitlesOfParts>
    <vt:vector size="23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Circuit Param</vt:lpstr>
      <vt:lpstr>Performance API</vt:lpstr>
      <vt:lpstr>'Circuit Param'!Print_Area</vt:lpstr>
      <vt:lpstr>'Data Sheet'!Print_Area</vt:lpstr>
      <vt:lpstr>DesignSheet!Print_Area</vt:lpstr>
      <vt:lpstr>LoginSheet!Print_Area</vt:lpstr>
      <vt:lpstr>Performance!Print_Area</vt:lpstr>
      <vt:lpstr>'Performance API'!Print_Area</vt:lpstr>
      <vt:lpstr>'Performance Data Sheet'!Print_Area</vt:lpstr>
      <vt:lpstr>StallTime!Print_Area</vt:lpstr>
      <vt:lpstr>STCurve!Print_Area</vt:lpstr>
      <vt:lpstr>Thermdam!Print_Area</vt:lpstr>
      <vt:lpstr>'Circuit Param'!Print_Area_MI</vt:lpstr>
      <vt:lpstr>'Performance API'!Print_Area_MI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2020-07-27T15:11:41Z</dcterms:modified>
</cp:coreProperties>
</file>