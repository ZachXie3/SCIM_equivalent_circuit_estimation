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OP HAT - WPII\"/>
    </mc:Choice>
  </mc:AlternateContent>
  <bookViews>
    <workbookView xWindow="3165" yWindow="1080" windowWidth="4800" windowHeight="5190" tabRatio="927" activeTab="1"/>
  </bookViews>
  <sheets>
    <sheet name="DesignSheet" sheetId="2" r:id="rId1"/>
    <sheet name="Data Sheet" sheetId="3" r:id="rId2"/>
    <sheet name="StallTime" sheetId="5" r:id="rId3"/>
    <sheet name="Performance Data Sheet" sheetId="9" r:id="rId4"/>
    <sheet name="STCurve" sheetId="8" r:id="rId5"/>
    <sheet name="Thermdam" sheetId="13" r:id="rId6"/>
    <sheet name="Performance" sheetId="7" r:id="rId7"/>
    <sheet name="Circuit Param." sheetId="10" r:id="rId8"/>
    <sheet name="PERFORMANCE data" sheetId="11" r:id="rId9"/>
  </sheets>
  <definedNames>
    <definedName name="_Regression_Int" localSheetId="7" hidden="1">1</definedName>
    <definedName name="_Regression_Int" localSheetId="8" hidden="1">1</definedName>
    <definedName name="_Regression_Int" localSheetId="3" hidden="1">1</definedName>
    <definedName name="_xlnm.Print_Area" localSheetId="7">'Circuit Param.'!$A$1:$M$42</definedName>
    <definedName name="_xlnm.Print_Area" localSheetId="1">'Data Sheet'!$A$1:$K$46</definedName>
    <definedName name="_xlnm.Print_Area" localSheetId="0">DesignSheet!$A$1:$J$69</definedName>
    <definedName name="_xlnm.Print_Area" localSheetId="6">Performance!$A$1:$F$43</definedName>
    <definedName name="_xlnm.Print_Area" localSheetId="8">'PERFORMANCE data'!$A$1:$M$54</definedName>
    <definedName name="_xlnm.Print_Area" localSheetId="3">'Performance Data Sheet'!$A$1:$M$44</definedName>
    <definedName name="_xlnm.Print_Area" localSheetId="2">StallTime!$A$1:$G$40</definedName>
    <definedName name="_xlnm.Print_Area" localSheetId="4">STCurve!$A$1:$F$43</definedName>
    <definedName name="_xlnm.Print_Area" localSheetId="5">Thermdam!$A$1:$F$43</definedName>
    <definedName name="Print_Area_MI" localSheetId="7">'Circuit Param.'!$A$8:$N$43</definedName>
    <definedName name="Print_Area_MI" localSheetId="8">'PERFORMANCE data'!$A$10:$N$18</definedName>
    <definedName name="Print_Area_MI">'Performance Data Sheet'!$A$10:$N$42</definedName>
    <definedName name="Z_852987ED_B4F5_11D1_ABEC_0000832EB49E_.wvu.PrintArea" localSheetId="6" hidden="1">Performance!$A$1:$F$43</definedName>
    <definedName name="Z_852987ED_B4F5_11D1_ABEC_0000832EB49E_.wvu.PrintArea" localSheetId="4" hidden="1">STCurve!$A$1:$F$43</definedName>
  </definedNames>
  <calcPr calcId="162913"/>
</workbook>
</file>

<file path=xl/calcChain.xml><?xml version="1.0" encoding="utf-8"?>
<calcChain xmlns="http://schemas.openxmlformats.org/spreadsheetml/2006/main">
  <c r="D43" i="13" l="1"/>
  <c r="F39" i="13"/>
  <c r="C39" i="13"/>
  <c r="F9" i="13"/>
  <c r="F7" i="13"/>
  <c r="D7" i="13"/>
  <c r="B7" i="13"/>
  <c r="F6" i="13"/>
  <c r="B6" i="13"/>
  <c r="H80" i="13"/>
  <c r="H79" i="13"/>
  <c r="G79" i="13"/>
  <c r="H78" i="13"/>
  <c r="G78" i="13"/>
  <c r="H77" i="13"/>
  <c r="G77" i="13"/>
  <c r="H76" i="13"/>
  <c r="G76" i="13"/>
  <c r="C76" i="13"/>
  <c r="C77" i="13" s="1"/>
  <c r="C78" i="13" s="1"/>
  <c r="B76" i="13"/>
  <c r="H75" i="13"/>
  <c r="G75" i="13"/>
  <c r="C75" i="13"/>
  <c r="H74" i="13"/>
  <c r="G74" i="13"/>
  <c r="C74" i="13"/>
  <c r="B74" i="13"/>
  <c r="H73" i="13"/>
  <c r="G73" i="13"/>
  <c r="H72" i="13"/>
  <c r="G72" i="13"/>
  <c r="A72" i="13"/>
  <c r="A73" i="13" s="1"/>
  <c r="B73" i="13" s="1"/>
  <c r="H71" i="13"/>
  <c r="G71" i="13"/>
  <c r="C71" i="13"/>
  <c r="B71" i="13"/>
  <c r="H70" i="13"/>
  <c r="G70" i="13"/>
  <c r="C70" i="13"/>
  <c r="B70" i="13"/>
  <c r="H69" i="13"/>
  <c r="G69" i="13"/>
  <c r="C69" i="13"/>
  <c r="B69" i="13"/>
  <c r="B75" i="13" s="1"/>
  <c r="H68" i="13"/>
  <c r="E68" i="13"/>
  <c r="G68" i="13" s="1"/>
  <c r="D66" i="13"/>
  <c r="F50" i="13"/>
  <c r="B72" i="13" l="1"/>
  <c r="C12" i="7"/>
  <c r="F9" i="7"/>
  <c r="F7" i="7"/>
  <c r="D7" i="7"/>
  <c r="B7" i="7"/>
  <c r="F6" i="7"/>
  <c r="B6" i="7"/>
  <c r="D43" i="7"/>
  <c r="F39" i="7"/>
  <c r="C39" i="7"/>
  <c r="F39" i="8"/>
  <c r="D43" i="8"/>
  <c r="C39" i="8"/>
  <c r="C12" i="8"/>
  <c r="F6" i="8"/>
  <c r="D7" i="8"/>
  <c r="F9" i="8"/>
  <c r="F7" i="8"/>
  <c r="B7" i="8"/>
  <c r="B6" i="8"/>
  <c r="M28" i="3"/>
  <c r="M18" i="3"/>
  <c r="M52" i="2"/>
  <c r="L41" i="2"/>
  <c r="N40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N41" i="2" l="1"/>
  <c r="N39" i="2"/>
  <c r="N38" i="2"/>
  <c r="M53" i="2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</rPr>
          <t>Choose Method of coil connection from list!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Paulo Yoshiura</author>
  </authors>
  <commentList>
    <comment ref="L22" authorId="0" shapeId="0">
      <text>
        <r>
          <rPr>
            <b/>
            <sz val="8"/>
            <color indexed="81"/>
            <rFont val="Tahoma"/>
            <family val="2"/>
          </rPr>
          <t>Pick bearings from list!</t>
        </r>
      </text>
    </comment>
  </commentList>
</comments>
</file>

<file path=xl/sharedStrings.xml><?xml version="1.0" encoding="utf-8"?>
<sst xmlns="http://schemas.openxmlformats.org/spreadsheetml/2006/main" count="1102" uniqueCount="760">
  <si>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</si>
  <si>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</si>
  <si>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</si>
  <si>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</si>
  <si>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</si>
  <si>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</si>
  <si>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</si>
  <si>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</si>
  <si>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</si>
  <si>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</si>
  <si>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</si>
  <si>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</si>
  <si>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</si>
  <si>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</si>
  <si>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</si>
  <si>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</si>
  <si>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</si>
  <si>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</si>
  <si>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</si>
  <si>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</si>
  <si>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</si>
  <si>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</si>
  <si>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</si>
  <si>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</si>
  <si>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</si>
  <si>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</si>
  <si>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</si>
  <si>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</si>
  <si>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</si>
  <si>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</si>
  <si>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</si>
  <si>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</si>
  <si>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</si>
  <si>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</si>
  <si>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</si>
  <si>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</si>
  <si>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</si>
  <si>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</si>
  <si>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</si>
  <si>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</si>
  <si>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</si>
  <si>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</si>
  <si>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</si>
  <si>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</si>
  <si>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</si>
  <si>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</si>
  <si>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</si>
  <si>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</si>
  <si>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</si>
  <si>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</si>
  <si>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</si>
  <si>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</si>
  <si>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</si>
  <si>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</si>
  <si>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</si>
  <si>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</si>
  <si>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</si>
  <si>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</si>
  <si>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</si>
  <si>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</si>
  <si>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</si>
  <si>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</si>
  <si>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</si>
  <si>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</si>
  <si>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</si>
  <si>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</si>
  <si>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</si>
  <si>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</si>
  <si>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</si>
  <si>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</si>
  <si>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</si>
  <si>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</si>
  <si>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</si>
  <si>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</si>
  <si>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</si>
  <si>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</si>
  <si>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</si>
  <si>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</si>
  <si>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</si>
  <si>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</si>
  <si>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</si>
  <si>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</si>
  <si>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</si>
  <si>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</si>
  <si>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</si>
  <si>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</si>
  <si>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</si>
  <si>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</si>
  <si>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</si>
  <si>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</si>
  <si>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</si>
  <si>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</si>
  <si>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</si>
  <si>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</si>
  <si>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</si>
  <si>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</si>
  <si>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</si>
  <si>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</si>
  <si>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</si>
  <si>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</si>
  <si>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</si>
  <si>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</si>
  <si>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</si>
  <si>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</si>
  <si>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</si>
  <si>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</si>
  <si>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</si>
  <si>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</si>
  <si>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</si>
  <si>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</si>
  <si>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</si>
  <si>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</si>
  <si>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</si>
  <si>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</si>
  <si>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</si>
  <si>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</si>
  <si>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</si>
  <si>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</si>
  <si>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</si>
  <si>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</si>
  <si>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</si>
  <si>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</si>
  <si>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</si>
  <si>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</si>
  <si>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</si>
  <si>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</si>
  <si>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</si>
  <si>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</si>
  <si>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</si>
  <si>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</si>
  <si>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</si>
  <si>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</si>
  <si>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</si>
  <si>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</si>
  <si>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</si>
  <si>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</si>
  <si>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</si>
  <si>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</si>
  <si>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</si>
  <si>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</si>
  <si>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</si>
  <si>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</si>
  <si>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</si>
  <si>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</si>
  <si>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</si>
  <si>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</si>
  <si>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</si>
  <si>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</si>
  <si>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</si>
  <si>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</si>
  <si>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</si>
  <si>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</si>
  <si>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</si>
  <si>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</si>
  <si>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</si>
  <si>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</si>
  <si>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</si>
  <si>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</si>
  <si>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</si>
  <si>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</si>
  <si>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</si>
  <si>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</si>
  <si>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</si>
  <si>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</si>
  <si>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</si>
  <si>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</si>
  <si>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</si>
  <si>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</si>
  <si>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</si>
  <si>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</si>
  <si>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</si>
  <si>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</si>
  <si>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</si>
  <si>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</si>
  <si>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</si>
  <si>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</si>
  <si>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</si>
  <si>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</si>
  <si>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</si>
  <si>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</si>
  <si>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</si>
  <si>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</si>
  <si>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</si>
  <si>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</si>
  <si>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</si>
  <si>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</si>
  <si>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</si>
  <si>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</si>
  <si>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</si>
  <si>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</si>
  <si>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</si>
  <si>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</si>
  <si>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DCKW</t>
  </si>
  <si>
    <t>5011/12</t>
  </si>
  <si>
    <t>Open</t>
  </si>
  <si>
    <t>Rectang</t>
  </si>
  <si>
    <t>8.00 - 8.00</t>
  </si>
  <si>
    <t>2.40 - 2.00</t>
  </si>
  <si>
    <t>Magnetic</t>
  </si>
  <si>
    <t>11 x 10</t>
  </si>
  <si>
    <t>1 ~ 14</t>
  </si>
  <si>
    <t>(.081"x.162")x2</t>
  </si>
  <si>
    <t>Wye</t>
  </si>
  <si>
    <t>(105°C)</t>
  </si>
  <si>
    <t>CU</t>
  </si>
  <si>
    <t>ERD1: 282.5</t>
  </si>
  <si>
    <t>EBL: 40.0</t>
  </si>
  <si>
    <t>ERT: 55.00</t>
  </si>
  <si>
    <t>ERH: 25.00</t>
  </si>
  <si>
    <t>(8 x 25)</t>
  </si>
  <si>
    <t>LB:  -</t>
  </si>
  <si>
    <t>LER:  -</t>
  </si>
  <si>
    <t>Single Cage Data</t>
  </si>
  <si>
    <t>UB: 200.0</t>
  </si>
  <si>
    <t>UER: 1375.0</t>
  </si>
  <si>
    <t>(Coeff.: 0.0889)</t>
  </si>
  <si>
    <t>Skew R.: 0.00</t>
  </si>
  <si>
    <t>N:\DESPRO\RAT FILES\DT4700K.rat</t>
  </si>
  <si>
    <t>2-2-2-0-1-2</t>
  </si>
  <si>
    <t>B.L.-1  P.F.-1</t>
  </si>
  <si>
    <t>8941.2 / 9316.9</t>
  </si>
  <si>
    <t>7227.7 / 5867.5</t>
  </si>
  <si>
    <t>7804.1 / 9093.9</t>
  </si>
  <si>
    <t>1600.0 / 4783.2</t>
  </si>
  <si>
    <t>5839.9 / 4806.5</t>
  </si>
  <si>
    <t>1163.4 / 957.5</t>
  </si>
  <si>
    <t>4676.5 / 3849.0</t>
  </si>
  <si>
    <t>1.50 / 1.23</t>
  </si>
  <si>
    <t>75 / 71</t>
  </si>
  <si>
    <t>Temp. Rise @ 100%:</t>
  </si>
  <si>
    <t>Stray Loss</t>
  </si>
  <si>
    <t>0.937 / 0.918</t>
  </si>
  <si>
    <t>0.958 / 0.939</t>
  </si>
  <si>
    <t>0.960 / 0.941</t>
  </si>
  <si>
    <t>0.954 / 0.935</t>
  </si>
  <si>
    <t>0.678 / 0.691</t>
  </si>
  <si>
    <t>0.852 / 0.869</t>
  </si>
  <si>
    <t>0.899 / 0.917</t>
  </si>
  <si>
    <t>0.912 / 0.930</t>
  </si>
  <si>
    <t>29.68 / 29.69</t>
  </si>
  <si>
    <t>46.16 / 46.18</t>
  </si>
  <si>
    <t>65.45 / 65.47</t>
  </si>
  <si>
    <t>86.23 / 86.27</t>
  </si>
  <si>
    <t>108.36 / 108.40</t>
  </si>
  <si>
    <t>5.29 / 5.29</t>
  </si>
  <si>
    <t>UB: 7.11 / 7.11</t>
  </si>
  <si>
    <t>UER: 3.63 / 3.64</t>
  </si>
  <si>
    <t>1794.3 / 1791.7</t>
  </si>
  <si>
    <t>1788.5 / 1786.0</t>
  </si>
  <si>
    <t>1782.7 / 1780.1</t>
  </si>
  <si>
    <t>1776.4 / 1773.9</t>
  </si>
  <si>
    <t>1770.3 / 1767.7</t>
  </si>
  <si>
    <t>0.0032 / 0.0046</t>
  </si>
  <si>
    <t>0.0064 / 0.0078</t>
  </si>
  <si>
    <t>0.0096 / 0.0110</t>
  </si>
  <si>
    <t>0.0131 / 0.0145</t>
  </si>
  <si>
    <t>0.0165 / 0.0179</t>
  </si>
  <si>
    <t>20.099 / 17.215</t>
  </si>
  <si>
    <t>0.842 / 0.721</t>
  </si>
  <si>
    <t>20.12 / 17.23</t>
  </si>
  <si>
    <t>475.5 / 542.3</t>
  </si>
  <si>
    <t>551.4 / 628.9</t>
  </si>
  <si>
    <t>341.7 / 393.8</t>
  </si>
  <si>
    <t>119.3 / 137.5</t>
  </si>
  <si>
    <t>245.4 / 274.1</t>
  </si>
  <si>
    <t>Correlated to: H202029_WPII_Lab8343B.dat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</si>
  <si>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</si>
  <si>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</si>
  <si>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</si>
  <si>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</si>
  <si>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</si>
  <si>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</si>
  <si>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</si>
  <si>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</si>
  <si>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</si>
  <si>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</si>
  <si>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</si>
  <si>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</si>
  <si>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</si>
  <si>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</si>
  <si>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</si>
  <si>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</si>
  <si>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</si>
  <si>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</si>
  <si>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</si>
  <si>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</si>
  <si>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</si>
  <si>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</si>
  <si>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</si>
  <si>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</si>
  <si>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</si>
  <si>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</si>
  <si>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</si>
  <si>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</si>
  <si>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</si>
  <si>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</si>
  <si>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</si>
  <si>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</si>
  <si>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</si>
  <si>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</si>
  <si>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</si>
  <si>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</si>
  <si>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</si>
  <si>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</si>
  <si>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</si>
  <si>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</si>
  <si>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</si>
  <si>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</si>
  <si>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</si>
  <si>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</si>
  <si>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</si>
  <si>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</si>
  <si>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</si>
  <si>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</si>
  <si>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</si>
  <si>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</si>
  <si>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</si>
  <si>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</si>
  <si>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</si>
  <si>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</si>
  <si>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</si>
  <si>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</si>
  <si>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</si>
  <si>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</si>
  <si>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</si>
  <si>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</si>
  <si>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</si>
  <si>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</si>
  <si>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</si>
  <si>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</si>
  <si>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</si>
  <si>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</si>
  <si>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</si>
  <si>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</si>
  <si>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</si>
  <si>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</si>
  <si>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</si>
  <si>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</si>
  <si>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</si>
  <si>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</si>
  <si>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</si>
  <si>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</si>
  <si>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</si>
  <si>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</si>
  <si>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</si>
  <si>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</si>
  <si>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</si>
  <si>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</si>
  <si>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</si>
  <si>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</si>
  <si>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F</t>
  </si>
  <si>
    <t>PROJECT</t>
  </si>
  <si>
    <t>DT4700K</t>
  </si>
  <si>
    <t>Type: TIKE - Form: DCKW - 4 Pole - 700 HP - 4000 V - 60 Hz - 5011/12 - Class F</t>
  </si>
  <si>
    <t>14 x 2</t>
  </si>
  <si>
    <t>1 x Wye</t>
  </si>
  <si>
    <t xml:space="preserve"> - </t>
  </si>
  <si>
    <t>75 / 99</t>
  </si>
  <si>
    <t>529 / 3334</t>
  </si>
  <si>
    <t>711 / 364</t>
  </si>
  <si>
    <t>LINK: H202029_800HP_4000V(Cu).rat &amp;</t>
  </si>
  <si>
    <t>H202029_WPII_Lab8343B.dat</t>
  </si>
  <si>
    <t>7004WTAK11F-C</t>
  </si>
  <si>
    <t>362-R351-02</t>
  </si>
  <si>
    <t>400-R341-01(RSO2); 135-R321-100 (TOP HAT)</t>
  </si>
  <si>
    <t>REV0. FIRST ISSUE</t>
  </si>
  <si>
    <t>H. Yamaga</t>
  </si>
  <si>
    <r>
      <t>Wire 1 (</t>
    </r>
    <r>
      <rPr>
        <i/>
        <sz val="11"/>
        <color indexed="8"/>
        <rFont val="Times New Roman"/>
        <family val="1"/>
      </rPr>
      <t>061-0014-07</t>
    </r>
    <r>
      <rPr>
        <i/>
        <sz val="10"/>
        <color indexed="8"/>
        <rFont val="Times New Roman"/>
        <family val="1"/>
      </rPr>
      <t>)</t>
    </r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</si>
  <si>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</si>
  <si>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</si>
  <si>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</si>
  <si>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</si>
  <si>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</si>
  <si>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</si>
  <si>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</si>
  <si>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</si>
  <si>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</si>
  <si>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103.0 kg.m²</t>
  </si>
  <si>
    <t>286.3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</si>
  <si>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</si>
  <si>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</si>
  <si>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</si>
  <si>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</si>
  <si>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</si>
  <si>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</si>
  <si>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</si>
  <si>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</si>
  <si>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</si>
  <si>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</si>
  <si>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</si>
  <si>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</si>
  <si>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</si>
  <si>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</si>
  <si>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</si>
  <si>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</si>
  <si>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</si>
  <si>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</si>
  <si>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</si>
  <si>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</si>
  <si>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</si>
  <si>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</si>
  <si>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</si>
  <si>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</si>
  <si>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</si>
  <si>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</si>
  <si>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</si>
  <si>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</si>
  <si>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</si>
  <si>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</si>
  <si>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</si>
  <si>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</si>
  <si>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</si>
  <si>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</si>
  <si>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</si>
  <si>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</si>
  <si>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</si>
  <si>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</si>
  <si>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</si>
  <si>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- 700.0 HP - 1800 RPM - 4000 V - 60 Hz</t>
  </si>
  <si>
    <t>0~180</t>
  </si>
  <si>
    <t>180~360</t>
  </si>
  <si>
    <t>360~540</t>
  </si>
  <si>
    <t>540~720</t>
  </si>
  <si>
    <t>720~900</t>
  </si>
  <si>
    <t>900~1080</t>
  </si>
  <si>
    <t>1080~1296</t>
  </si>
  <si>
    <t>1296~1512</t>
  </si>
  <si>
    <t>1512~1620</t>
  </si>
  <si>
    <t>1620~1728</t>
  </si>
  <si>
    <t>1728~1764</t>
  </si>
  <si>
    <t>1764~1776</t>
  </si>
  <si>
    <t/>
  </si>
  <si>
    <t>Load Type: Fan / Pump - 611.1 lb-ft²</t>
  </si>
  <si>
    <t>135.0</t>
  </si>
  <si>
    <t>138.9</t>
  </si>
  <si>
    <t>153.2</t>
  </si>
  <si>
    <t>177.6</t>
  </si>
  <si>
    <t>230.8</t>
  </si>
  <si>
    <t>258.1</t>
  </si>
  <si>
    <t>173.1</t>
  </si>
  <si>
    <t>22.5</t>
  </si>
  <si>
    <t>11.5</t>
  </si>
  <si>
    <t>7.0</t>
  </si>
  <si>
    <t>11.0</t>
  </si>
  <si>
    <t>18.0</t>
  </si>
  <si>
    <t>29.2</t>
  </si>
  <si>
    <t>47.6</t>
  </si>
  <si>
    <t>66.4</t>
  </si>
  <si>
    <t>81.9</t>
  </si>
  <si>
    <t>92.5</t>
  </si>
  <si>
    <t>97.2</t>
  </si>
  <si>
    <t>0.207</t>
  </si>
  <si>
    <t>0.188</t>
  </si>
  <si>
    <t>0.182</t>
  </si>
  <si>
    <t>0.187</t>
  </si>
  <si>
    <t>0.199</t>
  </si>
  <si>
    <t>0.254</t>
  </si>
  <si>
    <t>0.264</t>
  </si>
  <si>
    <t>0.125</t>
  </si>
  <si>
    <t>0.094</t>
  </si>
  <si>
    <t>0.028</t>
  </si>
  <si>
    <t>0.021</t>
  </si>
  <si>
    <t>539.4</t>
  </si>
  <si>
    <t>533.9</t>
  </si>
  <si>
    <t>527.8</t>
  </si>
  <si>
    <t>520.9</t>
  </si>
  <si>
    <t>513.1</t>
  </si>
  <si>
    <t>503.9</t>
  </si>
  <si>
    <t>492.2</t>
  </si>
  <si>
    <t>473.1</t>
  </si>
  <si>
    <t>448.0</t>
  </si>
  <si>
    <t>409.6</t>
  </si>
  <si>
    <t>323.6</t>
  </si>
  <si>
    <t>165.3</t>
  </si>
  <si>
    <t>73.0</t>
  </si>
  <si>
    <t>65.2</t>
  </si>
  <si>
    <t>61.6</t>
  </si>
  <si>
    <t>60.1</t>
  </si>
  <si>
    <t>60.3</t>
  </si>
  <si>
    <t>61.9</t>
  </si>
  <si>
    <t>76.1</t>
  </si>
  <si>
    <t>74.9</t>
  </si>
  <si>
    <t>32.0</t>
  </si>
  <si>
    <t>21.3</t>
  </si>
  <si>
    <t>5.0</t>
  </si>
  <si>
    <t>0.2</t>
  </si>
  <si>
    <t>157.2</t>
  </si>
  <si>
    <t>128.9</t>
  </si>
  <si>
    <t>110.6</t>
  </si>
  <si>
    <t>96.7</t>
  </si>
  <si>
    <t>85.6</t>
  </si>
  <si>
    <t>75.6</t>
  </si>
  <si>
    <t>64.5</t>
  </si>
  <si>
    <t>49.6</t>
  </si>
  <si>
    <t>30.8</t>
  </si>
  <si>
    <t>16.9</t>
  </si>
  <si>
    <t>8.5</t>
  </si>
  <si>
    <t>5.6</t>
  </si>
  <si>
    <t>592 kW / s</t>
  </si>
  <si>
    <t>800 kW / s</t>
  </si>
  <si>
    <t>30 kW / s</t>
  </si>
  <si>
    <t>13°C</t>
  </si>
  <si>
    <t>37°C</t>
  </si>
  <si>
    <t>3°C</t>
  </si>
  <si>
    <t>25°C</t>
  </si>
  <si>
    <t>74°C</t>
  </si>
  <si>
    <t>7°C</t>
  </si>
  <si>
    <t>Acceleration Time:  1.9 s</t>
  </si>
  <si>
    <t>8.9°C / s</t>
  </si>
  <si>
    <t>31.3°C / s</t>
  </si>
  <si>
    <t>2.8°C / s</t>
  </si>
  <si>
    <t>421.3 kW</t>
  </si>
  <si>
    <t>679.4 kW</t>
  </si>
  <si>
    <t>25.6 kW</t>
  </si>
  <si>
    <t>17.9 s</t>
  </si>
  <si>
    <t>8.3 s</t>
  </si>
  <si>
    <t>64.0 s</t>
  </si>
  <si>
    <t>75°C    +</t>
  </si>
  <si>
    <t>101°C    +</t>
  </si>
  <si>
    <t>85°C    +</t>
  </si>
  <si>
    <t>159°C   +</t>
  </si>
  <si>
    <t>79°C   +</t>
  </si>
  <si>
    <t>9.5 s</t>
  </si>
  <si>
    <t>5.1 s</t>
  </si>
  <si>
    <t>27.9 s</t>
  </si>
  <si>
    <t>19.0 s</t>
  </si>
  <si>
    <t>Thermal Limit &amp; Acceleration Curves</t>
  </si>
  <si>
    <t>Design Values (For Reference Only)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</si>
  <si>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</si>
  <si>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</si>
  <si>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</si>
  <si>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</si>
  <si>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</si>
  <si>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</si>
  <si>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</si>
  <si>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</si>
  <si>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</si>
  <si>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</si>
  <si>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</si>
  <si>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</si>
  <si>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Comments:</t>
  </si>
  <si>
    <t>D.E.Curve #:</t>
  </si>
  <si>
    <t>Prepared by:</t>
  </si>
  <si>
    <t>Checked by:</t>
  </si>
  <si>
    <t>Cold</t>
  </si>
  <si>
    <t>Hot</t>
  </si>
  <si>
    <t>CURRENT (%)</t>
  </si>
  <si>
    <t>Accel. Time</t>
  </si>
  <si>
    <t>211.5 lb-ft²</t>
  </si>
  <si>
    <t>611.1 lb-ft²</t>
  </si>
  <si>
    <t>Performance Curve</t>
  </si>
  <si>
    <t>Locked Rotor Amps:</t>
  </si>
  <si>
    <t>Locked Rotor Torque:</t>
  </si>
  <si>
    <t>Starting at:</t>
  </si>
  <si>
    <t>Breakdown Torque:</t>
  </si>
  <si>
    <t>Input Watts</t>
  </si>
  <si>
    <t>2077 lb-ft</t>
  </si>
  <si>
    <t>Torque 80%</t>
  </si>
  <si>
    <t>LRA 80%</t>
  </si>
  <si>
    <t>Acceleration Data (FV / 0.80 V)</t>
  </si>
  <si>
    <t>1.9 / 3.5 (s)</t>
  </si>
  <si>
    <t>Speed Torque/Current Curve</t>
  </si>
  <si>
    <t>FV / 0.80 (V)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</si>
  <si>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</si>
  <si>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</si>
  <si>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</si>
  <si>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</si>
  <si>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</si>
  <si>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</si>
  <si>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</si>
  <si>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</si>
  <si>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</si>
  <si>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</si>
  <si>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</si>
  <si>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</si>
  <si>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</si>
  <si>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</si>
  <si>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</si>
  <si>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</si>
  <si>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</si>
  <si>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</si>
  <si>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</si>
  <si>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</si>
  <si>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</si>
  <si>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</si>
  <si>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</si>
  <si>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</si>
  <si>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</si>
  <si>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</si>
  <si>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</si>
  <si>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</si>
  <si>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</si>
  <si>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</si>
  <si>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</si>
  <si>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</si>
  <si>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</si>
  <si>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</si>
  <si>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</si>
  <si>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</si>
  <si>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</si>
  <si>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</si>
  <si>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</si>
  <si>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</si>
  <si>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</si>
  <si>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</si>
  <si>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</si>
  <si>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</si>
  <si>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</si>
  <si>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</si>
  <si>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</si>
  <si>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</si>
  <si>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</si>
  <si>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</si>
  <si>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</si>
  <si>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</si>
  <si>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</si>
  <si>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</si>
  <si>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</si>
  <si>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</si>
  <si>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>THE DECLARED LOCKED ROTOR CURRENT HAS A TOLERANCE OF 20%</t>
  </si>
  <si>
    <t>* TEMPERATURE RISE WILL BE CONSISTENT WITH INSULATION, AMBIENT AND SERVICE FACTOR AS</t>
  </si>
  <si>
    <t>DEFINED BY NEMA-MG-12 OR -20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</si>
  <si>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</si>
  <si>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</si>
  <si>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</si>
  <si>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</si>
  <si>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</si>
  <si>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</si>
  <si>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</si>
  <si>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</si>
  <si>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</si>
  <si>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</si>
  <si>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</si>
  <si>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</si>
  <si>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</si>
  <si>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</si>
  <si>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</si>
  <si>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</si>
  <si>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</si>
  <si>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</si>
  <si>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</si>
  <si>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</si>
  <si>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</si>
  <si>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</si>
  <si>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</si>
  <si>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</si>
  <si>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</si>
  <si>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</si>
  <si>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</si>
  <si>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</si>
  <si>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</si>
  <si>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</si>
  <si>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</si>
  <si>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</si>
  <si>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</si>
  <si>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</si>
  <si>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</si>
  <si>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</si>
  <si>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</si>
  <si>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</si>
  <si>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</si>
  <si>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</si>
  <si>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</si>
  <si>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</si>
  <si>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</si>
  <si>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</si>
  <si>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</si>
  <si>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</si>
  <si>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WP-II</t>
  </si>
  <si>
    <t>5012US</t>
  </si>
  <si>
    <t>SULZER PUMPS MEXICO S.A. DE C.V.</t>
  </si>
  <si>
    <t>2182344.8</t>
  </si>
  <si>
    <t>1.0</t>
  </si>
  <si>
    <t>A1-10033114</t>
  </si>
  <si>
    <t>2 / 4 (s)</t>
  </si>
  <si>
    <t>JERRY R</t>
  </si>
  <si>
    <t>MPCF-1109</t>
  </si>
  <si>
    <t>EQUIVALENT CIRCUIT DATA</t>
  </si>
  <si>
    <t>NEW</t>
  </si>
  <si>
    <t>REV. 0</t>
  </si>
  <si>
    <t xml:space="preserve">All Values are Presented in Ohms/Phase, Equivalent Wye Connection. </t>
  </si>
  <si>
    <t>Paul Anderson</t>
  </si>
  <si>
    <t>Primary Resistance (R1) :</t>
  </si>
  <si>
    <t>Secondary Resistance (R2) :</t>
  </si>
  <si>
    <t>Starting Resistance (R3) :</t>
  </si>
  <si>
    <t>Primary Reactance (X1) :</t>
  </si>
  <si>
    <t>Secondary Reactance (X2) :</t>
  </si>
  <si>
    <t>Starting Reactance (X3) :</t>
  </si>
  <si>
    <t>Magnetizing Reactance (Xm) :</t>
  </si>
  <si>
    <t>Transient Reactance :</t>
  </si>
  <si>
    <t>Sub Transient Reactance :</t>
  </si>
  <si>
    <t>Short Circuit Time Constant :</t>
  </si>
  <si>
    <t>Sub Transient Time Constant :</t>
  </si>
  <si>
    <t>Open Circuit Time Constant :</t>
  </si>
  <si>
    <t>MPCF-1082</t>
  </si>
  <si>
    <t>2/14/02</t>
  </si>
  <si>
    <t>M. CAMPBELL</t>
  </si>
  <si>
    <t>API 541 PERFORMANCE SPECIFICATIONS</t>
  </si>
  <si>
    <t>P.A.A</t>
  </si>
  <si>
    <t>LOCKED ROTOR DATA</t>
  </si>
  <si>
    <t>AMPS AT RATED VOLTAGE:</t>
  </si>
  <si>
    <t>POWER FACTOR:</t>
  </si>
  <si>
    <t>AMPS AT 80% VOLTAGE:</t>
  </si>
  <si>
    <t>TORQUE VALUES</t>
  </si>
  <si>
    <t>CURVE NUMBERS</t>
  </si>
  <si>
    <t>FULL LOAD (LB.FT):</t>
  </si>
  <si>
    <t>SPEED-TORQUE CURVE:</t>
  </si>
  <si>
    <t>LOCKED ROTOR TORQUE (% OF FLT):</t>
  </si>
  <si>
    <t>SPEED-CURRENT CURVE:</t>
  </si>
  <si>
    <t>PULL UP TORQUE (% OF FLT):</t>
  </si>
  <si>
    <t>ACCELERATION CURVE:</t>
  </si>
  <si>
    <t>BREAKDOWN TORQUE (% OF FLT):</t>
  </si>
  <si>
    <t>LOCKED ROTOR WITHSTAND TIMES</t>
  </si>
  <si>
    <t>COLD CONDITION</t>
  </si>
  <si>
    <t>HOT CONDITION</t>
  </si>
  <si>
    <t>100% VOLTAGE:</t>
  </si>
  <si>
    <t>30</t>
  </si>
  <si>
    <t>15</t>
  </si>
  <si>
    <t>90% VOLTAGE:</t>
  </si>
  <si>
    <t>38</t>
  </si>
  <si>
    <t>80% VOLTAGE:</t>
  </si>
  <si>
    <t>49</t>
  </si>
  <si>
    <t>24</t>
  </si>
  <si>
    <t>70% VOLTAGE:</t>
  </si>
  <si>
    <t>DESIGN DATA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</si>
  <si>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</si>
  <si>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NO LOAD CURRENT:</t>
  </si>
  <si>
    <t>AIR GAP:</t>
  </si>
  <si>
    <t>ACCELERATION TIME:</t>
  </si>
  <si>
    <t>LOAD CHARACTERISTICS</t>
  </si>
  <si>
    <t>LOAD</t>
  </si>
  <si>
    <t>1/2</t>
  </si>
  <si>
    <t>3/4</t>
  </si>
  <si>
    <t>FULL</t>
  </si>
  <si>
    <t>SF</t>
  </si>
  <si>
    <t>AMPS (A)</t>
  </si>
  <si>
    <t>EFFICIENCY (%)</t>
  </si>
  <si>
    <t>POWER FACTOR (%)</t>
  </si>
  <si>
    <t>GUARENTEED EFFICIENCY (%)</t>
  </si>
  <si>
    <t>EFFICIENCY TO BE DETERMINED BY IEEE 112, METHOD B</t>
  </si>
  <si>
    <t>ALL CHARACTERISTICS ARE AVERAGE EXPECTED VALUES BASED UPON RATED VOLTAGE, FREQUENCY AND SINEWAVE POWER INPUT.</t>
  </si>
  <si>
    <t>0.4008</t>
  </si>
  <si>
    <t>0.380</t>
  </si>
  <si>
    <t>0.929</t>
  </si>
  <si>
    <t>2.62</t>
  </si>
  <si>
    <t>2.33</t>
  </si>
  <si>
    <t>1.95</t>
  </si>
  <si>
    <t>135.8</t>
  </si>
  <si>
    <t>4.92</t>
  </si>
  <si>
    <t>3.68</t>
  </si>
  <si>
    <t>12</t>
  </si>
  <si>
    <t>19</t>
  </si>
  <si>
    <t>25</t>
  </si>
  <si>
    <t>17</t>
  </si>
  <si>
    <t>211.5</t>
  </si>
  <si>
    <t>1.7</t>
  </si>
  <si>
    <t>2 / 4</t>
  </si>
  <si>
    <t>542</t>
  </si>
  <si>
    <t>423</t>
  </si>
  <si>
    <t>361-R311-6L1DY, 361-R311-3L1D, 361-R311-3L1Y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</si>
</sst>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General_)"/>
    <numFmt numFmtId="171" formatCode="m/d/yy"/>
    <numFmt numFmtId="172" formatCode="@\ &quot;Ohms/Phase&quot;"/>
    <numFmt numFmtId="173" formatCode=".0"/>
    <numFmt numFmtId="174" formatCode="@\ &quot; A&quot;"/>
    <numFmt numFmtId="175" formatCode="@\ &quot;(s)&quot;"/>
    <numFmt numFmtId="176" formatCode="@\ &quot;mm&quot;"/>
  </numFmts>
  <fonts count="9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u/>
      <sz val="14"/>
      <name val="Times New Roman"/>
      <family val="1"/>
    </font>
    <font>
      <b/>
      <i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b/>
      <sz val="13"/>
      <name val="Univers (W1)"/>
      <family val="2"/>
    </font>
    <font>
      <sz val="12"/>
      <name val="Lucida Handwriting"/>
      <family val="4"/>
    </font>
    <font>
      <sz val="10"/>
      <name val="Helv"/>
    </font>
    <font>
      <b/>
      <sz val="12"/>
      <name val="Univers (W1)"/>
    </font>
    <font>
      <sz val="10"/>
      <name val="Univers (w1)"/>
    </font>
    <font>
      <i/>
      <sz val="10"/>
      <name val="Script"/>
      <family val="4"/>
      <charset val="255"/>
    </font>
    <font>
      <sz val="12"/>
      <name val="Univers"/>
      <family val="2"/>
    </font>
    <font>
      <sz val="9"/>
      <name val="Univers"/>
      <family val="2"/>
    </font>
    <font>
      <sz val="9"/>
      <name val="Helv"/>
    </font>
    <font>
      <sz val="9"/>
      <name val="Univers (W1)"/>
    </font>
    <font>
      <sz val="11"/>
      <name val="Univers (W1)"/>
      <family val="2"/>
    </font>
    <font>
      <sz val="11"/>
      <name val="Univers (w1)"/>
    </font>
    <font>
      <sz val="10"/>
      <name val="Univers"/>
      <family val="2"/>
    </font>
    <font>
      <sz val="8"/>
      <name val="Univers"/>
      <family val="2"/>
    </font>
    <font>
      <sz val="11"/>
      <name val="Univers"/>
      <family val="2"/>
    </font>
    <font>
      <vertAlign val="superscript"/>
      <sz val="8"/>
      <name val="Univers"/>
      <family val="2"/>
    </font>
    <font>
      <sz val="8"/>
      <name val="Helv"/>
    </font>
    <font>
      <b/>
      <sz val="12"/>
      <name val="Helv"/>
    </font>
    <font>
      <sz val="7"/>
      <name val="Univers (W1)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0">
    <xf numFmtId="0" fontId="0" fillId="0" borderId="0"/>
    <xf numFmtId="0" fontId="23" fillId="0" borderId="0"/>
    <xf numFmtId="0" fontId="23" fillId="0" borderId="0"/>
    <xf numFmtId="0" fontId="1" fillId="0" borderId="0"/>
    <xf numFmtId="170" fontId="64" fillId="0" borderId="0"/>
    <xf numFmtId="0" fontId="76" fillId="0" borderId="0"/>
    <xf numFmtId="0" fontId="64" fillId="0" borderId="0"/>
    <xf numFmtId="0" fontId="64" fillId="0" borderId="0"/>
    <xf numFmtId="0" fontId="1" fillId="0" borderId="0"/>
    <xf numFmtId="43" fontId="1" fillId="0" borderId="0" applyFont="0" applyFill="0" applyBorder="0" applyAlignment="0" applyProtection="0"/>
  </cellStyleXfs>
  <cellXfs count="85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 applyFill="1"/>
    <xf numFmtId="0" fontId="26" fillId="0" borderId="0" xfId="1" applyFont="1" applyFill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 applyFill="1"/>
    <xf numFmtId="0" fontId="32" fillId="0" borderId="52" xfId="1" applyFont="1" applyFill="1" applyBorder="1"/>
    <xf numFmtId="0" fontId="19" fillId="0" borderId="54" xfId="1" applyFont="1" applyFill="1" applyBorder="1"/>
    <xf numFmtId="0" fontId="32" fillId="0" borderId="54" xfId="1" applyFont="1" applyFill="1" applyBorder="1"/>
    <xf numFmtId="0" fontId="33" fillId="0" borderId="0" xfId="1" applyFont="1" applyFill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Border="1" applyAlignment="1">
      <alignment horizontal="left"/>
    </xf>
    <xf numFmtId="0" fontId="30" fillId="5" borderId="0" xfId="1" applyFont="1" applyFill="1" applyBorder="1"/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Fill="1" applyBorder="1"/>
    <xf numFmtId="0" fontId="19" fillId="0" borderId="21" xfId="1" applyFont="1" applyFill="1" applyBorder="1"/>
    <xf numFmtId="0" fontId="32" fillId="0" borderId="21" xfId="1" applyFont="1" applyFill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Fill="1" applyBorder="1"/>
    <xf numFmtId="0" fontId="32" fillId="0" borderId="24" xfId="1" applyFont="1" applyFill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Fill="1" applyBorder="1"/>
    <xf numFmtId="0" fontId="19" fillId="0" borderId="24" xfId="1" applyFont="1" applyFill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Fill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4" fillId="0" borderId="24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Fill="1" applyBorder="1"/>
    <xf numFmtId="0" fontId="33" fillId="0" borderId="79" xfId="1" applyFont="1" applyFill="1" applyBorder="1"/>
    <xf numFmtId="0" fontId="33" fillId="0" borderId="87" xfId="1" applyFont="1" applyFill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3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 applyFill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43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8" fillId="0" borderId="0" xfId="1" applyFont="1" applyFill="1" applyAlignment="1">
      <alignment horizontal="right"/>
    </xf>
    <xf numFmtId="2" fontId="33" fillId="0" borderId="0" xfId="2" applyNumberFormat="1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3" fillId="0" borderId="0" xfId="1" applyFont="1" applyFill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 applyFill="1"/>
    <xf numFmtId="0" fontId="36" fillId="0" borderId="116" xfId="1" applyFont="1" applyFill="1" applyBorder="1"/>
    <xf numFmtId="0" fontId="36" fillId="5" borderId="119" xfId="1" applyFont="1" applyFill="1" applyBorder="1"/>
    <xf numFmtId="0" fontId="30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0" fillId="0" borderId="23" xfId="1" applyFont="1" applyFill="1" applyBorder="1"/>
    <xf numFmtId="0" fontId="30" fillId="5" borderId="125" xfId="1" applyFont="1" applyFill="1" applyBorder="1" applyAlignment="1">
      <alignment horizontal="left"/>
    </xf>
    <xf numFmtId="0" fontId="30" fillId="5" borderId="126" xfId="1" applyFont="1" applyFill="1" applyBorder="1" applyAlignment="1">
      <alignment horizontal="left"/>
    </xf>
    <xf numFmtId="0" fontId="30" fillId="0" borderId="0" xfId="1" applyFont="1" applyFill="1"/>
    <xf numFmtId="0" fontId="30" fillId="0" borderId="0" xfId="1" applyFont="1" applyFill="1" applyBorder="1"/>
    <xf numFmtId="0" fontId="19" fillId="5" borderId="68" xfId="1" applyFont="1" applyFill="1" applyBorder="1" applyAlignment="1">
      <alignment horizontal="left"/>
    </xf>
    <xf numFmtId="0" fontId="50" fillId="5" borderId="120" xfId="2" applyFont="1" applyFill="1" applyBorder="1" applyAlignment="1">
      <alignment horizontal="center"/>
    </xf>
    <xf numFmtId="14" fontId="19" fillId="5" borderId="124" xfId="2" applyNumberFormat="1" applyFont="1" applyFill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7" fontId="2" fillId="0" borderId="36" xfId="0" applyNumberFormat="1" applyFont="1" applyFill="1" applyBorder="1" applyAlignment="1">
      <alignment horizontal="center"/>
    </xf>
    <xf numFmtId="167" fontId="2" fillId="0" borderId="131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7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7" fontId="2" fillId="0" borderId="0" xfId="0" applyNumberFormat="1" applyFont="1" applyFill="1" applyBorder="1" applyAlignment="1">
      <alignment horizontal="centerContinuous"/>
    </xf>
    <xf numFmtId="167" fontId="2" fillId="0" borderId="0" xfId="0" applyNumberFormat="1" applyFont="1" applyBorder="1" applyAlignment="1">
      <alignment horizontal="centerContinuous"/>
    </xf>
    <xf numFmtId="167" fontId="2" fillId="0" borderId="23" xfId="0" applyNumberFormat="1" applyFont="1" applyFill="1" applyBorder="1" applyAlignment="1">
      <alignment horizontal="centerContinuous"/>
    </xf>
    <xf numFmtId="0" fontId="6" fillId="0" borderId="0" xfId="3" applyFont="1" applyAlignment="1">
      <alignment horizontal="right"/>
    </xf>
    <xf numFmtId="0" fontId="1" fillId="0" borderId="0" xfId="3"/>
    <xf numFmtId="0" fontId="24" fillId="0" borderId="0" xfId="3" applyFont="1"/>
    <xf numFmtId="0" fontId="54" fillId="0" borderId="0" xfId="3" applyFont="1"/>
    <xf numFmtId="0" fontId="55" fillId="0" borderId="26" xfId="3" applyFont="1" applyBorder="1" applyAlignment="1">
      <alignment horizontal="center"/>
    </xf>
    <xf numFmtId="0" fontId="55" fillId="0" borderId="28" xfId="3" applyFont="1" applyBorder="1" applyAlignment="1">
      <alignment horizontal="center"/>
    </xf>
    <xf numFmtId="0" fontId="54" fillId="0" borderId="1" xfId="3" applyFont="1" applyBorder="1" applyAlignment="1">
      <alignment horizontal="center"/>
    </xf>
    <xf numFmtId="0" fontId="55" fillId="0" borderId="1" xfId="3" applyFont="1" applyBorder="1" applyAlignment="1">
      <alignment horizontal="right"/>
    </xf>
    <xf numFmtId="0" fontId="55" fillId="0" borderId="1" xfId="3" applyFont="1" applyBorder="1" applyAlignment="1">
      <alignment horizontal="center"/>
    </xf>
    <xf numFmtId="0" fontId="54" fillId="0" borderId="128" xfId="3" applyFont="1" applyBorder="1" applyAlignment="1">
      <alignment horizontal="center"/>
    </xf>
    <xf numFmtId="0" fontId="54" fillId="0" borderId="129" xfId="3" quotePrefix="1" applyFont="1" applyBorder="1" applyAlignment="1">
      <alignment horizontal="center"/>
    </xf>
    <xf numFmtId="0" fontId="54" fillId="0" borderId="129" xfId="3" applyFont="1" applyBorder="1" applyAlignment="1">
      <alignment horizontal="center"/>
    </xf>
    <xf numFmtId="0" fontId="55" fillId="0" borderId="0" xfId="3" applyFont="1" applyAlignment="1">
      <alignment horizontal="right"/>
    </xf>
    <xf numFmtId="0" fontId="54" fillId="0" borderId="62" xfId="3" applyFont="1" applyBorder="1" applyAlignment="1">
      <alignment horizontal="center"/>
    </xf>
    <xf numFmtId="0" fontId="57" fillId="0" borderId="61" xfId="3" applyFont="1" applyBorder="1"/>
    <xf numFmtId="0" fontId="57" fillId="0" borderId="62" xfId="3" applyFont="1" applyBorder="1"/>
    <xf numFmtId="0" fontId="57" fillId="0" borderId="38" xfId="3" applyFont="1" applyBorder="1"/>
    <xf numFmtId="0" fontId="58" fillId="0" borderId="83" xfId="3" applyFont="1" applyBorder="1" applyAlignment="1">
      <alignment horizontal="centerContinuous"/>
    </xf>
    <xf numFmtId="0" fontId="57" fillId="0" borderId="0" xfId="3" applyFont="1" applyBorder="1" applyAlignment="1">
      <alignment horizontal="centerContinuous"/>
    </xf>
    <xf numFmtId="0" fontId="57" fillId="0" borderId="108" xfId="3" applyFont="1" applyBorder="1" applyAlignment="1">
      <alignment horizontal="centerContinuous"/>
    </xf>
    <xf numFmtId="0" fontId="57" fillId="0" borderId="83" xfId="3" applyFont="1" applyBorder="1"/>
    <xf numFmtId="0" fontId="57" fillId="0" borderId="0" xfId="3" applyFont="1" applyBorder="1"/>
    <xf numFmtId="0" fontId="57" fillId="0" borderId="108" xfId="3" applyFont="1" applyBorder="1"/>
    <xf numFmtId="0" fontId="61" fillId="0" borderId="1" xfId="3" applyFont="1" applyBorder="1" applyAlignment="1">
      <alignment horizontal="right"/>
    </xf>
    <xf numFmtId="0" fontId="57" fillId="0" borderId="1" xfId="3" applyFont="1" applyBorder="1" applyAlignment="1">
      <alignment horizontal="center"/>
    </xf>
    <xf numFmtId="14" fontId="57" fillId="0" borderId="1" xfId="3" applyNumberFormat="1" applyFont="1" applyBorder="1" applyAlignment="1">
      <alignment horizontal="center"/>
    </xf>
    <xf numFmtId="0" fontId="61" fillId="0" borderId="0" xfId="3" applyFont="1" applyBorder="1" applyAlignment="1">
      <alignment horizontal="right"/>
    </xf>
    <xf numFmtId="0" fontId="57" fillId="0" borderId="0" xfId="3" applyFont="1" applyBorder="1" applyAlignment="1">
      <alignment horizontal="center"/>
    </xf>
    <xf numFmtId="9" fontId="57" fillId="0" borderId="0" xfId="3" applyNumberFormat="1" applyFont="1" applyBorder="1" applyAlignment="1">
      <alignment horizontal="center"/>
    </xf>
    <xf numFmtId="0" fontId="61" fillId="0" borderId="83" xfId="3" applyFont="1" applyBorder="1" applyAlignment="1">
      <alignment horizontal="right"/>
    </xf>
    <xf numFmtId="0" fontId="57" fillId="0" borderId="40" xfId="3" applyFont="1" applyBorder="1"/>
    <xf numFmtId="0" fontId="57" fillId="0" borderId="39" xfId="3" applyFont="1" applyBorder="1" applyAlignment="1">
      <alignment horizontal="center"/>
    </xf>
    <xf numFmtId="0" fontId="57" fillId="0" borderId="85" xfId="3" applyFont="1" applyBorder="1"/>
    <xf numFmtId="0" fontId="61" fillId="0" borderId="17" xfId="3" applyFont="1" applyBorder="1" applyAlignment="1">
      <alignment horizontal="right"/>
    </xf>
    <xf numFmtId="0" fontId="57" fillId="0" borderId="129" xfId="3" applyFont="1" applyBorder="1"/>
    <xf numFmtId="0" fontId="62" fillId="0" borderId="0" xfId="3" applyFont="1"/>
    <xf numFmtId="0" fontId="1" fillId="0" borderId="0" xfId="3" applyBorder="1"/>
    <xf numFmtId="0" fontId="63" fillId="0" borderId="0" xfId="3" applyFont="1" applyFill="1" applyBorder="1"/>
    <xf numFmtId="0" fontId="1" fillId="0" borderId="0" xfId="3" applyFont="1" applyFill="1" applyBorder="1"/>
    <xf numFmtId="0" fontId="2" fillId="0" borderId="1" xfId="3" applyFont="1" applyBorder="1" applyAlignment="1">
      <alignment horizontal="center"/>
    </xf>
    <xf numFmtId="1" fontId="2" fillId="5" borderId="1" xfId="3" applyNumberFormat="1" applyFont="1" applyFill="1" applyBorder="1" applyAlignment="1">
      <alignment horizontal="center"/>
    </xf>
    <xf numFmtId="2" fontId="2" fillId="5" borderId="1" xfId="3" applyNumberFormat="1" applyFont="1" applyFill="1" applyBorder="1" applyAlignment="1">
      <alignment horizontal="center"/>
    </xf>
    <xf numFmtId="0" fontId="2" fillId="5" borderId="1" xfId="3" applyFont="1" applyFill="1" applyBorder="1" applyAlignment="1">
      <alignment horizontal="center"/>
    </xf>
    <xf numFmtId="0" fontId="59" fillId="0" borderId="83" xfId="3" applyFont="1" applyBorder="1" applyAlignment="1">
      <alignment horizontal="centerContinuous"/>
    </xf>
    <xf numFmtId="0" fontId="18" fillId="0" borderId="0" xfId="3" applyFont="1"/>
    <xf numFmtId="0" fontId="2" fillId="0" borderId="44" xfId="3" applyFont="1" applyBorder="1" applyAlignment="1">
      <alignment horizontal="center"/>
    </xf>
    <xf numFmtId="0" fontId="2" fillId="0" borderId="54" xfId="3" applyFont="1" applyBorder="1" applyAlignment="1">
      <alignment horizontal="center"/>
    </xf>
    <xf numFmtId="167" fontId="3" fillId="0" borderId="132" xfId="3" quotePrefix="1" applyNumberFormat="1" applyFont="1" applyBorder="1" applyAlignment="1">
      <alignment horizontal="center"/>
    </xf>
    <xf numFmtId="167" fontId="2" fillId="0" borderId="39" xfId="3" applyNumberFormat="1" applyFont="1" applyBorder="1" applyAlignment="1">
      <alignment horizontal="center"/>
    </xf>
    <xf numFmtId="167" fontId="2" fillId="0" borderId="28" xfId="3" applyNumberFormat="1" applyFont="1" applyBorder="1" applyAlignment="1">
      <alignment horizontal="center"/>
    </xf>
    <xf numFmtId="167" fontId="2" fillId="0" borderId="133" xfId="3" applyNumberFormat="1" applyFont="1" applyBorder="1" applyAlignment="1">
      <alignment horizontal="center"/>
    </xf>
    <xf numFmtId="167" fontId="3" fillId="0" borderId="134" xfId="3" quotePrefix="1" applyNumberFormat="1" applyFont="1" applyBorder="1" applyAlignment="1">
      <alignment horizontal="center"/>
    </xf>
    <xf numFmtId="167" fontId="2" fillId="0" borderId="129" xfId="3" applyNumberFormat="1" applyFont="1" applyBorder="1" applyAlignment="1">
      <alignment horizontal="center"/>
    </xf>
    <xf numFmtId="167" fontId="2" fillId="0" borderId="1" xfId="3" applyNumberFormat="1" applyFont="1" applyBorder="1" applyAlignment="1">
      <alignment horizontal="center"/>
    </xf>
    <xf numFmtId="167" fontId="2" fillId="0" borderId="9" xfId="3" applyNumberFormat="1" applyFont="1" applyBorder="1" applyAlignment="1">
      <alignment horizontal="center"/>
    </xf>
    <xf numFmtId="167" fontId="3" fillId="0" borderId="25" xfId="3" quotePrefix="1" applyNumberFormat="1" applyFont="1" applyBorder="1" applyAlignment="1">
      <alignment horizontal="center"/>
    </xf>
    <xf numFmtId="167" fontId="2" fillId="0" borderId="130" xfId="3" applyNumberFormat="1" applyFont="1" applyBorder="1" applyAlignment="1">
      <alignment horizontal="center"/>
    </xf>
    <xf numFmtId="167" fontId="2" fillId="0" borderId="11" xfId="3" applyNumberFormat="1" applyFont="1" applyBorder="1" applyAlignment="1">
      <alignment horizontal="center"/>
    </xf>
    <xf numFmtId="167" fontId="2" fillId="0" borderId="33" xfId="3" applyNumberFormat="1" applyFont="1" applyBorder="1" applyAlignment="1">
      <alignment horizontal="center"/>
    </xf>
    <xf numFmtId="167" fontId="3" fillId="0" borderId="0" xfId="3" quotePrefix="1" applyNumberFormat="1" applyFont="1" applyBorder="1" applyAlignment="1">
      <alignment horizontal="center"/>
    </xf>
    <xf numFmtId="167" fontId="2" fillId="0" borderId="0" xfId="3" applyNumberFormat="1" applyFont="1" applyBorder="1" applyAlignment="1">
      <alignment horizontal="center"/>
    </xf>
    <xf numFmtId="167" fontId="3" fillId="0" borderId="0" xfId="3" applyNumberFormat="1" applyFont="1" applyBorder="1" applyAlignment="1">
      <alignment horizontal="center"/>
    </xf>
    <xf numFmtId="167" fontId="3" fillId="0" borderId="0" xfId="0" quotePrefix="1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170" fontId="65" fillId="0" borderId="6" xfId="4" applyFont="1" applyBorder="1" applyAlignment="1" applyProtection="1">
      <alignment horizontal="centerContinuous"/>
    </xf>
    <xf numFmtId="170" fontId="65" fillId="0" borderId="7" xfId="4" applyFont="1" applyBorder="1" applyAlignment="1">
      <alignment horizontal="centerContinuous"/>
    </xf>
    <xf numFmtId="170" fontId="66" fillId="0" borderId="12" xfId="4" applyFont="1" applyBorder="1" applyAlignment="1" applyProtection="1">
      <alignment horizontal="left"/>
    </xf>
    <xf numFmtId="170" fontId="67" fillId="0" borderId="55" xfId="4" applyFont="1" applyBorder="1"/>
    <xf numFmtId="170" fontId="66" fillId="0" borderId="13" xfId="4" applyFont="1" applyBorder="1" applyAlignment="1">
      <alignment horizontal="centerContinuous"/>
    </xf>
    <xf numFmtId="170" fontId="67" fillId="0" borderId="14" xfId="4" applyFont="1" applyBorder="1" applyAlignment="1">
      <alignment horizontal="centerContinuous"/>
    </xf>
    <xf numFmtId="170" fontId="68" fillId="0" borderId="0" xfId="4" applyFont="1"/>
    <xf numFmtId="170" fontId="64" fillId="0" borderId="0" xfId="4"/>
    <xf numFmtId="170" fontId="65" fillId="0" borderId="45" xfId="4" applyFont="1" applyBorder="1" applyAlignment="1" applyProtection="1">
      <alignment horizontal="centerContinuous"/>
    </xf>
    <xf numFmtId="170" fontId="65" fillId="0" borderId="0" xfId="4" applyFont="1" applyBorder="1" applyAlignment="1">
      <alignment horizontal="centerContinuous"/>
    </xf>
    <xf numFmtId="170" fontId="66" fillId="0" borderId="109" xfId="4" applyFont="1" applyBorder="1" applyAlignment="1" applyProtection="1">
      <alignment horizontal="left"/>
    </xf>
    <xf numFmtId="170" fontId="67" fillId="0" borderId="39" xfId="4" applyFont="1" applyBorder="1"/>
    <xf numFmtId="170" fontId="66" fillId="0" borderId="40" xfId="4" applyFont="1" applyBorder="1" applyAlignment="1" applyProtection="1">
      <alignment horizontal="centerContinuous"/>
    </xf>
    <xf numFmtId="170" fontId="67" fillId="0" borderId="29" xfId="4" applyFont="1" applyBorder="1" applyAlignment="1">
      <alignment horizontal="centerContinuous"/>
    </xf>
    <xf numFmtId="170" fontId="67" fillId="0" borderId="45" xfId="4" applyFont="1" applyBorder="1" applyAlignment="1">
      <alignment horizontal="centerContinuous"/>
    </xf>
    <xf numFmtId="170" fontId="67" fillId="0" borderId="0" xfId="4" applyFont="1" applyBorder="1" applyAlignment="1">
      <alignment horizontal="centerContinuous"/>
    </xf>
    <xf numFmtId="170" fontId="66" fillId="0" borderId="40" xfId="4" quotePrefix="1" applyFont="1" applyBorder="1" applyAlignment="1">
      <alignment horizontal="centerContinuous"/>
    </xf>
    <xf numFmtId="170" fontId="69" fillId="0" borderId="45" xfId="4" applyFont="1" applyBorder="1" applyAlignment="1" applyProtection="1">
      <alignment horizontal="centerContinuous"/>
    </xf>
    <xf numFmtId="170" fontId="66" fillId="0" borderId="40" xfId="4" quotePrefix="1" applyFont="1" applyBorder="1" applyAlignment="1" applyProtection="1">
      <alignment horizontal="centerContinuous"/>
    </xf>
    <xf numFmtId="170" fontId="68" fillId="0" borderId="45" xfId="4" applyFont="1" applyBorder="1" applyAlignment="1">
      <alignment horizontal="centerContinuous"/>
    </xf>
    <xf numFmtId="170" fontId="66" fillId="0" borderId="40" xfId="4" applyFont="1" applyBorder="1" applyAlignment="1">
      <alignment horizontal="centerContinuous"/>
    </xf>
    <xf numFmtId="170" fontId="68" fillId="0" borderId="46" xfId="4" applyFont="1" applyBorder="1" applyAlignment="1" applyProtection="1">
      <alignment horizontal="centerContinuous"/>
    </xf>
    <xf numFmtId="170" fontId="67" fillId="0" borderId="23" xfId="4" applyFont="1" applyBorder="1" applyAlignment="1">
      <alignment horizontal="centerContinuous"/>
    </xf>
    <xf numFmtId="170" fontId="66" fillId="0" borderId="46" xfId="4" applyFont="1" applyBorder="1" applyAlignment="1" applyProtection="1">
      <alignment horizontal="left"/>
    </xf>
    <xf numFmtId="170" fontId="67" fillId="0" borderId="48" xfId="4" applyFont="1" applyBorder="1"/>
    <xf numFmtId="170" fontId="70" fillId="0" borderId="23" xfId="4" applyFont="1" applyBorder="1" applyAlignment="1">
      <alignment horizontal="centerContinuous"/>
    </xf>
    <xf numFmtId="170" fontId="67" fillId="0" borderId="24" xfId="4" applyFont="1" applyBorder="1" applyAlignment="1">
      <alignment horizontal="centerContinuous"/>
    </xf>
    <xf numFmtId="170" fontId="68" fillId="0" borderId="0" xfId="4" applyFont="1" applyBorder="1" applyAlignment="1" applyProtection="1">
      <alignment horizontal="centerContinuous"/>
    </xf>
    <xf numFmtId="170" fontId="66" fillId="0" borderId="0" xfId="4" applyFont="1" applyBorder="1" applyAlignment="1" applyProtection="1">
      <alignment horizontal="left"/>
    </xf>
    <xf numFmtId="170" fontId="67" fillId="0" borderId="0" xfId="4" applyFont="1" applyBorder="1"/>
    <xf numFmtId="170" fontId="66" fillId="0" borderId="0" xfId="4" applyFont="1" applyBorder="1" applyAlignment="1">
      <alignment horizontal="centerContinuous"/>
    </xf>
    <xf numFmtId="170" fontId="71" fillId="0" borderId="0" xfId="4" applyFont="1"/>
    <xf numFmtId="170" fontId="71" fillId="0" borderId="0" xfId="4" applyFont="1" applyAlignment="1" applyProtection="1">
      <alignment horizontal="right"/>
    </xf>
    <xf numFmtId="170" fontId="71" fillId="0" borderId="0" xfId="4" applyFont="1" applyAlignment="1" applyProtection="1">
      <alignment horizontal="left"/>
      <protection locked="0"/>
    </xf>
    <xf numFmtId="170" fontId="71" fillId="0" borderId="0" xfId="4" applyFont="1" applyBorder="1" applyAlignment="1">
      <alignment horizontal="centerContinuous"/>
    </xf>
    <xf numFmtId="170" fontId="71" fillId="0" borderId="0" xfId="4" applyFont="1" applyBorder="1" applyAlignment="1" applyProtection="1">
      <alignment horizontal="left"/>
    </xf>
    <xf numFmtId="170" fontId="71" fillId="0" borderId="0" xfId="4" applyFont="1" applyBorder="1"/>
    <xf numFmtId="170" fontId="71" fillId="0" borderId="0" xfId="4" quotePrefix="1" applyFont="1" applyAlignment="1" applyProtection="1">
      <alignment horizontal="left"/>
      <protection locked="0"/>
    </xf>
    <xf numFmtId="170" fontId="67" fillId="0" borderId="0" xfId="4" applyFont="1"/>
    <xf numFmtId="170" fontId="72" fillId="0" borderId="135" xfId="4" applyFont="1" applyBorder="1" applyAlignment="1" applyProtection="1">
      <alignment horizontal="centerContinuous"/>
    </xf>
    <xf numFmtId="170" fontId="68" fillId="0" borderId="136" xfId="4" applyFont="1" applyBorder="1" applyAlignment="1">
      <alignment horizontal="centerContinuous"/>
    </xf>
    <xf numFmtId="170" fontId="68" fillId="0" borderId="137" xfId="4" applyFont="1" applyBorder="1" applyAlignment="1">
      <alignment horizontal="centerContinuous"/>
    </xf>
    <xf numFmtId="170" fontId="71" fillId="0" borderId="45" xfId="4" applyFont="1" applyBorder="1"/>
    <xf numFmtId="170" fontId="71" fillId="0" borderId="0" xfId="4" applyFont="1" applyBorder="1" applyAlignment="1" applyProtection="1">
      <alignment horizontal="right"/>
    </xf>
    <xf numFmtId="170" fontId="71" fillId="0" borderId="0" xfId="4" applyFont="1" applyBorder="1" applyAlignment="1" applyProtection="1">
      <alignment horizontal="center"/>
      <protection locked="0"/>
    </xf>
    <xf numFmtId="170" fontId="71" fillId="0" borderId="21" xfId="4" applyFont="1" applyBorder="1" applyAlignment="1" applyProtection="1">
      <alignment horizontal="center"/>
      <protection locked="0"/>
    </xf>
    <xf numFmtId="170" fontId="66" fillId="0" borderId="0" xfId="4" applyFont="1" applyBorder="1" applyAlignment="1" applyProtection="1">
      <alignment horizontal="right"/>
    </xf>
    <xf numFmtId="170" fontId="71" fillId="0" borderId="0" xfId="4" quotePrefix="1" applyFont="1" applyBorder="1" applyAlignment="1" applyProtection="1">
      <alignment horizontal="right"/>
    </xf>
    <xf numFmtId="170" fontId="71" fillId="0" borderId="0" xfId="4" quotePrefix="1" applyFont="1" applyBorder="1" applyAlignment="1" applyProtection="1">
      <alignment horizontal="center"/>
      <protection locked="0"/>
    </xf>
    <xf numFmtId="170" fontId="71" fillId="0" borderId="0" xfId="4" applyFont="1" applyBorder="1" applyAlignment="1" applyProtection="1">
      <alignment horizontal="left"/>
      <protection locked="0"/>
    </xf>
    <xf numFmtId="170" fontId="71" fillId="0" borderId="0" xfId="4" applyFont="1" applyBorder="1" applyAlignment="1">
      <alignment horizontal="center"/>
    </xf>
    <xf numFmtId="170" fontId="71" fillId="0" borderId="21" xfId="4" applyFont="1" applyBorder="1"/>
    <xf numFmtId="170" fontId="71" fillId="0" borderId="46" xfId="4" applyFont="1" applyBorder="1"/>
    <xf numFmtId="170" fontId="71" fillId="0" borderId="23" xfId="4" applyFont="1" applyBorder="1" applyAlignment="1" applyProtection="1">
      <alignment horizontal="right"/>
    </xf>
    <xf numFmtId="167" fontId="71" fillId="0" borderId="23" xfId="4" quotePrefix="1" applyNumberFormat="1" applyFont="1" applyBorder="1" applyAlignment="1" applyProtection="1">
      <alignment horizontal="center"/>
      <protection locked="0"/>
    </xf>
    <xf numFmtId="170" fontId="71" fillId="0" borderId="23" xfId="4" applyFont="1" applyBorder="1"/>
    <xf numFmtId="170" fontId="71" fillId="0" borderId="23" xfId="4" applyFont="1" applyBorder="1" applyAlignment="1">
      <alignment horizontal="right"/>
    </xf>
    <xf numFmtId="167" fontId="71" fillId="0" borderId="23" xfId="4" applyNumberFormat="1" applyFont="1" applyBorder="1" applyProtection="1"/>
    <xf numFmtId="170" fontId="71" fillId="0" borderId="24" xfId="4" applyFont="1" applyBorder="1"/>
    <xf numFmtId="170" fontId="73" fillId="0" borderId="45" xfId="4" quotePrefix="1" applyFont="1" applyBorder="1" applyAlignment="1">
      <alignment horizontal="left"/>
    </xf>
    <xf numFmtId="170" fontId="67" fillId="0" borderId="0" xfId="4" quotePrefix="1" applyFont="1" applyBorder="1" applyAlignment="1" applyProtection="1">
      <alignment horizontal="right"/>
    </xf>
    <xf numFmtId="170" fontId="67" fillId="0" borderId="108" xfId="4" applyFont="1" applyBorder="1"/>
    <xf numFmtId="170" fontId="73" fillId="0" borderId="0" xfId="4" applyFont="1" applyBorder="1" applyAlignment="1" applyProtection="1">
      <alignment horizontal="left"/>
    </xf>
    <xf numFmtId="170" fontId="67" fillId="0" borderId="0" xfId="4" applyFont="1" applyBorder="1" applyAlignment="1" applyProtection="1">
      <alignment horizontal="right"/>
    </xf>
    <xf numFmtId="170" fontId="67" fillId="0" borderId="108" xfId="4" applyFont="1" applyBorder="1" applyAlignment="1" applyProtection="1">
      <alignment horizontal="right"/>
    </xf>
    <xf numFmtId="170" fontId="73" fillId="0" borderId="0" xfId="4" quotePrefix="1" applyFont="1" applyBorder="1" applyAlignment="1" applyProtection="1">
      <alignment horizontal="left"/>
    </xf>
    <xf numFmtId="170" fontId="67" fillId="0" borderId="0" xfId="4" applyFont="1" applyBorder="1" applyAlignment="1">
      <alignment horizontal="right"/>
    </xf>
    <xf numFmtId="170" fontId="67" fillId="0" borderId="21" xfId="4" applyFont="1" applyBorder="1"/>
    <xf numFmtId="170" fontId="64" fillId="0" borderId="45" xfId="4" applyBorder="1"/>
    <xf numFmtId="170" fontId="71" fillId="0" borderId="0" xfId="4" applyFont="1" applyBorder="1" applyAlignment="1">
      <alignment horizontal="right"/>
    </xf>
    <xf numFmtId="170" fontId="71" fillId="0" borderId="108" xfId="4" applyFont="1" applyBorder="1" applyAlignment="1" applyProtection="1">
      <alignment horizontal="center"/>
      <protection locked="0"/>
    </xf>
    <xf numFmtId="1" fontId="71" fillId="0" borderId="108" xfId="4" applyNumberFormat="1" applyFont="1" applyBorder="1" applyAlignment="1">
      <alignment horizontal="center"/>
    </xf>
    <xf numFmtId="170" fontId="71" fillId="0" borderId="0" xfId="4" applyFont="1" applyBorder="1" applyAlignment="1">
      <alignment horizontal="left"/>
    </xf>
    <xf numFmtId="170" fontId="71" fillId="0" borderId="108" xfId="4" applyFont="1" applyBorder="1"/>
    <xf numFmtId="170" fontId="71" fillId="0" borderId="48" xfId="4" applyFont="1" applyBorder="1"/>
    <xf numFmtId="170" fontId="71" fillId="0" borderId="48" xfId="4" applyFont="1" applyBorder="1" applyAlignment="1">
      <alignment horizontal="left"/>
    </xf>
    <xf numFmtId="170" fontId="68" fillId="0" borderId="0" xfId="4" applyFont="1" applyBorder="1" applyAlignment="1">
      <alignment horizontal="centerContinuous"/>
    </xf>
    <xf numFmtId="170" fontId="68" fillId="0" borderId="0" xfId="4" applyFont="1" applyBorder="1"/>
    <xf numFmtId="170" fontId="72" fillId="0" borderId="138" xfId="4" applyFont="1" applyBorder="1" applyAlignment="1" applyProtection="1">
      <alignment horizontal="centerContinuous"/>
    </xf>
    <xf numFmtId="170" fontId="68" fillId="0" borderId="139" xfId="4" applyFont="1" applyBorder="1" applyAlignment="1">
      <alignment horizontal="centerContinuous"/>
    </xf>
    <xf numFmtId="170" fontId="64" fillId="0" borderId="140" xfId="4" applyBorder="1"/>
    <xf numFmtId="170" fontId="68" fillId="0" borderId="141" xfId="4" applyFont="1" applyBorder="1" applyAlignment="1">
      <alignment horizontal="centerContinuous"/>
    </xf>
    <xf numFmtId="170" fontId="73" fillId="0" borderId="45" xfId="4" applyFont="1" applyBorder="1" applyAlignment="1">
      <alignment horizontal="left"/>
    </xf>
    <xf numFmtId="170" fontId="64" fillId="0" borderId="108" xfId="4" applyBorder="1"/>
    <xf numFmtId="167" fontId="71" fillId="0" borderId="0" xfId="4" applyNumberFormat="1" applyFont="1" applyBorder="1" applyAlignment="1" applyProtection="1">
      <alignment horizontal="center"/>
      <protection locked="0"/>
    </xf>
    <xf numFmtId="170" fontId="71" fillId="0" borderId="45" xfId="4" applyFont="1" applyBorder="1" applyAlignment="1">
      <alignment horizontal="left"/>
    </xf>
    <xf numFmtId="170" fontId="64" fillId="0" borderId="48" xfId="4" applyBorder="1"/>
    <xf numFmtId="170" fontId="68" fillId="0" borderId="0" xfId="4" applyFont="1" applyBorder="1" applyAlignment="1">
      <alignment horizontal="left"/>
    </xf>
    <xf numFmtId="170" fontId="68" fillId="0" borderId="0" xfId="4" applyFont="1" applyAlignment="1">
      <alignment horizontal="left"/>
    </xf>
    <xf numFmtId="170" fontId="68" fillId="0" borderId="138" xfId="4" applyFont="1" applyBorder="1"/>
    <xf numFmtId="170" fontId="67" fillId="0" borderId="139" xfId="4" applyFont="1" applyBorder="1" applyAlignment="1">
      <alignment horizontal="left"/>
    </xf>
    <xf numFmtId="170" fontId="67" fillId="0" borderId="141" xfId="4" applyFont="1" applyBorder="1" applyAlignment="1">
      <alignment horizontal="left"/>
    </xf>
    <xf numFmtId="170" fontId="71" fillId="0" borderId="45" xfId="4" quotePrefix="1" applyFont="1" applyBorder="1" applyAlignment="1">
      <alignment horizontal="left"/>
    </xf>
    <xf numFmtId="170" fontId="71" fillId="0" borderId="21" xfId="4" applyFont="1" applyBorder="1" applyAlignment="1">
      <alignment horizontal="left"/>
    </xf>
    <xf numFmtId="170" fontId="71" fillId="0" borderId="142" xfId="4" applyFont="1" applyBorder="1" applyAlignment="1">
      <alignment horizontal="left"/>
    </xf>
    <xf numFmtId="170" fontId="71" fillId="0" borderId="143" xfId="4" applyFont="1" applyBorder="1" applyAlignment="1">
      <alignment horizontal="left"/>
    </xf>
    <xf numFmtId="170" fontId="71" fillId="0" borderId="144" xfId="4" applyFont="1" applyBorder="1" applyAlignment="1">
      <alignment horizontal="left"/>
    </xf>
    <xf numFmtId="170" fontId="71" fillId="0" borderId="145" xfId="4" applyFont="1" applyBorder="1" applyAlignment="1">
      <alignment horizontal="left"/>
    </xf>
    <xf numFmtId="170" fontId="71" fillId="0" borderId="146" xfId="4" applyFont="1" applyBorder="1" applyAlignment="1">
      <alignment horizontal="left"/>
    </xf>
    <xf numFmtId="170" fontId="71" fillId="0" borderId="147" xfId="4" applyFont="1" applyBorder="1" applyAlignment="1">
      <alignment horizontal="left"/>
    </xf>
    <xf numFmtId="170" fontId="71" fillId="0" borderId="45" xfId="4" quotePrefix="1" applyFont="1" applyBorder="1" applyAlignment="1" applyProtection="1">
      <alignment horizontal="left"/>
    </xf>
    <xf numFmtId="170" fontId="71" fillId="0" borderId="0" xfId="4" quotePrefix="1" applyFont="1" applyBorder="1" applyAlignment="1" applyProtection="1">
      <alignment horizontal="left"/>
    </xf>
    <xf numFmtId="170" fontId="71" fillId="0" borderId="148" xfId="4" applyFont="1" applyBorder="1" applyAlignment="1">
      <alignment horizontal="left"/>
    </xf>
    <xf numFmtId="170" fontId="71" fillId="0" borderId="149" xfId="4" applyFont="1" applyBorder="1" applyAlignment="1">
      <alignment horizontal="left"/>
    </xf>
    <xf numFmtId="170" fontId="71" fillId="0" borderId="150" xfId="4" applyFont="1" applyBorder="1" applyAlignment="1">
      <alignment horizontal="left"/>
    </xf>
    <xf numFmtId="170" fontId="67" fillId="0" borderId="0" xfId="4" applyFont="1" applyAlignment="1">
      <alignment horizontal="left"/>
    </xf>
    <xf numFmtId="170" fontId="74" fillId="0" borderId="0" xfId="4" applyFont="1" applyAlignment="1" applyProtection="1">
      <alignment horizontal="right"/>
    </xf>
    <xf numFmtId="170" fontId="64" fillId="0" borderId="0" xfId="4" applyAlignment="1">
      <alignment horizontal="right"/>
    </xf>
    <xf numFmtId="170" fontId="65" fillId="0" borderId="6" xfId="5" applyNumberFormat="1" applyFont="1" applyBorder="1" applyAlignment="1" applyProtection="1">
      <alignment horizontal="centerContinuous"/>
    </xf>
    <xf numFmtId="170" fontId="65" fillId="0" borderId="7" xfId="5" applyNumberFormat="1" applyFont="1" applyBorder="1" applyAlignment="1">
      <alignment horizontal="centerContinuous"/>
    </xf>
    <xf numFmtId="170" fontId="66" fillId="0" borderId="12" xfId="5" applyNumberFormat="1" applyFont="1" applyBorder="1" applyAlignment="1" applyProtection="1">
      <alignment horizontal="left"/>
    </xf>
    <xf numFmtId="170" fontId="67" fillId="0" borderId="55" xfId="5" applyNumberFormat="1" applyFont="1" applyBorder="1"/>
    <xf numFmtId="170" fontId="66" fillId="0" borderId="13" xfId="5" applyNumberFormat="1" applyFont="1" applyBorder="1" applyAlignment="1">
      <alignment horizontal="centerContinuous"/>
    </xf>
    <xf numFmtId="170" fontId="67" fillId="0" borderId="14" xfId="5" applyNumberFormat="1" applyFont="1" applyBorder="1" applyAlignment="1">
      <alignment horizontal="centerContinuous"/>
    </xf>
    <xf numFmtId="170" fontId="76" fillId="0" borderId="0" xfId="5" applyNumberFormat="1"/>
    <xf numFmtId="170" fontId="65" fillId="0" borderId="45" xfId="5" applyNumberFormat="1" applyFont="1" applyBorder="1" applyAlignment="1" applyProtection="1">
      <alignment horizontal="centerContinuous"/>
    </xf>
    <xf numFmtId="170" fontId="65" fillId="0" borderId="0" xfId="5" applyNumberFormat="1" applyFont="1" applyBorder="1" applyAlignment="1">
      <alignment horizontal="centerContinuous"/>
    </xf>
    <xf numFmtId="170" fontId="66" fillId="0" borderId="109" xfId="5" applyNumberFormat="1" applyFont="1" applyBorder="1" applyAlignment="1" applyProtection="1">
      <alignment horizontal="left"/>
    </xf>
    <xf numFmtId="170" fontId="67" fillId="0" borderId="39" xfId="5" applyNumberFormat="1" applyFont="1" applyBorder="1"/>
    <xf numFmtId="170" fontId="66" fillId="0" borderId="40" xfId="5" applyNumberFormat="1" applyFont="1" applyBorder="1" applyAlignment="1" applyProtection="1">
      <alignment horizontal="centerContinuous"/>
    </xf>
    <xf numFmtId="170" fontId="67" fillId="0" borderId="29" xfId="5" applyNumberFormat="1" applyFont="1" applyBorder="1" applyAlignment="1">
      <alignment horizontal="centerContinuous"/>
    </xf>
    <xf numFmtId="170" fontId="67" fillId="0" borderId="45" xfId="5" applyNumberFormat="1" applyFont="1" applyBorder="1" applyAlignment="1">
      <alignment horizontal="centerContinuous"/>
    </xf>
    <xf numFmtId="170" fontId="67" fillId="0" borderId="0" xfId="5" applyNumberFormat="1" applyFont="1" applyBorder="1" applyAlignment="1">
      <alignment horizontal="centerContinuous"/>
    </xf>
    <xf numFmtId="170" fontId="68" fillId="0" borderId="45" xfId="5" applyNumberFormat="1" applyFont="1" applyBorder="1" applyAlignment="1">
      <alignment horizontal="centerContinuous"/>
    </xf>
    <xf numFmtId="170" fontId="66" fillId="0" borderId="40" xfId="5" applyNumberFormat="1" applyFont="1" applyBorder="1" applyAlignment="1">
      <alignment horizontal="centerContinuous"/>
    </xf>
    <xf numFmtId="170" fontId="78" fillId="0" borderId="46" xfId="5" applyNumberFormat="1" applyFont="1" applyBorder="1" applyAlignment="1" applyProtection="1">
      <alignment horizontal="centerContinuous"/>
    </xf>
    <xf numFmtId="170" fontId="67" fillId="0" borderId="23" xfId="5" applyNumberFormat="1" applyFont="1" applyBorder="1" applyAlignment="1">
      <alignment horizontal="centerContinuous"/>
    </xf>
    <xf numFmtId="170" fontId="66" fillId="0" borderId="46" xfId="5" applyNumberFormat="1" applyFont="1" applyBorder="1" applyAlignment="1" applyProtection="1">
      <alignment horizontal="left"/>
    </xf>
    <xf numFmtId="170" fontId="67" fillId="0" borderId="48" xfId="5" applyNumberFormat="1" applyFont="1" applyBorder="1"/>
    <xf numFmtId="170" fontId="79" fillId="0" borderId="23" xfId="5" applyNumberFormat="1" applyFont="1" applyBorder="1" applyAlignment="1">
      <alignment horizontal="centerContinuous"/>
    </xf>
    <xf numFmtId="170" fontId="67" fillId="0" borderId="24" xfId="5" applyNumberFormat="1" applyFont="1" applyBorder="1" applyAlignment="1">
      <alignment horizontal="centerContinuous"/>
    </xf>
    <xf numFmtId="170" fontId="67" fillId="0" borderId="0" xfId="5" applyNumberFormat="1" applyFont="1"/>
    <xf numFmtId="170" fontId="67" fillId="0" borderId="0" xfId="5" applyNumberFormat="1" applyFont="1" applyAlignment="1">
      <alignment horizontal="centerContinuous"/>
    </xf>
    <xf numFmtId="170" fontId="72" fillId="0" borderId="0" xfId="5" applyNumberFormat="1" applyFont="1" applyBorder="1" applyAlignment="1" applyProtection="1">
      <alignment horizontal="center"/>
    </xf>
    <xf numFmtId="170" fontId="71" fillId="0" borderId="0" xfId="5" applyNumberFormat="1" applyFont="1" applyBorder="1" applyAlignment="1" applyProtection="1">
      <alignment horizontal="center"/>
    </xf>
    <xf numFmtId="167" fontId="71" fillId="0" borderId="0" xfId="5" applyNumberFormat="1" applyFont="1" applyBorder="1" applyAlignment="1">
      <alignment horizontal="center"/>
    </xf>
    <xf numFmtId="167" fontId="71" fillId="0" borderId="0" xfId="5" quotePrefix="1" applyNumberFormat="1" applyFont="1" applyBorder="1" applyAlignment="1">
      <alignment horizontal="center"/>
    </xf>
    <xf numFmtId="1" fontId="71" fillId="0" borderId="0" xfId="5" applyNumberFormat="1" applyFont="1" applyBorder="1" applyAlignment="1">
      <alignment horizontal="center"/>
    </xf>
    <xf numFmtId="1" fontId="71" fillId="0" borderId="0" xfId="5" quotePrefix="1" applyNumberFormat="1" applyFont="1" applyBorder="1" applyAlignment="1">
      <alignment horizontal="center"/>
    </xf>
    <xf numFmtId="170" fontId="81" fillId="0" borderId="152" xfId="5" applyNumberFormat="1" applyFont="1" applyBorder="1" applyAlignment="1" applyProtection="1">
      <alignment horizontal="right"/>
    </xf>
    <xf numFmtId="170" fontId="80" fillId="0" borderId="128" xfId="5" applyNumberFormat="1" applyFont="1" applyBorder="1" applyAlignment="1">
      <alignment horizontal="right"/>
    </xf>
    <xf numFmtId="167" fontId="80" fillId="0" borderId="128" xfId="5" applyNumberFormat="1" applyFont="1" applyBorder="1" applyAlignment="1" applyProtection="1">
      <alignment horizontal="right"/>
    </xf>
    <xf numFmtId="167" fontId="23" fillId="0" borderId="128" xfId="5" applyNumberFormat="1" applyFont="1" applyBorder="1" applyAlignment="1" applyProtection="1">
      <alignment horizontal="left"/>
    </xf>
    <xf numFmtId="167" fontId="23" fillId="0" borderId="128" xfId="5" applyNumberFormat="1" applyFont="1" applyBorder="1" applyAlignment="1" applyProtection="1">
      <alignment horizontal="center"/>
    </xf>
    <xf numFmtId="170" fontId="71" fillId="0" borderId="16" xfId="5" applyNumberFormat="1" applyFont="1" applyBorder="1" applyAlignment="1"/>
    <xf numFmtId="170" fontId="71" fillId="0" borderId="0" xfId="5" applyNumberFormat="1" applyFont="1" applyBorder="1" applyAlignment="1"/>
    <xf numFmtId="170" fontId="71" fillId="0" borderId="0" xfId="5" applyNumberFormat="1" applyFont="1" applyBorder="1" applyAlignment="1">
      <alignment horizontal="centerContinuous"/>
    </xf>
    <xf numFmtId="170" fontId="82" fillId="0" borderId="0" xfId="5" applyNumberFormat="1" applyFont="1" applyBorder="1" applyAlignment="1">
      <alignment horizontal="center"/>
    </xf>
    <xf numFmtId="170" fontId="71" fillId="0" borderId="0" xfId="5" applyNumberFormat="1" applyFont="1" applyBorder="1" applyAlignment="1">
      <alignment horizontal="center"/>
    </xf>
    <xf numFmtId="170" fontId="67" fillId="0" borderId="0" xfId="5" applyNumberFormat="1" applyFont="1" applyFill="1" applyBorder="1"/>
    <xf numFmtId="170" fontId="76" fillId="0" borderId="0" xfId="5" applyNumberFormat="1" applyFill="1" applyBorder="1"/>
    <xf numFmtId="39" fontId="71" fillId="0" borderId="0" xfId="5" applyNumberFormat="1" applyFont="1" applyBorder="1" applyAlignment="1" applyProtection="1">
      <alignment horizontal="center"/>
    </xf>
    <xf numFmtId="170" fontId="68" fillId="0" borderId="0" xfId="6" applyNumberFormat="1" applyFont="1" applyFill="1" applyBorder="1" applyAlignment="1" applyProtection="1">
      <alignment horizontal="centerContinuous"/>
    </xf>
    <xf numFmtId="170" fontId="68" fillId="0" borderId="0" xfId="6" applyNumberFormat="1" applyFont="1" applyFill="1" applyBorder="1" applyAlignment="1">
      <alignment horizontal="centerContinuous"/>
    </xf>
    <xf numFmtId="170" fontId="71" fillId="0" borderId="0" xfId="6" applyNumberFormat="1" applyFont="1" applyFill="1" applyBorder="1" applyAlignment="1">
      <alignment horizontal="centerContinuous"/>
    </xf>
    <xf numFmtId="170" fontId="83" fillId="0" borderId="0" xfId="5" applyNumberFormat="1" applyFont="1" applyBorder="1" applyAlignment="1">
      <alignment horizontal="center"/>
    </xf>
    <xf numFmtId="1" fontId="80" fillId="0" borderId="128" xfId="5" applyNumberFormat="1" applyFont="1" applyBorder="1" applyAlignment="1">
      <alignment horizontal="right"/>
    </xf>
    <xf numFmtId="1" fontId="23" fillId="0" borderId="128" xfId="5" applyNumberFormat="1" applyFont="1" applyBorder="1" applyAlignment="1">
      <alignment horizontal="left"/>
    </xf>
    <xf numFmtId="1" fontId="23" fillId="0" borderId="128" xfId="5" applyNumberFormat="1" applyFont="1" applyBorder="1" applyAlignment="1">
      <alignment horizontal="center"/>
    </xf>
    <xf numFmtId="170" fontId="84" fillId="0" borderId="0" xfId="6" applyNumberFormat="1" applyFont="1" applyFill="1" applyBorder="1" applyAlignment="1" applyProtection="1">
      <alignment horizontal="center"/>
    </xf>
    <xf numFmtId="166" fontId="71" fillId="0" borderId="0" xfId="6" quotePrefix="1" applyNumberFormat="1" applyFont="1" applyFill="1" applyBorder="1" applyAlignment="1">
      <alignment horizontal="center"/>
    </xf>
    <xf numFmtId="166" fontId="71" fillId="0" borderId="0" xfId="6" applyNumberFormat="1" applyFont="1" applyFill="1" applyBorder="1" applyAlignment="1">
      <alignment horizontal="center"/>
    </xf>
    <xf numFmtId="170" fontId="23" fillId="0" borderId="128" xfId="5" applyNumberFormat="1" applyFont="1" applyBorder="1" applyAlignment="1">
      <alignment horizontal="left"/>
    </xf>
    <xf numFmtId="39" fontId="23" fillId="0" borderId="128" xfId="5" applyNumberFormat="1" applyFont="1" applyBorder="1" applyAlignment="1" applyProtection="1">
      <alignment horizontal="center"/>
    </xf>
    <xf numFmtId="170" fontId="82" fillId="0" borderId="16" xfId="5" applyNumberFormat="1" applyFont="1" applyBorder="1" applyAlignment="1">
      <alignment horizontal="center"/>
    </xf>
    <xf numFmtId="170" fontId="76" fillId="0" borderId="0" xfId="5" applyNumberFormat="1" applyBorder="1" applyAlignment="1"/>
    <xf numFmtId="170" fontId="72" fillId="0" borderId="0" xfId="6" applyNumberFormat="1" applyFont="1" applyFill="1" applyBorder="1" applyAlignment="1">
      <alignment horizontal="centerContinuous"/>
    </xf>
    <xf numFmtId="170" fontId="71" fillId="0" borderId="0" xfId="6" quotePrefix="1" applyNumberFormat="1" applyFont="1" applyFill="1" applyBorder="1" applyAlignment="1">
      <alignment horizontal="center"/>
    </xf>
    <xf numFmtId="173" fontId="71" fillId="0" borderId="0" xfId="6" quotePrefix="1" applyNumberFormat="1" applyFont="1" applyFill="1" applyBorder="1" applyAlignment="1">
      <alignment horizontal="centerContinuous"/>
    </xf>
    <xf numFmtId="170" fontId="71" fillId="0" borderId="0" xfId="5" applyNumberFormat="1" applyFont="1" applyBorder="1" applyAlignment="1" applyProtection="1">
      <alignment horizontal="left"/>
    </xf>
    <xf numFmtId="1" fontId="83" fillId="0" borderId="0" xfId="5" applyNumberFormat="1" applyFont="1" applyBorder="1" applyAlignment="1">
      <alignment horizontal="center"/>
    </xf>
    <xf numFmtId="170" fontId="83" fillId="0" borderId="0" xfId="5" applyNumberFormat="1" applyFont="1" applyBorder="1" applyAlignment="1"/>
    <xf numFmtId="170" fontId="68" fillId="0" borderId="0" xfId="6" applyNumberFormat="1" applyFont="1" applyFill="1" applyBorder="1" applyAlignment="1">
      <alignment horizontal="center"/>
    </xf>
    <xf numFmtId="170" fontId="67" fillId="0" borderId="0" xfId="5" applyNumberFormat="1" applyFont="1" applyFill="1" applyBorder="1" applyAlignment="1">
      <alignment horizontal="centerContinuous"/>
    </xf>
    <xf numFmtId="170" fontId="74" fillId="0" borderId="0" xfId="5" applyNumberFormat="1" applyFont="1" applyAlignment="1" applyProtection="1">
      <alignment horizontal="left"/>
    </xf>
    <xf numFmtId="170" fontId="67" fillId="0" borderId="0" xfId="5" applyNumberFormat="1" applyFont="1" applyBorder="1"/>
    <xf numFmtId="1" fontId="76" fillId="0" borderId="0" xfId="5" applyNumberFormat="1" applyBorder="1" applyAlignment="1">
      <alignment horizontal="center"/>
    </xf>
    <xf numFmtId="1" fontId="68" fillId="0" borderId="0" xfId="5" applyNumberFormat="1" applyFont="1" applyBorder="1" applyAlignment="1">
      <alignment horizontal="center"/>
    </xf>
    <xf numFmtId="170" fontId="74" fillId="0" borderId="0" xfId="5" applyNumberFormat="1" applyFont="1" applyAlignment="1" applyProtection="1">
      <alignment horizontal="right"/>
    </xf>
    <xf numFmtId="170" fontId="68" fillId="0" borderId="151" xfId="5" applyNumberFormat="1" applyFont="1" applyBorder="1" applyAlignment="1">
      <alignment horizontal="centerContinuous"/>
    </xf>
    <xf numFmtId="14" fontId="68" fillId="0" borderId="151" xfId="5" quotePrefix="1" applyNumberFormat="1" applyFont="1" applyBorder="1" applyAlignment="1">
      <alignment horizontal="centerContinuous"/>
    </xf>
    <xf numFmtId="170" fontId="65" fillId="0" borderId="6" xfId="7" applyNumberFormat="1" applyFont="1" applyBorder="1" applyAlignment="1" applyProtection="1">
      <alignment horizontal="centerContinuous"/>
    </xf>
    <xf numFmtId="170" fontId="65" fillId="0" borderId="7" xfId="7" applyNumberFormat="1" applyFont="1" applyBorder="1" applyAlignment="1">
      <alignment horizontal="centerContinuous"/>
    </xf>
    <xf numFmtId="170" fontId="66" fillId="0" borderId="12" xfId="7" applyNumberFormat="1" applyFont="1" applyBorder="1" applyAlignment="1" applyProtection="1">
      <alignment horizontal="left"/>
    </xf>
    <xf numFmtId="170" fontId="67" fillId="0" borderId="55" xfId="7" applyNumberFormat="1" applyFont="1" applyBorder="1"/>
    <xf numFmtId="170" fontId="68" fillId="0" borderId="0" xfId="7" applyNumberFormat="1" applyFont="1"/>
    <xf numFmtId="170" fontId="64" fillId="0" borderId="0" xfId="7" applyNumberFormat="1"/>
    <xf numFmtId="170" fontId="65" fillId="0" borderId="45" xfId="7" applyNumberFormat="1" applyFont="1" applyBorder="1" applyAlignment="1" applyProtection="1">
      <alignment horizontal="centerContinuous"/>
    </xf>
    <xf numFmtId="170" fontId="65" fillId="0" borderId="0" xfId="7" applyNumberFormat="1" applyFont="1" applyBorder="1" applyAlignment="1">
      <alignment horizontal="centerContinuous"/>
    </xf>
    <xf numFmtId="170" fontId="66" fillId="0" borderId="109" xfId="7" applyNumberFormat="1" applyFont="1" applyBorder="1" applyAlignment="1" applyProtection="1">
      <alignment horizontal="left"/>
    </xf>
    <xf numFmtId="170" fontId="67" fillId="0" borderId="39" xfId="7" applyNumberFormat="1" applyFont="1" applyBorder="1"/>
    <xf numFmtId="170" fontId="66" fillId="0" borderId="40" xfId="7" applyNumberFormat="1" applyFont="1" applyBorder="1" applyAlignment="1" applyProtection="1">
      <alignment horizontal="centerContinuous"/>
    </xf>
    <xf numFmtId="170" fontId="67" fillId="0" borderId="29" xfId="7" applyNumberFormat="1" applyFont="1" applyBorder="1" applyAlignment="1">
      <alignment horizontal="centerContinuous"/>
    </xf>
    <xf numFmtId="170" fontId="67" fillId="0" borderId="45" xfId="7" applyNumberFormat="1" applyFont="1" applyBorder="1" applyAlignment="1">
      <alignment horizontal="centerContinuous"/>
    </xf>
    <xf numFmtId="170" fontId="67" fillId="0" borderId="0" xfId="7" applyNumberFormat="1" applyFont="1" applyBorder="1" applyAlignment="1">
      <alignment horizontal="centerContinuous"/>
    </xf>
    <xf numFmtId="170" fontId="69" fillId="0" borderId="45" xfId="7" applyNumberFormat="1" applyFont="1" applyBorder="1" applyAlignment="1" applyProtection="1">
      <alignment horizontal="centerContinuous"/>
    </xf>
    <xf numFmtId="170" fontId="68" fillId="0" borderId="45" xfId="7" applyNumberFormat="1" applyFont="1" applyBorder="1" applyAlignment="1">
      <alignment horizontal="centerContinuous"/>
    </xf>
    <xf numFmtId="170" fontId="68" fillId="0" borderId="46" xfId="7" applyNumberFormat="1" applyFont="1" applyBorder="1" applyAlignment="1" applyProtection="1">
      <alignment horizontal="centerContinuous"/>
    </xf>
    <xf numFmtId="170" fontId="67" fillId="0" borderId="23" xfId="7" applyNumberFormat="1" applyFont="1" applyBorder="1" applyAlignment="1">
      <alignment horizontal="centerContinuous"/>
    </xf>
    <xf numFmtId="170" fontId="66" fillId="0" borderId="46" xfId="7" applyNumberFormat="1" applyFont="1" applyBorder="1" applyAlignment="1" applyProtection="1">
      <alignment horizontal="left"/>
    </xf>
    <xf numFmtId="170" fontId="67" fillId="0" borderId="48" xfId="7" applyNumberFormat="1" applyFont="1" applyBorder="1"/>
    <xf numFmtId="170" fontId="67" fillId="0" borderId="0" xfId="7" applyNumberFormat="1" applyFont="1" applyBorder="1"/>
    <xf numFmtId="170" fontId="67" fillId="0" borderId="0" xfId="7" applyNumberFormat="1" applyFont="1"/>
    <xf numFmtId="170" fontId="82" fillId="0" borderId="154" xfId="7" applyNumberFormat="1" applyFont="1" applyBorder="1"/>
    <xf numFmtId="170" fontId="82" fillId="0" borderId="155" xfId="7" applyNumberFormat="1" applyFont="1" applyBorder="1"/>
    <xf numFmtId="170" fontId="64" fillId="0" borderId="155" xfId="7" applyNumberFormat="1" applyBorder="1"/>
    <xf numFmtId="170" fontId="82" fillId="0" borderId="155" xfId="7" applyNumberFormat="1" applyFont="1" applyBorder="1" applyAlignment="1">
      <alignment horizontal="right"/>
    </xf>
    <xf numFmtId="174" fontId="81" fillId="0" borderId="155" xfId="7" applyNumberFormat="1" applyFont="1" applyBorder="1"/>
    <xf numFmtId="170" fontId="81" fillId="0" borderId="155" xfId="7" applyNumberFormat="1" applyFont="1" applyBorder="1"/>
    <xf numFmtId="170" fontId="81" fillId="0" borderId="155" xfId="7" applyNumberFormat="1" applyFont="1" applyBorder="1" applyAlignment="1">
      <alignment horizontal="right"/>
    </xf>
    <xf numFmtId="170" fontId="81" fillId="0" borderId="155" xfId="7" quotePrefix="1" applyNumberFormat="1" applyFont="1" applyFill="1" applyBorder="1"/>
    <xf numFmtId="170" fontId="64" fillId="0" borderId="156" xfId="7" applyNumberFormat="1" applyBorder="1"/>
    <xf numFmtId="170" fontId="64" fillId="0" borderId="46" xfId="7" applyNumberFormat="1" applyBorder="1"/>
    <xf numFmtId="170" fontId="64" fillId="0" borderId="23" xfId="7" applyNumberFormat="1" applyBorder="1"/>
    <xf numFmtId="170" fontId="81" fillId="0" borderId="23" xfId="7" applyNumberFormat="1" applyFont="1" applyBorder="1" applyAlignment="1">
      <alignment horizontal="right"/>
    </xf>
    <xf numFmtId="174" fontId="81" fillId="0" borderId="23" xfId="7" applyNumberFormat="1" applyFont="1" applyBorder="1"/>
    <xf numFmtId="170" fontId="81" fillId="0" borderId="23" xfId="7" applyNumberFormat="1" applyFont="1" applyBorder="1"/>
    <xf numFmtId="170" fontId="64" fillId="0" borderId="24" xfId="7" applyNumberFormat="1" applyBorder="1"/>
    <xf numFmtId="170" fontId="80" fillId="0" borderId="127" xfId="7" applyNumberFormat="1" applyFont="1" applyBorder="1" applyAlignment="1">
      <alignment horizontal="center"/>
    </xf>
    <xf numFmtId="170" fontId="64" fillId="0" borderId="154" xfId="7" applyNumberFormat="1" applyBorder="1"/>
    <xf numFmtId="170" fontId="86" fillId="0" borderId="155" xfId="7" applyNumberFormat="1" applyFont="1" applyBorder="1" applyAlignment="1">
      <alignment horizontal="right"/>
    </xf>
    <xf numFmtId="170" fontId="81" fillId="0" borderId="127" xfId="7" applyNumberFormat="1" applyFont="1" applyBorder="1" applyAlignment="1">
      <alignment horizontal="right"/>
    </xf>
    <xf numFmtId="170" fontId="87" fillId="0" borderId="155" xfId="7" applyNumberFormat="1" applyFont="1" applyBorder="1" applyAlignment="1">
      <alignment horizontal="right"/>
    </xf>
    <xf numFmtId="170" fontId="64" fillId="0" borderId="45" xfId="7" applyNumberFormat="1" applyBorder="1"/>
    <xf numFmtId="170" fontId="64" fillId="0" borderId="0" xfId="7" applyNumberFormat="1" applyBorder="1"/>
    <xf numFmtId="170" fontId="81" fillId="0" borderId="0" xfId="7" applyNumberFormat="1" applyFont="1" applyBorder="1" applyAlignment="1">
      <alignment horizontal="right"/>
    </xf>
    <xf numFmtId="170" fontId="86" fillId="0" borderId="0" xfId="7" applyNumberFormat="1" applyFont="1" applyBorder="1" applyAlignment="1">
      <alignment horizontal="right"/>
    </xf>
    <xf numFmtId="170" fontId="64" fillId="0" borderId="127" xfId="7" applyNumberFormat="1" applyBorder="1"/>
    <xf numFmtId="170" fontId="87" fillId="0" borderId="0" xfId="7" applyNumberFormat="1" applyFont="1" applyBorder="1" applyAlignment="1">
      <alignment horizontal="right"/>
    </xf>
    <xf numFmtId="170" fontId="86" fillId="0" borderId="23" xfId="7" applyNumberFormat="1" applyFont="1" applyBorder="1" applyAlignment="1">
      <alignment horizontal="right"/>
    </xf>
    <xf numFmtId="170" fontId="87" fillId="0" borderId="23" xfId="7" applyNumberFormat="1" applyFont="1" applyBorder="1" applyAlignment="1">
      <alignment horizontal="right"/>
    </xf>
    <xf numFmtId="170" fontId="64" fillId="0" borderId="162" xfId="7" applyNumberFormat="1" applyBorder="1"/>
    <xf numFmtId="170" fontId="64" fillId="0" borderId="0" xfId="7" applyNumberFormat="1" applyBorder="1" applyAlignment="1">
      <alignment horizontal="right"/>
    </xf>
    <xf numFmtId="170" fontId="64" fillId="0" borderId="30" xfId="7" applyNumberFormat="1" applyBorder="1"/>
    <xf numFmtId="170" fontId="64" fillId="0" borderId="23" xfId="7" applyNumberFormat="1" applyBorder="1" applyAlignment="1">
      <alignment horizontal="right"/>
    </xf>
    <xf numFmtId="170" fontId="64" fillId="0" borderId="0" xfId="7" applyNumberFormat="1" applyAlignment="1">
      <alignment horizontal="center"/>
    </xf>
    <xf numFmtId="170" fontId="64" fillId="0" borderId="2" xfId="7" quotePrefix="1" applyNumberFormat="1" applyBorder="1" applyAlignment="1">
      <alignment horizontal="center"/>
    </xf>
    <xf numFmtId="170" fontId="64" fillId="0" borderId="22" xfId="7" quotePrefix="1" applyNumberFormat="1" applyBorder="1" applyAlignment="1">
      <alignment horizontal="center"/>
    </xf>
    <xf numFmtId="170" fontId="64" fillId="0" borderId="22" xfId="7" applyNumberFormat="1" applyBorder="1" applyAlignment="1">
      <alignment horizontal="center"/>
    </xf>
    <xf numFmtId="170" fontId="64" fillId="0" borderId="10" xfId="7" applyNumberFormat="1" applyBorder="1" applyAlignment="1">
      <alignment horizontal="center"/>
    </xf>
    <xf numFmtId="167" fontId="81" fillId="0" borderId="3" xfId="7" applyNumberFormat="1" applyFont="1" applyBorder="1" applyAlignment="1">
      <alignment horizontal="center"/>
    </xf>
    <xf numFmtId="167" fontId="81" fillId="0" borderId="1" xfId="7" applyNumberFormat="1" applyFont="1" applyBorder="1" applyAlignment="1">
      <alignment horizontal="center"/>
    </xf>
    <xf numFmtId="167" fontId="81" fillId="0" borderId="9" xfId="7" applyNumberFormat="1" applyFont="1" applyBorder="1" applyAlignment="1">
      <alignment horizontal="center"/>
    </xf>
    <xf numFmtId="167" fontId="81" fillId="0" borderId="4" xfId="7" quotePrefix="1" applyNumberFormat="1" applyFont="1" applyBorder="1" applyAlignment="1">
      <alignment horizontal="center"/>
    </xf>
    <xf numFmtId="167" fontId="81" fillId="0" borderId="11" xfId="7" quotePrefix="1" applyNumberFormat="1" applyFont="1" applyBorder="1" applyAlignment="1">
      <alignment horizontal="center"/>
    </xf>
    <xf numFmtId="167" fontId="81" fillId="0" borderId="33" xfId="7" quotePrefix="1" applyNumberFormat="1" applyFont="1" applyBorder="1" applyAlignment="1">
      <alignment horizontal="center"/>
    </xf>
    <xf numFmtId="170" fontId="91" fillId="0" borderId="0" xfId="7" applyNumberFormat="1" applyFont="1" applyAlignment="1">
      <alignment horizontal="right"/>
    </xf>
    <xf numFmtId="170" fontId="81" fillId="0" borderId="0" xfId="7" applyNumberFormat="1" applyFont="1"/>
    <xf numFmtId="0" fontId="5" fillId="0" borderId="0" xfId="8" applyFont="1" applyBorder="1"/>
    <xf numFmtId="170" fontId="92" fillId="0" borderId="0" xfId="7" applyNumberFormat="1" applyFont="1" applyBorder="1" applyAlignment="1">
      <alignment horizontal="left"/>
    </xf>
    <xf numFmtId="170" fontId="71" fillId="0" borderId="0" xfId="7" applyNumberFormat="1" applyFont="1" applyBorder="1" applyAlignment="1">
      <alignment horizontal="left"/>
    </xf>
    <xf numFmtId="43" fontId="1" fillId="0" borderId="0" xfId="9"/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28" fillId="0" borderId="80" xfId="1" applyFont="1" applyFill="1" applyBorder="1" applyAlignment="1">
      <alignment horizontal="left"/>
    </xf>
    <xf numFmtId="0" fontId="28" fillId="0" borderId="81" xfId="1" applyFont="1" applyFill="1" applyBorder="1" applyAlignment="1">
      <alignment horizontal="left"/>
    </xf>
    <xf numFmtId="0" fontId="28" fillId="0" borderId="82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167" fontId="38" fillId="0" borderId="65" xfId="1" applyNumberFormat="1" applyFont="1" applyFill="1" applyBorder="1" applyAlignment="1">
      <alignment horizontal="center"/>
    </xf>
    <xf numFmtId="167" fontId="38" fillId="0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Fill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Fill="1" applyBorder="1" applyAlignment="1">
      <alignment horizontal="left"/>
    </xf>
    <xf numFmtId="0" fontId="33" fillId="0" borderId="77" xfId="1" applyFont="1" applyFill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3" fillId="0" borderId="45" xfId="1" applyFont="1" applyFill="1" applyBorder="1" applyAlignment="1">
      <alignment horizontal="center"/>
    </xf>
    <xf numFmtId="0" fontId="33" fillId="0" borderId="0" xfId="1" applyFont="1" applyFill="1" applyBorder="1" applyAlignment="1">
      <alignment horizontal="center"/>
    </xf>
    <xf numFmtId="0" fontId="33" fillId="0" borderId="108" xfId="1" applyFont="1" applyFill="1" applyBorder="1" applyAlignment="1">
      <alignment horizontal="center"/>
    </xf>
    <xf numFmtId="0" fontId="33" fillId="0" borderId="109" xfId="1" applyFont="1" applyFill="1" applyBorder="1" applyAlignment="1">
      <alignment horizontal="center"/>
    </xf>
    <xf numFmtId="0" fontId="33" fillId="0" borderId="40" xfId="1" applyFont="1" applyFill="1" applyBorder="1" applyAlignment="1">
      <alignment horizontal="center"/>
    </xf>
    <xf numFmtId="0" fontId="33" fillId="0" borderId="39" xfId="1" applyFont="1" applyFill="1" applyBorder="1" applyAlignment="1">
      <alignment horizontal="center"/>
    </xf>
    <xf numFmtId="0" fontId="28" fillId="0" borderId="38" xfId="1" applyFont="1" applyFill="1" applyBorder="1" applyAlignment="1">
      <alignment horizontal="left"/>
    </xf>
    <xf numFmtId="0" fontId="33" fillId="0" borderId="46" xfId="1" applyFont="1" applyFill="1" applyBorder="1" applyAlignment="1">
      <alignment horizontal="center"/>
    </xf>
    <xf numFmtId="0" fontId="33" fillId="0" borderId="23" xfId="1" applyFont="1" applyFill="1" applyBorder="1" applyAlignment="1">
      <alignment horizontal="center"/>
    </xf>
    <xf numFmtId="0" fontId="33" fillId="0" borderId="48" xfId="1" applyFont="1" applyFill="1" applyBorder="1" applyAlignment="1">
      <alignment horizontal="center"/>
    </xf>
    <xf numFmtId="0" fontId="50" fillId="5" borderId="117" xfId="1" applyFont="1" applyFill="1" applyBorder="1" applyAlignment="1">
      <alignment horizontal="center"/>
    </xf>
    <xf numFmtId="0" fontId="50" fillId="5" borderId="118" xfId="1" applyFont="1" applyFill="1" applyBorder="1" applyAlignment="1">
      <alignment horizontal="center"/>
    </xf>
    <xf numFmtId="0" fontId="54" fillId="0" borderId="1" xfId="3" applyFont="1" applyBorder="1" applyAlignment="1">
      <alignment horizontal="center"/>
    </xf>
    <xf numFmtId="0" fontId="6" fillId="0" borderId="0" xfId="3" applyFont="1" applyAlignment="1">
      <alignment horizontal="center"/>
    </xf>
    <xf numFmtId="0" fontId="56" fillId="0" borderId="17" xfId="3" applyFont="1" applyBorder="1" applyAlignment="1">
      <alignment horizontal="center"/>
    </xf>
    <xf numFmtId="0" fontId="31" fillId="0" borderId="128" xfId="3" applyFont="1" applyBorder="1" applyAlignment="1">
      <alignment horizontal="center"/>
    </xf>
    <xf numFmtId="0" fontId="31" fillId="0" borderId="129" xfId="3" applyFont="1" applyBorder="1" applyAlignment="1">
      <alignment horizontal="center"/>
    </xf>
    <xf numFmtId="0" fontId="55" fillId="0" borderId="1" xfId="3" applyFont="1" applyBorder="1" applyAlignment="1">
      <alignment horizontal="center"/>
    </xf>
    <xf numFmtId="0" fontId="31" fillId="0" borderId="17" xfId="3" applyFont="1" applyBorder="1" applyAlignment="1">
      <alignment horizontal="center"/>
    </xf>
    <xf numFmtId="0" fontId="54" fillId="0" borderId="17" xfId="3" applyFont="1" applyBorder="1" applyAlignment="1">
      <alignment horizontal="right"/>
    </xf>
    <xf numFmtId="0" fontId="54" fillId="0" borderId="128" xfId="3" applyFont="1" applyBorder="1" applyAlignment="1">
      <alignment horizontal="right"/>
    </xf>
    <xf numFmtId="0" fontId="31" fillId="0" borderId="0" xfId="3" applyFont="1" applyAlignment="1">
      <alignment horizontal="center"/>
    </xf>
    <xf numFmtId="0" fontId="55" fillId="0" borderId="0" xfId="3" applyFont="1" applyAlignment="1">
      <alignment horizontal="right"/>
    </xf>
    <xf numFmtId="170" fontId="71" fillId="0" borderId="0" xfId="4" applyFont="1" applyBorder="1" applyAlignment="1">
      <alignment horizontal="center"/>
    </xf>
    <xf numFmtId="170" fontId="71" fillId="0" borderId="21" xfId="4" applyFont="1" applyBorder="1" applyAlignment="1">
      <alignment horizontal="center"/>
    </xf>
    <xf numFmtId="170" fontId="75" fillId="0" borderId="151" xfId="4" applyFont="1" applyBorder="1" applyAlignment="1" applyProtection="1">
      <alignment horizontal="center"/>
      <protection locked="0"/>
    </xf>
    <xf numFmtId="14" fontId="23" fillId="0" borderId="151" xfId="4" quotePrefix="1" applyNumberFormat="1" applyFont="1" applyBorder="1" applyAlignment="1" applyProtection="1">
      <alignment horizontal="center"/>
      <protection locked="0"/>
    </xf>
    <xf numFmtId="0" fontId="57" fillId="0" borderId="17" xfId="3" applyFont="1" applyBorder="1" applyAlignment="1">
      <alignment horizontal="center"/>
    </xf>
    <xf numFmtId="0" fontId="57" fillId="0" borderId="128" xfId="3" applyFont="1" applyBorder="1" applyAlignment="1">
      <alignment horizontal="center"/>
    </xf>
    <xf numFmtId="0" fontId="57" fillId="0" borderId="129" xfId="3" applyFont="1" applyBorder="1" applyAlignment="1">
      <alignment horizontal="center"/>
    </xf>
    <xf numFmtId="0" fontId="59" fillId="0" borderId="83" xfId="3" applyFont="1" applyBorder="1" applyAlignment="1">
      <alignment horizontal="center"/>
    </xf>
    <xf numFmtId="0" fontId="59" fillId="0" borderId="0" xfId="3" applyFont="1" applyBorder="1" applyAlignment="1">
      <alignment horizontal="center"/>
    </xf>
    <xf numFmtId="0" fontId="59" fillId="0" borderId="108" xfId="3" applyFont="1" applyBorder="1" applyAlignment="1">
      <alignment horizontal="center"/>
    </xf>
    <xf numFmtId="0" fontId="60" fillId="0" borderId="83" xfId="3" applyFont="1" applyBorder="1" applyAlignment="1">
      <alignment horizontal="center"/>
    </xf>
    <xf numFmtId="0" fontId="60" fillId="0" borderId="0" xfId="3" applyFont="1" applyBorder="1" applyAlignment="1">
      <alignment horizontal="center"/>
    </xf>
    <xf numFmtId="0" fontId="60" fillId="0" borderId="108" xfId="3" applyFont="1" applyBorder="1" applyAlignment="1">
      <alignment horizontal="center"/>
    </xf>
    <xf numFmtId="39" fontId="80" fillId="0" borderId="152" xfId="5" applyNumberFormat="1" applyFont="1" applyBorder="1" applyAlignment="1" applyProtection="1">
      <alignment horizontal="right"/>
    </xf>
    <xf numFmtId="39" fontId="80" fillId="0" borderId="128" xfId="5" applyNumberFormat="1" applyFont="1" applyBorder="1" applyAlignment="1" applyProtection="1">
      <alignment horizontal="right"/>
    </xf>
    <xf numFmtId="172" fontId="23" fillId="0" borderId="128" xfId="5" applyNumberFormat="1" applyFont="1" applyBorder="1" applyAlignment="1" applyProtection="1">
      <alignment horizontal="center"/>
    </xf>
    <xf numFmtId="172" fontId="23" fillId="0" borderId="16" xfId="5" applyNumberFormat="1" applyFont="1" applyBorder="1" applyAlignment="1" applyProtection="1">
      <alignment horizontal="center"/>
    </xf>
    <xf numFmtId="171" fontId="66" fillId="0" borderId="17" xfId="5" quotePrefix="1" applyNumberFormat="1" applyFont="1" applyBorder="1" applyAlignment="1">
      <alignment horizontal="center"/>
    </xf>
    <xf numFmtId="171" fontId="66" fillId="0" borderId="16" xfId="5" quotePrefix="1" applyNumberFormat="1" applyFont="1" applyBorder="1" applyAlignment="1">
      <alignment horizontal="center"/>
    </xf>
    <xf numFmtId="170" fontId="23" fillId="0" borderId="45" xfId="5" applyNumberFormat="1" applyFont="1" applyBorder="1" applyAlignment="1" applyProtection="1">
      <alignment horizontal="center"/>
    </xf>
    <xf numFmtId="170" fontId="77" fillId="0" borderId="0" xfId="5" applyNumberFormat="1" applyFont="1" applyBorder="1" applyAlignment="1" applyProtection="1">
      <alignment horizontal="center"/>
    </xf>
    <xf numFmtId="170" fontId="77" fillId="0" borderId="21" xfId="5" applyNumberFormat="1" applyFont="1" applyBorder="1" applyAlignment="1" applyProtection="1">
      <alignment horizontal="center"/>
    </xf>
    <xf numFmtId="170" fontId="23" fillId="0" borderId="45" xfId="5" applyNumberFormat="1" applyFont="1" applyBorder="1" applyAlignment="1">
      <alignment horizontal="center"/>
    </xf>
    <xf numFmtId="170" fontId="23" fillId="0" borderId="0" xfId="5" applyNumberFormat="1" applyFont="1" applyBorder="1" applyAlignment="1">
      <alignment horizontal="center"/>
    </xf>
    <xf numFmtId="170" fontId="23" fillId="0" borderId="21" xfId="5" applyNumberFormat="1" applyFont="1" applyBorder="1" applyAlignment="1">
      <alignment horizontal="center"/>
    </xf>
    <xf numFmtId="170" fontId="80" fillId="0" borderId="12" xfId="5" applyNumberFormat="1" applyFont="1" applyBorder="1" applyAlignment="1" applyProtection="1">
      <alignment horizontal="right"/>
    </xf>
    <xf numFmtId="170" fontId="80" fillId="0" borderId="13" xfId="5" applyNumberFormat="1" applyFont="1" applyBorder="1" applyAlignment="1" applyProtection="1">
      <alignment horizontal="right"/>
    </xf>
    <xf numFmtId="172" fontId="23" fillId="0" borderId="13" xfId="5" applyNumberFormat="1" applyFont="1" applyBorder="1" applyAlignment="1" applyProtection="1">
      <alignment horizontal="center"/>
    </xf>
    <xf numFmtId="172" fontId="23" fillId="0" borderId="14" xfId="5" applyNumberFormat="1" applyFont="1" applyBorder="1" applyAlignment="1" applyProtection="1">
      <alignment horizontal="center"/>
    </xf>
    <xf numFmtId="170" fontId="80" fillId="0" borderId="152" xfId="5" applyNumberFormat="1" applyFont="1" applyBorder="1" applyAlignment="1" applyProtection="1">
      <alignment horizontal="right"/>
    </xf>
    <xf numFmtId="170" fontId="80" fillId="0" borderId="128" xfId="5" applyNumberFormat="1" applyFont="1" applyBorder="1" applyAlignment="1" applyProtection="1">
      <alignment horizontal="right"/>
    </xf>
    <xf numFmtId="167" fontId="80" fillId="0" borderId="152" xfId="5" applyNumberFormat="1" applyFont="1" applyBorder="1" applyAlignment="1" applyProtection="1">
      <alignment horizontal="right" vertical="center"/>
    </xf>
    <xf numFmtId="167" fontId="80" fillId="0" borderId="128" xfId="5" applyNumberFormat="1" applyFont="1" applyBorder="1" applyAlignment="1" applyProtection="1">
      <alignment horizontal="right" vertical="center"/>
    </xf>
    <xf numFmtId="170" fontId="72" fillId="0" borderId="0" xfId="6" applyNumberFormat="1" applyFont="1" applyFill="1" applyBorder="1" applyAlignment="1">
      <alignment horizontal="center"/>
    </xf>
    <xf numFmtId="170" fontId="80" fillId="0" borderId="152" xfId="5" applyNumberFormat="1" applyFont="1" applyBorder="1" applyAlignment="1">
      <alignment horizontal="right"/>
    </xf>
    <xf numFmtId="170" fontId="80" fillId="0" borderId="128" xfId="5" applyNumberFormat="1" applyFont="1" applyBorder="1" applyAlignment="1">
      <alignment horizontal="right"/>
    </xf>
    <xf numFmtId="170" fontId="85" fillId="0" borderId="0" xfId="6" applyNumberFormat="1" applyFont="1" applyFill="1" applyBorder="1" applyAlignment="1">
      <alignment horizontal="center"/>
    </xf>
    <xf numFmtId="170" fontId="23" fillId="0" borderId="128" xfId="5" applyNumberFormat="1" applyFont="1" applyBorder="1" applyAlignment="1" applyProtection="1">
      <alignment horizontal="center"/>
    </xf>
    <xf numFmtId="170" fontId="23" fillId="0" borderId="16" xfId="5" applyNumberFormat="1" applyFont="1" applyBorder="1" applyAlignment="1" applyProtection="1">
      <alignment horizontal="center"/>
    </xf>
    <xf numFmtId="170" fontId="80" fillId="0" borderId="153" xfId="5" applyNumberFormat="1" applyFont="1" applyBorder="1" applyAlignment="1">
      <alignment horizontal="right"/>
    </xf>
    <xf numFmtId="170" fontId="80" fillId="0" borderId="51" xfId="5" applyNumberFormat="1" applyFont="1" applyBorder="1" applyAlignment="1">
      <alignment horizontal="right"/>
    </xf>
    <xf numFmtId="170" fontId="23" fillId="0" borderId="51" xfId="5" applyNumberFormat="1" applyFont="1" applyBorder="1" applyAlignment="1" applyProtection="1">
      <alignment horizontal="center"/>
    </xf>
    <xf numFmtId="170" fontId="23" fillId="0" borderId="32" xfId="5" applyNumberFormat="1" applyFont="1" applyBorder="1" applyAlignment="1" applyProtection="1">
      <alignment horizontal="center"/>
    </xf>
    <xf numFmtId="170" fontId="23" fillId="0" borderId="0" xfId="6" applyNumberFormat="1" applyFont="1" applyFill="1" applyBorder="1" applyAlignment="1">
      <alignment horizontal="center"/>
    </xf>
    <xf numFmtId="170" fontId="23" fillId="0" borderId="0" xfId="6" applyNumberFormat="1" applyFont="1" applyFill="1" applyBorder="1" applyAlignment="1">
      <alignment horizontal="center" wrapText="1"/>
    </xf>
    <xf numFmtId="170" fontId="81" fillId="0" borderId="157" xfId="7" applyNumberFormat="1" applyFont="1" applyBorder="1" applyAlignment="1">
      <alignment horizontal="center"/>
    </xf>
    <xf numFmtId="170" fontId="81" fillId="0" borderId="158" xfId="7" applyNumberFormat="1" applyFont="1" applyBorder="1" applyAlignment="1">
      <alignment horizontal="center"/>
    </xf>
    <xf numFmtId="170" fontId="81" fillId="0" borderId="159" xfId="7" applyNumberFormat="1" applyFont="1" applyBorder="1" applyAlignment="1">
      <alignment horizontal="center"/>
    </xf>
    <xf numFmtId="170" fontId="66" fillId="0" borderId="50" xfId="7" applyNumberFormat="1" applyFont="1" applyBorder="1" applyAlignment="1">
      <alignment horizontal="center"/>
    </xf>
    <xf numFmtId="170" fontId="66" fillId="0" borderId="14" xfId="7" applyNumberFormat="1" applyFont="1" applyBorder="1" applyAlignment="1">
      <alignment horizontal="center"/>
    </xf>
    <xf numFmtId="170" fontId="66" fillId="0" borderId="17" xfId="7" quotePrefix="1" applyNumberFormat="1" applyFont="1" applyBorder="1" applyAlignment="1">
      <alignment horizontal="center"/>
    </xf>
    <xf numFmtId="170" fontId="64" fillId="0" borderId="16" xfId="7" applyNumberFormat="1" applyBorder="1" applyAlignment="1">
      <alignment horizontal="center"/>
    </xf>
    <xf numFmtId="170" fontId="66" fillId="0" borderId="17" xfId="7" applyNumberFormat="1" applyFont="1" applyBorder="1" applyAlignment="1" applyProtection="1">
      <alignment horizontal="center"/>
    </xf>
    <xf numFmtId="170" fontId="66" fillId="0" borderId="16" xfId="7" quotePrefix="1" applyNumberFormat="1" applyFont="1" applyBorder="1" applyAlignment="1" applyProtection="1">
      <alignment horizontal="center"/>
    </xf>
    <xf numFmtId="170" fontId="66" fillId="0" borderId="16" xfId="7" applyNumberFormat="1" applyFont="1" applyBorder="1" applyAlignment="1" applyProtection="1">
      <alignment horizontal="center"/>
    </xf>
    <xf numFmtId="170" fontId="66" fillId="0" borderId="17" xfId="7" applyNumberFormat="1" applyFont="1" applyBorder="1" applyAlignment="1">
      <alignment horizontal="center"/>
    </xf>
    <xf numFmtId="170" fontId="66" fillId="0" borderId="16" xfId="7" applyNumberFormat="1" applyFont="1" applyBorder="1" applyAlignment="1">
      <alignment horizontal="center"/>
    </xf>
    <xf numFmtId="170" fontId="86" fillId="0" borderId="31" xfId="7" applyNumberFormat="1" applyFont="1" applyBorder="1" applyAlignment="1">
      <alignment horizontal="center"/>
    </xf>
    <xf numFmtId="170" fontId="86" fillId="0" borderId="32" xfId="7" applyNumberFormat="1" applyFont="1" applyBorder="1" applyAlignment="1">
      <alignment horizontal="center"/>
    </xf>
    <xf numFmtId="170" fontId="80" fillId="0" borderId="138" xfId="7" applyNumberFormat="1" applyFont="1" applyBorder="1" applyAlignment="1">
      <alignment horizontal="center"/>
    </xf>
    <xf numFmtId="170" fontId="80" fillId="0" borderId="139" xfId="7" applyNumberFormat="1" applyFont="1" applyBorder="1" applyAlignment="1">
      <alignment horizontal="center"/>
    </xf>
    <xf numFmtId="170" fontId="80" fillId="0" borderId="141" xfId="7" applyNumberFormat="1" applyFont="1" applyBorder="1" applyAlignment="1">
      <alignment horizontal="center"/>
    </xf>
    <xf numFmtId="170" fontId="81" fillId="0" borderId="23" xfId="7" applyNumberFormat="1" applyFont="1" applyBorder="1" applyAlignment="1">
      <alignment horizontal="center"/>
    </xf>
    <xf numFmtId="170" fontId="81" fillId="0" borderId="24" xfId="7" applyNumberFormat="1" applyFont="1" applyBorder="1" applyAlignment="1">
      <alignment horizontal="center"/>
    </xf>
    <xf numFmtId="170" fontId="64" fillId="0" borderId="138" xfId="7" applyNumberFormat="1" applyBorder="1" applyAlignment="1">
      <alignment horizontal="center"/>
    </xf>
    <xf numFmtId="170" fontId="64" fillId="0" borderId="139" xfId="7" applyNumberFormat="1" applyBorder="1" applyAlignment="1">
      <alignment horizontal="center"/>
    </xf>
    <xf numFmtId="170" fontId="64" fillId="0" borderId="141" xfId="7" applyNumberFormat="1" applyBorder="1" applyAlignment="1">
      <alignment horizontal="center"/>
    </xf>
    <xf numFmtId="170" fontId="86" fillId="0" borderId="160" xfId="7" applyNumberFormat="1" applyFont="1" applyBorder="1" applyAlignment="1">
      <alignment horizontal="center"/>
    </xf>
    <xf numFmtId="170" fontId="86" fillId="0" borderId="158" xfId="7" applyNumberFormat="1" applyFont="1" applyBorder="1" applyAlignment="1">
      <alignment horizontal="center"/>
    </xf>
    <xf numFmtId="170" fontId="86" fillId="0" borderId="161" xfId="7" applyNumberFormat="1" applyFont="1" applyBorder="1" applyAlignment="1">
      <alignment horizontal="center"/>
    </xf>
    <xf numFmtId="170" fontId="86" fillId="0" borderId="157" xfId="7" applyNumberFormat="1" applyFont="1" applyBorder="1" applyAlignment="1">
      <alignment horizontal="center"/>
    </xf>
    <xf numFmtId="170" fontId="86" fillId="0" borderId="159" xfId="7" applyNumberFormat="1" applyFont="1" applyBorder="1" applyAlignment="1">
      <alignment horizontal="center"/>
    </xf>
    <xf numFmtId="175" fontId="88" fillId="0" borderId="62" xfId="7" applyNumberFormat="1" applyFont="1" applyBorder="1" applyAlignment="1">
      <alignment horizontal="left"/>
    </xf>
    <xf numFmtId="175" fontId="88" fillId="0" borderId="38" xfId="7" applyNumberFormat="1" applyFont="1" applyBorder="1" applyAlignment="1">
      <alignment horizontal="left"/>
    </xf>
    <xf numFmtId="175" fontId="88" fillId="0" borderId="27" xfId="7" applyNumberFormat="1" applyFont="1" applyBorder="1" applyAlignment="1">
      <alignment horizontal="left"/>
    </xf>
    <xf numFmtId="170" fontId="64" fillId="0" borderId="46" xfId="7" applyNumberFormat="1" applyBorder="1" applyAlignment="1">
      <alignment horizontal="center"/>
    </xf>
    <xf numFmtId="170" fontId="64" fillId="0" borderId="23" xfId="7" applyNumberFormat="1" applyBorder="1" applyAlignment="1">
      <alignment horizontal="center"/>
    </xf>
    <xf numFmtId="170" fontId="64" fillId="0" borderId="24" xfId="7" applyNumberFormat="1" applyBorder="1" applyAlignment="1">
      <alignment horizontal="center"/>
    </xf>
    <xf numFmtId="175" fontId="88" fillId="0" borderId="0" xfId="7" applyNumberFormat="1" applyFont="1" applyBorder="1" applyAlignment="1">
      <alignment horizontal="left"/>
    </xf>
    <xf numFmtId="175" fontId="88" fillId="0" borderId="108" xfId="7" applyNumberFormat="1" applyFont="1" applyBorder="1" applyAlignment="1">
      <alignment horizontal="left"/>
    </xf>
    <xf numFmtId="175" fontId="88" fillId="0" borderId="21" xfId="7" applyNumberFormat="1" applyFont="1" applyBorder="1" applyAlignment="1">
      <alignment horizontal="left"/>
    </xf>
    <xf numFmtId="175" fontId="88" fillId="0" borderId="23" xfId="7" applyNumberFormat="1" applyFont="1" applyBorder="1" applyAlignment="1">
      <alignment horizontal="left"/>
    </xf>
    <xf numFmtId="175" fontId="88" fillId="0" borderId="48" xfId="7" applyNumberFormat="1" applyFont="1" applyBorder="1" applyAlignment="1">
      <alignment horizontal="left"/>
    </xf>
    <xf numFmtId="175" fontId="88" fillId="0" borderId="24" xfId="7" applyNumberFormat="1" applyFont="1" applyBorder="1" applyAlignment="1">
      <alignment horizontal="left"/>
    </xf>
    <xf numFmtId="170" fontId="64" fillId="0" borderId="138" xfId="7" applyNumberFormat="1" applyFont="1" applyBorder="1" applyAlignment="1">
      <alignment horizontal="center"/>
    </xf>
    <xf numFmtId="170" fontId="64" fillId="0" borderId="139" xfId="7" applyNumberFormat="1" applyFont="1" applyBorder="1" applyAlignment="1">
      <alignment horizontal="center"/>
    </xf>
    <xf numFmtId="170" fontId="64" fillId="0" borderId="141" xfId="7" applyNumberFormat="1" applyFont="1" applyBorder="1" applyAlignment="1">
      <alignment horizontal="center"/>
    </xf>
    <xf numFmtId="49" fontId="81" fillId="0" borderId="155" xfId="7" applyNumberFormat="1" applyFont="1" applyBorder="1" applyAlignment="1">
      <alignment horizontal="left"/>
    </xf>
    <xf numFmtId="174" fontId="81" fillId="0" borderId="155" xfId="7" applyNumberFormat="1" applyFont="1" applyBorder="1" applyAlignment="1">
      <alignment horizontal="left"/>
    </xf>
    <xf numFmtId="174" fontId="81" fillId="0" borderId="156" xfId="7" applyNumberFormat="1" applyFont="1" applyBorder="1" applyAlignment="1">
      <alignment horizontal="left"/>
    </xf>
    <xf numFmtId="176" fontId="81" fillId="0" borderId="23" xfId="7" applyNumberFormat="1" applyFont="1" applyBorder="1" applyAlignment="1">
      <alignment horizontal="left"/>
    </xf>
    <xf numFmtId="175" fontId="81" fillId="0" borderId="23" xfId="7" applyNumberFormat="1" applyFont="1" applyBorder="1" applyAlignment="1">
      <alignment horizontal="left"/>
    </xf>
    <xf numFmtId="175" fontId="81" fillId="0" borderId="24" xfId="7" applyNumberFormat="1" applyFont="1" applyBorder="1" applyAlignment="1">
      <alignment horizontal="left"/>
    </xf>
    <xf numFmtId="170" fontId="80" fillId="0" borderId="40" xfId="7" applyNumberFormat="1" applyFont="1" applyBorder="1" applyAlignment="1">
      <alignment horizontal="center"/>
    </xf>
    <xf numFmtId="171" fontId="80" fillId="0" borderId="40" xfId="7" applyNumberFormat="1" applyFont="1" applyBorder="1" applyAlignment="1">
      <alignment horizontal="center"/>
    </xf>
    <xf numFmtId="170" fontId="81" fillId="0" borderId="12" xfId="7" applyNumberFormat="1" applyFont="1" applyBorder="1" applyAlignment="1">
      <alignment horizontal="right"/>
    </xf>
    <xf numFmtId="170" fontId="81" fillId="0" borderId="13" xfId="7" applyNumberFormat="1" applyFont="1" applyBorder="1" applyAlignment="1">
      <alignment horizontal="right"/>
    </xf>
    <xf numFmtId="170" fontId="81" fillId="0" borderId="14" xfId="7" applyNumberFormat="1" applyFont="1" applyBorder="1" applyAlignment="1">
      <alignment horizontal="right"/>
    </xf>
    <xf numFmtId="170" fontId="81" fillId="0" borderId="152" xfId="7" applyNumberFormat="1" applyFont="1" applyBorder="1" applyAlignment="1">
      <alignment horizontal="right"/>
    </xf>
    <xf numFmtId="170" fontId="81" fillId="0" borderId="128" xfId="7" applyNumberFormat="1" applyFont="1" applyBorder="1" applyAlignment="1">
      <alignment horizontal="right"/>
    </xf>
    <xf numFmtId="170" fontId="81" fillId="0" borderId="16" xfId="7" applyNumberFormat="1" applyFont="1" applyBorder="1" applyAlignment="1">
      <alignment horizontal="right"/>
    </xf>
    <xf numFmtId="170" fontId="87" fillId="0" borderId="153" xfId="7" applyNumberFormat="1" applyFont="1" applyBorder="1" applyAlignment="1">
      <alignment horizontal="right"/>
    </xf>
    <xf numFmtId="170" fontId="87" fillId="0" borderId="51" xfId="7" applyNumberFormat="1" applyFont="1" applyBorder="1" applyAlignment="1">
      <alignment horizontal="right"/>
    </xf>
    <xf numFmtId="170" fontId="87" fillId="0" borderId="32" xfId="7" applyNumberFormat="1" applyFont="1" applyBorder="1" applyAlignment="1">
      <alignment horizontal="right"/>
    </xf>
    <xf numFmtId="170" fontId="90" fillId="0" borderId="0" xfId="7" applyNumberFormat="1" applyFont="1" applyAlignment="1">
      <alignment horizontal="center"/>
    </xf>
  </cellXfs>
  <cellStyles count="10">
    <cellStyle name="Comma 2" xfId="9"/>
    <cellStyle name="Normal" xfId="0" builtinId="0"/>
    <cellStyle name="Normal 2" xfId="1"/>
    <cellStyle name="Normal 3" xfId="3"/>
    <cellStyle name="Normal 4" xfId="4"/>
    <cellStyle name="Normal 5" xfId="8"/>
    <cellStyle name="Normal_MPCF1082 2" xfId="7"/>
    <cellStyle name="Normal_MPCF1109" xfId="5"/>
    <cellStyle name="Normal_OPTEST" xfId="2"/>
    <cellStyle name="Normal_Rev. 1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70.859572945990706</c:v>
                </c:pt>
                <c:pt idx="2">
                  <c:v>246.17748452875517</c:v>
                </c:pt>
                <c:pt idx="3">
                  <c:v>270</c:v>
                </c:pt>
                <c:pt idx="4">
                  <c:v>191.64405160100785</c:v>
                </c:pt>
                <c:pt idx="5">
                  <c:v>163.56348928494782</c:v>
                </c:pt>
                <c:pt idx="6">
                  <c:v>142.8136206081127</c:v>
                </c:pt>
                <c:pt idx="7">
                  <c:v>135</c:v>
                </c:pt>
                <c:pt idx="8">
                  <c:v>135.00016171376313</c:v>
                </c:pt>
                <c:pt idx="9">
                  <c:v>135.00073934067859</c:v>
                </c:pt>
                <c:pt idx="10">
                  <c:v>135.00103878595939</c:v>
                </c:pt>
                <c:pt idx="11">
                  <c:v>135.00140667726163</c:v>
                </c:pt>
                <c:pt idx="12">
                  <c:v>135.0043198843837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24-4382-9B3A-EC03E8D4535E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99.199996948242188</c:v>
                </c:pt>
                <c:pt idx="2">
                  <c:v>95.25</c:v>
                </c:pt>
                <c:pt idx="3">
                  <c:v>89.75</c:v>
                </c:pt>
                <c:pt idx="4">
                  <c:v>74</c:v>
                </c:pt>
                <c:pt idx="5">
                  <c:v>58.799999237060547</c:v>
                </c:pt>
                <c:pt idx="6">
                  <c:v>36.400001525878906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24-4382-9B3A-EC03E8D4535E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DesignSheet!$B$100:$B$113</c:f>
              <c:numCache>
                <c:formatCode>0.0</c:formatCode>
                <c:ptCount val="14"/>
                <c:pt idx="0">
                  <c:v>0</c:v>
                </c:pt>
                <c:pt idx="1">
                  <c:v>45.350128304664111</c:v>
                </c:pt>
                <c:pt idx="2">
                  <c:v>157.55359844546302</c:v>
                </c:pt>
                <c:pt idx="3">
                  <c:v>172.80000514984135</c:v>
                </c:pt>
                <c:pt idx="4">
                  <c:v>122.65220092094535</c:v>
                </c:pt>
                <c:pt idx="5">
                  <c:v>104.68063788535105</c:v>
                </c:pt>
                <c:pt idx="6">
                  <c:v>91.40071561457853</c:v>
                </c:pt>
                <c:pt idx="7">
                  <c:v>86.400002574920677</c:v>
                </c:pt>
                <c:pt idx="8">
                  <c:v>86.400109996798875</c:v>
                </c:pt>
                <c:pt idx="9">
                  <c:v>86.400471324934642</c:v>
                </c:pt>
                <c:pt idx="10">
                  <c:v>86.400666637440466</c:v>
                </c:pt>
                <c:pt idx="11">
                  <c:v>86.400901012447449</c:v>
                </c:pt>
                <c:pt idx="12">
                  <c:v>86.402766246878031</c:v>
                </c:pt>
                <c:pt idx="13">
                  <c:v>86.400002574920677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24-4382-9B3A-EC03E8D45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208288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0.23391754925251007</c:v>
                </c:pt>
                <c:pt idx="1">
                  <c:v>78.313163757324219</c:v>
                </c:pt>
                <c:pt idx="2">
                  <c:v>306.16116333007813</c:v>
                </c:pt>
                <c:pt idx="3">
                  <c:v>446.44354248046875</c:v>
                </c:pt>
                <c:pt idx="4">
                  <c:v>506.09783935546875</c:v>
                </c:pt>
                <c:pt idx="5">
                  <c:v>535.7017822265625</c:v>
                </c:pt>
                <c:pt idx="6">
                  <c:v>564.48968505859375</c:v>
                </c:pt>
                <c:pt idx="7">
                  <c:v>580.18548583984375</c:v>
                </c:pt>
                <c:pt idx="8">
                  <c:v>591.72454833984375</c:v>
                </c:pt>
                <c:pt idx="9">
                  <c:v>601.42449951171875</c:v>
                </c:pt>
                <c:pt idx="10">
                  <c:v>609.9888916015625</c:v>
                </c:pt>
                <c:pt idx="11">
                  <c:v>617.476318359375</c:v>
                </c:pt>
                <c:pt idx="12">
                  <c:v>624.1993408203125</c:v>
                </c:pt>
                <c:pt idx="13">
                  <c:v>630.23260498046875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24-4382-9B3A-EC03E8D4535E}"/>
            </c:ext>
          </c:extLst>
        </c:ser>
        <c:ser>
          <c:idx val="4"/>
          <c:order val="4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DesignSheet!$C$100:$C$113</c:f>
              <c:numCache>
                <c:formatCode>0.0</c:formatCode>
                <c:ptCount val="14"/>
                <c:pt idx="0">
                  <c:v>16.093526840209961</c:v>
                </c:pt>
                <c:pt idx="1">
                  <c:v>62.650531768798828</c:v>
                </c:pt>
                <c:pt idx="2">
                  <c:v>244.92893981933594</c:v>
                </c:pt>
                <c:pt idx="3">
                  <c:v>357.15484619140625</c:v>
                </c:pt>
                <c:pt idx="4">
                  <c:v>404.87826538085938</c:v>
                </c:pt>
                <c:pt idx="5">
                  <c:v>428.56143188476563</c:v>
                </c:pt>
                <c:pt idx="6">
                  <c:v>451.59176635742188</c:v>
                </c:pt>
                <c:pt idx="7">
                  <c:v>464.14840698242188</c:v>
                </c:pt>
                <c:pt idx="8">
                  <c:v>473.379638671875</c:v>
                </c:pt>
                <c:pt idx="9">
                  <c:v>481.13961791992188</c:v>
                </c:pt>
                <c:pt idx="10">
                  <c:v>487.99111938476563</c:v>
                </c:pt>
                <c:pt idx="11">
                  <c:v>493.98104858398438</c:v>
                </c:pt>
                <c:pt idx="12">
                  <c:v>499.35946655273438</c:v>
                </c:pt>
                <c:pt idx="13">
                  <c:v>504.18609619140625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24-4382-9B3A-EC03E8D45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0220828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02208288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70.859572945990706</c:v>
                </c:pt>
                <c:pt idx="2">
                  <c:v>246.17748452875517</c:v>
                </c:pt>
                <c:pt idx="3">
                  <c:v>270</c:v>
                </c:pt>
                <c:pt idx="4">
                  <c:v>191.64405160100785</c:v>
                </c:pt>
                <c:pt idx="5">
                  <c:v>163.56348928494782</c:v>
                </c:pt>
                <c:pt idx="6">
                  <c:v>142.8136206081127</c:v>
                </c:pt>
                <c:pt idx="7">
                  <c:v>135</c:v>
                </c:pt>
                <c:pt idx="8">
                  <c:v>135.00016171376313</c:v>
                </c:pt>
                <c:pt idx="9">
                  <c:v>135.00073934067859</c:v>
                </c:pt>
                <c:pt idx="10">
                  <c:v>135.00103878595939</c:v>
                </c:pt>
                <c:pt idx="11">
                  <c:v>135.00140667726163</c:v>
                </c:pt>
                <c:pt idx="12">
                  <c:v>135.0043198843837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3-48E4-A098-411DFBFD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275944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FF0000"/>
              </a:solidFill>
              <a:prstDash val="lgDashDot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99.199996948242188</c:v>
                </c:pt>
                <c:pt idx="2">
                  <c:v>95.25</c:v>
                </c:pt>
                <c:pt idx="3">
                  <c:v>89.75</c:v>
                </c:pt>
                <c:pt idx="4">
                  <c:v>74</c:v>
                </c:pt>
                <c:pt idx="5">
                  <c:v>58.799999237060547</c:v>
                </c:pt>
                <c:pt idx="6">
                  <c:v>36.400001525878906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33-48E4-A098-411DFBFD3947}"/>
            </c:ext>
          </c:extLst>
        </c:ser>
        <c:ser>
          <c:idx val="3"/>
          <c:order val="3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STCurve!$E$54:$E$67</c:f>
              <c:numCache>
                <c:formatCode>0.0</c:formatCode>
                <c:ptCount val="14"/>
                <c:pt idx="0">
                  <c:v>0</c:v>
                </c:pt>
                <c:pt idx="1">
                  <c:v>45.350128304664111</c:v>
                </c:pt>
                <c:pt idx="2">
                  <c:v>157.55359844546302</c:v>
                </c:pt>
                <c:pt idx="3">
                  <c:v>172.80000514984135</c:v>
                </c:pt>
                <c:pt idx="4">
                  <c:v>122.65220092094535</c:v>
                </c:pt>
                <c:pt idx="5">
                  <c:v>104.68063788535105</c:v>
                </c:pt>
                <c:pt idx="6">
                  <c:v>91.40071561457853</c:v>
                </c:pt>
                <c:pt idx="7">
                  <c:v>86.400002574920677</c:v>
                </c:pt>
                <c:pt idx="8">
                  <c:v>86.400109996798875</c:v>
                </c:pt>
                <c:pt idx="9">
                  <c:v>86.400471324934642</c:v>
                </c:pt>
                <c:pt idx="10">
                  <c:v>86.400666637440466</c:v>
                </c:pt>
                <c:pt idx="11">
                  <c:v>86.400901012447449</c:v>
                </c:pt>
                <c:pt idx="12">
                  <c:v>86.402766246878031</c:v>
                </c:pt>
                <c:pt idx="13">
                  <c:v>86.400002574920677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33-48E4-A098-411DFBFD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275944"/>
        <c:axId val="1"/>
      </c:scatterChart>
      <c:scatterChart>
        <c:scatterStyle val="lineMarker"/>
        <c:varyColors val="0"/>
        <c:ser>
          <c:idx val="1"/>
          <c:order val="1"/>
          <c:tx>
            <c:v>Current (FV / 0.80)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0.23391754925251007</c:v>
                </c:pt>
                <c:pt idx="1">
                  <c:v>78.313163757324219</c:v>
                </c:pt>
                <c:pt idx="2">
                  <c:v>306.16116333007813</c:v>
                </c:pt>
                <c:pt idx="3">
                  <c:v>446.44354248046875</c:v>
                </c:pt>
                <c:pt idx="4">
                  <c:v>506.09783935546875</c:v>
                </c:pt>
                <c:pt idx="5">
                  <c:v>535.7017822265625</c:v>
                </c:pt>
                <c:pt idx="6">
                  <c:v>564.48968505859375</c:v>
                </c:pt>
                <c:pt idx="7">
                  <c:v>580.18548583984375</c:v>
                </c:pt>
                <c:pt idx="8">
                  <c:v>591.72454833984375</c:v>
                </c:pt>
                <c:pt idx="9">
                  <c:v>601.42449951171875</c:v>
                </c:pt>
                <c:pt idx="10">
                  <c:v>609.9888916015625</c:v>
                </c:pt>
                <c:pt idx="11">
                  <c:v>617.476318359375</c:v>
                </c:pt>
                <c:pt idx="12">
                  <c:v>624.1993408203125</c:v>
                </c:pt>
                <c:pt idx="13">
                  <c:v>630.23260498046875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33-48E4-A098-411DFBFD3947}"/>
            </c:ext>
          </c:extLst>
        </c:ser>
        <c:ser>
          <c:idx val="4"/>
          <c:order val="4"/>
          <c:tx>
            <c:v>Current (FV / 0.80)</c:v>
          </c:tx>
          <c:spPr>
            <a:ln w="2540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STCurve!$F$54:$F$67</c:f>
              <c:numCache>
                <c:formatCode>0.0</c:formatCode>
                <c:ptCount val="14"/>
                <c:pt idx="0">
                  <c:v>16.093526840209961</c:v>
                </c:pt>
                <c:pt idx="1">
                  <c:v>62.650531768798828</c:v>
                </c:pt>
                <c:pt idx="2">
                  <c:v>244.92893981933594</c:v>
                </c:pt>
                <c:pt idx="3">
                  <c:v>357.15484619140625</c:v>
                </c:pt>
                <c:pt idx="4">
                  <c:v>404.87826538085938</c:v>
                </c:pt>
                <c:pt idx="5">
                  <c:v>428.56143188476563</c:v>
                </c:pt>
                <c:pt idx="6">
                  <c:v>451.59176635742188</c:v>
                </c:pt>
                <c:pt idx="7">
                  <c:v>464.14840698242188</c:v>
                </c:pt>
                <c:pt idx="8">
                  <c:v>473.379638671875</c:v>
                </c:pt>
                <c:pt idx="9">
                  <c:v>481.13961791992188</c:v>
                </c:pt>
                <c:pt idx="10">
                  <c:v>487.99111938476563</c:v>
                </c:pt>
                <c:pt idx="11">
                  <c:v>493.98104858398438</c:v>
                </c:pt>
                <c:pt idx="12">
                  <c:v>499.35946655273438</c:v>
                </c:pt>
                <c:pt idx="13">
                  <c:v>504.18609619140625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33-48E4-A098-411DFBFD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6727594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7275944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2222277478473086"/>
          <c:y val="0.89543806073670451"/>
          <c:w val="0.80287848229497627"/>
          <c:h val="9.695737652565292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630.23255813953483</c:v>
                </c:pt>
                <c:pt idx="1">
                  <c:v>556.82904651162789</c:v>
                </c:pt>
                <c:pt idx="2">
                  <c:v>483.40351162790694</c:v>
                </c:pt>
                <c:pt idx="3">
                  <c:v>410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24</c:v>
                </c:pt>
                <c:pt idx="1">
                  <c:v>30.744621354214956</c:v>
                </c:pt>
                <c:pt idx="2">
                  <c:v>40.79371997331878</c:v>
                </c:pt>
                <c:pt idx="3">
                  <c:v>56.708113361918208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4-4573-AB48-2F2DA67AD958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630.23255813953483</c:v>
                </c:pt>
                <c:pt idx="1">
                  <c:v>556.82904651162789</c:v>
                </c:pt>
                <c:pt idx="2">
                  <c:v>483.40351162790694</c:v>
                </c:pt>
                <c:pt idx="3">
                  <c:v>410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12</c:v>
                </c:pt>
                <c:pt idx="1">
                  <c:v>15.372310677107478</c:v>
                </c:pt>
                <c:pt idx="2">
                  <c:v>20.39685998665939</c:v>
                </c:pt>
                <c:pt idx="3">
                  <c:v>28.354056680959104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64-4573-AB48-2F2DA67AD958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310</c:v>
                </c:pt>
                <c:pt idx="1">
                  <c:v>210</c:v>
                </c:pt>
                <c:pt idx="2">
                  <c:v>270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65.381576516724621</c:v>
                </c:pt>
                <c:pt idx="3">
                  <c:v>147.10854716263043</c:v>
                </c:pt>
                <c:pt idx="4">
                  <c:v>226.69759467630084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64-4573-AB48-2F2DA67AD958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630.23255813953483</c:v>
                </c:pt>
                <c:pt idx="1">
                  <c:v>627.20930232558135</c:v>
                </c:pt>
                <c:pt idx="2">
                  <c:v>620.81395348837214</c:v>
                </c:pt>
                <c:pt idx="3">
                  <c:v>613.72093023255809</c:v>
                </c:pt>
                <c:pt idx="4">
                  <c:v>605.69767441860461</c:v>
                </c:pt>
                <c:pt idx="5">
                  <c:v>596.62790697674416</c:v>
                </c:pt>
                <c:pt idx="6">
                  <c:v>585.93023255813955</c:v>
                </c:pt>
                <c:pt idx="7">
                  <c:v>572.32558139534888</c:v>
                </c:pt>
                <c:pt idx="8">
                  <c:v>550.11627906976742</c:v>
                </c:pt>
                <c:pt idx="9">
                  <c:v>520.93023255813955</c:v>
                </c:pt>
                <c:pt idx="10">
                  <c:v>476.27906976744185</c:v>
                </c:pt>
                <c:pt idx="11">
                  <c:v>376.27906976744191</c:v>
                </c:pt>
                <c:pt idx="12">
                  <c:v>110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0.21439673334591092</c:v>
                </c:pt>
                <c:pt idx="2">
                  <c:v>0.40911454611220954</c:v>
                </c:pt>
                <c:pt idx="3">
                  <c:v>0.59761796371829512</c:v>
                </c:pt>
                <c:pt idx="4">
                  <c:v>0.78612135045713183</c:v>
                </c:pt>
                <c:pt idx="5">
                  <c:v>0.97980339725720889</c:v>
                </c:pt>
                <c:pt idx="6">
                  <c:v>1.1859142652449608</c:v>
                </c:pt>
                <c:pt idx="7">
                  <c:v>1.4489903939063549</c:v>
                </c:pt>
                <c:pt idx="8">
                  <c:v>1.7224239661592244</c:v>
                </c:pt>
                <c:pt idx="9">
                  <c:v>1.8518905911592245</c:v>
                </c:pt>
                <c:pt idx="10">
                  <c:v>1.9492494743919373</c:v>
                </c:pt>
                <c:pt idx="11">
                  <c:v>1.9782499954286814</c:v>
                </c:pt>
                <c:pt idx="12">
                  <c:v>2.0000004170734882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64-4573-AB48-2F2DA67AD958}"/>
            </c:ext>
          </c:extLst>
        </c:ser>
        <c:ser>
          <c:idx val="4"/>
          <c:order val="4"/>
          <c:marker>
            <c:symbol val="none"/>
          </c:marker>
          <c:xVal>
            <c:numRef>
              <c:f>Thermdam!$G$68:$G$80</c:f>
              <c:numCache>
                <c:formatCode>_(* #,##0.00_);_(* \(#,##0.00\);_(* "-"??_);_(@_)</c:formatCode>
                <c:ptCount val="13"/>
                <c:pt idx="0">
                  <c:v>504.18604651162786</c:v>
                </c:pt>
                <c:pt idx="1">
                  <c:v>501.76744186046511</c:v>
                </c:pt>
                <c:pt idx="2">
                  <c:v>496.65116279069775</c:v>
                </c:pt>
                <c:pt idx="3">
                  <c:v>490.97674418604652</c:v>
                </c:pt>
                <c:pt idx="4">
                  <c:v>484.55813953488371</c:v>
                </c:pt>
                <c:pt idx="5">
                  <c:v>477.30232558139534</c:v>
                </c:pt>
                <c:pt idx="6">
                  <c:v>468.74418604651169</c:v>
                </c:pt>
                <c:pt idx="7">
                  <c:v>457.8604651162791</c:v>
                </c:pt>
                <c:pt idx="8">
                  <c:v>440.09302325581393</c:v>
                </c:pt>
                <c:pt idx="9">
                  <c:v>416.74418604651169</c:v>
                </c:pt>
                <c:pt idx="10">
                  <c:v>381.02325581395348</c:v>
                </c:pt>
                <c:pt idx="11">
                  <c:v>301.02325581395354</c:v>
                </c:pt>
                <c:pt idx="12">
                  <c:v>110</c:v>
                </c:pt>
              </c:numCache>
            </c:numRef>
          </c:xVal>
          <c:yVal>
            <c:numRef>
              <c:f>Thermdam!$H$68:$H$80</c:f>
              <c:numCache>
                <c:formatCode>_(* #,##0.00_);_(* \(#,##0.00\);_(* "-"??_);_(@_)</c:formatCode>
                <c:ptCount val="13"/>
                <c:pt idx="0">
                  <c:v>1E-4</c:v>
                </c:pt>
                <c:pt idx="1">
                  <c:v>0.42879346669182183</c:v>
                </c:pt>
                <c:pt idx="2">
                  <c:v>0.81822909222441909</c:v>
                </c:pt>
                <c:pt idx="3">
                  <c:v>1.1952359274365902</c:v>
                </c:pt>
                <c:pt idx="4">
                  <c:v>1.5722427009142637</c:v>
                </c:pt>
                <c:pt idx="5">
                  <c:v>1.9596067945144178</c:v>
                </c:pt>
                <c:pt idx="6">
                  <c:v>2.3718285304899216</c:v>
                </c:pt>
                <c:pt idx="7">
                  <c:v>2.8979807878127097</c:v>
                </c:pt>
                <c:pt idx="8">
                  <c:v>3.4448479323184489</c:v>
                </c:pt>
                <c:pt idx="9">
                  <c:v>3.703781182318449</c:v>
                </c:pt>
                <c:pt idx="10">
                  <c:v>3.8984989487838746</c:v>
                </c:pt>
                <c:pt idx="11">
                  <c:v>3.9564999908573628</c:v>
                </c:pt>
                <c:pt idx="12">
                  <c:v>4.0000008341469764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64-4573-AB48-2F2DA67AD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891648"/>
        <c:axId val="1"/>
      </c:scatterChart>
      <c:valAx>
        <c:axId val="87289164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89164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91.8076171875</c:v>
                </c:pt>
                <c:pt idx="2">
                  <c:v>93.886054992675781</c:v>
                </c:pt>
                <c:pt idx="3">
                  <c:v>94.144783020019531</c:v>
                </c:pt>
                <c:pt idx="4">
                  <c:v>93.90118408203125</c:v>
                </c:pt>
                <c:pt idx="5">
                  <c:v>93.464286804199219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D-489D-8C81-FFD6A15F97F9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69.120231628417969</c:v>
                </c:pt>
                <c:pt idx="1">
                  <c:v>86.911941528320313</c:v>
                </c:pt>
                <c:pt idx="2">
                  <c:v>91.699836730957031</c:v>
                </c:pt>
                <c:pt idx="3">
                  <c:v>93.039253234863281</c:v>
                </c:pt>
                <c:pt idx="4">
                  <c:v>92.981834411621094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2D-489D-8C81-FFD6A15F97F9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69.508760797662603</c:v>
                </c:pt>
                <c:pt idx="2">
                  <c:v>55.262990236523059</c:v>
                </c:pt>
                <c:pt idx="3">
                  <c:v>40.614873076168699</c:v>
                </c:pt>
                <c:pt idx="4">
                  <c:v>25.05242957987338</c:v>
                </c:pt>
                <c:pt idx="5">
                  <c:v>9.7586987660537527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2D-489D-8C81-FFD6A15F97F9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2</c:v>
                </c:pt>
                <c:pt idx="1">
                  <c:v>10.12402863360011</c:v>
                </c:pt>
                <c:pt idx="2">
                  <c:v>19.799808937139439</c:v>
                </c:pt>
                <c:pt idx="3">
                  <c:v>29.618089071850573</c:v>
                </c:pt>
                <c:pt idx="4">
                  <c:v>39.593227542368346</c:v>
                </c:pt>
                <c:pt idx="5">
                  <c:v>49.722885694134852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2D-489D-8C81-FFD6A15F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63980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20.062594163565617</c:v>
                </c:pt>
                <c:pt idx="1">
                  <c:v>29.598407745361328</c:v>
                </c:pt>
                <c:pt idx="2">
                  <c:v>46.03643798828125</c:v>
                </c:pt>
                <c:pt idx="3">
                  <c:v>65.269248962402344</c:v>
                </c:pt>
                <c:pt idx="4">
                  <c:v>85.995330810546875</c:v>
                </c:pt>
                <c:pt idx="5">
                  <c:v>108.06333923339844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2D-489D-8C81-FFD6A15F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34063980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063980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11.6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282.5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55.0</a:t>
          </a:r>
        </a:p>
      </xdr:txBody>
    </xdr:sp>
    <xdr:clientData/>
  </xdr:twoCellAnchor>
  <xdr:twoCellAnchor>
    <xdr:from>
      <xdr:col>12</xdr:col>
      <xdr:colOff>9525</xdr:colOff>
      <xdr:row>31</xdr:row>
      <xdr:rowOff>0</xdr:rowOff>
    </xdr:from>
    <xdr:to>
      <xdr:col>13</xdr:col>
      <xdr:colOff>400050</xdr:colOff>
      <xdr:row>34</xdr:row>
      <xdr:rowOff>66675</xdr:rowOff>
    </xdr:to>
    <xdr:grpSp>
      <xdr:nvGrpSpPr>
        <xdr:cNvPr id="73" name="Group 191"/>
        <xdr:cNvGrpSpPr>
          <a:grpSpLocks/>
        </xdr:cNvGrpSpPr>
      </xdr:nvGrpSpPr>
      <xdr:grpSpPr bwMode="auto">
        <a:xfrm>
          <a:off x="8134350" y="7153275"/>
          <a:ext cx="1000125" cy="752475"/>
          <a:chOff x="92" y="938"/>
          <a:chExt cx="121" cy="79"/>
        </a:xfrm>
      </xdr:grpSpPr>
      <xdr:sp macro="" textlink="">
        <xdr:nvSpPr>
          <xdr:cNvPr id="74" name="Line 192"/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193"/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194"/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195"/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196"/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197"/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Text 583"/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81" name="Group 199"/>
          <xdr:cNvGrpSpPr>
            <a:grpSpLocks/>
          </xdr:cNvGrpSpPr>
        </xdr:nvGrpSpPr>
        <xdr:grpSpPr bwMode="auto">
          <a:xfrm>
            <a:off x="92" y="938"/>
            <a:ext cx="93" cy="77"/>
            <a:chOff x="13440000" y="15720000"/>
            <a:chExt cx="1901469" cy="1540000"/>
          </a:xfrm>
        </xdr:grpSpPr>
        <xdr:grpSp>
          <xdr:nvGrpSpPr>
            <xdr:cNvPr id="83" name="Group 200"/>
            <xdr:cNvGrpSpPr>
              <a:grpSpLocks/>
            </xdr:cNvGrpSpPr>
          </xdr:nvGrpSpPr>
          <xdr:grpSpPr bwMode="auto">
            <a:xfrm>
              <a:off x="13440000" y="15720000"/>
              <a:ext cx="1901469" cy="1540000"/>
              <a:chOff x="13440000" y="15720000"/>
              <a:chExt cx="1901469" cy="1540000"/>
            </a:xfrm>
          </xdr:grpSpPr>
          <xdr:sp macro="" textlink="">
            <xdr:nvSpPr>
              <xdr:cNvPr id="85" name="Line 201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202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203"/>
              <xdr:cNvSpPr>
                <a:spLocks noChangeShapeType="1"/>
              </xdr:cNvSpPr>
            </xdr:nvSpPr>
            <xdr:spPr bwMode="auto">
              <a:xfrm>
                <a:off x="14060001" y="15819999"/>
                <a:ext cx="1281468" cy="314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204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205"/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0" name="Line 206"/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4" name="Line 207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2" name="Line 208"/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96" name="Group 104"/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97" name="Group 112"/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108" name="Group 113"/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110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1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2" name="Line 116"/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3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4" name="Line 118"/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5" name="Line 119"/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09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98" name="Group 106"/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99" name="Line 121"/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100" name="Group 108"/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101" name="Line 102"/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2" name="Line 103"/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3" name="Line 104"/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" name="Line 105"/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5" name="Line 106"/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6" name="Line 107"/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7" name="Line 102"/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16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17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18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19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20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21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22" name="Radius"/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23" name="Thickness"/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24" name="Text 583"/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942975</xdr:colOff>
      <xdr:row>35</xdr:row>
      <xdr:rowOff>180975</xdr:rowOff>
    </xdr:from>
    <xdr:to>
      <xdr:col>13</xdr:col>
      <xdr:colOff>533400</xdr:colOff>
      <xdr:row>39</xdr:row>
      <xdr:rowOff>200025</xdr:rowOff>
    </xdr:to>
    <xdr:grpSp>
      <xdr:nvGrpSpPr>
        <xdr:cNvPr id="125" name="Group 3"/>
        <xdr:cNvGrpSpPr>
          <a:grpSpLocks/>
        </xdr:cNvGrpSpPr>
      </xdr:nvGrpSpPr>
      <xdr:grpSpPr bwMode="auto">
        <a:xfrm>
          <a:off x="8001000" y="8248650"/>
          <a:ext cx="1266825" cy="933450"/>
          <a:chOff x="0" y="12606618"/>
          <a:chExt cx="1416423" cy="937933"/>
        </a:xfrm>
      </xdr:grpSpPr>
      <xdr:sp macro="" textlink="">
        <xdr:nvSpPr>
          <xdr:cNvPr id="126" name="Line 128"/>
          <xdr:cNvSpPr>
            <a:spLocks noChangeShapeType="1"/>
          </xdr:cNvSpPr>
        </xdr:nvSpPr>
        <xdr:spPr bwMode="auto">
          <a:xfrm>
            <a:off x="263338" y="13094074"/>
            <a:ext cx="326651" cy="5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146"/>
          <xdr:cNvSpPr>
            <a:spLocks noChangeShapeType="1"/>
          </xdr:cNvSpPr>
        </xdr:nvSpPr>
        <xdr:spPr bwMode="auto">
          <a:xfrm>
            <a:off x="1025898" y="12912539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28" name="Group 2"/>
          <xdr:cNvGrpSpPr>
            <a:grpSpLocks/>
          </xdr:cNvGrpSpPr>
        </xdr:nvGrpSpPr>
        <xdr:grpSpPr bwMode="auto">
          <a:xfrm>
            <a:off x="0" y="12606618"/>
            <a:ext cx="1416423" cy="937933"/>
            <a:chOff x="0" y="12606618"/>
            <a:chExt cx="1416423" cy="937933"/>
          </a:xfrm>
        </xdr:grpSpPr>
        <xdr:sp macro="" textlink="">
          <xdr:nvSpPr>
            <xdr:cNvPr id="129" name="Line 150"/>
            <xdr:cNvSpPr>
              <a:spLocks noChangeShapeType="1"/>
            </xdr:cNvSpPr>
          </xdr:nvSpPr>
          <xdr:spPr bwMode="auto">
            <a:xfrm flipV="1">
              <a:off x="761439" y="12606618"/>
              <a:ext cx="0" cy="1630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" name="Line 151"/>
            <xdr:cNvSpPr>
              <a:spLocks noChangeShapeType="1"/>
            </xdr:cNvSpPr>
          </xdr:nvSpPr>
          <xdr:spPr bwMode="auto">
            <a:xfrm flipV="1">
              <a:off x="988359" y="12606618"/>
              <a:ext cx="0" cy="1630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131" name="Group 1"/>
            <xdr:cNvGrpSpPr>
              <a:grpSpLocks/>
            </xdr:cNvGrpSpPr>
          </xdr:nvGrpSpPr>
          <xdr:grpSpPr bwMode="auto">
            <a:xfrm>
              <a:off x="0" y="12635193"/>
              <a:ext cx="1416423" cy="909358"/>
              <a:chOff x="0" y="12635193"/>
              <a:chExt cx="1416423" cy="909358"/>
            </a:xfrm>
          </xdr:grpSpPr>
          <xdr:sp macro="" textlink="">
            <xdr:nvSpPr>
              <xdr:cNvPr id="133" name="Line 125"/>
              <xdr:cNvSpPr>
                <a:spLocks noChangeShapeType="1"/>
              </xdr:cNvSpPr>
            </xdr:nvSpPr>
            <xdr:spPr bwMode="auto">
              <a:xfrm flipV="1">
                <a:off x="0" y="12807764"/>
                <a:ext cx="27622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4" name="Line 126"/>
              <xdr:cNvSpPr>
                <a:spLocks noChangeShapeType="1"/>
              </xdr:cNvSpPr>
            </xdr:nvSpPr>
            <xdr:spPr bwMode="auto">
              <a:xfrm>
                <a:off x="266700" y="12807764"/>
                <a:ext cx="0" cy="73678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5" name="Line 127"/>
              <xdr:cNvSpPr>
                <a:spLocks noChangeShapeType="1"/>
              </xdr:cNvSpPr>
            </xdr:nvSpPr>
            <xdr:spPr bwMode="auto">
              <a:xfrm flipV="1">
                <a:off x="295275" y="13219580"/>
                <a:ext cx="27566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6" name="Line 129"/>
              <xdr:cNvSpPr>
                <a:spLocks noChangeShapeType="1"/>
              </xdr:cNvSpPr>
            </xdr:nvSpPr>
            <xdr:spPr bwMode="auto">
              <a:xfrm>
                <a:off x="266700" y="12836339"/>
                <a:ext cx="30423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7" name="Line 130"/>
              <xdr:cNvSpPr>
                <a:spLocks noChangeShapeType="1"/>
              </xdr:cNvSpPr>
            </xdr:nvSpPr>
            <xdr:spPr bwMode="auto">
              <a:xfrm flipV="1">
                <a:off x="1235448" y="13132734"/>
                <a:ext cx="0" cy="18209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8" name="Rectangle 132"/>
              <xdr:cNvSpPr>
                <a:spLocks noChangeArrowheads="1"/>
              </xdr:cNvSpPr>
            </xdr:nvSpPr>
            <xdr:spPr bwMode="auto">
              <a:xfrm>
                <a:off x="570939" y="12807764"/>
                <a:ext cx="416859" cy="33449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39" name="Rectangle 133"/>
              <xdr:cNvSpPr>
                <a:spLocks noChangeArrowheads="1"/>
              </xdr:cNvSpPr>
            </xdr:nvSpPr>
            <xdr:spPr bwMode="auto">
              <a:xfrm>
                <a:off x="761439" y="12807764"/>
                <a:ext cx="226359" cy="10477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40" name="Line 137"/>
              <xdr:cNvSpPr>
                <a:spLocks noChangeShapeType="1"/>
              </xdr:cNvSpPr>
            </xdr:nvSpPr>
            <xdr:spPr bwMode="auto">
              <a:xfrm flipH="1">
                <a:off x="570938" y="13217338"/>
                <a:ext cx="353546" cy="224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1" name="Line 138"/>
              <xdr:cNvSpPr>
                <a:spLocks noChangeShapeType="1"/>
              </xdr:cNvSpPr>
            </xdr:nvSpPr>
            <xdr:spPr bwMode="auto">
              <a:xfrm flipV="1">
                <a:off x="1311648" y="12817289"/>
                <a:ext cx="0" cy="952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2" name="Line 139"/>
              <xdr:cNvSpPr>
                <a:spLocks noChangeShapeType="1"/>
              </xdr:cNvSpPr>
            </xdr:nvSpPr>
            <xdr:spPr bwMode="auto">
              <a:xfrm>
                <a:off x="1302123" y="13037484"/>
                <a:ext cx="0" cy="857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3" name="Line 140"/>
              <xdr:cNvSpPr>
                <a:spLocks noChangeShapeType="1"/>
              </xdr:cNvSpPr>
            </xdr:nvSpPr>
            <xdr:spPr bwMode="auto">
              <a:xfrm>
                <a:off x="1025898" y="13132734"/>
                <a:ext cx="39052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4" name="Line 141"/>
              <xdr:cNvSpPr>
                <a:spLocks noChangeShapeType="1"/>
              </xdr:cNvSpPr>
            </xdr:nvSpPr>
            <xdr:spPr bwMode="auto">
              <a:xfrm>
                <a:off x="1016373" y="12807764"/>
                <a:ext cx="40005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5" name="Line 143"/>
              <xdr:cNvSpPr>
                <a:spLocks noChangeShapeType="1"/>
              </xdr:cNvSpPr>
            </xdr:nvSpPr>
            <xdr:spPr bwMode="auto">
              <a:xfrm flipV="1">
                <a:off x="1070161" y="12933830"/>
                <a:ext cx="0" cy="8684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6" name="Line 144"/>
              <xdr:cNvSpPr>
                <a:spLocks noChangeShapeType="1"/>
              </xdr:cNvSpPr>
            </xdr:nvSpPr>
            <xdr:spPr bwMode="auto">
              <a:xfrm>
                <a:off x="1083048" y="12673293"/>
                <a:ext cx="0" cy="12494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7" name="Line 149"/>
              <xdr:cNvSpPr>
                <a:spLocks noChangeShapeType="1"/>
              </xdr:cNvSpPr>
            </xdr:nvSpPr>
            <xdr:spPr bwMode="auto">
              <a:xfrm>
                <a:off x="656664" y="12635193"/>
                <a:ext cx="8572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8" name="Line 134"/>
              <xdr:cNvSpPr>
                <a:spLocks noChangeShapeType="1"/>
              </xdr:cNvSpPr>
            </xdr:nvSpPr>
            <xdr:spPr bwMode="auto">
              <a:xfrm>
                <a:off x="571500" y="13170834"/>
                <a:ext cx="0" cy="19162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9" name="Line 135"/>
              <xdr:cNvSpPr>
                <a:spLocks noChangeShapeType="1"/>
              </xdr:cNvSpPr>
            </xdr:nvSpPr>
            <xdr:spPr bwMode="auto">
              <a:xfrm>
                <a:off x="988359" y="13161309"/>
                <a:ext cx="0" cy="18209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50" name="Line 148"/>
              <xdr:cNvSpPr>
                <a:spLocks noChangeShapeType="1"/>
              </xdr:cNvSpPr>
            </xdr:nvSpPr>
            <xdr:spPr bwMode="auto">
              <a:xfrm flipH="1">
                <a:off x="999565" y="12640235"/>
                <a:ext cx="762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32" name="Line 149"/>
            <xdr:cNvSpPr>
              <a:spLocks noChangeShapeType="1"/>
            </xdr:cNvSpPr>
          </xdr:nvSpPr>
          <xdr:spPr bwMode="auto">
            <a:xfrm>
              <a:off x="890867" y="13211734"/>
              <a:ext cx="857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51" name="Text 219"/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52" name="Text 219"/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53" name="Text 219"/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  <xdr:twoCellAnchor editAs="oneCell">
    <xdr:from>
      <xdr:col>11</xdr:col>
      <xdr:colOff>47625</xdr:colOff>
      <xdr:row>38</xdr:row>
      <xdr:rowOff>104775</xdr:rowOff>
    </xdr:from>
    <xdr:to>
      <xdr:col>19</xdr:col>
      <xdr:colOff>94577</xdr:colOff>
      <xdr:row>45</xdr:row>
      <xdr:rowOff>180770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8858250"/>
          <a:ext cx="5380952" cy="16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0.66649</cdr:x>
      <cdr:y>0.62436</cdr:y>
    </cdr:from>
    <cdr:to>
      <cdr:x>0.90234</cdr:x>
      <cdr:y>0.64505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7859" y="40202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0.21871</cdr:x>
      <cdr:y>0.84343</cdr:y>
    </cdr:from>
    <cdr:to>
      <cdr:x>0.52769</cdr:x>
      <cdr:y>0.86834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79084" y="5430763"/>
          <a:ext cx="1807016" cy="1604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100%V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  <cdr:relSizeAnchor xmlns:cdr="http://schemas.openxmlformats.org/drawingml/2006/chartDrawing">
    <cdr:from>
      <cdr:x>0.22034</cdr:x>
      <cdr:y>0.71769</cdr:y>
    </cdr:from>
    <cdr:to>
      <cdr:x>0.52932</cdr:x>
      <cdr:y>0.7426</cdr:y>
    </cdr:to>
    <cdr:sp macro="" textlink="">
      <cdr:nvSpPr>
        <cdr:cNvPr id="7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88609" y="4621138"/>
          <a:ext cx="1807016" cy="1604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80%V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1776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1772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1768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1764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980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2</xdr:col>
      <xdr:colOff>1057275</xdr:colOff>
      <xdr:row>16</xdr:row>
      <xdr:rowOff>190500</xdr:rowOff>
    </xdr:from>
    <xdr:to>
      <xdr:col>3</xdr:col>
      <xdr:colOff>285750</xdr:colOff>
      <xdr:row>17</xdr:row>
      <xdr:rowOff>95250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286125" y="40862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952500</xdr:colOff>
      <xdr:row>18</xdr:row>
      <xdr:rowOff>200025</xdr:rowOff>
    </xdr:from>
    <xdr:to>
      <xdr:col>4</xdr:col>
      <xdr:colOff>171450</xdr:colOff>
      <xdr:row>19</xdr:row>
      <xdr:rowOff>133350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95775" y="45720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1057275</xdr:colOff>
      <xdr:row>22</xdr:row>
      <xdr:rowOff>104775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1828800" y="52863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781050</xdr:colOff>
      <xdr:row>28</xdr:row>
      <xdr:rowOff>200025</xdr:rowOff>
    </xdr:from>
    <xdr:to>
      <xdr:col>2</xdr:col>
      <xdr:colOff>104775</xdr:colOff>
      <xdr:row>29</xdr:row>
      <xdr:rowOff>114300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895475" y="69532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66675</xdr:colOff>
      <xdr:row>32</xdr:row>
      <xdr:rowOff>152400</xdr:rowOff>
    </xdr:from>
    <xdr:to>
      <xdr:col>2</xdr:col>
      <xdr:colOff>571500</xdr:colOff>
      <xdr:row>33</xdr:row>
      <xdr:rowOff>66675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295525" y="78581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topLeftCell="A26" zoomScale="95" zoomScaleNormal="95" workbookViewId="0">
      <selection activeCell="H46" sqref="H46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218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219</v>
      </c>
    </row>
    <row r="3" spans="1:10" ht="15" customHeight="1" thickBot="1">
      <c r="A3" s="49" t="s">
        <v>1</v>
      </c>
      <c r="B3" s="96" t="s">
        <v>217</v>
      </c>
      <c r="C3" s="1"/>
      <c r="D3" s="49"/>
      <c r="E3" s="1"/>
      <c r="F3" s="1"/>
      <c r="G3" s="49" t="s">
        <v>2</v>
      </c>
      <c r="H3" s="171">
        <v>44046</v>
      </c>
      <c r="I3" s="49" t="s">
        <v>3</v>
      </c>
      <c r="J3" s="172">
        <v>0.46304398148148151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700.00001636331262</v>
      </c>
      <c r="C5" s="140">
        <v>1800</v>
      </c>
      <c r="D5" s="50" t="s">
        <v>192</v>
      </c>
      <c r="E5" s="158">
        <v>4000</v>
      </c>
      <c r="F5" s="140">
        <v>60</v>
      </c>
      <c r="G5" s="50">
        <v>105</v>
      </c>
      <c r="H5" s="78" t="s">
        <v>250</v>
      </c>
      <c r="I5" s="77" t="s">
        <v>255</v>
      </c>
      <c r="J5" s="50" t="s">
        <v>193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20.420334999999998</v>
      </c>
      <c r="J7" s="106" t="s">
        <v>19</v>
      </c>
    </row>
    <row r="8" spans="1:10" ht="15" customHeight="1">
      <c r="A8" s="10" t="s">
        <v>20</v>
      </c>
      <c r="B8" s="69">
        <v>1.7000000476837158</v>
      </c>
      <c r="C8" s="52"/>
      <c r="D8" s="6"/>
      <c r="E8" s="51"/>
      <c r="F8" s="4"/>
      <c r="G8" s="16"/>
      <c r="H8" s="10" t="s">
        <v>21</v>
      </c>
      <c r="I8" s="68">
        <v>27.603152129554424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200</v>
      </c>
      <c r="F9" s="107" t="s">
        <v>25</v>
      </c>
      <c r="G9" s="30"/>
      <c r="H9" s="10" t="s">
        <v>26</v>
      </c>
      <c r="I9" s="69">
        <v>24.011743564777213</v>
      </c>
      <c r="J9" s="104">
        <v>725.39813323344026</v>
      </c>
    </row>
    <row r="10" spans="1:10" ht="15" customHeight="1">
      <c r="A10" s="10" t="s">
        <v>27</v>
      </c>
      <c r="B10" s="69">
        <v>530</v>
      </c>
      <c r="C10" s="73">
        <v>530</v>
      </c>
      <c r="D10" s="6"/>
      <c r="E10" s="51"/>
      <c r="F10" s="116" t="s">
        <v>213</v>
      </c>
      <c r="G10" s="114" t="s">
        <v>214</v>
      </c>
      <c r="H10" s="10" t="s">
        <v>28</v>
      </c>
      <c r="I10" s="68">
        <v>12.416524461106047</v>
      </c>
      <c r="J10" s="103" t="s">
        <v>29</v>
      </c>
    </row>
    <row r="11" spans="1:10" ht="15" customHeight="1" thickBot="1">
      <c r="A11" s="10" t="s">
        <v>30</v>
      </c>
      <c r="B11" s="69">
        <v>590</v>
      </c>
      <c r="C11" s="73">
        <v>386.59999990463257</v>
      </c>
      <c r="D11" s="10" t="s">
        <v>31</v>
      </c>
      <c r="E11" s="68">
        <v>0.86657999999999991</v>
      </c>
      <c r="F11" s="117"/>
      <c r="G11" s="113"/>
      <c r="H11" s="10" t="s">
        <v>32</v>
      </c>
      <c r="I11" s="68">
        <v>26.848828802663952</v>
      </c>
      <c r="J11" s="104">
        <v>29663.967254788047</v>
      </c>
    </row>
    <row r="12" spans="1:10" ht="15" customHeight="1">
      <c r="A12" s="10" t="s">
        <v>33</v>
      </c>
      <c r="B12" s="69">
        <v>390</v>
      </c>
      <c r="C12" s="73">
        <v>220</v>
      </c>
      <c r="D12" s="10" t="s">
        <v>34</v>
      </c>
      <c r="E12" s="153" t="s">
        <v>174</v>
      </c>
      <c r="F12" s="123" t="s">
        <v>206</v>
      </c>
      <c r="G12" s="115" t="s">
        <v>205</v>
      </c>
      <c r="H12" s="10" t="s">
        <v>35</v>
      </c>
      <c r="I12" s="68">
        <v>1.2245199353199294</v>
      </c>
      <c r="J12" s="103" t="s">
        <v>36</v>
      </c>
    </row>
    <row r="13" spans="1:10" ht="15" customHeight="1" thickBot="1">
      <c r="A13" s="10" t="s">
        <v>37</v>
      </c>
      <c r="B13" s="69">
        <v>54</v>
      </c>
      <c r="C13" s="73">
        <v>56.250000715255737</v>
      </c>
      <c r="D13" s="10" t="s">
        <v>38</v>
      </c>
      <c r="E13" s="70">
        <v>14</v>
      </c>
      <c r="F13" s="123"/>
      <c r="G13" s="115" t="s">
        <v>207</v>
      </c>
      <c r="H13" s="10" t="s">
        <v>40</v>
      </c>
      <c r="I13" s="68">
        <v>1.028095204168296</v>
      </c>
      <c r="J13" s="104">
        <v>86.228141784667969</v>
      </c>
    </row>
    <row r="14" spans="1:10" ht="15" customHeight="1" thickBot="1">
      <c r="A14" s="162" t="s">
        <v>41</v>
      </c>
      <c r="B14" s="133">
        <v>390.60000610351563</v>
      </c>
      <c r="C14" s="134">
        <v>390.60000610351563</v>
      </c>
      <c r="D14" s="10" t="s">
        <v>42</v>
      </c>
      <c r="E14" s="51" t="s">
        <v>201</v>
      </c>
      <c r="F14" s="51" t="s">
        <v>209</v>
      </c>
      <c r="G14" s="115" t="s">
        <v>208</v>
      </c>
      <c r="H14" s="49" t="s">
        <v>43</v>
      </c>
      <c r="I14" s="68">
        <v>1.2589230729108916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0.97811904826498275</v>
      </c>
      <c r="J15" s="104">
        <v>16.496205357142856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4" ht="15" customHeight="1" thickBot="1">
      <c r="A17" s="10" t="s">
        <v>52</v>
      </c>
      <c r="B17" s="51" t="s">
        <v>194</v>
      </c>
      <c r="C17" s="52" t="s">
        <v>195</v>
      </c>
      <c r="D17" s="49" t="s">
        <v>53</v>
      </c>
      <c r="E17" s="51" t="s">
        <v>202</v>
      </c>
      <c r="F17" s="51"/>
      <c r="G17" s="115"/>
      <c r="H17" s="10" t="s">
        <v>54</v>
      </c>
      <c r="I17" s="68">
        <v>0.93557673708121603</v>
      </c>
      <c r="J17" s="104">
        <v>591.17246851501295</v>
      </c>
    </row>
    <row r="18" spans="1:14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1005</v>
      </c>
      <c r="F18" s="70">
        <v>665</v>
      </c>
      <c r="G18" s="74"/>
      <c r="H18" s="13" t="s">
        <v>57</v>
      </c>
      <c r="I18" s="131" t="s">
        <v>215</v>
      </c>
      <c r="J18" s="132"/>
    </row>
    <row r="19" spans="1:14" ht="15" customHeight="1">
      <c r="A19" s="10" t="s">
        <v>58</v>
      </c>
      <c r="B19" s="69">
        <v>46</v>
      </c>
      <c r="C19" s="73">
        <v>27.049999237060547</v>
      </c>
      <c r="D19" s="10" t="s">
        <v>59</v>
      </c>
      <c r="E19" s="70">
        <v>280</v>
      </c>
      <c r="F19" s="51"/>
      <c r="G19" s="52"/>
      <c r="H19" s="143"/>
      <c r="I19" s="4" t="s">
        <v>60</v>
      </c>
      <c r="J19" s="31" t="s">
        <v>61</v>
      </c>
    </row>
    <row r="20" spans="1:14" ht="15" customHeight="1">
      <c r="A20" s="10" t="s">
        <v>62</v>
      </c>
      <c r="B20" s="69" t="s">
        <v>196</v>
      </c>
      <c r="C20" s="73">
        <v>8.0500001907348633</v>
      </c>
      <c r="D20" s="10" t="s">
        <v>166</v>
      </c>
      <c r="E20" s="161">
        <v>0.30048615343329776</v>
      </c>
      <c r="F20" s="51"/>
      <c r="G20" s="52"/>
      <c r="H20" s="10" t="s">
        <v>63</v>
      </c>
      <c r="I20" s="68">
        <v>17.917881011962891</v>
      </c>
      <c r="J20" s="72">
        <v>17.917881011962891</v>
      </c>
    </row>
    <row r="21" spans="1:14" ht="15" customHeight="1">
      <c r="A21" s="10" t="s">
        <v>64</v>
      </c>
      <c r="B21" s="69">
        <v>11.600000381469727</v>
      </c>
      <c r="C21" s="73">
        <v>3</v>
      </c>
      <c r="D21" s="10" t="s">
        <v>203</v>
      </c>
      <c r="E21" s="67">
        <v>0.40084498660355439</v>
      </c>
      <c r="F21" s="67">
        <v>0.36625891923904419</v>
      </c>
      <c r="G21" s="71">
        <v>1.3784996686816811E-2</v>
      </c>
      <c r="H21" s="10" t="s">
        <v>65</v>
      </c>
      <c r="I21" s="68">
        <v>18.340248107910156</v>
      </c>
      <c r="J21" s="72">
        <v>13.927567481994629</v>
      </c>
    </row>
    <row r="22" spans="1:14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204</v>
      </c>
      <c r="F22" s="51" t="s">
        <v>204</v>
      </c>
      <c r="G22" s="52" t="s">
        <v>204</v>
      </c>
      <c r="H22" s="10" t="s">
        <v>68</v>
      </c>
      <c r="I22" s="68">
        <v>7.4954614639282227</v>
      </c>
      <c r="J22" s="72">
        <v>4.9136881828308105</v>
      </c>
    </row>
    <row r="23" spans="1:14" ht="15" customHeight="1">
      <c r="A23" s="10" t="s">
        <v>69</v>
      </c>
      <c r="B23" s="69">
        <v>8.8203344345092773</v>
      </c>
      <c r="C23" s="73">
        <v>15.690769195556641</v>
      </c>
      <c r="D23" s="10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12.306866206559249</v>
      </c>
      <c r="J23" s="16" t="s">
        <v>216</v>
      </c>
    </row>
    <row r="24" spans="1:14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5.3123690386653637</v>
      </c>
      <c r="J24" s="72">
        <v>3.577483856582079</v>
      </c>
    </row>
    <row r="25" spans="1:14" ht="15" customHeight="1">
      <c r="A25" s="10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0.78088891506195068</v>
      </c>
      <c r="J25" s="72">
        <v>1.3298722505569458</v>
      </c>
    </row>
    <row r="26" spans="1:14" ht="15" customHeight="1">
      <c r="A26" s="10" t="s">
        <v>78</v>
      </c>
      <c r="B26" s="53" t="s">
        <v>197</v>
      </c>
      <c r="C26" s="60" t="s">
        <v>198</v>
      </c>
      <c r="D26" s="10" t="s">
        <v>79</v>
      </c>
      <c r="E26" s="69">
        <v>122.43198787953263</v>
      </c>
      <c r="F26" s="69">
        <v>56.327042175292966</v>
      </c>
      <c r="G26" s="73">
        <v>23.617237640880184</v>
      </c>
      <c r="H26" s="10" t="s">
        <v>80</v>
      </c>
      <c r="I26" s="68">
        <v>5.45599365234375</v>
      </c>
      <c r="J26" s="72">
        <v>4.6715235710144043</v>
      </c>
    </row>
    <row r="27" spans="1:14" ht="15" customHeight="1" thickBot="1">
      <c r="A27" s="10" t="s">
        <v>81</v>
      </c>
      <c r="B27" s="51" t="s">
        <v>199</v>
      </c>
      <c r="C27" s="52" t="s">
        <v>199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5.5115928649902344</v>
      </c>
      <c r="J27" s="81">
        <v>4.8571276664733887</v>
      </c>
    </row>
    <row r="28" spans="1:14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</row>
    <row r="29" spans="1:14" ht="15" customHeight="1">
      <c r="A29" s="7"/>
      <c r="B29" s="34" t="s">
        <v>87</v>
      </c>
      <c r="C29" s="75">
        <v>25.040983570422465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52" t="str">
        <f>RIGHT(F$41,SEARCH("/",F$41,1)-1)</f>
        <v xml:space="preserve"> 1767.7</v>
      </c>
      <c r="N29" t="s">
        <v>186</v>
      </c>
    </row>
    <row r="30" spans="1:14" ht="15" customHeight="1" thickBot="1">
      <c r="A30" s="8"/>
      <c r="B30" s="63" t="s">
        <v>94</v>
      </c>
      <c r="C30" s="76">
        <v>25.047422428987929</v>
      </c>
      <c r="D30" s="10" t="s">
        <v>95</v>
      </c>
      <c r="E30" s="165">
        <v>23.169226250000001</v>
      </c>
      <c r="F30" s="165">
        <v>421.84800659179689</v>
      </c>
      <c r="G30" s="165">
        <v>15.689691995919949</v>
      </c>
      <c r="H30" s="166">
        <v>330.98782712203723</v>
      </c>
      <c r="I30" s="70">
        <v>35517.329237969781</v>
      </c>
      <c r="J30" s="74">
        <v>2613.9639644539957</v>
      </c>
      <c r="M30" s="152" t="str">
        <f>RIGHT(E$41,SEARCH("/",E$41,1)-1)</f>
        <v xml:space="preserve"> 1773.9</v>
      </c>
      <c r="N30" t="s">
        <v>187</v>
      </c>
    </row>
    <row r="31" spans="1:14" ht="15" customHeight="1">
      <c r="A31" s="23" t="s">
        <v>96</v>
      </c>
      <c r="B31" s="144"/>
      <c r="C31" s="27"/>
      <c r="D31" s="10" t="s">
        <v>97</v>
      </c>
      <c r="E31" s="165">
        <v>4.6000000000000005</v>
      </c>
      <c r="F31" s="165">
        <v>516.78340259315587</v>
      </c>
      <c r="G31" s="165">
        <v>12.807426204685463</v>
      </c>
      <c r="H31" s="166">
        <v>31.781077394778489</v>
      </c>
      <c r="I31" s="70">
        <v>9508.81460771407</v>
      </c>
      <c r="J31" s="74">
        <v>503.70763605981369</v>
      </c>
      <c r="M31" s="152" t="str">
        <f>RIGHT(D$41,SEARCH("/",D$41,1)-1)</f>
        <v xml:space="preserve"> 1780.1</v>
      </c>
      <c r="N31" t="s">
        <v>188</v>
      </c>
    </row>
    <row r="32" spans="1:14" ht="15" customHeight="1">
      <c r="A32" s="6" t="s">
        <v>98</v>
      </c>
      <c r="B32" s="68" t="s">
        <v>257</v>
      </c>
      <c r="C32" s="110"/>
      <c r="D32" s="10" t="s">
        <v>99</v>
      </c>
      <c r="E32" s="165">
        <v>13.057233493676007</v>
      </c>
      <c r="F32" s="165">
        <v>439.42501245403298</v>
      </c>
      <c r="G32" s="165">
        <v>15.062104124558592</v>
      </c>
      <c r="H32" s="166">
        <v>153.12999306440284</v>
      </c>
      <c r="I32" s="9" t="s">
        <v>100</v>
      </c>
      <c r="J32" s="74">
        <v>3117.6716005138096</v>
      </c>
      <c r="M32" s="152" t="str">
        <f>RIGHT(C$41,SEARCH("/",C$41,1)-1)</f>
        <v xml:space="preserve"> 1786.0</v>
      </c>
      <c r="N32" t="s">
        <v>189</v>
      </c>
    </row>
    <row r="33" spans="1:15" ht="15" customHeight="1">
      <c r="A33" s="6" t="s">
        <v>101</v>
      </c>
      <c r="B33" s="68" t="s">
        <v>258</v>
      </c>
      <c r="C33" s="111" t="s">
        <v>102</v>
      </c>
      <c r="D33" s="10" t="s">
        <v>97</v>
      </c>
      <c r="E33" s="165">
        <v>2.7049999237060547</v>
      </c>
      <c r="F33" s="165">
        <v>674.16959979086073</v>
      </c>
      <c r="G33" s="165">
        <v>9.8175077822721892</v>
      </c>
      <c r="H33" s="166">
        <v>8.2252353223679258</v>
      </c>
      <c r="I33" s="9" t="s">
        <v>103</v>
      </c>
      <c r="J33" s="73" t="s">
        <v>227</v>
      </c>
      <c r="M33" s="152" t="str">
        <f>RIGHT(B$41,SEARCH("/",B$41,1)-1)</f>
        <v xml:space="preserve"> 1791.7</v>
      </c>
      <c r="N33" t="s">
        <v>190</v>
      </c>
    </row>
    <row r="34" spans="1:15" ht="15" customHeight="1" thickBot="1">
      <c r="A34" s="17" t="s">
        <v>104</v>
      </c>
      <c r="B34" s="79" t="s">
        <v>259</v>
      </c>
      <c r="C34" s="160">
        <v>6.6186652925181013</v>
      </c>
      <c r="D34" s="11" t="s">
        <v>20</v>
      </c>
      <c r="E34" s="167">
        <v>0.1700000047683716</v>
      </c>
      <c r="F34" s="168">
        <v>1021.8901636502607</v>
      </c>
      <c r="G34" s="168">
        <v>6.476885215213132</v>
      </c>
      <c r="H34" s="169">
        <v>876.20481783939658</v>
      </c>
      <c r="I34" s="9" t="s">
        <v>105</v>
      </c>
      <c r="J34" s="73">
        <v>6.0500001907348633</v>
      </c>
    </row>
    <row r="35" spans="1:15" ht="15" customHeight="1">
      <c r="A35" s="13" t="s">
        <v>106</v>
      </c>
      <c r="B35" s="14"/>
      <c r="C35" s="14"/>
      <c r="D35" s="135" t="s">
        <v>229</v>
      </c>
      <c r="E35" s="145" t="s">
        <v>228</v>
      </c>
      <c r="F35" s="15"/>
      <c r="G35" s="26" t="s">
        <v>107</v>
      </c>
      <c r="H35" s="85" t="s">
        <v>222</v>
      </c>
      <c r="I35" s="10" t="s">
        <v>108</v>
      </c>
      <c r="J35" s="74" t="s">
        <v>226</v>
      </c>
    </row>
    <row r="36" spans="1:15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220</v>
      </c>
      <c r="I36" s="10" t="s">
        <v>111</v>
      </c>
      <c r="J36" s="74" t="s">
        <v>225</v>
      </c>
    </row>
    <row r="37" spans="1:15" ht="15" customHeight="1" thickBot="1">
      <c r="A37" s="10" t="s">
        <v>112</v>
      </c>
      <c r="B37" s="173" t="s">
        <v>239</v>
      </c>
      <c r="C37" s="173" t="s">
        <v>240</v>
      </c>
      <c r="D37" s="173" t="s">
        <v>241</v>
      </c>
      <c r="E37" s="173" t="s">
        <v>242</v>
      </c>
      <c r="F37" s="174" t="s">
        <v>243</v>
      </c>
      <c r="G37" s="10" t="s">
        <v>113</v>
      </c>
      <c r="H37" s="74" t="s">
        <v>221</v>
      </c>
      <c r="I37" s="11" t="s">
        <v>114</v>
      </c>
      <c r="J37" s="83" t="s">
        <v>224</v>
      </c>
      <c r="O37" s="150"/>
    </row>
    <row r="38" spans="1:15" ht="15" customHeight="1" thickBot="1">
      <c r="A38" s="10" t="s">
        <v>115</v>
      </c>
      <c r="B38" s="175" t="s">
        <v>231</v>
      </c>
      <c r="C38" s="175" t="s">
        <v>232</v>
      </c>
      <c r="D38" s="175" t="s">
        <v>233</v>
      </c>
      <c r="E38" s="175" t="s">
        <v>232</v>
      </c>
      <c r="F38" s="176" t="s">
        <v>234</v>
      </c>
      <c r="G38" s="17" t="s">
        <v>116</v>
      </c>
      <c r="H38" s="83" t="s">
        <v>223</v>
      </c>
      <c r="I38" s="136" t="s">
        <v>230</v>
      </c>
      <c r="J38" s="84">
        <v>9172.166015625</v>
      </c>
      <c r="L38" t="str">
        <f>LEFT(E38,SEARCH("/",E38,1)-1)</f>
        <v xml:space="preserve">0.958 </v>
      </c>
      <c r="M38" t="str">
        <f>RIGHT(E38,SEARCH("/",E38,1)-1)</f>
        <v xml:space="preserve"> 0.939</v>
      </c>
      <c r="N38" s="151">
        <f>M38/L38</f>
        <v>0.98016701461377864</v>
      </c>
      <c r="O38" s="150" t="s">
        <v>177</v>
      </c>
    </row>
    <row r="39" spans="1:15" ht="15" customHeight="1">
      <c r="A39" s="10" t="s">
        <v>117</v>
      </c>
      <c r="B39" s="175" t="s">
        <v>235</v>
      </c>
      <c r="C39" s="175" t="s">
        <v>236</v>
      </c>
      <c r="D39" s="175" t="s">
        <v>237</v>
      </c>
      <c r="E39" s="175" t="s">
        <v>238</v>
      </c>
      <c r="F39" s="176" t="s">
        <v>238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0.912 </v>
      </c>
      <c r="M39" t="str">
        <f>RIGHT(E39,SEARCH("/",E39,1)-1)</f>
        <v xml:space="preserve"> 0.930</v>
      </c>
      <c r="N39" s="151">
        <f>M39/L39</f>
        <v>1.0197368421052633</v>
      </c>
      <c r="O39" s="150" t="s">
        <v>178</v>
      </c>
    </row>
    <row r="40" spans="1:15" ht="15" customHeight="1">
      <c r="A40" s="10" t="s">
        <v>119</v>
      </c>
      <c r="B40" s="177" t="s">
        <v>252</v>
      </c>
      <c r="C40" s="177" t="s">
        <v>253</v>
      </c>
      <c r="D40" s="177" t="s">
        <v>254</v>
      </c>
      <c r="E40" s="177" t="s">
        <v>255</v>
      </c>
      <c r="F40" s="178" t="s">
        <v>256</v>
      </c>
      <c r="G40" s="35" t="s">
        <v>121</v>
      </c>
      <c r="H40" s="91" t="s">
        <v>260</v>
      </c>
      <c r="I40" s="55"/>
      <c r="J40" s="56"/>
      <c r="L40" t="str">
        <f>LEFT(E37,SEARCH("/",E37,1)-1)</f>
        <v xml:space="preserve">86.23 </v>
      </c>
      <c r="M40">
        <v>86</v>
      </c>
      <c r="N40" s="151">
        <f>M40/L40</f>
        <v>0.99733271483242492</v>
      </c>
      <c r="O40" s="150" t="s">
        <v>176</v>
      </c>
    </row>
    <row r="41" spans="1:15" ht="15" customHeight="1">
      <c r="A41" s="10" t="s">
        <v>5</v>
      </c>
      <c r="B41" s="179" t="s">
        <v>247</v>
      </c>
      <c r="C41" s="179" t="s">
        <v>248</v>
      </c>
      <c r="D41" s="179" t="s">
        <v>249</v>
      </c>
      <c r="E41" s="179" t="s">
        <v>250</v>
      </c>
      <c r="F41" s="180" t="s">
        <v>251</v>
      </c>
      <c r="G41" s="36" t="s">
        <v>122</v>
      </c>
      <c r="H41" s="92" t="s">
        <v>261</v>
      </c>
      <c r="I41" s="57"/>
      <c r="J41" s="58"/>
      <c r="L41" t="str">
        <f>LEFT(E41,SEARCH("/",E41,1)-1)</f>
        <v xml:space="preserve">1776.4 </v>
      </c>
      <c r="M41">
        <v>1770</v>
      </c>
      <c r="N41" s="151">
        <f>M41/L41</f>
        <v>0.99639720783607288</v>
      </c>
      <c r="O41" s="150" t="s">
        <v>5</v>
      </c>
    </row>
    <row r="42" spans="1:15" ht="15" customHeight="1">
      <c r="A42" s="10" t="s">
        <v>123</v>
      </c>
      <c r="B42" s="175">
        <v>11.013249951314462</v>
      </c>
      <c r="C42" s="175">
        <v>11.013249951314462</v>
      </c>
      <c r="D42" s="175">
        <v>11.013249951314462</v>
      </c>
      <c r="E42" s="175">
        <v>11.000103276482141</v>
      </c>
      <c r="F42" s="176">
        <v>10.913382714544905</v>
      </c>
      <c r="G42" s="35" t="s">
        <v>124</v>
      </c>
      <c r="H42" s="91" t="s">
        <v>262</v>
      </c>
      <c r="I42" s="55"/>
      <c r="J42" s="97">
        <v>0.27380624378288898</v>
      </c>
    </row>
    <row r="43" spans="1:15" ht="15" customHeight="1" thickBot="1">
      <c r="A43" s="11" t="s">
        <v>125</v>
      </c>
      <c r="B43" s="181">
        <v>11.013249951314462</v>
      </c>
      <c r="C43" s="182"/>
      <c r="D43" s="183" t="s">
        <v>265</v>
      </c>
      <c r="E43" s="183"/>
      <c r="F43" s="184"/>
      <c r="G43" s="36" t="s">
        <v>122</v>
      </c>
      <c r="H43" s="92" t="s">
        <v>263</v>
      </c>
      <c r="I43" s="57"/>
      <c r="J43" s="58"/>
    </row>
    <row r="44" spans="1:15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1298.6514101283678</v>
      </c>
      <c r="I44" s="90">
        <v>6.9468986645591757E-2</v>
      </c>
      <c r="J44" s="97">
        <v>0.60532773016475849</v>
      </c>
    </row>
    <row r="45" spans="1:15" ht="15" customHeight="1">
      <c r="A45" s="10" t="s">
        <v>129</v>
      </c>
      <c r="B45" s="68">
        <v>0.25244021415710449</v>
      </c>
      <c r="C45" s="163" t="s">
        <v>130</v>
      </c>
      <c r="D45" s="72">
        <v>1.5030614100396633E-2</v>
      </c>
      <c r="E45" s="10" t="s">
        <v>131</v>
      </c>
      <c r="F45" s="74">
        <v>479.7164990667419</v>
      </c>
      <c r="G45" s="37" t="s">
        <v>122</v>
      </c>
      <c r="H45" s="86" t="s">
        <v>264</v>
      </c>
      <c r="I45" s="59"/>
      <c r="J45" s="60"/>
    </row>
    <row r="46" spans="1:15" ht="15" customHeight="1">
      <c r="A46" s="10" t="s">
        <v>132</v>
      </c>
      <c r="B46" s="68">
        <v>0.18809780478477478</v>
      </c>
      <c r="C46" s="163" t="s">
        <v>133</v>
      </c>
      <c r="D46" s="72">
        <v>1.3102182187139988E-2</v>
      </c>
      <c r="E46" s="10" t="s">
        <v>134</v>
      </c>
      <c r="F46" s="74">
        <v>845.30687962743843</v>
      </c>
      <c r="G46" s="36" t="s">
        <v>135</v>
      </c>
      <c r="H46" s="94">
        <v>288.13733121141092</v>
      </c>
      <c r="I46" s="57"/>
      <c r="J46" s="58"/>
      <c r="L46" s="146" t="s">
        <v>179</v>
      </c>
      <c r="M46" s="148">
        <f>B5^0.95</f>
        <v>504.47906404005028</v>
      </c>
    </row>
    <row r="47" spans="1:15" ht="15" customHeight="1">
      <c r="A47" s="10" t="s">
        <v>136</v>
      </c>
      <c r="B47" s="68">
        <v>0.44053801894187927</v>
      </c>
      <c r="C47" s="163" t="s">
        <v>137</v>
      </c>
      <c r="D47" s="72">
        <v>3.063960000872612E-3</v>
      </c>
      <c r="E47" s="10" t="s">
        <v>138</v>
      </c>
      <c r="F47" s="74">
        <v>681.03184856933785</v>
      </c>
      <c r="G47" s="64" t="s">
        <v>139</v>
      </c>
      <c r="H47" s="93">
        <v>1211.7776251778746</v>
      </c>
      <c r="I47" s="90">
        <v>6.4505657040455952E-2</v>
      </c>
      <c r="J47" s="95">
        <v>0.63072791244046511</v>
      </c>
      <c r="L47" s="146" t="s">
        <v>180</v>
      </c>
      <c r="M47" s="148">
        <f>B5^1.5</f>
        <v>18520.259826850965</v>
      </c>
    </row>
    <row r="48" spans="1:15" ht="15" customHeight="1">
      <c r="A48" s="10" t="s">
        <v>140</v>
      </c>
      <c r="B48" s="68">
        <v>9.7235329449176788E-3</v>
      </c>
      <c r="C48" s="163" t="s">
        <v>100</v>
      </c>
      <c r="D48" s="72">
        <v>4.0920287370681763E-2</v>
      </c>
      <c r="E48" s="10" t="s">
        <v>141</v>
      </c>
      <c r="F48" s="74">
        <v>139.06499968592183</v>
      </c>
      <c r="G48" s="65" t="s">
        <v>122</v>
      </c>
      <c r="H48" s="86">
        <v>232.05239311588787</v>
      </c>
      <c r="I48" s="59"/>
      <c r="J48" s="60"/>
      <c r="L48" s="146" t="s">
        <v>181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4" t="s">
        <v>142</v>
      </c>
      <c r="D49" s="81">
        <v>0.95907974243164063</v>
      </c>
      <c r="E49" s="11" t="s">
        <v>143</v>
      </c>
      <c r="F49" s="83">
        <v>277.40040886143709</v>
      </c>
      <c r="G49" s="66" t="s">
        <v>135</v>
      </c>
      <c r="H49" s="94">
        <v>277.29850846390809</v>
      </c>
      <c r="I49" s="57"/>
      <c r="J49" s="61"/>
      <c r="L49" s="146" t="s">
        <v>182</v>
      </c>
      <c r="M49" s="147">
        <f>IF(A5="",0,(7200/(1000*A5))^1.8)</f>
        <v>2.8806500970683282</v>
      </c>
    </row>
    <row r="50" spans="1:13" ht="15" customHeight="1">
      <c r="A50" s="13" t="s">
        <v>212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24</v>
      </c>
    </row>
    <row r="51" spans="1:13" ht="15" customHeight="1">
      <c r="A51" s="10" t="s">
        <v>145</v>
      </c>
      <c r="B51" s="51">
        <v>44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0.12573369824249717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27.049999237060547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62773.015169029997</v>
      </c>
      <c r="I52" s="98" t="s">
        <v>244</v>
      </c>
      <c r="J52" s="62"/>
      <c r="L52" s="146" t="s">
        <v>191</v>
      </c>
      <c r="M52" s="170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35.651702997779665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2513.5313831919607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146202</v>
      </c>
      <c r="I54" s="99" t="s">
        <v>245</v>
      </c>
      <c r="J54" s="100" t="s">
        <v>210</v>
      </c>
    </row>
    <row r="55" spans="1:13" ht="15" customHeight="1">
      <c r="A55" s="10" t="s">
        <v>156</v>
      </c>
      <c r="B55" s="69">
        <v>8.0500001907348633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0.89993499999999993</v>
      </c>
      <c r="I56" s="101" t="s">
        <v>246</v>
      </c>
      <c r="J56" s="61" t="s">
        <v>211</v>
      </c>
    </row>
    <row r="57" spans="1:13" ht="15" customHeight="1">
      <c r="A57" s="23" t="s">
        <v>368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369</v>
      </c>
      <c r="D58" s="4" t="s">
        <v>119</v>
      </c>
      <c r="E58" s="4" t="s">
        <v>165</v>
      </c>
      <c r="F58" s="16" t="s">
        <v>370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0.23391754925251007</v>
      </c>
      <c r="D59" s="127">
        <v>0.69999998807907104</v>
      </c>
      <c r="E59" s="86">
        <v>135.00103878595939</v>
      </c>
      <c r="F59" s="87">
        <v>609.9888916015625</v>
      </c>
      <c r="G59" s="121"/>
      <c r="H59" s="45"/>
      <c r="I59" s="45"/>
      <c r="J59" s="46"/>
    </row>
    <row r="60" spans="1:13" ht="15" customHeight="1">
      <c r="A60" s="129">
        <v>3.9999997243285179E-3</v>
      </c>
      <c r="B60" s="86">
        <v>70.859572945990706</v>
      </c>
      <c r="C60" s="87">
        <v>78.313163757324219</v>
      </c>
      <c r="D60" s="127">
        <v>0.80000001192092896</v>
      </c>
      <c r="E60" s="86">
        <v>135.00140667726163</v>
      </c>
      <c r="F60" s="87">
        <v>617.476318359375</v>
      </c>
      <c r="G60" s="121"/>
      <c r="H60" s="45"/>
      <c r="I60" s="45"/>
      <c r="J60" s="46"/>
    </row>
    <row r="61" spans="1:13" ht="15" customHeight="1">
      <c r="A61" s="129">
        <v>1.9999999552965164E-2</v>
      </c>
      <c r="B61" s="86">
        <v>246.17748452875517</v>
      </c>
      <c r="C61" s="87">
        <v>306.16116333007813</v>
      </c>
      <c r="D61" s="127">
        <v>0.89999997615814209</v>
      </c>
      <c r="E61" s="86">
        <v>135.0043198843837</v>
      </c>
      <c r="F61" s="87">
        <v>624.1993408203125</v>
      </c>
      <c r="G61" s="121"/>
      <c r="H61" s="45"/>
      <c r="I61" s="45"/>
      <c r="J61" s="46"/>
    </row>
    <row r="62" spans="1:13" ht="15" customHeight="1">
      <c r="A62" s="125">
        <v>3.9999999105930328E-2</v>
      </c>
      <c r="B62" s="86">
        <v>270</v>
      </c>
      <c r="C62" s="87">
        <v>446.44354248046875</v>
      </c>
      <c r="D62" s="128">
        <v>1</v>
      </c>
      <c r="E62" s="86">
        <v>135</v>
      </c>
      <c r="F62" s="87">
        <v>630.23260498046875</v>
      </c>
      <c r="G62" s="121"/>
      <c r="H62" s="45"/>
      <c r="I62" s="45"/>
      <c r="J62" s="46"/>
    </row>
    <row r="63" spans="1:13" ht="15" customHeight="1" thickBot="1">
      <c r="A63" s="125">
        <v>0.10000000149011612</v>
      </c>
      <c r="B63" s="86">
        <v>191.64405160100785</v>
      </c>
      <c r="C63" s="87">
        <v>506.09783935546875</v>
      </c>
      <c r="D63" s="341"/>
      <c r="E63" s="342"/>
      <c r="F63" s="343"/>
      <c r="G63" s="121"/>
      <c r="H63" s="45"/>
      <c r="I63" s="45"/>
      <c r="J63" s="46"/>
    </row>
    <row r="64" spans="1:13" ht="15" customHeight="1">
      <c r="A64" s="125">
        <v>0.15999999642372131</v>
      </c>
      <c r="B64" s="86">
        <v>163.56348928494782</v>
      </c>
      <c r="C64" s="87">
        <v>535.7017822265625</v>
      </c>
      <c r="D64" s="344" t="s">
        <v>559</v>
      </c>
      <c r="E64" s="345"/>
      <c r="F64" s="345"/>
      <c r="G64" s="121"/>
      <c r="H64" s="45"/>
      <c r="I64" s="45"/>
      <c r="J64" s="46"/>
    </row>
    <row r="65" spans="1:10" ht="15" customHeight="1">
      <c r="A65" s="125">
        <v>0.2800000011920929</v>
      </c>
      <c r="B65" s="86">
        <v>142.8136206081127</v>
      </c>
      <c r="C65" s="87">
        <v>564.48968505859375</v>
      </c>
      <c r="D65" s="346" t="s">
        <v>372</v>
      </c>
      <c r="E65" s="348" t="s">
        <v>376</v>
      </c>
      <c r="F65" s="349"/>
      <c r="G65" s="121"/>
      <c r="H65" s="45"/>
      <c r="I65" s="45"/>
      <c r="J65" s="46"/>
    </row>
    <row r="66" spans="1:10" ht="15" customHeight="1">
      <c r="A66" s="125">
        <v>0.40000000596046448</v>
      </c>
      <c r="B66" s="86">
        <v>135</v>
      </c>
      <c r="C66" s="87">
        <v>580.18548583984375</v>
      </c>
      <c r="D66" s="346" t="s">
        <v>373</v>
      </c>
      <c r="E66" s="348" t="s">
        <v>377</v>
      </c>
      <c r="F66" s="349"/>
      <c r="G66" s="121"/>
      <c r="H66" s="45"/>
      <c r="I66" s="45"/>
      <c r="J66" s="46"/>
    </row>
    <row r="67" spans="1:10" ht="15" customHeight="1">
      <c r="A67" s="125">
        <v>0.5</v>
      </c>
      <c r="B67" s="86">
        <v>135.00016171376313</v>
      </c>
      <c r="C67" s="87">
        <v>591.72454833984375</v>
      </c>
      <c r="D67" s="346" t="s">
        <v>374</v>
      </c>
      <c r="E67" s="348" t="s">
        <v>560</v>
      </c>
      <c r="F67" s="349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135.00073934067859</v>
      </c>
      <c r="C68" s="89">
        <v>601.42449951171875</v>
      </c>
      <c r="D68" s="347" t="s">
        <v>375</v>
      </c>
      <c r="E68" s="350" t="s">
        <v>378</v>
      </c>
      <c r="F68" s="350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40" t="s">
        <v>371</v>
      </c>
      <c r="B99" s="340" t="s">
        <v>557</v>
      </c>
      <c r="C99" s="340" t="s">
        <v>558</v>
      </c>
      <c r="D99" s="340"/>
      <c r="E99" s="340"/>
      <c r="F99" s="340"/>
      <c r="G99" s="340"/>
      <c r="H99" s="340"/>
      <c r="I99" s="340"/>
    </row>
    <row r="100" spans="1:9">
      <c r="A100" s="340">
        <v>100</v>
      </c>
      <c r="B100" s="340">
        <v>0</v>
      </c>
      <c r="C100" s="340">
        <v>16.093526840209961</v>
      </c>
      <c r="D100" s="340"/>
      <c r="E100" s="340"/>
      <c r="F100" s="340"/>
      <c r="G100" s="340"/>
      <c r="H100" s="340"/>
      <c r="I100" s="340"/>
    </row>
    <row r="101" spans="1:9">
      <c r="A101" s="340">
        <v>99.199996948242188</v>
      </c>
      <c r="B101" s="340">
        <v>45.350128304664111</v>
      </c>
      <c r="C101" s="340">
        <v>62.650531768798828</v>
      </c>
      <c r="D101" s="340"/>
      <c r="E101" s="340"/>
      <c r="F101" s="340"/>
      <c r="G101" s="340"/>
      <c r="H101" s="340"/>
      <c r="I101" s="340"/>
    </row>
    <row r="102" spans="1:9">
      <c r="A102" s="340">
        <v>95.25</v>
      </c>
      <c r="B102" s="340">
        <v>157.55359844546302</v>
      </c>
      <c r="C102" s="340">
        <v>244.92893981933594</v>
      </c>
      <c r="D102" s="340"/>
      <c r="E102" s="340"/>
      <c r="F102" s="340"/>
      <c r="G102" s="340"/>
      <c r="H102" s="340"/>
      <c r="I102" s="340"/>
    </row>
    <row r="103" spans="1:9">
      <c r="A103" s="340">
        <v>89.75</v>
      </c>
      <c r="B103" s="340">
        <v>172.80000514984135</v>
      </c>
      <c r="C103" s="340">
        <v>357.15484619140625</v>
      </c>
      <c r="D103" s="340"/>
      <c r="E103" s="340"/>
      <c r="F103" s="340"/>
      <c r="G103" s="340"/>
      <c r="H103" s="340"/>
      <c r="I103" s="340"/>
    </row>
    <row r="104" spans="1:9">
      <c r="A104" s="340">
        <v>74</v>
      </c>
      <c r="B104" s="340">
        <v>122.65220092094535</v>
      </c>
      <c r="C104" s="340">
        <v>404.87826538085938</v>
      </c>
      <c r="D104" s="340"/>
      <c r="E104" s="340"/>
      <c r="F104" s="340"/>
      <c r="G104" s="340"/>
      <c r="H104" s="340"/>
      <c r="I104" s="340"/>
    </row>
    <row r="105" spans="1:9">
      <c r="A105" s="340">
        <v>58.799999237060547</v>
      </c>
      <c r="B105" s="340">
        <v>104.68063788535105</v>
      </c>
      <c r="C105" s="340">
        <v>428.56143188476563</v>
      </c>
      <c r="D105" s="340"/>
      <c r="E105" s="340"/>
      <c r="F105" s="340"/>
      <c r="G105" s="340"/>
      <c r="H105" s="340"/>
      <c r="I105" s="340"/>
    </row>
    <row r="106" spans="1:9">
      <c r="A106" s="340">
        <v>36.400001525878906</v>
      </c>
      <c r="B106" s="340">
        <v>91.40071561457853</v>
      </c>
      <c r="C106" s="340">
        <v>451.59176635742188</v>
      </c>
      <c r="D106" s="340"/>
      <c r="E106" s="340"/>
      <c r="F106" s="340"/>
      <c r="G106" s="340"/>
      <c r="H106" s="340"/>
      <c r="I106" s="340"/>
    </row>
    <row r="107" spans="1:9">
      <c r="A107" s="340">
        <v>22</v>
      </c>
      <c r="B107" s="340">
        <v>86.400002574920677</v>
      </c>
      <c r="C107" s="340">
        <v>464.14840698242188</v>
      </c>
      <c r="D107" s="340"/>
      <c r="E107" s="340"/>
      <c r="F107" s="340"/>
      <c r="G107" s="340"/>
      <c r="H107" s="340"/>
      <c r="I107" s="340"/>
    </row>
    <row r="108" spans="1:9">
      <c r="A108" s="340">
        <v>14</v>
      </c>
      <c r="B108" s="340">
        <v>86.400109996798875</v>
      </c>
      <c r="C108" s="340">
        <v>473.379638671875</v>
      </c>
      <c r="D108" s="340"/>
      <c r="E108" s="340"/>
      <c r="F108" s="340"/>
      <c r="G108" s="340"/>
      <c r="H108" s="340"/>
      <c r="I108" s="340"/>
    </row>
    <row r="109" spans="1:9">
      <c r="A109" s="340">
        <v>7.9999995231628418</v>
      </c>
      <c r="B109" s="340">
        <v>86.400471324934642</v>
      </c>
      <c r="C109" s="340">
        <v>481.13961791992188</v>
      </c>
      <c r="D109" s="340"/>
      <c r="E109" s="340"/>
      <c r="F109" s="340"/>
      <c r="G109" s="340"/>
      <c r="H109" s="340"/>
      <c r="I109" s="340"/>
    </row>
    <row r="110" spans="1:9">
      <c r="A110" s="340">
        <v>5.9999995231628418</v>
      </c>
      <c r="B110" s="340">
        <v>86.400666637440466</v>
      </c>
      <c r="C110" s="340">
        <v>487.99111938476563</v>
      </c>
      <c r="D110" s="340"/>
      <c r="E110" s="340"/>
      <c r="F110" s="340"/>
      <c r="G110" s="340"/>
      <c r="H110" s="340"/>
      <c r="I110" s="340"/>
    </row>
    <row r="111" spans="1:9">
      <c r="A111" s="340">
        <v>8.0000009536743164</v>
      </c>
      <c r="B111" s="340">
        <v>86.400901012447449</v>
      </c>
      <c r="C111" s="340">
        <v>493.98104858398438</v>
      </c>
      <c r="D111" s="340"/>
      <c r="E111" s="340"/>
      <c r="F111" s="340"/>
      <c r="G111" s="340"/>
      <c r="H111" s="340"/>
      <c r="I111" s="340"/>
    </row>
    <row r="112" spans="1:9">
      <c r="A112" s="340">
        <v>14.999996185302734</v>
      </c>
      <c r="B112" s="340">
        <v>86.402766246878031</v>
      </c>
      <c r="C112" s="340">
        <v>499.35946655273438</v>
      </c>
      <c r="D112" s="340"/>
      <c r="E112" s="340"/>
      <c r="F112" s="340"/>
      <c r="G112" s="340"/>
      <c r="H112" s="340"/>
      <c r="I112" s="340"/>
    </row>
    <row r="113" spans="1:9">
      <c r="A113" s="340">
        <v>30</v>
      </c>
      <c r="B113" s="340">
        <v>86.400002574920677</v>
      </c>
      <c r="C113" s="340">
        <v>504.18609619140625</v>
      </c>
      <c r="D113" s="340"/>
      <c r="E113" s="340"/>
      <c r="F113" s="340"/>
      <c r="G113" s="340"/>
      <c r="H113" s="340"/>
      <c r="I113" s="340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tabSelected="1" topLeftCell="A24" zoomScaleNormal="100" workbookViewId="0">
      <selection activeCell="P35" sqref="P35"/>
    </sheetView>
  </sheetViews>
  <sheetFormatPr defaultRowHeight="15.75"/>
  <cols>
    <col min="1" max="1" width="12.140625" style="334" customWidth="1"/>
    <col min="2" max="2" width="6.140625" style="334" customWidth="1"/>
    <col min="3" max="3" width="7.7109375" style="334" customWidth="1"/>
    <col min="4" max="5" width="13.140625" style="334" customWidth="1"/>
    <col min="6" max="6" width="9.42578125" style="334" customWidth="1"/>
    <col min="7" max="7" width="5.7109375" style="334" customWidth="1"/>
    <col min="8" max="8" width="7.85546875" style="334" customWidth="1"/>
    <col min="9" max="9" width="6.5703125" style="334" customWidth="1"/>
    <col min="10" max="10" width="12" style="335" customWidth="1"/>
    <col min="11" max="11" width="12" style="334" customWidth="1"/>
    <col min="12" max="12" width="16" style="185" customWidth="1"/>
    <col min="13" max="26" width="9.140625" style="185"/>
    <col min="27" max="16384" width="9.140625" style="186"/>
  </cols>
  <sheetData>
    <row r="1" spans="1:26" ht="20.25" customHeight="1">
      <c r="A1" s="667" t="s">
        <v>266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</row>
    <row r="2" spans="1:26" ht="20.25" customHeight="1">
      <c r="A2" s="668" t="s">
        <v>267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</row>
    <row r="3" spans="1:26" ht="18.75" customHeight="1" thickBot="1">
      <c r="A3" s="187" t="s">
        <v>1</v>
      </c>
      <c r="B3" s="188" t="s">
        <v>352</v>
      </c>
      <c r="C3" s="189"/>
      <c r="D3" s="189"/>
      <c r="E3" s="189"/>
      <c r="F3" s="190"/>
      <c r="G3" s="189"/>
      <c r="H3" s="189"/>
      <c r="I3" s="187" t="s">
        <v>268</v>
      </c>
      <c r="J3" s="669" t="s">
        <v>362</v>
      </c>
      <c r="K3" s="669"/>
    </row>
    <row r="4" spans="1:26" s="199" customFormat="1" ht="18.399999999999999" customHeight="1" thickBot="1">
      <c r="A4" s="191" t="s">
        <v>353</v>
      </c>
      <c r="B4" s="192"/>
      <c r="C4" s="193"/>
      <c r="D4" s="193"/>
      <c r="E4" s="193"/>
      <c r="F4" s="193"/>
      <c r="G4" s="193"/>
      <c r="H4" s="193"/>
      <c r="I4" s="193"/>
      <c r="J4" s="193"/>
      <c r="K4" s="194"/>
      <c r="L4" s="195"/>
      <c r="M4" s="195"/>
      <c r="N4" s="195"/>
      <c r="O4" s="195"/>
      <c r="P4" s="195"/>
      <c r="Q4" s="196" t="s">
        <v>269</v>
      </c>
      <c r="R4" s="197"/>
      <c r="S4" s="195"/>
      <c r="T4" s="196" t="s">
        <v>270</v>
      </c>
      <c r="U4" s="198"/>
      <c r="V4" s="195"/>
      <c r="W4" s="195"/>
      <c r="X4" s="195"/>
      <c r="Y4" s="195"/>
      <c r="Z4" s="195"/>
    </row>
    <row r="5" spans="1:26" s="199" customFormat="1" ht="18.399999999999999" customHeight="1">
      <c r="A5" s="670" t="s">
        <v>271</v>
      </c>
      <c r="B5" s="671"/>
      <c r="C5" s="671"/>
      <c r="D5" s="200"/>
      <c r="E5" s="201"/>
      <c r="F5" s="202" t="s">
        <v>272</v>
      </c>
      <c r="G5" s="203"/>
      <c r="H5" s="203"/>
      <c r="I5" s="204"/>
      <c r="J5" s="205" t="s">
        <v>273</v>
      </c>
      <c r="K5" s="206" t="s">
        <v>274</v>
      </c>
      <c r="L5" s="195"/>
      <c r="M5" s="195"/>
      <c r="N5" s="195"/>
      <c r="O5" s="195"/>
      <c r="P5" s="195"/>
      <c r="Q5" s="207" t="s">
        <v>275</v>
      </c>
      <c r="R5" s="208"/>
      <c r="S5" s="195"/>
      <c r="T5" s="207" t="s">
        <v>276</v>
      </c>
      <c r="U5" s="209"/>
      <c r="V5" s="195"/>
      <c r="W5" s="195"/>
      <c r="X5" s="195"/>
      <c r="Y5" s="195"/>
      <c r="Z5" s="195"/>
    </row>
    <row r="6" spans="1:26" s="199" customFormat="1" ht="18.399999999999999" customHeight="1">
      <c r="A6" s="672" t="s">
        <v>67</v>
      </c>
      <c r="B6" s="673"/>
      <c r="C6" s="673"/>
      <c r="D6" s="674" t="s">
        <v>276</v>
      </c>
      <c r="E6" s="675"/>
      <c r="F6" s="676" t="s">
        <v>278</v>
      </c>
      <c r="G6" s="677"/>
      <c r="H6" s="677"/>
      <c r="I6" s="677"/>
      <c r="J6" s="677"/>
      <c r="K6" s="678"/>
      <c r="L6" s="195"/>
      <c r="M6" s="195"/>
      <c r="N6" s="195"/>
      <c r="O6" s="195"/>
      <c r="P6" s="195"/>
      <c r="Q6" s="207" t="s">
        <v>279</v>
      </c>
      <c r="R6" s="208"/>
      <c r="S6" s="195"/>
      <c r="T6" s="207" t="s">
        <v>280</v>
      </c>
      <c r="U6" s="209"/>
      <c r="V6" s="195"/>
      <c r="W6" s="195"/>
      <c r="X6" s="195"/>
      <c r="Y6" s="195"/>
      <c r="Z6" s="195"/>
    </row>
    <row r="7" spans="1:26" s="199" customFormat="1" ht="18.399999999999999" customHeight="1">
      <c r="A7" s="682" t="s">
        <v>20</v>
      </c>
      <c r="B7" s="683"/>
      <c r="C7" s="683"/>
      <c r="D7" s="684">
        <v>1.70000004768372</v>
      </c>
      <c r="E7" s="685"/>
      <c r="F7" s="210" t="s">
        <v>281</v>
      </c>
      <c r="G7" s="211"/>
      <c r="H7" s="212"/>
      <c r="I7" s="213"/>
      <c r="J7" s="214">
        <v>17.2</v>
      </c>
      <c r="K7" s="215" t="s">
        <v>174</v>
      </c>
      <c r="L7" s="195"/>
      <c r="M7" s="195"/>
      <c r="N7" s="195"/>
      <c r="O7" s="195"/>
      <c r="P7" s="195"/>
      <c r="Q7" s="207" t="s">
        <v>282</v>
      </c>
      <c r="R7" s="208"/>
      <c r="S7" s="195"/>
      <c r="T7" s="207" t="s">
        <v>277</v>
      </c>
      <c r="U7" s="209"/>
      <c r="V7" s="195"/>
      <c r="W7" s="195"/>
      <c r="X7" s="195"/>
      <c r="Y7" s="195"/>
      <c r="Z7" s="195"/>
    </row>
    <row r="8" spans="1:26" s="199" customFormat="1" ht="18.399999999999999" customHeight="1">
      <c r="A8" s="682" t="s">
        <v>283</v>
      </c>
      <c r="B8" s="683"/>
      <c r="C8" s="683"/>
      <c r="D8" s="686">
        <v>530</v>
      </c>
      <c r="E8" s="687"/>
      <c r="F8" s="216" t="s">
        <v>284</v>
      </c>
      <c r="G8" s="217"/>
      <c r="H8" s="218"/>
      <c r="I8" s="219"/>
      <c r="J8" s="220">
        <v>9094</v>
      </c>
      <c r="K8" s="221" t="s">
        <v>174</v>
      </c>
      <c r="L8" s="195"/>
      <c r="M8" s="195"/>
      <c r="N8" s="195"/>
      <c r="O8" s="195"/>
      <c r="P8" s="195"/>
      <c r="Q8" s="207" t="s">
        <v>285</v>
      </c>
      <c r="R8" s="208"/>
      <c r="S8" s="195"/>
      <c r="T8" s="207" t="s">
        <v>286</v>
      </c>
      <c r="U8" s="209"/>
      <c r="V8" s="195"/>
      <c r="W8" s="195"/>
      <c r="X8" s="195"/>
      <c r="Y8" s="195"/>
      <c r="Z8" s="195"/>
    </row>
    <row r="9" spans="1:26" s="199" customFormat="1" ht="18.399999999999999" customHeight="1">
      <c r="A9" s="688" t="s">
        <v>287</v>
      </c>
      <c r="B9" s="689"/>
      <c r="C9" s="690"/>
      <c r="D9" s="686">
        <v>7</v>
      </c>
      <c r="E9" s="687"/>
      <c r="F9" s="210" t="s">
        <v>288</v>
      </c>
      <c r="G9" s="211"/>
      <c r="H9" s="222">
        <v>3</v>
      </c>
      <c r="I9" s="223" t="s">
        <v>289</v>
      </c>
      <c r="J9" s="224">
        <v>137</v>
      </c>
      <c r="K9" s="221" t="s">
        <v>174</v>
      </c>
      <c r="L9" s="195"/>
      <c r="M9" s="195"/>
      <c r="N9" s="195"/>
      <c r="O9" s="195"/>
      <c r="P9" s="195"/>
      <c r="Q9" s="207" t="s">
        <v>290</v>
      </c>
      <c r="R9" s="208"/>
      <c r="S9" s="195"/>
      <c r="T9" s="207" t="s">
        <v>291</v>
      </c>
      <c r="U9" s="209"/>
      <c r="V9" s="195"/>
      <c r="W9" s="195"/>
      <c r="X9" s="195"/>
      <c r="Y9" s="195"/>
      <c r="Z9" s="195"/>
    </row>
    <row r="10" spans="1:26" s="199" customFormat="1" ht="18.399999999999999" customHeight="1" thickBot="1">
      <c r="A10" s="688" t="s">
        <v>367</v>
      </c>
      <c r="B10" s="689"/>
      <c r="C10" s="690"/>
      <c r="D10" s="691" t="s">
        <v>201</v>
      </c>
      <c r="E10" s="692"/>
      <c r="F10" s="210" t="s">
        <v>292</v>
      </c>
      <c r="G10" s="211"/>
      <c r="H10" s="222">
        <v>3</v>
      </c>
      <c r="I10" s="223" t="s">
        <v>289</v>
      </c>
      <c r="J10" s="224">
        <v>1150</v>
      </c>
      <c r="K10" s="221" t="s">
        <v>174</v>
      </c>
      <c r="L10" s="195"/>
      <c r="M10" s="195"/>
      <c r="N10" s="195"/>
      <c r="O10" s="195"/>
      <c r="P10" s="195"/>
      <c r="Q10" s="207" t="s">
        <v>293</v>
      </c>
      <c r="R10" s="208"/>
      <c r="S10" s="195"/>
      <c r="T10" s="225" t="s">
        <v>294</v>
      </c>
      <c r="U10" s="226"/>
      <c r="V10" s="195"/>
      <c r="W10" s="195"/>
      <c r="X10" s="195"/>
      <c r="Y10" s="195"/>
      <c r="Z10" s="195"/>
    </row>
    <row r="11" spans="1:26" s="199" customFormat="1" ht="18.399999999999999" customHeight="1" thickBot="1">
      <c r="A11" s="688" t="s">
        <v>295</v>
      </c>
      <c r="B11" s="689"/>
      <c r="C11" s="690"/>
      <c r="D11" s="693" t="s">
        <v>174</v>
      </c>
      <c r="E11" s="694"/>
      <c r="F11" s="227" t="s">
        <v>296</v>
      </c>
      <c r="G11" s="228"/>
      <c r="H11" s="229">
        <v>3</v>
      </c>
      <c r="I11" s="223" t="s">
        <v>289</v>
      </c>
      <c r="J11" s="230">
        <v>29664</v>
      </c>
      <c r="K11" s="231" t="s">
        <v>174</v>
      </c>
      <c r="L11" s="195"/>
      <c r="M11" s="195"/>
      <c r="N11" s="195"/>
      <c r="O11" s="195"/>
      <c r="P11" s="195"/>
      <c r="Q11" s="207" t="s">
        <v>297</v>
      </c>
      <c r="R11" s="208"/>
      <c r="S11" s="195"/>
      <c r="T11" s="196" t="s">
        <v>298</v>
      </c>
      <c r="U11" s="198"/>
      <c r="V11" s="195"/>
      <c r="W11" s="195"/>
      <c r="X11" s="195"/>
      <c r="Y11" s="195"/>
      <c r="Z11" s="195"/>
    </row>
    <row r="12" spans="1:26" s="199" customFormat="1" ht="18.399999999999999" customHeight="1" thickBot="1">
      <c r="A12" s="232" t="s">
        <v>299</v>
      </c>
      <c r="C12" s="233"/>
      <c r="D12" s="695" t="s">
        <v>174</v>
      </c>
      <c r="E12" s="696"/>
      <c r="F12" s="679" t="s">
        <v>300</v>
      </c>
      <c r="G12" s="680"/>
      <c r="H12" s="680"/>
      <c r="I12" s="680"/>
      <c r="J12" s="680"/>
      <c r="K12" s="681"/>
      <c r="L12" s="195"/>
      <c r="M12" s="195"/>
      <c r="N12" s="195"/>
      <c r="O12" s="195"/>
      <c r="P12" s="195"/>
      <c r="Q12" s="225" t="s">
        <v>301</v>
      </c>
      <c r="R12" s="234"/>
      <c r="S12" s="195"/>
      <c r="T12" s="195"/>
      <c r="U12" s="195"/>
      <c r="V12" s="195"/>
      <c r="W12" s="195"/>
      <c r="X12" s="195"/>
      <c r="Y12" s="195"/>
      <c r="Z12" s="195"/>
    </row>
    <row r="13" spans="1:26" s="199" customFormat="1" ht="18.399999999999999" customHeight="1">
      <c r="A13" s="688" t="s">
        <v>53</v>
      </c>
      <c r="B13" s="689"/>
      <c r="C13" s="690"/>
      <c r="D13" s="697" t="s">
        <v>355</v>
      </c>
      <c r="E13" s="698"/>
      <c r="F13" s="235"/>
      <c r="G13" s="236" t="s">
        <v>302</v>
      </c>
      <c r="H13" s="237"/>
      <c r="I13" s="238" t="s">
        <v>303</v>
      </c>
      <c r="J13" s="239" t="s">
        <v>357</v>
      </c>
      <c r="K13" s="240" t="s">
        <v>174</v>
      </c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 s="199" customFormat="1" ht="18.399999999999999" customHeight="1">
      <c r="A14" s="688" t="s">
        <v>56</v>
      </c>
      <c r="B14" s="689"/>
      <c r="C14" s="690"/>
      <c r="D14" s="695">
        <v>1005</v>
      </c>
      <c r="E14" s="696"/>
      <c r="F14" s="235"/>
      <c r="G14" s="241" t="s">
        <v>10</v>
      </c>
      <c r="H14" s="242"/>
      <c r="I14" s="242"/>
      <c r="J14" s="224" t="s">
        <v>174</v>
      </c>
      <c r="K14" s="221" t="s">
        <v>174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 s="199" customFormat="1" ht="18.399999999999999" customHeight="1">
      <c r="A15" s="699" t="s">
        <v>304</v>
      </c>
      <c r="B15" s="700"/>
      <c r="C15" s="701"/>
      <c r="D15" s="702">
        <v>11.566400527954102</v>
      </c>
      <c r="E15" s="703"/>
      <c r="F15" s="235"/>
      <c r="G15" s="241" t="s">
        <v>305</v>
      </c>
      <c r="H15" s="242"/>
      <c r="I15" s="242"/>
      <c r="J15" s="224" t="s">
        <v>174</v>
      </c>
      <c r="K15" s="221" t="s">
        <v>174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 s="199" customFormat="1" ht="18.399999999999999" customHeight="1">
      <c r="A16" s="706" t="s">
        <v>306</v>
      </c>
      <c r="B16" s="707"/>
      <c r="C16" s="708"/>
      <c r="D16" s="702">
        <v>2.970400333404541</v>
      </c>
      <c r="E16" s="703"/>
      <c r="F16" s="243"/>
      <c r="G16" s="244" t="s">
        <v>17</v>
      </c>
      <c r="H16" s="245"/>
      <c r="I16" s="245"/>
      <c r="J16" s="230" t="s">
        <v>174</v>
      </c>
      <c r="K16" s="231" t="s">
        <v>174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s="199" customFormat="1" ht="18.399999999999999" customHeight="1">
      <c r="A17" s="246" t="s">
        <v>307</v>
      </c>
      <c r="B17" s="247"/>
      <c r="C17" s="248"/>
      <c r="D17" s="693" t="s">
        <v>354</v>
      </c>
      <c r="E17" s="694"/>
      <c r="F17" s="679" t="s">
        <v>308</v>
      </c>
      <c r="G17" s="680"/>
      <c r="H17" s="680"/>
      <c r="I17" s="680"/>
      <c r="J17" s="680"/>
      <c r="K17" s="681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spans="1:26" s="199" customFormat="1" ht="18.399999999999999" customHeight="1">
      <c r="A18" s="249" t="s">
        <v>309</v>
      </c>
      <c r="B18" s="250"/>
      <c r="C18" s="248"/>
      <c r="D18" s="691" t="s">
        <v>174</v>
      </c>
      <c r="E18" s="692"/>
      <c r="F18" s="709"/>
      <c r="G18" s="710"/>
      <c r="H18" s="251" t="s">
        <v>310</v>
      </c>
      <c r="I18" s="252"/>
      <c r="J18" s="220">
        <v>86</v>
      </c>
      <c r="K18" s="221"/>
      <c r="L18" s="195"/>
      <c r="M18" s="195">
        <f>J18*6.5</f>
        <v>559</v>
      </c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spans="1:26" s="199" customFormat="1" ht="18.399999999999999" customHeight="1">
      <c r="A19" s="715" t="s">
        <v>311</v>
      </c>
      <c r="B19" s="716"/>
      <c r="C19" s="717"/>
      <c r="D19" s="718" t="s">
        <v>174</v>
      </c>
      <c r="E19" s="694"/>
      <c r="F19" s="711"/>
      <c r="G19" s="712"/>
      <c r="H19" s="251" t="s">
        <v>5</v>
      </c>
      <c r="I19" s="213"/>
      <c r="J19" s="220">
        <v>1770</v>
      </c>
      <c r="K19" s="221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 s="199" customFormat="1" ht="18.399999999999999" customHeight="1" thickBot="1">
      <c r="A20" s="253" t="s">
        <v>312</v>
      </c>
      <c r="C20" s="254"/>
      <c r="D20" s="719" t="s">
        <v>200</v>
      </c>
      <c r="E20" s="687"/>
      <c r="F20" s="711"/>
      <c r="G20" s="712"/>
      <c r="H20" s="251" t="s">
        <v>313</v>
      </c>
      <c r="I20" s="213"/>
      <c r="J20" s="224" t="s">
        <v>350</v>
      </c>
      <c r="K20" s="221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 s="199" customFormat="1" ht="18.399999999999999" customHeight="1" thickBot="1">
      <c r="A21" s="699" t="s">
        <v>314</v>
      </c>
      <c r="B21" s="700"/>
      <c r="C21" s="701"/>
      <c r="D21" s="686" t="s">
        <v>174</v>
      </c>
      <c r="E21" s="687"/>
      <c r="F21" s="711"/>
      <c r="G21" s="712"/>
      <c r="H21" s="255" t="s">
        <v>315</v>
      </c>
      <c r="I21" s="213"/>
      <c r="J21" s="224">
        <v>1.1499999999999999</v>
      </c>
      <c r="K21" s="221"/>
      <c r="L21" s="195"/>
      <c r="M21" s="195"/>
      <c r="N21" s="195"/>
      <c r="O21" s="195"/>
      <c r="P21" s="195"/>
      <c r="Q21" s="196" t="s">
        <v>316</v>
      </c>
      <c r="R21" s="198"/>
      <c r="S21" s="195"/>
      <c r="T21" s="195"/>
      <c r="U21" s="195"/>
      <c r="V21" s="195"/>
      <c r="W21" s="195"/>
      <c r="X21" s="195"/>
      <c r="Y21" s="195"/>
      <c r="Z21" s="195"/>
    </row>
    <row r="22" spans="1:26" s="199" customFormat="1" ht="18.399999999999999" customHeight="1">
      <c r="A22" s="249" t="s">
        <v>317</v>
      </c>
      <c r="B22" s="256"/>
      <c r="C22" s="256"/>
      <c r="D22" s="720">
        <v>0.30050000548362732</v>
      </c>
      <c r="E22" s="721"/>
      <c r="F22" s="711"/>
      <c r="G22" s="712"/>
      <c r="H22" s="251" t="s">
        <v>273</v>
      </c>
      <c r="I22" s="213"/>
      <c r="J22" s="224" t="s">
        <v>174</v>
      </c>
      <c r="K22" s="221"/>
      <c r="L22" s="195"/>
      <c r="M22" s="195"/>
      <c r="N22" s="195"/>
      <c r="O22" s="195"/>
      <c r="P22" s="195"/>
      <c r="Q22" s="207" t="s">
        <v>319</v>
      </c>
      <c r="R22" s="209"/>
      <c r="S22" s="195"/>
      <c r="T22" s="195"/>
      <c r="U22" s="195"/>
      <c r="V22" s="195"/>
      <c r="W22" s="195"/>
      <c r="X22" s="195"/>
      <c r="Y22" s="195"/>
      <c r="Z22" s="195"/>
    </row>
    <row r="23" spans="1:26" s="199" customFormat="1" ht="18.399999999999999" customHeight="1">
      <c r="A23" s="257" t="s">
        <v>320</v>
      </c>
      <c r="B23" s="258" t="s">
        <v>321</v>
      </c>
      <c r="C23" s="259"/>
      <c r="D23" s="697">
        <v>269.39999999999998</v>
      </c>
      <c r="E23" s="698"/>
      <c r="F23" s="711"/>
      <c r="G23" s="712"/>
      <c r="H23" s="260" t="s">
        <v>322</v>
      </c>
      <c r="I23" s="261"/>
      <c r="J23" s="262" t="s">
        <v>174</v>
      </c>
      <c r="K23" s="263"/>
      <c r="L23" s="195"/>
      <c r="Q23" s="207" t="s">
        <v>323</v>
      </c>
      <c r="R23" s="209"/>
      <c r="S23" s="195"/>
      <c r="T23" s="195"/>
      <c r="U23" s="195"/>
      <c r="V23" s="195"/>
      <c r="W23" s="195"/>
      <c r="X23" s="195"/>
      <c r="Y23" s="195"/>
      <c r="Z23" s="195"/>
    </row>
    <row r="24" spans="1:26" s="199" customFormat="1" ht="18.399999999999999" customHeight="1" thickBot="1">
      <c r="A24" s="264" t="s">
        <v>324</v>
      </c>
      <c r="B24" s="265" t="s">
        <v>325</v>
      </c>
      <c r="C24" s="266"/>
      <c r="D24" s="722" t="s">
        <v>174</v>
      </c>
      <c r="E24" s="723"/>
      <c r="F24" s="711"/>
      <c r="G24" s="712"/>
      <c r="H24" s="251" t="s">
        <v>326</v>
      </c>
      <c r="I24" s="233"/>
      <c r="J24" s="267" t="s">
        <v>174</v>
      </c>
      <c r="K24" s="268"/>
      <c r="Q24" s="269" t="s">
        <v>174</v>
      </c>
      <c r="R24" s="270"/>
      <c r="S24" s="195"/>
      <c r="T24" s="195"/>
      <c r="U24" s="195"/>
      <c r="V24" s="195"/>
      <c r="W24" s="195"/>
      <c r="X24" s="195"/>
      <c r="Y24" s="195"/>
      <c r="Z24" s="195"/>
    </row>
    <row r="25" spans="1:26" s="199" customFormat="1" ht="18.399999999999999" customHeight="1">
      <c r="A25" s="271" t="s">
        <v>327</v>
      </c>
      <c r="B25" s="272"/>
      <c r="C25" s="272"/>
      <c r="D25" s="273"/>
      <c r="E25" s="273" t="s">
        <v>328</v>
      </c>
      <c r="F25" s="711"/>
      <c r="G25" s="712"/>
      <c r="H25" s="251" t="s">
        <v>329</v>
      </c>
      <c r="I25" s="233"/>
      <c r="J25" s="274" t="s">
        <v>174</v>
      </c>
      <c r="K25" s="268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 s="199" customFormat="1" ht="18.399999999999999" customHeight="1">
      <c r="A26" s="275" t="s">
        <v>330</v>
      </c>
      <c r="B26" s="276"/>
      <c r="C26" s="277"/>
      <c r="D26" s="278" t="s">
        <v>358</v>
      </c>
      <c r="E26" s="278" t="s">
        <v>359</v>
      </c>
      <c r="F26" s="713"/>
      <c r="G26" s="714"/>
      <c r="H26" s="724"/>
      <c r="I26" s="725"/>
      <c r="J26" s="279"/>
      <c r="K26" s="280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 s="199" customFormat="1" ht="18.399999999999999" customHeight="1">
      <c r="A27" s="704" t="s">
        <v>331</v>
      </c>
      <c r="B27" s="705"/>
      <c r="C27" s="705"/>
      <c r="D27" s="705"/>
      <c r="E27" s="705"/>
      <c r="F27" s="676" t="s">
        <v>332</v>
      </c>
      <c r="G27" s="677"/>
      <c r="H27" s="677"/>
      <c r="I27" s="677"/>
      <c r="J27" s="677"/>
      <c r="K27" s="678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 s="199" customFormat="1" ht="18.399999999999999" customHeight="1">
      <c r="A28" s="728"/>
      <c r="B28" s="729"/>
      <c r="C28" s="729"/>
      <c r="D28" s="729"/>
      <c r="E28" s="730"/>
      <c r="F28" s="281"/>
      <c r="G28" s="282"/>
      <c r="H28" s="241" t="s">
        <v>333</v>
      </c>
      <c r="I28" s="283" t="s">
        <v>356</v>
      </c>
      <c r="J28" s="220">
        <v>542</v>
      </c>
      <c r="K28" s="284" t="s">
        <v>174</v>
      </c>
      <c r="M28" s="199">
        <f>(J28/J18)*100</f>
        <v>630.23255813953483</v>
      </c>
      <c r="N28" s="285"/>
      <c r="O28" s="285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 s="199" customFormat="1" ht="18.399999999999999" customHeight="1">
      <c r="A29" s="728"/>
      <c r="B29" s="729"/>
      <c r="C29" s="729"/>
      <c r="D29" s="729"/>
      <c r="E29" s="730"/>
      <c r="F29" s="286"/>
      <c r="G29" s="287"/>
      <c r="H29" s="241" t="s">
        <v>334</v>
      </c>
      <c r="I29" s="288">
        <v>60</v>
      </c>
      <c r="J29" s="220">
        <v>137</v>
      </c>
      <c r="K29" s="289" t="s">
        <v>174</v>
      </c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 s="199" customFormat="1" ht="18.399999999999999" customHeight="1">
      <c r="A30" s="728"/>
      <c r="B30" s="729"/>
      <c r="C30" s="729"/>
      <c r="D30" s="729"/>
      <c r="E30" s="730"/>
      <c r="F30" s="286"/>
      <c r="G30" s="287"/>
      <c r="H30" s="241" t="s">
        <v>335</v>
      </c>
      <c r="I30" s="288">
        <v>175</v>
      </c>
      <c r="J30" s="220">
        <v>274</v>
      </c>
      <c r="K30" s="290" t="s">
        <v>174</v>
      </c>
      <c r="L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 s="199" customFormat="1" ht="18.399999999999999" customHeight="1">
      <c r="A31" s="728"/>
      <c r="B31" s="729"/>
      <c r="C31" s="729"/>
      <c r="D31" s="729"/>
      <c r="E31" s="730"/>
      <c r="F31" s="286"/>
      <c r="G31" s="287"/>
      <c r="H31" s="241" t="s">
        <v>336</v>
      </c>
      <c r="I31" s="242"/>
      <c r="J31" s="291">
        <v>1.45</v>
      </c>
      <c r="K31" s="215" t="s">
        <v>174</v>
      </c>
      <c r="L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 s="199" customFormat="1" ht="18.399999999999999" customHeight="1">
      <c r="A32" s="731"/>
      <c r="B32" s="732"/>
      <c r="C32" s="732"/>
      <c r="D32" s="732"/>
      <c r="E32" s="733"/>
      <c r="F32" s="286"/>
      <c r="G32" s="292" t="s">
        <v>337</v>
      </c>
      <c r="H32" s="241" t="s">
        <v>338</v>
      </c>
      <c r="I32" s="293"/>
      <c r="J32" s="214">
        <v>93.9</v>
      </c>
      <c r="K32" s="289" t="s">
        <v>174</v>
      </c>
      <c r="L32" s="195"/>
      <c r="N32" s="294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 s="199" customFormat="1" ht="18.399999999999999" customHeight="1">
      <c r="A33" s="704" t="s">
        <v>339</v>
      </c>
      <c r="B33" s="705"/>
      <c r="C33" s="705"/>
      <c r="D33" s="705"/>
      <c r="E33" s="734"/>
      <c r="F33" s="295"/>
      <c r="G33" s="296"/>
      <c r="H33" s="297" t="s">
        <v>340</v>
      </c>
      <c r="I33" s="298"/>
      <c r="J33" s="299">
        <v>93</v>
      </c>
      <c r="K33" s="300" t="s">
        <v>174</v>
      </c>
      <c r="L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 s="199" customFormat="1" ht="18.399999999999999" customHeight="1">
      <c r="A34" s="728"/>
      <c r="B34" s="729"/>
      <c r="C34" s="729"/>
      <c r="D34" s="729"/>
      <c r="E34" s="730"/>
      <c r="F34" s="216" t="s">
        <v>341</v>
      </c>
      <c r="G34" s="301"/>
      <c r="H34" s="302" t="s">
        <v>14</v>
      </c>
      <c r="I34" s="303"/>
      <c r="J34" s="304">
        <v>9317</v>
      </c>
      <c r="K34" s="305" t="s">
        <v>174</v>
      </c>
      <c r="L34" s="306"/>
      <c r="M34" s="307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 s="199" customFormat="1" ht="18.399999999999999" customHeight="1">
      <c r="A35" s="728"/>
      <c r="B35" s="729"/>
      <c r="C35" s="729"/>
      <c r="D35" s="729"/>
      <c r="E35" s="730"/>
      <c r="F35" s="235"/>
      <c r="G35" s="308"/>
      <c r="H35" s="309" t="s">
        <v>15</v>
      </c>
      <c r="I35" s="310"/>
      <c r="J35" s="220">
        <v>5868</v>
      </c>
      <c r="K35" s="215" t="s">
        <v>174</v>
      </c>
      <c r="L35" s="311"/>
      <c r="M35" s="307"/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 s="199" customFormat="1" ht="18.399999999999999" customHeight="1">
      <c r="A36" s="728"/>
      <c r="B36" s="729"/>
      <c r="C36" s="729"/>
      <c r="D36" s="729"/>
      <c r="E36" s="730"/>
      <c r="F36" s="235"/>
      <c r="G36" s="308"/>
      <c r="H36" s="309" t="s">
        <v>342</v>
      </c>
      <c r="I36" s="310"/>
      <c r="J36" s="220">
        <v>4807</v>
      </c>
      <c r="K36" s="215" t="s">
        <v>174</v>
      </c>
      <c r="L36" s="311"/>
      <c r="M36" s="28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 s="199" customFormat="1" ht="18.399999999999999" customHeight="1">
      <c r="A37" s="728"/>
      <c r="B37" s="729"/>
      <c r="C37" s="729"/>
      <c r="D37" s="729"/>
      <c r="E37" s="730"/>
      <c r="F37" s="286"/>
      <c r="G37" s="308"/>
      <c r="H37" s="309" t="s">
        <v>343</v>
      </c>
      <c r="I37" s="310"/>
      <c r="J37" s="220">
        <v>4783</v>
      </c>
      <c r="K37" s="215" t="s">
        <v>174</v>
      </c>
      <c r="L37" s="311"/>
      <c r="M37" s="285"/>
      <c r="N37" s="311"/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 s="199" customFormat="1" ht="18.399999999999999" customHeight="1">
      <c r="A38" s="731"/>
      <c r="B38" s="732"/>
      <c r="C38" s="732"/>
      <c r="D38" s="732"/>
      <c r="E38" s="733"/>
      <c r="F38" s="243"/>
      <c r="G38" s="312"/>
      <c r="H38" s="313" t="s">
        <v>344</v>
      </c>
      <c r="I38" s="314"/>
      <c r="J38" s="315">
        <v>9172</v>
      </c>
      <c r="K38" s="316" t="s">
        <v>174</v>
      </c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 s="199" customFormat="1" ht="18.399999999999999" customHeight="1">
      <c r="A39" s="704" t="s">
        <v>345</v>
      </c>
      <c r="B39" s="705"/>
      <c r="C39" s="705"/>
      <c r="D39" s="705"/>
      <c r="E39" s="705"/>
      <c r="F39" s="317" t="s">
        <v>346</v>
      </c>
      <c r="G39" s="318" t="s">
        <v>352</v>
      </c>
      <c r="H39" s="318"/>
      <c r="I39" s="318"/>
      <c r="J39" s="318"/>
      <c r="K39" s="319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 s="199" customFormat="1" ht="18.399999999999999" customHeight="1">
      <c r="A40" s="728"/>
      <c r="B40" s="729"/>
      <c r="C40" s="729"/>
      <c r="D40" s="729"/>
      <c r="E40" s="730"/>
      <c r="F40" s="320" t="s">
        <v>360</v>
      </c>
      <c r="G40" s="321"/>
      <c r="H40" s="321"/>
      <c r="I40" s="321"/>
      <c r="J40" s="321"/>
      <c r="K40" s="322"/>
      <c r="R40" s="195"/>
      <c r="S40" s="195"/>
      <c r="T40" s="195"/>
      <c r="U40" s="195"/>
      <c r="V40" s="195"/>
      <c r="W40" s="195"/>
      <c r="X40" s="195"/>
      <c r="Y40" s="195"/>
      <c r="Z40" s="195"/>
    </row>
    <row r="41" spans="1:26" s="199" customFormat="1" ht="18.399999999999999" customHeight="1">
      <c r="A41" s="728"/>
      <c r="B41" s="729"/>
      <c r="C41" s="729"/>
      <c r="D41" s="729"/>
      <c r="E41" s="730"/>
      <c r="F41" s="320" t="s">
        <v>361</v>
      </c>
      <c r="G41" s="323"/>
      <c r="H41" s="323"/>
      <c r="I41" s="323"/>
      <c r="J41" s="323"/>
      <c r="K41" s="324"/>
      <c r="L41" s="325"/>
      <c r="R41" s="195"/>
      <c r="S41" s="195"/>
      <c r="T41" s="195"/>
      <c r="U41" s="195"/>
      <c r="V41" s="195"/>
      <c r="W41" s="195"/>
      <c r="X41" s="195"/>
      <c r="Y41" s="195"/>
      <c r="Z41" s="195"/>
    </row>
    <row r="42" spans="1:26" s="199" customFormat="1" ht="18.399999999999999" customHeight="1">
      <c r="A42" s="728"/>
      <c r="B42" s="729"/>
      <c r="C42" s="729"/>
      <c r="D42" s="729"/>
      <c r="E42" s="730"/>
      <c r="F42" s="320"/>
      <c r="G42" s="336" t="s">
        <v>759</v>
      </c>
      <c r="H42" s="323"/>
      <c r="I42" s="323"/>
      <c r="J42" s="323"/>
      <c r="K42" s="324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 s="199" customFormat="1" ht="18.399999999999999" customHeight="1">
      <c r="A43" s="728"/>
      <c r="B43" s="729"/>
      <c r="C43" s="729"/>
      <c r="D43" s="729"/>
      <c r="E43" s="730"/>
      <c r="F43" s="320"/>
      <c r="G43" s="323" t="s">
        <v>363</v>
      </c>
      <c r="H43" s="323"/>
      <c r="I43" s="323"/>
      <c r="J43" s="323"/>
      <c r="K43" s="324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spans="1:26" s="199" customFormat="1" ht="17.100000000000001" customHeight="1" thickBot="1">
      <c r="A44" s="735"/>
      <c r="B44" s="736"/>
      <c r="C44" s="736"/>
      <c r="D44" s="736"/>
      <c r="E44" s="737"/>
      <c r="F44" s="320"/>
      <c r="G44" s="323" t="s">
        <v>364</v>
      </c>
      <c r="H44" s="323"/>
      <c r="I44" s="323"/>
      <c r="J44" s="323"/>
      <c r="K44" s="324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spans="1:26" s="199" customFormat="1" ht="17.100000000000001" customHeight="1">
      <c r="A45" s="326" t="s">
        <v>347</v>
      </c>
      <c r="B45" s="738"/>
      <c r="C45" s="739"/>
      <c r="D45" s="327" t="s">
        <v>348</v>
      </c>
      <c r="E45" s="337" t="s">
        <v>366</v>
      </c>
      <c r="F45" s="328"/>
      <c r="G45" s="323"/>
      <c r="H45" s="323"/>
      <c r="I45" s="323"/>
      <c r="J45" s="323"/>
      <c r="K45" s="324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 s="199" customFormat="1" ht="17.100000000000001" customHeight="1" thickBot="1">
      <c r="A46" s="329" t="s">
        <v>349</v>
      </c>
      <c r="B46" s="726"/>
      <c r="C46" s="727"/>
      <c r="D46" s="330" t="s">
        <v>349</v>
      </c>
      <c r="E46" s="338">
        <v>38294</v>
      </c>
      <c r="F46" s="331"/>
      <c r="G46" s="332" t="s">
        <v>365</v>
      </c>
      <c r="H46" s="332"/>
      <c r="I46" s="332"/>
      <c r="J46" s="332"/>
      <c r="K46" s="333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 s="199" customFormat="1" ht="17.100000000000001" customHeight="1">
      <c r="F47" s="334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</row>
    <row r="48" spans="1:26" s="199" customFormat="1" ht="17.100000000000001" customHeight="1">
      <c r="F48" s="195"/>
      <c r="G48" s="195"/>
      <c r="H48" s="195"/>
      <c r="I48" s="195"/>
      <c r="J48" s="195"/>
      <c r="K48" s="195"/>
    </row>
    <row r="49" spans="2:26" ht="17.100000000000001" customHeight="1">
      <c r="F49" s="185"/>
      <c r="G49" s="185"/>
      <c r="H49" s="185"/>
      <c r="I49" s="185"/>
      <c r="J49" s="185"/>
      <c r="K49" s="185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2:26">
      <c r="D50" s="335"/>
      <c r="F50" s="335"/>
      <c r="H50" s="335"/>
      <c r="I50" s="185"/>
      <c r="J50" s="185"/>
      <c r="K50" s="185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2:26">
      <c r="D51" s="335"/>
      <c r="F51" s="335"/>
      <c r="H51" s="335"/>
      <c r="I51" s="185"/>
      <c r="J51" s="185"/>
      <c r="K51" s="185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spans="2:26">
      <c r="B52" s="185"/>
      <c r="C52" s="185"/>
      <c r="D52" s="335"/>
      <c r="F52" s="335"/>
      <c r="H52" s="335"/>
      <c r="I52" s="185"/>
      <c r="J52" s="185"/>
      <c r="K52" s="185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spans="2:26">
      <c r="D53" s="335"/>
      <c r="F53" s="335"/>
      <c r="H53" s="335"/>
      <c r="I53" s="185"/>
      <c r="J53" s="185"/>
      <c r="K53" s="185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spans="2:26">
      <c r="D54" s="335"/>
      <c r="F54" s="335"/>
      <c r="H54" s="335"/>
    </row>
    <row r="56" spans="2:26">
      <c r="D56" s="335"/>
    </row>
    <row r="57" spans="2:26">
      <c r="D57" s="335"/>
    </row>
    <row r="58" spans="2:26">
      <c r="D58" s="335"/>
    </row>
    <row r="59" spans="2:26">
      <c r="D59" s="335"/>
    </row>
    <row r="60" spans="2:26">
      <c r="D60" s="335"/>
    </row>
    <row r="61" spans="2:26">
      <c r="D61" s="335"/>
    </row>
  </sheetData>
  <mergeCells count="49"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52" customWidth="1"/>
    <col min="2" max="7" width="10.7109375" style="352" customWidth="1"/>
    <col min="8" max="16384" width="9.140625" style="352"/>
  </cols>
  <sheetData>
    <row r="1" spans="1:12" ht="21" customHeight="1">
      <c r="A1" s="351" t="s">
        <v>379</v>
      </c>
      <c r="B1" s="741" t="s">
        <v>418</v>
      </c>
      <c r="C1" s="741"/>
      <c r="D1" s="741"/>
      <c r="E1" s="741"/>
      <c r="F1" s="741"/>
      <c r="G1" s="741"/>
    </row>
    <row r="2" spans="1:12" ht="15" customHeight="1"/>
    <row r="3" spans="1:12" ht="20.25">
      <c r="A3" s="353" t="s">
        <v>380</v>
      </c>
    </row>
    <row r="4" spans="1:12" ht="12" customHeight="1">
      <c r="A4" s="354"/>
      <c r="B4" s="354"/>
      <c r="C4" s="354"/>
      <c r="D4" s="354" t="s">
        <v>432</v>
      </c>
      <c r="E4" s="354"/>
      <c r="F4" s="354"/>
      <c r="G4" s="354"/>
      <c r="H4" s="354"/>
      <c r="I4" s="354"/>
      <c r="J4" s="354"/>
      <c r="K4" s="354"/>
      <c r="L4" s="354"/>
    </row>
    <row r="5" spans="1:12" ht="15.6" customHeight="1">
      <c r="A5" s="355" t="s">
        <v>5</v>
      </c>
      <c r="B5" s="355" t="s">
        <v>381</v>
      </c>
      <c r="C5" s="355" t="s">
        <v>382</v>
      </c>
      <c r="D5" s="355" t="s">
        <v>383</v>
      </c>
      <c r="E5" s="355" t="s">
        <v>384</v>
      </c>
      <c r="F5" s="355" t="s">
        <v>385</v>
      </c>
      <c r="G5" s="355" t="s">
        <v>386</v>
      </c>
      <c r="H5" s="354"/>
      <c r="I5" s="354"/>
      <c r="J5" s="354"/>
      <c r="K5" s="354"/>
      <c r="L5" s="354"/>
    </row>
    <row r="6" spans="1:12" ht="15.6" customHeight="1">
      <c r="A6" s="356" t="s">
        <v>387</v>
      </c>
      <c r="B6" s="356" t="s">
        <v>165</v>
      </c>
      <c r="C6" s="356" t="s">
        <v>165</v>
      </c>
      <c r="D6" s="356" t="s">
        <v>388</v>
      </c>
      <c r="E6" s="356" t="s">
        <v>135</v>
      </c>
      <c r="F6" s="356" t="s">
        <v>389</v>
      </c>
      <c r="G6" s="356" t="s">
        <v>389</v>
      </c>
      <c r="H6" s="354"/>
      <c r="I6" s="354"/>
      <c r="J6" s="354"/>
      <c r="K6" s="354"/>
      <c r="L6" s="354"/>
    </row>
    <row r="7" spans="1:12" ht="15.95" customHeight="1">
      <c r="A7" s="357" t="s">
        <v>419</v>
      </c>
      <c r="B7" s="357" t="s">
        <v>433</v>
      </c>
      <c r="C7" s="357" t="s">
        <v>440</v>
      </c>
      <c r="D7" s="357" t="s">
        <v>451</v>
      </c>
      <c r="E7" s="357" t="s">
        <v>462</v>
      </c>
      <c r="F7" s="357" t="s">
        <v>474</v>
      </c>
      <c r="G7" s="357" t="s">
        <v>486</v>
      </c>
      <c r="H7" s="354"/>
      <c r="I7" s="354"/>
      <c r="J7" s="354"/>
      <c r="K7" s="354"/>
      <c r="L7" s="354"/>
    </row>
    <row r="8" spans="1:12" ht="15.95" customHeight="1">
      <c r="A8" s="357" t="s">
        <v>420</v>
      </c>
      <c r="B8" s="357" t="s">
        <v>433</v>
      </c>
      <c r="C8" s="357" t="s">
        <v>441</v>
      </c>
      <c r="D8" s="357" t="s">
        <v>452</v>
      </c>
      <c r="E8" s="357" t="s">
        <v>463</v>
      </c>
      <c r="F8" s="357" t="s">
        <v>475</v>
      </c>
      <c r="G8" s="357" t="s">
        <v>487</v>
      </c>
      <c r="H8" s="354"/>
      <c r="I8" s="354"/>
      <c r="J8" s="354"/>
      <c r="K8" s="354"/>
      <c r="L8" s="354"/>
    </row>
    <row r="9" spans="1:12" ht="15.95" customHeight="1">
      <c r="A9" s="357" t="s">
        <v>421</v>
      </c>
      <c r="B9" s="357" t="s">
        <v>433</v>
      </c>
      <c r="C9" s="357" t="s">
        <v>442</v>
      </c>
      <c r="D9" s="357" t="s">
        <v>453</v>
      </c>
      <c r="E9" s="357" t="s">
        <v>464</v>
      </c>
      <c r="F9" s="357" t="s">
        <v>476</v>
      </c>
      <c r="G9" s="357" t="s">
        <v>488</v>
      </c>
      <c r="H9" s="354"/>
      <c r="I9" s="354"/>
      <c r="J9" s="354"/>
      <c r="K9" s="354"/>
      <c r="L9" s="354"/>
    </row>
    <row r="10" spans="1:12" ht="15.95" customHeight="1">
      <c r="A10" s="357" t="s">
        <v>422</v>
      </c>
      <c r="B10" s="357" t="s">
        <v>433</v>
      </c>
      <c r="C10" s="357" t="s">
        <v>442</v>
      </c>
      <c r="D10" s="357" t="s">
        <v>453</v>
      </c>
      <c r="E10" s="357" t="s">
        <v>465</v>
      </c>
      <c r="F10" s="357" t="s">
        <v>477</v>
      </c>
      <c r="G10" s="357" t="s">
        <v>489</v>
      </c>
      <c r="H10" s="354"/>
      <c r="I10" s="354"/>
      <c r="J10" s="354"/>
      <c r="K10" s="354"/>
      <c r="L10" s="354"/>
    </row>
    <row r="11" spans="1:12" ht="15.95" customHeight="1">
      <c r="A11" s="357" t="s">
        <v>423</v>
      </c>
      <c r="B11" s="357" t="s">
        <v>433</v>
      </c>
      <c r="C11" s="357" t="s">
        <v>443</v>
      </c>
      <c r="D11" s="357" t="s">
        <v>454</v>
      </c>
      <c r="E11" s="357" t="s">
        <v>466</v>
      </c>
      <c r="F11" s="357" t="s">
        <v>478</v>
      </c>
      <c r="G11" s="357" t="s">
        <v>490</v>
      </c>
      <c r="H11" s="354"/>
      <c r="I11" s="354"/>
      <c r="J11" s="354"/>
      <c r="K11" s="354"/>
      <c r="L11" s="354"/>
    </row>
    <row r="12" spans="1:12" ht="15.95" customHeight="1">
      <c r="A12" s="357" t="s">
        <v>424</v>
      </c>
      <c r="B12" s="357" t="s">
        <v>433</v>
      </c>
      <c r="C12" s="357" t="s">
        <v>444</v>
      </c>
      <c r="D12" s="357" t="s">
        <v>455</v>
      </c>
      <c r="E12" s="357" t="s">
        <v>467</v>
      </c>
      <c r="F12" s="357" t="s">
        <v>479</v>
      </c>
      <c r="G12" s="357" t="s">
        <v>491</v>
      </c>
      <c r="H12" s="354"/>
      <c r="I12" s="354"/>
      <c r="J12" s="354"/>
      <c r="K12" s="354"/>
      <c r="L12" s="354"/>
    </row>
    <row r="13" spans="1:12" ht="15.95" customHeight="1">
      <c r="A13" s="357" t="s">
        <v>425</v>
      </c>
      <c r="B13" s="357" t="s">
        <v>434</v>
      </c>
      <c r="C13" s="357" t="s">
        <v>445</v>
      </c>
      <c r="D13" s="357" t="s">
        <v>456</v>
      </c>
      <c r="E13" s="357" t="s">
        <v>468</v>
      </c>
      <c r="F13" s="357" t="s">
        <v>480</v>
      </c>
      <c r="G13" s="357" t="s">
        <v>492</v>
      </c>
      <c r="H13" s="354"/>
      <c r="I13" s="354"/>
      <c r="J13" s="354"/>
      <c r="K13" s="354"/>
      <c r="L13" s="354"/>
    </row>
    <row r="14" spans="1:12" ht="15.95" customHeight="1">
      <c r="A14" s="357" t="s">
        <v>426</v>
      </c>
      <c r="B14" s="357" t="s">
        <v>435</v>
      </c>
      <c r="C14" s="357" t="s">
        <v>446</v>
      </c>
      <c r="D14" s="357" t="s">
        <v>457</v>
      </c>
      <c r="E14" s="357" t="s">
        <v>469</v>
      </c>
      <c r="F14" s="357" t="s">
        <v>481</v>
      </c>
      <c r="G14" s="357" t="s">
        <v>493</v>
      </c>
      <c r="H14" s="354"/>
      <c r="I14" s="354"/>
      <c r="J14" s="354"/>
      <c r="K14" s="354"/>
      <c r="L14" s="354"/>
    </row>
    <row r="15" spans="1:12" ht="15.95" customHeight="1">
      <c r="A15" s="357" t="s">
        <v>427</v>
      </c>
      <c r="B15" s="357" t="s">
        <v>436</v>
      </c>
      <c r="C15" s="357" t="s">
        <v>447</v>
      </c>
      <c r="D15" s="357" t="s">
        <v>458</v>
      </c>
      <c r="E15" s="357" t="s">
        <v>470</v>
      </c>
      <c r="F15" s="357" t="s">
        <v>482</v>
      </c>
      <c r="G15" s="357" t="s">
        <v>494</v>
      </c>
      <c r="H15" s="354"/>
      <c r="I15" s="354"/>
      <c r="J15" s="354"/>
      <c r="K15" s="354"/>
      <c r="L15" s="354"/>
    </row>
    <row r="16" spans="1:12" ht="15.95" customHeight="1">
      <c r="A16" s="357" t="s">
        <v>428</v>
      </c>
      <c r="B16" s="357" t="s">
        <v>437</v>
      </c>
      <c r="C16" s="357" t="s">
        <v>448</v>
      </c>
      <c r="D16" s="357" t="s">
        <v>459</v>
      </c>
      <c r="E16" s="357" t="s">
        <v>471</v>
      </c>
      <c r="F16" s="357" t="s">
        <v>483</v>
      </c>
      <c r="G16" s="357" t="s">
        <v>495</v>
      </c>
      <c r="H16" s="354"/>
      <c r="I16" s="354"/>
      <c r="J16" s="354"/>
      <c r="K16" s="354"/>
      <c r="L16" s="354"/>
    </row>
    <row r="17" spans="1:12" ht="15.95" customHeight="1">
      <c r="A17" s="357" t="s">
        <v>429</v>
      </c>
      <c r="B17" s="357" t="s">
        <v>438</v>
      </c>
      <c r="C17" s="357" t="s">
        <v>449</v>
      </c>
      <c r="D17" s="357" t="s">
        <v>460</v>
      </c>
      <c r="E17" s="357" t="s">
        <v>472</v>
      </c>
      <c r="F17" s="357" t="s">
        <v>484</v>
      </c>
      <c r="G17" s="357" t="s">
        <v>496</v>
      </c>
      <c r="H17" s="354"/>
      <c r="I17" s="354"/>
      <c r="J17" s="354"/>
      <c r="K17" s="354"/>
      <c r="L17" s="354"/>
    </row>
    <row r="18" spans="1:12" ht="15.95" customHeight="1">
      <c r="A18" s="357" t="s">
        <v>430</v>
      </c>
      <c r="B18" s="357" t="s">
        <v>439</v>
      </c>
      <c r="C18" s="357" t="s">
        <v>450</v>
      </c>
      <c r="D18" s="357" t="s">
        <v>461</v>
      </c>
      <c r="E18" s="357" t="s">
        <v>473</v>
      </c>
      <c r="F18" s="357" t="s">
        <v>485</v>
      </c>
      <c r="G18" s="357" t="s">
        <v>497</v>
      </c>
      <c r="H18" s="354"/>
      <c r="I18" s="354"/>
      <c r="J18" s="354"/>
      <c r="K18" s="354"/>
      <c r="L18" s="354"/>
    </row>
    <row r="19" spans="1:12" ht="15.95" customHeight="1">
      <c r="A19" s="364" t="s">
        <v>431</v>
      </c>
      <c r="B19" s="364" t="s">
        <v>431</v>
      </c>
      <c r="C19" s="364" t="s">
        <v>431</v>
      </c>
      <c r="D19" s="364" t="s">
        <v>431</v>
      </c>
      <c r="E19" s="364" t="s">
        <v>431</v>
      </c>
      <c r="F19" s="364" t="s">
        <v>431</v>
      </c>
      <c r="G19" s="364" t="s">
        <v>431</v>
      </c>
      <c r="H19" s="354"/>
      <c r="I19" s="354"/>
      <c r="J19" s="354"/>
      <c r="K19" s="354"/>
      <c r="L19" s="354"/>
    </row>
    <row r="20" spans="1:12" ht="15.75">
      <c r="A20" s="354"/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</row>
    <row r="21" spans="1:12" ht="15.75">
      <c r="A21" s="354"/>
      <c r="B21" s="354"/>
      <c r="C21" s="354"/>
      <c r="D21" s="742" t="s">
        <v>507</v>
      </c>
      <c r="E21" s="743"/>
      <c r="F21" s="743"/>
      <c r="G21" s="744"/>
      <c r="H21" s="354"/>
      <c r="I21" s="354"/>
      <c r="J21" s="354"/>
      <c r="K21" s="354"/>
      <c r="L21" s="354"/>
    </row>
    <row r="22" spans="1:12" ht="17.25" customHeight="1">
      <c r="A22" s="354"/>
      <c r="B22" s="745" t="s">
        <v>390</v>
      </c>
      <c r="C22" s="745"/>
      <c r="D22" s="745" t="s">
        <v>391</v>
      </c>
      <c r="E22" s="745"/>
      <c r="F22" s="745" t="s">
        <v>392</v>
      </c>
      <c r="G22" s="745"/>
      <c r="H22" s="354"/>
      <c r="I22" s="354"/>
      <c r="J22" s="354"/>
      <c r="K22" s="354"/>
      <c r="L22" s="354"/>
    </row>
    <row r="23" spans="1:12" ht="15.75">
      <c r="A23" s="358" t="s">
        <v>393</v>
      </c>
      <c r="B23" s="740" t="s">
        <v>498</v>
      </c>
      <c r="C23" s="740"/>
      <c r="D23" s="740" t="s">
        <v>501</v>
      </c>
      <c r="E23" s="740"/>
      <c r="F23" s="740" t="s">
        <v>504</v>
      </c>
      <c r="G23" s="740"/>
      <c r="H23" s="354"/>
      <c r="I23" s="354"/>
      <c r="J23" s="354"/>
      <c r="K23" s="354"/>
      <c r="L23" s="354"/>
    </row>
    <row r="24" spans="1:12" ht="18" customHeight="1">
      <c r="A24" s="358" t="s">
        <v>394</v>
      </c>
      <c r="B24" s="740" t="s">
        <v>499</v>
      </c>
      <c r="C24" s="740"/>
      <c r="D24" s="740" t="s">
        <v>502</v>
      </c>
      <c r="E24" s="740"/>
      <c r="F24" s="740" t="s">
        <v>505</v>
      </c>
      <c r="G24" s="740"/>
      <c r="H24" s="354"/>
      <c r="I24" s="354"/>
      <c r="J24" s="354"/>
      <c r="K24" s="354"/>
      <c r="L24" s="354"/>
    </row>
    <row r="25" spans="1:12" ht="15.75">
      <c r="A25" s="358" t="s">
        <v>395</v>
      </c>
      <c r="B25" s="740" t="s">
        <v>500</v>
      </c>
      <c r="C25" s="740"/>
      <c r="D25" s="740" t="s">
        <v>503</v>
      </c>
      <c r="E25" s="740"/>
      <c r="F25" s="740" t="s">
        <v>506</v>
      </c>
      <c r="G25" s="740"/>
      <c r="H25" s="354"/>
      <c r="I25" s="354"/>
      <c r="J25" s="354"/>
      <c r="K25" s="354"/>
      <c r="L25" s="354"/>
    </row>
    <row r="26" spans="1:12" ht="15.75">
      <c r="A26" s="354"/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</row>
    <row r="27" spans="1:12" ht="20.25">
      <c r="A27" s="353" t="s">
        <v>396</v>
      </c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</row>
    <row r="28" spans="1:12" ht="15.75">
      <c r="A28" s="354"/>
      <c r="B28" s="354"/>
      <c r="C28" s="354"/>
      <c r="D28" s="354"/>
      <c r="E28" s="746" t="s">
        <v>397</v>
      </c>
      <c r="F28" s="743"/>
      <c r="G28" s="744"/>
      <c r="H28" s="354"/>
      <c r="I28" s="354"/>
      <c r="J28" s="354"/>
      <c r="K28" s="354"/>
      <c r="L28" s="354"/>
    </row>
    <row r="29" spans="1:12" ht="15.75">
      <c r="A29" s="354"/>
      <c r="B29" s="745" t="s">
        <v>398</v>
      </c>
      <c r="C29" s="745"/>
      <c r="D29" s="359" t="s">
        <v>399</v>
      </c>
      <c r="E29" s="359" t="s">
        <v>400</v>
      </c>
      <c r="F29" s="745" t="s">
        <v>401</v>
      </c>
      <c r="G29" s="745"/>
      <c r="H29" s="354"/>
      <c r="I29" s="354"/>
      <c r="J29" s="354"/>
      <c r="K29" s="354"/>
      <c r="L29" s="354"/>
    </row>
    <row r="30" spans="1:12" ht="15.75">
      <c r="A30" s="358" t="s">
        <v>402</v>
      </c>
      <c r="B30" s="740" t="s">
        <v>508</v>
      </c>
      <c r="C30" s="740"/>
      <c r="D30" s="357" t="s">
        <v>511</v>
      </c>
      <c r="E30" s="357" t="s">
        <v>403</v>
      </c>
      <c r="F30" s="740" t="s">
        <v>514</v>
      </c>
      <c r="G30" s="740"/>
      <c r="H30" s="354"/>
      <c r="I30" s="354"/>
      <c r="J30" s="354"/>
      <c r="K30" s="354"/>
      <c r="L30" s="354"/>
    </row>
    <row r="31" spans="1:12" ht="15.75">
      <c r="A31" s="358" t="s">
        <v>404</v>
      </c>
      <c r="B31" s="740" t="s">
        <v>509</v>
      </c>
      <c r="C31" s="740"/>
      <c r="D31" s="357" t="s">
        <v>512</v>
      </c>
      <c r="E31" s="357" t="s">
        <v>405</v>
      </c>
      <c r="F31" s="740" t="s">
        <v>515</v>
      </c>
      <c r="G31" s="740"/>
      <c r="H31" s="354"/>
      <c r="I31" s="354"/>
      <c r="J31" s="354"/>
      <c r="K31" s="354"/>
      <c r="L31" s="354"/>
    </row>
    <row r="32" spans="1:12" ht="15.75">
      <c r="A32" s="358" t="s">
        <v>406</v>
      </c>
      <c r="B32" s="740" t="s">
        <v>510</v>
      </c>
      <c r="C32" s="740"/>
      <c r="D32" s="357" t="s">
        <v>513</v>
      </c>
      <c r="E32" s="357" t="s">
        <v>407</v>
      </c>
      <c r="F32" s="740" t="s">
        <v>516</v>
      </c>
      <c r="G32" s="740"/>
      <c r="H32" s="354"/>
      <c r="I32" s="354"/>
      <c r="J32" s="354"/>
      <c r="K32" s="354"/>
      <c r="L32" s="354"/>
    </row>
    <row r="33" spans="1:12" ht="15.75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</row>
    <row r="34" spans="1:12" ht="15.75">
      <c r="A34" s="354"/>
      <c r="B34" s="354"/>
      <c r="C34" s="354"/>
      <c r="D34" s="354"/>
      <c r="E34" s="746" t="s">
        <v>408</v>
      </c>
      <c r="F34" s="743"/>
      <c r="G34" s="744"/>
      <c r="H34" s="354"/>
      <c r="I34" s="354"/>
      <c r="J34" s="354"/>
      <c r="K34" s="354"/>
      <c r="L34" s="354"/>
    </row>
    <row r="35" spans="1:12" ht="15.75">
      <c r="A35" s="354"/>
      <c r="B35" s="745" t="s">
        <v>409</v>
      </c>
      <c r="C35" s="745"/>
      <c r="D35" s="359" t="s">
        <v>400</v>
      </c>
      <c r="E35" s="359" t="s">
        <v>410</v>
      </c>
      <c r="F35" s="359" t="s">
        <v>100</v>
      </c>
      <c r="G35" s="359" t="s">
        <v>411</v>
      </c>
      <c r="H35" s="354"/>
      <c r="I35" s="354"/>
      <c r="J35" s="354"/>
      <c r="K35" s="354"/>
      <c r="L35" s="354"/>
    </row>
    <row r="36" spans="1:12" ht="15.75">
      <c r="A36" s="358" t="s">
        <v>402</v>
      </c>
      <c r="B36" s="747" t="s">
        <v>517</v>
      </c>
      <c r="C36" s="748"/>
      <c r="D36" s="360" t="s">
        <v>519</v>
      </c>
      <c r="E36" s="360" t="s">
        <v>412</v>
      </c>
      <c r="F36" s="361" t="s">
        <v>413</v>
      </c>
      <c r="G36" s="357" t="s">
        <v>522</v>
      </c>
      <c r="H36" s="354"/>
      <c r="I36" s="354"/>
      <c r="J36" s="354"/>
      <c r="K36" s="354"/>
      <c r="L36" s="354"/>
    </row>
    <row r="37" spans="1:12" ht="15.75">
      <c r="A37" s="358" t="s">
        <v>404</v>
      </c>
      <c r="B37" s="747" t="s">
        <v>518</v>
      </c>
      <c r="C37" s="748"/>
      <c r="D37" s="360" t="s">
        <v>520</v>
      </c>
      <c r="E37" s="360" t="s">
        <v>412</v>
      </c>
      <c r="F37" s="361" t="s">
        <v>414</v>
      </c>
      <c r="G37" s="362" t="s">
        <v>523</v>
      </c>
      <c r="H37" s="354"/>
      <c r="I37" s="354"/>
      <c r="J37" s="354"/>
      <c r="K37" s="354"/>
      <c r="L37" s="354"/>
    </row>
    <row r="38" spans="1:12" ht="15.75">
      <c r="A38" s="358" t="s">
        <v>406</v>
      </c>
      <c r="B38" s="747" t="s">
        <v>518</v>
      </c>
      <c r="C38" s="748"/>
      <c r="D38" s="360" t="s">
        <v>521</v>
      </c>
      <c r="E38" s="360" t="s">
        <v>412</v>
      </c>
      <c r="F38" s="361" t="s">
        <v>415</v>
      </c>
      <c r="G38" s="357" t="s">
        <v>524</v>
      </c>
      <c r="H38" s="354"/>
      <c r="I38" s="354"/>
      <c r="J38" s="354"/>
      <c r="K38" s="354"/>
      <c r="L38" s="354"/>
    </row>
    <row r="39" spans="1:12" ht="15.75">
      <c r="A39" s="354"/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</row>
    <row r="40" spans="1:12" ht="15.75">
      <c r="A40" s="363" t="s">
        <v>416</v>
      </c>
      <c r="B40" s="749" t="s">
        <v>525</v>
      </c>
      <c r="C40" s="749"/>
      <c r="D40" s="750" t="s">
        <v>417</v>
      </c>
      <c r="E40" s="750"/>
      <c r="F40" s="749" t="s">
        <v>515</v>
      </c>
      <c r="G40" s="749"/>
      <c r="H40" s="354"/>
      <c r="I40" s="354"/>
      <c r="J40" s="354"/>
      <c r="K40" s="354"/>
      <c r="L40" s="354"/>
    </row>
    <row r="41" spans="1:12" ht="15.75">
      <c r="A41" s="354"/>
      <c r="B41" s="354"/>
      <c r="C41" s="354"/>
      <c r="D41" s="354"/>
      <c r="E41" s="354"/>
      <c r="F41" s="354"/>
      <c r="G41" s="354"/>
      <c r="H41" s="354"/>
      <c r="I41" s="354"/>
      <c r="J41" s="354"/>
      <c r="K41" s="354"/>
      <c r="L41" s="354"/>
    </row>
    <row r="42" spans="1:12" ht="15.75">
      <c r="A42" s="354"/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</row>
    <row r="43" spans="1:12" ht="15.75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</row>
    <row r="44" spans="1:12" ht="15.75">
      <c r="A44" s="354"/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L44" s="354"/>
    </row>
    <row r="45" spans="1:12" ht="15.75">
      <c r="A45" s="354"/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</row>
    <row r="46" spans="1:12" ht="15.75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</row>
    <row r="47" spans="1:12" ht="15.75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</row>
    <row r="48" spans="1:12" ht="15.75">
      <c r="A48" s="354"/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</row>
    <row r="49" spans="1:12" ht="15.75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</row>
    <row r="50" spans="1:12" ht="15.75">
      <c r="A50" s="354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</row>
    <row r="51" spans="1:12" ht="15.75">
      <c r="A51" s="354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</row>
    <row r="52" spans="1:12" ht="15.75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</row>
    <row r="53" spans="1:12" ht="15.75">
      <c r="A53" s="354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</row>
    <row r="54" spans="1:12" ht="15.75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</row>
    <row r="55" spans="1:12" ht="15.75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</row>
    <row r="56" spans="1:12" ht="15.75">
      <c r="A56" s="354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</row>
    <row r="57" spans="1:12" ht="15.75">
      <c r="A57" s="354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</row>
    <row r="58" spans="1:12" ht="15.75">
      <c r="A58" s="354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</row>
    <row r="59" spans="1:12" ht="15.75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</row>
    <row r="60" spans="1:12" ht="15.75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</row>
    <row r="61" spans="1:12" ht="15.75">
      <c r="A61" s="354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zoomScale="90" workbookViewId="0">
      <selection activeCell="G13" sqref="G13"/>
    </sheetView>
  </sheetViews>
  <sheetFormatPr defaultColWidth="12.5703125" defaultRowHeight="15.75"/>
  <cols>
    <col min="1" max="13" width="7" style="422" customWidth="1"/>
    <col min="14" max="14" width="7.140625" style="422" customWidth="1"/>
    <col min="15" max="16384" width="12.5703125" style="422"/>
  </cols>
  <sheetData>
    <row r="1" spans="1:14" ht="17.100000000000001" customHeight="1">
      <c r="A1" s="415" t="s">
        <v>266</v>
      </c>
      <c r="B1" s="416"/>
      <c r="C1" s="416"/>
      <c r="D1" s="416"/>
      <c r="E1" s="416"/>
      <c r="F1" s="416"/>
      <c r="G1" s="416"/>
      <c r="H1" s="416"/>
      <c r="I1" s="416"/>
      <c r="J1" s="417" t="s">
        <v>563</v>
      </c>
      <c r="K1" s="418"/>
      <c r="L1" s="419" t="s">
        <v>564</v>
      </c>
      <c r="M1" s="420"/>
      <c r="N1" s="421"/>
    </row>
    <row r="2" spans="1:14" ht="17.100000000000001" customHeight="1">
      <c r="A2" s="423" t="s">
        <v>565</v>
      </c>
      <c r="B2" s="424"/>
      <c r="C2" s="424"/>
      <c r="D2" s="424"/>
      <c r="E2" s="424"/>
      <c r="F2" s="424"/>
      <c r="G2" s="424"/>
      <c r="H2" s="424"/>
      <c r="I2" s="424"/>
      <c r="J2" s="425" t="s">
        <v>566</v>
      </c>
      <c r="K2" s="426"/>
      <c r="L2" s="427" t="s">
        <v>567</v>
      </c>
      <c r="M2" s="428"/>
      <c r="N2" s="421"/>
    </row>
    <row r="3" spans="1:14" ht="15.95" customHeight="1">
      <c r="A3" s="429"/>
      <c r="B3" s="430"/>
      <c r="C3" s="430"/>
      <c r="D3" s="430"/>
      <c r="E3" s="430"/>
      <c r="F3" s="430"/>
      <c r="G3" s="430"/>
      <c r="H3" s="430"/>
      <c r="I3" s="430"/>
      <c r="J3" s="425" t="s">
        <v>568</v>
      </c>
      <c r="K3" s="426"/>
      <c r="L3" s="431" t="s">
        <v>569</v>
      </c>
      <c r="M3" s="428"/>
      <c r="N3" s="421"/>
    </row>
    <row r="4" spans="1:14" ht="15.95" customHeight="1">
      <c r="A4" s="432"/>
      <c r="B4" s="430"/>
      <c r="C4" s="430"/>
      <c r="D4" s="430"/>
      <c r="E4" s="430"/>
      <c r="F4" s="430"/>
      <c r="G4" s="430"/>
      <c r="H4" s="430"/>
      <c r="I4" s="430"/>
      <c r="J4" s="425" t="s">
        <v>570</v>
      </c>
      <c r="K4" s="426"/>
      <c r="L4" s="433" t="s">
        <v>571</v>
      </c>
      <c r="M4" s="428"/>
      <c r="N4" s="421"/>
    </row>
    <row r="5" spans="1:14" ht="15.95" customHeight="1">
      <c r="A5" s="429"/>
      <c r="B5" s="430"/>
      <c r="C5" s="430"/>
      <c r="D5" s="430"/>
      <c r="E5" s="430"/>
      <c r="F5" s="430"/>
      <c r="G5" s="430"/>
      <c r="H5" s="430"/>
      <c r="I5" s="430"/>
      <c r="J5" s="425" t="s">
        <v>572</v>
      </c>
      <c r="K5" s="426"/>
      <c r="L5" s="427">
        <v>2</v>
      </c>
      <c r="M5" s="428"/>
      <c r="N5" s="421"/>
    </row>
    <row r="6" spans="1:14" ht="15.95" customHeight="1">
      <c r="A6" s="434" t="s">
        <v>573</v>
      </c>
      <c r="B6" s="430"/>
      <c r="C6" s="430"/>
      <c r="D6" s="430"/>
      <c r="E6" s="430"/>
      <c r="F6" s="430"/>
      <c r="G6" s="430"/>
      <c r="H6" s="430"/>
      <c r="I6" s="430"/>
      <c r="J6" s="425" t="s">
        <v>574</v>
      </c>
      <c r="K6" s="426"/>
      <c r="L6" s="435" t="s">
        <v>575</v>
      </c>
      <c r="M6" s="428"/>
      <c r="N6" s="421"/>
    </row>
    <row r="7" spans="1:14" ht="15.95" customHeight="1" thickBot="1">
      <c r="A7" s="436" t="s">
        <v>576</v>
      </c>
      <c r="B7" s="437"/>
      <c r="C7" s="437"/>
      <c r="D7" s="437"/>
      <c r="E7" s="437"/>
      <c r="F7" s="437"/>
      <c r="G7" s="437"/>
      <c r="H7" s="437"/>
      <c r="I7" s="437"/>
      <c r="J7" s="438" t="s">
        <v>577</v>
      </c>
      <c r="K7" s="439"/>
      <c r="L7" s="440" t="s">
        <v>578</v>
      </c>
      <c r="M7" s="441"/>
      <c r="N7" s="421"/>
    </row>
    <row r="8" spans="1:14" ht="15.95" customHeight="1">
      <c r="A8" s="442"/>
      <c r="B8" s="430"/>
      <c r="C8" s="430"/>
      <c r="D8" s="430"/>
      <c r="E8" s="430"/>
      <c r="F8" s="430"/>
      <c r="G8" s="430"/>
      <c r="H8" s="430"/>
      <c r="I8" s="430"/>
      <c r="J8" s="430"/>
      <c r="K8" s="443"/>
      <c r="L8" s="444"/>
      <c r="M8" s="445"/>
      <c r="N8" s="430"/>
    </row>
    <row r="9" spans="1:14" ht="12" customHeight="1">
      <c r="A9" s="446"/>
      <c r="B9" s="447" t="s">
        <v>579</v>
      </c>
      <c r="C9" s="448" t="s">
        <v>670</v>
      </c>
      <c r="D9" s="449"/>
      <c r="E9" s="449"/>
      <c r="F9" s="449"/>
      <c r="G9" s="449"/>
      <c r="H9" s="449"/>
      <c r="I9" s="449"/>
      <c r="J9" s="449"/>
      <c r="K9" s="450"/>
      <c r="L9" s="451"/>
      <c r="M9" s="449"/>
      <c r="N9" s="430"/>
    </row>
    <row r="10" spans="1:14" ht="12" customHeight="1">
      <c r="A10" s="446"/>
      <c r="B10" s="447" t="s">
        <v>580</v>
      </c>
      <c r="C10" s="452" t="s">
        <v>671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44"/>
    </row>
    <row r="11" spans="1:14" ht="16.5" thickBot="1">
      <c r="A11" s="453"/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</row>
    <row r="12" spans="1:14" ht="20.100000000000001" customHeight="1" thickBot="1">
      <c r="A12" s="454" t="s">
        <v>581</v>
      </c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M12" s="456"/>
      <c r="N12" s="421"/>
    </row>
    <row r="13" spans="1:14" ht="12.95" customHeight="1" thickTop="1">
      <c r="A13" s="457"/>
      <c r="B13" s="458" t="s">
        <v>582</v>
      </c>
      <c r="C13" s="459">
        <v>700</v>
      </c>
      <c r="D13" s="451"/>
      <c r="E13" s="458" t="s">
        <v>583</v>
      </c>
      <c r="F13" s="459">
        <v>4000</v>
      </c>
      <c r="G13" s="451"/>
      <c r="H13" s="458" t="s">
        <v>584</v>
      </c>
      <c r="I13" s="459" t="s">
        <v>667</v>
      </c>
      <c r="J13" s="451"/>
      <c r="K13" s="451"/>
      <c r="L13" s="458" t="s">
        <v>585</v>
      </c>
      <c r="M13" s="460">
        <v>1800</v>
      </c>
      <c r="N13" s="421"/>
    </row>
    <row r="14" spans="1:14" ht="12.95" customHeight="1">
      <c r="A14" s="457"/>
      <c r="B14" s="458" t="s">
        <v>586</v>
      </c>
      <c r="C14" s="459" t="s">
        <v>669</v>
      </c>
      <c r="D14" s="451"/>
      <c r="E14" s="458" t="s">
        <v>587</v>
      </c>
      <c r="F14" s="459" t="s">
        <v>668</v>
      </c>
      <c r="G14" s="451"/>
      <c r="H14" s="458" t="s">
        <v>588</v>
      </c>
      <c r="I14" s="459">
        <v>86</v>
      </c>
      <c r="J14" s="451"/>
      <c r="K14" s="451"/>
      <c r="L14" s="458" t="s">
        <v>539</v>
      </c>
      <c r="M14" s="460">
        <v>1770</v>
      </c>
      <c r="N14" s="421"/>
    </row>
    <row r="15" spans="1:14" ht="12.95" customHeight="1">
      <c r="A15" s="457"/>
      <c r="B15" s="458" t="s">
        <v>589</v>
      </c>
      <c r="C15" s="459" t="s">
        <v>192</v>
      </c>
      <c r="D15" s="451"/>
      <c r="E15" s="458" t="s">
        <v>590</v>
      </c>
      <c r="F15" s="463" t="s">
        <v>672</v>
      </c>
      <c r="G15" s="451"/>
      <c r="H15" s="461" t="s">
        <v>591</v>
      </c>
      <c r="I15" s="459" t="s">
        <v>174</v>
      </c>
      <c r="J15" s="451"/>
      <c r="K15" s="451"/>
      <c r="L15" s="458" t="s">
        <v>592</v>
      </c>
      <c r="M15" s="460" t="s">
        <v>350</v>
      </c>
      <c r="N15" s="421"/>
    </row>
    <row r="16" spans="1:14" ht="12.95" customHeight="1">
      <c r="A16" s="457"/>
      <c r="B16" s="458" t="s">
        <v>593</v>
      </c>
      <c r="C16" s="459" t="s">
        <v>666</v>
      </c>
      <c r="D16" s="451"/>
      <c r="E16" s="458" t="s">
        <v>594</v>
      </c>
      <c r="F16" s="459" t="s">
        <v>412</v>
      </c>
      <c r="G16" s="451"/>
      <c r="H16" s="462" t="s">
        <v>595</v>
      </c>
      <c r="I16" s="463" t="s">
        <v>350</v>
      </c>
      <c r="J16" s="451"/>
      <c r="K16" s="451"/>
      <c r="L16" s="458" t="s">
        <v>596</v>
      </c>
      <c r="M16" s="460" t="s">
        <v>597</v>
      </c>
      <c r="N16" s="421"/>
    </row>
    <row r="17" spans="1:14" ht="12.95" customHeight="1">
      <c r="A17" s="457"/>
      <c r="B17" s="458" t="s">
        <v>598</v>
      </c>
      <c r="C17" s="464" t="s">
        <v>673</v>
      </c>
      <c r="D17" s="451"/>
      <c r="E17" s="458"/>
      <c r="F17" s="465"/>
      <c r="G17" s="451"/>
      <c r="H17" s="458" t="s">
        <v>599</v>
      </c>
      <c r="I17" s="463" t="s">
        <v>174</v>
      </c>
      <c r="J17" s="451"/>
      <c r="K17" s="451"/>
      <c r="L17" s="458"/>
      <c r="M17" s="466"/>
      <c r="N17" s="421"/>
    </row>
    <row r="18" spans="1:14" ht="12.95" customHeight="1" thickBot="1">
      <c r="A18" s="467"/>
      <c r="B18" s="468" t="s">
        <v>600</v>
      </c>
      <c r="C18" s="469">
        <v>93.6</v>
      </c>
      <c r="D18" s="470"/>
      <c r="E18" s="471" t="s">
        <v>601</v>
      </c>
      <c r="F18" s="469" t="s">
        <v>174</v>
      </c>
      <c r="G18" s="472"/>
      <c r="H18" s="471" t="s">
        <v>602</v>
      </c>
      <c r="I18" s="469">
        <v>93</v>
      </c>
      <c r="J18" s="470"/>
      <c r="K18" s="470"/>
      <c r="L18" s="470"/>
      <c r="M18" s="473"/>
      <c r="N18" s="421"/>
    </row>
    <row r="19" spans="1:14" ht="16.5" thickBot="1">
      <c r="A19" s="421"/>
      <c r="B19" s="421"/>
      <c r="C19" s="421"/>
      <c r="D19" s="421"/>
      <c r="E19" s="421"/>
      <c r="F19" s="421"/>
      <c r="G19" s="421"/>
      <c r="H19" s="421"/>
      <c r="I19" s="421"/>
      <c r="J19" s="421"/>
      <c r="K19" s="421"/>
      <c r="L19" s="421"/>
      <c r="M19" s="421"/>
      <c r="N19" s="421"/>
    </row>
    <row r="20" spans="1:14" ht="20.100000000000001" customHeight="1" thickBot="1">
      <c r="A20" s="454"/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6"/>
    </row>
    <row r="21" spans="1:14" ht="15.95" customHeight="1" thickTop="1">
      <c r="A21" s="474" t="s">
        <v>603</v>
      </c>
      <c r="B21" s="475"/>
      <c r="C21" s="444"/>
      <c r="D21" s="476"/>
      <c r="E21" s="477" t="s">
        <v>604</v>
      </c>
      <c r="F21" s="478"/>
      <c r="G21" s="478"/>
      <c r="H21" s="479"/>
      <c r="I21" s="480" t="s">
        <v>605</v>
      </c>
      <c r="J21" s="481"/>
      <c r="K21" s="481"/>
      <c r="L21" s="444"/>
      <c r="M21" s="482"/>
    </row>
    <row r="22" spans="1:14" ht="15.95" customHeight="1">
      <c r="A22" s="483" t="s">
        <v>606</v>
      </c>
      <c r="B22" s="451"/>
      <c r="C22" s="484"/>
      <c r="D22" s="485">
        <v>542</v>
      </c>
      <c r="E22" s="458"/>
      <c r="G22" s="462" t="s">
        <v>607</v>
      </c>
      <c r="H22" s="486">
        <v>2077</v>
      </c>
      <c r="I22" s="484"/>
      <c r="J22" s="451"/>
      <c r="K22" s="484" t="s">
        <v>608</v>
      </c>
      <c r="L22" s="751"/>
      <c r="M22" s="752"/>
    </row>
    <row r="23" spans="1:14" ht="15.95" customHeight="1">
      <c r="A23" s="483"/>
      <c r="B23" s="484"/>
      <c r="C23" s="487"/>
      <c r="D23" s="488"/>
      <c r="E23" s="458"/>
      <c r="G23" s="458" t="s">
        <v>609</v>
      </c>
      <c r="H23" s="485">
        <v>135</v>
      </c>
      <c r="I23" s="451"/>
      <c r="J23" s="451"/>
      <c r="K23" s="458" t="s">
        <v>610</v>
      </c>
      <c r="L23" s="751"/>
      <c r="M23" s="752"/>
    </row>
    <row r="24" spans="1:14" ht="15.95" customHeight="1">
      <c r="A24" s="457"/>
      <c r="B24" s="458"/>
      <c r="C24" s="451"/>
      <c r="D24" s="488"/>
      <c r="E24" s="458"/>
      <c r="G24" s="462" t="s">
        <v>611</v>
      </c>
      <c r="H24" s="485">
        <v>270</v>
      </c>
      <c r="I24" s="451"/>
      <c r="J24" s="458"/>
      <c r="K24" s="451"/>
      <c r="L24" s="451"/>
      <c r="M24" s="466"/>
    </row>
    <row r="25" spans="1:14" ht="15.95" customHeight="1" thickBot="1">
      <c r="A25" s="467"/>
      <c r="B25" s="468"/>
      <c r="C25" s="470"/>
      <c r="D25" s="489"/>
      <c r="E25" s="471"/>
      <c r="F25" s="471"/>
      <c r="G25" s="471"/>
      <c r="H25" s="490"/>
      <c r="I25" s="470"/>
      <c r="J25" s="471"/>
      <c r="K25" s="470"/>
      <c r="L25" s="470"/>
      <c r="M25" s="473"/>
    </row>
    <row r="26" spans="1:14" ht="18.95" customHeight="1" thickBot="1">
      <c r="A26" s="491"/>
      <c r="B26" s="491"/>
      <c r="C26" s="491"/>
      <c r="D26" s="492"/>
      <c r="E26" s="492"/>
      <c r="F26" s="492"/>
      <c r="G26" s="492"/>
      <c r="H26" s="492"/>
      <c r="I26" s="492"/>
      <c r="J26" s="492"/>
      <c r="K26" s="492"/>
      <c r="L26" s="492"/>
      <c r="M26" s="421"/>
      <c r="N26" s="421"/>
    </row>
    <row r="27" spans="1:14" ht="20.100000000000001" customHeight="1" thickBot="1">
      <c r="A27" s="493"/>
      <c r="B27" s="494"/>
      <c r="C27" s="494"/>
      <c r="D27" s="494"/>
      <c r="E27" s="494"/>
      <c r="F27" s="494"/>
      <c r="G27" s="495"/>
      <c r="H27" s="494"/>
      <c r="I27" s="494"/>
      <c r="J27" s="494"/>
      <c r="K27" s="494"/>
      <c r="L27" s="494"/>
      <c r="M27" s="496"/>
    </row>
    <row r="28" spans="1:14" ht="15.95" customHeight="1" thickTop="1">
      <c r="A28" s="497" t="s">
        <v>612</v>
      </c>
      <c r="B28" s="475"/>
      <c r="C28" s="444"/>
      <c r="D28" s="444"/>
      <c r="E28" s="478"/>
      <c r="F28" s="478"/>
      <c r="G28" s="498"/>
      <c r="H28" s="477" t="s">
        <v>613</v>
      </c>
      <c r="I28" s="478"/>
      <c r="J28" s="481"/>
      <c r="K28" s="477"/>
      <c r="L28" s="481"/>
      <c r="M28" s="482"/>
    </row>
    <row r="29" spans="1:14" ht="15.95" customHeight="1">
      <c r="A29" s="457"/>
      <c r="B29" s="484"/>
      <c r="C29" s="484" t="s">
        <v>614</v>
      </c>
      <c r="D29" s="499">
        <v>93.9</v>
      </c>
      <c r="E29" s="458"/>
      <c r="F29" s="458"/>
      <c r="G29" s="498"/>
      <c r="H29" s="462"/>
      <c r="I29" s="484"/>
      <c r="J29" s="484" t="s">
        <v>614</v>
      </c>
      <c r="K29" s="499">
        <v>93</v>
      </c>
      <c r="L29" s="451"/>
      <c r="M29" s="466"/>
    </row>
    <row r="30" spans="1:14" ht="15.95" customHeight="1">
      <c r="A30" s="500"/>
      <c r="B30" s="451"/>
      <c r="C30" s="484" t="s">
        <v>615</v>
      </c>
      <c r="D30" s="499">
        <v>94.1</v>
      </c>
      <c r="E30" s="458"/>
      <c r="F30" s="458"/>
      <c r="G30" s="498"/>
      <c r="H30" s="458"/>
      <c r="I30" s="451"/>
      <c r="J30" s="484" t="s">
        <v>615</v>
      </c>
      <c r="K30" s="499">
        <v>91.7</v>
      </c>
      <c r="L30" s="451"/>
      <c r="M30" s="466"/>
    </row>
    <row r="31" spans="1:14" ht="15.95" customHeight="1">
      <c r="A31" s="457"/>
      <c r="B31" s="458"/>
      <c r="C31" s="484" t="s">
        <v>616</v>
      </c>
      <c r="D31" s="499">
        <v>93.9</v>
      </c>
      <c r="E31" s="458"/>
      <c r="F31" s="458"/>
      <c r="G31" s="498"/>
      <c r="H31" s="458"/>
      <c r="I31" s="451"/>
      <c r="J31" s="484" t="s">
        <v>616</v>
      </c>
      <c r="K31" s="499">
        <v>86.9</v>
      </c>
      <c r="L31" s="458"/>
      <c r="M31" s="466"/>
    </row>
    <row r="32" spans="1:14" ht="15.95" customHeight="1" thickBot="1">
      <c r="A32" s="467"/>
      <c r="B32" s="468"/>
      <c r="C32" s="470"/>
      <c r="D32" s="470"/>
      <c r="E32" s="471"/>
      <c r="F32" s="471"/>
      <c r="G32" s="501"/>
      <c r="H32" s="471"/>
      <c r="I32" s="470"/>
      <c r="J32" s="471"/>
      <c r="K32" s="470"/>
      <c r="L32" s="471"/>
      <c r="M32" s="473"/>
    </row>
    <row r="33" spans="1:14" ht="20.100000000000001" customHeight="1" thickBot="1">
      <c r="A33" s="502"/>
      <c r="B33" s="502"/>
      <c r="C33" s="502"/>
      <c r="D33" s="502"/>
      <c r="E33" s="502"/>
      <c r="F33" s="502"/>
      <c r="G33" s="502"/>
      <c r="H33" s="502"/>
      <c r="I33" s="502"/>
      <c r="J33" s="502"/>
      <c r="K33" s="502"/>
      <c r="L33" s="502"/>
      <c r="M33" s="503"/>
      <c r="N33" s="503"/>
    </row>
    <row r="34" spans="1:14" ht="8.25" customHeight="1" thickBot="1">
      <c r="A34" s="504"/>
      <c r="B34" s="505"/>
      <c r="C34" s="505"/>
      <c r="D34" s="505"/>
      <c r="E34" s="505"/>
      <c r="F34" s="505"/>
      <c r="G34" s="505"/>
      <c r="H34" s="505"/>
      <c r="I34" s="505"/>
      <c r="J34" s="505"/>
      <c r="K34" s="505"/>
      <c r="L34" s="505"/>
      <c r="M34" s="506"/>
    </row>
    <row r="35" spans="1:14" ht="15.95" customHeight="1" thickTop="1">
      <c r="A35" s="507" t="s">
        <v>617</v>
      </c>
      <c r="B35" s="487"/>
      <c r="C35" s="487"/>
      <c r="D35" s="487"/>
      <c r="E35" s="487"/>
      <c r="F35" s="487"/>
      <c r="G35" s="487"/>
      <c r="H35" s="487"/>
      <c r="I35" s="487"/>
      <c r="J35" s="487"/>
      <c r="K35" s="487"/>
      <c r="L35" s="487"/>
      <c r="M35" s="508"/>
    </row>
    <row r="36" spans="1:14" ht="15.95" customHeight="1">
      <c r="A36" s="509" t="s">
        <v>618</v>
      </c>
      <c r="B36" s="510"/>
      <c r="C36" s="510"/>
      <c r="D36" s="510"/>
      <c r="E36" s="510"/>
      <c r="F36" s="510"/>
      <c r="G36" s="510"/>
      <c r="H36" s="510"/>
      <c r="I36" s="510"/>
      <c r="J36" s="510"/>
      <c r="K36" s="510"/>
      <c r="L36" s="510"/>
      <c r="M36" s="511"/>
    </row>
    <row r="37" spans="1:14" ht="15.95" customHeight="1">
      <c r="A37" s="512" t="s">
        <v>619</v>
      </c>
      <c r="B37" s="513"/>
      <c r="C37" s="513"/>
      <c r="D37" s="513"/>
      <c r="E37" s="513"/>
      <c r="F37" s="513"/>
      <c r="G37" s="513"/>
      <c r="H37" s="513"/>
      <c r="I37" s="513"/>
      <c r="J37" s="513"/>
      <c r="K37" s="513"/>
      <c r="L37" s="513"/>
      <c r="M37" s="514"/>
    </row>
    <row r="38" spans="1:14" ht="15.95" customHeight="1">
      <c r="A38" s="515" t="s">
        <v>620</v>
      </c>
      <c r="B38" s="487"/>
      <c r="C38" s="487"/>
      <c r="D38" s="487"/>
      <c r="E38" s="516"/>
      <c r="F38" s="487"/>
      <c r="G38" s="487"/>
      <c r="H38" s="487"/>
      <c r="I38" s="487"/>
      <c r="J38" s="487"/>
      <c r="K38" s="487"/>
      <c r="L38" s="487"/>
      <c r="M38" s="508"/>
    </row>
    <row r="39" spans="1:14" ht="15.95" customHeight="1">
      <c r="A39" s="500" t="s">
        <v>621</v>
      </c>
      <c r="B39" s="487"/>
      <c r="C39" s="487"/>
      <c r="D39" s="487"/>
      <c r="E39" s="487"/>
      <c r="F39" s="487"/>
      <c r="G39" s="487"/>
      <c r="H39" s="487"/>
      <c r="I39" s="487"/>
      <c r="J39" s="487"/>
      <c r="K39" s="487"/>
      <c r="L39" s="487"/>
      <c r="M39" s="508"/>
    </row>
    <row r="40" spans="1:14" ht="15.95" customHeight="1" thickBot="1">
      <c r="A40" s="517" t="s">
        <v>622</v>
      </c>
      <c r="B40" s="518"/>
      <c r="C40" s="518"/>
      <c r="D40" s="518"/>
      <c r="E40" s="518"/>
      <c r="F40" s="518"/>
      <c r="G40" s="518"/>
      <c r="H40" s="518"/>
      <c r="I40" s="518"/>
      <c r="J40" s="518"/>
      <c r="K40" s="518"/>
      <c r="L40" s="518"/>
      <c r="M40" s="519"/>
    </row>
    <row r="41" spans="1:14" ht="15.95" customHeight="1"/>
    <row r="42" spans="1:14" ht="18">
      <c r="A42" s="520"/>
      <c r="B42" s="520"/>
      <c r="C42" s="520"/>
      <c r="D42" s="520"/>
      <c r="E42" s="520"/>
      <c r="F42" s="520"/>
      <c r="G42" s="520"/>
      <c r="H42" s="421"/>
      <c r="I42" s="421"/>
      <c r="J42" s="521" t="s">
        <v>623</v>
      </c>
      <c r="K42" s="753" t="s">
        <v>675</v>
      </c>
      <c r="L42" s="753"/>
      <c r="M42" s="753"/>
      <c r="N42" s="520"/>
    </row>
    <row r="43" spans="1:14" ht="7.5" customHeight="1">
      <c r="H43" s="421"/>
      <c r="I43" s="421"/>
      <c r="J43" s="421"/>
      <c r="K43" s="421"/>
      <c r="L43" s="421"/>
      <c r="M43" s="421"/>
    </row>
    <row r="44" spans="1:14" ht="16.5">
      <c r="H44" s="421"/>
      <c r="I44" s="421"/>
      <c r="J44" s="521" t="s">
        <v>624</v>
      </c>
      <c r="K44" s="754">
        <v>44046</v>
      </c>
      <c r="L44" s="754"/>
      <c r="M44" s="754"/>
    </row>
    <row r="59" spans="1:5">
      <c r="A59" s="422" t="s">
        <v>174</v>
      </c>
      <c r="B59" s="422" t="s">
        <v>625</v>
      </c>
      <c r="D59" s="422">
        <v>1</v>
      </c>
      <c r="E59" s="522" t="s">
        <v>174</v>
      </c>
    </row>
    <row r="60" spans="1:5">
      <c r="A60" s="422" t="s">
        <v>626</v>
      </c>
      <c r="B60" s="422" t="s">
        <v>627</v>
      </c>
      <c r="D60" s="422">
        <v>1.1499999999999999</v>
      </c>
      <c r="E60" s="522" t="s">
        <v>183</v>
      </c>
    </row>
    <row r="61" spans="1:5">
      <c r="A61" s="422" t="s">
        <v>628</v>
      </c>
      <c r="B61" s="422" t="s">
        <v>629</v>
      </c>
      <c r="E61" s="522" t="s">
        <v>318</v>
      </c>
    </row>
    <row r="62" spans="1:5">
      <c r="B62" s="422" t="s">
        <v>630</v>
      </c>
    </row>
    <row r="63" spans="1:5">
      <c r="B63" s="422" t="s">
        <v>631</v>
      </c>
    </row>
    <row r="64" spans="1:5">
      <c r="B64" s="422" t="s">
        <v>632</v>
      </c>
    </row>
    <row r="65" spans="2:2">
      <c r="B65" s="422" t="s">
        <v>633</v>
      </c>
    </row>
    <row r="66" spans="2:2">
      <c r="B66" s="422" t="s">
        <v>634</v>
      </c>
    </row>
    <row r="67" spans="2:2">
      <c r="B67" s="422" t="s">
        <v>635</v>
      </c>
    </row>
    <row r="68" spans="2:2">
      <c r="B68" s="422" t="s">
        <v>636</v>
      </c>
    </row>
    <row r="69" spans="2:2">
      <c r="B69" s="422" t="s">
        <v>637</v>
      </c>
    </row>
    <row r="70" spans="2:2">
      <c r="B70" s="422" t="s">
        <v>638</v>
      </c>
    </row>
    <row r="71" spans="2:2">
      <c r="B71" s="422" t="s">
        <v>639</v>
      </c>
    </row>
    <row r="72" spans="2:2">
      <c r="B72" s="422" t="s">
        <v>640</v>
      </c>
    </row>
    <row r="73" spans="2:2">
      <c r="B73" s="422" t="s">
        <v>641</v>
      </c>
    </row>
    <row r="74" spans="2:2">
      <c r="B74" s="422" t="s">
        <v>642</v>
      </c>
    </row>
    <row r="75" spans="2:2">
      <c r="B75" s="422" t="s">
        <v>643</v>
      </c>
    </row>
    <row r="76" spans="2:2">
      <c r="B76" s="422" t="s">
        <v>644</v>
      </c>
    </row>
    <row r="77" spans="2:2">
      <c r="B77" s="422" t="s">
        <v>645</v>
      </c>
    </row>
    <row r="78" spans="2:2">
      <c r="B78" s="422" t="s">
        <v>646</v>
      </c>
    </row>
    <row r="79" spans="2:2">
      <c r="B79" s="422" t="s">
        <v>647</v>
      </c>
    </row>
    <row r="80" spans="2:2">
      <c r="B80" s="422">
        <v>6312</v>
      </c>
    </row>
    <row r="81" spans="2:2">
      <c r="B81" s="422" t="s">
        <v>648</v>
      </c>
    </row>
    <row r="82" spans="2:2">
      <c r="B82" s="422" t="s">
        <v>649</v>
      </c>
    </row>
    <row r="83" spans="2:2">
      <c r="B83" s="422" t="s">
        <v>650</v>
      </c>
    </row>
    <row r="84" spans="2:2">
      <c r="B84" s="422" t="s">
        <v>651</v>
      </c>
    </row>
    <row r="85" spans="2:2">
      <c r="B85" s="422">
        <v>6313</v>
      </c>
    </row>
    <row r="86" spans="2:2">
      <c r="B86" s="422" t="s">
        <v>652</v>
      </c>
    </row>
    <row r="87" spans="2:2">
      <c r="B87" s="422" t="s">
        <v>653</v>
      </c>
    </row>
    <row r="88" spans="2:2">
      <c r="B88" s="422" t="s">
        <v>654</v>
      </c>
    </row>
    <row r="89" spans="2:2">
      <c r="B89" s="422">
        <v>6314</v>
      </c>
    </row>
    <row r="90" spans="2:2">
      <c r="B90" s="422" t="s">
        <v>655</v>
      </c>
    </row>
    <row r="91" spans="2:2">
      <c r="B91" s="422">
        <v>6317</v>
      </c>
    </row>
    <row r="92" spans="2:2">
      <c r="B92" s="422" t="s">
        <v>656</v>
      </c>
    </row>
    <row r="93" spans="2:2">
      <c r="B93" s="422">
        <v>6318</v>
      </c>
    </row>
    <row r="94" spans="2:2">
      <c r="B94" s="422" t="s">
        <v>657</v>
      </c>
    </row>
    <row r="95" spans="2:2">
      <c r="B95" s="422" t="s">
        <v>658</v>
      </c>
    </row>
    <row r="96" spans="2:2">
      <c r="B96" s="422" t="s">
        <v>659</v>
      </c>
    </row>
    <row r="97" spans="2:2">
      <c r="B97" s="422">
        <v>6320</v>
      </c>
    </row>
    <row r="98" spans="2:2">
      <c r="B98" s="422" t="s">
        <v>660</v>
      </c>
    </row>
    <row r="99" spans="2:2">
      <c r="B99" s="422" t="s">
        <v>661</v>
      </c>
    </row>
    <row r="100" spans="2:2">
      <c r="B100" s="422" t="s">
        <v>662</v>
      </c>
    </row>
    <row r="101" spans="2:2">
      <c r="B101" s="422" t="s">
        <v>663</v>
      </c>
    </row>
    <row r="102" spans="2:2">
      <c r="B102" s="422" t="s">
        <v>663</v>
      </c>
    </row>
    <row r="118" spans="2:2">
      <c r="B118" s="422" t="s">
        <v>664</v>
      </c>
    </row>
    <row r="120" spans="2:2">
      <c r="B120" s="422" t="s">
        <v>665</v>
      </c>
    </row>
  </sheetData>
  <mergeCells count="4">
    <mergeCell ref="L22:M22"/>
    <mergeCell ref="L23:M23"/>
    <mergeCell ref="K42:M42"/>
    <mergeCell ref="K44:M44"/>
  </mergeCells>
  <dataValidations count="1">
    <dataValidation type="list" allowBlank="1" showInputMessage="1" showErrorMessage="1" prompt="Choose from list" sqref="L22:L23">
      <formula1>$B$59:$B$102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topLeftCell="A25" workbookViewId="0">
      <selection activeCell="I35" sqref="I35"/>
    </sheetView>
  </sheetViews>
  <sheetFormatPr defaultRowHeight="12.75"/>
  <cols>
    <col min="1" max="6" width="16.7109375" style="352" customWidth="1"/>
    <col min="7" max="16384" width="9.140625" style="352"/>
  </cols>
  <sheetData>
    <row r="1" spans="1:6" ht="18.95" customHeight="1">
      <c r="A1" s="365"/>
      <c r="B1" s="366"/>
      <c r="C1" s="366"/>
      <c r="D1" s="366"/>
      <c r="E1" s="366"/>
      <c r="F1" s="367"/>
    </row>
    <row r="2" spans="1:6" ht="26.1" customHeight="1">
      <c r="A2" s="368" t="s">
        <v>266</v>
      </c>
      <c r="B2" s="369"/>
      <c r="C2" s="369"/>
      <c r="D2" s="369"/>
      <c r="E2" s="369"/>
      <c r="F2" s="370"/>
    </row>
    <row r="3" spans="1:6" ht="18.95" customHeight="1">
      <c r="A3" s="394" t="s">
        <v>561</v>
      </c>
      <c r="B3" s="369"/>
      <c r="C3" s="369"/>
      <c r="D3" s="369"/>
      <c r="E3" s="369"/>
      <c r="F3" s="370"/>
    </row>
    <row r="4" spans="1:6" ht="18.95" customHeight="1">
      <c r="A4" s="371"/>
      <c r="B4" s="372"/>
      <c r="C4" s="372"/>
      <c r="D4" s="372"/>
      <c r="E4" s="372"/>
      <c r="F4" s="373"/>
    </row>
    <row r="5" spans="1:6" ht="18.95" customHeight="1">
      <c r="A5" s="371"/>
      <c r="B5" s="372"/>
      <c r="C5" s="372"/>
      <c r="D5" s="372"/>
      <c r="E5" s="372"/>
      <c r="F5" s="373"/>
    </row>
    <row r="6" spans="1:6" ht="18.95" customHeight="1">
      <c r="A6" s="374" t="s">
        <v>528</v>
      </c>
      <c r="B6" s="755" t="str">
        <f>'Performance Data Sheet'!C17</f>
        <v>A1-10033114</v>
      </c>
      <c r="C6" s="756"/>
      <c r="D6" s="757"/>
      <c r="E6" s="374" t="s">
        <v>529</v>
      </c>
      <c r="F6" s="375" t="str">
        <f>'Performance Data Sheet'!I14 &amp; " A"</f>
        <v>86 A</v>
      </c>
    </row>
    <row r="7" spans="1:6" ht="18.95" customHeight="1">
      <c r="A7" s="374" t="s">
        <v>530</v>
      </c>
      <c r="B7" s="375" t="str">
        <f>'Performance Data Sheet'!F14</f>
        <v>WP-II</v>
      </c>
      <c r="C7" s="374" t="s">
        <v>531</v>
      </c>
      <c r="D7" s="375" t="str">
        <f>'Performance Data Sheet'!F13 &amp; " V"</f>
        <v>4000 V</v>
      </c>
      <c r="E7" s="374" t="s">
        <v>532</v>
      </c>
      <c r="F7" s="375" t="str">
        <f>'Performance Data Sheet'!C14</f>
        <v>5012US</v>
      </c>
    </row>
    <row r="8" spans="1:6" ht="18.95" customHeight="1">
      <c r="A8" s="374" t="s">
        <v>533</v>
      </c>
      <c r="B8" s="375">
        <v>4</v>
      </c>
      <c r="C8" s="374" t="s">
        <v>534</v>
      </c>
      <c r="D8" s="375" t="s">
        <v>535</v>
      </c>
      <c r="E8" s="374" t="s">
        <v>536</v>
      </c>
      <c r="F8" s="375" t="s">
        <v>350</v>
      </c>
    </row>
    <row r="9" spans="1:6" ht="18.95" customHeight="1">
      <c r="A9" s="374" t="s">
        <v>537</v>
      </c>
      <c r="B9" s="375">
        <v>700</v>
      </c>
      <c r="C9" s="374" t="s">
        <v>538</v>
      </c>
      <c r="D9" s="375" t="s">
        <v>548</v>
      </c>
      <c r="E9" s="374" t="s">
        <v>2</v>
      </c>
      <c r="F9" s="376">
        <f>'Performance Data Sheet'!K44</f>
        <v>44046</v>
      </c>
    </row>
    <row r="10" spans="1:6" ht="18.95" customHeight="1">
      <c r="A10" s="374" t="s">
        <v>539</v>
      </c>
      <c r="B10" s="375">
        <v>1770</v>
      </c>
      <c r="C10" s="374" t="s">
        <v>373</v>
      </c>
      <c r="D10" s="375" t="s">
        <v>549</v>
      </c>
      <c r="E10" s="374" t="s">
        <v>1</v>
      </c>
      <c r="F10" s="375" t="s">
        <v>352</v>
      </c>
    </row>
    <row r="11" spans="1:6" ht="18.95" customHeight="1">
      <c r="A11" s="371"/>
      <c r="B11" s="372"/>
      <c r="C11" s="372"/>
      <c r="D11" s="372"/>
      <c r="E11" s="372"/>
      <c r="F11" s="373"/>
    </row>
    <row r="12" spans="1:6" ht="18.95" customHeight="1">
      <c r="A12" s="371"/>
      <c r="B12" s="377" t="s">
        <v>551</v>
      </c>
      <c r="C12" s="378" t="str">
        <f>'Performance Data Sheet'!D22 &amp; " A"</f>
        <v>542 A</v>
      </c>
      <c r="D12" s="377" t="s">
        <v>372</v>
      </c>
      <c r="E12" s="378" t="s">
        <v>376</v>
      </c>
      <c r="F12" s="373"/>
    </row>
    <row r="13" spans="1:6" ht="18.95" customHeight="1">
      <c r="A13" s="371"/>
      <c r="B13" s="377" t="s">
        <v>552</v>
      </c>
      <c r="C13" s="379">
        <v>1.35</v>
      </c>
      <c r="D13" s="377" t="s">
        <v>553</v>
      </c>
      <c r="E13" s="378" t="s">
        <v>562</v>
      </c>
      <c r="F13" s="373"/>
    </row>
    <row r="14" spans="1:6" ht="18.95" customHeight="1">
      <c r="A14" s="371"/>
      <c r="B14" s="377" t="s">
        <v>554</v>
      </c>
      <c r="C14" s="379">
        <v>2.7</v>
      </c>
      <c r="D14" s="377" t="s">
        <v>374</v>
      </c>
      <c r="E14" s="378" t="s">
        <v>674</v>
      </c>
      <c r="F14" s="373"/>
    </row>
    <row r="15" spans="1:6" ht="18.95" customHeight="1">
      <c r="A15" s="371"/>
      <c r="B15" s="377" t="s">
        <v>375</v>
      </c>
      <c r="C15" s="378" t="s">
        <v>556</v>
      </c>
      <c r="D15" s="372"/>
      <c r="E15" s="372"/>
      <c r="F15" s="373"/>
    </row>
    <row r="16" spans="1:6" ht="18.95" customHeight="1">
      <c r="A16" s="371"/>
      <c r="B16" s="372"/>
      <c r="C16" s="372"/>
      <c r="D16" s="372"/>
      <c r="E16" s="372"/>
      <c r="F16" s="373"/>
    </row>
    <row r="17" spans="1:6" ht="18.95" customHeight="1">
      <c r="A17" s="371"/>
      <c r="B17" s="372"/>
      <c r="C17" s="372"/>
      <c r="D17" s="372"/>
      <c r="E17" s="372"/>
      <c r="F17" s="373"/>
    </row>
    <row r="18" spans="1:6" ht="18.95" customHeight="1">
      <c r="A18" s="371"/>
      <c r="B18" s="372"/>
      <c r="C18" s="372"/>
      <c r="D18" s="372"/>
      <c r="E18" s="372"/>
      <c r="F18" s="373"/>
    </row>
    <row r="19" spans="1:6" ht="18.95" customHeight="1">
      <c r="A19" s="371"/>
      <c r="B19" s="372"/>
      <c r="C19" s="372"/>
      <c r="D19" s="372"/>
      <c r="E19" s="372"/>
      <c r="F19" s="373"/>
    </row>
    <row r="20" spans="1:6" ht="18.95" customHeight="1">
      <c r="A20" s="371"/>
      <c r="B20" s="372"/>
      <c r="C20" s="372"/>
      <c r="D20" s="372"/>
      <c r="E20" s="372"/>
      <c r="F20" s="373"/>
    </row>
    <row r="21" spans="1:6" ht="18.95" customHeight="1">
      <c r="A21" s="371"/>
      <c r="B21" s="372"/>
      <c r="C21" s="372"/>
      <c r="D21" s="372"/>
      <c r="E21" s="372"/>
      <c r="F21" s="373"/>
    </row>
    <row r="22" spans="1:6" ht="18.95" customHeight="1">
      <c r="A22" s="371"/>
      <c r="B22" s="372"/>
      <c r="C22" s="372"/>
      <c r="D22" s="372"/>
      <c r="E22" s="372"/>
      <c r="F22" s="373"/>
    </row>
    <row r="23" spans="1:6" ht="18.95" customHeight="1">
      <c r="A23" s="371"/>
      <c r="B23" s="372"/>
      <c r="C23" s="372"/>
      <c r="D23" s="372"/>
      <c r="E23" s="372"/>
      <c r="F23" s="373"/>
    </row>
    <row r="24" spans="1:6" ht="18.95" customHeight="1">
      <c r="A24" s="371"/>
      <c r="B24" s="372"/>
      <c r="C24" s="372"/>
      <c r="D24" s="372"/>
      <c r="E24" s="372"/>
      <c r="F24" s="373"/>
    </row>
    <row r="25" spans="1:6" ht="18.95" customHeight="1">
      <c r="A25" s="371"/>
      <c r="B25" s="372"/>
      <c r="C25" s="372"/>
      <c r="D25" s="372"/>
      <c r="E25" s="372"/>
      <c r="F25" s="373"/>
    </row>
    <row r="26" spans="1:6" ht="18.95" customHeight="1">
      <c r="A26" s="371"/>
      <c r="B26" s="372"/>
      <c r="C26" s="372"/>
      <c r="D26" s="372"/>
      <c r="E26" s="372"/>
      <c r="F26" s="373"/>
    </row>
    <row r="27" spans="1:6" ht="18.95" customHeight="1">
      <c r="A27" s="371"/>
      <c r="B27" s="372"/>
      <c r="C27" s="372"/>
      <c r="D27" s="372"/>
      <c r="E27" s="372"/>
      <c r="F27" s="373"/>
    </row>
    <row r="28" spans="1:6" ht="18.95" customHeight="1">
      <c r="A28" s="371"/>
      <c r="B28" s="372"/>
      <c r="C28" s="372"/>
      <c r="D28" s="372"/>
      <c r="E28" s="372"/>
      <c r="F28" s="373"/>
    </row>
    <row r="29" spans="1:6" ht="18.95" customHeight="1">
      <c r="A29" s="371"/>
      <c r="B29" s="372"/>
      <c r="C29" s="372"/>
      <c r="D29" s="372"/>
      <c r="E29" s="372"/>
      <c r="F29" s="373"/>
    </row>
    <row r="30" spans="1:6" ht="18.95" customHeight="1">
      <c r="A30" s="371"/>
      <c r="B30" s="372"/>
      <c r="C30" s="372"/>
      <c r="D30" s="372"/>
      <c r="E30" s="372"/>
      <c r="F30" s="373"/>
    </row>
    <row r="31" spans="1:6" ht="18.95" customHeight="1">
      <c r="A31" s="371"/>
      <c r="B31" s="372"/>
      <c r="C31" s="372"/>
      <c r="D31" s="372"/>
      <c r="E31" s="372"/>
      <c r="F31" s="373"/>
    </row>
    <row r="32" spans="1:6" ht="18.95" customHeight="1">
      <c r="A32" s="371"/>
      <c r="B32" s="372"/>
      <c r="C32" s="372"/>
      <c r="D32" s="372"/>
      <c r="E32" s="372"/>
      <c r="F32" s="373"/>
    </row>
    <row r="33" spans="1:6" ht="18.95" customHeight="1">
      <c r="A33" s="371"/>
      <c r="B33" s="372"/>
      <c r="C33" s="372"/>
      <c r="D33" s="372"/>
      <c r="E33" s="372"/>
      <c r="F33" s="373"/>
    </row>
    <row r="34" spans="1:6" ht="18.95" customHeight="1">
      <c r="A34" s="371"/>
      <c r="B34" s="372"/>
      <c r="C34" s="372"/>
      <c r="D34" s="372"/>
      <c r="E34" s="372"/>
      <c r="F34" s="373"/>
    </row>
    <row r="35" spans="1:6" ht="18.95" customHeight="1">
      <c r="A35" s="371"/>
      <c r="B35" s="372"/>
      <c r="C35" s="372"/>
      <c r="D35" s="372"/>
      <c r="E35" s="372"/>
      <c r="F35" s="373"/>
    </row>
    <row r="36" spans="1:6" ht="18.95" customHeight="1">
      <c r="A36" s="371"/>
      <c r="B36" s="372"/>
      <c r="C36" s="372"/>
      <c r="D36" s="372"/>
      <c r="E36" s="372"/>
      <c r="F36" s="373"/>
    </row>
    <row r="37" spans="1:6" ht="18.95" customHeight="1">
      <c r="A37" s="371"/>
      <c r="B37" s="372"/>
      <c r="C37" s="372"/>
      <c r="D37" s="372"/>
      <c r="E37" s="372"/>
      <c r="F37" s="373"/>
    </row>
    <row r="38" spans="1:6" ht="18.95" customHeight="1">
      <c r="A38" s="371"/>
      <c r="B38" s="372"/>
      <c r="C38" s="372"/>
      <c r="D38" s="372"/>
      <c r="E38" s="372"/>
      <c r="F38" s="373"/>
    </row>
    <row r="39" spans="1:6" ht="18.95" customHeight="1">
      <c r="A39" s="380" t="s">
        <v>540</v>
      </c>
      <c r="B39" s="381" t="s">
        <v>351</v>
      </c>
      <c r="C39" s="381" t="str">
        <f>'Performance Data Sheet'!C10</f>
        <v>2182344.8</v>
      </c>
      <c r="D39" s="372"/>
      <c r="E39" s="377" t="s">
        <v>541</v>
      </c>
      <c r="F39" s="382" t="str">
        <f>F10</f>
        <v>DT4700K</v>
      </c>
    </row>
    <row r="40" spans="1:6" ht="18.95" customHeight="1">
      <c r="A40" s="371"/>
      <c r="B40" s="381"/>
      <c r="C40" s="381"/>
      <c r="D40" s="372"/>
      <c r="E40" s="372"/>
      <c r="F40" s="373"/>
    </row>
    <row r="41" spans="1:6" ht="18.95" customHeight="1">
      <c r="A41" s="371"/>
      <c r="B41" s="381"/>
      <c r="C41" s="381"/>
      <c r="D41" s="372"/>
      <c r="E41" s="372"/>
      <c r="F41" s="373"/>
    </row>
    <row r="42" spans="1:6" ht="18.95" customHeight="1">
      <c r="A42" s="371"/>
      <c r="B42" s="372"/>
      <c r="C42" s="372"/>
      <c r="D42" s="372"/>
      <c r="E42" s="372"/>
      <c r="F42" s="373"/>
    </row>
    <row r="43" spans="1:6" ht="18.95" customHeight="1">
      <c r="A43" s="383"/>
      <c r="B43" s="381"/>
      <c r="C43" s="384" t="s">
        <v>542</v>
      </c>
      <c r="D43" s="385" t="str">
        <f>'Performance Data Sheet'!K42</f>
        <v>JERRY R</v>
      </c>
      <c r="E43" s="384" t="s">
        <v>543</v>
      </c>
      <c r="F43" s="38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40" t="s">
        <v>371</v>
      </c>
      <c r="E53" s="340" t="s">
        <v>557</v>
      </c>
      <c r="F53" s="340" t="s">
        <v>558</v>
      </c>
      <c r="G53" s="340"/>
      <c r="H53" s="340"/>
      <c r="I53" s="340"/>
      <c r="J53" s="340"/>
      <c r="K53" s="340"/>
      <c r="L53" s="340"/>
    </row>
    <row r="54" spans="1:12" ht="15" customHeight="1">
      <c r="A54" s="413">
        <v>100</v>
      </c>
      <c r="B54" s="339">
        <v>0</v>
      </c>
      <c r="C54" s="339">
        <v>0.23391754925251007</v>
      </c>
      <c r="D54" s="340">
        <v>100</v>
      </c>
      <c r="E54" s="340">
        <v>0</v>
      </c>
      <c r="F54" s="340">
        <v>16.093526840209961</v>
      </c>
      <c r="G54" s="340"/>
      <c r="H54" s="340"/>
      <c r="I54" s="340"/>
      <c r="J54" s="340"/>
      <c r="K54" s="340"/>
      <c r="L54" s="340"/>
    </row>
    <row r="55" spans="1:12" ht="15" customHeight="1">
      <c r="A55" s="413">
        <v>99.600000027567148</v>
      </c>
      <c r="B55" s="339">
        <v>70.859572945990706</v>
      </c>
      <c r="C55" s="339">
        <v>78.313163757324219</v>
      </c>
      <c r="D55" s="340">
        <v>99.199996948242188</v>
      </c>
      <c r="E55" s="340">
        <v>45.350128304664111</v>
      </c>
      <c r="F55" s="340">
        <v>62.650531768798828</v>
      </c>
      <c r="G55" s="340"/>
      <c r="H55" s="340"/>
      <c r="I55" s="340"/>
      <c r="J55" s="340"/>
      <c r="K55" s="340"/>
      <c r="L55" s="340"/>
    </row>
    <row r="56" spans="1:12" ht="15" customHeight="1">
      <c r="A56" s="413">
        <v>98.000000044703484</v>
      </c>
      <c r="B56" s="339">
        <v>246.17748452875517</v>
      </c>
      <c r="C56" s="339">
        <v>306.16116333007813</v>
      </c>
      <c r="D56" s="340">
        <v>95.25</v>
      </c>
      <c r="E56" s="340">
        <v>157.55359844546302</v>
      </c>
      <c r="F56" s="340">
        <v>244.92893981933594</v>
      </c>
      <c r="G56" s="340"/>
      <c r="H56" s="340"/>
      <c r="I56" s="340"/>
      <c r="J56" s="340"/>
      <c r="K56" s="340"/>
      <c r="L56" s="340"/>
    </row>
    <row r="57" spans="1:12">
      <c r="A57" s="413">
        <v>96.000000089406967</v>
      </c>
      <c r="B57" s="339">
        <v>270</v>
      </c>
      <c r="C57" s="339">
        <v>446.44354248046875</v>
      </c>
      <c r="D57" s="340">
        <v>89.75</v>
      </c>
      <c r="E57" s="340">
        <v>172.80000514984135</v>
      </c>
      <c r="F57" s="340">
        <v>357.15484619140625</v>
      </c>
      <c r="G57" s="340"/>
      <c r="H57" s="340"/>
      <c r="I57" s="340"/>
      <c r="J57" s="340"/>
      <c r="K57" s="340"/>
      <c r="L57" s="340"/>
    </row>
    <row r="58" spans="1:12">
      <c r="A58" s="413">
        <v>89.999999850988388</v>
      </c>
      <c r="B58" s="339">
        <v>191.64405160100785</v>
      </c>
      <c r="C58" s="339">
        <v>506.09783935546875</v>
      </c>
      <c r="D58" s="340">
        <v>74</v>
      </c>
      <c r="E58" s="340">
        <v>122.65220092094535</v>
      </c>
      <c r="F58" s="340">
        <v>404.87826538085938</v>
      </c>
      <c r="G58" s="340"/>
      <c r="H58" s="340"/>
      <c r="I58" s="340"/>
      <c r="J58" s="340"/>
      <c r="K58" s="340"/>
      <c r="L58" s="340"/>
    </row>
    <row r="59" spans="1:12">
      <c r="A59" s="413">
        <v>84.000000357627869</v>
      </c>
      <c r="B59" s="339">
        <v>163.56348928494782</v>
      </c>
      <c r="C59" s="339">
        <v>535.7017822265625</v>
      </c>
      <c r="D59" s="340">
        <v>58.799999237060547</v>
      </c>
      <c r="E59" s="340">
        <v>104.68063788535105</v>
      </c>
      <c r="F59" s="340">
        <v>428.56143188476563</v>
      </c>
      <c r="G59" s="340"/>
      <c r="H59" s="340"/>
      <c r="I59" s="340"/>
      <c r="J59" s="340"/>
      <c r="K59" s="340"/>
      <c r="L59" s="340"/>
    </row>
    <row r="60" spans="1:12">
      <c r="A60" s="413">
        <v>71.99999988079071</v>
      </c>
      <c r="B60" s="339">
        <v>142.8136206081127</v>
      </c>
      <c r="C60" s="339">
        <v>564.48968505859375</v>
      </c>
      <c r="D60" s="340">
        <v>36.400001525878906</v>
      </c>
      <c r="E60" s="340">
        <v>91.40071561457853</v>
      </c>
      <c r="F60" s="340">
        <v>451.59176635742188</v>
      </c>
      <c r="G60" s="340"/>
      <c r="H60" s="340"/>
      <c r="I60" s="340"/>
      <c r="J60" s="340"/>
      <c r="K60" s="340"/>
      <c r="L60" s="340"/>
    </row>
    <row r="61" spans="1:12">
      <c r="A61" s="413">
        <v>59.999999403953552</v>
      </c>
      <c r="B61" s="339">
        <v>135</v>
      </c>
      <c r="C61" s="339">
        <v>580.18548583984375</v>
      </c>
      <c r="D61" s="340">
        <v>22</v>
      </c>
      <c r="E61" s="340">
        <v>86.400002574920677</v>
      </c>
      <c r="F61" s="340">
        <v>464.14840698242188</v>
      </c>
      <c r="G61" s="340"/>
      <c r="H61" s="340"/>
      <c r="I61" s="340"/>
      <c r="J61" s="340"/>
      <c r="K61" s="340"/>
      <c r="L61" s="340"/>
    </row>
    <row r="62" spans="1:12">
      <c r="A62" s="413">
        <v>50</v>
      </c>
      <c r="B62" s="339">
        <v>135.00016171376313</v>
      </c>
      <c r="C62" s="339">
        <v>591.72454833984375</v>
      </c>
      <c r="D62" s="340">
        <v>14</v>
      </c>
      <c r="E62" s="340">
        <v>86.400109996798875</v>
      </c>
      <c r="F62" s="340">
        <v>473.379638671875</v>
      </c>
      <c r="G62" s="340"/>
      <c r="H62" s="340"/>
      <c r="I62" s="340"/>
      <c r="J62" s="340"/>
      <c r="K62" s="340"/>
      <c r="L62" s="340"/>
    </row>
    <row r="63" spans="1:12">
      <c r="A63" s="413">
        <v>39.999997615814209</v>
      </c>
      <c r="B63" s="339">
        <v>135.00073934067859</v>
      </c>
      <c r="C63" s="339">
        <v>601.42449951171875</v>
      </c>
      <c r="D63" s="340">
        <v>7.9999995231628418</v>
      </c>
      <c r="E63" s="340">
        <v>86.400471324934642</v>
      </c>
      <c r="F63" s="340">
        <v>481.13961791992188</v>
      </c>
      <c r="G63" s="340"/>
      <c r="H63" s="340"/>
      <c r="I63" s="340"/>
      <c r="J63" s="340"/>
      <c r="K63" s="340"/>
      <c r="L63" s="340"/>
    </row>
    <row r="64" spans="1:12">
      <c r="A64" s="413">
        <v>30.000001192092896</v>
      </c>
      <c r="B64" s="339">
        <v>135.00103878595939</v>
      </c>
      <c r="C64" s="339">
        <v>609.9888916015625</v>
      </c>
      <c r="D64" s="340">
        <v>5.9999995231628418</v>
      </c>
      <c r="E64" s="340">
        <v>86.400666637440466</v>
      </c>
      <c r="F64" s="340">
        <v>487.99111938476563</v>
      </c>
      <c r="G64" s="340"/>
      <c r="H64" s="340"/>
      <c r="I64" s="340"/>
      <c r="J64" s="340"/>
      <c r="K64" s="340"/>
      <c r="L64" s="340"/>
    </row>
    <row r="65" spans="1:12">
      <c r="A65" s="413">
        <v>19.999998807907104</v>
      </c>
      <c r="B65" s="339">
        <v>135.00140667726163</v>
      </c>
      <c r="C65" s="339">
        <v>617.476318359375</v>
      </c>
      <c r="D65" s="340">
        <v>8.0000009536743164</v>
      </c>
      <c r="E65" s="340">
        <v>86.400901012447449</v>
      </c>
      <c r="F65" s="340">
        <v>493.98104858398438</v>
      </c>
      <c r="G65" s="340"/>
      <c r="H65" s="340"/>
      <c r="I65" s="340"/>
      <c r="J65" s="340"/>
      <c r="K65" s="340"/>
      <c r="L65" s="340"/>
    </row>
    <row r="66" spans="1:12">
      <c r="A66" s="413">
        <v>10.000002384185791</v>
      </c>
      <c r="B66" s="339">
        <v>135.0043198843837</v>
      </c>
      <c r="C66" s="339">
        <v>624.1993408203125</v>
      </c>
      <c r="D66" s="340">
        <v>14.999996185302734</v>
      </c>
      <c r="E66" s="340">
        <v>86.402766246878031</v>
      </c>
      <c r="F66" s="340">
        <v>499.35946655273438</v>
      </c>
      <c r="G66" s="340"/>
      <c r="H66" s="340"/>
      <c r="I66" s="340"/>
      <c r="J66" s="340"/>
      <c r="K66" s="340"/>
      <c r="L66" s="340"/>
    </row>
    <row r="67" spans="1:12">
      <c r="A67" s="414">
        <v>0</v>
      </c>
      <c r="B67" s="339">
        <v>135</v>
      </c>
      <c r="C67" s="339">
        <v>630.23260498046875</v>
      </c>
      <c r="D67" s="340">
        <v>30</v>
      </c>
      <c r="E67" s="340">
        <v>86.400002574920677</v>
      </c>
      <c r="F67" s="340">
        <v>504.18609619140625</v>
      </c>
      <c r="G67" s="340"/>
      <c r="H67" s="340"/>
      <c r="I67" s="340"/>
      <c r="J67" s="340"/>
      <c r="K67" s="340"/>
      <c r="L67" s="340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6" workbookViewId="0">
      <selection activeCell="D42" sqref="D42"/>
    </sheetView>
  </sheetViews>
  <sheetFormatPr defaultRowHeight="12.75"/>
  <cols>
    <col min="1" max="6" width="16.7109375" style="352" customWidth="1"/>
    <col min="7" max="7" width="9.5703125" style="352" bestFit="1" customWidth="1"/>
    <col min="8" max="8" width="9.28515625" style="352" bestFit="1" customWidth="1"/>
    <col min="9" max="256" width="9.140625" style="352"/>
    <col min="257" max="262" width="16.7109375" style="352" customWidth="1"/>
    <col min="263" max="263" width="9.5703125" style="352" bestFit="1" customWidth="1"/>
    <col min="264" max="264" width="9.28515625" style="352" bestFit="1" customWidth="1"/>
    <col min="265" max="512" width="9.140625" style="352"/>
    <col min="513" max="518" width="16.7109375" style="352" customWidth="1"/>
    <col min="519" max="519" width="9.5703125" style="352" bestFit="1" customWidth="1"/>
    <col min="520" max="520" width="9.28515625" style="352" bestFit="1" customWidth="1"/>
    <col min="521" max="768" width="9.140625" style="352"/>
    <col min="769" max="774" width="16.7109375" style="352" customWidth="1"/>
    <col min="775" max="775" width="9.5703125" style="352" bestFit="1" customWidth="1"/>
    <col min="776" max="776" width="9.28515625" style="352" bestFit="1" customWidth="1"/>
    <col min="777" max="1024" width="9.140625" style="352"/>
    <col min="1025" max="1030" width="16.7109375" style="352" customWidth="1"/>
    <col min="1031" max="1031" width="9.5703125" style="352" bestFit="1" customWidth="1"/>
    <col min="1032" max="1032" width="9.28515625" style="352" bestFit="1" customWidth="1"/>
    <col min="1033" max="1280" width="9.140625" style="352"/>
    <col min="1281" max="1286" width="16.7109375" style="352" customWidth="1"/>
    <col min="1287" max="1287" width="9.5703125" style="352" bestFit="1" customWidth="1"/>
    <col min="1288" max="1288" width="9.28515625" style="352" bestFit="1" customWidth="1"/>
    <col min="1289" max="1536" width="9.140625" style="352"/>
    <col min="1537" max="1542" width="16.7109375" style="352" customWidth="1"/>
    <col min="1543" max="1543" width="9.5703125" style="352" bestFit="1" customWidth="1"/>
    <col min="1544" max="1544" width="9.28515625" style="352" bestFit="1" customWidth="1"/>
    <col min="1545" max="1792" width="9.140625" style="352"/>
    <col min="1793" max="1798" width="16.7109375" style="352" customWidth="1"/>
    <col min="1799" max="1799" width="9.5703125" style="352" bestFit="1" customWidth="1"/>
    <col min="1800" max="1800" width="9.28515625" style="352" bestFit="1" customWidth="1"/>
    <col min="1801" max="2048" width="9.140625" style="352"/>
    <col min="2049" max="2054" width="16.7109375" style="352" customWidth="1"/>
    <col min="2055" max="2055" width="9.5703125" style="352" bestFit="1" customWidth="1"/>
    <col min="2056" max="2056" width="9.28515625" style="352" bestFit="1" customWidth="1"/>
    <col min="2057" max="2304" width="9.140625" style="352"/>
    <col min="2305" max="2310" width="16.7109375" style="352" customWidth="1"/>
    <col min="2311" max="2311" width="9.5703125" style="352" bestFit="1" customWidth="1"/>
    <col min="2312" max="2312" width="9.28515625" style="352" bestFit="1" customWidth="1"/>
    <col min="2313" max="2560" width="9.140625" style="352"/>
    <col min="2561" max="2566" width="16.7109375" style="352" customWidth="1"/>
    <col min="2567" max="2567" width="9.5703125" style="352" bestFit="1" customWidth="1"/>
    <col min="2568" max="2568" width="9.28515625" style="352" bestFit="1" customWidth="1"/>
    <col min="2569" max="2816" width="9.140625" style="352"/>
    <col min="2817" max="2822" width="16.7109375" style="352" customWidth="1"/>
    <col min="2823" max="2823" width="9.5703125" style="352" bestFit="1" customWidth="1"/>
    <col min="2824" max="2824" width="9.28515625" style="352" bestFit="1" customWidth="1"/>
    <col min="2825" max="3072" width="9.140625" style="352"/>
    <col min="3073" max="3078" width="16.7109375" style="352" customWidth="1"/>
    <col min="3079" max="3079" width="9.5703125" style="352" bestFit="1" customWidth="1"/>
    <col min="3080" max="3080" width="9.28515625" style="352" bestFit="1" customWidth="1"/>
    <col min="3081" max="3328" width="9.140625" style="352"/>
    <col min="3329" max="3334" width="16.7109375" style="352" customWidth="1"/>
    <col min="3335" max="3335" width="9.5703125" style="352" bestFit="1" customWidth="1"/>
    <col min="3336" max="3336" width="9.28515625" style="352" bestFit="1" customWidth="1"/>
    <col min="3337" max="3584" width="9.140625" style="352"/>
    <col min="3585" max="3590" width="16.7109375" style="352" customWidth="1"/>
    <col min="3591" max="3591" width="9.5703125" style="352" bestFit="1" customWidth="1"/>
    <col min="3592" max="3592" width="9.28515625" style="352" bestFit="1" customWidth="1"/>
    <col min="3593" max="3840" width="9.140625" style="352"/>
    <col min="3841" max="3846" width="16.7109375" style="352" customWidth="1"/>
    <col min="3847" max="3847" width="9.5703125" style="352" bestFit="1" customWidth="1"/>
    <col min="3848" max="3848" width="9.28515625" style="352" bestFit="1" customWidth="1"/>
    <col min="3849" max="4096" width="9.140625" style="352"/>
    <col min="4097" max="4102" width="16.7109375" style="352" customWidth="1"/>
    <col min="4103" max="4103" width="9.5703125" style="352" bestFit="1" customWidth="1"/>
    <col min="4104" max="4104" width="9.28515625" style="352" bestFit="1" customWidth="1"/>
    <col min="4105" max="4352" width="9.140625" style="352"/>
    <col min="4353" max="4358" width="16.7109375" style="352" customWidth="1"/>
    <col min="4359" max="4359" width="9.5703125" style="352" bestFit="1" customWidth="1"/>
    <col min="4360" max="4360" width="9.28515625" style="352" bestFit="1" customWidth="1"/>
    <col min="4361" max="4608" width="9.140625" style="352"/>
    <col min="4609" max="4614" width="16.7109375" style="352" customWidth="1"/>
    <col min="4615" max="4615" width="9.5703125" style="352" bestFit="1" customWidth="1"/>
    <col min="4616" max="4616" width="9.28515625" style="352" bestFit="1" customWidth="1"/>
    <col min="4617" max="4864" width="9.140625" style="352"/>
    <col min="4865" max="4870" width="16.7109375" style="352" customWidth="1"/>
    <col min="4871" max="4871" width="9.5703125" style="352" bestFit="1" customWidth="1"/>
    <col min="4872" max="4872" width="9.28515625" style="352" bestFit="1" customWidth="1"/>
    <col min="4873" max="5120" width="9.140625" style="352"/>
    <col min="5121" max="5126" width="16.7109375" style="352" customWidth="1"/>
    <col min="5127" max="5127" width="9.5703125" style="352" bestFit="1" customWidth="1"/>
    <col min="5128" max="5128" width="9.28515625" style="352" bestFit="1" customWidth="1"/>
    <col min="5129" max="5376" width="9.140625" style="352"/>
    <col min="5377" max="5382" width="16.7109375" style="352" customWidth="1"/>
    <col min="5383" max="5383" width="9.5703125" style="352" bestFit="1" customWidth="1"/>
    <col min="5384" max="5384" width="9.28515625" style="352" bestFit="1" customWidth="1"/>
    <col min="5385" max="5632" width="9.140625" style="352"/>
    <col min="5633" max="5638" width="16.7109375" style="352" customWidth="1"/>
    <col min="5639" max="5639" width="9.5703125" style="352" bestFit="1" customWidth="1"/>
    <col min="5640" max="5640" width="9.28515625" style="352" bestFit="1" customWidth="1"/>
    <col min="5641" max="5888" width="9.140625" style="352"/>
    <col min="5889" max="5894" width="16.7109375" style="352" customWidth="1"/>
    <col min="5895" max="5895" width="9.5703125" style="352" bestFit="1" customWidth="1"/>
    <col min="5896" max="5896" width="9.28515625" style="352" bestFit="1" customWidth="1"/>
    <col min="5897" max="6144" width="9.140625" style="352"/>
    <col min="6145" max="6150" width="16.7109375" style="352" customWidth="1"/>
    <col min="6151" max="6151" width="9.5703125" style="352" bestFit="1" customWidth="1"/>
    <col min="6152" max="6152" width="9.28515625" style="352" bestFit="1" customWidth="1"/>
    <col min="6153" max="6400" width="9.140625" style="352"/>
    <col min="6401" max="6406" width="16.7109375" style="352" customWidth="1"/>
    <col min="6407" max="6407" width="9.5703125" style="352" bestFit="1" customWidth="1"/>
    <col min="6408" max="6408" width="9.28515625" style="352" bestFit="1" customWidth="1"/>
    <col min="6409" max="6656" width="9.140625" style="352"/>
    <col min="6657" max="6662" width="16.7109375" style="352" customWidth="1"/>
    <col min="6663" max="6663" width="9.5703125" style="352" bestFit="1" customWidth="1"/>
    <col min="6664" max="6664" width="9.28515625" style="352" bestFit="1" customWidth="1"/>
    <col min="6665" max="6912" width="9.140625" style="352"/>
    <col min="6913" max="6918" width="16.7109375" style="352" customWidth="1"/>
    <col min="6919" max="6919" width="9.5703125" style="352" bestFit="1" customWidth="1"/>
    <col min="6920" max="6920" width="9.28515625" style="352" bestFit="1" customWidth="1"/>
    <col min="6921" max="7168" width="9.140625" style="352"/>
    <col min="7169" max="7174" width="16.7109375" style="352" customWidth="1"/>
    <col min="7175" max="7175" width="9.5703125" style="352" bestFit="1" customWidth="1"/>
    <col min="7176" max="7176" width="9.28515625" style="352" bestFit="1" customWidth="1"/>
    <col min="7177" max="7424" width="9.140625" style="352"/>
    <col min="7425" max="7430" width="16.7109375" style="352" customWidth="1"/>
    <col min="7431" max="7431" width="9.5703125" style="352" bestFit="1" customWidth="1"/>
    <col min="7432" max="7432" width="9.28515625" style="352" bestFit="1" customWidth="1"/>
    <col min="7433" max="7680" width="9.140625" style="352"/>
    <col min="7681" max="7686" width="16.7109375" style="352" customWidth="1"/>
    <col min="7687" max="7687" width="9.5703125" style="352" bestFit="1" customWidth="1"/>
    <col min="7688" max="7688" width="9.28515625" style="352" bestFit="1" customWidth="1"/>
    <col min="7689" max="7936" width="9.140625" style="352"/>
    <col min="7937" max="7942" width="16.7109375" style="352" customWidth="1"/>
    <col min="7943" max="7943" width="9.5703125" style="352" bestFit="1" customWidth="1"/>
    <col min="7944" max="7944" width="9.28515625" style="352" bestFit="1" customWidth="1"/>
    <col min="7945" max="8192" width="9.140625" style="352"/>
    <col min="8193" max="8198" width="16.7109375" style="352" customWidth="1"/>
    <col min="8199" max="8199" width="9.5703125" style="352" bestFit="1" customWidth="1"/>
    <col min="8200" max="8200" width="9.28515625" style="352" bestFit="1" customWidth="1"/>
    <col min="8201" max="8448" width="9.140625" style="352"/>
    <col min="8449" max="8454" width="16.7109375" style="352" customWidth="1"/>
    <col min="8455" max="8455" width="9.5703125" style="352" bestFit="1" customWidth="1"/>
    <col min="8456" max="8456" width="9.28515625" style="352" bestFit="1" customWidth="1"/>
    <col min="8457" max="8704" width="9.140625" style="352"/>
    <col min="8705" max="8710" width="16.7109375" style="352" customWidth="1"/>
    <col min="8711" max="8711" width="9.5703125" style="352" bestFit="1" customWidth="1"/>
    <col min="8712" max="8712" width="9.28515625" style="352" bestFit="1" customWidth="1"/>
    <col min="8713" max="8960" width="9.140625" style="352"/>
    <col min="8961" max="8966" width="16.7109375" style="352" customWidth="1"/>
    <col min="8967" max="8967" width="9.5703125" style="352" bestFit="1" customWidth="1"/>
    <col min="8968" max="8968" width="9.28515625" style="352" bestFit="1" customWidth="1"/>
    <col min="8969" max="9216" width="9.140625" style="352"/>
    <col min="9217" max="9222" width="16.7109375" style="352" customWidth="1"/>
    <col min="9223" max="9223" width="9.5703125" style="352" bestFit="1" customWidth="1"/>
    <col min="9224" max="9224" width="9.28515625" style="352" bestFit="1" customWidth="1"/>
    <col min="9225" max="9472" width="9.140625" style="352"/>
    <col min="9473" max="9478" width="16.7109375" style="352" customWidth="1"/>
    <col min="9479" max="9479" width="9.5703125" style="352" bestFit="1" customWidth="1"/>
    <col min="9480" max="9480" width="9.28515625" style="352" bestFit="1" customWidth="1"/>
    <col min="9481" max="9728" width="9.140625" style="352"/>
    <col min="9729" max="9734" width="16.7109375" style="352" customWidth="1"/>
    <col min="9735" max="9735" width="9.5703125" style="352" bestFit="1" customWidth="1"/>
    <col min="9736" max="9736" width="9.28515625" style="352" bestFit="1" customWidth="1"/>
    <col min="9737" max="9984" width="9.140625" style="352"/>
    <col min="9985" max="9990" width="16.7109375" style="352" customWidth="1"/>
    <col min="9991" max="9991" width="9.5703125" style="352" bestFit="1" customWidth="1"/>
    <col min="9992" max="9992" width="9.28515625" style="352" bestFit="1" customWidth="1"/>
    <col min="9993" max="10240" width="9.140625" style="352"/>
    <col min="10241" max="10246" width="16.7109375" style="352" customWidth="1"/>
    <col min="10247" max="10247" width="9.5703125" style="352" bestFit="1" customWidth="1"/>
    <col min="10248" max="10248" width="9.28515625" style="352" bestFit="1" customWidth="1"/>
    <col min="10249" max="10496" width="9.140625" style="352"/>
    <col min="10497" max="10502" width="16.7109375" style="352" customWidth="1"/>
    <col min="10503" max="10503" width="9.5703125" style="352" bestFit="1" customWidth="1"/>
    <col min="10504" max="10504" width="9.28515625" style="352" bestFit="1" customWidth="1"/>
    <col min="10505" max="10752" width="9.140625" style="352"/>
    <col min="10753" max="10758" width="16.7109375" style="352" customWidth="1"/>
    <col min="10759" max="10759" width="9.5703125" style="352" bestFit="1" customWidth="1"/>
    <col min="10760" max="10760" width="9.28515625" style="352" bestFit="1" customWidth="1"/>
    <col min="10761" max="11008" width="9.140625" style="352"/>
    <col min="11009" max="11014" width="16.7109375" style="352" customWidth="1"/>
    <col min="11015" max="11015" width="9.5703125" style="352" bestFit="1" customWidth="1"/>
    <col min="11016" max="11016" width="9.28515625" style="352" bestFit="1" customWidth="1"/>
    <col min="11017" max="11264" width="9.140625" style="352"/>
    <col min="11265" max="11270" width="16.7109375" style="352" customWidth="1"/>
    <col min="11271" max="11271" width="9.5703125" style="352" bestFit="1" customWidth="1"/>
    <col min="11272" max="11272" width="9.28515625" style="352" bestFit="1" customWidth="1"/>
    <col min="11273" max="11520" width="9.140625" style="352"/>
    <col min="11521" max="11526" width="16.7109375" style="352" customWidth="1"/>
    <col min="11527" max="11527" width="9.5703125" style="352" bestFit="1" customWidth="1"/>
    <col min="11528" max="11528" width="9.28515625" style="352" bestFit="1" customWidth="1"/>
    <col min="11529" max="11776" width="9.140625" style="352"/>
    <col min="11777" max="11782" width="16.7109375" style="352" customWidth="1"/>
    <col min="11783" max="11783" width="9.5703125" style="352" bestFit="1" customWidth="1"/>
    <col min="11784" max="11784" width="9.28515625" style="352" bestFit="1" customWidth="1"/>
    <col min="11785" max="12032" width="9.140625" style="352"/>
    <col min="12033" max="12038" width="16.7109375" style="352" customWidth="1"/>
    <col min="12039" max="12039" width="9.5703125" style="352" bestFit="1" customWidth="1"/>
    <col min="12040" max="12040" width="9.28515625" style="352" bestFit="1" customWidth="1"/>
    <col min="12041" max="12288" width="9.140625" style="352"/>
    <col min="12289" max="12294" width="16.7109375" style="352" customWidth="1"/>
    <col min="12295" max="12295" width="9.5703125" style="352" bestFit="1" customWidth="1"/>
    <col min="12296" max="12296" width="9.28515625" style="352" bestFit="1" customWidth="1"/>
    <col min="12297" max="12544" width="9.140625" style="352"/>
    <col min="12545" max="12550" width="16.7109375" style="352" customWidth="1"/>
    <col min="12551" max="12551" width="9.5703125" style="352" bestFit="1" customWidth="1"/>
    <col min="12552" max="12552" width="9.28515625" style="352" bestFit="1" customWidth="1"/>
    <col min="12553" max="12800" width="9.140625" style="352"/>
    <col min="12801" max="12806" width="16.7109375" style="352" customWidth="1"/>
    <col min="12807" max="12807" width="9.5703125" style="352" bestFit="1" customWidth="1"/>
    <col min="12808" max="12808" width="9.28515625" style="352" bestFit="1" customWidth="1"/>
    <col min="12809" max="13056" width="9.140625" style="352"/>
    <col min="13057" max="13062" width="16.7109375" style="352" customWidth="1"/>
    <col min="13063" max="13063" width="9.5703125" style="352" bestFit="1" customWidth="1"/>
    <col min="13064" max="13064" width="9.28515625" style="352" bestFit="1" customWidth="1"/>
    <col min="13065" max="13312" width="9.140625" style="352"/>
    <col min="13313" max="13318" width="16.7109375" style="352" customWidth="1"/>
    <col min="13319" max="13319" width="9.5703125" style="352" bestFit="1" customWidth="1"/>
    <col min="13320" max="13320" width="9.28515625" style="352" bestFit="1" customWidth="1"/>
    <col min="13321" max="13568" width="9.140625" style="352"/>
    <col min="13569" max="13574" width="16.7109375" style="352" customWidth="1"/>
    <col min="13575" max="13575" width="9.5703125" style="352" bestFit="1" customWidth="1"/>
    <col min="13576" max="13576" width="9.28515625" style="352" bestFit="1" customWidth="1"/>
    <col min="13577" max="13824" width="9.140625" style="352"/>
    <col min="13825" max="13830" width="16.7109375" style="352" customWidth="1"/>
    <col min="13831" max="13831" width="9.5703125" style="352" bestFit="1" customWidth="1"/>
    <col min="13832" max="13832" width="9.28515625" style="352" bestFit="1" customWidth="1"/>
    <col min="13833" max="14080" width="9.140625" style="352"/>
    <col min="14081" max="14086" width="16.7109375" style="352" customWidth="1"/>
    <col min="14087" max="14087" width="9.5703125" style="352" bestFit="1" customWidth="1"/>
    <col min="14088" max="14088" width="9.28515625" style="352" bestFit="1" customWidth="1"/>
    <col min="14089" max="14336" width="9.140625" style="352"/>
    <col min="14337" max="14342" width="16.7109375" style="352" customWidth="1"/>
    <col min="14343" max="14343" width="9.5703125" style="352" bestFit="1" customWidth="1"/>
    <col min="14344" max="14344" width="9.28515625" style="352" bestFit="1" customWidth="1"/>
    <col min="14345" max="14592" width="9.140625" style="352"/>
    <col min="14593" max="14598" width="16.7109375" style="352" customWidth="1"/>
    <col min="14599" max="14599" width="9.5703125" style="352" bestFit="1" customWidth="1"/>
    <col min="14600" max="14600" width="9.28515625" style="352" bestFit="1" customWidth="1"/>
    <col min="14601" max="14848" width="9.140625" style="352"/>
    <col min="14849" max="14854" width="16.7109375" style="352" customWidth="1"/>
    <col min="14855" max="14855" width="9.5703125" style="352" bestFit="1" customWidth="1"/>
    <col min="14856" max="14856" width="9.28515625" style="352" bestFit="1" customWidth="1"/>
    <col min="14857" max="15104" width="9.140625" style="352"/>
    <col min="15105" max="15110" width="16.7109375" style="352" customWidth="1"/>
    <col min="15111" max="15111" width="9.5703125" style="352" bestFit="1" customWidth="1"/>
    <col min="15112" max="15112" width="9.28515625" style="352" bestFit="1" customWidth="1"/>
    <col min="15113" max="15360" width="9.140625" style="352"/>
    <col min="15361" max="15366" width="16.7109375" style="352" customWidth="1"/>
    <col min="15367" max="15367" width="9.5703125" style="352" bestFit="1" customWidth="1"/>
    <col min="15368" max="15368" width="9.28515625" style="352" bestFit="1" customWidth="1"/>
    <col min="15369" max="15616" width="9.140625" style="352"/>
    <col min="15617" max="15622" width="16.7109375" style="352" customWidth="1"/>
    <col min="15623" max="15623" width="9.5703125" style="352" bestFit="1" customWidth="1"/>
    <col min="15624" max="15624" width="9.28515625" style="352" bestFit="1" customWidth="1"/>
    <col min="15625" max="15872" width="9.140625" style="352"/>
    <col min="15873" max="15878" width="16.7109375" style="352" customWidth="1"/>
    <col min="15879" max="15879" width="9.5703125" style="352" bestFit="1" customWidth="1"/>
    <col min="15880" max="15880" width="9.28515625" style="352" bestFit="1" customWidth="1"/>
    <col min="15881" max="16128" width="9.140625" style="352"/>
    <col min="16129" max="16134" width="16.7109375" style="352" customWidth="1"/>
    <col min="16135" max="16135" width="9.5703125" style="352" bestFit="1" customWidth="1"/>
    <col min="16136" max="16136" width="9.28515625" style="352" bestFit="1" customWidth="1"/>
    <col min="16137" max="16384" width="9.140625" style="352"/>
  </cols>
  <sheetData>
    <row r="1" spans="1:6" ht="18.95" customHeight="1">
      <c r="A1" s="365"/>
      <c r="B1" s="366"/>
      <c r="C1" s="366"/>
      <c r="D1" s="366"/>
      <c r="E1" s="366"/>
      <c r="F1" s="367"/>
    </row>
    <row r="2" spans="1:6" ht="26.1" customHeight="1">
      <c r="A2" s="368" t="s">
        <v>266</v>
      </c>
      <c r="B2" s="369"/>
      <c r="C2" s="369"/>
      <c r="D2" s="369"/>
      <c r="E2" s="369"/>
      <c r="F2" s="370"/>
    </row>
    <row r="3" spans="1:6" ht="18.95" customHeight="1">
      <c r="A3" s="758" t="s">
        <v>526</v>
      </c>
      <c r="B3" s="759"/>
      <c r="C3" s="759"/>
      <c r="D3" s="759"/>
      <c r="E3" s="759"/>
      <c r="F3" s="760"/>
    </row>
    <row r="4" spans="1:6" ht="18.95" customHeight="1">
      <c r="A4" s="761" t="s">
        <v>527</v>
      </c>
      <c r="B4" s="762"/>
      <c r="C4" s="762"/>
      <c r="D4" s="762"/>
      <c r="E4" s="762"/>
      <c r="F4" s="763"/>
    </row>
    <row r="5" spans="1:6" ht="18.95" customHeight="1">
      <c r="A5" s="371"/>
      <c r="B5" s="372"/>
      <c r="C5" s="372"/>
      <c r="D5" s="372"/>
      <c r="E5" s="372"/>
      <c r="F5" s="373"/>
    </row>
    <row r="6" spans="1:6" ht="18.95" customHeight="1">
      <c r="A6" s="374" t="s">
        <v>528</v>
      </c>
      <c r="B6" s="755" t="str">
        <f>'Performance Data Sheet'!C17</f>
        <v>A1-10033114</v>
      </c>
      <c r="C6" s="756"/>
      <c r="D6" s="757"/>
      <c r="E6" s="374" t="s">
        <v>529</v>
      </c>
      <c r="F6" s="375" t="str">
        <f>'Performance Data Sheet'!I14 &amp; " A"</f>
        <v>86 A</v>
      </c>
    </row>
    <row r="7" spans="1:6" ht="18.95" customHeight="1">
      <c r="A7" s="374" t="s">
        <v>530</v>
      </c>
      <c r="B7" s="375" t="str">
        <f>'Performance Data Sheet'!F14</f>
        <v>WP-II</v>
      </c>
      <c r="C7" s="374" t="s">
        <v>531</v>
      </c>
      <c r="D7" s="375" t="str">
        <f>'Performance Data Sheet'!F13 &amp; " V"</f>
        <v>4000 V</v>
      </c>
      <c r="E7" s="374" t="s">
        <v>532</v>
      </c>
      <c r="F7" s="375" t="str">
        <f>'Performance Data Sheet'!C14</f>
        <v>5012US</v>
      </c>
    </row>
    <row r="8" spans="1:6" ht="18.95" customHeight="1">
      <c r="A8" s="374" t="s">
        <v>533</v>
      </c>
      <c r="B8" s="375">
        <v>4</v>
      </c>
      <c r="C8" s="374" t="s">
        <v>534</v>
      </c>
      <c r="D8" s="375" t="s">
        <v>535</v>
      </c>
      <c r="E8" s="374" t="s">
        <v>536</v>
      </c>
      <c r="F8" s="375" t="s">
        <v>350</v>
      </c>
    </row>
    <row r="9" spans="1:6" ht="18.95" customHeight="1">
      <c r="A9" s="374" t="s">
        <v>537</v>
      </c>
      <c r="B9" s="375">
        <v>700</v>
      </c>
      <c r="C9" s="374" t="s">
        <v>538</v>
      </c>
      <c r="D9" s="375" t="s">
        <v>548</v>
      </c>
      <c r="E9" s="374" t="s">
        <v>2</v>
      </c>
      <c r="F9" s="376">
        <f>'Performance Data Sheet'!K44</f>
        <v>44046</v>
      </c>
    </row>
    <row r="10" spans="1:6" ht="18.95" customHeight="1">
      <c r="A10" s="374" t="s">
        <v>539</v>
      </c>
      <c r="B10" s="375">
        <v>1770</v>
      </c>
      <c r="C10" s="374" t="s">
        <v>373</v>
      </c>
      <c r="D10" s="375" t="s">
        <v>549</v>
      </c>
      <c r="E10" s="374" t="s">
        <v>1</v>
      </c>
      <c r="F10" s="375" t="s">
        <v>352</v>
      </c>
    </row>
    <row r="11" spans="1:6" ht="18.95" customHeight="1">
      <c r="A11" s="371"/>
      <c r="B11" s="372"/>
      <c r="C11" s="372"/>
      <c r="D11" s="372"/>
      <c r="E11" s="372"/>
      <c r="F11" s="373"/>
    </row>
    <row r="12" spans="1:6" ht="18.95" customHeight="1">
      <c r="A12" s="371"/>
      <c r="B12" s="377"/>
      <c r="C12" s="378"/>
      <c r="D12" s="377"/>
      <c r="E12" s="378"/>
      <c r="F12" s="373"/>
    </row>
    <row r="13" spans="1:6" ht="18.95" customHeight="1">
      <c r="A13" s="371"/>
      <c r="B13" s="377"/>
      <c r="C13" s="379"/>
      <c r="D13" s="377"/>
      <c r="E13" s="378"/>
      <c r="F13" s="373"/>
    </row>
    <row r="14" spans="1:6" ht="18.95" customHeight="1">
      <c r="A14" s="371"/>
      <c r="B14" s="377"/>
      <c r="C14" s="379"/>
      <c r="D14" s="377"/>
      <c r="E14" s="378"/>
      <c r="F14" s="373"/>
    </row>
    <row r="15" spans="1:6" ht="18.95" customHeight="1">
      <c r="A15" s="371"/>
      <c r="B15" s="377"/>
      <c r="C15" s="378"/>
      <c r="D15" s="372"/>
      <c r="E15" s="372"/>
      <c r="F15" s="373"/>
    </row>
    <row r="16" spans="1:6" ht="18.95" customHeight="1">
      <c r="A16" s="371"/>
      <c r="B16" s="372"/>
      <c r="C16" s="372"/>
      <c r="D16" s="372"/>
      <c r="E16" s="372"/>
      <c r="F16" s="373"/>
    </row>
    <row r="17" spans="1:6" ht="18.95" customHeight="1">
      <c r="A17" s="371"/>
      <c r="B17" s="372"/>
      <c r="C17" s="372"/>
      <c r="D17" s="372"/>
      <c r="E17" s="372"/>
      <c r="F17" s="373"/>
    </row>
    <row r="18" spans="1:6" ht="18.95" customHeight="1">
      <c r="A18" s="371"/>
      <c r="B18" s="372"/>
      <c r="C18" s="372"/>
      <c r="D18" s="372"/>
      <c r="E18" s="372"/>
      <c r="F18" s="373"/>
    </row>
    <row r="19" spans="1:6" ht="18.95" customHeight="1">
      <c r="A19" s="371"/>
      <c r="B19" s="372"/>
      <c r="C19" s="372"/>
      <c r="D19" s="372"/>
      <c r="E19" s="372"/>
      <c r="F19" s="373"/>
    </row>
    <row r="20" spans="1:6" ht="18.95" customHeight="1">
      <c r="A20" s="371"/>
      <c r="B20" s="372"/>
      <c r="C20" s="372"/>
      <c r="D20" s="372"/>
      <c r="E20" s="372"/>
      <c r="F20" s="373"/>
    </row>
    <row r="21" spans="1:6" ht="18.95" customHeight="1">
      <c r="A21" s="371"/>
      <c r="B21" s="372"/>
      <c r="C21" s="372"/>
      <c r="D21" s="372"/>
      <c r="E21" s="372"/>
      <c r="F21" s="373"/>
    </row>
    <row r="22" spans="1:6" ht="18.95" customHeight="1">
      <c r="A22" s="371"/>
      <c r="B22" s="372"/>
      <c r="C22" s="372"/>
      <c r="D22" s="372"/>
      <c r="E22" s="372"/>
      <c r="F22" s="373"/>
    </row>
    <row r="23" spans="1:6" ht="18.95" customHeight="1">
      <c r="A23" s="371"/>
      <c r="B23" s="372"/>
      <c r="C23" s="372"/>
      <c r="D23" s="372"/>
      <c r="E23" s="372"/>
      <c r="F23" s="373"/>
    </row>
    <row r="24" spans="1:6" ht="18.95" customHeight="1">
      <c r="A24" s="371"/>
      <c r="B24" s="372"/>
      <c r="C24" s="372"/>
      <c r="D24" s="372"/>
      <c r="E24" s="372"/>
      <c r="F24" s="373"/>
    </row>
    <row r="25" spans="1:6" ht="18.95" customHeight="1">
      <c r="A25" s="371"/>
      <c r="B25" s="372"/>
      <c r="C25" s="372"/>
      <c r="D25" s="372"/>
      <c r="E25" s="372"/>
      <c r="F25" s="373"/>
    </row>
    <row r="26" spans="1:6" ht="18.95" customHeight="1">
      <c r="A26" s="371"/>
      <c r="B26" s="372"/>
      <c r="C26" s="372"/>
      <c r="D26" s="372"/>
      <c r="E26" s="372"/>
      <c r="F26" s="373"/>
    </row>
    <row r="27" spans="1:6" ht="18.95" customHeight="1">
      <c r="A27" s="371"/>
      <c r="B27" s="372"/>
      <c r="C27" s="372"/>
      <c r="D27" s="372"/>
      <c r="E27" s="372"/>
      <c r="F27" s="373"/>
    </row>
    <row r="28" spans="1:6" ht="18.95" customHeight="1">
      <c r="A28" s="371"/>
      <c r="B28" s="372"/>
      <c r="C28" s="372"/>
      <c r="D28" s="372"/>
      <c r="E28" s="372"/>
      <c r="F28" s="373"/>
    </row>
    <row r="29" spans="1:6" ht="18.95" customHeight="1">
      <c r="A29" s="371"/>
      <c r="B29" s="372"/>
      <c r="C29" s="372"/>
      <c r="D29" s="372"/>
      <c r="E29" s="372"/>
      <c r="F29" s="373"/>
    </row>
    <row r="30" spans="1:6" ht="18.95" customHeight="1">
      <c r="A30" s="371"/>
      <c r="B30" s="372"/>
      <c r="C30" s="372"/>
      <c r="D30" s="372"/>
      <c r="E30" s="372"/>
      <c r="F30" s="373"/>
    </row>
    <row r="31" spans="1:6" ht="18.95" customHeight="1">
      <c r="A31" s="371"/>
      <c r="B31" s="372"/>
      <c r="C31" s="372"/>
      <c r="D31" s="372"/>
      <c r="E31" s="372"/>
      <c r="F31" s="373"/>
    </row>
    <row r="32" spans="1:6" ht="18.95" customHeight="1">
      <c r="A32" s="371"/>
      <c r="B32" s="372"/>
      <c r="C32" s="372"/>
      <c r="D32" s="372"/>
      <c r="E32" s="372"/>
      <c r="F32" s="373"/>
    </row>
    <row r="33" spans="1:6" ht="18.95" customHeight="1">
      <c r="A33" s="371"/>
      <c r="B33" s="372"/>
      <c r="C33" s="372"/>
      <c r="D33" s="372"/>
      <c r="E33" s="372"/>
      <c r="F33" s="373"/>
    </row>
    <row r="34" spans="1:6" ht="18.95" customHeight="1">
      <c r="A34" s="371"/>
      <c r="B34" s="372"/>
      <c r="C34" s="372"/>
      <c r="D34" s="372"/>
      <c r="E34" s="372"/>
      <c r="F34" s="373"/>
    </row>
    <row r="35" spans="1:6" ht="18.95" customHeight="1">
      <c r="A35" s="371"/>
      <c r="B35" s="372"/>
      <c r="C35" s="372"/>
      <c r="D35" s="372"/>
      <c r="E35" s="372"/>
      <c r="F35" s="373"/>
    </row>
    <row r="36" spans="1:6" ht="18.95" customHeight="1">
      <c r="A36" s="371"/>
      <c r="B36" s="372"/>
      <c r="C36" s="372"/>
      <c r="D36" s="372"/>
      <c r="E36" s="372"/>
      <c r="F36" s="373"/>
    </row>
    <row r="37" spans="1:6" ht="18.95" customHeight="1">
      <c r="A37" s="371"/>
      <c r="B37" s="372"/>
      <c r="C37" s="372"/>
      <c r="D37" s="372"/>
      <c r="E37" s="372"/>
      <c r="F37" s="373"/>
    </row>
    <row r="38" spans="1:6" ht="18.95" customHeight="1">
      <c r="A38" s="371"/>
      <c r="B38" s="372"/>
      <c r="C38" s="372"/>
      <c r="D38" s="372"/>
      <c r="E38" s="372"/>
      <c r="F38" s="373"/>
    </row>
    <row r="39" spans="1:6" ht="18.95" customHeight="1">
      <c r="A39" s="380" t="s">
        <v>540</v>
      </c>
      <c r="B39" s="381" t="s">
        <v>351</v>
      </c>
      <c r="C39" s="381" t="str">
        <f>'Performance Data Sheet'!C10</f>
        <v>2182344.8</v>
      </c>
      <c r="D39" s="372"/>
      <c r="E39" s="377" t="s">
        <v>541</v>
      </c>
      <c r="F39" s="382" t="str">
        <f>F10</f>
        <v>DT4700K</v>
      </c>
    </row>
    <row r="40" spans="1:6" ht="18.95" customHeight="1">
      <c r="A40" s="371"/>
      <c r="B40" s="381"/>
      <c r="C40" s="381"/>
      <c r="D40" s="372"/>
      <c r="E40" s="372"/>
      <c r="F40" s="373"/>
    </row>
    <row r="41" spans="1:6" ht="18.95" customHeight="1">
      <c r="A41" s="371"/>
      <c r="B41" s="381"/>
      <c r="C41" s="381"/>
      <c r="D41" s="372"/>
      <c r="E41" s="372"/>
      <c r="F41" s="373"/>
    </row>
    <row r="42" spans="1:6" ht="18.95" customHeight="1">
      <c r="A42" s="371"/>
      <c r="B42" s="372"/>
      <c r="C42" s="372"/>
      <c r="D42" s="372"/>
      <c r="E42" s="372"/>
      <c r="F42" s="373"/>
    </row>
    <row r="43" spans="1:6" ht="18.95" customHeight="1">
      <c r="A43" s="383"/>
      <c r="B43" s="381"/>
      <c r="C43" s="384" t="s">
        <v>542</v>
      </c>
      <c r="D43" s="385" t="str">
        <f>'Performance Data Sheet'!K42</f>
        <v>JERRY R</v>
      </c>
      <c r="E43" s="384" t="s">
        <v>543</v>
      </c>
      <c r="F43" s="38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86" t="e">
        <f>5252.1*B50/D53</f>
        <v>#DIV/0!</v>
      </c>
      <c r="G50" s="386"/>
    </row>
    <row r="51" spans="6:9" ht="15" customHeight="1">
      <c r="G51" s="387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88"/>
    </row>
    <row r="63" spans="6:9">
      <c r="I63" s="389" t="s">
        <v>39</v>
      </c>
    </row>
    <row r="64" spans="6:9">
      <c r="I64" s="389"/>
    </row>
    <row r="65" spans="1:9">
      <c r="I65" s="389"/>
    </row>
    <row r="66" spans="1:9">
      <c r="D66" s="386" t="e">
        <f>D65/D64</f>
        <v>#DIV/0!</v>
      </c>
    </row>
    <row r="67" spans="1:9">
      <c r="A67" s="390" t="s">
        <v>369</v>
      </c>
      <c r="B67" s="390" t="s">
        <v>544</v>
      </c>
      <c r="C67" s="390" t="s">
        <v>545</v>
      </c>
      <c r="E67" s="390" t="s">
        <v>546</v>
      </c>
      <c r="F67" s="390" t="s">
        <v>547</v>
      </c>
    </row>
    <row r="68" spans="1:9">
      <c r="A68" s="391">
        <v>630.23255813953483</v>
      </c>
      <c r="B68" s="392">
        <v>24</v>
      </c>
      <c r="C68" s="392">
        <v>12</v>
      </c>
      <c r="E68" s="391">
        <f>A68</f>
        <v>630.23255813953483</v>
      </c>
      <c r="F68" s="392">
        <v>1E-4</v>
      </c>
      <c r="G68" s="666">
        <f>0.8*E68</f>
        <v>504.18604651162786</v>
      </c>
      <c r="H68" s="666">
        <f>F68</f>
        <v>1E-4</v>
      </c>
    </row>
    <row r="69" spans="1:9">
      <c r="A69" s="391">
        <v>556.82904651162789</v>
      </c>
      <c r="B69" s="392">
        <f>((A68/A69)^2)*B68</f>
        <v>30.744621354214956</v>
      </c>
      <c r="C69" s="392">
        <f>((A68/A69)^2)*C68</f>
        <v>15.372310677107478</v>
      </c>
      <c r="E69" s="391">
        <v>627.20930232558135</v>
      </c>
      <c r="F69" s="392">
        <v>0.21439673334591092</v>
      </c>
      <c r="G69" s="666">
        <f t="shared" ref="G69:G79" si="0">0.8*E69</f>
        <v>501.76744186046511</v>
      </c>
      <c r="H69" s="666">
        <f>2*F69</f>
        <v>0.42879346669182183</v>
      </c>
    </row>
    <row r="70" spans="1:9">
      <c r="A70" s="391">
        <v>483.40351162790694</v>
      </c>
      <c r="B70" s="392">
        <f>((A68/A70)^2)*B68</f>
        <v>40.79371997331878</v>
      </c>
      <c r="C70" s="392">
        <f>((A68/A70)^2)*C68</f>
        <v>20.39685998665939</v>
      </c>
      <c r="E70" s="391">
        <v>620.81395348837214</v>
      </c>
      <c r="F70" s="392">
        <v>0.40911454611220954</v>
      </c>
      <c r="G70" s="666">
        <f t="shared" si="0"/>
        <v>496.65116279069775</v>
      </c>
      <c r="H70" s="666">
        <f t="shared" ref="H70:H80" si="1">2*F70</f>
        <v>0.81822909222441909</v>
      </c>
    </row>
    <row r="71" spans="1:9">
      <c r="A71" s="391">
        <v>410</v>
      </c>
      <c r="B71" s="392">
        <f>((A68/A71)^2)*B68</f>
        <v>56.708113361918208</v>
      </c>
      <c r="C71" s="392">
        <f>((A68/A71)^2)*C68</f>
        <v>28.354056680959104</v>
      </c>
      <c r="E71" s="391">
        <v>613.72093023255809</v>
      </c>
      <c r="F71" s="392">
        <v>0.59761796371829512</v>
      </c>
      <c r="G71" s="666">
        <f t="shared" si="0"/>
        <v>490.97674418604652</v>
      </c>
      <c r="H71" s="666">
        <f t="shared" si="1"/>
        <v>1.1952359274365902</v>
      </c>
    </row>
    <row r="72" spans="1:9">
      <c r="A72" s="391">
        <f>A71-100</f>
        <v>310</v>
      </c>
      <c r="B72" s="392">
        <f>((A68/A72)^2)*B68</f>
        <v>99.194941270951617</v>
      </c>
      <c r="C72" s="392"/>
      <c r="E72" s="391">
        <v>605.69767441860461</v>
      </c>
      <c r="F72" s="392">
        <v>0.78612135045713183</v>
      </c>
      <c r="G72" s="666">
        <f t="shared" si="0"/>
        <v>484.55813953488371</v>
      </c>
      <c r="H72" s="666">
        <f t="shared" si="1"/>
        <v>1.5722427009142637</v>
      </c>
    </row>
    <row r="73" spans="1:9">
      <c r="A73" s="391">
        <f>A72-100</f>
        <v>210</v>
      </c>
      <c r="B73" s="392">
        <f>((A68/A73)^2)*B68</f>
        <v>216.15949787162023</v>
      </c>
      <c r="C73" s="392"/>
      <c r="E73" s="391">
        <v>596.62790697674416</v>
      </c>
      <c r="F73" s="392">
        <v>0.97980339725720889</v>
      </c>
      <c r="G73" s="666">
        <f t="shared" si="0"/>
        <v>477.30232558139534</v>
      </c>
      <c r="H73" s="666">
        <f t="shared" si="1"/>
        <v>1.9596067945144178</v>
      </c>
    </row>
    <row r="74" spans="1:9">
      <c r="A74" s="391">
        <v>270</v>
      </c>
      <c r="B74" s="392">
        <f>((A68/A74)^2)*B68</f>
        <v>130.76315303344924</v>
      </c>
      <c r="C74" s="392">
        <f>((A68/A74)^2)*C68</f>
        <v>65.381576516724621</v>
      </c>
      <c r="E74" s="391">
        <v>585.93023255813955</v>
      </c>
      <c r="F74" s="392">
        <v>1.1859142652449608</v>
      </c>
      <c r="G74" s="666">
        <f t="shared" si="0"/>
        <v>468.74418604651169</v>
      </c>
      <c r="H74" s="666">
        <f t="shared" si="1"/>
        <v>2.3718285304899216</v>
      </c>
    </row>
    <row r="75" spans="1:9">
      <c r="A75" s="393">
        <v>180</v>
      </c>
      <c r="B75" s="392">
        <f>((A68/A75)^2)*B69</f>
        <v>376.89971504031212</v>
      </c>
      <c r="C75" s="392">
        <f>((A68/A75)^2)*C68</f>
        <v>147.10854716263043</v>
      </c>
      <c r="E75" s="391">
        <v>572.32558139534888</v>
      </c>
      <c r="F75" s="392">
        <v>1.4489903939063549</v>
      </c>
      <c r="G75" s="666">
        <f t="shared" si="0"/>
        <v>457.8604651162791</v>
      </c>
      <c r="H75" s="666">
        <f t="shared" si="1"/>
        <v>2.8979807878127097</v>
      </c>
    </row>
    <row r="76" spans="1:9">
      <c r="A76" s="393">
        <v>145</v>
      </c>
      <c r="B76" s="392">
        <f>((A68/A76)^2)*B68</f>
        <v>453.39518935260168</v>
      </c>
      <c r="C76" s="392">
        <f>((A68/A76)^2)*C68</f>
        <v>226.69759467630084</v>
      </c>
      <c r="E76" s="391">
        <v>550.11627906976742</v>
      </c>
      <c r="F76" s="392">
        <v>1.7224239661592244</v>
      </c>
      <c r="G76" s="666">
        <f t="shared" si="0"/>
        <v>440.09302325581393</v>
      </c>
      <c r="H76" s="666">
        <f t="shared" si="1"/>
        <v>3.4448479323184489</v>
      </c>
    </row>
    <row r="77" spans="1:9">
      <c r="A77" s="393">
        <v>125</v>
      </c>
      <c r="B77" s="392"/>
      <c r="C77" s="391">
        <f>CEILING(C76*2,100)</f>
        <v>500</v>
      </c>
      <c r="E77" s="391">
        <v>520.93023255813955</v>
      </c>
      <c r="F77" s="392">
        <v>1.8518905911592245</v>
      </c>
      <c r="G77" s="666">
        <f t="shared" si="0"/>
        <v>416.74418604651169</v>
      </c>
      <c r="H77" s="666">
        <f t="shared" si="1"/>
        <v>3.703781182318449</v>
      </c>
    </row>
    <row r="78" spans="1:9">
      <c r="A78" s="393">
        <v>125</v>
      </c>
      <c r="B78" s="392"/>
      <c r="C78" s="391">
        <f>2*C77</f>
        <v>1000</v>
      </c>
      <c r="E78" s="391">
        <v>476.27906976744185</v>
      </c>
      <c r="F78" s="392">
        <v>1.9492494743919373</v>
      </c>
      <c r="G78" s="666">
        <f t="shared" si="0"/>
        <v>381.02325581395348</v>
      </c>
      <c r="H78" s="666">
        <f t="shared" si="1"/>
        <v>3.8984989487838746</v>
      </c>
    </row>
    <row r="79" spans="1:9">
      <c r="A79" s="393">
        <v>125</v>
      </c>
      <c r="B79" s="393"/>
      <c r="C79" s="393">
        <v>10000</v>
      </c>
      <c r="E79" s="391">
        <v>376.27906976744191</v>
      </c>
      <c r="F79" s="392">
        <v>1.9782499954286814</v>
      </c>
      <c r="G79" s="666">
        <f t="shared" si="0"/>
        <v>301.02325581395354</v>
      </c>
      <c r="H79" s="666">
        <f t="shared" si="1"/>
        <v>3.9564999908573628</v>
      </c>
    </row>
    <row r="80" spans="1:9">
      <c r="E80" s="391">
        <v>110</v>
      </c>
      <c r="F80" s="392">
        <v>2.0000004170734882</v>
      </c>
      <c r="G80" s="666">
        <v>110</v>
      </c>
      <c r="H80" s="666">
        <f t="shared" si="1"/>
        <v>4.0000008341469764</v>
      </c>
    </row>
    <row r="81" spans="5:6">
      <c r="E81" s="391"/>
      <c r="F81" s="39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A6" sqref="A6:F10"/>
    </sheetView>
  </sheetViews>
  <sheetFormatPr defaultRowHeight="12.75"/>
  <cols>
    <col min="1" max="6" width="16.7109375" style="352" customWidth="1"/>
    <col min="7" max="16384" width="9.140625" style="352"/>
  </cols>
  <sheetData>
    <row r="1" spans="1:6" ht="18.95" customHeight="1">
      <c r="A1" s="365"/>
      <c r="B1" s="366"/>
      <c r="C1" s="366"/>
      <c r="D1" s="366"/>
      <c r="E1" s="366"/>
      <c r="F1" s="367"/>
    </row>
    <row r="2" spans="1:6" ht="26.1" customHeight="1">
      <c r="A2" s="368" t="s">
        <v>266</v>
      </c>
      <c r="B2" s="369"/>
      <c r="C2" s="369"/>
      <c r="D2" s="369"/>
      <c r="E2" s="369"/>
      <c r="F2" s="370"/>
    </row>
    <row r="3" spans="1:6" ht="18.95" customHeight="1">
      <c r="A3" s="394" t="s">
        <v>550</v>
      </c>
      <c r="B3" s="369"/>
      <c r="C3" s="369"/>
      <c r="D3" s="369"/>
      <c r="E3" s="369"/>
      <c r="F3" s="370"/>
    </row>
    <row r="4" spans="1:6" ht="18.95" customHeight="1">
      <c r="A4" s="761" t="s">
        <v>527</v>
      </c>
      <c r="B4" s="762"/>
      <c r="C4" s="762"/>
      <c r="D4" s="762"/>
      <c r="E4" s="762"/>
      <c r="F4" s="763"/>
    </row>
    <row r="5" spans="1:6" ht="18.95" customHeight="1">
      <c r="A5" s="371"/>
      <c r="B5" s="372"/>
      <c r="C5" s="372"/>
      <c r="D5" s="372"/>
      <c r="E5" s="372"/>
      <c r="F5" s="373"/>
    </row>
    <row r="6" spans="1:6" ht="18.95" customHeight="1">
      <c r="A6" s="374" t="s">
        <v>528</v>
      </c>
      <c r="B6" s="755" t="str">
        <f>'Performance Data Sheet'!C17</f>
        <v>A1-10033114</v>
      </c>
      <c r="C6" s="756"/>
      <c r="D6" s="757"/>
      <c r="E6" s="374" t="s">
        <v>529</v>
      </c>
      <c r="F6" s="375" t="str">
        <f>'Performance Data Sheet'!I14 &amp; " A"</f>
        <v>86 A</v>
      </c>
    </row>
    <row r="7" spans="1:6" ht="18.95" customHeight="1">
      <c r="A7" s="374" t="s">
        <v>530</v>
      </c>
      <c r="B7" s="375" t="str">
        <f>'Performance Data Sheet'!F14</f>
        <v>WP-II</v>
      </c>
      <c r="C7" s="374" t="s">
        <v>531</v>
      </c>
      <c r="D7" s="375" t="str">
        <f>'Performance Data Sheet'!F13 &amp; " V"</f>
        <v>4000 V</v>
      </c>
      <c r="E7" s="374" t="s">
        <v>532</v>
      </c>
      <c r="F7" s="375" t="str">
        <f>'Performance Data Sheet'!C14</f>
        <v>5012US</v>
      </c>
    </row>
    <row r="8" spans="1:6" ht="18.95" customHeight="1">
      <c r="A8" s="374" t="s">
        <v>533</v>
      </c>
      <c r="B8" s="375">
        <v>4</v>
      </c>
      <c r="C8" s="374" t="s">
        <v>534</v>
      </c>
      <c r="D8" s="375" t="s">
        <v>535</v>
      </c>
      <c r="E8" s="374" t="s">
        <v>536</v>
      </c>
      <c r="F8" s="375" t="s">
        <v>350</v>
      </c>
    </row>
    <row r="9" spans="1:6" ht="18.95" customHeight="1">
      <c r="A9" s="374" t="s">
        <v>537</v>
      </c>
      <c r="B9" s="375">
        <v>700</v>
      </c>
      <c r="C9" s="374" t="s">
        <v>538</v>
      </c>
      <c r="D9" s="375" t="s">
        <v>548</v>
      </c>
      <c r="E9" s="374" t="s">
        <v>2</v>
      </c>
      <c r="F9" s="376">
        <f>'Performance Data Sheet'!K44</f>
        <v>44046</v>
      </c>
    </row>
    <row r="10" spans="1:6" ht="18.95" customHeight="1">
      <c r="A10" s="374" t="s">
        <v>539</v>
      </c>
      <c r="B10" s="375">
        <v>1770</v>
      </c>
      <c r="C10" s="374" t="s">
        <v>373</v>
      </c>
      <c r="D10" s="375" t="s">
        <v>549</v>
      </c>
      <c r="E10" s="374" t="s">
        <v>1</v>
      </c>
      <c r="F10" s="375" t="s">
        <v>352</v>
      </c>
    </row>
    <row r="11" spans="1:6" ht="18.95" customHeight="1">
      <c r="A11" s="371"/>
      <c r="B11" s="372"/>
      <c r="C11" s="372"/>
      <c r="D11" s="372"/>
      <c r="E11" s="372"/>
      <c r="F11" s="373"/>
    </row>
    <row r="12" spans="1:6" ht="18.95" customHeight="1">
      <c r="A12" s="371"/>
      <c r="B12" s="377" t="s">
        <v>551</v>
      </c>
      <c r="C12" s="378" t="str">
        <f>'Performance Data Sheet'!D22 &amp; " A"</f>
        <v>542 A</v>
      </c>
      <c r="D12" s="377" t="s">
        <v>372</v>
      </c>
      <c r="E12" s="378" t="s">
        <v>376</v>
      </c>
      <c r="F12" s="373"/>
    </row>
    <row r="13" spans="1:6" ht="18.95" customHeight="1">
      <c r="A13" s="371"/>
      <c r="B13" s="377" t="s">
        <v>552</v>
      </c>
      <c r="C13" s="379">
        <v>1.35</v>
      </c>
      <c r="D13" s="377" t="s">
        <v>553</v>
      </c>
      <c r="E13" s="378" t="s">
        <v>562</v>
      </c>
      <c r="F13" s="373"/>
    </row>
    <row r="14" spans="1:6" ht="18.95" customHeight="1">
      <c r="A14" s="371"/>
      <c r="B14" s="377" t="s">
        <v>554</v>
      </c>
      <c r="C14" s="379">
        <v>2.7</v>
      </c>
      <c r="D14" s="377" t="s">
        <v>374</v>
      </c>
      <c r="E14" s="378" t="s">
        <v>674</v>
      </c>
      <c r="F14" s="373"/>
    </row>
    <row r="15" spans="1:6" ht="18.95" customHeight="1">
      <c r="A15" s="371"/>
      <c r="B15" s="377" t="s">
        <v>375</v>
      </c>
      <c r="C15" s="378" t="s">
        <v>556</v>
      </c>
      <c r="D15" s="372"/>
      <c r="E15" s="372"/>
      <c r="F15" s="373"/>
    </row>
    <row r="16" spans="1:6" ht="18.95" customHeight="1">
      <c r="A16" s="371"/>
      <c r="B16" s="372"/>
      <c r="C16" s="372"/>
      <c r="D16" s="372"/>
      <c r="E16" s="372"/>
      <c r="F16" s="373"/>
    </row>
    <row r="17" spans="1:8" ht="18.95" customHeight="1">
      <c r="A17" s="371"/>
      <c r="B17" s="372"/>
      <c r="C17" s="372"/>
      <c r="D17" s="372"/>
      <c r="E17" s="372"/>
      <c r="F17" s="373"/>
    </row>
    <row r="18" spans="1:8" ht="18.95" customHeight="1">
      <c r="A18" s="371"/>
      <c r="B18" s="372"/>
      <c r="C18" s="372"/>
      <c r="D18" s="372"/>
      <c r="E18" s="372"/>
      <c r="F18" s="373"/>
    </row>
    <row r="19" spans="1:8" ht="18.95" customHeight="1">
      <c r="A19" s="371"/>
      <c r="B19" s="372"/>
      <c r="C19" s="372"/>
      <c r="D19" s="372"/>
      <c r="E19" s="372"/>
      <c r="F19" s="373"/>
    </row>
    <row r="20" spans="1:8" ht="18.95" customHeight="1">
      <c r="A20" s="371"/>
      <c r="B20" s="372"/>
      <c r="C20" s="372"/>
      <c r="D20" s="372"/>
      <c r="E20" s="372"/>
      <c r="F20" s="373"/>
    </row>
    <row r="21" spans="1:8" ht="18.95" customHeight="1">
      <c r="A21" s="371"/>
      <c r="B21" s="372"/>
      <c r="C21" s="372"/>
      <c r="D21" s="372"/>
      <c r="E21" s="372"/>
      <c r="F21" s="373"/>
    </row>
    <row r="22" spans="1:8" ht="18.95" customHeight="1">
      <c r="A22" s="371"/>
      <c r="B22" s="372"/>
      <c r="C22" s="372"/>
      <c r="D22" s="372"/>
      <c r="E22" s="372"/>
      <c r="F22" s="373"/>
    </row>
    <row r="23" spans="1:8" ht="18.95" customHeight="1">
      <c r="A23" s="371"/>
      <c r="B23" s="372"/>
      <c r="C23" s="372"/>
      <c r="D23" s="372"/>
      <c r="E23" s="372"/>
      <c r="F23" s="373"/>
    </row>
    <row r="24" spans="1:8" ht="18.95" customHeight="1">
      <c r="A24" s="371"/>
      <c r="B24" s="372"/>
      <c r="C24" s="372"/>
      <c r="D24" s="372"/>
      <c r="E24" s="372"/>
      <c r="F24" s="373"/>
      <c r="H24" s="395"/>
    </row>
    <row r="25" spans="1:8" ht="18.95" customHeight="1">
      <c r="A25" s="371"/>
      <c r="B25" s="372"/>
      <c r="C25" s="372"/>
      <c r="D25" s="372"/>
      <c r="E25" s="372"/>
      <c r="F25" s="373"/>
    </row>
    <row r="26" spans="1:8" ht="18.95" customHeight="1">
      <c r="A26" s="371"/>
      <c r="B26" s="372"/>
      <c r="C26" s="372"/>
      <c r="D26" s="372"/>
      <c r="E26" s="372"/>
      <c r="F26" s="373"/>
    </row>
    <row r="27" spans="1:8" ht="18.95" customHeight="1">
      <c r="A27" s="371"/>
      <c r="B27" s="372"/>
      <c r="C27" s="372"/>
      <c r="D27" s="372"/>
      <c r="E27" s="372"/>
      <c r="F27" s="373"/>
    </row>
    <row r="28" spans="1:8" ht="18.95" customHeight="1">
      <c r="A28" s="371"/>
      <c r="B28" s="372"/>
      <c r="C28" s="372"/>
      <c r="D28" s="372"/>
      <c r="E28" s="372"/>
      <c r="F28" s="373"/>
    </row>
    <row r="29" spans="1:8" ht="18.95" customHeight="1">
      <c r="A29" s="371"/>
      <c r="B29" s="372"/>
      <c r="C29" s="372"/>
      <c r="D29" s="372"/>
      <c r="E29" s="372"/>
      <c r="F29" s="373"/>
    </row>
    <row r="30" spans="1:8" ht="18.95" customHeight="1">
      <c r="A30" s="371"/>
      <c r="B30" s="372"/>
      <c r="C30" s="372"/>
      <c r="D30" s="372"/>
      <c r="E30" s="372"/>
      <c r="F30" s="373"/>
    </row>
    <row r="31" spans="1:8" ht="18.95" customHeight="1">
      <c r="A31" s="371"/>
      <c r="B31" s="372"/>
      <c r="C31" s="372"/>
      <c r="D31" s="372"/>
      <c r="E31" s="372"/>
      <c r="F31" s="373"/>
    </row>
    <row r="32" spans="1:8" ht="18.95" customHeight="1">
      <c r="A32" s="371"/>
      <c r="B32" s="372"/>
      <c r="C32" s="372"/>
      <c r="D32" s="372"/>
      <c r="E32" s="372"/>
      <c r="F32" s="373"/>
    </row>
    <row r="33" spans="1:6" ht="18.95" customHeight="1">
      <c r="A33" s="371"/>
      <c r="B33" s="372"/>
      <c r="C33" s="372"/>
      <c r="D33" s="372"/>
      <c r="E33" s="372"/>
      <c r="F33" s="373"/>
    </row>
    <row r="34" spans="1:6" ht="18.95" customHeight="1">
      <c r="A34" s="371"/>
      <c r="B34" s="372"/>
      <c r="C34" s="372"/>
      <c r="D34" s="372"/>
      <c r="E34" s="372"/>
      <c r="F34" s="373"/>
    </row>
    <row r="35" spans="1:6" ht="18.95" customHeight="1">
      <c r="A35" s="371"/>
      <c r="B35" s="372"/>
      <c r="C35" s="372"/>
      <c r="D35" s="372"/>
      <c r="E35" s="372"/>
      <c r="F35" s="373"/>
    </row>
    <row r="36" spans="1:6" ht="18.95" customHeight="1">
      <c r="A36" s="371"/>
      <c r="B36" s="372"/>
      <c r="C36" s="372"/>
      <c r="D36" s="372"/>
      <c r="E36" s="372"/>
      <c r="F36" s="373"/>
    </row>
    <row r="37" spans="1:6" ht="18.95" customHeight="1">
      <c r="A37" s="371"/>
      <c r="B37" s="372"/>
      <c r="C37" s="372"/>
      <c r="D37" s="372"/>
      <c r="E37" s="372"/>
      <c r="F37" s="373"/>
    </row>
    <row r="38" spans="1:6" ht="18.95" customHeight="1">
      <c r="A38" s="371"/>
      <c r="B38" s="372"/>
      <c r="C38" s="372"/>
      <c r="D38" s="372"/>
      <c r="E38" s="372"/>
      <c r="F38" s="373"/>
    </row>
    <row r="39" spans="1:6" ht="18.95" customHeight="1">
      <c r="A39" s="380" t="s">
        <v>540</v>
      </c>
      <c r="B39" s="381" t="s">
        <v>351</v>
      </c>
      <c r="C39" s="381" t="str">
        <f>'Performance Data Sheet'!C10</f>
        <v>2182344.8</v>
      </c>
      <c r="D39" s="372"/>
      <c r="E39" s="377" t="s">
        <v>541</v>
      </c>
      <c r="F39" s="382" t="str">
        <f>F10</f>
        <v>DT4700K</v>
      </c>
    </row>
    <row r="40" spans="1:6" ht="18.95" customHeight="1">
      <c r="A40" s="371"/>
      <c r="B40" s="381"/>
      <c r="C40" s="381"/>
      <c r="D40" s="372"/>
      <c r="E40" s="372"/>
      <c r="F40" s="373"/>
    </row>
    <row r="41" spans="1:6" ht="18.95" customHeight="1">
      <c r="A41" s="371"/>
      <c r="B41" s="381"/>
      <c r="C41" s="381"/>
      <c r="D41" s="372"/>
      <c r="E41" s="372"/>
      <c r="F41" s="373"/>
    </row>
    <row r="42" spans="1:6" ht="18.95" customHeight="1">
      <c r="A42" s="371"/>
      <c r="B42" s="372"/>
      <c r="C42" s="372"/>
      <c r="D42" s="372"/>
      <c r="E42" s="372"/>
      <c r="F42" s="373"/>
    </row>
    <row r="43" spans="1:6" ht="18.95" customHeight="1">
      <c r="A43" s="383"/>
      <c r="B43" s="381"/>
      <c r="C43" s="384" t="s">
        <v>542</v>
      </c>
      <c r="D43" s="385" t="str">
        <f>'Performance Data Sheet'!K42</f>
        <v>JERRY R</v>
      </c>
      <c r="E43" s="384" t="s">
        <v>543</v>
      </c>
      <c r="F43" s="38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396" t="s">
        <v>371</v>
      </c>
      <c r="B53" s="396" t="s">
        <v>142</v>
      </c>
      <c r="C53" s="396" t="s">
        <v>120</v>
      </c>
      <c r="D53" s="396" t="s">
        <v>135</v>
      </c>
      <c r="E53" s="396" t="s">
        <v>5</v>
      </c>
      <c r="F53" s="397" t="s">
        <v>555</v>
      </c>
    </row>
    <row r="54" spans="1:6" ht="15" customHeight="1">
      <c r="A54" s="398">
        <v>0</v>
      </c>
      <c r="B54" s="399"/>
      <c r="C54" s="400"/>
      <c r="D54" s="400">
        <v>20.062594163565617</v>
      </c>
      <c r="E54" s="400">
        <v>100</v>
      </c>
      <c r="F54" s="401">
        <v>2</v>
      </c>
    </row>
    <row r="55" spans="1:6" ht="15" customHeight="1">
      <c r="A55" s="402">
        <v>25</v>
      </c>
      <c r="B55" s="403">
        <v>91.8076171875</v>
      </c>
      <c r="C55" s="404">
        <v>69.120231628417969</v>
      </c>
      <c r="D55" s="404">
        <v>29.598407745361328</v>
      </c>
      <c r="E55" s="404">
        <v>69.508760797662603</v>
      </c>
      <c r="F55" s="405">
        <v>10.12402863360011</v>
      </c>
    </row>
    <row r="56" spans="1:6" ht="15" customHeight="1">
      <c r="A56" s="402">
        <v>50</v>
      </c>
      <c r="B56" s="403">
        <v>93.886054992675781</v>
      </c>
      <c r="C56" s="404">
        <v>86.911941528320313</v>
      </c>
      <c r="D56" s="404">
        <v>46.03643798828125</v>
      </c>
      <c r="E56" s="404">
        <v>55.262990236523059</v>
      </c>
      <c r="F56" s="405">
        <v>19.799808937139439</v>
      </c>
    </row>
    <row r="57" spans="1:6">
      <c r="A57" s="402">
        <v>75</v>
      </c>
      <c r="B57" s="403">
        <v>94.144783020019531</v>
      </c>
      <c r="C57" s="404">
        <v>91.699836730957031</v>
      </c>
      <c r="D57" s="404">
        <v>65.269248962402344</v>
      </c>
      <c r="E57" s="404">
        <v>40.614873076168699</v>
      </c>
      <c r="F57" s="405">
        <v>29.618089071850573</v>
      </c>
    </row>
    <row r="58" spans="1:6">
      <c r="A58" s="402">
        <v>100</v>
      </c>
      <c r="B58" s="403">
        <v>93.90118408203125</v>
      </c>
      <c r="C58" s="404">
        <v>93.039253234863281</v>
      </c>
      <c r="D58" s="404">
        <v>85.995330810546875</v>
      </c>
      <c r="E58" s="404">
        <v>25.05242957987338</v>
      </c>
      <c r="F58" s="405">
        <v>39.593227542368346</v>
      </c>
    </row>
    <row r="59" spans="1:6" ht="13.5" thickBot="1">
      <c r="A59" s="406">
        <v>125</v>
      </c>
      <c r="B59" s="407">
        <v>93.464286804199219</v>
      </c>
      <c r="C59" s="408">
        <v>92.981834411621094</v>
      </c>
      <c r="D59" s="408">
        <v>108.06333923339844</v>
      </c>
      <c r="E59" s="408">
        <v>9.7586987660537527</v>
      </c>
      <c r="F59" s="409">
        <v>49.722885694134852</v>
      </c>
    </row>
    <row r="60" spans="1:6">
      <c r="A60" s="410"/>
      <c r="B60" s="411"/>
      <c r="C60" s="411"/>
    </row>
    <row r="61" spans="1:6">
      <c r="A61" s="410"/>
      <c r="B61" s="411"/>
      <c r="C61" s="411"/>
    </row>
    <row r="62" spans="1:6">
      <c r="A62" s="410"/>
      <c r="B62" s="411"/>
      <c r="C62" s="411"/>
    </row>
    <row r="63" spans="1:6">
      <c r="A63" s="410"/>
      <c r="B63" s="411"/>
      <c r="C63" s="411"/>
    </row>
    <row r="64" spans="1:6">
      <c r="A64" s="410"/>
      <c r="B64" s="411"/>
      <c r="C64" s="411"/>
    </row>
    <row r="65" spans="1:3">
      <c r="A65" s="410"/>
      <c r="B65" s="411"/>
      <c r="C65" s="411"/>
    </row>
    <row r="66" spans="1:3">
      <c r="A66" s="410"/>
      <c r="B66" s="411"/>
      <c r="C66" s="411"/>
    </row>
    <row r="67" spans="1:3">
      <c r="A67" s="412"/>
      <c r="B67" s="411"/>
      <c r="C67" s="411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" transitionEvaluation="1"/>
  <dimension ref="A1:AD43"/>
  <sheetViews>
    <sheetView showGridLines="0" topLeftCell="A2" zoomScale="75" zoomScaleNormal="75" workbookViewId="0">
      <selection activeCell="J42" sqref="J42"/>
    </sheetView>
  </sheetViews>
  <sheetFormatPr defaultColWidth="9.7109375" defaultRowHeight="12.75"/>
  <cols>
    <col min="1" max="13" width="6.5703125" style="529" customWidth="1"/>
    <col min="14" max="14" width="6.42578125" style="529" customWidth="1"/>
    <col min="15" max="16384" width="9.7109375" style="529"/>
  </cols>
  <sheetData>
    <row r="1" spans="1:14" ht="15.75" customHeight="1">
      <c r="A1" s="523" t="s">
        <v>266</v>
      </c>
      <c r="B1" s="524"/>
      <c r="C1" s="524"/>
      <c r="D1" s="524"/>
      <c r="E1" s="524"/>
      <c r="F1" s="524"/>
      <c r="G1" s="524"/>
      <c r="H1" s="524"/>
      <c r="I1" s="524"/>
      <c r="J1" s="525" t="s">
        <v>563</v>
      </c>
      <c r="K1" s="526"/>
      <c r="L1" s="527" t="s">
        <v>676</v>
      </c>
      <c r="M1" s="528"/>
    </row>
    <row r="2" spans="1:14" ht="15.75" customHeight="1">
      <c r="A2" s="530" t="s">
        <v>565</v>
      </c>
      <c r="B2" s="531"/>
      <c r="C2" s="531"/>
      <c r="D2" s="531"/>
      <c r="E2" s="531"/>
      <c r="F2" s="531"/>
      <c r="G2" s="531"/>
      <c r="H2" s="531"/>
      <c r="I2" s="531"/>
      <c r="J2" s="532" t="s">
        <v>566</v>
      </c>
      <c r="K2" s="533"/>
      <c r="L2" s="534" t="s">
        <v>567</v>
      </c>
      <c r="M2" s="535"/>
    </row>
    <row r="3" spans="1:14" ht="15.75" customHeight="1">
      <c r="A3" s="536"/>
      <c r="B3" s="537"/>
      <c r="C3" s="537"/>
      <c r="D3" s="537"/>
      <c r="E3" s="537"/>
      <c r="F3" s="537"/>
      <c r="G3" s="537"/>
      <c r="H3" s="537"/>
      <c r="I3" s="537"/>
      <c r="J3" s="532" t="s">
        <v>568</v>
      </c>
      <c r="K3" s="533"/>
      <c r="L3" s="768">
        <v>38309</v>
      </c>
      <c r="M3" s="769"/>
    </row>
    <row r="4" spans="1:14" ht="15.75" customHeight="1">
      <c r="A4" s="770" t="s">
        <v>677</v>
      </c>
      <c r="B4" s="771"/>
      <c r="C4" s="771"/>
      <c r="D4" s="771"/>
      <c r="E4" s="771"/>
      <c r="F4" s="771"/>
      <c r="G4" s="771"/>
      <c r="H4" s="771"/>
      <c r="I4" s="772"/>
      <c r="J4" s="532" t="s">
        <v>570</v>
      </c>
      <c r="K4" s="533"/>
      <c r="L4" s="534" t="s">
        <v>678</v>
      </c>
      <c r="M4" s="535"/>
    </row>
    <row r="5" spans="1:14" ht="15.75" customHeight="1">
      <c r="A5" s="773"/>
      <c r="B5" s="774"/>
      <c r="C5" s="774"/>
      <c r="D5" s="774"/>
      <c r="E5" s="774"/>
      <c r="F5" s="774"/>
      <c r="G5" s="774"/>
      <c r="H5" s="774"/>
      <c r="I5" s="775"/>
      <c r="J5" s="532" t="s">
        <v>572</v>
      </c>
      <c r="K5" s="533"/>
      <c r="L5" s="534" t="s">
        <v>679</v>
      </c>
      <c r="M5" s="535"/>
    </row>
    <row r="6" spans="1:14" ht="15.75" customHeight="1">
      <c r="A6" s="538"/>
      <c r="B6" s="537"/>
      <c r="C6" s="537"/>
      <c r="D6" s="537"/>
      <c r="E6" s="537"/>
      <c r="F6" s="537"/>
      <c r="G6" s="537"/>
      <c r="H6" s="537"/>
      <c r="I6" s="537"/>
      <c r="J6" s="532" t="s">
        <v>574</v>
      </c>
      <c r="K6" s="533"/>
      <c r="L6" s="539" t="s">
        <v>575</v>
      </c>
      <c r="M6" s="535"/>
    </row>
    <row r="7" spans="1:14" ht="15.75" customHeight="1" thickBot="1">
      <c r="A7" s="540" t="s">
        <v>680</v>
      </c>
      <c r="B7" s="541"/>
      <c r="C7" s="541"/>
      <c r="D7" s="541"/>
      <c r="E7" s="541"/>
      <c r="F7" s="541"/>
      <c r="G7" s="541"/>
      <c r="H7" s="541"/>
      <c r="I7" s="541"/>
      <c r="J7" s="542" t="s">
        <v>577</v>
      </c>
      <c r="K7" s="543"/>
      <c r="L7" s="544" t="s">
        <v>681</v>
      </c>
      <c r="M7" s="545"/>
    </row>
    <row r="8" spans="1:14" ht="15.75" customHeight="1">
      <c r="A8" s="442"/>
      <c r="B8" s="430"/>
      <c r="C8" s="430"/>
      <c r="D8" s="430"/>
      <c r="E8" s="430"/>
      <c r="F8" s="430"/>
      <c r="G8" s="430"/>
      <c r="H8" s="430"/>
      <c r="I8" s="430"/>
      <c r="J8" s="430"/>
      <c r="K8" s="443"/>
      <c r="L8" s="444"/>
      <c r="M8" s="445"/>
      <c r="N8" s="546"/>
    </row>
    <row r="9" spans="1:14" ht="15.75" customHeight="1">
      <c r="A9" s="446"/>
      <c r="B9" s="447" t="s">
        <v>579</v>
      </c>
      <c r="C9" s="448" t="s">
        <v>670</v>
      </c>
      <c r="D9" s="449"/>
      <c r="E9" s="449"/>
      <c r="F9" s="449"/>
      <c r="G9" s="449"/>
      <c r="H9" s="449"/>
      <c r="I9" s="449"/>
      <c r="J9" s="449"/>
      <c r="K9" s="450"/>
      <c r="L9" s="451"/>
      <c r="M9" s="449"/>
      <c r="N9" s="546"/>
    </row>
    <row r="10" spans="1:14" ht="15.75" customHeight="1">
      <c r="A10" s="446"/>
      <c r="B10" s="447" t="s">
        <v>580</v>
      </c>
      <c r="C10" s="452" t="s">
        <v>671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546"/>
    </row>
    <row r="11" spans="1:14" ht="15.75" customHeight="1" thickBot="1">
      <c r="A11" s="453"/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546"/>
    </row>
    <row r="12" spans="1:14" ht="15.75" customHeight="1" thickBot="1">
      <c r="A12" s="454" t="s">
        <v>581</v>
      </c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M12" s="456"/>
    </row>
    <row r="13" spans="1:14" ht="14.1" customHeight="1" thickTop="1">
      <c r="A13" s="457"/>
      <c r="B13" s="458" t="s">
        <v>582</v>
      </c>
      <c r="C13" s="459">
        <v>700</v>
      </c>
      <c r="D13" s="451"/>
      <c r="E13" s="458" t="s">
        <v>583</v>
      </c>
      <c r="F13" s="459">
        <v>4000</v>
      </c>
      <c r="G13" s="451"/>
      <c r="H13" s="458" t="s">
        <v>584</v>
      </c>
      <c r="I13" s="459" t="s">
        <v>667</v>
      </c>
      <c r="J13" s="451"/>
      <c r="K13" s="451"/>
      <c r="L13" s="458" t="s">
        <v>585</v>
      </c>
      <c r="M13" s="460">
        <v>1800</v>
      </c>
    </row>
    <row r="14" spans="1:14" ht="14.1" customHeight="1">
      <c r="A14" s="457"/>
      <c r="B14" s="458" t="s">
        <v>586</v>
      </c>
      <c r="C14" s="459" t="s">
        <v>669</v>
      </c>
      <c r="D14" s="451"/>
      <c r="E14" s="458" t="s">
        <v>587</v>
      </c>
      <c r="F14" s="459" t="s">
        <v>668</v>
      </c>
      <c r="G14" s="451"/>
      <c r="H14" s="458" t="s">
        <v>588</v>
      </c>
      <c r="I14" s="459">
        <v>86</v>
      </c>
      <c r="J14" s="451"/>
      <c r="K14" s="451"/>
      <c r="L14" s="458" t="s">
        <v>539</v>
      </c>
      <c r="M14" s="460">
        <v>1770</v>
      </c>
    </row>
    <row r="15" spans="1:14" ht="14.1" customHeight="1">
      <c r="A15" s="457"/>
      <c r="B15" s="458" t="s">
        <v>589</v>
      </c>
      <c r="C15" s="459" t="s">
        <v>192</v>
      </c>
      <c r="D15" s="451"/>
      <c r="E15" s="458" t="s">
        <v>590</v>
      </c>
      <c r="F15" s="463" t="s">
        <v>672</v>
      </c>
      <c r="G15" s="451"/>
      <c r="H15" s="461" t="s">
        <v>591</v>
      </c>
      <c r="I15" s="459" t="s">
        <v>174</v>
      </c>
      <c r="J15" s="451"/>
      <c r="K15" s="451"/>
      <c r="L15" s="458" t="s">
        <v>592</v>
      </c>
      <c r="M15" s="460" t="s">
        <v>350</v>
      </c>
    </row>
    <row r="16" spans="1:14" ht="14.1" customHeight="1">
      <c r="A16" s="457"/>
      <c r="B16" s="458" t="s">
        <v>593</v>
      </c>
      <c r="C16" s="459" t="s">
        <v>666</v>
      </c>
      <c r="D16" s="451"/>
      <c r="E16" s="458" t="s">
        <v>594</v>
      </c>
      <c r="F16" s="459" t="s">
        <v>412</v>
      </c>
      <c r="G16" s="451"/>
      <c r="H16" s="462" t="s">
        <v>595</v>
      </c>
      <c r="I16" s="463" t="s">
        <v>350</v>
      </c>
      <c r="J16" s="451"/>
      <c r="K16" s="451"/>
      <c r="L16" s="458" t="s">
        <v>596</v>
      </c>
      <c r="M16" s="460" t="s">
        <v>597</v>
      </c>
    </row>
    <row r="17" spans="1:30" ht="14.1" customHeight="1">
      <c r="A17" s="457"/>
      <c r="B17" s="458" t="s">
        <v>598</v>
      </c>
      <c r="C17" s="464" t="s">
        <v>673</v>
      </c>
      <c r="D17" s="451"/>
      <c r="E17" s="458"/>
      <c r="F17" s="465"/>
      <c r="G17" s="451"/>
      <c r="H17" s="458" t="s">
        <v>599</v>
      </c>
      <c r="I17" s="463" t="s">
        <v>174</v>
      </c>
      <c r="J17" s="451"/>
      <c r="K17" s="451"/>
      <c r="L17" s="458"/>
      <c r="M17" s="466"/>
    </row>
    <row r="18" spans="1:30" ht="14.1" customHeight="1" thickBot="1">
      <c r="A18" s="467"/>
      <c r="B18" s="468" t="s">
        <v>600</v>
      </c>
      <c r="C18" s="469">
        <v>93.6</v>
      </c>
      <c r="D18" s="470"/>
      <c r="E18" s="471" t="s">
        <v>601</v>
      </c>
      <c r="F18" s="469" t="s">
        <v>174</v>
      </c>
      <c r="G18" s="472"/>
      <c r="H18" s="471" t="s">
        <v>602</v>
      </c>
      <c r="I18" s="469">
        <v>93</v>
      </c>
      <c r="J18" s="470"/>
      <c r="K18" s="470"/>
      <c r="L18" s="470"/>
      <c r="M18" s="473"/>
    </row>
    <row r="19" spans="1:30" ht="15.75" customHeight="1">
      <c r="A19" s="546"/>
      <c r="B19" s="546"/>
      <c r="C19" s="547"/>
      <c r="D19" s="547"/>
      <c r="E19" s="547"/>
      <c r="F19" s="547"/>
      <c r="G19" s="547"/>
      <c r="H19" s="547"/>
      <c r="I19" s="547"/>
      <c r="J19" s="547"/>
      <c r="K19" s="547"/>
      <c r="L19" s="547"/>
      <c r="M19" s="547"/>
      <c r="N19" s="546"/>
    </row>
    <row r="20" spans="1:30" ht="15.75" customHeight="1" thickBot="1">
      <c r="A20" s="548"/>
      <c r="B20" s="548"/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</row>
    <row r="21" spans="1:30" ht="15.75" customHeight="1">
      <c r="A21" s="776" t="s">
        <v>682</v>
      </c>
      <c r="B21" s="777"/>
      <c r="C21" s="777"/>
      <c r="D21" s="777"/>
      <c r="E21" s="777"/>
      <c r="F21" s="778" t="s">
        <v>741</v>
      </c>
      <c r="G21" s="778"/>
      <c r="H21" s="778"/>
      <c r="I21" s="779"/>
      <c r="J21" s="549"/>
      <c r="K21" s="549"/>
      <c r="L21" s="549"/>
      <c r="M21" s="549"/>
    </row>
    <row r="22" spans="1:30" ht="15.75" customHeight="1">
      <c r="A22" s="780" t="s">
        <v>683</v>
      </c>
      <c r="B22" s="781"/>
      <c r="C22" s="781"/>
      <c r="D22" s="781"/>
      <c r="E22" s="781"/>
      <c r="F22" s="766" t="s">
        <v>742</v>
      </c>
      <c r="G22" s="766"/>
      <c r="H22" s="766"/>
      <c r="I22" s="767"/>
      <c r="J22" s="550"/>
      <c r="K22" s="551"/>
      <c r="L22" s="551"/>
      <c r="M22" s="551"/>
    </row>
    <row r="23" spans="1:30" ht="15.75" customHeight="1">
      <c r="A23" s="780" t="s">
        <v>684</v>
      </c>
      <c r="B23" s="781"/>
      <c r="C23" s="781"/>
      <c r="D23" s="781"/>
      <c r="E23" s="781"/>
      <c r="F23" s="766" t="s">
        <v>743</v>
      </c>
      <c r="G23" s="766"/>
      <c r="H23" s="766"/>
      <c r="I23" s="767"/>
      <c r="J23" s="552"/>
      <c r="K23" s="553"/>
      <c r="L23" s="553"/>
      <c r="M23" s="553"/>
    </row>
    <row r="24" spans="1:30" ht="15.75" customHeight="1">
      <c r="A24" s="554"/>
      <c r="B24" s="555"/>
      <c r="C24" s="555"/>
      <c r="D24" s="556"/>
      <c r="E24" s="556"/>
      <c r="F24" s="557"/>
      <c r="G24" s="558"/>
      <c r="H24" s="558"/>
      <c r="I24" s="559"/>
      <c r="J24" s="560"/>
      <c r="K24" s="561"/>
      <c r="L24" s="561"/>
      <c r="M24" s="560"/>
      <c r="N24" s="546"/>
    </row>
    <row r="25" spans="1:30" ht="15.75" customHeight="1">
      <c r="A25" s="782" t="s">
        <v>685</v>
      </c>
      <c r="B25" s="783"/>
      <c r="C25" s="783"/>
      <c r="D25" s="783"/>
      <c r="E25" s="783"/>
      <c r="F25" s="766" t="s">
        <v>744</v>
      </c>
      <c r="G25" s="766"/>
      <c r="H25" s="766"/>
      <c r="I25" s="767"/>
      <c r="J25" s="562"/>
      <c r="K25" s="562"/>
      <c r="L25" s="562"/>
      <c r="M25" s="563"/>
      <c r="N25" s="564"/>
      <c r="O25" s="565"/>
      <c r="P25" s="565"/>
      <c r="Q25" s="784"/>
      <c r="R25" s="784"/>
      <c r="S25" s="784"/>
      <c r="T25" s="784"/>
      <c r="U25" s="784"/>
      <c r="V25" s="784"/>
      <c r="W25" s="565"/>
    </row>
    <row r="26" spans="1:30" ht="15.75" customHeight="1">
      <c r="A26" s="764" t="s">
        <v>686</v>
      </c>
      <c r="B26" s="765"/>
      <c r="C26" s="765"/>
      <c r="D26" s="765"/>
      <c r="E26" s="765"/>
      <c r="F26" s="766" t="s">
        <v>745</v>
      </c>
      <c r="G26" s="766"/>
      <c r="H26" s="766"/>
      <c r="I26" s="767"/>
      <c r="J26" s="566"/>
      <c r="K26" s="566"/>
      <c r="L26" s="566"/>
      <c r="M26" s="563"/>
      <c r="N26" s="564"/>
      <c r="O26" s="565"/>
      <c r="P26" s="565"/>
      <c r="Q26" s="567"/>
      <c r="R26" s="568"/>
      <c r="S26" s="568"/>
      <c r="T26" s="567"/>
      <c r="U26" s="569"/>
      <c r="V26" s="568"/>
      <c r="W26" s="565"/>
    </row>
    <row r="27" spans="1:30" ht="15.75" customHeight="1">
      <c r="A27" s="764" t="s">
        <v>687</v>
      </c>
      <c r="B27" s="765"/>
      <c r="C27" s="765"/>
      <c r="D27" s="765"/>
      <c r="E27" s="765"/>
      <c r="F27" s="766" t="s">
        <v>746</v>
      </c>
      <c r="G27" s="766"/>
      <c r="H27" s="766"/>
      <c r="I27" s="767"/>
      <c r="J27" s="566"/>
      <c r="K27" s="570"/>
      <c r="L27" s="570"/>
      <c r="M27" s="563"/>
      <c r="N27" s="564"/>
      <c r="O27" s="565"/>
      <c r="P27" s="565"/>
      <c r="Q27" s="567"/>
      <c r="R27" s="568"/>
      <c r="S27" s="568"/>
      <c r="T27" s="567"/>
      <c r="U27" s="568"/>
      <c r="V27" s="568"/>
      <c r="W27" s="565"/>
    </row>
    <row r="28" spans="1:30" ht="15.75" customHeight="1">
      <c r="A28" s="554"/>
      <c r="B28" s="555"/>
      <c r="C28" s="555"/>
      <c r="D28" s="571"/>
      <c r="E28" s="571"/>
      <c r="F28" s="572"/>
      <c r="G28" s="573"/>
      <c r="H28" s="573"/>
      <c r="I28" s="559"/>
      <c r="J28" s="570"/>
      <c r="K28" s="570"/>
      <c r="L28" s="549"/>
      <c r="M28" s="549"/>
      <c r="N28" s="564"/>
      <c r="O28" s="565"/>
      <c r="P28" s="565"/>
      <c r="Q28" s="574"/>
      <c r="R28" s="574"/>
      <c r="S28" s="574"/>
      <c r="T28" s="574"/>
      <c r="U28" s="574"/>
      <c r="V28" s="574"/>
      <c r="W28" s="565"/>
    </row>
    <row r="29" spans="1:30" ht="15.75" customHeight="1">
      <c r="A29" s="785" t="s">
        <v>688</v>
      </c>
      <c r="B29" s="786"/>
      <c r="C29" s="786"/>
      <c r="D29" s="786"/>
      <c r="E29" s="786"/>
      <c r="F29" s="766" t="s">
        <v>747</v>
      </c>
      <c r="G29" s="766"/>
      <c r="H29" s="766"/>
      <c r="I29" s="767"/>
      <c r="J29" s="563"/>
      <c r="K29" s="563"/>
      <c r="L29" s="563"/>
      <c r="M29" s="552"/>
      <c r="N29" s="564"/>
      <c r="O29" s="565"/>
      <c r="P29" s="565"/>
      <c r="Q29" s="575"/>
      <c r="R29" s="575"/>
      <c r="S29" s="575"/>
      <c r="T29" s="575"/>
      <c r="U29" s="575"/>
      <c r="V29" s="576"/>
      <c r="W29" s="565"/>
    </row>
    <row r="30" spans="1:30" ht="15.75" customHeight="1">
      <c r="A30" s="554"/>
      <c r="B30" s="555"/>
      <c r="C30" s="555"/>
      <c r="D30" s="555"/>
      <c r="E30" s="555"/>
      <c r="F30" s="577"/>
      <c r="G30" s="578"/>
      <c r="H30" s="578"/>
      <c r="I30" s="579"/>
      <c r="J30" s="562"/>
      <c r="K30" s="562"/>
      <c r="L30" s="562"/>
      <c r="M30" s="560"/>
      <c r="N30" s="564"/>
      <c r="O30" s="565"/>
      <c r="P30" s="565"/>
      <c r="Q30" s="565"/>
      <c r="R30" s="565"/>
      <c r="S30" s="565"/>
      <c r="T30" s="565"/>
      <c r="U30" s="565"/>
      <c r="V30" s="565"/>
      <c r="W30" s="565"/>
    </row>
    <row r="31" spans="1:30" ht="15.75" customHeight="1">
      <c r="A31" s="785" t="s">
        <v>689</v>
      </c>
      <c r="B31" s="786"/>
      <c r="C31" s="786"/>
      <c r="D31" s="786"/>
      <c r="E31" s="786"/>
      <c r="F31" s="766" t="s">
        <v>748</v>
      </c>
      <c r="G31" s="766"/>
      <c r="H31" s="766"/>
      <c r="I31" s="767"/>
      <c r="J31" s="563"/>
      <c r="K31" s="563"/>
      <c r="L31" s="563"/>
      <c r="M31" s="560"/>
      <c r="N31" s="564"/>
      <c r="O31" s="565"/>
      <c r="P31" s="565"/>
      <c r="Q31" s="565"/>
      <c r="R31" s="565"/>
      <c r="S31" s="565"/>
      <c r="T31" s="565"/>
      <c r="U31" s="565"/>
      <c r="V31" s="565"/>
      <c r="W31" s="565"/>
    </row>
    <row r="32" spans="1:30" ht="15.75" customHeight="1">
      <c r="A32" s="785" t="s">
        <v>690</v>
      </c>
      <c r="B32" s="786"/>
      <c r="C32" s="786"/>
      <c r="D32" s="786"/>
      <c r="E32" s="786"/>
      <c r="F32" s="766" t="s">
        <v>749</v>
      </c>
      <c r="G32" s="766"/>
      <c r="H32" s="766"/>
      <c r="I32" s="767"/>
      <c r="J32" s="563"/>
      <c r="K32" s="563"/>
      <c r="L32" s="563"/>
      <c r="M32" s="560"/>
      <c r="N32" s="564"/>
      <c r="O32" s="565"/>
      <c r="P32" s="565"/>
      <c r="Q32" s="565"/>
      <c r="R32" s="565"/>
      <c r="S32" s="565"/>
      <c r="T32" s="565"/>
      <c r="U32" s="565"/>
      <c r="V32" s="565"/>
      <c r="W32" s="565"/>
      <c r="X32" s="565"/>
      <c r="Y32" s="565"/>
      <c r="Z32" s="565"/>
      <c r="AA32" s="565"/>
      <c r="AB32" s="565"/>
      <c r="AC32" s="565"/>
      <c r="AD32" s="565"/>
    </row>
    <row r="33" spans="1:30" ht="15.75" customHeight="1">
      <c r="A33" s="785" t="s">
        <v>691</v>
      </c>
      <c r="B33" s="786"/>
      <c r="C33" s="786"/>
      <c r="D33" s="786"/>
      <c r="E33" s="786"/>
      <c r="F33" s="788">
        <v>2.33</v>
      </c>
      <c r="G33" s="788"/>
      <c r="H33" s="788"/>
      <c r="I33" s="789"/>
      <c r="J33" s="560"/>
      <c r="K33" s="560"/>
      <c r="L33" s="560"/>
      <c r="M33" s="560"/>
      <c r="N33" s="564"/>
      <c r="O33" s="565"/>
      <c r="P33" s="565"/>
      <c r="Q33" s="565"/>
      <c r="R33" s="565"/>
      <c r="S33" s="565"/>
      <c r="T33" s="565"/>
      <c r="U33" s="565"/>
      <c r="V33" s="565"/>
      <c r="W33" s="565"/>
      <c r="X33" s="565"/>
      <c r="Y33" s="565"/>
      <c r="Z33" s="565"/>
      <c r="AA33" s="565"/>
      <c r="AB33" s="565"/>
      <c r="AC33" s="565"/>
      <c r="AD33" s="565"/>
    </row>
    <row r="34" spans="1:30" ht="15.75" customHeight="1">
      <c r="A34" s="785" t="s">
        <v>692</v>
      </c>
      <c r="B34" s="786"/>
      <c r="C34" s="786"/>
      <c r="D34" s="786"/>
      <c r="E34" s="786"/>
      <c r="F34" s="788">
        <v>9.1000000000000004E-3</v>
      </c>
      <c r="G34" s="788"/>
      <c r="H34" s="788"/>
      <c r="I34" s="789"/>
      <c r="J34" s="580"/>
      <c r="K34" s="580"/>
      <c r="L34" s="580"/>
      <c r="M34" s="560"/>
      <c r="N34" s="564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Y34" s="565"/>
      <c r="Z34" s="565"/>
      <c r="AA34" s="565"/>
      <c r="AB34" s="565"/>
      <c r="AC34" s="565"/>
      <c r="AD34" s="565"/>
    </row>
    <row r="35" spans="1:30" ht="15.75" customHeight="1" thickBot="1">
      <c r="A35" s="790" t="s">
        <v>693</v>
      </c>
      <c r="B35" s="791"/>
      <c r="C35" s="791"/>
      <c r="D35" s="791"/>
      <c r="E35" s="791"/>
      <c r="F35" s="792">
        <v>0.96399999999999997</v>
      </c>
      <c r="G35" s="792"/>
      <c r="H35" s="792"/>
      <c r="I35" s="793"/>
      <c r="J35" s="580"/>
      <c r="K35" s="580"/>
      <c r="L35" s="580"/>
      <c r="M35" s="560"/>
      <c r="N35" s="564"/>
      <c r="T35" s="581"/>
      <c r="U35" s="568"/>
      <c r="V35" s="568"/>
      <c r="W35" s="568"/>
      <c r="X35" s="568"/>
      <c r="Y35" s="568"/>
      <c r="Z35" s="582"/>
      <c r="AA35" s="583"/>
      <c r="AB35" s="569"/>
      <c r="AC35" s="565"/>
      <c r="AD35" s="565"/>
    </row>
    <row r="36" spans="1:30" ht="15.75" customHeight="1">
      <c r="A36" s="584"/>
      <c r="B36" s="580"/>
      <c r="C36" s="580"/>
      <c r="D36" s="580"/>
      <c r="E36" s="570"/>
      <c r="F36" s="570"/>
      <c r="G36" s="570"/>
      <c r="H36" s="563"/>
      <c r="I36" s="563"/>
      <c r="J36" s="580"/>
      <c r="K36" s="580"/>
      <c r="L36" s="580"/>
      <c r="M36" s="560"/>
      <c r="N36" s="564"/>
      <c r="T36" s="567"/>
      <c r="U36" s="568"/>
      <c r="V36" s="568"/>
      <c r="W36" s="567"/>
      <c r="X36" s="569"/>
      <c r="Y36" s="568"/>
      <c r="Z36" s="794"/>
      <c r="AA36" s="794"/>
      <c r="AB36" s="795"/>
      <c r="AC36" s="565"/>
      <c r="AD36" s="565"/>
    </row>
    <row r="37" spans="1:30" ht="15.75" customHeight="1">
      <c r="A37" s="584"/>
      <c r="B37" s="580"/>
      <c r="C37" s="580"/>
      <c r="D37" s="580"/>
      <c r="E37" s="585"/>
      <c r="F37" s="585"/>
      <c r="G37" s="585"/>
      <c r="H37" s="552"/>
      <c r="I37" s="552"/>
      <c r="J37" s="580"/>
      <c r="K37" s="580"/>
      <c r="L37" s="580"/>
      <c r="M37" s="560"/>
      <c r="N37" s="564"/>
      <c r="T37" s="567"/>
      <c r="U37" s="568"/>
      <c r="V37" s="568"/>
      <c r="W37" s="567"/>
      <c r="X37" s="568"/>
      <c r="Y37" s="568"/>
      <c r="Z37" s="794"/>
      <c r="AA37" s="794"/>
      <c r="AB37" s="795"/>
      <c r="AC37" s="565"/>
      <c r="AD37" s="565"/>
    </row>
    <row r="38" spans="1:30" ht="15.75" customHeight="1">
      <c r="A38" s="584"/>
      <c r="B38" s="560"/>
      <c r="C38" s="560"/>
      <c r="D38" s="586"/>
      <c r="E38" s="585"/>
      <c r="F38" s="585"/>
      <c r="G38" s="585"/>
      <c r="H38" s="552"/>
      <c r="I38" s="552"/>
      <c r="J38" s="560"/>
      <c r="K38" s="560"/>
      <c r="L38" s="560"/>
      <c r="M38" s="560"/>
      <c r="N38" s="564"/>
      <c r="T38" s="574"/>
      <c r="U38" s="574"/>
      <c r="V38" s="574"/>
      <c r="W38" s="574"/>
      <c r="X38" s="574"/>
      <c r="Y38" s="574"/>
      <c r="Z38" s="787"/>
      <c r="AA38" s="787"/>
      <c r="AB38" s="587"/>
      <c r="AC38" s="565"/>
      <c r="AD38" s="565"/>
    </row>
    <row r="39" spans="1:30" ht="15.75" customHeight="1">
      <c r="A39" s="546"/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88"/>
      <c r="O39" s="565"/>
      <c r="P39" s="565"/>
      <c r="Q39" s="565"/>
      <c r="R39" s="565"/>
      <c r="S39" s="565"/>
      <c r="T39" s="565"/>
      <c r="U39" s="565"/>
      <c r="V39" s="565"/>
      <c r="W39" s="565"/>
    </row>
    <row r="40" spans="1:30" ht="15.75" customHeight="1">
      <c r="A40" s="589"/>
      <c r="B40" s="590"/>
      <c r="C40" s="591"/>
      <c r="D40" s="592"/>
      <c r="E40" s="546"/>
      <c r="F40" s="546"/>
      <c r="G40" s="546"/>
      <c r="H40" s="547"/>
      <c r="I40" s="593" t="s">
        <v>623</v>
      </c>
      <c r="J40" s="594" t="s">
        <v>675</v>
      </c>
      <c r="K40" s="594"/>
      <c r="L40" s="594"/>
      <c r="M40" s="594"/>
      <c r="N40" s="564"/>
      <c r="O40" s="565"/>
      <c r="P40" s="565"/>
      <c r="Q40" s="565"/>
      <c r="R40" s="565"/>
      <c r="S40" s="565"/>
      <c r="T40" s="565"/>
      <c r="U40" s="565"/>
      <c r="V40" s="565"/>
      <c r="W40" s="565"/>
    </row>
    <row r="41" spans="1:30" ht="15.75" customHeight="1">
      <c r="A41" s="546"/>
      <c r="B41" s="546"/>
      <c r="C41" s="546"/>
      <c r="D41" s="546"/>
      <c r="E41" s="546"/>
      <c r="F41" s="546"/>
      <c r="G41" s="546"/>
      <c r="H41" s="546"/>
      <c r="I41" s="546"/>
      <c r="J41" s="547"/>
      <c r="K41" s="547"/>
      <c r="L41" s="547"/>
      <c r="M41" s="547"/>
      <c r="N41" s="565"/>
      <c r="O41" s="565"/>
      <c r="P41" s="565"/>
      <c r="Q41" s="565"/>
      <c r="R41" s="565"/>
      <c r="S41" s="565"/>
      <c r="T41" s="565"/>
      <c r="U41" s="565"/>
      <c r="V41" s="565"/>
      <c r="W41" s="565"/>
    </row>
    <row r="42" spans="1:30" ht="15.75" customHeight="1">
      <c r="A42" s="546"/>
      <c r="B42" s="546"/>
      <c r="C42" s="546"/>
      <c r="D42" s="546"/>
      <c r="E42" s="546"/>
      <c r="F42" s="546"/>
      <c r="G42" s="546"/>
      <c r="H42" s="547"/>
      <c r="I42" s="593" t="s">
        <v>624</v>
      </c>
      <c r="J42" s="595">
        <v>44046</v>
      </c>
      <c r="K42" s="595"/>
      <c r="L42" s="595"/>
      <c r="M42" s="595"/>
    </row>
    <row r="43" spans="1:30" ht="15.95" customHeight="1"/>
  </sheetData>
  <mergeCells count="32">
    <mergeCell ref="AB36:AB37"/>
    <mergeCell ref="Z37:AA37"/>
    <mergeCell ref="A31:E31"/>
    <mergeCell ref="F31:I31"/>
    <mergeCell ref="Z38:AA38"/>
    <mergeCell ref="A32:E32"/>
    <mergeCell ref="F32:I32"/>
    <mergeCell ref="A33:E33"/>
    <mergeCell ref="F33:I33"/>
    <mergeCell ref="A34:E34"/>
    <mergeCell ref="F34:I34"/>
    <mergeCell ref="A35:E35"/>
    <mergeCell ref="F35:I35"/>
    <mergeCell ref="Z36:AA36"/>
    <mergeCell ref="Q25:V25"/>
    <mergeCell ref="A27:E27"/>
    <mergeCell ref="F27:I27"/>
    <mergeCell ref="A29:E29"/>
    <mergeCell ref="F29:I29"/>
    <mergeCell ref="A26:E26"/>
    <mergeCell ref="F26:I26"/>
    <mergeCell ref="L3:M3"/>
    <mergeCell ref="A4:I4"/>
    <mergeCell ref="A5:I5"/>
    <mergeCell ref="A21:E21"/>
    <mergeCell ref="F21:I21"/>
    <mergeCell ref="A22:E22"/>
    <mergeCell ref="F22:I22"/>
    <mergeCell ref="A23:E23"/>
    <mergeCell ref="F23:I23"/>
    <mergeCell ref="A25:E25"/>
    <mergeCell ref="F25:I25"/>
  </mergeCells>
  <printOptions horizontalCentered="1" gridLinesSet="0"/>
  <pageMargins left="0.5" right="0.5" top="0.5" bottom="0.5" header="0.5" footer="0.5"/>
  <pageSetup scale="94" orientation="portrait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4" transitionEvaluation="1"/>
  <dimension ref="A1:U54"/>
  <sheetViews>
    <sheetView showGridLines="0" topLeftCell="A14" zoomScale="75" zoomScaleNormal="75" workbookViewId="0">
      <selection activeCell="K51" sqref="K51"/>
    </sheetView>
  </sheetViews>
  <sheetFormatPr defaultColWidth="12.5703125" defaultRowHeight="15.75"/>
  <cols>
    <col min="1" max="3" width="7" style="601" customWidth="1"/>
    <col min="4" max="4" width="8.28515625" style="601" customWidth="1"/>
    <col min="5" max="5" width="7" style="601" customWidth="1"/>
    <col min="6" max="6" width="7.5703125" style="601" customWidth="1"/>
    <col min="7" max="13" width="7" style="601" customWidth="1"/>
    <col min="14" max="14" width="7.140625" style="601" customWidth="1"/>
    <col min="15" max="16384" width="12.5703125" style="601"/>
  </cols>
  <sheetData>
    <row r="1" spans="1:14" ht="17.100000000000001" customHeight="1">
      <c r="A1" s="596" t="s">
        <v>266</v>
      </c>
      <c r="B1" s="597"/>
      <c r="C1" s="597"/>
      <c r="D1" s="597"/>
      <c r="E1" s="597"/>
      <c r="F1" s="597"/>
      <c r="G1" s="597"/>
      <c r="H1" s="597"/>
      <c r="I1" s="597"/>
      <c r="J1" s="598" t="s">
        <v>563</v>
      </c>
      <c r="K1" s="599"/>
      <c r="L1" s="799" t="s">
        <v>694</v>
      </c>
      <c r="M1" s="800"/>
      <c r="N1" s="600"/>
    </row>
    <row r="2" spans="1:14" ht="17.100000000000001" customHeight="1">
      <c r="A2" s="602" t="s">
        <v>565</v>
      </c>
      <c r="B2" s="603"/>
      <c r="C2" s="603"/>
      <c r="D2" s="603"/>
      <c r="E2" s="603"/>
      <c r="F2" s="603"/>
      <c r="G2" s="603"/>
      <c r="H2" s="603"/>
      <c r="I2" s="603"/>
      <c r="J2" s="604" t="s">
        <v>566</v>
      </c>
      <c r="K2" s="605"/>
      <c r="L2" s="606" t="s">
        <v>567</v>
      </c>
      <c r="M2" s="607"/>
      <c r="N2" s="600"/>
    </row>
    <row r="3" spans="1:14" ht="15.95" customHeight="1">
      <c r="A3" s="608"/>
      <c r="B3" s="609"/>
      <c r="C3" s="609"/>
      <c r="D3" s="609"/>
      <c r="E3" s="609"/>
      <c r="F3" s="609"/>
      <c r="G3" s="609"/>
      <c r="H3" s="609"/>
      <c r="I3" s="609"/>
      <c r="J3" s="604" t="s">
        <v>568</v>
      </c>
      <c r="K3" s="605"/>
      <c r="L3" s="801" t="s">
        <v>695</v>
      </c>
      <c r="M3" s="802"/>
      <c r="N3" s="600"/>
    </row>
    <row r="4" spans="1:14" ht="15.95" customHeight="1">
      <c r="A4" s="610"/>
      <c r="B4" s="609"/>
      <c r="C4" s="609"/>
      <c r="D4" s="609"/>
      <c r="E4" s="609"/>
      <c r="F4" s="609"/>
      <c r="G4" s="609"/>
      <c r="H4" s="609"/>
      <c r="I4" s="609"/>
      <c r="J4" s="604" t="s">
        <v>570</v>
      </c>
      <c r="K4" s="605"/>
      <c r="L4" s="803" t="s">
        <v>678</v>
      </c>
      <c r="M4" s="804"/>
      <c r="N4" s="600"/>
    </row>
    <row r="5" spans="1:14" ht="15.95" customHeight="1">
      <c r="A5" s="608"/>
      <c r="B5" s="609"/>
      <c r="C5" s="609"/>
      <c r="D5" s="609"/>
      <c r="E5" s="609"/>
      <c r="F5" s="609"/>
      <c r="G5" s="609"/>
      <c r="H5" s="609"/>
      <c r="I5" s="609"/>
      <c r="J5" s="604" t="s">
        <v>572</v>
      </c>
      <c r="K5" s="605"/>
      <c r="L5" s="803">
        <v>0</v>
      </c>
      <c r="M5" s="805"/>
      <c r="N5" s="600"/>
    </row>
    <row r="6" spans="1:14" ht="15.95" customHeight="1">
      <c r="A6" s="611" t="s">
        <v>573</v>
      </c>
      <c r="B6" s="609"/>
      <c r="C6" s="609"/>
      <c r="D6" s="609"/>
      <c r="E6" s="609"/>
      <c r="F6" s="609"/>
      <c r="G6" s="609"/>
      <c r="H6" s="609"/>
      <c r="I6" s="609"/>
      <c r="J6" s="604" t="s">
        <v>574</v>
      </c>
      <c r="K6" s="605"/>
      <c r="L6" s="806" t="s">
        <v>696</v>
      </c>
      <c r="M6" s="807"/>
      <c r="N6" s="600"/>
    </row>
    <row r="7" spans="1:14" ht="15.95" customHeight="1" thickBot="1">
      <c r="A7" s="612" t="s">
        <v>697</v>
      </c>
      <c r="B7" s="613"/>
      <c r="C7" s="613"/>
      <c r="D7" s="613"/>
      <c r="E7" s="613"/>
      <c r="F7" s="613"/>
      <c r="G7" s="613"/>
      <c r="H7" s="613"/>
      <c r="I7" s="613"/>
      <c r="J7" s="614" t="s">
        <v>577</v>
      </c>
      <c r="K7" s="615"/>
      <c r="L7" s="808" t="s">
        <v>698</v>
      </c>
      <c r="M7" s="809"/>
      <c r="N7" s="600"/>
    </row>
    <row r="8" spans="1:14" ht="6.75" customHeight="1">
      <c r="A8" s="442"/>
      <c r="B8" s="430"/>
      <c r="C8" s="430"/>
      <c r="D8" s="430"/>
      <c r="E8" s="430"/>
      <c r="F8" s="430"/>
      <c r="G8" s="430"/>
      <c r="H8" s="430"/>
      <c r="I8" s="430"/>
      <c r="J8" s="430"/>
      <c r="K8" s="443"/>
      <c r="L8" s="444"/>
      <c r="M8" s="445"/>
      <c r="N8" s="609"/>
    </row>
    <row r="9" spans="1:14" ht="12" customHeight="1">
      <c r="A9" s="446"/>
      <c r="B9" s="447" t="s">
        <v>579</v>
      </c>
      <c r="C9" s="448" t="s">
        <v>670</v>
      </c>
      <c r="D9" s="449"/>
      <c r="E9" s="449"/>
      <c r="F9" s="449"/>
      <c r="G9" s="449"/>
      <c r="H9" s="449"/>
      <c r="I9" s="449"/>
      <c r="J9" s="449"/>
      <c r="K9" s="450"/>
      <c r="L9" s="451"/>
      <c r="M9" s="449"/>
      <c r="N9" s="609"/>
    </row>
    <row r="10" spans="1:14" ht="12" customHeight="1">
      <c r="A10" s="446"/>
      <c r="B10" s="447" t="s">
        <v>580</v>
      </c>
      <c r="C10" s="452" t="s">
        <v>671</v>
      </c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616"/>
    </row>
    <row r="11" spans="1:14" ht="6.75" customHeight="1" thickBot="1">
      <c r="A11" s="453"/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617"/>
    </row>
    <row r="12" spans="1:14" ht="20.100000000000001" customHeight="1" thickBot="1">
      <c r="A12" s="454" t="s">
        <v>581</v>
      </c>
      <c r="B12" s="455"/>
      <c r="C12" s="455"/>
      <c r="D12" s="455"/>
      <c r="E12" s="455"/>
      <c r="F12" s="455"/>
      <c r="G12" s="455"/>
      <c r="H12" s="455"/>
      <c r="I12" s="455"/>
      <c r="J12" s="455"/>
      <c r="K12" s="455"/>
      <c r="L12" s="455"/>
      <c r="M12" s="456"/>
      <c r="N12" s="600"/>
    </row>
    <row r="13" spans="1:14" ht="12.95" customHeight="1" thickTop="1">
      <c r="A13" s="457"/>
      <c r="B13" s="458" t="s">
        <v>582</v>
      </c>
      <c r="C13" s="459">
        <v>700</v>
      </c>
      <c r="D13" s="451"/>
      <c r="E13" s="458" t="s">
        <v>583</v>
      </c>
      <c r="F13" s="459">
        <v>4000</v>
      </c>
      <c r="G13" s="451"/>
      <c r="H13" s="458" t="s">
        <v>584</v>
      </c>
      <c r="I13" s="459" t="s">
        <v>667</v>
      </c>
      <c r="J13" s="451"/>
      <c r="K13" s="451"/>
      <c r="L13" s="458" t="s">
        <v>585</v>
      </c>
      <c r="M13" s="460">
        <v>1800</v>
      </c>
      <c r="N13" s="600"/>
    </row>
    <row r="14" spans="1:14" ht="12.95" customHeight="1">
      <c r="A14" s="457"/>
      <c r="B14" s="458" t="s">
        <v>586</v>
      </c>
      <c r="C14" s="459" t="s">
        <v>669</v>
      </c>
      <c r="D14" s="451"/>
      <c r="E14" s="458" t="s">
        <v>587</v>
      </c>
      <c r="F14" s="459" t="s">
        <v>668</v>
      </c>
      <c r="G14" s="451"/>
      <c r="H14" s="458" t="s">
        <v>588</v>
      </c>
      <c r="I14" s="459">
        <v>86</v>
      </c>
      <c r="J14" s="451"/>
      <c r="K14" s="451"/>
      <c r="L14" s="458" t="s">
        <v>539</v>
      </c>
      <c r="M14" s="460">
        <v>1770</v>
      </c>
      <c r="N14" s="600"/>
    </row>
    <row r="15" spans="1:14" ht="12.95" customHeight="1">
      <c r="A15" s="457"/>
      <c r="B15" s="458" t="s">
        <v>589</v>
      </c>
      <c r="C15" s="459" t="s">
        <v>192</v>
      </c>
      <c r="D15" s="451"/>
      <c r="E15" s="458" t="s">
        <v>590</v>
      </c>
      <c r="F15" s="463" t="s">
        <v>672</v>
      </c>
      <c r="G15" s="451"/>
      <c r="H15" s="461" t="s">
        <v>591</v>
      </c>
      <c r="I15" s="459" t="s">
        <v>174</v>
      </c>
      <c r="J15" s="451"/>
      <c r="K15" s="451"/>
      <c r="L15" s="458" t="s">
        <v>592</v>
      </c>
      <c r="M15" s="460" t="s">
        <v>350</v>
      </c>
      <c r="N15" s="600"/>
    </row>
    <row r="16" spans="1:14" ht="12.95" customHeight="1">
      <c r="A16" s="457"/>
      <c r="B16" s="458" t="s">
        <v>593</v>
      </c>
      <c r="C16" s="459" t="s">
        <v>666</v>
      </c>
      <c r="D16" s="451"/>
      <c r="E16" s="458" t="s">
        <v>594</v>
      </c>
      <c r="F16" s="459" t="s">
        <v>412</v>
      </c>
      <c r="G16" s="451"/>
      <c r="H16" s="462" t="s">
        <v>595</v>
      </c>
      <c r="I16" s="463" t="s">
        <v>350</v>
      </c>
      <c r="J16" s="451"/>
      <c r="K16" s="451"/>
      <c r="L16" s="458" t="s">
        <v>596</v>
      </c>
      <c r="M16" s="460" t="s">
        <v>597</v>
      </c>
      <c r="N16" s="600"/>
    </row>
    <row r="17" spans="1:14" ht="12.95" customHeight="1">
      <c r="A17" s="457"/>
      <c r="B17" s="458" t="s">
        <v>598</v>
      </c>
      <c r="C17" s="464" t="s">
        <v>673</v>
      </c>
      <c r="D17" s="451"/>
      <c r="E17" s="458"/>
      <c r="F17" s="465"/>
      <c r="G17" s="451"/>
      <c r="H17" s="458" t="s">
        <v>599</v>
      </c>
      <c r="I17" s="463" t="s">
        <v>174</v>
      </c>
      <c r="J17" s="451"/>
      <c r="K17" s="451"/>
      <c r="L17" s="458"/>
      <c r="M17" s="466"/>
      <c r="N17" s="600"/>
    </row>
    <row r="18" spans="1:14" ht="12.95" customHeight="1" thickBot="1">
      <c r="A18" s="467"/>
      <c r="B18" s="468" t="s">
        <v>600</v>
      </c>
      <c r="C18" s="469">
        <v>93.6</v>
      </c>
      <c r="D18" s="470"/>
      <c r="E18" s="471" t="s">
        <v>601</v>
      </c>
      <c r="F18" s="469" t="s">
        <v>174</v>
      </c>
      <c r="G18" s="472"/>
      <c r="H18" s="471" t="s">
        <v>602</v>
      </c>
      <c r="I18" s="469">
        <v>93</v>
      </c>
      <c r="J18" s="470"/>
      <c r="K18" s="470"/>
      <c r="L18" s="470"/>
      <c r="M18" s="473"/>
      <c r="N18" s="600"/>
    </row>
    <row r="19" spans="1:14" ht="16.5" thickBot="1"/>
    <row r="20" spans="1:14" ht="16.5" thickBot="1">
      <c r="A20" s="810" t="s">
        <v>699</v>
      </c>
      <c r="B20" s="811"/>
      <c r="C20" s="811"/>
      <c r="D20" s="811"/>
      <c r="E20" s="811"/>
      <c r="F20" s="811"/>
      <c r="G20" s="811"/>
      <c r="H20" s="811"/>
      <c r="I20" s="811"/>
      <c r="J20" s="811"/>
      <c r="K20" s="811"/>
      <c r="L20" s="811"/>
      <c r="M20" s="812"/>
    </row>
    <row r="21" spans="1:14" ht="16.5" thickTop="1">
      <c r="A21" s="618"/>
      <c r="B21" s="619"/>
      <c r="C21" s="620"/>
      <c r="D21" s="621" t="s">
        <v>700</v>
      </c>
      <c r="E21" s="622" t="s">
        <v>757</v>
      </c>
      <c r="F21" s="623"/>
      <c r="G21" s="620"/>
      <c r="H21" s="620"/>
      <c r="I21" s="624" t="s">
        <v>701</v>
      </c>
      <c r="J21" s="625">
        <v>25.8</v>
      </c>
      <c r="K21" s="623"/>
      <c r="L21" s="623"/>
      <c r="M21" s="626"/>
    </row>
    <row r="22" spans="1:14" ht="16.5" thickBot="1">
      <c r="A22" s="627"/>
      <c r="B22" s="628"/>
      <c r="C22" s="628"/>
      <c r="D22" s="629" t="s">
        <v>702</v>
      </c>
      <c r="E22" s="630" t="s">
        <v>758</v>
      </c>
      <c r="F22" s="631"/>
      <c r="G22" s="628"/>
      <c r="H22" s="628"/>
      <c r="I22" s="628"/>
      <c r="J22" s="628"/>
      <c r="K22" s="628"/>
      <c r="L22" s="628"/>
      <c r="M22" s="632"/>
    </row>
    <row r="23" spans="1:14" ht="16.5" thickBot="1"/>
    <row r="24" spans="1:14" ht="16.5" thickBot="1">
      <c r="A24" s="810" t="s">
        <v>703</v>
      </c>
      <c r="B24" s="811"/>
      <c r="C24" s="811"/>
      <c r="D24" s="811"/>
      <c r="E24" s="811"/>
      <c r="F24" s="812"/>
      <c r="G24" s="633"/>
      <c r="H24" s="810" t="s">
        <v>704</v>
      </c>
      <c r="I24" s="811"/>
      <c r="J24" s="811"/>
      <c r="K24" s="811"/>
      <c r="L24" s="811"/>
      <c r="M24" s="812"/>
    </row>
    <row r="25" spans="1:14" ht="17.25" thickTop="1" thickBot="1">
      <c r="A25" s="634"/>
      <c r="B25" s="620"/>
      <c r="C25" s="624"/>
      <c r="D25" s="624"/>
      <c r="E25" s="624" t="s">
        <v>705</v>
      </c>
      <c r="F25" s="635">
        <v>2077</v>
      </c>
      <c r="G25" s="636"/>
      <c r="H25" s="620"/>
      <c r="I25" s="620"/>
      <c r="J25" s="637" t="s">
        <v>706</v>
      </c>
      <c r="K25" s="796" t="s">
        <v>352</v>
      </c>
      <c r="L25" s="797"/>
      <c r="M25" s="798"/>
    </row>
    <row r="26" spans="1:14" ht="17.25" thickTop="1" thickBot="1">
      <c r="A26" s="638"/>
      <c r="B26" s="639"/>
      <c r="C26" s="639"/>
      <c r="D26" s="640"/>
      <c r="E26" s="640" t="s">
        <v>707</v>
      </c>
      <c r="F26" s="641">
        <v>135</v>
      </c>
      <c r="G26" s="642"/>
      <c r="H26" s="639"/>
      <c r="I26" s="639"/>
      <c r="J26" s="643" t="s">
        <v>708</v>
      </c>
      <c r="K26" s="796" t="s">
        <v>352</v>
      </c>
      <c r="L26" s="797"/>
      <c r="M26" s="798"/>
    </row>
    <row r="27" spans="1:14" ht="16.5" thickTop="1">
      <c r="A27" s="638"/>
      <c r="B27" s="639"/>
      <c r="C27" s="639"/>
      <c r="D27" s="640"/>
      <c r="E27" s="640" t="s">
        <v>709</v>
      </c>
      <c r="F27" s="641">
        <v>135</v>
      </c>
      <c r="G27" s="642"/>
      <c r="H27" s="639"/>
      <c r="I27" s="639"/>
      <c r="J27" s="643" t="s">
        <v>710</v>
      </c>
      <c r="K27" s="796" t="s">
        <v>352</v>
      </c>
      <c r="L27" s="797"/>
      <c r="M27" s="798"/>
    </row>
    <row r="28" spans="1:14" ht="16.5" thickBot="1">
      <c r="A28" s="627"/>
      <c r="B28" s="628"/>
      <c r="C28" s="628"/>
      <c r="D28" s="629"/>
      <c r="E28" s="629" t="s">
        <v>711</v>
      </c>
      <c r="F28" s="644">
        <v>270</v>
      </c>
      <c r="G28" s="642"/>
      <c r="H28" s="628"/>
      <c r="I28" s="628"/>
      <c r="J28" s="645"/>
      <c r="K28" s="813"/>
      <c r="L28" s="813"/>
      <c r="M28" s="814"/>
    </row>
    <row r="29" spans="1:14" ht="16.5" thickBot="1"/>
    <row r="30" spans="1:14" ht="16.5" thickBot="1">
      <c r="A30" s="815" t="s">
        <v>712</v>
      </c>
      <c r="B30" s="816"/>
      <c r="C30" s="816"/>
      <c r="D30" s="816"/>
      <c r="E30" s="816"/>
      <c r="F30" s="816"/>
      <c r="G30" s="816"/>
      <c r="H30" s="816"/>
      <c r="I30" s="816"/>
      <c r="J30" s="816"/>
      <c r="K30" s="816"/>
      <c r="L30" s="816"/>
      <c r="M30" s="817"/>
    </row>
    <row r="31" spans="1:14" ht="16.5" thickTop="1">
      <c r="A31" s="818" t="s">
        <v>713</v>
      </c>
      <c r="B31" s="819"/>
      <c r="C31" s="819"/>
      <c r="D31" s="819"/>
      <c r="E31" s="819"/>
      <c r="F31" s="820"/>
      <c r="G31" s="646"/>
      <c r="H31" s="821" t="s">
        <v>714</v>
      </c>
      <c r="I31" s="819"/>
      <c r="J31" s="819"/>
      <c r="K31" s="819"/>
      <c r="L31" s="819"/>
      <c r="M31" s="822"/>
    </row>
    <row r="32" spans="1:14">
      <c r="A32" s="638"/>
      <c r="B32" s="647"/>
      <c r="C32" s="640" t="s">
        <v>715</v>
      </c>
      <c r="D32" s="823" t="s">
        <v>722</v>
      </c>
      <c r="E32" s="823"/>
      <c r="F32" s="824"/>
      <c r="G32" s="648"/>
      <c r="H32" s="639"/>
      <c r="I32" s="639"/>
      <c r="J32" s="640" t="s">
        <v>715</v>
      </c>
      <c r="K32" s="823" t="s">
        <v>750</v>
      </c>
      <c r="L32" s="823"/>
      <c r="M32" s="825"/>
    </row>
    <row r="33" spans="1:21">
      <c r="A33" s="638"/>
      <c r="B33" s="647"/>
      <c r="C33" s="640" t="s">
        <v>718</v>
      </c>
      <c r="D33" s="829" t="s">
        <v>716</v>
      </c>
      <c r="E33" s="829"/>
      <c r="F33" s="830"/>
      <c r="G33" s="648"/>
      <c r="H33" s="639"/>
      <c r="I33" s="639"/>
      <c r="J33" s="640" t="s">
        <v>718</v>
      </c>
      <c r="K33" s="829" t="s">
        <v>717</v>
      </c>
      <c r="L33" s="829"/>
      <c r="M33" s="831"/>
    </row>
    <row r="34" spans="1:21">
      <c r="A34" s="638"/>
      <c r="B34" s="647"/>
      <c r="C34" s="640" t="s">
        <v>720</v>
      </c>
      <c r="D34" s="829" t="s">
        <v>719</v>
      </c>
      <c r="E34" s="829"/>
      <c r="F34" s="830"/>
      <c r="G34" s="648"/>
      <c r="H34" s="639"/>
      <c r="I34" s="639"/>
      <c r="J34" s="640" t="s">
        <v>720</v>
      </c>
      <c r="K34" s="829" t="s">
        <v>751</v>
      </c>
      <c r="L34" s="829"/>
      <c r="M34" s="831"/>
    </row>
    <row r="35" spans="1:21" ht="16.5" thickBot="1">
      <c r="A35" s="627"/>
      <c r="B35" s="649"/>
      <c r="C35" s="629" t="s">
        <v>723</v>
      </c>
      <c r="D35" s="832" t="s">
        <v>721</v>
      </c>
      <c r="E35" s="832"/>
      <c r="F35" s="833"/>
      <c r="G35" s="648"/>
      <c r="H35" s="628"/>
      <c r="I35" s="628"/>
      <c r="J35" s="629" t="s">
        <v>723</v>
      </c>
      <c r="K35" s="832" t="s">
        <v>752</v>
      </c>
      <c r="L35" s="832"/>
      <c r="M35" s="834"/>
    </row>
    <row r="36" spans="1:21" ht="16.5" thickBot="1">
      <c r="P36" s="352"/>
      <c r="Q36" s="352"/>
      <c r="R36" s="352"/>
      <c r="S36" s="352"/>
      <c r="T36" s="352"/>
    </row>
    <row r="37" spans="1:21" ht="16.5" thickBot="1">
      <c r="A37" s="835" t="s">
        <v>724</v>
      </c>
      <c r="B37" s="836"/>
      <c r="C37" s="836"/>
      <c r="D37" s="836"/>
      <c r="E37" s="836"/>
      <c r="F37" s="836"/>
      <c r="G37" s="836"/>
      <c r="H37" s="836"/>
      <c r="I37" s="836"/>
      <c r="J37" s="836"/>
      <c r="K37" s="836"/>
      <c r="L37" s="836"/>
      <c r="M37" s="837"/>
      <c r="P37" s="352"/>
      <c r="Q37" s="352"/>
      <c r="R37" s="352"/>
      <c r="S37" s="352"/>
      <c r="T37" s="352"/>
      <c r="U37" s="352"/>
    </row>
    <row r="38" spans="1:21" ht="16.5" thickTop="1">
      <c r="A38" s="634"/>
      <c r="B38" s="635"/>
      <c r="C38" s="637" t="s">
        <v>725</v>
      </c>
      <c r="D38" s="838" t="s">
        <v>754</v>
      </c>
      <c r="E38" s="838"/>
      <c r="F38" s="838"/>
      <c r="G38" s="838"/>
      <c r="H38" s="620"/>
      <c r="I38" s="620"/>
      <c r="J38" s="624" t="s">
        <v>726</v>
      </c>
      <c r="K38" s="839" t="s">
        <v>753</v>
      </c>
      <c r="L38" s="839"/>
      <c r="M38" s="840"/>
      <c r="O38" s="352"/>
      <c r="P38" s="352"/>
      <c r="Q38" s="352"/>
      <c r="R38" s="352"/>
      <c r="S38" s="352"/>
      <c r="T38" s="352"/>
      <c r="U38" s="352"/>
    </row>
    <row r="39" spans="1:21" ht="16.5" thickBot="1">
      <c r="A39" s="627"/>
      <c r="B39" s="628"/>
      <c r="C39" s="644" t="s">
        <v>727</v>
      </c>
      <c r="D39" s="841" t="s">
        <v>755</v>
      </c>
      <c r="E39" s="841"/>
      <c r="F39" s="841"/>
      <c r="G39" s="841"/>
      <c r="H39" s="628"/>
      <c r="I39" s="628"/>
      <c r="J39" s="629" t="s">
        <v>728</v>
      </c>
      <c r="K39" s="842" t="s">
        <v>756</v>
      </c>
      <c r="L39" s="842"/>
      <c r="M39" s="843"/>
      <c r="O39" s="352"/>
      <c r="P39" s="352"/>
      <c r="Q39" s="352"/>
      <c r="R39" s="352"/>
      <c r="S39" s="352"/>
      <c r="T39" s="352"/>
      <c r="U39" s="352"/>
    </row>
    <row r="40" spans="1:21" ht="16.5" thickBot="1">
      <c r="A40" s="650"/>
      <c r="B40" s="650"/>
      <c r="C40" s="650"/>
      <c r="D40" s="826" t="s">
        <v>729</v>
      </c>
      <c r="E40" s="827"/>
      <c r="F40" s="827"/>
      <c r="G40" s="827"/>
      <c r="H40" s="827"/>
      <c r="I40" s="827"/>
      <c r="J40" s="828"/>
      <c r="K40" s="650"/>
      <c r="L40" s="650"/>
      <c r="M40" s="650"/>
      <c r="O40" s="352"/>
      <c r="P40" s="352"/>
      <c r="Q40" s="352"/>
      <c r="R40" s="352"/>
      <c r="S40" s="352"/>
      <c r="T40" s="352"/>
      <c r="U40" s="352"/>
    </row>
    <row r="41" spans="1:21">
      <c r="D41" s="846" t="s">
        <v>730</v>
      </c>
      <c r="E41" s="847"/>
      <c r="F41" s="848"/>
      <c r="G41" s="651" t="s">
        <v>731</v>
      </c>
      <c r="H41" s="652" t="s">
        <v>732</v>
      </c>
      <c r="I41" s="653" t="s">
        <v>733</v>
      </c>
      <c r="J41" s="654" t="s">
        <v>734</v>
      </c>
      <c r="O41" s="352"/>
      <c r="P41" s="352"/>
      <c r="Q41" s="352"/>
      <c r="R41" s="352"/>
      <c r="S41" s="352"/>
      <c r="T41" s="352"/>
      <c r="U41" s="352"/>
    </row>
    <row r="42" spans="1:21">
      <c r="D42" s="849" t="s">
        <v>735</v>
      </c>
      <c r="E42" s="850"/>
      <c r="F42" s="851"/>
      <c r="G42" s="655">
        <v>46.1</v>
      </c>
      <c r="H42" s="656">
        <v>65.5</v>
      </c>
      <c r="I42" s="656">
        <v>86</v>
      </c>
      <c r="J42" s="657" t="s">
        <v>174</v>
      </c>
      <c r="O42" s="352"/>
      <c r="P42" s="352"/>
      <c r="Q42" s="352"/>
      <c r="R42" s="352"/>
      <c r="S42" s="352"/>
      <c r="T42" s="352"/>
      <c r="U42" s="352"/>
    </row>
    <row r="43" spans="1:21">
      <c r="D43" s="849" t="s">
        <v>736</v>
      </c>
      <c r="E43" s="850"/>
      <c r="F43" s="851"/>
      <c r="G43" s="655">
        <v>93.9</v>
      </c>
      <c r="H43" s="656">
        <v>94.1</v>
      </c>
      <c r="I43" s="656">
        <v>93.9</v>
      </c>
      <c r="J43" s="657" t="s">
        <v>174</v>
      </c>
      <c r="O43" s="352"/>
      <c r="P43" s="352"/>
      <c r="Q43" s="352"/>
      <c r="R43" s="352"/>
      <c r="S43" s="352"/>
      <c r="T43" s="352"/>
      <c r="U43" s="352"/>
    </row>
    <row r="44" spans="1:21">
      <c r="D44" s="849" t="s">
        <v>737</v>
      </c>
      <c r="E44" s="850"/>
      <c r="F44" s="851"/>
      <c r="G44" s="655">
        <v>86.9</v>
      </c>
      <c r="H44" s="656">
        <v>91.7</v>
      </c>
      <c r="I44" s="656">
        <v>93</v>
      </c>
      <c r="J44" s="657" t="s">
        <v>174</v>
      </c>
      <c r="O44" s="352"/>
      <c r="P44" s="352"/>
      <c r="Q44" s="352"/>
      <c r="R44" s="352"/>
      <c r="S44" s="352"/>
      <c r="T44" s="352"/>
      <c r="U44" s="352"/>
    </row>
    <row r="45" spans="1:21" ht="16.5" thickBot="1">
      <c r="D45" s="852" t="s">
        <v>738</v>
      </c>
      <c r="E45" s="853"/>
      <c r="F45" s="854"/>
      <c r="G45" s="658" t="s">
        <v>174</v>
      </c>
      <c r="H45" s="659" t="s">
        <v>174</v>
      </c>
      <c r="I45" s="659" t="s">
        <v>174</v>
      </c>
      <c r="J45" s="660" t="s">
        <v>174</v>
      </c>
      <c r="O45" s="352"/>
      <c r="P45" s="352"/>
      <c r="Q45" s="352"/>
      <c r="R45" s="352"/>
      <c r="S45" s="352"/>
      <c r="T45" s="352"/>
      <c r="U45" s="352"/>
    </row>
    <row r="46" spans="1:21">
      <c r="A46" s="855" t="s">
        <v>739</v>
      </c>
      <c r="B46" s="855"/>
      <c r="C46" s="855"/>
      <c r="D46" s="855"/>
      <c r="E46" s="855"/>
      <c r="F46" s="855"/>
      <c r="G46" s="855"/>
      <c r="H46" s="855"/>
      <c r="I46" s="855"/>
      <c r="J46" s="855"/>
      <c r="K46" s="855"/>
      <c r="L46" s="855"/>
      <c r="M46" s="855"/>
      <c r="P46" s="352"/>
      <c r="Q46" s="352"/>
      <c r="R46" s="352"/>
      <c r="S46" s="352"/>
      <c r="T46" s="352"/>
    </row>
    <row r="48" spans="1:21">
      <c r="J48" s="661" t="s">
        <v>623</v>
      </c>
      <c r="K48" s="844" t="s">
        <v>675</v>
      </c>
      <c r="L48" s="844"/>
      <c r="M48" s="844"/>
    </row>
    <row r="49" spans="1:13">
      <c r="K49" s="662"/>
      <c r="L49" s="662"/>
      <c r="M49" s="662"/>
    </row>
    <row r="50" spans="1:13">
      <c r="J50" s="661" t="s">
        <v>624</v>
      </c>
      <c r="K50" s="845">
        <v>44046</v>
      </c>
      <c r="L50" s="845"/>
      <c r="M50" s="845"/>
    </row>
    <row r="52" spans="1:13">
      <c r="A52" s="663"/>
    </row>
    <row r="53" spans="1:13">
      <c r="A53" s="664" t="s">
        <v>740</v>
      </c>
    </row>
    <row r="54" spans="1:13">
      <c r="A54" s="665"/>
    </row>
  </sheetData>
  <mergeCells count="38">
    <mergeCell ref="K48:M48"/>
    <mergeCell ref="K50:M50"/>
    <mergeCell ref="D41:F41"/>
    <mergeCell ref="D42:F42"/>
    <mergeCell ref="D43:F43"/>
    <mergeCell ref="D44:F44"/>
    <mergeCell ref="D45:F45"/>
    <mergeCell ref="A46:M46"/>
    <mergeCell ref="D40:J40"/>
    <mergeCell ref="D33:F33"/>
    <mergeCell ref="K33:M33"/>
    <mergeCell ref="D34:F34"/>
    <mergeCell ref="K34:M34"/>
    <mergeCell ref="D35:F35"/>
    <mergeCell ref="K35:M35"/>
    <mergeCell ref="A37:M37"/>
    <mergeCell ref="D38:G38"/>
    <mergeCell ref="K38:M38"/>
    <mergeCell ref="D39:G39"/>
    <mergeCell ref="K39:M39"/>
    <mergeCell ref="K28:M28"/>
    <mergeCell ref="A30:M30"/>
    <mergeCell ref="A31:F31"/>
    <mergeCell ref="H31:M31"/>
    <mergeCell ref="D32:F32"/>
    <mergeCell ref="K32:M32"/>
    <mergeCell ref="K27:M27"/>
    <mergeCell ref="L1:M1"/>
    <mergeCell ref="L3:M3"/>
    <mergeCell ref="L4:M4"/>
    <mergeCell ref="L5:M5"/>
    <mergeCell ref="L6:M6"/>
    <mergeCell ref="L7:M7"/>
    <mergeCell ref="A20:M20"/>
    <mergeCell ref="A24:F24"/>
    <mergeCell ref="H24:M24"/>
    <mergeCell ref="K25:M25"/>
    <mergeCell ref="K26:M26"/>
  </mergeCells>
  <printOptions horizontalCentered="1" gridLinesSet="0"/>
  <pageMargins left="0.5" right="0.5" top="0.5" bottom="0.5" header="0.5" footer="0.5"/>
  <pageSetup scale="8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DesignSheet</vt:lpstr>
      <vt:lpstr>Data Sheet</vt:lpstr>
      <vt:lpstr>StallTime</vt:lpstr>
      <vt:lpstr>Performance Data Sheet</vt:lpstr>
      <vt:lpstr>STCurve</vt:lpstr>
      <vt:lpstr>Thermdam</vt:lpstr>
      <vt:lpstr>Performance</vt:lpstr>
      <vt:lpstr>Circuit Param.</vt:lpstr>
      <vt:lpstr>PERFORMANCE data</vt:lpstr>
      <vt:lpstr>'Circuit Param.'!Print_Area</vt:lpstr>
      <vt:lpstr>'Data Sheet'!Print_Area</vt:lpstr>
      <vt:lpstr>DesignSheet!Print_Area</vt:lpstr>
      <vt:lpstr>Performance!Print_Area</vt:lpstr>
      <vt:lpstr>'PERFORMANCE data'!Print_Area</vt:lpstr>
      <vt:lpstr>'Performance Data Sheet'!Print_Area</vt:lpstr>
      <vt:lpstr>StallTime!Print_Area</vt:lpstr>
      <vt:lpstr>STCurve!Print_Area</vt:lpstr>
      <vt:lpstr>Thermdam!Print_Area</vt:lpstr>
      <vt:lpstr>'Circuit Param.'!Print_Area_MI</vt:lpstr>
      <vt:lpstr>'PERFORMANCE data'!Print_Area_MI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</cp:lastModifiedBy>
  <cp:lastPrinted>2017-05-22T14:20:14Z</cp:lastPrinted>
  <dcterms:created xsi:type="dcterms:W3CDTF">1997-10-03T20:37:30Z</dcterms:created>
  <dcterms:modified xsi:type="dcterms:W3CDTF">2021-02-04T11:42:10Z</dcterms:modified>
</cp:coreProperties>
</file>