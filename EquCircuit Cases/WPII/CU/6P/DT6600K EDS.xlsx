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165" yWindow="1080" windowWidth="4800" windowHeight="5190" tabRatio="714"/>
  </bookViews>
  <sheets>
    <sheet name="DesignSheet" sheetId="2" r:id="rId1"/>
    <sheet name="Data Sheet" sheetId="3" r:id="rId2"/>
    <sheet name="LoginSheet" sheetId="4" r:id="rId3"/>
    <sheet name="StallTime" sheetId="5" r:id="rId4"/>
  </sheets>
  <definedNames>
    <definedName name="_xlnm.Print_Area" localSheetId="1">'Data Sheet'!$A$1:$K$46</definedName>
    <definedName name="_xlnm.Print_Area" localSheetId="0">DesignSheet!$A$1:$J$68</definedName>
    <definedName name="_xlnm.Print_Area" localSheetId="2">LoginSheet!$A$1:$N$79</definedName>
    <definedName name="_xlnm.Print_Area" localSheetId="3">StallTime!$A$1:$G$40</definedName>
  </definedNames>
  <calcPr calcId="145621"/>
</workbook>
</file>

<file path=xl/calcChain.xml><?xml version="1.0" encoding="utf-8"?>
<calcChain xmlns="http://schemas.openxmlformats.org/spreadsheetml/2006/main">
  <c r="M28" i="3" l="1"/>
  <c r="M18" i="3"/>
</calcChain>
</file>

<file path=xl/comments1.xml><?xml version="1.0" encoding="utf-8"?>
<comments xmlns="http://schemas.openxmlformats.org/spreadsheetml/2006/main">
  <authors>
    <author>Paulo Yoshiura</author>
  </authors>
  <commentList>
    <comment ref="K4" authorId="0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<sst xmlns="http://schemas.openxmlformats.org/spreadsheetml/2006/main" count="672" uniqueCount="543">
  <si>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</si>
  <si>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</si>
  <si>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</si>
  <si>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</si>
  <si>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</si>
  <si>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</si>
  <si>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</si>
  <si>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</si>
  <si>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</si>
  <si>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</si>
  <si>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</si>
  <si>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</si>
  <si>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</si>
  <si>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</si>
  <si>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</si>
  <si>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</si>
  <si>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</si>
  <si>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</si>
  <si>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</si>
  <si>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</si>
  <si>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</si>
  <si>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</si>
  <si>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</si>
  <si>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</si>
  <si>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</si>
  <si>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</si>
  <si>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</si>
  <si>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</si>
  <si>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</si>
  <si>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</si>
  <si>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</si>
  <si>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</si>
  <si>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</si>
  <si>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</si>
  <si>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</si>
  <si>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</si>
  <si>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</si>
  <si>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</si>
  <si>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</si>
  <si>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</si>
  <si>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</si>
  <si>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</si>
  <si>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</si>
  <si>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</si>
  <si>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</si>
  <si>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</si>
  <si>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</si>
  <si>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</si>
  <si>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</si>
  <si>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</si>
  <si>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</si>
  <si>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</si>
  <si>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</si>
  <si>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</si>
  <si>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</si>
  <si>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</si>
  <si>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</si>
  <si>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</si>
  <si>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</si>
  <si>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</si>
  <si>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</si>
  <si>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</si>
  <si>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</si>
  <si>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</si>
  <si>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</si>
  <si>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</si>
  <si>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</si>
  <si>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</si>
  <si>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</si>
  <si>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</si>
  <si>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</si>
  <si>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</si>
  <si>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</si>
  <si>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</si>
  <si>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</si>
  <si>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</si>
  <si>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</si>
  <si>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</si>
  <si>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</si>
  <si>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</si>
  <si>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</si>
  <si>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</si>
  <si>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</si>
  <si>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</si>
  <si>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</si>
  <si>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</si>
  <si>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</si>
  <si>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</si>
  <si>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</si>
  <si>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</si>
  <si>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</si>
  <si>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</si>
  <si>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</si>
  <si>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</si>
  <si>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</si>
  <si>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</si>
  <si>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</si>
  <si>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</si>
  <si>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</si>
  <si>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</si>
  <si>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</si>
  <si>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</si>
  <si>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</si>
  <si>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</si>
  <si>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</si>
  <si>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</si>
  <si>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</si>
  <si>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</si>
  <si>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</si>
  <si>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</si>
  <si>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</si>
  <si>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</si>
  <si>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</si>
  <si>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</si>
  <si>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</si>
  <si>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</si>
  <si>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</si>
  <si>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</si>
  <si>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</si>
  <si>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</si>
  <si>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</si>
  <si>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</si>
  <si>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</si>
  <si>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</si>
  <si>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</si>
  <si>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</si>
  <si>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</si>
  <si>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</si>
  <si>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</si>
  <si>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</si>
  <si>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</si>
  <si>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</si>
  <si>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</si>
  <si>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</si>
  <si>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</si>
  <si>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</si>
  <si>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</si>
  <si>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</si>
  <si>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</si>
  <si>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</si>
  <si>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</si>
  <si>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</si>
  <si>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</si>
  <si>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</si>
  <si>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</si>
  <si>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</si>
  <si>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</si>
  <si>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</si>
  <si>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</si>
  <si>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</si>
  <si>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</si>
  <si>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</si>
  <si>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</si>
  <si>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</si>
  <si>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</si>
  <si>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</si>
  <si>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</si>
  <si>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</si>
  <si>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</si>
  <si>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</si>
  <si>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</si>
  <si>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</si>
  <si>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</si>
  <si>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</si>
  <si>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</si>
  <si>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</si>
  <si>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</si>
  <si>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</si>
  <si>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</si>
  <si>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</si>
  <si>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</si>
  <si>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</si>
  <si>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</si>
  <si>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</si>
  <si>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</si>
  <si>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DCK4</t>
  </si>
  <si>
    <t>5811/12</t>
  </si>
  <si>
    <t>Open</t>
  </si>
  <si>
    <t>Rectang</t>
  </si>
  <si>
    <t>7.56 - 7.56</t>
  </si>
  <si>
    <t>2.40 - 2.00</t>
  </si>
  <si>
    <t>Magnetic</t>
  </si>
  <si>
    <t>11 x 10</t>
  </si>
  <si>
    <t>1 ~ 11</t>
  </si>
  <si>
    <t>(.051"x.144")x2</t>
  </si>
  <si>
    <t>Wye</t>
  </si>
  <si>
    <t>(105°C)</t>
  </si>
  <si>
    <t>CU</t>
  </si>
  <si>
    <t>ERD1: 342.7</t>
  </si>
  <si>
    <t>EBL: 45.0</t>
  </si>
  <si>
    <t>ERT: 60.00</t>
  </si>
  <si>
    <t>ERH: 30.00</t>
  </si>
  <si>
    <t>(8 x 30)</t>
  </si>
  <si>
    <t>LB:  -</t>
  </si>
  <si>
    <t>LER:  -</t>
  </si>
  <si>
    <t>Single Cage Data</t>
  </si>
  <si>
    <t>UB: 280.0</t>
  </si>
  <si>
    <t>UER: 1800.0</t>
  </si>
  <si>
    <t>(Coeff.: 0.1037)</t>
  </si>
  <si>
    <t>Skew R.: 0.00</t>
  </si>
  <si>
    <t>N:\DESPRO\RATFILE\DT6700U.rat</t>
  </si>
  <si>
    <t>2-2-2-0-1-2</t>
  </si>
  <si>
    <t>B.L.-1  P.F.-1</t>
  </si>
  <si>
    <t>7245.3 / 7065.5</t>
  </si>
  <si>
    <t>4089.4 / 7256.6</t>
  </si>
  <si>
    <t>9702.5 / 7466.8</t>
  </si>
  <si>
    <t>2500.0 / 2500.0</t>
  </si>
  <si>
    <t>6653.0 / 4419.8</t>
  </si>
  <si>
    <t>1096.1 / 728.2</t>
  </si>
  <si>
    <t>5556.9 / 3691.6</t>
  </si>
  <si>
    <t>1.75 / 1.16</t>
  </si>
  <si>
    <t>59 / 60</t>
  </si>
  <si>
    <t>Temp. Rise @ 100%:</t>
  </si>
  <si>
    <t>Stray Loss</t>
  </si>
  <si>
    <t>0.914 / 0.901</t>
  </si>
  <si>
    <t>0.948 / 0.935</t>
  </si>
  <si>
    <t>0.956 / 0.943</t>
  </si>
  <si>
    <t>0.957 / 0.945</t>
  </si>
  <si>
    <t>0.554 / 0.559</t>
  </si>
  <si>
    <t>0.769 / 0.776</t>
  </si>
  <si>
    <t>0.846 / 0.853</t>
  </si>
  <si>
    <t>0.874 / 0.882</t>
  </si>
  <si>
    <t>0.883 / 0.890</t>
  </si>
  <si>
    <t>31.91 / 32.07</t>
  </si>
  <si>
    <t>44.29 / 44.52</t>
  </si>
  <si>
    <t>59.91 / 60.21</t>
  </si>
  <si>
    <t>77.18 / 77.57</t>
  </si>
  <si>
    <t>95.71 / 96.20</t>
  </si>
  <si>
    <t>4.36 / 4.38</t>
  </si>
  <si>
    <t>UB: 3.94 / 3.96</t>
  </si>
  <si>
    <t>UER: 1.86 / 1.87</t>
  </si>
  <si>
    <t>1197.4 / 1192.9</t>
  </si>
  <si>
    <t>1194.8 / 1190.4</t>
  </si>
  <si>
    <t>1192.2 / 1187.8</t>
  </si>
  <si>
    <t>1189.5 / 1185.1</t>
  </si>
  <si>
    <t>1186.7 / 1182.3</t>
  </si>
  <si>
    <t>0.0022 / 0.0059</t>
  </si>
  <si>
    <t>0.0043 / 0.0080</t>
  </si>
  <si>
    <t>0.0065 / 0.0102</t>
  </si>
  <si>
    <t>0.0087 / 0.0124</t>
  </si>
  <si>
    <t>0.0110 / 0.0147</t>
  </si>
  <si>
    <t>24.549 / 24.350</t>
  </si>
  <si>
    <t>0.959 / 0.952</t>
  </si>
  <si>
    <t>24.57 / 24.37</t>
  </si>
  <si>
    <t>430.5 / 498.4</t>
  </si>
  <si>
    <t>557.8 / 645.8</t>
  </si>
  <si>
    <t>402.2 / 418.3</t>
  </si>
  <si>
    <t>109.7 / 114.1</t>
  </si>
  <si>
    <t>249.4 / 266.6</t>
  </si>
  <si>
    <t>Correlated to: DT6700U.dat</t>
  </si>
  <si>
    <t>USA Wire Std</t>
  </si>
  <si>
    <t>DesPro8AX Draft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</si>
  <si>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</si>
  <si>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</si>
  <si>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</si>
  <si>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</si>
  <si>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</si>
  <si>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</si>
  <si>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</si>
  <si>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</si>
  <si>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</si>
  <si>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</si>
  <si>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</si>
  <si>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</si>
  <si>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</si>
  <si>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</si>
  <si>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</si>
  <si>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</si>
  <si>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</si>
  <si>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</si>
  <si>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</si>
  <si>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</si>
  <si>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</si>
  <si>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</si>
  <si>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</si>
  <si>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</si>
  <si>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</si>
  <si>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</si>
  <si>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</si>
  <si>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</si>
  <si>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</si>
  <si>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</si>
  <si>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</si>
  <si>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</si>
  <si>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</si>
  <si>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</si>
  <si>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</si>
  <si>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</si>
  <si>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</si>
  <si>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</si>
  <si>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</si>
  <si>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</si>
  <si>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</si>
  <si>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</si>
  <si>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</si>
  <si>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</si>
  <si>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</si>
  <si>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</si>
  <si>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</si>
  <si>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</si>
  <si>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</si>
  <si>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</si>
  <si>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</si>
  <si>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</si>
  <si>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</si>
  <si>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</si>
  <si>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</si>
  <si>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</si>
  <si>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</si>
  <si>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</si>
  <si>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</si>
  <si>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</si>
  <si>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</si>
  <si>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</si>
  <si>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</si>
  <si>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</si>
  <si>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</si>
  <si>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</si>
  <si>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</si>
  <si>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</si>
  <si>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</si>
  <si>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</si>
  <si>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</si>
  <si>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</si>
  <si>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</si>
  <si>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</si>
  <si>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</si>
  <si>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</si>
  <si>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</si>
  <si>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</si>
  <si>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   (Reference)</t>
  </si>
  <si>
    <t>Note</t>
  </si>
  <si>
    <t>Approved</t>
  </si>
  <si>
    <t>Design</t>
  </si>
  <si>
    <t>A. Mills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</si>
  <si>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</si>
  <si>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</si>
  <si>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</si>
  <si>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</si>
  <si>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</si>
  <si>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</si>
  <si>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</si>
  <si>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</si>
  <si>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</si>
  <si>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</si>
  <si>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</si>
  <si>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</si>
  <si>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</si>
  <si>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</si>
  <si>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</si>
  <si>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</si>
  <si>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</si>
  <si>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</si>
  <si>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</si>
  <si>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</si>
  <si>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</si>
  <si>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</si>
  <si>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</si>
  <si>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</si>
  <si>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</si>
  <si>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</si>
  <si>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</si>
  <si>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</si>
  <si>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</si>
  <si>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DT6700U</t>
  </si>
  <si>
    <t>Type: TIKE - Form: DCK4 - 6 Pole - 600 HP - 4000 V - 60 Hz - 5811/12 - Class F</t>
  </si>
  <si>
    <t>28 x 2</t>
  </si>
  <si>
    <t>2 x Wye</t>
  </si>
  <si>
    <t xml:space="preserve"> - </t>
  </si>
  <si>
    <t>59 / 78</t>
  </si>
  <si>
    <t>438 / 2796</t>
  </si>
  <si>
    <t>G</t>
  </si>
  <si>
    <t>396 / 187</t>
  </si>
  <si>
    <t>S-T Curve Data (Custom Values)</t>
  </si>
  <si>
    <t>Current (%)</t>
  </si>
  <si>
    <t>Current(%)</t>
  </si>
  <si>
    <t>Load</t>
  </si>
  <si>
    <t>Load Type:</t>
  </si>
  <si>
    <t>Load Inertia:</t>
  </si>
  <si>
    <t>Accel. Time:</t>
  </si>
  <si>
    <t>Rated Torque:</t>
  </si>
  <si>
    <t>Fan / Pump</t>
  </si>
  <si>
    <t>1015.9 kg.m²</t>
  </si>
  <si>
    <t>Acceleration Data (FV V)</t>
  </si>
  <si>
    <t>11.8 (s)</t>
  </si>
  <si>
    <t>366.5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</si>
  <si>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</si>
  <si>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</si>
  <si>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</si>
  <si>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</si>
  <si>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</si>
  <si>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</si>
  <si>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</si>
  <si>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</si>
  <si>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</si>
  <si>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</si>
  <si>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</si>
  <si>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</si>
  <si>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</si>
  <si>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</si>
  <si>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</si>
  <si>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</si>
  <si>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</si>
  <si>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</si>
  <si>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</si>
  <si>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</si>
  <si>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</si>
  <si>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</si>
  <si>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</si>
  <si>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</si>
  <si>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</si>
  <si>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</si>
  <si>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</si>
  <si>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</si>
  <si>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</si>
  <si>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</si>
  <si>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</si>
  <si>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</si>
  <si>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</si>
  <si>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</si>
  <si>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</si>
  <si>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</si>
  <si>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</si>
  <si>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</si>
  <si>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</si>
  <si>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6 Pole - 600.0 HP - 1200 RPM - 4000 V - 60 Hz</t>
  </si>
  <si>
    <t>0~120</t>
  </si>
  <si>
    <t>120~240</t>
  </si>
  <si>
    <t>240~360</t>
  </si>
  <si>
    <t>360~480</t>
  </si>
  <si>
    <t>480~600</t>
  </si>
  <si>
    <t>600~720</t>
  </si>
  <si>
    <t>720~840</t>
  </si>
  <si>
    <t>840~960</t>
  </si>
  <si>
    <t>960~1020</t>
  </si>
  <si>
    <t>1020~1080</t>
  </si>
  <si>
    <t>1080~1140</t>
  </si>
  <si>
    <t>1140~1188</t>
  </si>
  <si>
    <t>1188~1190</t>
  </si>
  <si>
    <t>Load Type: Fan / Pump - 6027.0 lb-ft²</t>
  </si>
  <si>
    <t>114.1</t>
  </si>
  <si>
    <t>114.2</t>
  </si>
  <si>
    <t>114.0</t>
  </si>
  <si>
    <t>115.2</t>
  </si>
  <si>
    <t>118.9</t>
  </si>
  <si>
    <t>128.4</t>
  </si>
  <si>
    <t>146.2</t>
  </si>
  <si>
    <t>179.8</t>
  </si>
  <si>
    <t>234.3</t>
  </si>
  <si>
    <t>182.5</t>
  </si>
  <si>
    <t>99.5</t>
  </si>
  <si>
    <t>22.5</t>
  </si>
  <si>
    <t>11.5</t>
  </si>
  <si>
    <t>7.0</t>
  </si>
  <si>
    <t>11.0</t>
  </si>
  <si>
    <t>18.0</t>
  </si>
  <si>
    <t>27.5</t>
  </si>
  <si>
    <t>41.5</t>
  </si>
  <si>
    <t>55.5</t>
  </si>
  <si>
    <t>67.5</t>
  </si>
  <si>
    <t>80.5</t>
  </si>
  <si>
    <t>92.5</t>
  </si>
  <si>
    <t>99.0</t>
  </si>
  <si>
    <t>1.037</t>
  </si>
  <si>
    <t>0.925</t>
  </si>
  <si>
    <t>0.887</t>
  </si>
  <si>
    <t>0.922</t>
  </si>
  <si>
    <t>0.977</t>
  </si>
  <si>
    <t>1.039</t>
  </si>
  <si>
    <t>1.093</t>
  </si>
  <si>
    <t>0.524</t>
  </si>
  <si>
    <t>0.423</t>
  </si>
  <si>
    <t>0.309</t>
  </si>
  <si>
    <t>0.422</t>
  </si>
  <si>
    <t>2.381</t>
  </si>
  <si>
    <t>495.7</t>
  </si>
  <si>
    <t>490.8</t>
  </si>
  <si>
    <t>485.1</t>
  </si>
  <si>
    <t>478.2</t>
  </si>
  <si>
    <t>470.0</t>
  </si>
  <si>
    <t>460.7</t>
  </si>
  <si>
    <t>449.6</t>
  </si>
  <si>
    <t>435.1</t>
  </si>
  <si>
    <t>419.4</t>
  </si>
  <si>
    <t>397.1</t>
  </si>
  <si>
    <t>338.6</t>
  </si>
  <si>
    <t>190.4</t>
  </si>
  <si>
    <t>52.5</t>
  </si>
  <si>
    <t>312.8</t>
  </si>
  <si>
    <t>273.9</t>
  </si>
  <si>
    <t>257.0</t>
  </si>
  <si>
    <t>250.6</t>
  </si>
  <si>
    <t>252.4</t>
  </si>
  <si>
    <t>257.8</t>
  </si>
  <si>
    <t>262.3</t>
  </si>
  <si>
    <t>261.5</t>
  </si>
  <si>
    <t>115.9</t>
  </si>
  <si>
    <t>87.3</t>
  </si>
  <si>
    <t>54.9</t>
  </si>
  <si>
    <t>44.7</t>
  </si>
  <si>
    <t>17.6</t>
  </si>
  <si>
    <t>482.1</t>
  </si>
  <si>
    <t>387.7</t>
  </si>
  <si>
    <t>330.3</t>
  </si>
  <si>
    <t>288.9</t>
  </si>
  <si>
    <t>257.3</t>
  </si>
  <si>
    <t>227.2</t>
  </si>
  <si>
    <t>197.2</t>
  </si>
  <si>
    <t>162.4</t>
  </si>
  <si>
    <t>115.6</t>
  </si>
  <si>
    <t>81.3</t>
  </si>
  <si>
    <t>51.0</t>
  </si>
  <si>
    <t>57.2</t>
  </si>
  <si>
    <t>670.5</t>
  </si>
  <si>
    <t>2449 kW / s</t>
  </si>
  <si>
    <t>3217 kW / s</t>
  </si>
  <si>
    <t>92 kW / s</t>
  </si>
  <si>
    <t>44°C</t>
  </si>
  <si>
    <t>80°C</t>
  </si>
  <si>
    <t>6°C</t>
  </si>
  <si>
    <t>87°C</t>
  </si>
  <si>
    <t>159°C</t>
  </si>
  <si>
    <t>13°C</t>
  </si>
  <si>
    <t>Acceleration Time:  11.8 s</t>
  </si>
  <si>
    <t>6.1°C / s</t>
  </si>
  <si>
    <t>12.3°C / s</t>
  </si>
  <si>
    <t>1.0°C / s</t>
  </si>
  <si>
    <t>341.2 kW</t>
  </si>
  <si>
    <t>496.1 kW</t>
  </si>
  <si>
    <t>14.2 kW</t>
  </si>
  <si>
    <t>26.4 s</t>
  </si>
  <si>
    <t>21.2 s</t>
  </si>
  <si>
    <t>183.3 s</t>
  </si>
  <si>
    <t>59°C    +</t>
  </si>
  <si>
    <t>77°C    +</t>
  </si>
  <si>
    <t>101°C    +</t>
  </si>
  <si>
    <t>183°C   +</t>
  </si>
  <si>
    <t>103°C   +</t>
  </si>
  <si>
    <t>16.6 s</t>
  </si>
  <si>
    <t>14.9 s</t>
  </si>
  <si>
    <t>104.9 s</t>
  </si>
  <si>
    <t>40.1 s</t>
  </si>
  <si>
    <t>23.0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</si>
</sst>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82" formatCode="0.0000"/>
    <numFmt numFmtId="183" formatCode="0.000"/>
    <numFmt numFmtId="184" formatCode="0.0"/>
    <numFmt numFmtId="188" formatCode="0.0%"/>
    <numFmt numFmtId="189" formatCode=".0000"/>
    <numFmt numFmtId="190" formatCode="mm/dd/yy"/>
    <numFmt numFmtId="191" formatCode="0.00_);\(0.00\)"/>
  </numFmts>
  <fonts count="5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0" fontId="14" fillId="0" borderId="0"/>
    <xf numFmtId="0" fontId="14" fillId="0" borderId="0"/>
    <xf numFmtId="0" fontId="1" fillId="0" borderId="0"/>
    <xf numFmtId="0" fontId="1" fillId="0" borderId="0"/>
  </cellStyleXfs>
  <cellXfs count="483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3" fillId="0" borderId="11" xfId="0" applyFont="1" applyBorder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82" fontId="2" fillId="0" borderId="1" xfId="0" applyNumberFormat="1" applyFont="1" applyBorder="1" applyAlignment="1">
      <alignment horizontal="center"/>
    </xf>
    <xf numFmtId="183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84" fontId="2" fillId="0" borderId="1" xfId="0" applyNumberFormat="1" applyFont="1" applyBorder="1" applyAlignment="1">
      <alignment horizontal="center"/>
    </xf>
    <xf numFmtId="182" fontId="2" fillId="0" borderId="9" xfId="0" applyNumberFormat="1" applyFont="1" applyBorder="1" applyAlignment="1">
      <alignment horizontal="center"/>
    </xf>
    <xf numFmtId="183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84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83" fontId="2" fillId="0" borderId="25" xfId="0" applyNumberFormat="1" applyFont="1" applyBorder="1" applyAlignment="1">
      <alignment horizontal="center"/>
    </xf>
    <xf numFmtId="184" fontId="2" fillId="0" borderId="25" xfId="0" applyNumberFormat="1" applyFont="1" applyBorder="1" applyAlignment="1">
      <alignment horizontal="center"/>
    </xf>
    <xf numFmtId="183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83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84" fontId="2" fillId="0" borderId="33" xfId="0" applyNumberFormat="1" applyFont="1" applyBorder="1" applyAlignment="1">
      <alignment horizontal="center"/>
    </xf>
    <xf numFmtId="184" fontId="2" fillId="0" borderId="34" xfId="0" applyNumberFormat="1" applyFont="1" applyBorder="1" applyAlignment="1">
      <alignment horizontal="center"/>
    </xf>
    <xf numFmtId="184" fontId="2" fillId="0" borderId="10" xfId="0" applyNumberFormat="1" applyFont="1" applyBorder="1" applyAlignment="1">
      <alignment horizontal="center"/>
    </xf>
    <xf numFmtId="184" fontId="2" fillId="0" borderId="30" xfId="0" applyNumberFormat="1" applyFont="1" applyBorder="1" applyAlignment="1">
      <alignment horizontal="center"/>
    </xf>
    <xf numFmtId="184" fontId="2" fillId="0" borderId="35" xfId="0" applyNumberFormat="1" applyFont="1" applyBorder="1" applyAlignment="1">
      <alignment horizontal="center"/>
    </xf>
    <xf numFmtId="184" fontId="2" fillId="0" borderId="36" xfId="0" applyNumberFormat="1" applyFont="1" applyBorder="1" applyAlignment="1">
      <alignment horizontal="center"/>
    </xf>
    <xf numFmtId="184" fontId="2" fillId="0" borderId="37" xfId="0" applyNumberFormat="1" applyFont="1" applyBorder="1" applyAlignment="1">
      <alignment horizontal="center"/>
    </xf>
    <xf numFmtId="183" fontId="2" fillId="0" borderId="26" xfId="0" applyNumberFormat="1" applyFont="1" applyBorder="1" applyAlignment="1">
      <alignment horizontal="center"/>
    </xf>
    <xf numFmtId="184" fontId="2" fillId="0" borderId="38" xfId="0" applyNumberFormat="1" applyFont="1" applyBorder="1" applyAlignment="1">
      <alignment horizontal="center"/>
    </xf>
    <xf numFmtId="184" fontId="2" fillId="0" borderId="39" xfId="0" applyNumberFormat="1" applyFont="1" applyBorder="1" applyAlignment="1">
      <alignment horizontal="center"/>
    </xf>
    <xf numFmtId="184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8" fillId="0" borderId="40" xfId="0" applyNumberFormat="1" applyFont="1" applyBorder="1" applyAlignment="1">
      <alignment horizontal="centerContinuous"/>
    </xf>
    <xf numFmtId="0" fontId="8" fillId="0" borderId="40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84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83" fontId="2" fillId="0" borderId="0" xfId="0" applyNumberFormat="1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83" fontId="3" fillId="0" borderId="20" xfId="0" quotePrefix="1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7" xfId="0" applyFont="1" applyBorder="1" applyAlignment="1">
      <alignment horizontal="centerContinuous"/>
    </xf>
    <xf numFmtId="0" fontId="10" fillId="0" borderId="8" xfId="0" applyFont="1" applyBorder="1" applyAlignment="1">
      <alignment horizontal="centerContinuous"/>
    </xf>
    <xf numFmtId="0" fontId="11" fillId="0" borderId="47" xfId="0" applyFont="1" applyBorder="1"/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88" fontId="2" fillId="0" borderId="1" xfId="0" applyNumberFormat="1" applyFont="1" applyBorder="1" applyAlignment="1">
      <alignment horizontal="center"/>
    </xf>
    <xf numFmtId="0" fontId="3" fillId="0" borderId="49" xfId="0" applyFont="1" applyBorder="1" applyAlignment="1">
      <alignment horizontal="right"/>
    </xf>
    <xf numFmtId="184" fontId="13" fillId="0" borderId="1" xfId="0" applyNumberFormat="1" applyFont="1" applyBorder="1" applyAlignment="1">
      <alignment horizontal="center"/>
    </xf>
    <xf numFmtId="184" fontId="2" fillId="0" borderId="7" xfId="0" applyNumberFormat="1" applyFont="1" applyBorder="1" applyAlignment="1">
      <alignment horizontal="center"/>
    </xf>
    <xf numFmtId="184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0" fontId="15" fillId="0" borderId="0" xfId="1" applyFont="1" applyAlignment="1">
      <alignment horizontal="center"/>
    </xf>
    <xf numFmtId="0" fontId="16" fillId="0" borderId="0" xfId="1" applyFont="1" applyFill="1"/>
    <xf numFmtId="0" fontId="17" fillId="0" borderId="0" xfId="1" applyFont="1" applyFill="1"/>
    <xf numFmtId="0" fontId="18" fillId="2" borderId="0" xfId="1" applyFont="1" applyFill="1" applyAlignment="1">
      <alignment horizontal="center"/>
    </xf>
    <xf numFmtId="0" fontId="19" fillId="2" borderId="0" xfId="1" applyFont="1" applyFill="1" applyAlignment="1">
      <alignment horizontal="right"/>
    </xf>
    <xf numFmtId="0" fontId="20" fillId="2" borderId="0" xfId="1" applyFont="1" applyFill="1"/>
    <xf numFmtId="0" fontId="21" fillId="2" borderId="0" xfId="1" applyFont="1" applyFill="1"/>
    <xf numFmtId="0" fontId="18" fillId="2" borderId="0" xfId="1" applyFont="1" applyFill="1" applyAlignment="1">
      <alignment horizontal="center"/>
    </xf>
    <xf numFmtId="0" fontId="20" fillId="2" borderId="23" xfId="1" applyFont="1" applyFill="1" applyBorder="1" applyAlignment="1">
      <alignment horizontal="center"/>
    </xf>
    <xf numFmtId="0" fontId="22" fillId="0" borderId="51" xfId="1" applyFont="1" applyBorder="1" applyAlignment="1">
      <alignment horizontal="left" vertical="center"/>
    </xf>
    <xf numFmtId="0" fontId="22" fillId="0" borderId="52" xfId="1" applyFont="1" applyBorder="1" applyAlignment="1">
      <alignment vertical="center"/>
    </xf>
    <xf numFmtId="0" fontId="14" fillId="0" borderId="52" xfId="1" applyBorder="1"/>
    <xf numFmtId="0" fontId="22" fillId="0" borderId="53" xfId="1" applyFont="1" applyBorder="1" applyAlignment="1">
      <alignment horizontal="right" vertical="center"/>
    </xf>
    <xf numFmtId="0" fontId="23" fillId="0" borderId="0" xfId="1" applyFont="1" applyFill="1"/>
    <xf numFmtId="0" fontId="24" fillId="0" borderId="51" xfId="1" applyFont="1" applyFill="1" applyBorder="1"/>
    <xf numFmtId="0" fontId="23" fillId="0" borderId="53" xfId="1" applyFont="1" applyFill="1" applyBorder="1"/>
    <xf numFmtId="0" fontId="24" fillId="0" borderId="53" xfId="1" applyFont="1" applyFill="1" applyBorder="1"/>
    <xf numFmtId="0" fontId="25" fillId="0" borderId="0" xfId="1" applyFont="1" applyFill="1"/>
    <xf numFmtId="0" fontId="26" fillId="2" borderId="12" xfId="1" applyFont="1" applyFill="1" applyBorder="1" applyAlignment="1">
      <alignment horizontal="left"/>
    </xf>
    <xf numFmtId="0" fontId="26" fillId="2" borderId="13" xfId="1" applyFont="1" applyFill="1" applyBorder="1" applyAlignment="1">
      <alignment horizontal="left"/>
    </xf>
    <xf numFmtId="0" fontId="26" fillId="2" borderId="13" xfId="1" applyFont="1" applyFill="1" applyBorder="1" applyAlignment="1">
      <alignment horizontal="center"/>
    </xf>
    <xf numFmtId="0" fontId="26" fillId="2" borderId="54" xfId="1" applyFont="1" applyFill="1" applyBorder="1" applyAlignment="1">
      <alignment horizontal="center"/>
    </xf>
    <xf numFmtId="0" fontId="26" fillId="2" borderId="0" xfId="1" quotePrefix="1" applyFont="1" applyFill="1" applyBorder="1" applyAlignment="1">
      <alignment horizontal="left"/>
    </xf>
    <xf numFmtId="0" fontId="21" fillId="2" borderId="0" xfId="1" applyFont="1" applyFill="1" applyBorder="1"/>
    <xf numFmtId="0" fontId="27" fillId="2" borderId="55" xfId="1" applyFont="1" applyFill="1" applyBorder="1" applyAlignment="1">
      <alignment horizontal="right"/>
    </xf>
    <xf numFmtId="0" fontId="26" fillId="2" borderId="56" xfId="1" applyFont="1" applyFill="1" applyBorder="1" applyAlignment="1">
      <alignment horizontal="center"/>
    </xf>
    <xf numFmtId="0" fontId="26" fillId="2" borderId="21" xfId="1" applyFont="1" applyFill="1" applyBorder="1" applyAlignment="1">
      <alignment horizontal="center"/>
    </xf>
    <xf numFmtId="0" fontId="24" fillId="0" borderId="45" xfId="1" applyFont="1" applyFill="1" applyBorder="1"/>
    <xf numFmtId="0" fontId="23" fillId="0" borderId="21" xfId="1" applyFont="1" applyFill="1" applyBorder="1"/>
    <xf numFmtId="0" fontId="24" fillId="0" borderId="21" xfId="1" applyFont="1" applyFill="1" applyBorder="1"/>
    <xf numFmtId="0" fontId="28" fillId="0" borderId="57" xfId="1" applyFont="1" applyFill="1" applyBorder="1" applyAlignment="1">
      <alignment horizontal="left"/>
    </xf>
    <xf numFmtId="0" fontId="28" fillId="0" borderId="58" xfId="1" applyFont="1" applyFill="1" applyBorder="1" applyAlignment="1">
      <alignment horizontal="left"/>
    </xf>
    <xf numFmtId="0" fontId="29" fillId="2" borderId="59" xfId="1" applyFont="1" applyFill="1" applyBorder="1" applyAlignment="1">
      <alignment horizontal="center"/>
    </xf>
    <xf numFmtId="0" fontId="29" fillId="2" borderId="55" xfId="1" applyFont="1" applyFill="1" applyBorder="1" applyAlignment="1">
      <alignment horizontal="center"/>
    </xf>
    <xf numFmtId="0" fontId="19" fillId="2" borderId="60" xfId="1" applyFont="1" applyFill="1" applyBorder="1" applyAlignment="1">
      <alignment horizontal="left"/>
    </xf>
    <xf numFmtId="0" fontId="19" fillId="2" borderId="61" xfId="1" applyFont="1" applyFill="1" applyBorder="1" applyAlignment="1">
      <alignment horizontal="left"/>
    </xf>
    <xf numFmtId="0" fontId="19" fillId="2" borderId="27" xfId="1" applyFont="1" applyFill="1" applyBorder="1" applyAlignment="1">
      <alignment horizontal="left"/>
    </xf>
    <xf numFmtId="0" fontId="28" fillId="0" borderId="62" xfId="1" applyFont="1" applyFill="1" applyBorder="1" applyAlignment="1">
      <alignment horizontal="left"/>
    </xf>
    <xf numFmtId="0" fontId="28" fillId="0" borderId="63" xfId="1" applyFont="1" applyFill="1" applyBorder="1" applyAlignment="1">
      <alignment horizontal="left"/>
    </xf>
    <xf numFmtId="2" fontId="30" fillId="0" borderId="64" xfId="1" applyNumberFormat="1" applyFont="1" applyFill="1" applyBorder="1" applyAlignment="1">
      <alignment horizontal="center"/>
    </xf>
    <xf numFmtId="2" fontId="30" fillId="0" borderId="65" xfId="1" applyNumberFormat="1" applyFont="1" applyFill="1" applyBorder="1" applyAlignment="1">
      <alignment horizontal="center"/>
    </xf>
    <xf numFmtId="0" fontId="28" fillId="2" borderId="66" xfId="1" applyFont="1" applyFill="1" applyBorder="1"/>
    <xf numFmtId="0" fontId="28" fillId="2" borderId="67" xfId="1" applyFont="1" applyFill="1" applyBorder="1"/>
    <xf numFmtId="0" fontId="31" fillId="2" borderId="67" xfId="1" applyFont="1" applyFill="1" applyBorder="1"/>
    <xf numFmtId="0" fontId="31" fillId="2" borderId="68" xfId="1" applyFont="1" applyFill="1" applyBorder="1"/>
    <xf numFmtId="184" fontId="30" fillId="2" borderId="63" xfId="1" applyNumberFormat="1" applyFont="1" applyFill="1" applyBorder="1" applyAlignment="1">
      <alignment horizontal="center"/>
    </xf>
    <xf numFmtId="0" fontId="30" fillId="2" borderId="69" xfId="1" applyFont="1" applyFill="1" applyBorder="1" applyAlignment="1">
      <alignment horizontal="center"/>
    </xf>
    <xf numFmtId="0" fontId="30" fillId="0" borderId="64" xfId="1" applyFont="1" applyFill="1" applyBorder="1" applyAlignment="1">
      <alignment horizontal="center"/>
    </xf>
    <xf numFmtId="0" fontId="30" fillId="0" borderId="65" xfId="1" applyFont="1" applyFill="1" applyBorder="1" applyAlignment="1">
      <alignment horizontal="center"/>
    </xf>
    <xf numFmtId="0" fontId="28" fillId="2" borderId="70" xfId="1" applyFont="1" applyFill="1" applyBorder="1"/>
    <xf numFmtId="0" fontId="28" fillId="2" borderId="71" xfId="1" applyFont="1" applyFill="1" applyBorder="1"/>
    <xf numFmtId="0" fontId="31" fillId="2" borderId="71" xfId="1" applyFont="1" applyFill="1" applyBorder="1"/>
    <xf numFmtId="0" fontId="31" fillId="2" borderId="72" xfId="1" applyFont="1" applyFill="1" applyBorder="1"/>
    <xf numFmtId="1" fontId="30" fillId="2" borderId="63" xfId="1" applyNumberFormat="1" applyFont="1" applyFill="1" applyBorder="1" applyAlignment="1">
      <alignment horizontal="center"/>
    </xf>
    <xf numFmtId="0" fontId="30" fillId="2" borderId="73" xfId="1" applyFont="1" applyFill="1" applyBorder="1" applyAlignment="1">
      <alignment horizontal="center"/>
    </xf>
    <xf numFmtId="0" fontId="28" fillId="0" borderId="74" xfId="1" applyFont="1" applyFill="1" applyBorder="1" applyAlignment="1">
      <alignment horizontal="left"/>
    </xf>
    <xf numFmtId="0" fontId="28" fillId="0" borderId="67" xfId="1" applyFont="1" applyFill="1" applyBorder="1" applyAlignment="1">
      <alignment horizontal="left"/>
    </xf>
    <xf numFmtId="0" fontId="28" fillId="0" borderId="68" xfId="1" applyFont="1" applyFill="1" applyBorder="1" applyAlignment="1">
      <alignment horizontal="left"/>
    </xf>
    <xf numFmtId="0" fontId="32" fillId="2" borderId="67" xfId="1" applyFont="1" applyFill="1" applyBorder="1"/>
    <xf numFmtId="0" fontId="33" fillId="2" borderId="68" xfId="1" applyFont="1" applyFill="1" applyBorder="1" applyAlignment="1">
      <alignment horizontal="left"/>
    </xf>
    <xf numFmtId="0" fontId="30" fillId="2" borderId="63" xfId="1" applyFont="1" applyFill="1" applyBorder="1" applyAlignment="1">
      <alignment horizontal="center"/>
    </xf>
    <xf numFmtId="184" fontId="30" fillId="2" borderId="64" xfId="1" applyNumberFormat="1" applyFont="1" applyFill="1" applyBorder="1" applyAlignment="1">
      <alignment horizontal="center"/>
    </xf>
    <xf numFmtId="184" fontId="30" fillId="2" borderId="65" xfId="1" applyNumberFormat="1" applyFont="1" applyFill="1" applyBorder="1" applyAlignment="1">
      <alignment horizontal="center"/>
    </xf>
    <xf numFmtId="0" fontId="24" fillId="0" borderId="46" xfId="1" applyFont="1" applyFill="1" applyBorder="1"/>
    <xf numFmtId="0" fontId="24" fillId="0" borderId="24" xfId="1" applyFont="1" applyFill="1" applyBorder="1"/>
    <xf numFmtId="0" fontId="30" fillId="2" borderId="64" xfId="1" applyFont="1" applyFill="1" applyBorder="1" applyAlignment="1">
      <alignment horizontal="center"/>
    </xf>
    <xf numFmtId="0" fontId="30" fillId="2" borderId="65" xfId="1" applyFont="1" applyFill="1" applyBorder="1" applyAlignment="1">
      <alignment horizontal="center"/>
    </xf>
    <xf numFmtId="0" fontId="28" fillId="2" borderId="75" xfId="1" applyFont="1" applyFill="1" applyBorder="1"/>
    <xf numFmtId="0" fontId="28" fillId="2" borderId="76" xfId="1" applyFont="1" applyFill="1" applyBorder="1"/>
    <xf numFmtId="0" fontId="32" fillId="2" borderId="76" xfId="1" applyFont="1" applyFill="1" applyBorder="1"/>
    <xf numFmtId="0" fontId="30" fillId="2" borderId="77" xfId="1" applyFont="1" applyFill="1" applyBorder="1" applyAlignment="1">
      <alignment horizontal="center"/>
    </xf>
    <xf numFmtId="0" fontId="30" fillId="2" borderId="78" xfId="1" applyFont="1" applyFill="1" applyBorder="1" applyAlignment="1">
      <alignment horizontal="center"/>
    </xf>
    <xf numFmtId="0" fontId="23" fillId="0" borderId="24" xfId="1" applyFont="1" applyFill="1" applyBorder="1"/>
    <xf numFmtId="0" fontId="28" fillId="2" borderId="62" xfId="1" quotePrefix="1" applyFont="1" applyFill="1" applyBorder="1" applyAlignment="1">
      <alignment horizontal="left"/>
    </xf>
    <xf numFmtId="0" fontId="25" fillId="0" borderId="68" xfId="1" applyFont="1" applyFill="1" applyBorder="1"/>
    <xf numFmtId="184" fontId="30" fillId="0" borderId="64" xfId="1" applyNumberFormat="1" applyFont="1" applyFill="1" applyBorder="1" applyAlignment="1">
      <alignment horizontal="center"/>
    </xf>
    <xf numFmtId="184" fontId="30" fillId="0" borderId="65" xfId="1" applyNumberFormat="1" applyFont="1" applyFill="1" applyBorder="1" applyAlignment="1">
      <alignment horizontal="center"/>
    </xf>
    <xf numFmtId="0" fontId="19" fillId="0" borderId="79" xfId="1" applyFont="1" applyFill="1" applyBorder="1" applyAlignment="1">
      <alignment horizontal="left"/>
    </xf>
    <xf numFmtId="0" fontId="19" fillId="0" borderId="80" xfId="1" applyFont="1" applyFill="1" applyBorder="1" applyAlignment="1">
      <alignment horizontal="left"/>
    </xf>
    <xf numFmtId="0" fontId="19" fillId="0" borderId="81" xfId="1" applyFont="1" applyFill="1" applyBorder="1" applyAlignment="1">
      <alignment horizontal="left"/>
    </xf>
    <xf numFmtId="1" fontId="30" fillId="2" borderId="64" xfId="1" applyNumberFormat="1" applyFont="1" applyFill="1" applyBorder="1" applyAlignment="1">
      <alignment horizontal="center"/>
    </xf>
    <xf numFmtId="1" fontId="30" fillId="2" borderId="65" xfId="1" applyNumberFormat="1" applyFont="1" applyFill="1" applyBorder="1" applyAlignment="1">
      <alignment horizontal="center"/>
    </xf>
    <xf numFmtId="0" fontId="28" fillId="2" borderId="82" xfId="1" quotePrefix="1" applyFont="1" applyFill="1" applyBorder="1" applyAlignment="1">
      <alignment horizontal="left"/>
    </xf>
    <xf numFmtId="0" fontId="28" fillId="2" borderId="58" xfId="1" applyFont="1" applyFill="1" applyBorder="1"/>
    <xf numFmtId="0" fontId="31" fillId="2" borderId="58" xfId="1" applyFont="1" applyFill="1" applyBorder="1"/>
    <xf numFmtId="0" fontId="35" fillId="2" borderId="58" xfId="1" applyFont="1" applyFill="1" applyBorder="1" applyAlignment="1">
      <alignment horizontal="right"/>
    </xf>
    <xf numFmtId="49" fontId="30" fillId="2" borderId="58" xfId="1" applyNumberFormat="1" applyFont="1" applyFill="1" applyBorder="1" applyAlignment="1">
      <alignment horizontal="center"/>
    </xf>
    <xf numFmtId="0" fontId="30" fillId="2" borderId="83" xfId="1" applyFont="1" applyFill="1" applyBorder="1" applyAlignment="1">
      <alignment horizontal="center"/>
    </xf>
    <xf numFmtId="0" fontId="28" fillId="2" borderId="63" xfId="1" applyFont="1" applyFill="1" applyBorder="1"/>
    <xf numFmtId="0" fontId="31" fillId="2" borderId="63" xfId="1" applyFont="1" applyFill="1" applyBorder="1"/>
    <xf numFmtId="0" fontId="28" fillId="2" borderId="74" xfId="1" applyFont="1" applyFill="1" applyBorder="1" applyAlignment="1">
      <alignment horizontal="left"/>
    </xf>
    <xf numFmtId="0" fontId="28" fillId="2" borderId="67" xfId="1" applyFont="1" applyFill="1" applyBorder="1" applyAlignment="1">
      <alignment horizontal="left"/>
    </xf>
    <xf numFmtId="0" fontId="28" fillId="2" borderId="68" xfId="1" applyFont="1" applyFill="1" applyBorder="1" applyAlignment="1">
      <alignment horizontal="left"/>
    </xf>
    <xf numFmtId="2" fontId="30" fillId="2" borderId="64" xfId="1" applyNumberFormat="1" applyFont="1" applyFill="1" applyBorder="1" applyAlignment="1">
      <alignment horizontal="center"/>
    </xf>
    <xf numFmtId="2" fontId="30" fillId="2" borderId="65" xfId="1" applyNumberFormat="1" applyFont="1" applyFill="1" applyBorder="1" applyAlignment="1">
      <alignment horizontal="center"/>
    </xf>
    <xf numFmtId="0" fontId="28" fillId="2" borderId="74" xfId="1" quotePrefix="1" applyFont="1" applyFill="1" applyBorder="1" applyAlignment="1">
      <alignment horizontal="left"/>
    </xf>
    <xf numFmtId="0" fontId="28" fillId="2" borderId="67" xfId="1" quotePrefix="1" applyFont="1" applyFill="1" applyBorder="1" applyAlignment="1">
      <alignment horizontal="left"/>
    </xf>
    <xf numFmtId="0" fontId="28" fillId="2" borderId="68" xfId="1" quotePrefix="1" applyFont="1" applyFill="1" applyBorder="1" applyAlignment="1">
      <alignment horizontal="left"/>
    </xf>
    <xf numFmtId="0" fontId="28" fillId="2" borderId="84" xfId="1" quotePrefix="1" applyFont="1" applyFill="1" applyBorder="1" applyAlignment="1">
      <alignment horizontal="left"/>
    </xf>
    <xf numFmtId="0" fontId="28" fillId="2" borderId="77" xfId="1" applyFont="1" applyFill="1" applyBorder="1"/>
    <xf numFmtId="0" fontId="31" fillId="2" borderId="77" xfId="1" applyFont="1" applyFill="1" applyBorder="1"/>
    <xf numFmtId="0" fontId="28" fillId="2" borderId="62" xfId="1" applyFont="1" applyFill="1" applyBorder="1" applyAlignment="1">
      <alignment horizontal="left"/>
    </xf>
    <xf numFmtId="0" fontId="23" fillId="2" borderId="85" xfId="1" applyFont="1" applyFill="1" applyBorder="1"/>
    <xf numFmtId="0" fontId="23" fillId="2" borderId="68" xfId="1" applyFont="1" applyFill="1" applyBorder="1"/>
    <xf numFmtId="0" fontId="28" fillId="2" borderId="62" xfId="1" applyFont="1" applyFill="1" applyBorder="1"/>
    <xf numFmtId="0" fontId="23" fillId="2" borderId="67" xfId="1" applyFont="1" applyFill="1" applyBorder="1"/>
    <xf numFmtId="0" fontId="28" fillId="2" borderId="86" xfId="1" applyFont="1" applyFill="1" applyBorder="1" applyAlignment="1">
      <alignment horizontal="center"/>
    </xf>
    <xf numFmtId="0" fontId="28" fillId="2" borderId="87" xfId="1" applyFont="1" applyFill="1" applyBorder="1" applyAlignment="1">
      <alignment horizontal="center"/>
    </xf>
    <xf numFmtId="0" fontId="28" fillId="2" borderId="85" xfId="1" applyFont="1" applyFill="1" applyBorder="1"/>
    <xf numFmtId="0" fontId="35" fillId="2" borderId="68" xfId="1" applyFont="1" applyFill="1" applyBorder="1" applyAlignment="1">
      <alignment horizontal="right"/>
    </xf>
    <xf numFmtId="0" fontId="28" fillId="2" borderId="88" xfId="1" applyFont="1" applyFill="1" applyBorder="1" applyAlignment="1">
      <alignment horizontal="left"/>
    </xf>
    <xf numFmtId="0" fontId="28" fillId="2" borderId="89" xfId="1" applyFont="1" applyFill="1" applyBorder="1" applyAlignment="1">
      <alignment horizontal="left"/>
    </xf>
    <xf numFmtId="0" fontId="28" fillId="2" borderId="90" xfId="1" applyFont="1" applyFill="1" applyBorder="1" applyAlignment="1">
      <alignment horizontal="left"/>
    </xf>
    <xf numFmtId="0" fontId="30" fillId="2" borderId="91" xfId="1" applyFont="1" applyFill="1" applyBorder="1" applyAlignment="1">
      <alignment horizontal="center"/>
    </xf>
    <xf numFmtId="0" fontId="28" fillId="2" borderId="82" xfId="1" applyFont="1" applyFill="1" applyBorder="1" applyAlignment="1">
      <alignment horizontal="center"/>
    </xf>
    <xf numFmtId="0" fontId="28" fillId="2" borderId="0" xfId="1" applyFont="1" applyFill="1" applyBorder="1" applyAlignment="1">
      <alignment horizontal="center"/>
    </xf>
    <xf numFmtId="0" fontId="28" fillId="2" borderId="57" xfId="1" quotePrefix="1" applyFont="1" applyFill="1" applyBorder="1" applyAlignment="1">
      <alignment horizontal="left"/>
    </xf>
    <xf numFmtId="0" fontId="25" fillId="0" borderId="92" xfId="1" applyFont="1" applyFill="1" applyBorder="1"/>
    <xf numFmtId="0" fontId="30" fillId="0" borderId="91" xfId="1" applyFont="1" applyFill="1" applyBorder="1" applyAlignment="1">
      <alignment horizontal="center"/>
    </xf>
    <xf numFmtId="0" fontId="28" fillId="2" borderId="85" xfId="1" quotePrefix="1" applyFont="1" applyFill="1" applyBorder="1" applyAlignment="1">
      <alignment horizontal="left"/>
    </xf>
    <xf numFmtId="0" fontId="23" fillId="2" borderId="63" xfId="1" applyFont="1" applyFill="1" applyBorder="1"/>
    <xf numFmtId="189" fontId="30" fillId="2" borderId="64" xfId="1" applyNumberFormat="1" applyFont="1" applyFill="1" applyBorder="1" applyAlignment="1">
      <alignment horizontal="center"/>
    </xf>
    <xf numFmtId="189" fontId="30" fillId="2" borderId="65" xfId="1" applyNumberFormat="1" applyFont="1" applyFill="1" applyBorder="1" applyAlignment="1">
      <alignment horizontal="center"/>
    </xf>
    <xf numFmtId="0" fontId="28" fillId="2" borderId="93" xfId="1" applyFont="1" applyFill="1" applyBorder="1" applyAlignment="1">
      <alignment horizontal="left"/>
    </xf>
    <xf numFmtId="0" fontId="28" fillId="2" borderId="67" xfId="1" quotePrefix="1" applyFont="1" applyFill="1" applyBorder="1" applyAlignment="1">
      <alignment horizontal="center"/>
    </xf>
    <xf numFmtId="0" fontId="23" fillId="2" borderId="68" xfId="1" quotePrefix="1" applyFont="1" applyFill="1" applyBorder="1" applyAlignment="1">
      <alignment horizontal="center"/>
    </xf>
    <xf numFmtId="0" fontId="28" fillId="2" borderId="94" xfId="1" applyFont="1" applyFill="1" applyBorder="1"/>
    <xf numFmtId="0" fontId="25" fillId="0" borderId="95" xfId="1" applyFont="1" applyFill="1" applyBorder="1"/>
    <xf numFmtId="0" fontId="30" fillId="0" borderId="95" xfId="1" applyNumberFormat="1" applyFont="1" applyFill="1" applyBorder="1" applyAlignment="1">
      <alignment horizontal="center"/>
    </xf>
    <xf numFmtId="0" fontId="30" fillId="0" borderId="96" xfId="1" applyFont="1" applyFill="1" applyBorder="1" applyAlignment="1">
      <alignment horizontal="center"/>
    </xf>
    <xf numFmtId="0" fontId="28" fillId="2" borderId="97" xfId="1" applyFont="1" applyFill="1" applyBorder="1" applyAlignment="1">
      <alignment horizontal="center"/>
    </xf>
    <xf numFmtId="0" fontId="28" fillId="2" borderId="76" xfId="1" quotePrefix="1" applyFont="1" applyFill="1" applyBorder="1" applyAlignment="1">
      <alignment horizontal="center"/>
    </xf>
    <xf numFmtId="0" fontId="23" fillId="2" borderId="98" xfId="1" quotePrefix="1" applyFont="1" applyFill="1" applyBorder="1" applyAlignment="1">
      <alignment horizontal="center"/>
    </xf>
    <xf numFmtId="1" fontId="30" fillId="2" borderId="99" xfId="1" applyNumberFormat="1" applyFont="1" applyFill="1" applyBorder="1" applyAlignment="1">
      <alignment horizontal="center"/>
    </xf>
    <xf numFmtId="1" fontId="30" fillId="2" borderId="100" xfId="1" applyNumberFormat="1" applyFont="1" applyFill="1" applyBorder="1" applyAlignment="1">
      <alignment horizontal="center"/>
    </xf>
    <xf numFmtId="0" fontId="30" fillId="0" borderId="68" xfId="1" applyNumberFormat="1" applyFont="1" applyFill="1" applyBorder="1" applyAlignment="1">
      <alignment horizontal="center"/>
    </xf>
    <xf numFmtId="0" fontId="30" fillId="0" borderId="73" xfId="1" applyFont="1" applyFill="1" applyBorder="1" applyAlignment="1">
      <alignment horizontal="center"/>
    </xf>
    <xf numFmtId="0" fontId="30" fillId="0" borderId="46" xfId="1" applyFont="1" applyFill="1" applyBorder="1"/>
    <xf numFmtId="0" fontId="36" fillId="0" borderId="24" xfId="1" applyFont="1" applyFill="1" applyBorder="1"/>
    <xf numFmtId="0" fontId="19" fillId="0" borderId="101" xfId="1" applyFont="1" applyFill="1" applyBorder="1" applyAlignment="1">
      <alignment horizontal="left"/>
    </xf>
    <xf numFmtId="0" fontId="19" fillId="0" borderId="61" xfId="1" applyFont="1" applyFill="1" applyBorder="1" applyAlignment="1">
      <alignment horizontal="left"/>
    </xf>
    <xf numFmtId="0" fontId="38" fillId="2" borderId="102" xfId="1" applyFont="1" applyFill="1" applyBorder="1" applyAlignment="1">
      <alignment horizontal="center"/>
    </xf>
    <xf numFmtId="184" fontId="30" fillId="0" borderId="68" xfId="1" applyNumberFormat="1" applyFont="1" applyFill="1" applyBorder="1" applyAlignment="1">
      <alignment horizontal="center"/>
    </xf>
    <xf numFmtId="0" fontId="28" fillId="2" borderId="103" xfId="1" applyFont="1" applyFill="1" applyBorder="1" applyAlignment="1">
      <alignment horizontal="left"/>
    </xf>
    <xf numFmtId="0" fontId="23" fillId="2" borderId="104" xfId="1" applyFont="1" applyFill="1" applyBorder="1"/>
    <xf numFmtId="0" fontId="23" fillId="2" borderId="105" xfId="1" applyFont="1" applyFill="1" applyBorder="1"/>
    <xf numFmtId="0" fontId="30" fillId="2" borderId="106" xfId="1" applyFont="1" applyFill="1" applyBorder="1" applyAlignment="1">
      <alignment horizontal="center"/>
    </xf>
    <xf numFmtId="0" fontId="28" fillId="2" borderId="84" xfId="1" applyFont="1" applyFill="1" applyBorder="1" applyAlignment="1">
      <alignment horizontal="center"/>
    </xf>
    <xf numFmtId="0" fontId="28" fillId="2" borderId="40" xfId="1" applyFont="1" applyFill="1" applyBorder="1" applyAlignment="1">
      <alignment horizontal="center"/>
    </xf>
    <xf numFmtId="0" fontId="25" fillId="0" borderId="106" xfId="1" applyFont="1" applyFill="1" applyBorder="1" applyAlignment="1">
      <alignment horizontal="left"/>
    </xf>
    <xf numFmtId="0" fontId="25" fillId="0" borderId="76" xfId="1" applyFont="1" applyFill="1" applyBorder="1" applyAlignment="1">
      <alignment horizontal="left"/>
    </xf>
    <xf numFmtId="0" fontId="25" fillId="0" borderId="77" xfId="1" applyFont="1" applyFill="1" applyBorder="1"/>
    <xf numFmtId="0" fontId="25" fillId="0" borderId="78" xfId="1" applyFont="1" applyFill="1" applyBorder="1"/>
    <xf numFmtId="0" fontId="19" fillId="0" borderId="101" xfId="1" applyFont="1" applyFill="1" applyBorder="1" applyAlignment="1">
      <alignment horizontal="left"/>
    </xf>
    <xf numFmtId="0" fontId="19" fillId="0" borderId="61" xfId="1" applyFont="1" applyFill="1" applyBorder="1" applyAlignment="1">
      <alignment horizontal="left"/>
    </xf>
    <xf numFmtId="0" fontId="25" fillId="0" borderId="45" xfId="1" applyFont="1" applyFill="1" applyBorder="1" applyAlignment="1">
      <alignment horizontal="center"/>
    </xf>
    <xf numFmtId="0" fontId="25" fillId="0" borderId="0" xfId="1" applyFont="1" applyFill="1" applyBorder="1" applyAlignment="1">
      <alignment horizontal="center"/>
    </xf>
    <xf numFmtId="0" fontId="25" fillId="0" borderId="107" xfId="1" applyFont="1" applyFill="1" applyBorder="1" applyAlignment="1">
      <alignment horizontal="center"/>
    </xf>
    <xf numFmtId="0" fontId="25" fillId="0" borderId="86" xfId="1" applyFont="1" applyFill="1" applyBorder="1"/>
    <xf numFmtId="0" fontId="28" fillId="2" borderId="95" xfId="1" applyFont="1" applyFill="1" applyBorder="1"/>
    <xf numFmtId="0" fontId="35" fillId="2" borderId="63" xfId="1" applyFont="1" applyFill="1" applyBorder="1" applyAlignment="1">
      <alignment horizontal="right" shrinkToFit="1"/>
    </xf>
    <xf numFmtId="1" fontId="30" fillId="2" borderId="69" xfId="1" quotePrefix="1" applyNumberFormat="1" applyFont="1" applyFill="1" applyBorder="1" applyAlignment="1">
      <alignment horizontal="center"/>
    </xf>
    <xf numFmtId="2" fontId="25" fillId="0" borderId="0" xfId="1" applyNumberFormat="1" applyFont="1" applyFill="1"/>
    <xf numFmtId="0" fontId="28" fillId="2" borderId="82" xfId="1" applyFont="1" applyFill="1" applyBorder="1"/>
    <xf numFmtId="0" fontId="28" fillId="2" borderId="55" xfId="1" applyFont="1" applyFill="1" applyBorder="1"/>
    <xf numFmtId="0" fontId="35" fillId="2" borderId="63" xfId="1" applyFont="1" applyFill="1" applyBorder="1" applyAlignment="1">
      <alignment horizontal="right"/>
    </xf>
    <xf numFmtId="2" fontId="30" fillId="2" borderId="69" xfId="1" quotePrefix="1" applyNumberFormat="1" applyFont="1" applyFill="1" applyBorder="1" applyAlignment="1">
      <alignment horizontal="center"/>
    </xf>
    <xf numFmtId="0" fontId="30" fillId="2" borderId="69" xfId="1" quotePrefix="1" applyFont="1" applyFill="1" applyBorder="1" applyAlignment="1">
      <alignment horizontal="center"/>
    </xf>
    <xf numFmtId="2" fontId="30" fillId="2" borderId="63" xfId="1" applyNumberFormat="1" applyFont="1" applyFill="1" applyBorder="1" applyAlignment="1">
      <alignment horizontal="center"/>
    </xf>
    <xf numFmtId="0" fontId="25" fillId="0" borderId="108" xfId="1" applyFont="1" applyFill="1" applyBorder="1" applyAlignment="1">
      <alignment horizontal="center"/>
    </xf>
    <xf numFmtId="0" fontId="25" fillId="0" borderId="40" xfId="1" applyFont="1" applyFill="1" applyBorder="1" applyAlignment="1">
      <alignment horizontal="center"/>
    </xf>
    <xf numFmtId="0" fontId="25" fillId="0" borderId="39" xfId="1" applyFont="1" applyFill="1" applyBorder="1" applyAlignment="1">
      <alignment horizontal="center"/>
    </xf>
    <xf numFmtId="0" fontId="35" fillId="2" borderId="55" xfId="1" applyFont="1" applyFill="1" applyBorder="1" applyAlignment="1">
      <alignment horizontal="right"/>
    </xf>
    <xf numFmtId="0" fontId="35" fillId="2" borderId="63" xfId="1" applyFont="1" applyFill="1" applyBorder="1"/>
    <xf numFmtId="0" fontId="39" fillId="0" borderId="0" xfId="1" applyFont="1" applyFill="1"/>
    <xf numFmtId="0" fontId="19" fillId="0" borderId="38" xfId="1" applyFont="1" applyFill="1" applyBorder="1" applyAlignment="1">
      <alignment horizontal="left"/>
    </xf>
    <xf numFmtId="0" fontId="28" fillId="2" borderId="109" xfId="1" applyFont="1" applyFill="1" applyBorder="1"/>
    <xf numFmtId="0" fontId="28" fillId="2" borderId="110" xfId="1" applyFont="1" applyFill="1" applyBorder="1"/>
    <xf numFmtId="0" fontId="28" fillId="2" borderId="111" xfId="1" applyFont="1" applyFill="1" applyBorder="1"/>
    <xf numFmtId="0" fontId="35" fillId="2" borderId="111" xfId="1" applyFont="1" applyFill="1" applyBorder="1"/>
    <xf numFmtId="184" fontId="30" fillId="2" borderId="111" xfId="1" applyNumberFormat="1" applyFont="1" applyFill="1" applyBorder="1" applyAlignment="1">
      <alignment horizontal="center"/>
    </xf>
    <xf numFmtId="0" fontId="30" fillId="2" borderId="112" xfId="1" quotePrefix="1" applyFont="1" applyFill="1" applyBorder="1" applyAlignment="1">
      <alignment horizontal="center"/>
    </xf>
    <xf numFmtId="0" fontId="28" fillId="2" borderId="72" xfId="1" applyFont="1" applyFill="1" applyBorder="1"/>
    <xf numFmtId="0" fontId="28" fillId="2" borderId="102" xfId="1" applyFont="1" applyFill="1" applyBorder="1" applyAlignment="1">
      <alignment horizontal="left"/>
    </xf>
    <xf numFmtId="0" fontId="28" fillId="2" borderId="72" xfId="1" applyFont="1" applyFill="1" applyBorder="1" applyAlignment="1">
      <alignment horizontal="left"/>
    </xf>
    <xf numFmtId="1" fontId="30" fillId="2" borderId="58" xfId="1" applyNumberFormat="1" applyFont="1" applyFill="1" applyBorder="1" applyAlignment="1">
      <alignment horizontal="center"/>
    </xf>
    <xf numFmtId="0" fontId="30" fillId="2" borderId="113" xfId="1" applyFont="1" applyFill="1" applyBorder="1" applyAlignment="1">
      <alignment horizontal="center"/>
    </xf>
    <xf numFmtId="0" fontId="40" fillId="0" borderId="0" xfId="1" applyFont="1" applyFill="1" applyAlignment="1">
      <alignment horizontal="right"/>
    </xf>
    <xf numFmtId="2" fontId="25" fillId="0" borderId="0" xfId="2" applyNumberFormat="1" applyFont="1" applyFill="1"/>
    <xf numFmtId="0" fontId="28" fillId="2" borderId="0" xfId="1" applyFont="1" applyFill="1" applyBorder="1"/>
    <xf numFmtId="0" fontId="28" fillId="2" borderId="85" xfId="1" applyFont="1" applyFill="1" applyBorder="1" applyAlignment="1">
      <alignment horizontal="left"/>
    </xf>
    <xf numFmtId="0" fontId="28" fillId="2" borderId="68" xfId="1" applyFont="1" applyFill="1" applyBorder="1" applyAlignment="1">
      <alignment horizontal="left"/>
    </xf>
    <xf numFmtId="0" fontId="25" fillId="0" borderId="0" xfId="1" applyFont="1" applyFill="1" applyAlignment="1">
      <alignment horizontal="right"/>
    </xf>
    <xf numFmtId="0" fontId="28" fillId="2" borderId="40" xfId="1" applyFont="1" applyFill="1" applyBorder="1"/>
    <xf numFmtId="0" fontId="28" fillId="2" borderId="106" xfId="1" applyFont="1" applyFill="1" applyBorder="1" applyAlignment="1">
      <alignment horizontal="left"/>
    </xf>
    <xf numFmtId="0" fontId="28" fillId="2" borderId="98" xfId="1" applyFont="1" applyFill="1" applyBorder="1" applyAlignment="1">
      <alignment horizontal="left"/>
    </xf>
    <xf numFmtId="1" fontId="30" fillId="2" borderId="77" xfId="1" applyNumberFormat="1" applyFont="1" applyFill="1" applyBorder="1" applyAlignment="1">
      <alignment horizontal="center"/>
    </xf>
    <xf numFmtId="0" fontId="30" fillId="2" borderId="114" xfId="1" applyFont="1" applyFill="1" applyBorder="1" applyAlignment="1">
      <alignment horizontal="center"/>
    </xf>
    <xf numFmtId="0" fontId="19" fillId="2" borderId="79" xfId="1" applyFont="1" applyFill="1" applyBorder="1" applyAlignment="1">
      <alignment horizontal="left"/>
    </xf>
    <xf numFmtId="0" fontId="19" fillId="2" borderId="80" xfId="1" applyFont="1" applyFill="1" applyBorder="1" applyAlignment="1">
      <alignment horizontal="left"/>
    </xf>
    <xf numFmtId="0" fontId="19" fillId="2" borderId="81" xfId="1" applyFont="1" applyFill="1" applyBorder="1" applyAlignment="1">
      <alignment horizontal="left"/>
    </xf>
    <xf numFmtId="0" fontId="21" fillId="2" borderId="82" xfId="1" applyFont="1" applyFill="1" applyBorder="1"/>
    <xf numFmtId="0" fontId="25" fillId="2" borderId="71" xfId="1" applyFont="1" applyFill="1" applyBorder="1" applyAlignment="1">
      <alignment horizontal="left"/>
    </xf>
    <xf numFmtId="0" fontId="25" fillId="2" borderId="83" xfId="1" applyFont="1" applyFill="1" applyBorder="1" applyAlignment="1">
      <alignment horizontal="left"/>
    </xf>
    <xf numFmtId="0" fontId="21" fillId="2" borderId="67" xfId="1" applyFont="1" applyFill="1" applyBorder="1" applyAlignment="1">
      <alignment horizontal="left"/>
    </xf>
    <xf numFmtId="0" fontId="21" fillId="2" borderId="73" xfId="1" applyFont="1" applyFill="1" applyBorder="1" applyAlignment="1">
      <alignment horizontal="left"/>
    </xf>
    <xf numFmtId="0" fontId="41" fillId="0" borderId="0" xfId="1" applyFont="1" applyFill="1"/>
    <xf numFmtId="0" fontId="25" fillId="0" borderId="46" xfId="1" applyFont="1" applyFill="1" applyBorder="1" applyAlignment="1">
      <alignment horizontal="center"/>
    </xf>
    <xf numFmtId="0" fontId="25" fillId="0" borderId="23" xfId="1" applyFont="1" applyFill="1" applyBorder="1" applyAlignment="1">
      <alignment horizontal="center"/>
    </xf>
    <xf numFmtId="0" fontId="25" fillId="0" borderId="48" xfId="1" applyFont="1" applyFill="1" applyBorder="1" applyAlignment="1">
      <alignment horizontal="center"/>
    </xf>
    <xf numFmtId="0" fontId="28" fillId="0" borderId="115" xfId="1" applyFont="1" applyFill="1" applyBorder="1"/>
    <xf numFmtId="0" fontId="42" fillId="2" borderId="116" xfId="1" applyFont="1" applyFill="1" applyBorder="1" applyAlignment="1">
      <alignment horizontal="center"/>
    </xf>
    <xf numFmtId="0" fontId="42" fillId="2" borderId="117" xfId="1" applyFont="1" applyFill="1" applyBorder="1" applyAlignment="1">
      <alignment horizontal="center"/>
    </xf>
    <xf numFmtId="0" fontId="28" fillId="2" borderId="118" xfId="1" applyFont="1" applyFill="1" applyBorder="1"/>
    <xf numFmtId="0" fontId="42" fillId="2" borderId="119" xfId="1" applyFont="1" applyFill="1" applyBorder="1" applyAlignment="1">
      <alignment horizontal="center" shrinkToFit="1"/>
    </xf>
    <xf numFmtId="0" fontId="21" fillId="2" borderId="45" xfId="1" applyFont="1" applyFill="1" applyBorder="1"/>
    <xf numFmtId="0" fontId="28" fillId="2" borderId="120" xfId="1" applyFont="1" applyFill="1" applyBorder="1"/>
    <xf numFmtId="14" fontId="23" fillId="2" borderId="121" xfId="1" applyNumberFormat="1" applyFont="1" applyFill="1" applyBorder="1" applyAlignment="1">
      <alignment horizontal="center"/>
    </xf>
    <xf numFmtId="14" fontId="23" fillId="2" borderId="122" xfId="1" applyNumberFormat="1" applyFont="1" applyFill="1" applyBorder="1" applyAlignment="1">
      <alignment horizontal="center"/>
    </xf>
    <xf numFmtId="0" fontId="28" fillId="2" borderId="23" xfId="1" applyFont="1" applyFill="1" applyBorder="1"/>
    <xf numFmtId="14" fontId="23" fillId="2" borderId="123" xfId="1" applyNumberFormat="1" applyFont="1" applyFill="1" applyBorder="1" applyAlignment="1">
      <alignment horizontal="center"/>
    </xf>
    <xf numFmtId="0" fontId="21" fillId="0" borderId="23" xfId="1" applyFont="1" applyFill="1" applyBorder="1"/>
    <xf numFmtId="0" fontId="21" fillId="2" borderId="124" xfId="1" applyFont="1" applyFill="1" applyBorder="1" applyAlignment="1">
      <alignment horizontal="left"/>
    </xf>
    <xf numFmtId="0" fontId="21" fillId="2" borderId="125" xfId="1" applyFont="1" applyFill="1" applyBorder="1" applyAlignment="1">
      <alignment horizontal="left"/>
    </xf>
    <xf numFmtId="0" fontId="21" fillId="0" borderId="0" xfId="1" applyFont="1" applyFill="1"/>
    <xf numFmtId="0" fontId="21" fillId="0" borderId="0" xfId="1" applyFont="1" applyFill="1" applyBorder="1"/>
    <xf numFmtId="0" fontId="1" fillId="0" borderId="6" xfId="3" applyBorder="1"/>
    <xf numFmtId="0" fontId="1" fillId="0" borderId="7" xfId="3" applyBorder="1"/>
    <xf numFmtId="0" fontId="1" fillId="0" borderId="41" xfId="3" applyBorder="1"/>
    <xf numFmtId="0" fontId="1" fillId="0" borderId="41" xfId="3" applyBorder="1" applyAlignment="1">
      <alignment horizontal="center"/>
    </xf>
    <xf numFmtId="0" fontId="45" fillId="0" borderId="41" xfId="3" applyFont="1" applyBorder="1" applyAlignment="1">
      <alignment horizontal="center"/>
    </xf>
    <xf numFmtId="0" fontId="1" fillId="0" borderId="0" xfId="3"/>
    <xf numFmtId="0" fontId="46" fillId="0" borderId="45" xfId="3" applyFont="1" applyBorder="1" applyAlignment="1">
      <alignment horizontal="center"/>
    </xf>
    <xf numFmtId="0" fontId="46" fillId="0" borderId="0" xfId="3" applyFont="1" applyBorder="1" applyAlignment="1">
      <alignment horizontal="center"/>
    </xf>
    <xf numFmtId="0" fontId="46" fillId="0" borderId="126" xfId="3" applyFont="1" applyBorder="1" applyAlignment="1">
      <alignment horizontal="center"/>
    </xf>
    <xf numFmtId="0" fontId="1" fillId="0" borderId="126" xfId="3" applyBorder="1" applyAlignment="1">
      <alignment horizontal="center"/>
    </xf>
    <xf numFmtId="0" fontId="45" fillId="0" borderId="126" xfId="3" applyFont="1" applyBorder="1" applyAlignment="1">
      <alignment horizontal="center"/>
    </xf>
    <xf numFmtId="0" fontId="46" fillId="0" borderId="45" xfId="3" applyFont="1" applyBorder="1" applyAlignment="1">
      <alignment horizontal="center"/>
    </xf>
    <xf numFmtId="0" fontId="46" fillId="0" borderId="0" xfId="3" applyFont="1" applyBorder="1" applyAlignment="1">
      <alignment horizontal="center"/>
    </xf>
    <xf numFmtId="0" fontId="1" fillId="0" borderId="45" xfId="3" applyBorder="1"/>
    <xf numFmtId="0" fontId="47" fillId="0" borderId="0" xfId="3" applyFont="1"/>
    <xf numFmtId="0" fontId="1" fillId="0" borderId="126" xfId="3" applyBorder="1"/>
    <xf numFmtId="0" fontId="45" fillId="0" borderId="0" xfId="3" applyFont="1"/>
    <xf numFmtId="0" fontId="45" fillId="0" borderId="126" xfId="3" applyFont="1" applyBorder="1"/>
    <xf numFmtId="190" fontId="1" fillId="0" borderId="3" xfId="3" applyNumberFormat="1" applyBorder="1"/>
    <xf numFmtId="49" fontId="1" fillId="0" borderId="1" xfId="3" applyNumberFormat="1" applyBorder="1" applyAlignment="1">
      <alignment horizontal="center"/>
    </xf>
    <xf numFmtId="49" fontId="1" fillId="0" borderId="1" xfId="3" applyNumberFormat="1" applyBorder="1"/>
    <xf numFmtId="49" fontId="45" fillId="0" borderId="1" xfId="3" applyNumberFormat="1" applyFont="1" applyBorder="1"/>
    <xf numFmtId="191" fontId="45" fillId="0" borderId="1" xfId="3" applyNumberFormat="1" applyFont="1" applyBorder="1"/>
    <xf numFmtId="0" fontId="1" fillId="0" borderId="1" xfId="3" applyBorder="1"/>
    <xf numFmtId="0" fontId="1" fillId="0" borderId="9" xfId="3" applyBorder="1"/>
    <xf numFmtId="191" fontId="1" fillId="0" borderId="1" xfId="3" applyNumberFormat="1" applyBorder="1"/>
    <xf numFmtId="0" fontId="1" fillId="0" borderId="1" xfId="3" applyBorder="1" applyAlignment="1">
      <alignment horizontal="center"/>
    </xf>
    <xf numFmtId="190" fontId="1" fillId="0" borderId="18" xfId="3" applyNumberFormat="1" applyBorder="1"/>
    <xf numFmtId="49" fontId="1" fillId="0" borderId="26" xfId="3" applyNumberFormat="1" applyBorder="1"/>
    <xf numFmtId="191" fontId="1" fillId="0" borderId="26" xfId="3" applyNumberFormat="1" applyBorder="1"/>
    <xf numFmtId="0" fontId="1" fillId="0" borderId="26" xfId="3" applyBorder="1"/>
    <xf numFmtId="0" fontId="1" fillId="0" borderId="127" xfId="3" applyBorder="1"/>
    <xf numFmtId="0" fontId="46" fillId="0" borderId="52" xfId="3" applyFont="1" applyBorder="1" applyAlignment="1">
      <alignment horizontal="center"/>
    </xf>
    <xf numFmtId="0" fontId="45" fillId="0" borderId="128" xfId="3" applyFont="1" applyBorder="1" applyAlignment="1">
      <alignment horizontal="center"/>
    </xf>
    <xf numFmtId="0" fontId="45" fillId="0" borderId="15" xfId="3" applyFont="1" applyBorder="1" applyAlignment="1">
      <alignment horizontal="center"/>
    </xf>
    <xf numFmtId="0" fontId="45" fillId="0" borderId="7" xfId="3" applyFont="1" applyBorder="1" applyAlignment="1">
      <alignment horizontal="center"/>
    </xf>
    <xf numFmtId="0" fontId="45" fillId="0" borderId="129" xfId="3" applyFont="1" applyBorder="1" applyAlignment="1">
      <alignment horizontal="center"/>
    </xf>
    <xf numFmtId="0" fontId="45" fillId="0" borderId="129" xfId="3" applyFont="1" applyBorder="1" applyAlignment="1">
      <alignment horizontal="center"/>
    </xf>
    <xf numFmtId="0" fontId="45" fillId="0" borderId="8" xfId="3" applyFont="1" applyBorder="1" applyAlignment="1">
      <alignment horizontal="center"/>
    </xf>
    <xf numFmtId="49" fontId="45" fillId="0" borderId="2" xfId="3" applyNumberFormat="1" applyFont="1" applyBorder="1" applyAlignment="1">
      <alignment horizontal="center"/>
    </xf>
    <xf numFmtId="0" fontId="1" fillId="0" borderId="50" xfId="3" applyBorder="1" applyAlignment="1">
      <alignment horizontal="left"/>
    </xf>
    <xf numFmtId="0" fontId="1" fillId="0" borderId="13" xfId="3" applyBorder="1" applyAlignment="1">
      <alignment horizontal="left"/>
    </xf>
    <xf numFmtId="0" fontId="1" fillId="0" borderId="54" xfId="3" applyBorder="1" applyAlignment="1">
      <alignment horizontal="left"/>
    </xf>
    <xf numFmtId="190" fontId="1" fillId="0" borderId="50" xfId="3" applyNumberFormat="1" applyBorder="1" applyAlignment="1">
      <alignment horizontal="center"/>
    </xf>
    <xf numFmtId="190" fontId="1" fillId="0" borderId="13" xfId="3" applyNumberFormat="1" applyBorder="1" applyAlignment="1">
      <alignment horizontal="center"/>
    </xf>
    <xf numFmtId="190" fontId="1" fillId="0" borderId="54" xfId="3" applyNumberFormat="1" applyBorder="1" applyAlignment="1">
      <alignment horizontal="center"/>
    </xf>
    <xf numFmtId="49" fontId="1" fillId="0" borderId="50" xfId="3" applyNumberFormat="1" applyBorder="1" applyAlignment="1">
      <alignment horizontal="center"/>
    </xf>
    <xf numFmtId="49" fontId="1" fillId="0" borderId="13" xfId="3" applyNumberFormat="1" applyBorder="1" applyAlignment="1">
      <alignment horizontal="center"/>
    </xf>
    <xf numFmtId="49" fontId="1" fillId="0" borderId="14" xfId="3" applyNumberFormat="1" applyBorder="1" applyAlignment="1">
      <alignment horizontal="center"/>
    </xf>
    <xf numFmtId="49" fontId="1" fillId="0" borderId="3" xfId="3" applyNumberFormat="1" applyBorder="1"/>
    <xf numFmtId="0" fontId="1" fillId="0" borderId="17" xfId="3" applyBorder="1" applyAlignment="1">
      <alignment horizontal="left"/>
    </xf>
    <xf numFmtId="0" fontId="1" fillId="0" borderId="130" xfId="3" applyBorder="1" applyAlignment="1">
      <alignment horizontal="left"/>
    </xf>
    <xf numFmtId="0" fontId="1" fillId="0" borderId="131" xfId="3" applyBorder="1" applyAlignment="1">
      <alignment horizontal="left"/>
    </xf>
    <xf numFmtId="190" fontId="1" fillId="0" borderId="17" xfId="3" applyNumberFormat="1" applyBorder="1" applyAlignment="1">
      <alignment horizontal="center"/>
    </xf>
    <xf numFmtId="190" fontId="1" fillId="0" borderId="130" xfId="3" applyNumberFormat="1" applyBorder="1" applyAlignment="1">
      <alignment horizontal="center"/>
    </xf>
    <xf numFmtId="190" fontId="1" fillId="0" borderId="131" xfId="3" applyNumberFormat="1" applyBorder="1" applyAlignment="1">
      <alignment horizontal="center"/>
    </xf>
    <xf numFmtId="49" fontId="1" fillId="0" borderId="17" xfId="3" applyNumberFormat="1" applyBorder="1" applyAlignment="1">
      <alignment horizontal="center"/>
    </xf>
    <xf numFmtId="49" fontId="1" fillId="0" borderId="130" xfId="3" applyNumberFormat="1" applyBorder="1" applyAlignment="1">
      <alignment horizontal="center"/>
    </xf>
    <xf numFmtId="49" fontId="1" fillId="0" borderId="16" xfId="3" applyNumberFormat="1" applyBorder="1" applyAlignment="1">
      <alignment horizontal="center"/>
    </xf>
    <xf numFmtId="49" fontId="1" fillId="0" borderId="4" xfId="3" applyNumberFormat="1" applyBorder="1"/>
    <xf numFmtId="0" fontId="1" fillId="0" borderId="31" xfId="3" applyBorder="1" applyAlignment="1">
      <alignment horizontal="left"/>
    </xf>
    <xf numFmtId="0" fontId="1" fillId="0" borderId="132" xfId="3" applyBorder="1" applyAlignment="1">
      <alignment horizontal="left"/>
    </xf>
    <xf numFmtId="0" fontId="1" fillId="0" borderId="133" xfId="3" applyBorder="1" applyAlignment="1">
      <alignment horizontal="left"/>
    </xf>
    <xf numFmtId="190" fontId="1" fillId="0" borderId="31" xfId="3" applyNumberFormat="1" applyBorder="1" applyAlignment="1">
      <alignment horizontal="center"/>
    </xf>
    <xf numFmtId="190" fontId="1" fillId="0" borderId="132" xfId="3" applyNumberFormat="1" applyBorder="1" applyAlignment="1">
      <alignment horizontal="center"/>
    </xf>
    <xf numFmtId="190" fontId="1" fillId="0" borderId="133" xfId="3" applyNumberFormat="1" applyBorder="1" applyAlignment="1">
      <alignment horizontal="center"/>
    </xf>
    <xf numFmtId="49" fontId="1" fillId="0" borderId="31" xfId="3" applyNumberFormat="1" applyBorder="1" applyAlignment="1">
      <alignment horizontal="center"/>
    </xf>
    <xf numFmtId="49" fontId="1" fillId="0" borderId="132" xfId="3" applyNumberFormat="1" applyBorder="1" applyAlignment="1">
      <alignment horizontal="center"/>
    </xf>
    <xf numFmtId="49" fontId="1" fillId="0" borderId="32" xfId="3" applyNumberFormat="1" applyBorder="1" applyAlignment="1">
      <alignment horizontal="center"/>
    </xf>
    <xf numFmtId="184" fontId="2" fillId="0" borderId="0" xfId="0" applyNumberFormat="1" applyFont="1" applyAlignment="1">
      <alignment horizontal="center"/>
    </xf>
    <xf numFmtId="2" fontId="7" fillId="0" borderId="36" xfId="0" applyNumberFormat="1" applyFont="1" applyFill="1" applyBorder="1" applyAlignment="1">
      <alignment horizontal="center"/>
    </xf>
    <xf numFmtId="184" fontId="2" fillId="0" borderId="36" xfId="0" applyNumberFormat="1" applyFont="1" applyFill="1" applyBorder="1" applyAlignment="1">
      <alignment horizontal="center"/>
    </xf>
    <xf numFmtId="184" fontId="2" fillId="0" borderId="134" xfId="0" applyNumberFormat="1" applyFont="1" applyFill="1" applyBorder="1" applyAlignment="1">
      <alignment horizontal="center"/>
    </xf>
    <xf numFmtId="2" fontId="4" fillId="0" borderId="40" xfId="0" applyNumberFormat="1" applyFont="1" applyFill="1" applyBorder="1" applyAlignment="1">
      <alignment horizontal="left"/>
    </xf>
    <xf numFmtId="184" fontId="13" fillId="0" borderId="40" xfId="0" applyNumberFormat="1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right"/>
    </xf>
    <xf numFmtId="2" fontId="7" fillId="0" borderId="23" xfId="0" applyNumberFormat="1" applyFont="1" applyFill="1" applyBorder="1" applyAlignment="1">
      <alignment horizontal="right"/>
    </xf>
    <xf numFmtId="184" fontId="2" fillId="0" borderId="0" xfId="0" applyNumberFormat="1" applyFont="1" applyFill="1" applyBorder="1" applyAlignment="1">
      <alignment horizontal="centerContinuous"/>
    </xf>
    <xf numFmtId="184" fontId="2" fillId="0" borderId="0" xfId="0" applyNumberFormat="1" applyFont="1" applyBorder="1" applyAlignment="1">
      <alignment horizontal="centerContinuous"/>
    </xf>
    <xf numFmtId="184" fontId="2" fillId="0" borderId="23" xfId="0" applyNumberFormat="1" applyFont="1" applyFill="1" applyBorder="1" applyAlignment="1">
      <alignment horizontal="centerContinuous"/>
    </xf>
    <xf numFmtId="0" fontId="6" fillId="0" borderId="0" xfId="4" applyFont="1" applyAlignment="1">
      <alignment horizontal="right"/>
    </xf>
    <xf numFmtId="0" fontId="6" fillId="0" borderId="0" xfId="4" applyFont="1" applyAlignment="1">
      <alignment horizontal="center"/>
    </xf>
    <xf numFmtId="0" fontId="1" fillId="0" borderId="0" xfId="4"/>
    <xf numFmtId="0" fontId="15" fillId="0" borderId="0" xfId="4" applyFont="1"/>
    <xf numFmtId="0" fontId="48" fillId="0" borderId="0" xfId="4" applyFont="1"/>
    <xf numFmtId="0" fontId="49" fillId="0" borderId="26" xfId="4" applyFont="1" applyBorder="1" applyAlignment="1">
      <alignment horizontal="center"/>
    </xf>
    <xf numFmtId="0" fontId="49" fillId="0" borderId="28" xfId="4" applyFont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50" fillId="0" borderId="17" xfId="4" applyFont="1" applyBorder="1" applyAlignment="1">
      <alignment horizontal="center"/>
    </xf>
    <xf numFmtId="0" fontId="22" fillId="0" borderId="130" xfId="4" applyFont="1" applyBorder="1" applyAlignment="1">
      <alignment horizontal="center"/>
    </xf>
    <xf numFmtId="0" fontId="22" fillId="0" borderId="131" xfId="4" applyFont="1" applyBorder="1" applyAlignment="1">
      <alignment horizontal="center"/>
    </xf>
    <xf numFmtId="0" fontId="49" fillId="0" borderId="1" xfId="4" applyFont="1" applyBorder="1" applyAlignment="1">
      <alignment horizontal="center"/>
    </xf>
    <xf numFmtId="0" fontId="49" fillId="0" borderId="1" xfId="4" applyFont="1" applyBorder="1" applyAlignment="1">
      <alignment horizontal="right"/>
    </xf>
    <xf numFmtId="0" fontId="48" fillId="0" borderId="1" xfId="4" applyFont="1" applyBorder="1" applyAlignment="1">
      <alignment horizontal="center"/>
    </xf>
    <xf numFmtId="0" fontId="22" fillId="0" borderId="17" xfId="4" applyFont="1" applyBorder="1" applyAlignment="1">
      <alignment horizontal="center"/>
    </xf>
    <xf numFmtId="0" fontId="49" fillId="0" borderId="1" xfId="4" applyFont="1" applyBorder="1" applyAlignment="1">
      <alignment horizontal="center"/>
    </xf>
    <xf numFmtId="0" fontId="48" fillId="0" borderId="17" xfId="4" applyFont="1" applyBorder="1" applyAlignment="1">
      <alignment horizontal="right"/>
    </xf>
    <xf numFmtId="0" fontId="48" fillId="0" borderId="130" xfId="4" applyFont="1" applyBorder="1" applyAlignment="1">
      <alignment horizontal="right"/>
    </xf>
    <xf numFmtId="0" fontId="48" fillId="0" borderId="130" xfId="4" applyFont="1" applyBorder="1" applyAlignment="1">
      <alignment horizontal="center"/>
    </xf>
    <xf numFmtId="0" fontId="48" fillId="0" borderId="131" xfId="4" quotePrefix="1" applyFont="1" applyBorder="1" applyAlignment="1">
      <alignment horizontal="center"/>
    </xf>
    <xf numFmtId="0" fontId="48" fillId="0" borderId="131" xfId="4" applyFont="1" applyBorder="1" applyAlignment="1">
      <alignment horizontal="center"/>
    </xf>
    <xf numFmtId="0" fontId="49" fillId="0" borderId="0" xfId="4" applyFont="1" applyAlignment="1">
      <alignment horizontal="right"/>
    </xf>
    <xf numFmtId="0" fontId="22" fillId="0" borderId="0" xfId="4" applyFont="1" applyAlignment="1">
      <alignment horizontal="center"/>
    </xf>
    <xf numFmtId="0" fontId="49" fillId="0" borderId="0" xfId="4" applyFont="1" applyAlignment="1">
      <alignment horizontal="right"/>
    </xf>
  </cellXfs>
  <cellStyles count="5">
    <cellStyle name="Normal" xfId="0" builtinId="0"/>
    <cellStyle name="Normal 2" xfId="1"/>
    <cellStyle name="Normal 3" xfId="4"/>
    <cellStyle name="Normal_OPTEST" xfId="2"/>
    <cellStyle name="Normal_PROJ_REV_HIST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9.9999997764825821E-3</c:v>
                </c:pt>
                <c:pt idx="2">
                  <c:v>5.000000074505806E-2</c:v>
                </c:pt>
                <c:pt idx="3" formatCode="0.00">
                  <c:v>0.10000000149011612</c:v>
                </c:pt>
                <c:pt idx="4" formatCode="0.00">
                  <c:v>0.15000000596046448</c:v>
                </c:pt>
                <c:pt idx="5" formatCode="0.00">
                  <c:v>0.20000000298023224</c:v>
                </c:pt>
                <c:pt idx="6" formatCode="0.00">
                  <c:v>0.30000001192092896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98.940094317904425</c:v>
                </c:pt>
                <c:pt idx="2">
                  <c:v>266</c:v>
                </c:pt>
                <c:pt idx="3">
                  <c:v>202.53980852474194</c:v>
                </c:pt>
                <c:pt idx="4">
                  <c:v>157.12053297453753</c:v>
                </c:pt>
                <c:pt idx="5">
                  <c:v>135.36144574549286</c:v>
                </c:pt>
                <c:pt idx="6">
                  <c:v>121.46772570526655</c:v>
                </c:pt>
                <c:pt idx="7">
                  <c:v>116.3079183732597</c:v>
                </c:pt>
                <c:pt idx="8">
                  <c:v>114</c:v>
                </c:pt>
                <c:pt idx="9">
                  <c:v>114.00956849138745</c:v>
                </c:pt>
                <c:pt idx="10">
                  <c:v>114.1069832848555</c:v>
                </c:pt>
                <c:pt idx="11">
                  <c:v>114.14390475994399</c:v>
                </c:pt>
                <c:pt idx="12">
                  <c:v>114.19368101504031</c:v>
                </c:pt>
                <c:pt idx="13">
                  <c:v>114</c:v>
                </c:pt>
              </c:numCache>
            </c:numRef>
          </c:yVal>
          <c:smooth val="1"/>
        </c:ser>
        <c:ser>
          <c:idx val="2"/>
          <c:order val="2"/>
          <c:spPr>
            <a:ln w="12700">
              <a:pattFill prst="pct7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9.9999997764825821E-3</c:v>
                </c:pt>
                <c:pt idx="2">
                  <c:v>5.000000074505806E-2</c:v>
                </c:pt>
                <c:pt idx="3" formatCode="0.00">
                  <c:v>0.10000000149011612</c:v>
                </c:pt>
                <c:pt idx="4" formatCode="0.00">
                  <c:v>0.15000000596046448</c:v>
                </c:pt>
                <c:pt idx="5" formatCode="0.00">
                  <c:v>0.20000000298023224</c:v>
                </c:pt>
                <c:pt idx="6" formatCode="0.00">
                  <c:v>0.30000001192092896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DesignSheet!$A$100:$A$113</c:f>
              <c:numCache>
                <c:formatCode>0.0</c:formatCode>
                <c:ptCount val="14"/>
                <c:pt idx="0">
                  <c:v>100</c:v>
                </c:pt>
                <c:pt idx="1">
                  <c:v>98</c:v>
                </c:pt>
                <c:pt idx="2">
                  <c:v>87</c:v>
                </c:pt>
                <c:pt idx="3">
                  <c:v>74</c:v>
                </c:pt>
                <c:pt idx="4">
                  <c:v>61</c:v>
                </c:pt>
                <c:pt idx="5">
                  <c:v>50</c:v>
                </c:pt>
                <c:pt idx="6">
                  <c:v>33</c:v>
                </c:pt>
                <c:pt idx="7">
                  <c:v>22</c:v>
                </c:pt>
                <c:pt idx="8">
                  <c:v>14</c:v>
                </c:pt>
                <c:pt idx="9">
                  <c:v>7.9999995231628418</c:v>
                </c:pt>
                <c:pt idx="10">
                  <c:v>5.9999995231628418</c:v>
                </c:pt>
                <c:pt idx="11">
                  <c:v>8.0000009536743164</c:v>
                </c:pt>
                <c:pt idx="12">
                  <c:v>14.999996185302734</c:v>
                </c:pt>
                <c:pt idx="13">
                  <c:v>30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178368"/>
        <c:axId val="313414784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9.9999997764825821E-3</c:v>
                </c:pt>
                <c:pt idx="2">
                  <c:v>5.000000074505806E-2</c:v>
                </c:pt>
                <c:pt idx="3" formatCode="0.00">
                  <c:v>0.10000000149011612</c:v>
                </c:pt>
                <c:pt idx="4" formatCode="0.00">
                  <c:v>0.15000000596046448</c:v>
                </c:pt>
                <c:pt idx="5" formatCode="0.00">
                  <c:v>0.20000000298023224</c:v>
                </c:pt>
                <c:pt idx="6" formatCode="0.00">
                  <c:v>0.30000001192092896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0.31496918201446533</c:v>
                </c:pt>
                <c:pt idx="1">
                  <c:v>109.97640228271484</c:v>
                </c:pt>
                <c:pt idx="2">
                  <c:v>378.25534057617187</c:v>
                </c:pt>
                <c:pt idx="3">
                  <c:v>489.96328735351562</c:v>
                </c:pt>
                <c:pt idx="4">
                  <c:v>528.26824951171875</c:v>
                </c:pt>
                <c:pt idx="5">
                  <c:v>547.04254150390625</c:v>
                </c:pt>
                <c:pt idx="6">
                  <c:v>568.64849853515625</c:v>
                </c:pt>
                <c:pt idx="7">
                  <c:v>584.0496826171875</c:v>
                </c:pt>
                <c:pt idx="8">
                  <c:v>597.1121826171875</c:v>
                </c:pt>
                <c:pt idx="9">
                  <c:v>608.13690185546875</c:v>
                </c:pt>
                <c:pt idx="10">
                  <c:v>617.94244384765625</c:v>
                </c:pt>
                <c:pt idx="11">
                  <c:v>625.84185791015625</c:v>
                </c:pt>
                <c:pt idx="12">
                  <c:v>632.619384765625</c:v>
                </c:pt>
                <c:pt idx="13">
                  <c:v>638.4615478515625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3416704"/>
        <c:axId val="313564160"/>
      </c:scatterChart>
      <c:valAx>
        <c:axId val="313178368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13414784"/>
        <c:crossesAt val="0"/>
        <c:crossBetween val="midCat"/>
        <c:majorUnit val="0.2"/>
        <c:minorUnit val="0.2"/>
      </c:valAx>
      <c:valAx>
        <c:axId val="313414784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13178368"/>
        <c:crosses val="max"/>
        <c:crossBetween val="midCat"/>
        <c:majorUnit val="50"/>
        <c:minorUnit val="50"/>
      </c:valAx>
      <c:valAx>
        <c:axId val="313416704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313564160"/>
        <c:crosses val="autoZero"/>
        <c:crossBetween val="midCat"/>
      </c:valAx>
      <c:valAx>
        <c:axId val="313564160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13416704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4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238125</xdr:colOff>
      <xdr:row>35</xdr:row>
      <xdr:rowOff>114300</xdr:rowOff>
    </xdr:from>
    <xdr:to>
      <xdr:col>3</xdr:col>
      <xdr:colOff>542925</xdr:colOff>
      <xdr:row>36</xdr:row>
      <xdr:rowOff>9525</xdr:rowOff>
    </xdr:to>
    <xdr:sp macro="" textlink="">
      <xdr:nvSpPr>
        <xdr:cNvPr id="7" name="Depth2"/>
        <xdr:cNvSpPr txBox="1">
          <a:spLocks noChangeArrowheads="1"/>
        </xdr:cNvSpPr>
      </xdr:nvSpPr>
      <xdr:spPr bwMode="auto">
        <a:xfrm>
          <a:off x="1971675" y="8181975"/>
          <a:ext cx="3048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32.05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/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2.00</a:t>
          </a:r>
        </a:p>
      </xdr:txBody>
    </xdr:sp>
    <xdr:clientData/>
  </xdr:twoCellAnchor>
  <xdr:twoCellAnchor>
    <xdr:from>
      <xdr:col>2</xdr:col>
      <xdr:colOff>228600</xdr:colOff>
      <xdr:row>33</xdr:row>
      <xdr:rowOff>57150</xdr:rowOff>
    </xdr:from>
    <xdr:to>
      <xdr:col>3</xdr:col>
      <xdr:colOff>38100</xdr:colOff>
      <xdr:row>33</xdr:row>
      <xdr:rowOff>152400</xdr:rowOff>
    </xdr:to>
    <xdr:sp macro="" textlink="">
      <xdr:nvSpPr>
        <xdr:cNvPr id="9" name="Opening"/>
        <xdr:cNvSpPr txBox="1">
          <a:spLocks noChangeArrowheads="1"/>
        </xdr:cNvSpPr>
      </xdr:nvSpPr>
      <xdr:spPr bwMode="auto">
        <a:xfrm>
          <a:off x="1447800" y="7667625"/>
          <a:ext cx="3238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180975</xdr:colOff>
      <xdr:row>36</xdr:row>
      <xdr:rowOff>171450</xdr:rowOff>
    </xdr:from>
    <xdr:to>
      <xdr:col>3</xdr:col>
      <xdr:colOff>38100</xdr:colOff>
      <xdr:row>37</xdr:row>
      <xdr:rowOff>38100</xdr:rowOff>
    </xdr:to>
    <xdr:sp macro="" textlink="">
      <xdr:nvSpPr>
        <xdr:cNvPr id="10" name="Width3"/>
        <xdr:cNvSpPr txBox="1">
          <a:spLocks noChangeArrowheads="1"/>
        </xdr:cNvSpPr>
      </xdr:nvSpPr>
      <xdr:spPr bwMode="auto">
        <a:xfrm>
          <a:off x="1400175" y="8467725"/>
          <a:ext cx="371475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8.05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/>
        <xdr:cNvGrpSpPr>
          <a:grpSpLocks/>
        </xdr:cNvGrpSpPr>
      </xdr:nvGrpSpPr>
      <xdr:grpSpPr bwMode="auto">
        <a:xfrm>
          <a:off x="1323975" y="7791450"/>
          <a:ext cx="809625" cy="904875"/>
          <a:chOff x="133" y="794"/>
          <a:chExt cx="85" cy="95"/>
        </a:xfrm>
      </xdr:grpSpPr>
      <xdr:sp macro="" textlink="">
        <xdr:nvSpPr>
          <xdr:cNvPr id="12" name="Line 62"/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/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/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/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/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/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/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/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/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/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/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/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/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/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/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/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/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/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/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/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/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/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/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/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/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/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/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180975</xdr:colOff>
      <xdr:row>29</xdr:row>
      <xdr:rowOff>76200</xdr:rowOff>
    </xdr:from>
    <xdr:to>
      <xdr:col>3</xdr:col>
      <xdr:colOff>447675</xdr:colOff>
      <xdr:row>29</xdr:row>
      <xdr:rowOff>200025</xdr:rowOff>
    </xdr:to>
    <xdr:sp macro="" textlink="">
      <xdr:nvSpPr>
        <xdr:cNvPr id="40" name="Depth"/>
        <xdr:cNvSpPr txBox="1">
          <a:spLocks noChangeArrowheads="1"/>
        </xdr:cNvSpPr>
      </xdr:nvSpPr>
      <xdr:spPr bwMode="auto">
        <a:xfrm>
          <a:off x="1914525" y="6772275"/>
          <a:ext cx="26670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52.0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95250</xdr:colOff>
      <xdr:row>31</xdr:row>
      <xdr:rowOff>95250</xdr:rowOff>
    </xdr:to>
    <xdr:sp macro="" textlink="">
      <xdr:nvSpPr>
        <xdr:cNvPr id="41" name="Tip"/>
        <xdr:cNvSpPr txBox="1">
          <a:spLocks noChangeArrowheads="1"/>
        </xdr:cNvSpPr>
      </xdr:nvSpPr>
      <xdr:spPr bwMode="auto">
        <a:xfrm>
          <a:off x="923925" y="7143750"/>
          <a:ext cx="3905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/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10.8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/>
        <xdr:cNvGrpSpPr>
          <a:grpSpLocks/>
        </xdr:cNvGrpSpPr>
      </xdr:nvGrpSpPr>
      <xdr:grpSpPr bwMode="auto">
        <a:xfrm>
          <a:off x="1219200" y="6286500"/>
          <a:ext cx="942975" cy="1076325"/>
          <a:chOff x="128" y="636"/>
          <a:chExt cx="99" cy="113"/>
        </a:xfrm>
      </xdr:grpSpPr>
      <xdr:sp macro="" textlink="">
        <xdr:nvSpPr>
          <xdr:cNvPr id="44" name="Line 162"/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/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/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/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/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/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/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/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/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/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/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/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/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/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/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/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/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/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/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/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/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/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/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/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/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69" name="Radius"/>
        <xdr:cNvSpPr txBox="1">
          <a:spLocks noChangeArrowheads="1"/>
        </xdr:cNvSpPr>
      </xdr:nvSpPr>
      <xdr:spPr bwMode="auto">
        <a:xfrm>
          <a:off x="1828800" y="9801225"/>
          <a:ext cx="3238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402.7</a:t>
          </a:r>
        </a:p>
      </xdr:txBody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70" name="Height"/>
        <xdr:cNvSpPr txBox="1">
          <a:spLocks noChangeArrowheads="1"/>
        </xdr:cNvSpPr>
      </xdr:nvSpPr>
      <xdr:spPr bwMode="auto">
        <a:xfrm>
          <a:off x="1781175" y="9439275"/>
          <a:ext cx="2667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30.0</a:t>
          </a:r>
        </a:p>
      </xdr:txBody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71" name="Clear"/>
        <xdr:cNvSpPr txBox="1">
          <a:spLocks noChangeArrowheads="1"/>
        </xdr:cNvSpPr>
      </xdr:nvSpPr>
      <xdr:spPr bwMode="auto">
        <a:xfrm>
          <a:off x="1400175" y="952500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45.0</a:t>
          </a:r>
        </a:p>
      </xdr:txBody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72" name="Thickness"/>
        <xdr:cNvSpPr txBox="1">
          <a:spLocks noChangeArrowheads="1"/>
        </xdr:cNvSpPr>
      </xdr:nvSpPr>
      <xdr:spPr bwMode="auto">
        <a:xfrm>
          <a:off x="1695450" y="9667875"/>
          <a:ext cx="28575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60.0</a:t>
          </a:r>
        </a:p>
      </xdr:txBody>
    </xdr:sp>
    <xdr:clientData/>
  </xdr:twoCellAnchor>
  <xdr:twoCellAnchor>
    <xdr:from>
      <xdr:col>1</xdr:col>
      <xdr:colOff>285750</xdr:colOff>
      <xdr:row>39</xdr:row>
      <xdr:rowOff>161925</xdr:rowOff>
    </xdr:from>
    <xdr:to>
      <xdr:col>3</xdr:col>
      <xdr:colOff>504825</xdr:colOff>
      <xdr:row>43</xdr:row>
      <xdr:rowOff>0</xdr:rowOff>
    </xdr:to>
    <xdr:grpSp>
      <xdr:nvGrpSpPr>
        <xdr:cNvPr id="73" name="Group 191"/>
        <xdr:cNvGrpSpPr>
          <a:grpSpLocks/>
        </xdr:cNvGrpSpPr>
      </xdr:nvGrpSpPr>
      <xdr:grpSpPr bwMode="auto">
        <a:xfrm>
          <a:off x="1095375" y="9144000"/>
          <a:ext cx="1143000" cy="752475"/>
          <a:chOff x="93" y="938"/>
          <a:chExt cx="120" cy="79"/>
        </a:xfrm>
      </xdr:grpSpPr>
      <xdr:sp macro="" textlink="">
        <xdr:nvSpPr>
          <xdr:cNvPr id="74" name="Line 192"/>
          <xdr:cNvSpPr>
            <a:spLocks noChangeShapeType="1"/>
          </xdr:cNvSpPr>
        </xdr:nvSpPr>
        <xdr:spPr bwMode="auto">
          <a:xfrm flipH="1">
            <a:off x="189" y="96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193"/>
          <xdr:cNvSpPr>
            <a:spLocks noChangeShapeType="1"/>
          </xdr:cNvSpPr>
        </xdr:nvSpPr>
        <xdr:spPr bwMode="auto">
          <a:xfrm flipV="1">
            <a:off x="154" y="986"/>
            <a:ext cx="0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194"/>
          <xdr:cNvSpPr>
            <a:spLocks noChangeShapeType="1"/>
          </xdr:cNvSpPr>
        </xdr:nvSpPr>
        <xdr:spPr bwMode="auto">
          <a:xfrm flipV="1">
            <a:off x="186" y="987"/>
            <a:ext cx="0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195"/>
          <xdr:cNvSpPr>
            <a:spLocks noChangeShapeType="1"/>
          </xdr:cNvSpPr>
        </xdr:nvSpPr>
        <xdr:spPr bwMode="auto">
          <a:xfrm flipV="1">
            <a:off x="155" y="991"/>
            <a:ext cx="3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196"/>
          <xdr:cNvSpPr>
            <a:spLocks noChangeShapeType="1"/>
          </xdr:cNvSpPr>
        </xdr:nvSpPr>
        <xdr:spPr bwMode="auto">
          <a:xfrm flipV="1">
            <a:off x="200" y="965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Line 197"/>
          <xdr:cNvSpPr>
            <a:spLocks noChangeShapeType="1"/>
          </xdr:cNvSpPr>
        </xdr:nvSpPr>
        <xdr:spPr bwMode="auto">
          <a:xfrm flipV="1">
            <a:off x="162" y="964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" name="Text 583"/>
          <xdr:cNvSpPr txBox="1">
            <a:spLocks noChangeArrowheads="1"/>
          </xdr:cNvSpPr>
        </xdr:nvSpPr>
        <xdr:spPr bwMode="auto">
          <a:xfrm>
            <a:off x="200" y="1007"/>
            <a:ext cx="13" cy="10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  <xdr:grpSp>
        <xdr:nvGrpSpPr>
          <xdr:cNvPr id="81" name="Group 199"/>
          <xdr:cNvGrpSpPr>
            <a:grpSpLocks/>
          </xdr:cNvGrpSpPr>
        </xdr:nvGrpSpPr>
        <xdr:grpSpPr bwMode="auto">
          <a:xfrm>
            <a:off x="93" y="938"/>
            <a:ext cx="93" cy="77"/>
            <a:chOff x="13440000" y="15720000"/>
            <a:chExt cx="1900000" cy="1540000"/>
          </a:xfrm>
        </xdr:grpSpPr>
        <xdr:grpSp>
          <xdr:nvGrpSpPr>
            <xdr:cNvPr id="83" name="Group 200"/>
            <xdr:cNvGrpSpPr>
              <a:grpSpLocks/>
            </xdr:cNvGrpSpPr>
          </xdr:nvGrpSpPr>
          <xdr:grpSpPr bwMode="auto">
            <a:xfrm>
              <a:off x="13440000" y="15720000"/>
              <a:ext cx="1900000" cy="1540000"/>
              <a:chOff x="13440000" y="15720000"/>
              <a:chExt cx="1900000" cy="1540000"/>
            </a:xfrm>
          </xdr:grpSpPr>
          <xdr:sp macro="" textlink="">
            <xdr:nvSpPr>
              <xdr:cNvPr id="85" name="Line 201"/>
              <xdr:cNvSpPr>
                <a:spLocks noChangeShapeType="1"/>
              </xdr:cNvSpPr>
            </xdr:nvSpPr>
            <xdr:spPr bwMode="auto">
              <a:xfrm flipV="1">
                <a:off x="13440000" y="15720000"/>
                <a:ext cx="6200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6" name="Line 202"/>
              <xdr:cNvSpPr>
                <a:spLocks noChangeShapeType="1"/>
              </xdr:cNvSpPr>
            </xdr:nvSpPr>
            <xdr:spPr bwMode="auto">
              <a:xfrm>
                <a:off x="14060000" y="15720000"/>
                <a:ext cx="0" cy="154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7" name="Line 203"/>
              <xdr:cNvSpPr>
                <a:spLocks noChangeShapeType="1"/>
              </xdr:cNvSpPr>
            </xdr:nvSpPr>
            <xdr:spPr bwMode="auto">
              <a:xfrm flipV="1">
                <a:off x="14060000" y="15820000"/>
                <a:ext cx="12600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8" name="Line 204"/>
              <xdr:cNvSpPr>
                <a:spLocks noChangeShapeType="1"/>
              </xdr:cNvSpPr>
            </xdr:nvSpPr>
            <xdr:spPr bwMode="auto">
              <a:xfrm flipH="1">
                <a:off x="15340000" y="15820000"/>
                <a:ext cx="0" cy="82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9" name="Line 205"/>
              <xdr:cNvSpPr>
                <a:spLocks noChangeShapeType="1"/>
              </xdr:cNvSpPr>
            </xdr:nvSpPr>
            <xdr:spPr bwMode="auto">
              <a:xfrm flipV="1">
                <a:off x="14060000" y="16260000"/>
                <a:ext cx="12600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0" name="Line 206"/>
              <xdr:cNvSpPr>
                <a:spLocks noChangeShapeType="1"/>
              </xdr:cNvSpPr>
            </xdr:nvSpPr>
            <xdr:spPr bwMode="auto">
              <a:xfrm flipH="1">
                <a:off x="14700000" y="16280000"/>
                <a:ext cx="0" cy="36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84" name="Line 207"/>
            <xdr:cNvSpPr>
              <a:spLocks noChangeShapeType="1"/>
            </xdr:cNvSpPr>
          </xdr:nvSpPr>
          <xdr:spPr bwMode="auto">
            <a:xfrm flipH="1" flipV="1">
              <a:off x="14720000" y="16640000"/>
              <a:ext cx="6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82" name="Line 208"/>
          <xdr:cNvSpPr>
            <a:spLocks noChangeShapeType="1"/>
          </xdr:cNvSpPr>
        </xdr:nvSpPr>
        <xdr:spPr bwMode="auto">
          <a:xfrm flipV="1">
            <a:off x="124" y="975"/>
            <a:ext cx="2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1" name="Rectangle 210"/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2" name="Rectangle 211"/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93" name="Rectangle 212"/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94" name="Rectangle 213"/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5" name="Rectangle 214"/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J113"/>
  <sheetViews>
    <sheetView tabSelected="1" zoomScale="95" zoomScaleNormal="95" workbookViewId="0"/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</cols>
  <sheetData>
    <row r="1" spans="1:10" ht="18.75">
      <c r="A1" s="35" t="s">
        <v>166</v>
      </c>
      <c r="B1" s="2"/>
      <c r="C1" s="2"/>
      <c r="D1" s="2"/>
      <c r="E1" s="2"/>
      <c r="F1" s="2"/>
      <c r="G1" s="2"/>
      <c r="H1" s="2"/>
      <c r="I1" s="127" t="s">
        <v>0</v>
      </c>
      <c r="J1" s="127" t="s">
        <v>201</v>
      </c>
    </row>
    <row r="2" spans="1:10" ht="18.75">
      <c r="A2" s="35" t="s">
        <v>172</v>
      </c>
      <c r="B2" s="2"/>
      <c r="C2" s="2"/>
      <c r="D2" s="2"/>
      <c r="E2" s="2"/>
      <c r="F2" s="2"/>
      <c r="G2" s="2"/>
      <c r="H2" s="2"/>
      <c r="I2" s="2"/>
      <c r="J2" s="133" t="s">
        <v>202</v>
      </c>
    </row>
    <row r="3" spans="1:10" ht="15" customHeight="1" thickBot="1">
      <c r="A3" s="51" t="s">
        <v>1</v>
      </c>
      <c r="B3" s="98" t="s">
        <v>200</v>
      </c>
      <c r="C3" s="1"/>
      <c r="D3" s="51"/>
      <c r="E3" s="1"/>
      <c r="F3" s="1"/>
      <c r="G3" s="51" t="s">
        <v>2</v>
      </c>
      <c r="H3" s="151">
        <v>41879</v>
      </c>
      <c r="I3" s="51" t="s">
        <v>3</v>
      </c>
      <c r="J3" s="152">
        <v>0.42546296296296293</v>
      </c>
    </row>
    <row r="4" spans="1:10" ht="15" customHeight="1">
      <c r="A4" s="13" t="s">
        <v>4</v>
      </c>
      <c r="B4" s="13" t="s">
        <v>170</v>
      </c>
      <c r="C4" s="13" t="s">
        <v>5</v>
      </c>
      <c r="D4" s="13" t="s">
        <v>171</v>
      </c>
      <c r="E4" s="13" t="s">
        <v>6</v>
      </c>
      <c r="F4" s="13" t="s">
        <v>7</v>
      </c>
      <c r="G4" s="13" t="s">
        <v>174</v>
      </c>
      <c r="H4" s="13" t="s">
        <v>8</v>
      </c>
      <c r="I4" s="13" t="s">
        <v>9</v>
      </c>
      <c r="J4" s="13" t="s">
        <v>10</v>
      </c>
    </row>
    <row r="5" spans="1:10" ht="15" customHeight="1" thickBot="1">
      <c r="A5" s="52">
        <v>6</v>
      </c>
      <c r="B5" s="115">
        <v>600</v>
      </c>
      <c r="C5" s="145">
        <v>1200</v>
      </c>
      <c r="D5" s="52" t="s">
        <v>175</v>
      </c>
      <c r="E5" s="145">
        <v>4000</v>
      </c>
      <c r="F5" s="145">
        <v>60</v>
      </c>
      <c r="G5" s="52">
        <v>105</v>
      </c>
      <c r="H5" s="80" t="s">
        <v>234</v>
      </c>
      <c r="I5" s="79" t="s">
        <v>239</v>
      </c>
      <c r="J5" s="52" t="s">
        <v>176</v>
      </c>
    </row>
    <row r="6" spans="1:10" ht="15" customHeight="1" thickBot="1">
      <c r="A6" s="24" t="s">
        <v>11</v>
      </c>
      <c r="B6" s="25"/>
      <c r="C6" s="26"/>
      <c r="D6" s="110" t="s">
        <v>12</v>
      </c>
      <c r="E6" s="43" t="s">
        <v>250</v>
      </c>
      <c r="F6" s="15"/>
      <c r="G6" s="16"/>
      <c r="H6" s="44" t="s">
        <v>13</v>
      </c>
      <c r="I6" s="19"/>
      <c r="J6" s="30"/>
    </row>
    <row r="7" spans="1:10" ht="15" customHeight="1" thickBot="1">
      <c r="A7" s="147"/>
      <c r="B7" s="4" t="s">
        <v>14</v>
      </c>
      <c r="C7" s="17" t="s">
        <v>15</v>
      </c>
      <c r="D7" s="147"/>
      <c r="E7" s="19"/>
      <c r="F7" s="4" t="s">
        <v>16</v>
      </c>
      <c r="G7" s="17" t="s">
        <v>17</v>
      </c>
      <c r="H7" s="11" t="s">
        <v>18</v>
      </c>
      <c r="I7" s="70">
        <v>20.507601388888887</v>
      </c>
      <c r="J7" s="108" t="s">
        <v>19</v>
      </c>
    </row>
    <row r="8" spans="1:10" ht="15" customHeight="1">
      <c r="A8" s="7" t="s">
        <v>20</v>
      </c>
      <c r="B8" s="71">
        <v>1.6000000238418579</v>
      </c>
      <c r="C8" s="54"/>
      <c r="D8" s="7"/>
      <c r="E8" s="53"/>
      <c r="F8" s="4"/>
      <c r="G8" s="17"/>
      <c r="H8" s="11" t="s">
        <v>21</v>
      </c>
      <c r="I8" s="70">
        <v>25.72796862895083</v>
      </c>
      <c r="J8" s="105" t="s">
        <v>22</v>
      </c>
    </row>
    <row r="9" spans="1:10" ht="15" customHeight="1" thickBot="1">
      <c r="A9" s="7" t="s">
        <v>23</v>
      </c>
      <c r="B9" s="71">
        <v>0.93000000715255737</v>
      </c>
      <c r="C9" s="54"/>
      <c r="D9" s="7" t="s">
        <v>24</v>
      </c>
      <c r="E9" s="55" t="s">
        <v>183</v>
      </c>
      <c r="F9" s="109" t="s">
        <v>25</v>
      </c>
      <c r="G9" s="31"/>
      <c r="H9" s="11" t="s">
        <v>26</v>
      </c>
      <c r="I9" s="71">
        <v>23.11778500891986</v>
      </c>
      <c r="J9" s="106">
        <v>717.15793235706076</v>
      </c>
    </row>
    <row r="10" spans="1:10" ht="15" customHeight="1">
      <c r="A10" s="7" t="s">
        <v>27</v>
      </c>
      <c r="B10" s="71">
        <v>530</v>
      </c>
      <c r="C10" s="75">
        <v>530</v>
      </c>
      <c r="D10" s="7"/>
      <c r="E10" s="53"/>
      <c r="F10" s="119" t="s">
        <v>196</v>
      </c>
      <c r="G10" s="117" t="s">
        <v>197</v>
      </c>
      <c r="H10" s="11" t="s">
        <v>28</v>
      </c>
      <c r="I10" s="70">
        <v>12.945443910688326</v>
      </c>
      <c r="J10" s="105" t="s">
        <v>29</v>
      </c>
    </row>
    <row r="11" spans="1:10" ht="15" customHeight="1" thickBot="1">
      <c r="A11" s="7" t="s">
        <v>30</v>
      </c>
      <c r="B11" s="71">
        <v>670</v>
      </c>
      <c r="C11" s="75">
        <v>466.79999995231628</v>
      </c>
      <c r="D11" s="7" t="s">
        <v>31</v>
      </c>
      <c r="E11" s="70">
        <v>0.83324999999999994</v>
      </c>
      <c r="F11" s="120"/>
      <c r="G11" s="116"/>
      <c r="H11" s="11" t="s">
        <v>32</v>
      </c>
      <c r="I11" s="70">
        <v>24.935380813830218</v>
      </c>
      <c r="J11" s="106">
        <v>23140.208896996948</v>
      </c>
    </row>
    <row r="12" spans="1:10" ht="15" customHeight="1">
      <c r="A12" s="7" t="s">
        <v>33</v>
      </c>
      <c r="B12" s="71">
        <v>470</v>
      </c>
      <c r="C12" s="75">
        <v>300</v>
      </c>
      <c r="D12" s="7" t="s">
        <v>34</v>
      </c>
      <c r="E12" s="140" t="s">
        <v>173</v>
      </c>
      <c r="F12" s="126" t="s">
        <v>189</v>
      </c>
      <c r="G12" s="118" t="s">
        <v>188</v>
      </c>
      <c r="H12" s="11" t="s">
        <v>35</v>
      </c>
      <c r="I12" s="70">
        <v>1.209508087089864</v>
      </c>
      <c r="J12" s="105" t="s">
        <v>36</v>
      </c>
    </row>
    <row r="13" spans="1:10" ht="15" customHeight="1" thickBot="1">
      <c r="A13" s="7" t="s">
        <v>37</v>
      </c>
      <c r="B13" s="71">
        <v>48</v>
      </c>
      <c r="C13" s="75">
        <v>51.350000739097595</v>
      </c>
      <c r="D13" s="7" t="s">
        <v>38</v>
      </c>
      <c r="E13" s="72">
        <v>28</v>
      </c>
      <c r="F13" s="126"/>
      <c r="G13" s="118" t="s">
        <v>190</v>
      </c>
      <c r="H13" s="11" t="s">
        <v>39</v>
      </c>
      <c r="I13" s="70">
        <v>1.0317856711729467</v>
      </c>
      <c r="J13" s="106">
        <v>77.177078247070312</v>
      </c>
    </row>
    <row r="14" spans="1:10" ht="15" customHeight="1" thickBot="1">
      <c r="A14" s="136" t="s">
        <v>40</v>
      </c>
      <c r="B14" s="137">
        <v>390.60000610351562</v>
      </c>
      <c r="C14" s="138">
        <v>390.60000610351562</v>
      </c>
      <c r="D14" s="7" t="s">
        <v>41</v>
      </c>
      <c r="E14" s="53" t="s">
        <v>184</v>
      </c>
      <c r="F14" s="53" t="s">
        <v>192</v>
      </c>
      <c r="G14" s="118" t="s">
        <v>191</v>
      </c>
      <c r="H14" s="51" t="s">
        <v>42</v>
      </c>
      <c r="I14" s="70">
        <v>1.2479531134271222</v>
      </c>
      <c r="J14" s="105" t="s">
        <v>43</v>
      </c>
    </row>
    <row r="15" spans="1:10" ht="15" customHeight="1" thickBot="1">
      <c r="A15" s="14" t="s">
        <v>44</v>
      </c>
      <c r="B15" s="143"/>
      <c r="C15" s="144"/>
      <c r="D15" s="7" t="s">
        <v>45</v>
      </c>
      <c r="E15" s="53" t="s">
        <v>173</v>
      </c>
      <c r="F15" s="53"/>
      <c r="G15" s="118"/>
      <c r="H15" s="11" t="s">
        <v>46</v>
      </c>
      <c r="I15" s="70">
        <v>0.96589165240170005</v>
      </c>
      <c r="J15" s="106">
        <v>13.746837797619047</v>
      </c>
    </row>
    <row r="16" spans="1:10" ht="15" customHeight="1">
      <c r="A16" s="7" t="s">
        <v>47</v>
      </c>
      <c r="B16" s="53">
        <v>72</v>
      </c>
      <c r="C16" s="54">
        <v>57</v>
      </c>
      <c r="D16" s="7" t="s">
        <v>48</v>
      </c>
      <c r="E16" s="53">
        <v>2</v>
      </c>
      <c r="F16" s="53"/>
      <c r="G16" s="118"/>
      <c r="H16" s="11" t="s">
        <v>49</v>
      </c>
      <c r="I16" s="70">
        <v>0.95749474318512517</v>
      </c>
      <c r="J16" s="107" t="s">
        <v>50</v>
      </c>
    </row>
    <row r="17" spans="1:10" ht="15" customHeight="1" thickBot="1">
      <c r="A17" s="7" t="s">
        <v>51</v>
      </c>
      <c r="B17" s="53" t="s">
        <v>177</v>
      </c>
      <c r="C17" s="54" t="s">
        <v>178</v>
      </c>
      <c r="D17" s="98" t="s">
        <v>52</v>
      </c>
      <c r="E17" s="53" t="s">
        <v>185</v>
      </c>
      <c r="F17" s="53"/>
      <c r="G17" s="118"/>
      <c r="H17" s="11" t="s">
        <v>53</v>
      </c>
      <c r="I17" s="70">
        <v>0.92483617966102194</v>
      </c>
      <c r="J17" s="106">
        <v>526.86761116996979</v>
      </c>
    </row>
    <row r="18" spans="1:10" ht="15" customHeight="1">
      <c r="A18" s="7" t="s">
        <v>54</v>
      </c>
      <c r="B18" s="53" t="s">
        <v>173</v>
      </c>
      <c r="C18" s="75">
        <v>0</v>
      </c>
      <c r="D18" s="7" t="s">
        <v>55</v>
      </c>
      <c r="E18" s="142">
        <v>920</v>
      </c>
      <c r="F18" s="72">
        <v>680</v>
      </c>
      <c r="G18" s="76"/>
      <c r="H18" s="14" t="s">
        <v>56</v>
      </c>
      <c r="I18" s="134" t="s">
        <v>198</v>
      </c>
      <c r="J18" s="135"/>
    </row>
    <row r="19" spans="1:10" ht="15" customHeight="1">
      <c r="A19" s="7" t="s">
        <v>57</v>
      </c>
      <c r="B19" s="71">
        <v>52</v>
      </c>
      <c r="C19" s="75">
        <v>32.049999237060547</v>
      </c>
      <c r="D19" s="7" t="s">
        <v>58</v>
      </c>
      <c r="E19" s="72">
        <v>336</v>
      </c>
      <c r="F19" s="53"/>
      <c r="G19" s="54"/>
      <c r="H19" s="148"/>
      <c r="I19" s="4" t="s">
        <v>59</v>
      </c>
      <c r="J19" s="32" t="s">
        <v>60</v>
      </c>
    </row>
    <row r="20" spans="1:10" ht="15" customHeight="1">
      <c r="A20" s="7" t="s">
        <v>61</v>
      </c>
      <c r="B20" s="71" t="s">
        <v>179</v>
      </c>
      <c r="C20" s="75">
        <v>8.0500001907348633</v>
      </c>
      <c r="D20" s="7" t="s">
        <v>165</v>
      </c>
      <c r="E20" s="69">
        <v>0.30395332073013986</v>
      </c>
      <c r="F20" s="53"/>
      <c r="G20" s="54"/>
      <c r="H20" s="11" t="s">
        <v>62</v>
      </c>
      <c r="I20" s="70">
        <v>21.053691864013672</v>
      </c>
      <c r="J20" s="74">
        <v>21.053691864013672</v>
      </c>
    </row>
    <row r="21" spans="1:10" ht="15" customHeight="1">
      <c r="A21" s="7" t="s">
        <v>63</v>
      </c>
      <c r="B21" s="71">
        <v>10.800000190734863</v>
      </c>
      <c r="C21" s="75">
        <v>3</v>
      </c>
      <c r="D21" s="11" t="s">
        <v>186</v>
      </c>
      <c r="E21" s="69">
        <v>0.40547014690720029</v>
      </c>
      <c r="F21" s="69">
        <v>0.29102188348770142</v>
      </c>
      <c r="G21" s="73">
        <v>8.3101930765083504E-3</v>
      </c>
      <c r="H21" s="11" t="s">
        <v>64</v>
      </c>
      <c r="I21" s="70">
        <v>19.046525955200195</v>
      </c>
      <c r="J21" s="74">
        <v>12.835565567016602</v>
      </c>
    </row>
    <row r="22" spans="1:10" ht="15" customHeight="1">
      <c r="A22" s="7" t="s">
        <v>65</v>
      </c>
      <c r="B22" s="71">
        <v>2.8299999237060547</v>
      </c>
      <c r="C22" s="75">
        <v>2</v>
      </c>
      <c r="D22" s="7" t="s">
        <v>66</v>
      </c>
      <c r="E22" s="53" t="s">
        <v>187</v>
      </c>
      <c r="F22" s="53" t="s">
        <v>187</v>
      </c>
      <c r="G22" s="54" t="s">
        <v>187</v>
      </c>
      <c r="H22" s="11" t="s">
        <v>67</v>
      </c>
      <c r="I22" s="70">
        <v>7.7483835220336914</v>
      </c>
      <c r="J22" s="74">
        <v>5.4142642021179199</v>
      </c>
    </row>
    <row r="23" spans="1:10" ht="15" customHeight="1">
      <c r="A23" s="7" t="s">
        <v>68</v>
      </c>
      <c r="B23" s="71">
        <v>9.7076015472412109</v>
      </c>
      <c r="C23" s="75">
        <v>14.146045684814453</v>
      </c>
      <c r="D23" s="7" t="s">
        <v>69</v>
      </c>
      <c r="E23" s="70">
        <v>1.7419999837875366</v>
      </c>
      <c r="F23" s="70">
        <v>1.7419999837875366</v>
      </c>
      <c r="G23" s="74">
        <v>1.7419999837875366</v>
      </c>
      <c r="H23" s="11" t="s">
        <v>70</v>
      </c>
      <c r="I23" s="70">
        <v>7.9732986221260198</v>
      </c>
      <c r="J23" s="17" t="s">
        <v>199</v>
      </c>
    </row>
    <row r="24" spans="1:10" ht="15" customHeight="1">
      <c r="A24" s="7" t="s">
        <v>71</v>
      </c>
      <c r="B24" s="71">
        <v>0</v>
      </c>
      <c r="C24" s="75">
        <v>0.80000001192092896</v>
      </c>
      <c r="D24" s="7" t="s">
        <v>72</v>
      </c>
      <c r="E24" s="70">
        <v>8.8900003433227539</v>
      </c>
      <c r="F24" s="70">
        <v>8.8900003433227539</v>
      </c>
      <c r="G24" s="74">
        <v>8.8900003433227539</v>
      </c>
      <c r="H24" s="11" t="s">
        <v>73</v>
      </c>
      <c r="I24" s="70">
        <v>4.1825776329721576</v>
      </c>
      <c r="J24" s="74">
        <v>3.1019524760998012</v>
      </c>
    </row>
    <row r="25" spans="1:10" ht="15" customHeight="1">
      <c r="A25" s="7" t="s">
        <v>74</v>
      </c>
      <c r="B25" s="53" t="s">
        <v>173</v>
      </c>
      <c r="C25" s="75">
        <v>0.80000001192092896</v>
      </c>
      <c r="D25" s="111" t="s">
        <v>75</v>
      </c>
      <c r="E25" s="55"/>
      <c r="F25" s="55"/>
      <c r="G25" s="62"/>
      <c r="H25" s="11" t="s">
        <v>76</v>
      </c>
      <c r="I25" s="70">
        <v>0.70480221509933472</v>
      </c>
      <c r="J25" s="74">
        <v>1.2949987649917603</v>
      </c>
    </row>
    <row r="26" spans="1:10" ht="15" customHeight="1">
      <c r="A26" s="7" t="s">
        <v>77</v>
      </c>
      <c r="B26" s="55" t="s">
        <v>180</v>
      </c>
      <c r="C26" s="62" t="s">
        <v>181</v>
      </c>
      <c r="D26" s="11" t="s">
        <v>78</v>
      </c>
      <c r="E26" s="71">
        <v>146.05569515209416</v>
      </c>
      <c r="F26" s="71">
        <v>104.99446005477905</v>
      </c>
      <c r="G26" s="75">
        <v>37.472544054146297</v>
      </c>
      <c r="H26" s="11" t="s">
        <v>79</v>
      </c>
      <c r="I26" s="70">
        <v>6.2234115600585938</v>
      </c>
      <c r="J26" s="74">
        <v>5.206474781036377</v>
      </c>
    </row>
    <row r="27" spans="1:10" ht="15" customHeight="1" thickBot="1">
      <c r="A27" s="7" t="s">
        <v>80</v>
      </c>
      <c r="B27" s="53" t="s">
        <v>182</v>
      </c>
      <c r="C27" s="54" t="s">
        <v>182</v>
      </c>
      <c r="D27" s="12" t="s">
        <v>81</v>
      </c>
      <c r="E27" s="82" t="s">
        <v>173</v>
      </c>
      <c r="F27" s="82" t="s">
        <v>173</v>
      </c>
      <c r="G27" s="84" t="s">
        <v>173</v>
      </c>
      <c r="H27" s="12" t="s">
        <v>82</v>
      </c>
      <c r="I27" s="81">
        <v>6.2631940841674805</v>
      </c>
      <c r="J27" s="83">
        <v>5.3651094436645508</v>
      </c>
    </row>
    <row r="28" spans="1:10" ht="15" customHeight="1">
      <c r="A28" s="7" t="s">
        <v>83</v>
      </c>
      <c r="B28" s="3"/>
      <c r="C28" s="40"/>
      <c r="D28" s="14" t="s">
        <v>84</v>
      </c>
      <c r="E28" s="23"/>
      <c r="F28" s="20"/>
      <c r="G28" s="43"/>
      <c r="H28" s="16"/>
      <c r="I28" s="29" t="s">
        <v>85</v>
      </c>
      <c r="J28" s="16"/>
    </row>
    <row r="29" spans="1:10" ht="15" customHeight="1">
      <c r="A29" s="8"/>
      <c r="B29" s="36" t="s">
        <v>86</v>
      </c>
      <c r="C29" s="77">
        <v>30.027614987316586</v>
      </c>
      <c r="D29" s="8"/>
      <c r="E29" s="4" t="s">
        <v>87</v>
      </c>
      <c r="F29" s="4" t="s">
        <v>88</v>
      </c>
      <c r="G29" s="4" t="s">
        <v>89</v>
      </c>
      <c r="H29" s="17" t="s">
        <v>90</v>
      </c>
      <c r="I29" s="4" t="s">
        <v>91</v>
      </c>
      <c r="J29" s="17" t="s">
        <v>92</v>
      </c>
    </row>
    <row r="30" spans="1:10" ht="15" customHeight="1" thickBot="1">
      <c r="A30" s="9"/>
      <c r="B30" s="65" t="s">
        <v>93</v>
      </c>
      <c r="C30" s="78">
        <v>30.043599093532851</v>
      </c>
      <c r="D30" s="11" t="s">
        <v>94</v>
      </c>
      <c r="E30" s="71">
        <v>17.540544166666667</v>
      </c>
      <c r="F30" s="71">
        <v>374.97600585937499</v>
      </c>
      <c r="G30" s="71">
        <v>14.879909781088491</v>
      </c>
      <c r="H30" s="76">
        <v>305.11691596097705</v>
      </c>
      <c r="I30" s="72">
        <v>36636.44906470515</v>
      </c>
      <c r="J30" s="76">
        <v>2474.5133109993462</v>
      </c>
    </row>
    <row r="31" spans="1:10" ht="15" customHeight="1">
      <c r="A31" s="24" t="s">
        <v>95</v>
      </c>
      <c r="B31" s="149"/>
      <c r="C31" s="28"/>
      <c r="D31" s="11" t="s">
        <v>96</v>
      </c>
      <c r="E31" s="71">
        <v>5.2</v>
      </c>
      <c r="F31" s="71">
        <v>455.01470683234976</v>
      </c>
      <c r="G31" s="71">
        <v>12.262480868154041</v>
      </c>
      <c r="H31" s="76">
        <v>38.712985347619089</v>
      </c>
      <c r="I31" s="72">
        <v>14196.458853169313</v>
      </c>
      <c r="J31" s="76">
        <v>700.87550369239034</v>
      </c>
    </row>
    <row r="32" spans="1:10" ht="15" customHeight="1">
      <c r="A32" s="7" t="s">
        <v>97</v>
      </c>
      <c r="B32" s="70" t="s">
        <v>241</v>
      </c>
      <c r="C32" s="112"/>
      <c r="D32" s="11" t="s">
        <v>98</v>
      </c>
      <c r="E32" s="71">
        <v>10.542652480365694</v>
      </c>
      <c r="F32" s="71">
        <v>401.14621204214109</v>
      </c>
      <c r="G32" s="71">
        <v>13.909165710068482</v>
      </c>
      <c r="H32" s="76">
        <v>136.61345640983848</v>
      </c>
      <c r="I32" s="10" t="s">
        <v>99</v>
      </c>
      <c r="J32" s="76">
        <v>3175.3888146917366</v>
      </c>
    </row>
    <row r="33" spans="1:10" ht="15" customHeight="1">
      <c r="A33" s="7" t="s">
        <v>100</v>
      </c>
      <c r="B33" s="70" t="s">
        <v>242</v>
      </c>
      <c r="C33" s="113" t="s">
        <v>101</v>
      </c>
      <c r="D33" s="11" t="s">
        <v>96</v>
      </c>
      <c r="E33" s="71">
        <v>3.2049999237060547</v>
      </c>
      <c r="F33" s="71">
        <v>524.91732542876798</v>
      </c>
      <c r="G33" s="71">
        <v>10.629500812728594</v>
      </c>
      <c r="H33" s="76">
        <v>14.353291091291119</v>
      </c>
      <c r="I33" s="10" t="s">
        <v>102</v>
      </c>
      <c r="J33" s="75" t="s">
        <v>210</v>
      </c>
    </row>
    <row r="34" spans="1:10" ht="15" customHeight="1" thickBot="1">
      <c r="A34" s="18" t="s">
        <v>103</v>
      </c>
      <c r="B34" s="81" t="s">
        <v>243</v>
      </c>
      <c r="C34" s="114">
        <v>5.5796091372604089</v>
      </c>
      <c r="D34" s="12" t="s">
        <v>20</v>
      </c>
      <c r="E34" s="81">
        <v>0.1600000023841858</v>
      </c>
      <c r="F34" s="82">
        <v>828.22271035614438</v>
      </c>
      <c r="G34" s="82">
        <v>6.7368463427682626</v>
      </c>
      <c r="H34" s="85">
        <v>857.7626543444685</v>
      </c>
      <c r="I34" s="10" t="s">
        <v>104</v>
      </c>
      <c r="J34" s="75">
        <v>6.0500001907348633</v>
      </c>
    </row>
    <row r="35" spans="1:10" ht="15" customHeight="1">
      <c r="A35" s="14" t="s">
        <v>105</v>
      </c>
      <c r="B35" s="15"/>
      <c r="C35" s="15"/>
      <c r="D35" s="139" t="s">
        <v>212</v>
      </c>
      <c r="E35" s="150" t="s">
        <v>211</v>
      </c>
      <c r="F35" s="16"/>
      <c r="G35" s="27" t="s">
        <v>106</v>
      </c>
      <c r="H35" s="87" t="s">
        <v>205</v>
      </c>
      <c r="I35" s="11" t="s">
        <v>107</v>
      </c>
      <c r="J35" s="76" t="s">
        <v>209</v>
      </c>
    </row>
    <row r="36" spans="1:10" ht="15" customHeight="1">
      <c r="A36" s="7" t="s">
        <v>108</v>
      </c>
      <c r="B36" s="4">
        <v>25</v>
      </c>
      <c r="C36" s="4">
        <v>50</v>
      </c>
      <c r="D36" s="4">
        <v>75</v>
      </c>
      <c r="E36" s="4">
        <v>100</v>
      </c>
      <c r="F36" s="17">
        <v>125</v>
      </c>
      <c r="G36" s="11" t="s">
        <v>109</v>
      </c>
      <c r="H36" s="76" t="s">
        <v>203</v>
      </c>
      <c r="I36" s="11" t="s">
        <v>110</v>
      </c>
      <c r="J36" s="76" t="s">
        <v>208</v>
      </c>
    </row>
    <row r="37" spans="1:10" ht="15" customHeight="1" thickBot="1">
      <c r="A37" s="7" t="s">
        <v>111</v>
      </c>
      <c r="B37" s="71" t="s">
        <v>223</v>
      </c>
      <c r="C37" s="71" t="s">
        <v>224</v>
      </c>
      <c r="D37" s="71" t="s">
        <v>225</v>
      </c>
      <c r="E37" s="71" t="s">
        <v>226</v>
      </c>
      <c r="F37" s="75" t="s">
        <v>227</v>
      </c>
      <c r="G37" s="11" t="s">
        <v>112</v>
      </c>
      <c r="H37" s="76" t="s">
        <v>204</v>
      </c>
      <c r="I37" s="12" t="s">
        <v>113</v>
      </c>
      <c r="J37" s="85" t="s">
        <v>207</v>
      </c>
    </row>
    <row r="38" spans="1:10" ht="15" customHeight="1" thickBot="1">
      <c r="A38" s="7" t="s">
        <v>114</v>
      </c>
      <c r="B38" s="70" t="s">
        <v>214</v>
      </c>
      <c r="C38" s="70" t="s">
        <v>215</v>
      </c>
      <c r="D38" s="70" t="s">
        <v>216</v>
      </c>
      <c r="E38" s="70" t="s">
        <v>217</v>
      </c>
      <c r="F38" s="74" t="s">
        <v>216</v>
      </c>
      <c r="G38" s="18" t="s">
        <v>115</v>
      </c>
      <c r="H38" s="85" t="s">
        <v>206</v>
      </c>
      <c r="I38" s="141" t="s">
        <v>213</v>
      </c>
      <c r="J38" s="86">
        <v>5050.56494140625</v>
      </c>
    </row>
    <row r="39" spans="1:10" ht="15" customHeight="1">
      <c r="A39" s="7" t="s">
        <v>116</v>
      </c>
      <c r="B39" s="70" t="s">
        <v>218</v>
      </c>
      <c r="C39" s="70" t="s">
        <v>219</v>
      </c>
      <c r="D39" s="70" t="s">
        <v>220</v>
      </c>
      <c r="E39" s="70" t="s">
        <v>221</v>
      </c>
      <c r="F39" s="74" t="s">
        <v>222</v>
      </c>
      <c r="G39" s="14" t="s">
        <v>117</v>
      </c>
      <c r="H39" s="15"/>
      <c r="I39" s="41" t="s">
        <v>118</v>
      </c>
      <c r="J39" s="42" t="s">
        <v>119</v>
      </c>
    </row>
    <row r="40" spans="1:10" ht="15" customHeight="1">
      <c r="A40" s="7" t="s">
        <v>118</v>
      </c>
      <c r="B40" s="69" t="s">
        <v>236</v>
      </c>
      <c r="C40" s="69" t="s">
        <v>237</v>
      </c>
      <c r="D40" s="69" t="s">
        <v>238</v>
      </c>
      <c r="E40" s="69" t="s">
        <v>239</v>
      </c>
      <c r="F40" s="73" t="s">
        <v>240</v>
      </c>
      <c r="G40" s="37" t="s">
        <v>120</v>
      </c>
      <c r="H40" s="93" t="s">
        <v>244</v>
      </c>
      <c r="I40" s="57"/>
      <c r="J40" s="58"/>
    </row>
    <row r="41" spans="1:10" ht="15" customHeight="1">
      <c r="A41" s="7" t="s">
        <v>5</v>
      </c>
      <c r="B41" s="72" t="s">
        <v>231</v>
      </c>
      <c r="C41" s="72" t="s">
        <v>232</v>
      </c>
      <c r="D41" s="72" t="s">
        <v>233</v>
      </c>
      <c r="E41" s="72" t="s">
        <v>234</v>
      </c>
      <c r="F41" s="76" t="s">
        <v>235</v>
      </c>
      <c r="G41" s="38" t="s">
        <v>121</v>
      </c>
      <c r="H41" s="94" t="s">
        <v>245</v>
      </c>
      <c r="I41" s="59"/>
      <c r="J41" s="60"/>
    </row>
    <row r="42" spans="1:10" ht="15" customHeight="1">
      <c r="A42" s="7" t="s">
        <v>122</v>
      </c>
      <c r="B42" s="70">
        <v>12.267700601396795</v>
      </c>
      <c r="C42" s="70">
        <v>12.267700601396795</v>
      </c>
      <c r="D42" s="70">
        <v>12.267700601396795</v>
      </c>
      <c r="E42" s="70">
        <v>12.267700601396795</v>
      </c>
      <c r="F42" s="74">
        <v>12.220536208728461</v>
      </c>
      <c r="G42" s="37" t="s">
        <v>123</v>
      </c>
      <c r="H42" s="93" t="s">
        <v>246</v>
      </c>
      <c r="I42" s="57"/>
      <c r="J42" s="99">
        <v>0.24138134938407663</v>
      </c>
    </row>
    <row r="43" spans="1:10" ht="15" customHeight="1" thickBot="1">
      <c r="A43" s="18" t="s">
        <v>124</v>
      </c>
      <c r="B43" s="81">
        <v>12.267700601396795</v>
      </c>
      <c r="C43" s="81"/>
      <c r="D43" s="81" t="s">
        <v>249</v>
      </c>
      <c r="E43" s="81"/>
      <c r="F43" s="83"/>
      <c r="G43" s="38" t="s">
        <v>121</v>
      </c>
      <c r="H43" s="94" t="s">
        <v>247</v>
      </c>
      <c r="I43" s="59"/>
      <c r="J43" s="60"/>
    </row>
    <row r="44" spans="1:10" ht="15" customHeight="1">
      <c r="A44" s="6" t="s">
        <v>125</v>
      </c>
      <c r="B44" s="146"/>
      <c r="C44" s="3"/>
      <c r="D44" s="3"/>
      <c r="E44" s="6" t="s">
        <v>126</v>
      </c>
      <c r="F44" s="21"/>
      <c r="G44" s="37" t="s">
        <v>127</v>
      </c>
      <c r="H44" s="95">
        <v>1126.1491412071623</v>
      </c>
      <c r="I44" s="92">
        <v>4.7995986134879459E-2</v>
      </c>
      <c r="J44" s="99">
        <v>0.60986028051169561</v>
      </c>
    </row>
    <row r="45" spans="1:10" ht="15" customHeight="1">
      <c r="A45" s="7" t="s">
        <v>128</v>
      </c>
      <c r="B45" s="70">
        <v>0.36378017067909241</v>
      </c>
      <c r="C45" s="5" t="s">
        <v>129</v>
      </c>
      <c r="D45" s="74">
        <v>1.3429995626211166E-2</v>
      </c>
      <c r="E45" s="7" t="s">
        <v>130</v>
      </c>
      <c r="F45" s="76">
        <v>625.45891812298214</v>
      </c>
      <c r="G45" s="39" t="s">
        <v>121</v>
      </c>
      <c r="H45" s="88" t="s">
        <v>248</v>
      </c>
      <c r="I45" s="61"/>
      <c r="J45" s="62"/>
    </row>
    <row r="46" spans="1:10" ht="15" customHeight="1">
      <c r="A46" s="7" t="s">
        <v>131</v>
      </c>
      <c r="B46" s="70">
        <v>0.18184809386730194</v>
      </c>
      <c r="C46" s="5" t="s">
        <v>132</v>
      </c>
      <c r="D46" s="74">
        <v>8.7464833632111549E-3</v>
      </c>
      <c r="E46" s="7" t="s">
        <v>133</v>
      </c>
      <c r="F46" s="76">
        <v>1111.8071471948597</v>
      </c>
      <c r="G46" s="38" t="s">
        <v>134</v>
      </c>
      <c r="H46" s="96">
        <v>253.72951859314753</v>
      </c>
      <c r="I46" s="59"/>
      <c r="J46" s="60"/>
    </row>
    <row r="47" spans="1:10" ht="15" customHeight="1">
      <c r="A47" s="7" t="s">
        <v>135</v>
      </c>
      <c r="B47" s="70">
        <v>0.54562824964523315</v>
      </c>
      <c r="C47" s="5" t="s">
        <v>136</v>
      </c>
      <c r="D47" s="74">
        <v>5.5853440426290035E-3</v>
      </c>
      <c r="E47" s="7" t="s">
        <v>137</v>
      </c>
      <c r="F47" s="76">
        <v>903.61494368652689</v>
      </c>
      <c r="G47" s="66" t="s">
        <v>138</v>
      </c>
      <c r="H47" s="95">
        <v>1073.4748590753225</v>
      </c>
      <c r="I47" s="92">
        <v>4.5612325090852772E-2</v>
      </c>
      <c r="J47" s="97">
        <v>0.62677738593828292</v>
      </c>
    </row>
    <row r="48" spans="1:10" ht="15" customHeight="1">
      <c r="A48" s="7" t="s">
        <v>139</v>
      </c>
      <c r="B48" s="70">
        <v>1.2540689669549465E-2</v>
      </c>
      <c r="C48" s="5" t="s">
        <v>99</v>
      </c>
      <c r="D48" s="74">
        <v>4.0302511304616928E-2</v>
      </c>
      <c r="E48" s="7" t="s">
        <v>140</v>
      </c>
      <c r="F48" s="76">
        <v>180.85838773429094</v>
      </c>
      <c r="G48" s="67" t="s">
        <v>121</v>
      </c>
      <c r="H48" s="88">
        <v>239.82905371700596</v>
      </c>
      <c r="I48" s="61"/>
      <c r="J48" s="62"/>
    </row>
    <row r="49" spans="1:10" ht="15" customHeight="1" thickBot="1">
      <c r="A49" s="9"/>
      <c r="B49" s="56"/>
      <c r="C49" s="34" t="s">
        <v>141</v>
      </c>
      <c r="D49" s="83">
        <v>0.95969748497009277</v>
      </c>
      <c r="E49" s="18" t="s">
        <v>142</v>
      </c>
      <c r="F49" s="85">
        <v>351.80044524380418</v>
      </c>
      <c r="G49" s="68" t="s">
        <v>134</v>
      </c>
      <c r="H49" s="96">
        <v>247.1981487809245</v>
      </c>
      <c r="I49" s="59"/>
      <c r="J49" s="63"/>
    </row>
    <row r="50" spans="1:10" ht="15" customHeight="1">
      <c r="A50" s="14" t="s">
        <v>195</v>
      </c>
      <c r="B50" s="15"/>
      <c r="C50" s="15"/>
      <c r="D50" s="15"/>
      <c r="E50" s="15"/>
      <c r="F50" s="16"/>
      <c r="G50" s="14" t="s">
        <v>143</v>
      </c>
      <c r="H50" s="15"/>
      <c r="I50" s="43"/>
      <c r="J50" s="28"/>
    </row>
    <row r="51" spans="1:10" ht="15" customHeight="1">
      <c r="A51" s="11" t="s">
        <v>144</v>
      </c>
      <c r="B51" s="53">
        <v>57</v>
      </c>
      <c r="C51" s="10" t="s">
        <v>145</v>
      </c>
      <c r="D51" s="71" t="s">
        <v>173</v>
      </c>
      <c r="E51" s="10" t="s">
        <v>146</v>
      </c>
      <c r="F51" s="75" t="s">
        <v>173</v>
      </c>
      <c r="G51" s="10" t="s">
        <v>147</v>
      </c>
      <c r="H51" s="69">
        <v>8.506924129673829E-2</v>
      </c>
      <c r="I51" s="46" t="s">
        <v>148</v>
      </c>
      <c r="J51" s="40"/>
    </row>
    <row r="52" spans="1:10" ht="15" customHeight="1">
      <c r="A52" s="11" t="s">
        <v>57</v>
      </c>
      <c r="B52" s="71">
        <v>32.049999237060547</v>
      </c>
      <c r="C52" s="10" t="s">
        <v>149</v>
      </c>
      <c r="D52" s="71" t="s">
        <v>173</v>
      </c>
      <c r="E52" s="10" t="s">
        <v>150</v>
      </c>
      <c r="F52" s="75" t="s">
        <v>173</v>
      </c>
      <c r="G52" s="10" t="s">
        <v>167</v>
      </c>
      <c r="H52" s="71">
        <v>91518.940781302648</v>
      </c>
      <c r="I52" s="100" t="s">
        <v>228</v>
      </c>
      <c r="J52" s="64"/>
    </row>
    <row r="53" spans="1:10" ht="15" customHeight="1">
      <c r="A53" s="11" t="s">
        <v>63</v>
      </c>
      <c r="B53" s="71">
        <v>3</v>
      </c>
      <c r="C53" s="10" t="s">
        <v>151</v>
      </c>
      <c r="D53" s="71" t="s">
        <v>173</v>
      </c>
      <c r="E53" s="10" t="s">
        <v>152</v>
      </c>
      <c r="F53" s="75" t="s">
        <v>173</v>
      </c>
      <c r="G53" s="10" t="s">
        <v>168</v>
      </c>
      <c r="H53" s="70">
        <v>71.791853998721706</v>
      </c>
      <c r="I53" s="45" t="s">
        <v>153</v>
      </c>
      <c r="J53" s="40"/>
    </row>
    <row r="54" spans="1:10" ht="15" customHeight="1">
      <c r="A54" s="11" t="s">
        <v>65</v>
      </c>
      <c r="B54" s="71">
        <v>2</v>
      </c>
      <c r="C54" s="10" t="s">
        <v>154</v>
      </c>
      <c r="D54" s="71" t="s">
        <v>173</v>
      </c>
      <c r="E54" s="10" t="s">
        <v>152</v>
      </c>
      <c r="F54" s="75" t="s">
        <v>173</v>
      </c>
      <c r="G54" s="10" t="s">
        <v>169</v>
      </c>
      <c r="H54" s="72">
        <v>188538</v>
      </c>
      <c r="I54" s="101" t="s">
        <v>229</v>
      </c>
      <c r="J54" s="102" t="s">
        <v>193</v>
      </c>
    </row>
    <row r="55" spans="1:10" ht="15" customHeight="1">
      <c r="A55" s="11" t="s">
        <v>155</v>
      </c>
      <c r="B55" s="71">
        <v>8.0500001907348633</v>
      </c>
      <c r="C55" s="10" t="s">
        <v>156</v>
      </c>
      <c r="D55" s="71" t="s">
        <v>173</v>
      </c>
      <c r="E55" s="10" t="s">
        <v>157</v>
      </c>
      <c r="F55" s="75" t="s">
        <v>173</v>
      </c>
      <c r="G55" s="10" t="s">
        <v>158</v>
      </c>
      <c r="H55" s="71">
        <v>1</v>
      </c>
      <c r="I55" s="45" t="s">
        <v>159</v>
      </c>
      <c r="J55" s="40"/>
    </row>
    <row r="56" spans="1:10" ht="15" customHeight="1" thickBot="1">
      <c r="A56" s="12" t="s">
        <v>160</v>
      </c>
      <c r="B56" s="82" t="s">
        <v>173</v>
      </c>
      <c r="C56" s="22" t="s">
        <v>161</v>
      </c>
      <c r="D56" s="82" t="s">
        <v>173</v>
      </c>
      <c r="E56" s="22" t="s">
        <v>162</v>
      </c>
      <c r="F56" s="84" t="s">
        <v>173</v>
      </c>
      <c r="G56" s="22" t="s">
        <v>163</v>
      </c>
      <c r="H56" s="81">
        <v>0.87493749999999992</v>
      </c>
      <c r="I56" s="103" t="s">
        <v>230</v>
      </c>
      <c r="J56" s="63" t="s">
        <v>194</v>
      </c>
    </row>
    <row r="57" spans="1:10" ht="15" customHeight="1">
      <c r="A57" s="24" t="s">
        <v>373</v>
      </c>
      <c r="B57" s="43"/>
      <c r="C57" s="43"/>
      <c r="D57" s="43"/>
      <c r="E57" s="43"/>
      <c r="F57" s="28"/>
      <c r="G57" s="121"/>
      <c r="H57" s="122"/>
      <c r="I57" s="122"/>
      <c r="J57" s="123"/>
    </row>
    <row r="58" spans="1:10" ht="15" customHeight="1">
      <c r="A58" s="104" t="s">
        <v>118</v>
      </c>
      <c r="B58" s="4" t="s">
        <v>164</v>
      </c>
      <c r="C58" s="17" t="s">
        <v>374</v>
      </c>
      <c r="D58" s="4" t="s">
        <v>118</v>
      </c>
      <c r="E58" s="4" t="s">
        <v>164</v>
      </c>
      <c r="F58" s="17" t="s">
        <v>375</v>
      </c>
      <c r="G58" s="124"/>
      <c r="H58" s="47"/>
      <c r="I58" s="47"/>
      <c r="J58" s="48"/>
    </row>
    <row r="59" spans="1:10" ht="15" customHeight="1">
      <c r="A59" s="128">
        <v>0</v>
      </c>
      <c r="B59" s="88">
        <v>0</v>
      </c>
      <c r="C59" s="89">
        <v>0.31496918201446533</v>
      </c>
      <c r="D59" s="130">
        <v>0.69999998807907104</v>
      </c>
      <c r="E59" s="88">
        <v>114.1069832848555</v>
      </c>
      <c r="F59" s="89">
        <v>617.94244384765625</v>
      </c>
      <c r="G59" s="124"/>
      <c r="H59" s="47"/>
      <c r="I59" s="47"/>
      <c r="J59" s="48"/>
    </row>
    <row r="60" spans="1:10" ht="15" customHeight="1">
      <c r="A60" s="132">
        <v>9.9999997764825821E-3</v>
      </c>
      <c r="B60" s="88">
        <v>98.940094317904425</v>
      </c>
      <c r="C60" s="89">
        <v>109.97640228271484</v>
      </c>
      <c r="D60" s="130">
        <v>0.80000001192092896</v>
      </c>
      <c r="E60" s="88">
        <v>114.14390475994399</v>
      </c>
      <c r="F60" s="89">
        <v>625.84185791015625</v>
      </c>
      <c r="G60" s="124"/>
      <c r="H60" s="47"/>
      <c r="I60" s="47"/>
      <c r="J60" s="48"/>
    </row>
    <row r="61" spans="1:10" ht="15" customHeight="1">
      <c r="A61" s="132">
        <v>5.000000074505806E-2</v>
      </c>
      <c r="B61" s="88">
        <v>266</v>
      </c>
      <c r="C61" s="89">
        <v>378.25534057617187</v>
      </c>
      <c r="D61" s="130">
        <v>0.89999997615814209</v>
      </c>
      <c r="E61" s="88">
        <v>114.19368101504031</v>
      </c>
      <c r="F61" s="89">
        <v>632.619384765625</v>
      </c>
      <c r="G61" s="124"/>
      <c r="H61" s="47"/>
      <c r="I61" s="47"/>
      <c r="J61" s="48"/>
    </row>
    <row r="62" spans="1:10" ht="15" customHeight="1">
      <c r="A62" s="128">
        <v>0.10000000149011612</v>
      </c>
      <c r="B62" s="88">
        <v>202.53980852474194</v>
      </c>
      <c r="C62" s="89">
        <v>489.96328735351562</v>
      </c>
      <c r="D62" s="131">
        <v>1</v>
      </c>
      <c r="E62" s="88">
        <v>114</v>
      </c>
      <c r="F62" s="89">
        <v>638.4615478515625</v>
      </c>
      <c r="G62" s="124"/>
      <c r="H62" s="47"/>
      <c r="I62" s="47"/>
      <c r="J62" s="48"/>
    </row>
    <row r="63" spans="1:10" ht="15" customHeight="1" thickBot="1">
      <c r="A63" s="128">
        <v>0.15000000596046448</v>
      </c>
      <c r="B63" s="88">
        <v>157.12053297453753</v>
      </c>
      <c r="C63" s="89">
        <v>528.26824951171875</v>
      </c>
      <c r="D63" s="449"/>
      <c r="E63" s="450"/>
      <c r="F63" s="451"/>
      <c r="G63" s="124"/>
      <c r="H63" s="47"/>
      <c r="I63" s="47"/>
      <c r="J63" s="48"/>
    </row>
    <row r="64" spans="1:10" ht="15" customHeight="1">
      <c r="A64" s="128">
        <v>0.20000000298023224</v>
      </c>
      <c r="B64" s="88">
        <v>135.36144574549286</v>
      </c>
      <c r="C64" s="89">
        <v>547.04254150390625</v>
      </c>
      <c r="D64" s="452" t="s">
        <v>383</v>
      </c>
      <c r="E64" s="453"/>
      <c r="F64" s="453"/>
      <c r="G64" s="124"/>
      <c r="H64" s="47"/>
      <c r="I64" s="47"/>
      <c r="J64" s="48"/>
    </row>
    <row r="65" spans="1:10" ht="15" customHeight="1">
      <c r="A65" s="128">
        <v>0.30000001192092896</v>
      </c>
      <c r="B65" s="88">
        <v>121.46772570526655</v>
      </c>
      <c r="C65" s="89">
        <v>568.64849853515625</v>
      </c>
      <c r="D65" s="454" t="s">
        <v>377</v>
      </c>
      <c r="E65" s="456" t="s">
        <v>381</v>
      </c>
      <c r="F65" s="457"/>
      <c r="G65" s="124"/>
      <c r="H65" s="47"/>
      <c r="I65" s="47"/>
      <c r="J65" s="48"/>
    </row>
    <row r="66" spans="1:10" ht="15" customHeight="1">
      <c r="A66" s="128">
        <v>0.40000000596046448</v>
      </c>
      <c r="B66" s="88">
        <v>116.3079183732597</v>
      </c>
      <c r="C66" s="89">
        <v>584.0496826171875</v>
      </c>
      <c r="D66" s="454" t="s">
        <v>378</v>
      </c>
      <c r="E66" s="456" t="s">
        <v>382</v>
      </c>
      <c r="F66" s="457"/>
      <c r="G66" s="124"/>
      <c r="H66" s="47"/>
      <c r="I66" s="47"/>
      <c r="J66" s="48"/>
    </row>
    <row r="67" spans="1:10" ht="15" customHeight="1">
      <c r="A67" s="128">
        <v>0.5</v>
      </c>
      <c r="B67" s="88">
        <v>114</v>
      </c>
      <c r="C67" s="89">
        <v>597.1121826171875</v>
      </c>
      <c r="D67" s="454" t="s">
        <v>379</v>
      </c>
      <c r="E67" s="456" t="s">
        <v>384</v>
      </c>
      <c r="F67" s="457"/>
      <c r="G67" s="124"/>
      <c r="H67" s="47"/>
      <c r="I67" s="47"/>
      <c r="J67" s="48"/>
    </row>
    <row r="68" spans="1:10" ht="15" customHeight="1" thickBot="1">
      <c r="A68" s="129">
        <v>0.60000002384185791</v>
      </c>
      <c r="B68" s="90">
        <v>114.00956849138745</v>
      </c>
      <c r="C68" s="91">
        <v>608.13690185546875</v>
      </c>
      <c r="D68" s="455" t="s">
        <v>380</v>
      </c>
      <c r="E68" s="458" t="s">
        <v>385</v>
      </c>
      <c r="F68" s="458"/>
      <c r="G68" s="125"/>
      <c r="H68" s="49"/>
      <c r="I68" s="49"/>
      <c r="J68" s="50"/>
    </row>
    <row r="69" spans="1:10" ht="15" customHeight="1">
      <c r="A69" s="33" t="s">
        <v>251</v>
      </c>
      <c r="B69" s="33"/>
      <c r="C69" s="33"/>
      <c r="D69" s="33"/>
      <c r="E69" s="33"/>
      <c r="F69" s="33"/>
      <c r="G69" s="33"/>
      <c r="H69" s="33"/>
      <c r="I69" s="33"/>
      <c r="J69" s="33"/>
    </row>
    <row r="70" spans="1:10" ht="1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448" t="s">
        <v>376</v>
      </c>
      <c r="B99" s="448"/>
      <c r="C99" s="448"/>
      <c r="D99" s="448"/>
      <c r="E99" s="448"/>
      <c r="F99" s="448"/>
      <c r="G99" s="448"/>
      <c r="H99" s="448"/>
      <c r="I99" s="448"/>
    </row>
    <row r="100" spans="1:9">
      <c r="A100" s="448">
        <v>100</v>
      </c>
      <c r="B100" s="448"/>
      <c r="C100" s="448"/>
      <c r="D100" s="448"/>
      <c r="E100" s="448"/>
      <c r="F100" s="448"/>
      <c r="G100" s="448"/>
      <c r="H100" s="448"/>
      <c r="I100" s="448"/>
    </row>
    <row r="101" spans="1:9">
      <c r="A101" s="448">
        <v>98</v>
      </c>
      <c r="B101" s="448"/>
      <c r="C101" s="448"/>
      <c r="D101" s="448"/>
      <c r="E101" s="448"/>
      <c r="F101" s="448"/>
      <c r="G101" s="448"/>
      <c r="H101" s="448"/>
      <c r="I101" s="448"/>
    </row>
    <row r="102" spans="1:9">
      <c r="A102" s="448">
        <v>87</v>
      </c>
      <c r="B102" s="448"/>
      <c r="C102" s="448"/>
      <c r="D102" s="448"/>
      <c r="E102" s="448"/>
      <c r="F102" s="448"/>
      <c r="G102" s="448"/>
      <c r="H102" s="448"/>
      <c r="I102" s="448"/>
    </row>
    <row r="103" spans="1:9">
      <c r="A103" s="448">
        <v>74</v>
      </c>
      <c r="B103" s="448"/>
      <c r="C103" s="448"/>
      <c r="D103" s="448"/>
      <c r="E103" s="448"/>
      <c r="F103" s="448"/>
      <c r="G103" s="448"/>
      <c r="H103" s="448"/>
      <c r="I103" s="448"/>
    </row>
    <row r="104" spans="1:9">
      <c r="A104" s="448">
        <v>61</v>
      </c>
      <c r="B104" s="448"/>
      <c r="C104" s="448"/>
      <c r="D104" s="448"/>
      <c r="E104" s="448"/>
      <c r="F104" s="448"/>
      <c r="G104" s="448"/>
      <c r="H104" s="448"/>
      <c r="I104" s="448"/>
    </row>
    <row r="105" spans="1:9">
      <c r="A105" s="448">
        <v>50</v>
      </c>
      <c r="B105" s="448"/>
      <c r="C105" s="448"/>
      <c r="D105" s="448"/>
      <c r="E105" s="448"/>
      <c r="F105" s="448"/>
      <c r="G105" s="448"/>
      <c r="H105" s="448"/>
      <c r="I105" s="448"/>
    </row>
    <row r="106" spans="1:9">
      <c r="A106" s="448">
        <v>33</v>
      </c>
      <c r="B106" s="448"/>
      <c r="C106" s="448"/>
      <c r="D106" s="448"/>
      <c r="E106" s="448"/>
      <c r="F106" s="448"/>
      <c r="G106" s="448"/>
      <c r="H106" s="448"/>
      <c r="I106" s="448"/>
    </row>
    <row r="107" spans="1:9">
      <c r="A107" s="448">
        <v>22</v>
      </c>
      <c r="B107" s="448"/>
      <c r="C107" s="448"/>
      <c r="D107" s="448"/>
      <c r="E107" s="448"/>
      <c r="F107" s="448"/>
      <c r="G107" s="448"/>
      <c r="H107" s="448"/>
      <c r="I107" s="448"/>
    </row>
    <row r="108" spans="1:9">
      <c r="A108" s="448">
        <v>14</v>
      </c>
      <c r="B108" s="448"/>
      <c r="C108" s="448"/>
      <c r="D108" s="448"/>
      <c r="E108" s="448"/>
      <c r="F108" s="448"/>
      <c r="G108" s="448"/>
      <c r="H108" s="448"/>
      <c r="I108" s="448"/>
    </row>
    <row r="109" spans="1:9">
      <c r="A109" s="448">
        <v>7.9999995231628418</v>
      </c>
      <c r="B109" s="448"/>
      <c r="C109" s="448"/>
      <c r="D109" s="448"/>
      <c r="E109" s="448"/>
      <c r="F109" s="448"/>
      <c r="G109" s="448"/>
      <c r="H109" s="448"/>
      <c r="I109" s="448"/>
    </row>
    <row r="110" spans="1:9">
      <c r="A110" s="448">
        <v>5.9999995231628418</v>
      </c>
      <c r="B110" s="448"/>
      <c r="C110" s="448"/>
      <c r="D110" s="448"/>
      <c r="E110" s="448"/>
      <c r="F110" s="448"/>
      <c r="G110" s="448"/>
      <c r="H110" s="448"/>
      <c r="I110" s="448"/>
    </row>
    <row r="111" spans="1:9">
      <c r="A111" s="448">
        <v>8.0000009536743164</v>
      </c>
      <c r="B111" s="448"/>
      <c r="C111" s="448"/>
      <c r="D111" s="448"/>
      <c r="E111" s="448"/>
      <c r="F111" s="448"/>
      <c r="G111" s="448"/>
      <c r="H111" s="448"/>
      <c r="I111" s="448"/>
    </row>
    <row r="112" spans="1:9">
      <c r="A112" s="448">
        <v>14.999996185302734</v>
      </c>
      <c r="B112" s="448"/>
      <c r="C112" s="448"/>
      <c r="D112" s="448"/>
      <c r="E112" s="448"/>
      <c r="F112" s="448"/>
      <c r="G112" s="448"/>
      <c r="H112" s="448"/>
      <c r="I112" s="448"/>
    </row>
    <row r="113" spans="1:9">
      <c r="A113" s="448">
        <v>30</v>
      </c>
      <c r="B113" s="448"/>
      <c r="C113" s="448"/>
      <c r="D113" s="448"/>
      <c r="E113" s="448"/>
      <c r="F113" s="448"/>
      <c r="G113" s="448"/>
      <c r="H113" s="448"/>
      <c r="I113" s="448"/>
    </row>
  </sheetData>
  <printOptions horizontalCentered="1"/>
  <pageMargins left="0.86614173228346503" right="0" top="0.23622047244094499" bottom="0.23622047244094499" header="0" footer="0"/>
  <pageSetup scale="75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53"/>
  <sheetViews>
    <sheetView workbookViewId="0">
      <selection sqref="A1:K1"/>
    </sheetView>
  </sheetViews>
  <sheetFormatPr defaultRowHeight="15.75"/>
  <cols>
    <col min="1" max="1" width="12.140625" style="377" customWidth="1"/>
    <col min="2" max="2" width="6.140625" style="377" customWidth="1"/>
    <col min="3" max="3" width="7.7109375" style="377" customWidth="1"/>
    <col min="4" max="5" width="13.140625" style="377" customWidth="1"/>
    <col min="6" max="6" width="9.42578125" style="377" customWidth="1"/>
    <col min="7" max="7" width="5.7109375" style="377" customWidth="1"/>
    <col min="8" max="8" width="7.85546875" style="377" customWidth="1"/>
    <col min="9" max="9" width="6.5703125" style="377" customWidth="1"/>
    <col min="10" max="10" width="12" style="378" customWidth="1"/>
    <col min="11" max="11" width="12" style="377" customWidth="1"/>
    <col min="12" max="12" width="16" style="154" customWidth="1"/>
    <col min="13" max="26" width="9.140625" style="154"/>
    <col min="27" max="16384" width="9.140625" style="155"/>
  </cols>
  <sheetData>
    <row r="1" spans="1:26" ht="20.25" customHeight="1">
      <c r="A1" s="153" t="s">
        <v>252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</row>
    <row r="2" spans="1:26" ht="20.25" customHeight="1">
      <c r="A2" s="156" t="s">
        <v>253</v>
      </c>
      <c r="B2" s="156"/>
      <c r="C2" s="156"/>
      <c r="D2" s="156"/>
      <c r="E2" s="156"/>
      <c r="F2" s="156"/>
      <c r="G2" s="156"/>
      <c r="H2" s="156"/>
      <c r="I2" s="156"/>
      <c r="J2" s="156"/>
      <c r="K2" s="156"/>
    </row>
    <row r="3" spans="1:26" ht="18.75" customHeight="1" thickBot="1">
      <c r="A3" s="157" t="s">
        <v>1</v>
      </c>
      <c r="B3" s="158" t="s">
        <v>364</v>
      </c>
      <c r="C3" s="159"/>
      <c r="D3" s="159"/>
      <c r="E3" s="159"/>
      <c r="F3" s="160"/>
      <c r="G3" s="159"/>
      <c r="H3" s="159"/>
      <c r="I3" s="157" t="s">
        <v>254</v>
      </c>
      <c r="J3" s="161"/>
      <c r="K3" s="161"/>
    </row>
    <row r="4" spans="1:26" s="170" customFormat="1" ht="18.399999999999999" customHeight="1" thickBot="1">
      <c r="A4" s="162" t="s">
        <v>365</v>
      </c>
      <c r="B4" s="163"/>
      <c r="C4" s="164"/>
      <c r="D4" s="164"/>
      <c r="E4" s="164"/>
      <c r="F4" s="164"/>
      <c r="G4" s="164"/>
      <c r="H4" s="164"/>
      <c r="I4" s="164"/>
      <c r="J4" s="164"/>
      <c r="K4" s="165"/>
      <c r="L4" s="166"/>
      <c r="M4" s="166"/>
      <c r="N4" s="166"/>
      <c r="O4" s="166"/>
      <c r="P4" s="166"/>
      <c r="Q4" s="167" t="s">
        <v>255</v>
      </c>
      <c r="R4" s="168"/>
      <c r="S4" s="166"/>
      <c r="T4" s="167" t="s">
        <v>256</v>
      </c>
      <c r="U4" s="169"/>
      <c r="V4" s="166"/>
      <c r="W4" s="166"/>
      <c r="X4" s="166"/>
      <c r="Y4" s="166"/>
      <c r="Z4" s="166"/>
    </row>
    <row r="5" spans="1:26" s="170" customFormat="1" ht="18.399999999999999" customHeight="1">
      <c r="A5" s="171" t="s">
        <v>257</v>
      </c>
      <c r="B5" s="172"/>
      <c r="C5" s="172"/>
      <c r="D5" s="173"/>
      <c r="E5" s="174"/>
      <c r="F5" s="175" t="s">
        <v>258</v>
      </c>
      <c r="G5" s="176"/>
      <c r="H5" s="176"/>
      <c r="I5" s="177"/>
      <c r="J5" s="178" t="s">
        <v>259</v>
      </c>
      <c r="K5" s="179" t="s">
        <v>260</v>
      </c>
      <c r="L5" s="166"/>
      <c r="M5" s="166"/>
      <c r="N5" s="166"/>
      <c r="O5" s="166"/>
      <c r="P5" s="166"/>
      <c r="Q5" s="180" t="s">
        <v>261</v>
      </c>
      <c r="R5" s="181"/>
      <c r="S5" s="166"/>
      <c r="T5" s="180" t="s">
        <v>262</v>
      </c>
      <c r="U5" s="182"/>
      <c r="V5" s="166"/>
      <c r="W5" s="166"/>
      <c r="X5" s="166"/>
      <c r="Y5" s="166"/>
      <c r="Z5" s="166"/>
    </row>
    <row r="6" spans="1:26" s="170" customFormat="1" ht="18.399999999999999" customHeight="1">
      <c r="A6" s="183" t="s">
        <v>66</v>
      </c>
      <c r="B6" s="184"/>
      <c r="C6" s="184"/>
      <c r="D6" s="185" t="s">
        <v>263</v>
      </c>
      <c r="E6" s="186"/>
      <c r="F6" s="187" t="s">
        <v>264</v>
      </c>
      <c r="G6" s="188"/>
      <c r="H6" s="188"/>
      <c r="I6" s="188"/>
      <c r="J6" s="188"/>
      <c r="K6" s="189"/>
      <c r="L6" s="166"/>
      <c r="M6" s="166"/>
      <c r="N6" s="166"/>
      <c r="O6" s="166"/>
      <c r="P6" s="166"/>
      <c r="Q6" s="180" t="s">
        <v>265</v>
      </c>
      <c r="R6" s="181"/>
      <c r="S6" s="166"/>
      <c r="T6" s="180" t="s">
        <v>266</v>
      </c>
      <c r="U6" s="182"/>
      <c r="V6" s="166"/>
      <c r="W6" s="166"/>
      <c r="X6" s="166"/>
      <c r="Y6" s="166"/>
      <c r="Z6" s="166"/>
    </row>
    <row r="7" spans="1:26" s="170" customFormat="1" ht="18.399999999999999" customHeight="1">
      <c r="A7" s="190" t="s">
        <v>20</v>
      </c>
      <c r="B7" s="191"/>
      <c r="C7" s="191"/>
      <c r="D7" s="192">
        <v>1.6000000238418599</v>
      </c>
      <c r="E7" s="193"/>
      <c r="F7" s="194" t="s">
        <v>267</v>
      </c>
      <c r="G7" s="195"/>
      <c r="H7" s="196"/>
      <c r="I7" s="197"/>
      <c r="J7" s="198">
        <v>24</v>
      </c>
      <c r="K7" s="199" t="s">
        <v>173</v>
      </c>
      <c r="L7" s="166"/>
      <c r="M7" s="166"/>
      <c r="N7" s="166"/>
      <c r="O7" s="166"/>
      <c r="P7" s="166"/>
      <c r="Q7" s="180" t="s">
        <v>268</v>
      </c>
      <c r="R7" s="181"/>
      <c r="S7" s="166"/>
      <c r="T7" s="180" t="s">
        <v>263</v>
      </c>
      <c r="U7" s="182"/>
      <c r="V7" s="166"/>
      <c r="W7" s="166"/>
      <c r="X7" s="166"/>
      <c r="Y7" s="166"/>
      <c r="Z7" s="166"/>
    </row>
    <row r="8" spans="1:26" s="170" customFormat="1" ht="18.399999999999999" customHeight="1">
      <c r="A8" s="190" t="s">
        <v>269</v>
      </c>
      <c r="B8" s="191"/>
      <c r="C8" s="191"/>
      <c r="D8" s="200">
        <v>530</v>
      </c>
      <c r="E8" s="201"/>
      <c r="F8" s="202" t="s">
        <v>270</v>
      </c>
      <c r="G8" s="203"/>
      <c r="H8" s="204"/>
      <c r="I8" s="205"/>
      <c r="J8" s="206">
        <v>7467</v>
      </c>
      <c r="K8" s="207" t="s">
        <v>173</v>
      </c>
      <c r="L8" s="166"/>
      <c r="M8" s="166"/>
      <c r="N8" s="166"/>
      <c r="O8" s="166"/>
      <c r="P8" s="166"/>
      <c r="Q8" s="180" t="s">
        <v>271</v>
      </c>
      <c r="R8" s="181"/>
      <c r="S8" s="166"/>
      <c r="T8" s="180" t="s">
        <v>272</v>
      </c>
      <c r="U8" s="182"/>
      <c r="V8" s="166"/>
      <c r="W8" s="166"/>
      <c r="X8" s="166"/>
      <c r="Y8" s="166"/>
      <c r="Z8" s="166"/>
    </row>
    <row r="9" spans="1:26" s="170" customFormat="1" ht="18.399999999999999" customHeight="1">
      <c r="A9" s="208" t="s">
        <v>273</v>
      </c>
      <c r="B9" s="209"/>
      <c r="C9" s="210"/>
      <c r="D9" s="200">
        <v>14</v>
      </c>
      <c r="E9" s="201"/>
      <c r="F9" s="194" t="s">
        <v>274</v>
      </c>
      <c r="G9" s="195"/>
      <c r="H9" s="211">
        <v>3</v>
      </c>
      <c r="I9" s="212" t="s">
        <v>275</v>
      </c>
      <c r="J9" s="213">
        <v>124</v>
      </c>
      <c r="K9" s="207" t="s">
        <v>173</v>
      </c>
      <c r="L9" s="166"/>
      <c r="M9" s="166"/>
      <c r="N9" s="166"/>
      <c r="O9" s="166"/>
      <c r="P9" s="166"/>
      <c r="Q9" s="180" t="s">
        <v>276</v>
      </c>
      <c r="R9" s="181"/>
      <c r="S9" s="166"/>
      <c r="T9" s="180" t="s">
        <v>277</v>
      </c>
      <c r="U9" s="182"/>
      <c r="V9" s="166"/>
      <c r="W9" s="166"/>
      <c r="X9" s="166"/>
      <c r="Y9" s="166"/>
      <c r="Z9" s="166"/>
    </row>
    <row r="10" spans="1:26" s="170" customFormat="1" ht="18.399999999999999" customHeight="1" thickBot="1">
      <c r="A10" s="208" t="s">
        <v>278</v>
      </c>
      <c r="B10" s="209"/>
      <c r="C10" s="210"/>
      <c r="D10" s="214" t="s">
        <v>184</v>
      </c>
      <c r="E10" s="215"/>
      <c r="F10" s="194" t="s">
        <v>279</v>
      </c>
      <c r="G10" s="195"/>
      <c r="H10" s="211">
        <v>3</v>
      </c>
      <c r="I10" s="212" t="s">
        <v>275</v>
      </c>
      <c r="J10" s="213">
        <v>1150</v>
      </c>
      <c r="K10" s="207" t="s">
        <v>173</v>
      </c>
      <c r="L10" s="166"/>
      <c r="M10" s="166"/>
      <c r="N10" s="166"/>
      <c r="O10" s="166"/>
      <c r="P10" s="166"/>
      <c r="Q10" s="180" t="s">
        <v>280</v>
      </c>
      <c r="R10" s="181"/>
      <c r="S10" s="166"/>
      <c r="T10" s="216" t="s">
        <v>281</v>
      </c>
      <c r="U10" s="217"/>
      <c r="V10" s="166"/>
      <c r="W10" s="166"/>
      <c r="X10" s="166"/>
      <c r="Y10" s="166"/>
      <c r="Z10" s="166"/>
    </row>
    <row r="11" spans="1:26" s="170" customFormat="1" ht="18.399999999999999" customHeight="1" thickBot="1">
      <c r="A11" s="208" t="s">
        <v>282</v>
      </c>
      <c r="B11" s="209"/>
      <c r="C11" s="210"/>
      <c r="D11" s="218" t="s">
        <v>173</v>
      </c>
      <c r="E11" s="219"/>
      <c r="F11" s="220" t="s">
        <v>283</v>
      </c>
      <c r="G11" s="221"/>
      <c r="H11" s="222">
        <v>3</v>
      </c>
      <c r="I11" s="212" t="s">
        <v>275</v>
      </c>
      <c r="J11" s="223">
        <v>23140</v>
      </c>
      <c r="K11" s="224" t="s">
        <v>173</v>
      </c>
      <c r="L11" s="166"/>
      <c r="M11" s="166"/>
      <c r="N11" s="166"/>
      <c r="O11" s="166"/>
      <c r="P11" s="166"/>
      <c r="Q11" s="216" t="s">
        <v>284</v>
      </c>
      <c r="R11" s="225"/>
      <c r="S11" s="166"/>
      <c r="T11" s="166"/>
      <c r="U11" s="166"/>
      <c r="V11" s="166"/>
      <c r="W11" s="166"/>
      <c r="X11" s="166"/>
      <c r="Y11" s="166"/>
      <c r="Z11" s="166"/>
    </row>
    <row r="12" spans="1:26" s="170" customFormat="1" ht="18.399999999999999" customHeight="1">
      <c r="A12" s="226" t="s">
        <v>285</v>
      </c>
      <c r="C12" s="227"/>
      <c r="D12" s="228" t="s">
        <v>173</v>
      </c>
      <c r="E12" s="229"/>
      <c r="F12" s="230" t="s">
        <v>286</v>
      </c>
      <c r="G12" s="231"/>
      <c r="H12" s="231"/>
      <c r="I12" s="231"/>
      <c r="J12" s="231"/>
      <c r="K12" s="232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</row>
    <row r="13" spans="1:26" s="170" customFormat="1" ht="18.399999999999999" customHeight="1">
      <c r="A13" s="208" t="s">
        <v>52</v>
      </c>
      <c r="B13" s="209"/>
      <c r="C13" s="210"/>
      <c r="D13" s="233" t="s">
        <v>367</v>
      </c>
      <c r="E13" s="234"/>
      <c r="F13" s="235"/>
      <c r="G13" s="236" t="s">
        <v>287</v>
      </c>
      <c r="H13" s="237"/>
      <c r="I13" s="238" t="s">
        <v>288</v>
      </c>
      <c r="J13" s="239" t="s">
        <v>369</v>
      </c>
      <c r="K13" s="240" t="s">
        <v>173</v>
      </c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</row>
    <row r="14" spans="1:26" s="170" customFormat="1" ht="18.399999999999999" customHeight="1">
      <c r="A14" s="208" t="s">
        <v>55</v>
      </c>
      <c r="B14" s="209"/>
      <c r="C14" s="210"/>
      <c r="D14" s="228">
        <v>920</v>
      </c>
      <c r="E14" s="229"/>
      <c r="F14" s="235"/>
      <c r="G14" s="241" t="s">
        <v>10</v>
      </c>
      <c r="H14" s="242"/>
      <c r="I14" s="242"/>
      <c r="J14" s="213" t="s">
        <v>173</v>
      </c>
      <c r="K14" s="207" t="s">
        <v>173</v>
      </c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</row>
    <row r="15" spans="1:26" s="170" customFormat="1" ht="18.399999999999999" customHeight="1">
      <c r="A15" s="243" t="s">
        <v>289</v>
      </c>
      <c r="B15" s="244"/>
      <c r="C15" s="245"/>
      <c r="D15" s="246">
        <v>7.298799991607666</v>
      </c>
      <c r="E15" s="247"/>
      <c r="F15" s="235"/>
      <c r="G15" s="241" t="s">
        <v>290</v>
      </c>
      <c r="H15" s="242"/>
      <c r="I15" s="242"/>
      <c r="J15" s="213" t="s">
        <v>173</v>
      </c>
      <c r="K15" s="207" t="s">
        <v>173</v>
      </c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</row>
    <row r="16" spans="1:26" s="170" customFormat="1" ht="18.399999999999999" customHeight="1">
      <c r="A16" s="248" t="s">
        <v>291</v>
      </c>
      <c r="B16" s="249"/>
      <c r="C16" s="250"/>
      <c r="D16" s="246">
        <v>3.0848002433776855</v>
      </c>
      <c r="E16" s="247"/>
      <c r="F16" s="251"/>
      <c r="G16" s="252" t="s">
        <v>17</v>
      </c>
      <c r="H16" s="253"/>
      <c r="I16" s="253"/>
      <c r="J16" s="223" t="s">
        <v>173</v>
      </c>
      <c r="K16" s="224" t="s">
        <v>173</v>
      </c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</row>
    <row r="17" spans="1:26" s="170" customFormat="1" ht="18.399999999999999" customHeight="1">
      <c r="A17" s="254" t="s">
        <v>292</v>
      </c>
      <c r="B17" s="255"/>
      <c r="C17" s="256"/>
      <c r="D17" s="218" t="s">
        <v>366</v>
      </c>
      <c r="E17" s="219"/>
      <c r="F17" s="230" t="s">
        <v>293</v>
      </c>
      <c r="G17" s="231"/>
      <c r="H17" s="231"/>
      <c r="I17" s="231"/>
      <c r="J17" s="231"/>
      <c r="K17" s="232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</row>
    <row r="18" spans="1:26" s="170" customFormat="1" ht="18.399999999999999" customHeight="1">
      <c r="A18" s="257" t="s">
        <v>294</v>
      </c>
      <c r="B18" s="258"/>
      <c r="C18" s="256"/>
      <c r="D18" s="214" t="s">
        <v>173</v>
      </c>
      <c r="E18" s="215"/>
      <c r="F18" s="259"/>
      <c r="G18" s="260"/>
      <c r="H18" s="261" t="s">
        <v>295</v>
      </c>
      <c r="I18" s="262"/>
      <c r="J18" s="206">
        <v>78</v>
      </c>
      <c r="K18" s="207"/>
      <c r="L18" s="166"/>
      <c r="M18" s="166">
        <f>J18*6.5</f>
        <v>507</v>
      </c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</row>
    <row r="19" spans="1:26" s="170" customFormat="1" ht="18.399999999999999" customHeight="1">
      <c r="A19" s="263" t="s">
        <v>296</v>
      </c>
      <c r="B19" s="264"/>
      <c r="C19" s="265"/>
      <c r="D19" s="266" t="s">
        <v>173</v>
      </c>
      <c r="E19" s="219"/>
      <c r="F19" s="267"/>
      <c r="G19" s="268"/>
      <c r="H19" s="261" t="s">
        <v>5</v>
      </c>
      <c r="I19" s="197"/>
      <c r="J19" s="206">
        <v>1185</v>
      </c>
      <c r="K19" s="207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</row>
    <row r="20" spans="1:26" s="170" customFormat="1" ht="18.399999999999999" customHeight="1" thickBot="1">
      <c r="A20" s="269" t="s">
        <v>297</v>
      </c>
      <c r="C20" s="270"/>
      <c r="D20" s="271" t="s">
        <v>183</v>
      </c>
      <c r="E20" s="201"/>
      <c r="F20" s="267"/>
      <c r="G20" s="268"/>
      <c r="H20" s="261" t="s">
        <v>298</v>
      </c>
      <c r="I20" s="197"/>
      <c r="J20" s="213" t="s">
        <v>371</v>
      </c>
      <c r="K20" s="207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</row>
    <row r="21" spans="1:26" s="170" customFormat="1" ht="18.399999999999999" customHeight="1" thickBot="1">
      <c r="A21" s="243" t="s">
        <v>299</v>
      </c>
      <c r="B21" s="244"/>
      <c r="C21" s="245"/>
      <c r="D21" s="200" t="s">
        <v>173</v>
      </c>
      <c r="E21" s="201"/>
      <c r="F21" s="267"/>
      <c r="G21" s="268"/>
      <c r="H21" s="272" t="s">
        <v>300</v>
      </c>
      <c r="I21" s="197"/>
      <c r="J21" s="213">
        <v>1.1499999999999999</v>
      </c>
      <c r="K21" s="207"/>
      <c r="L21" s="166"/>
      <c r="M21" s="166"/>
      <c r="N21" s="166"/>
      <c r="O21" s="166"/>
      <c r="P21" s="166"/>
      <c r="Q21" s="167" t="s">
        <v>301</v>
      </c>
      <c r="R21" s="169"/>
      <c r="S21" s="166"/>
      <c r="T21" s="166"/>
      <c r="U21" s="166"/>
      <c r="V21" s="166"/>
      <c r="W21" s="166"/>
      <c r="X21" s="166"/>
      <c r="Y21" s="166"/>
      <c r="Z21" s="166"/>
    </row>
    <row r="22" spans="1:26" s="170" customFormat="1" ht="18.399999999999999" customHeight="1">
      <c r="A22" s="257" t="s">
        <v>302</v>
      </c>
      <c r="B22" s="273"/>
      <c r="C22" s="273"/>
      <c r="D22" s="274">
        <v>0.30399999022483826</v>
      </c>
      <c r="E22" s="275"/>
      <c r="F22" s="267"/>
      <c r="G22" s="268"/>
      <c r="H22" s="261" t="s">
        <v>259</v>
      </c>
      <c r="I22" s="197"/>
      <c r="J22" s="213" t="s">
        <v>303</v>
      </c>
      <c r="K22" s="207"/>
      <c r="L22" s="166"/>
      <c r="M22" s="166"/>
      <c r="N22" s="166"/>
      <c r="O22" s="166"/>
      <c r="P22" s="166"/>
      <c r="Q22" s="180" t="s">
        <v>304</v>
      </c>
      <c r="R22" s="182"/>
      <c r="S22" s="166"/>
      <c r="T22" s="166"/>
      <c r="U22" s="166"/>
      <c r="V22" s="166"/>
      <c r="W22" s="166"/>
      <c r="X22" s="166"/>
      <c r="Y22" s="166"/>
      <c r="Z22" s="166"/>
    </row>
    <row r="23" spans="1:26" s="170" customFormat="1" ht="18.399999999999999" customHeight="1">
      <c r="A23" s="276" t="s">
        <v>305</v>
      </c>
      <c r="B23" s="277" t="s">
        <v>306</v>
      </c>
      <c r="C23" s="278"/>
      <c r="D23" s="233">
        <v>321.3</v>
      </c>
      <c r="E23" s="234"/>
      <c r="F23" s="267"/>
      <c r="G23" s="268"/>
      <c r="H23" s="279" t="s">
        <v>307</v>
      </c>
      <c r="I23" s="280"/>
      <c r="J23" s="281"/>
      <c r="K23" s="282"/>
      <c r="L23" s="166"/>
      <c r="Q23" s="180" t="s">
        <v>308</v>
      </c>
      <c r="R23" s="182"/>
      <c r="S23" s="166"/>
      <c r="T23" s="166"/>
      <c r="U23" s="166"/>
      <c r="V23" s="166"/>
      <c r="W23" s="166"/>
      <c r="X23" s="166"/>
      <c r="Y23" s="166"/>
      <c r="Z23" s="166"/>
    </row>
    <row r="24" spans="1:26" s="170" customFormat="1" ht="18.399999999999999" customHeight="1" thickBot="1">
      <c r="A24" s="283" t="s">
        <v>309</v>
      </c>
      <c r="B24" s="284" t="s">
        <v>310</v>
      </c>
      <c r="C24" s="285"/>
      <c r="D24" s="286" t="s">
        <v>173</v>
      </c>
      <c r="E24" s="287"/>
      <c r="F24" s="267"/>
      <c r="G24" s="268"/>
      <c r="H24" s="261" t="s">
        <v>311</v>
      </c>
      <c r="I24" s="227"/>
      <c r="J24" s="288"/>
      <c r="K24" s="289"/>
      <c r="Q24" s="290" t="s">
        <v>173</v>
      </c>
      <c r="R24" s="291"/>
      <c r="S24" s="166"/>
      <c r="T24" s="166"/>
      <c r="U24" s="166"/>
      <c r="V24" s="166"/>
      <c r="W24" s="166"/>
      <c r="X24" s="166"/>
      <c r="Y24" s="166"/>
      <c r="Z24" s="166"/>
    </row>
    <row r="25" spans="1:26" s="170" customFormat="1" ht="18.399999999999999" customHeight="1">
      <c r="A25" s="292" t="s">
        <v>312</v>
      </c>
      <c r="B25" s="293"/>
      <c r="C25" s="293"/>
      <c r="D25" s="294"/>
      <c r="E25" s="294" t="s">
        <v>313</v>
      </c>
      <c r="F25" s="267"/>
      <c r="G25" s="268"/>
      <c r="H25" s="261" t="s">
        <v>314</v>
      </c>
      <c r="I25" s="227"/>
      <c r="J25" s="295">
        <v>88</v>
      </c>
      <c r="K25" s="289"/>
      <c r="R25" s="166"/>
      <c r="S25" s="166"/>
      <c r="T25" s="166"/>
      <c r="U25" s="166"/>
      <c r="V25" s="166"/>
      <c r="W25" s="166"/>
      <c r="X25" s="166"/>
      <c r="Y25" s="166"/>
      <c r="Z25" s="166"/>
    </row>
    <row r="26" spans="1:26" s="170" customFormat="1" ht="18.399999999999999" customHeight="1">
      <c r="A26" s="296" t="s">
        <v>315</v>
      </c>
      <c r="B26" s="297"/>
      <c r="C26" s="298"/>
      <c r="D26" s="299" t="s">
        <v>370</v>
      </c>
      <c r="E26" s="299" t="s">
        <v>372</v>
      </c>
      <c r="F26" s="300"/>
      <c r="G26" s="301"/>
      <c r="H26" s="302"/>
      <c r="I26" s="303"/>
      <c r="J26" s="304"/>
      <c r="K26" s="305"/>
      <c r="R26" s="166"/>
      <c r="S26" s="166"/>
      <c r="T26" s="166"/>
      <c r="U26" s="166"/>
      <c r="V26" s="166"/>
      <c r="W26" s="166"/>
      <c r="X26" s="166"/>
      <c r="Y26" s="166"/>
      <c r="Z26" s="166"/>
    </row>
    <row r="27" spans="1:26" s="170" customFormat="1" ht="18.399999999999999" customHeight="1">
      <c r="A27" s="306" t="s">
        <v>316</v>
      </c>
      <c r="B27" s="307"/>
      <c r="C27" s="307"/>
      <c r="D27" s="307"/>
      <c r="E27" s="307"/>
      <c r="F27" s="187" t="s">
        <v>317</v>
      </c>
      <c r="G27" s="188"/>
      <c r="H27" s="188"/>
      <c r="I27" s="188"/>
      <c r="J27" s="188"/>
      <c r="K27" s="189"/>
      <c r="R27" s="166"/>
      <c r="S27" s="166"/>
      <c r="T27" s="166"/>
      <c r="U27" s="166"/>
      <c r="V27" s="166"/>
      <c r="W27" s="166"/>
      <c r="X27" s="166"/>
      <c r="Y27" s="166"/>
      <c r="Z27" s="166"/>
    </row>
    <row r="28" spans="1:26" s="170" customFormat="1" ht="18.399999999999999" customHeight="1">
      <c r="A28" s="308"/>
      <c r="B28" s="309"/>
      <c r="C28" s="309"/>
      <c r="D28" s="309"/>
      <c r="E28" s="310"/>
      <c r="F28" s="311"/>
      <c r="G28" s="312"/>
      <c r="H28" s="241" t="s">
        <v>318</v>
      </c>
      <c r="I28" s="313" t="s">
        <v>368</v>
      </c>
      <c r="J28" s="206">
        <v>498</v>
      </c>
      <c r="K28" s="314" t="s">
        <v>173</v>
      </c>
      <c r="M28" s="170">
        <f>(J28/J18)*100</f>
        <v>638.46153846153845</v>
      </c>
      <c r="N28" s="315"/>
      <c r="O28" s="315"/>
      <c r="R28" s="166"/>
      <c r="S28" s="166"/>
      <c r="T28" s="166"/>
      <c r="U28" s="166"/>
      <c r="V28" s="166"/>
      <c r="W28" s="166"/>
      <c r="X28" s="166"/>
      <c r="Y28" s="166"/>
      <c r="Z28" s="166"/>
    </row>
    <row r="29" spans="1:26" s="170" customFormat="1" ht="18.399999999999999" customHeight="1">
      <c r="A29" s="308"/>
      <c r="B29" s="309"/>
      <c r="C29" s="309"/>
      <c r="D29" s="309"/>
      <c r="E29" s="310"/>
      <c r="F29" s="316"/>
      <c r="G29" s="317"/>
      <c r="H29" s="241" t="s">
        <v>319</v>
      </c>
      <c r="I29" s="318">
        <v>60</v>
      </c>
      <c r="J29" s="206">
        <v>114</v>
      </c>
      <c r="K29" s="319" t="s">
        <v>173</v>
      </c>
      <c r="Q29" s="166"/>
      <c r="R29" s="166"/>
      <c r="S29" s="166"/>
      <c r="T29" s="166"/>
      <c r="U29" s="166"/>
      <c r="V29" s="166"/>
      <c r="W29" s="166"/>
      <c r="X29" s="166"/>
      <c r="Y29" s="166"/>
      <c r="Z29" s="166"/>
    </row>
    <row r="30" spans="1:26" s="170" customFormat="1" ht="18.399999999999999" customHeight="1">
      <c r="A30" s="308"/>
      <c r="B30" s="309"/>
      <c r="C30" s="309"/>
      <c r="D30" s="309"/>
      <c r="E30" s="310"/>
      <c r="F30" s="316"/>
      <c r="G30" s="317"/>
      <c r="H30" s="241" t="s">
        <v>320</v>
      </c>
      <c r="I30" s="318">
        <v>175</v>
      </c>
      <c r="J30" s="206">
        <v>266</v>
      </c>
      <c r="K30" s="320" t="s">
        <v>173</v>
      </c>
      <c r="L30" s="166"/>
      <c r="R30" s="166"/>
      <c r="S30" s="166"/>
      <c r="T30" s="166"/>
      <c r="U30" s="166"/>
      <c r="V30" s="166"/>
      <c r="W30" s="166"/>
      <c r="X30" s="166"/>
      <c r="Y30" s="166"/>
      <c r="Z30" s="166"/>
    </row>
    <row r="31" spans="1:26" s="170" customFormat="1" ht="18.399999999999999" customHeight="1">
      <c r="A31" s="308"/>
      <c r="B31" s="309"/>
      <c r="C31" s="309"/>
      <c r="D31" s="309"/>
      <c r="E31" s="310"/>
      <c r="F31" s="316"/>
      <c r="G31" s="317"/>
      <c r="H31" s="241" t="s">
        <v>321</v>
      </c>
      <c r="I31" s="242"/>
      <c r="J31" s="321">
        <v>1.24</v>
      </c>
      <c r="K31" s="199" t="s">
        <v>173</v>
      </c>
      <c r="L31" s="166"/>
      <c r="R31" s="166"/>
      <c r="S31" s="166"/>
      <c r="T31" s="166"/>
      <c r="U31" s="166"/>
      <c r="V31" s="166"/>
      <c r="W31" s="166"/>
      <c r="X31" s="166"/>
      <c r="Y31" s="166"/>
      <c r="Z31" s="166"/>
    </row>
    <row r="32" spans="1:26" s="170" customFormat="1" ht="18.399999999999999" customHeight="1">
      <c r="A32" s="322"/>
      <c r="B32" s="323"/>
      <c r="C32" s="323"/>
      <c r="D32" s="323"/>
      <c r="E32" s="324"/>
      <c r="F32" s="316"/>
      <c r="G32" s="325" t="s">
        <v>322</v>
      </c>
      <c r="H32" s="241" t="s">
        <v>323</v>
      </c>
      <c r="I32" s="326"/>
      <c r="J32" s="198">
        <v>94.5</v>
      </c>
      <c r="K32" s="319" t="s">
        <v>173</v>
      </c>
      <c r="L32" s="166"/>
      <c r="N32" s="327"/>
      <c r="R32" s="166"/>
      <c r="S32" s="166"/>
      <c r="T32" s="166"/>
      <c r="U32" s="166"/>
      <c r="V32" s="166"/>
      <c r="W32" s="166"/>
      <c r="X32" s="166"/>
      <c r="Y32" s="166"/>
      <c r="Z32" s="166"/>
    </row>
    <row r="33" spans="1:26" s="170" customFormat="1" ht="18.399999999999999" customHeight="1">
      <c r="A33" s="306" t="s">
        <v>324</v>
      </c>
      <c r="B33" s="307"/>
      <c r="C33" s="307"/>
      <c r="D33" s="307"/>
      <c r="E33" s="328"/>
      <c r="F33" s="329"/>
      <c r="G33" s="330"/>
      <c r="H33" s="331" t="s">
        <v>325</v>
      </c>
      <c r="I33" s="332"/>
      <c r="J33" s="333">
        <v>88.2</v>
      </c>
      <c r="K33" s="334" t="s">
        <v>173</v>
      </c>
      <c r="L33" s="166"/>
      <c r="R33" s="166"/>
      <c r="S33" s="166"/>
      <c r="T33" s="166"/>
      <c r="U33" s="166"/>
      <c r="V33" s="166"/>
      <c r="W33" s="166"/>
      <c r="X33" s="166"/>
      <c r="Y33" s="166"/>
      <c r="Z33" s="166"/>
    </row>
    <row r="34" spans="1:26" s="170" customFormat="1" ht="18.399999999999999" customHeight="1">
      <c r="A34" s="308"/>
      <c r="B34" s="309"/>
      <c r="C34" s="309"/>
      <c r="D34" s="309"/>
      <c r="E34" s="310"/>
      <c r="F34" s="202" t="s">
        <v>326</v>
      </c>
      <c r="G34" s="335"/>
      <c r="H34" s="336" t="s">
        <v>14</v>
      </c>
      <c r="I34" s="337"/>
      <c r="J34" s="338">
        <v>7066</v>
      </c>
      <c r="K34" s="339" t="s">
        <v>173</v>
      </c>
      <c r="L34" s="340"/>
      <c r="M34" s="341"/>
      <c r="R34" s="166"/>
      <c r="S34" s="166"/>
      <c r="T34" s="166"/>
      <c r="U34" s="166"/>
      <c r="V34" s="166"/>
      <c r="W34" s="166"/>
      <c r="X34" s="166"/>
      <c r="Y34" s="166"/>
      <c r="Z34" s="166"/>
    </row>
    <row r="35" spans="1:26" s="170" customFormat="1" ht="18.399999999999999" customHeight="1">
      <c r="A35" s="308"/>
      <c r="B35" s="309"/>
      <c r="C35" s="309"/>
      <c r="D35" s="309"/>
      <c r="E35" s="310"/>
      <c r="F35" s="235"/>
      <c r="G35" s="342"/>
      <c r="H35" s="343" t="s">
        <v>15</v>
      </c>
      <c r="I35" s="344"/>
      <c r="J35" s="206">
        <v>7257</v>
      </c>
      <c r="K35" s="199" t="s">
        <v>173</v>
      </c>
      <c r="L35" s="345"/>
      <c r="M35" s="341"/>
      <c r="R35" s="166"/>
      <c r="S35" s="166"/>
      <c r="T35" s="166"/>
      <c r="U35" s="166"/>
      <c r="V35" s="166"/>
      <c r="W35" s="166"/>
      <c r="X35" s="166"/>
      <c r="Y35" s="166"/>
      <c r="Z35" s="166"/>
    </row>
    <row r="36" spans="1:26" s="170" customFormat="1" ht="18.399999999999999" customHeight="1">
      <c r="A36" s="308"/>
      <c r="B36" s="309"/>
      <c r="C36" s="309"/>
      <c r="D36" s="309"/>
      <c r="E36" s="310"/>
      <c r="F36" s="235"/>
      <c r="G36" s="342"/>
      <c r="H36" s="343" t="s">
        <v>327</v>
      </c>
      <c r="I36" s="344"/>
      <c r="J36" s="206">
        <v>4420</v>
      </c>
      <c r="K36" s="199" t="s">
        <v>173</v>
      </c>
      <c r="L36" s="345"/>
      <c r="M36" s="315"/>
      <c r="Q36" s="166"/>
      <c r="R36" s="166"/>
      <c r="S36" s="166"/>
      <c r="T36" s="166"/>
      <c r="U36" s="166"/>
      <c r="V36" s="166"/>
      <c r="W36" s="166"/>
      <c r="X36" s="166"/>
      <c r="Y36" s="166"/>
      <c r="Z36" s="166"/>
    </row>
    <row r="37" spans="1:26" s="170" customFormat="1" ht="18.399999999999999" customHeight="1">
      <c r="A37" s="308"/>
      <c r="B37" s="309"/>
      <c r="C37" s="309"/>
      <c r="D37" s="309"/>
      <c r="E37" s="310"/>
      <c r="F37" s="316"/>
      <c r="G37" s="342"/>
      <c r="H37" s="343" t="s">
        <v>328</v>
      </c>
      <c r="I37" s="344"/>
      <c r="J37" s="206">
        <v>2500</v>
      </c>
      <c r="K37" s="199" t="s">
        <v>173</v>
      </c>
      <c r="L37" s="345"/>
      <c r="M37" s="315"/>
      <c r="N37" s="345"/>
      <c r="R37" s="166"/>
      <c r="S37" s="166"/>
      <c r="T37" s="166"/>
      <c r="U37" s="166"/>
      <c r="V37" s="166"/>
      <c r="W37" s="166"/>
      <c r="X37" s="166"/>
      <c r="Y37" s="166"/>
      <c r="Z37" s="166"/>
    </row>
    <row r="38" spans="1:26" s="170" customFormat="1" ht="18.399999999999999" customHeight="1">
      <c r="A38" s="322"/>
      <c r="B38" s="323"/>
      <c r="C38" s="323"/>
      <c r="D38" s="323"/>
      <c r="E38" s="324"/>
      <c r="F38" s="251"/>
      <c r="G38" s="346"/>
      <c r="H38" s="347" t="s">
        <v>329</v>
      </c>
      <c r="I38" s="348"/>
      <c r="J38" s="349">
        <v>5051</v>
      </c>
      <c r="K38" s="350" t="s">
        <v>173</v>
      </c>
      <c r="R38" s="166"/>
      <c r="S38" s="166"/>
      <c r="T38" s="166"/>
      <c r="U38" s="166"/>
      <c r="V38" s="166"/>
      <c r="W38" s="166"/>
      <c r="X38" s="166"/>
      <c r="Y38" s="166"/>
      <c r="Z38" s="166"/>
    </row>
    <row r="39" spans="1:26" s="170" customFormat="1" ht="18.399999999999999" customHeight="1">
      <c r="A39" s="306" t="s">
        <v>330</v>
      </c>
      <c r="B39" s="307"/>
      <c r="C39" s="307"/>
      <c r="D39" s="307"/>
      <c r="E39" s="307"/>
      <c r="F39" s="351" t="s">
        <v>331</v>
      </c>
      <c r="G39" s="352"/>
      <c r="H39" s="352"/>
      <c r="I39" s="352"/>
      <c r="J39" s="352"/>
      <c r="K39" s="353"/>
      <c r="R39" s="166"/>
      <c r="S39" s="166"/>
      <c r="T39" s="166"/>
      <c r="U39" s="166"/>
      <c r="V39" s="166"/>
      <c r="W39" s="166"/>
      <c r="X39" s="166"/>
      <c r="Y39" s="166"/>
      <c r="Z39" s="166"/>
    </row>
    <row r="40" spans="1:26" s="170" customFormat="1" ht="18.399999999999999" customHeight="1">
      <c r="A40" s="308"/>
      <c r="B40" s="309"/>
      <c r="C40" s="309"/>
      <c r="D40" s="309"/>
      <c r="E40" s="310"/>
      <c r="F40" s="354"/>
      <c r="G40" s="355"/>
      <c r="H40" s="355"/>
      <c r="I40" s="355"/>
      <c r="J40" s="355"/>
      <c r="K40" s="356"/>
      <c r="R40" s="166"/>
      <c r="S40" s="166"/>
      <c r="T40" s="166"/>
      <c r="U40" s="166"/>
      <c r="V40" s="166"/>
      <c r="W40" s="166"/>
      <c r="X40" s="166"/>
      <c r="Y40" s="166"/>
      <c r="Z40" s="166"/>
    </row>
    <row r="41" spans="1:26" s="170" customFormat="1" ht="18.399999999999999" customHeight="1">
      <c r="A41" s="308"/>
      <c r="B41" s="309"/>
      <c r="C41" s="309"/>
      <c r="D41" s="309"/>
      <c r="E41" s="310"/>
      <c r="F41" s="354"/>
      <c r="G41" s="357"/>
      <c r="H41" s="357"/>
      <c r="I41" s="357"/>
      <c r="J41" s="357"/>
      <c r="K41" s="358"/>
      <c r="L41" s="359"/>
      <c r="R41" s="166"/>
      <c r="S41" s="166"/>
      <c r="T41" s="166"/>
      <c r="U41" s="166"/>
      <c r="V41" s="166"/>
      <c r="W41" s="166"/>
      <c r="X41" s="166"/>
      <c r="Y41" s="166"/>
      <c r="Z41" s="166"/>
    </row>
    <row r="42" spans="1:26" s="170" customFormat="1" ht="18.399999999999999" customHeight="1">
      <c r="A42" s="308"/>
      <c r="B42" s="309"/>
      <c r="C42" s="309"/>
      <c r="D42" s="309"/>
      <c r="E42" s="310"/>
      <c r="F42" s="354"/>
      <c r="G42" s="357"/>
      <c r="H42" s="357"/>
      <c r="I42" s="357"/>
      <c r="J42" s="357"/>
      <c r="K42" s="358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</row>
    <row r="43" spans="1:26" s="170" customFormat="1" ht="18.399999999999999" customHeight="1">
      <c r="A43" s="308"/>
      <c r="B43" s="309"/>
      <c r="C43" s="309"/>
      <c r="D43" s="309"/>
      <c r="E43" s="310"/>
      <c r="F43" s="354"/>
      <c r="G43" s="357"/>
      <c r="H43" s="357"/>
      <c r="I43" s="357"/>
      <c r="J43" s="357"/>
      <c r="K43" s="358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</row>
    <row r="44" spans="1:26" s="170" customFormat="1" ht="17.100000000000001" customHeight="1" thickBot="1">
      <c r="A44" s="360"/>
      <c r="B44" s="361"/>
      <c r="C44" s="361"/>
      <c r="D44" s="361"/>
      <c r="E44" s="362"/>
      <c r="F44" s="354"/>
      <c r="G44" s="357"/>
      <c r="H44" s="357"/>
      <c r="I44" s="357"/>
      <c r="J44" s="357"/>
      <c r="K44" s="358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</row>
    <row r="45" spans="1:26" s="170" customFormat="1" ht="17.100000000000001" customHeight="1">
      <c r="A45" s="363" t="s">
        <v>332</v>
      </c>
      <c r="B45" s="364"/>
      <c r="C45" s="365"/>
      <c r="D45" s="366" t="s">
        <v>333</v>
      </c>
      <c r="E45" s="367" t="s">
        <v>334</v>
      </c>
      <c r="F45" s="368"/>
      <c r="G45" s="357"/>
      <c r="H45" s="357"/>
      <c r="I45" s="357"/>
      <c r="J45" s="357"/>
      <c r="K45" s="358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</row>
    <row r="46" spans="1:26" s="170" customFormat="1" ht="17.100000000000001" customHeight="1" thickBot="1">
      <c r="A46" s="369" t="s">
        <v>335</v>
      </c>
      <c r="B46" s="370"/>
      <c r="C46" s="371"/>
      <c r="D46" s="372" t="s">
        <v>335</v>
      </c>
      <c r="E46" s="373">
        <v>41879</v>
      </c>
      <c r="F46" s="374"/>
      <c r="G46" s="375"/>
      <c r="H46" s="375"/>
      <c r="I46" s="375"/>
      <c r="J46" s="375"/>
      <c r="K46" s="37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</row>
    <row r="47" spans="1:26" s="170" customFormat="1" ht="17.100000000000001" customHeight="1">
      <c r="F47" s="377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</row>
    <row r="48" spans="1:26" s="170" customFormat="1" ht="17.100000000000001" customHeight="1">
      <c r="F48" s="166"/>
      <c r="G48" s="166"/>
      <c r="H48" s="166"/>
      <c r="I48" s="166"/>
      <c r="J48" s="166"/>
      <c r="K48" s="166"/>
    </row>
    <row r="49" spans="2:26" ht="17.100000000000001" customHeight="1">
      <c r="F49" s="154"/>
      <c r="G49" s="154"/>
      <c r="H49" s="154"/>
      <c r="I49" s="154"/>
      <c r="J49" s="154"/>
      <c r="K49" s="154"/>
      <c r="L49" s="155"/>
      <c r="M49" s="155"/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</row>
    <row r="50" spans="2:26">
      <c r="F50" s="154"/>
      <c r="G50" s="154"/>
      <c r="H50" s="154"/>
      <c r="I50" s="154"/>
      <c r="J50" s="154"/>
      <c r="K50" s="154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</row>
    <row r="51" spans="2:26">
      <c r="F51" s="154"/>
      <c r="G51" s="154"/>
      <c r="H51" s="154"/>
      <c r="I51" s="154"/>
      <c r="J51" s="154"/>
      <c r="K51" s="154"/>
      <c r="L51" s="155"/>
      <c r="M51" s="155"/>
      <c r="N51" s="155"/>
      <c r="O51" s="155"/>
      <c r="P51" s="155"/>
      <c r="Q51" s="155"/>
      <c r="R51" s="155"/>
      <c r="S51" s="155"/>
      <c r="T51" s="155"/>
      <c r="U51" s="155"/>
      <c r="V51" s="155"/>
      <c r="W51" s="155"/>
      <c r="X51" s="155"/>
      <c r="Y51" s="155"/>
      <c r="Z51" s="155"/>
    </row>
    <row r="52" spans="2:26">
      <c r="B52" s="154"/>
      <c r="C52" s="154"/>
      <c r="D52" s="154"/>
      <c r="E52" s="154"/>
      <c r="F52" s="154"/>
      <c r="G52" s="154"/>
      <c r="H52" s="154"/>
      <c r="I52" s="154"/>
      <c r="J52" s="154"/>
      <c r="K52" s="154"/>
      <c r="Q52" s="155"/>
      <c r="R52" s="155"/>
      <c r="S52" s="155"/>
      <c r="T52" s="155"/>
      <c r="U52" s="155"/>
      <c r="V52" s="155"/>
      <c r="W52" s="155"/>
      <c r="X52" s="155"/>
      <c r="Y52" s="155"/>
      <c r="Z52" s="155"/>
    </row>
    <row r="53" spans="2:26">
      <c r="F53" s="154"/>
      <c r="G53" s="154"/>
      <c r="H53" s="154"/>
      <c r="I53" s="154"/>
      <c r="J53" s="154"/>
      <c r="K53" s="154"/>
      <c r="Q53" s="155"/>
      <c r="R53" s="155"/>
      <c r="S53" s="155"/>
      <c r="T53" s="155"/>
      <c r="U53" s="155"/>
      <c r="V53" s="155"/>
      <c r="W53" s="155"/>
      <c r="X53" s="155"/>
      <c r="Y53" s="155"/>
      <c r="Z53" s="155"/>
    </row>
  </sheetData>
  <mergeCells count="49">
    <mergeCell ref="B46:C46"/>
    <mergeCell ref="A28:E32"/>
    <mergeCell ref="A33:E33"/>
    <mergeCell ref="A34:E38"/>
    <mergeCell ref="A39:E39"/>
    <mergeCell ref="A40:E44"/>
    <mergeCell ref="B45:C45"/>
    <mergeCell ref="D21:E21"/>
    <mergeCell ref="D22:E22"/>
    <mergeCell ref="D23:E23"/>
    <mergeCell ref="D24:E24"/>
    <mergeCell ref="H26:I26"/>
    <mergeCell ref="A27:E27"/>
    <mergeCell ref="F27:K27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D12:E12"/>
    <mergeCell ref="F12:K12"/>
    <mergeCell ref="A7:C7"/>
    <mergeCell ref="D7:E7"/>
    <mergeCell ref="A8:C8"/>
    <mergeCell ref="D8:E8"/>
    <mergeCell ref="A9:C9"/>
    <mergeCell ref="D9:E9"/>
    <mergeCell ref="A1:K1"/>
    <mergeCell ref="A2:K2"/>
    <mergeCell ref="J3:K3"/>
    <mergeCell ref="A5:C5"/>
    <mergeCell ref="A6:C6"/>
    <mergeCell ref="D6:E6"/>
    <mergeCell ref="F6:K6"/>
  </mergeCells>
  <dataValidations count="3">
    <dataValidation type="list" allowBlank="1" showInputMessage="1" sqref="D6:E6">
      <formula1>$T$5:$T$10</formula1>
    </dataValidation>
    <dataValidation type="list" allowBlank="1" showErrorMessage="1" error="Choose from list!" sqref="D21">
      <formula1>$Q$22:$Q$24</formula1>
    </dataValidation>
    <dataValidation type="list" allowBlank="1" showInputMessage="1" errorTitle="Hold on!" error="Enter a valid motor type!" prompt="Motor Type  Select one from the list or input name" sqref="K4">
      <formula1>$Q$5:$Q$11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9"/>
  <sheetViews>
    <sheetView topLeftCell="A16" zoomScale="75" zoomScaleNormal="75" workbookViewId="0"/>
  </sheetViews>
  <sheetFormatPr defaultColWidth="9.140625" defaultRowHeight="12.75"/>
  <cols>
    <col min="1" max="1" width="9.140625" style="384" customWidth="1"/>
    <col min="2" max="2" width="18.140625" style="384" customWidth="1"/>
    <col min="3" max="3" width="21.5703125" style="384" customWidth="1"/>
    <col min="4" max="4" width="21.28515625" style="384" bestFit="1" customWidth="1"/>
    <col min="5" max="5" width="6.85546875" style="384" bestFit="1" customWidth="1"/>
    <col min="6" max="6" width="29.85546875" style="384" customWidth="1"/>
    <col min="7" max="7" width="43.7109375" style="384" customWidth="1"/>
    <col min="8" max="8" width="17.140625" style="384" customWidth="1"/>
    <col min="9" max="9" width="7.85546875" style="384" customWidth="1"/>
    <col min="10" max="10" width="2.28515625" style="384" bestFit="1" customWidth="1"/>
    <col min="11" max="12" width="2.28515625" style="384" customWidth="1"/>
    <col min="13" max="13" width="2.5703125" style="384" bestFit="1" customWidth="1"/>
    <col min="14" max="14" width="2.28515625" style="384" bestFit="1" customWidth="1"/>
    <col min="15" max="16384" width="9.140625" style="384"/>
  </cols>
  <sheetData>
    <row r="1" spans="2:14" ht="12.75" customHeight="1">
      <c r="B1" s="379"/>
      <c r="C1" s="380"/>
      <c r="D1" s="380"/>
      <c r="E1" s="380"/>
      <c r="F1" s="380"/>
      <c r="G1" s="380"/>
      <c r="H1" s="381"/>
      <c r="I1" s="382"/>
      <c r="J1" s="383" t="s">
        <v>336</v>
      </c>
      <c r="K1" s="383" t="s">
        <v>337</v>
      </c>
      <c r="L1" s="383" t="s">
        <v>338</v>
      </c>
      <c r="M1" s="383" t="s">
        <v>337</v>
      </c>
      <c r="N1" s="383"/>
    </row>
    <row r="2" spans="2:14" ht="12.75" customHeight="1">
      <c r="B2" s="385" t="s">
        <v>339</v>
      </c>
      <c r="C2" s="386"/>
      <c r="D2" s="386"/>
      <c r="E2" s="386"/>
      <c r="F2" s="386"/>
      <c r="G2" s="386"/>
      <c r="H2" s="387"/>
      <c r="I2" s="388"/>
      <c r="J2" s="389" t="s">
        <v>340</v>
      </c>
      <c r="K2" s="389" t="s">
        <v>341</v>
      </c>
      <c r="L2" s="389" t="s">
        <v>342</v>
      </c>
      <c r="M2" s="389" t="s">
        <v>343</v>
      </c>
      <c r="N2" s="389" t="s">
        <v>344</v>
      </c>
    </row>
    <row r="3" spans="2:14" ht="12.75" customHeight="1">
      <c r="B3" s="385"/>
      <c r="C3" s="386"/>
      <c r="D3" s="386"/>
      <c r="E3" s="386"/>
      <c r="F3" s="386"/>
      <c r="G3" s="386"/>
      <c r="H3" s="387"/>
      <c r="I3" s="388"/>
      <c r="J3" s="389" t="s">
        <v>345</v>
      </c>
      <c r="K3" s="389"/>
      <c r="L3" s="389" t="s">
        <v>346</v>
      </c>
      <c r="M3" s="389" t="s">
        <v>336</v>
      </c>
      <c r="N3" s="389"/>
    </row>
    <row r="4" spans="2:14" ht="12.75" customHeight="1">
      <c r="B4" s="385"/>
      <c r="C4" s="386"/>
      <c r="D4" s="386"/>
      <c r="E4" s="386"/>
      <c r="F4" s="386"/>
      <c r="G4" s="386"/>
      <c r="H4" s="387"/>
      <c r="I4" s="388"/>
      <c r="J4" s="389" t="s">
        <v>347</v>
      </c>
      <c r="K4" s="389"/>
      <c r="L4" s="389" t="s">
        <v>342</v>
      </c>
      <c r="M4" s="389" t="s">
        <v>340</v>
      </c>
      <c r="N4" s="389"/>
    </row>
    <row r="5" spans="2:14" ht="12.75" customHeight="1">
      <c r="B5" s="390"/>
      <c r="C5" s="391"/>
      <c r="D5" s="391"/>
      <c r="E5" s="391"/>
      <c r="F5" s="391"/>
      <c r="G5" s="391"/>
      <c r="H5" s="387"/>
      <c r="I5" s="388"/>
      <c r="J5" s="389"/>
      <c r="K5" s="389" t="s">
        <v>348</v>
      </c>
      <c r="L5" s="389" t="s">
        <v>337</v>
      </c>
      <c r="M5" s="389"/>
      <c r="N5" s="389" t="s">
        <v>342</v>
      </c>
    </row>
    <row r="6" spans="2:14" ht="12" customHeight="1">
      <c r="B6" s="392"/>
      <c r="C6" s="393"/>
      <c r="D6" s="393"/>
      <c r="F6" s="393"/>
      <c r="H6" s="394"/>
      <c r="I6" s="388"/>
      <c r="J6" s="389" t="s">
        <v>341</v>
      </c>
      <c r="K6" s="389" t="s">
        <v>349</v>
      </c>
      <c r="L6" s="389"/>
      <c r="M6" s="389" t="s">
        <v>337</v>
      </c>
      <c r="N6" s="389" t="s">
        <v>350</v>
      </c>
    </row>
    <row r="7" spans="2:14" ht="12.75" customHeight="1">
      <c r="B7" s="392"/>
      <c r="D7" s="395"/>
      <c r="H7" s="394"/>
      <c r="I7" s="388"/>
      <c r="J7" s="389" t="s">
        <v>351</v>
      </c>
      <c r="K7" s="389" t="s">
        <v>345</v>
      </c>
      <c r="L7" s="389" t="s">
        <v>345</v>
      </c>
      <c r="M7" s="389" t="s">
        <v>340</v>
      </c>
      <c r="N7" s="389" t="s">
        <v>352</v>
      </c>
    </row>
    <row r="8" spans="2:14" ht="12.75" customHeight="1">
      <c r="B8" s="392"/>
      <c r="G8" s="395"/>
      <c r="H8" s="396"/>
      <c r="I8" s="389" t="s">
        <v>352</v>
      </c>
      <c r="J8" s="389" t="s">
        <v>337</v>
      </c>
      <c r="K8" s="389" t="s">
        <v>353</v>
      </c>
      <c r="L8" s="389" t="s">
        <v>340</v>
      </c>
      <c r="M8" s="389" t="s">
        <v>352</v>
      </c>
      <c r="N8" s="389" t="s">
        <v>349</v>
      </c>
    </row>
    <row r="9" spans="2:14">
      <c r="B9" s="389" t="s">
        <v>354</v>
      </c>
      <c r="C9" s="396" t="s">
        <v>355</v>
      </c>
      <c r="D9" s="396" t="s">
        <v>356</v>
      </c>
      <c r="E9" s="396" t="s">
        <v>357</v>
      </c>
      <c r="F9" s="389" t="s">
        <v>358</v>
      </c>
      <c r="G9" s="389" t="s">
        <v>359</v>
      </c>
      <c r="H9" s="389" t="s">
        <v>360</v>
      </c>
      <c r="I9" s="389" t="s">
        <v>347</v>
      </c>
      <c r="J9" s="389" t="s">
        <v>351</v>
      </c>
      <c r="K9" s="389" t="s">
        <v>340</v>
      </c>
      <c r="L9" s="389" t="s">
        <v>353</v>
      </c>
      <c r="M9" s="389" t="s">
        <v>337</v>
      </c>
      <c r="N9" s="389" t="s">
        <v>338</v>
      </c>
    </row>
    <row r="10" spans="2:14" ht="15" customHeight="1">
      <c r="B10" s="397"/>
      <c r="C10" s="398"/>
      <c r="D10" s="398"/>
      <c r="E10" s="398"/>
      <c r="F10" s="399"/>
      <c r="G10" s="400"/>
      <c r="H10" s="400"/>
      <c r="I10" s="401"/>
      <c r="J10" s="402"/>
      <c r="K10" s="402"/>
      <c r="L10" s="402"/>
      <c r="M10" s="402"/>
      <c r="N10" s="403"/>
    </row>
    <row r="11" spans="2:14" ht="15" customHeight="1">
      <c r="B11" s="397"/>
      <c r="C11" s="399"/>
      <c r="D11" s="399"/>
      <c r="E11" s="399"/>
      <c r="F11" s="399"/>
      <c r="G11" s="399"/>
      <c r="H11" s="399"/>
      <c r="I11" s="404"/>
      <c r="J11" s="402"/>
      <c r="K11" s="402"/>
      <c r="L11" s="402"/>
      <c r="M11" s="402"/>
      <c r="N11" s="403"/>
    </row>
    <row r="12" spans="2:14" ht="15" customHeight="1">
      <c r="B12" s="397"/>
      <c r="C12" s="399"/>
      <c r="D12" s="399"/>
      <c r="E12" s="399"/>
      <c r="F12" s="399"/>
      <c r="G12" s="399"/>
      <c r="H12" s="399"/>
      <c r="I12" s="404"/>
      <c r="J12" s="405"/>
      <c r="K12" s="402"/>
      <c r="L12" s="402"/>
      <c r="M12" s="402"/>
      <c r="N12" s="403"/>
    </row>
    <row r="13" spans="2:14" ht="15" customHeight="1">
      <c r="B13" s="397"/>
      <c r="C13" s="399"/>
      <c r="D13" s="399"/>
      <c r="E13" s="399"/>
      <c r="F13" s="399"/>
      <c r="G13" s="399"/>
      <c r="H13" s="399"/>
      <c r="I13" s="404"/>
      <c r="J13" s="402"/>
      <c r="K13" s="402"/>
      <c r="L13" s="402"/>
      <c r="M13" s="402"/>
      <c r="N13" s="403"/>
    </row>
    <row r="14" spans="2:14" ht="15" customHeight="1">
      <c r="B14" s="397"/>
      <c r="C14" s="399"/>
      <c r="D14" s="399"/>
      <c r="E14" s="399"/>
      <c r="F14" s="399"/>
      <c r="G14" s="399"/>
      <c r="H14" s="399"/>
      <c r="I14" s="404"/>
      <c r="J14" s="402"/>
      <c r="K14" s="402"/>
      <c r="L14" s="402"/>
      <c r="M14" s="402"/>
      <c r="N14" s="403"/>
    </row>
    <row r="15" spans="2:14" ht="15" customHeight="1">
      <c r="B15" s="397"/>
      <c r="C15" s="399"/>
      <c r="D15" s="399"/>
      <c r="E15" s="399"/>
      <c r="F15" s="399"/>
      <c r="G15" s="399"/>
      <c r="H15" s="399"/>
      <c r="I15" s="404"/>
      <c r="J15" s="402"/>
      <c r="K15" s="402"/>
      <c r="L15" s="402"/>
      <c r="M15" s="402"/>
      <c r="N15" s="403"/>
    </row>
    <row r="16" spans="2:14" ht="15" customHeight="1">
      <c r="B16" s="397"/>
      <c r="C16" s="399"/>
      <c r="D16" s="399"/>
      <c r="E16" s="399"/>
      <c r="F16" s="399"/>
      <c r="G16" s="399"/>
      <c r="H16" s="399"/>
      <c r="I16" s="404"/>
      <c r="J16" s="402"/>
      <c r="K16" s="402"/>
      <c r="L16" s="402"/>
      <c r="M16" s="402"/>
      <c r="N16" s="403"/>
    </row>
    <row r="17" spans="2:14" ht="15" customHeight="1">
      <c r="B17" s="397"/>
      <c r="C17" s="399"/>
      <c r="D17" s="399"/>
      <c r="E17" s="399"/>
      <c r="F17" s="399"/>
      <c r="G17" s="399"/>
      <c r="H17" s="399"/>
      <c r="I17" s="404"/>
      <c r="J17" s="402"/>
      <c r="K17" s="402"/>
      <c r="L17" s="402"/>
      <c r="M17" s="402"/>
      <c r="N17" s="403"/>
    </row>
    <row r="18" spans="2:14" ht="15" customHeight="1">
      <c r="B18" s="397"/>
      <c r="C18" s="399"/>
      <c r="D18" s="399"/>
      <c r="E18" s="399"/>
      <c r="F18" s="399"/>
      <c r="G18" s="399"/>
      <c r="H18" s="399"/>
      <c r="I18" s="404"/>
      <c r="J18" s="402"/>
      <c r="K18" s="402"/>
      <c r="L18" s="402"/>
      <c r="M18" s="402"/>
      <c r="N18" s="403"/>
    </row>
    <row r="19" spans="2:14" ht="15" customHeight="1">
      <c r="B19" s="397"/>
      <c r="C19" s="399"/>
      <c r="D19" s="399"/>
      <c r="E19" s="399"/>
      <c r="F19" s="399"/>
      <c r="G19" s="399"/>
      <c r="H19" s="399"/>
      <c r="I19" s="404"/>
      <c r="J19" s="402"/>
      <c r="K19" s="402"/>
      <c r="L19" s="402"/>
      <c r="M19" s="402"/>
      <c r="N19" s="403"/>
    </row>
    <row r="20" spans="2:14" ht="15" customHeight="1">
      <c r="B20" s="397"/>
      <c r="C20" s="399"/>
      <c r="D20" s="399"/>
      <c r="E20" s="399"/>
      <c r="F20" s="399"/>
      <c r="G20" s="399"/>
      <c r="H20" s="399"/>
      <c r="I20" s="404"/>
      <c r="J20" s="402"/>
      <c r="K20" s="402"/>
      <c r="L20" s="402"/>
      <c r="M20" s="402"/>
      <c r="N20" s="403"/>
    </row>
    <row r="21" spans="2:14" ht="15" customHeight="1">
      <c r="B21" s="397"/>
      <c r="C21" s="399"/>
      <c r="D21" s="399"/>
      <c r="E21" s="399"/>
      <c r="F21" s="399"/>
      <c r="G21" s="399"/>
      <c r="H21" s="399"/>
      <c r="I21" s="404"/>
      <c r="J21" s="402"/>
      <c r="K21" s="402"/>
      <c r="L21" s="402"/>
      <c r="M21" s="402"/>
      <c r="N21" s="403"/>
    </row>
    <row r="22" spans="2:14" ht="15" customHeight="1">
      <c r="B22" s="397"/>
      <c r="C22" s="399"/>
      <c r="D22" s="399"/>
      <c r="E22" s="399"/>
      <c r="F22" s="399"/>
      <c r="G22" s="399"/>
      <c r="H22" s="399"/>
      <c r="I22" s="404"/>
      <c r="J22" s="402"/>
      <c r="K22" s="402"/>
      <c r="L22" s="402"/>
      <c r="M22" s="402"/>
      <c r="N22" s="403"/>
    </row>
    <row r="23" spans="2:14" ht="15" customHeight="1">
      <c r="B23" s="397"/>
      <c r="C23" s="399"/>
      <c r="D23" s="399"/>
      <c r="E23" s="399"/>
      <c r="F23" s="399"/>
      <c r="G23" s="399"/>
      <c r="H23" s="399"/>
      <c r="I23" s="404"/>
      <c r="J23" s="402"/>
      <c r="K23" s="402"/>
      <c r="L23" s="402"/>
      <c r="M23" s="402"/>
      <c r="N23" s="403"/>
    </row>
    <row r="24" spans="2:14" ht="15" customHeight="1">
      <c r="B24" s="397"/>
      <c r="C24" s="399"/>
      <c r="D24" s="399"/>
      <c r="E24" s="399"/>
      <c r="F24" s="399"/>
      <c r="G24" s="399"/>
      <c r="H24" s="399"/>
      <c r="I24" s="404"/>
      <c r="J24" s="402"/>
      <c r="K24" s="402"/>
      <c r="L24" s="402"/>
      <c r="M24" s="402"/>
      <c r="N24" s="403"/>
    </row>
    <row r="25" spans="2:14" ht="15" customHeight="1">
      <c r="B25" s="397"/>
      <c r="C25" s="399"/>
      <c r="D25" s="399"/>
      <c r="E25" s="399"/>
      <c r="F25" s="399"/>
      <c r="G25" s="399"/>
      <c r="H25" s="399"/>
      <c r="I25" s="404"/>
      <c r="J25" s="402"/>
      <c r="K25" s="402"/>
      <c r="L25" s="402"/>
      <c r="M25" s="402"/>
      <c r="N25" s="403"/>
    </row>
    <row r="26" spans="2:14" ht="15" customHeight="1">
      <c r="B26" s="397"/>
      <c r="C26" s="399"/>
      <c r="D26" s="399"/>
      <c r="E26" s="399"/>
      <c r="F26" s="399"/>
      <c r="G26" s="399"/>
      <c r="H26" s="399"/>
      <c r="I26" s="404"/>
      <c r="J26" s="402"/>
      <c r="K26" s="402"/>
      <c r="L26" s="402"/>
      <c r="M26" s="402"/>
      <c r="N26" s="403"/>
    </row>
    <row r="27" spans="2:14" ht="15" customHeight="1">
      <c r="B27" s="397"/>
      <c r="C27" s="399"/>
      <c r="D27" s="399"/>
      <c r="E27" s="399"/>
      <c r="F27" s="399"/>
      <c r="G27" s="399"/>
      <c r="H27" s="399"/>
      <c r="I27" s="404"/>
      <c r="J27" s="402"/>
      <c r="K27" s="402"/>
      <c r="L27" s="402"/>
      <c r="M27" s="402"/>
      <c r="N27" s="403"/>
    </row>
    <row r="28" spans="2:14" ht="15" customHeight="1">
      <c r="B28" s="397"/>
      <c r="C28" s="399"/>
      <c r="D28" s="399"/>
      <c r="E28" s="399"/>
      <c r="F28" s="399"/>
      <c r="G28" s="399"/>
      <c r="H28" s="399"/>
      <c r="I28" s="404"/>
      <c r="J28" s="402"/>
      <c r="K28" s="402"/>
      <c r="L28" s="402"/>
      <c r="M28" s="402"/>
      <c r="N28" s="403"/>
    </row>
    <row r="29" spans="2:14" ht="15" customHeight="1">
      <c r="B29" s="397"/>
      <c r="C29" s="399"/>
      <c r="D29" s="399"/>
      <c r="E29" s="399"/>
      <c r="F29" s="399"/>
      <c r="G29" s="399"/>
      <c r="H29" s="399"/>
      <c r="I29" s="404"/>
      <c r="J29" s="402"/>
      <c r="K29" s="402"/>
      <c r="L29" s="402"/>
      <c r="M29" s="402"/>
      <c r="N29" s="403"/>
    </row>
    <row r="30" spans="2:14" ht="15" customHeight="1">
      <c r="B30" s="397"/>
      <c r="C30" s="399"/>
      <c r="D30" s="399"/>
      <c r="E30" s="399"/>
      <c r="F30" s="399"/>
      <c r="G30" s="399"/>
      <c r="H30" s="399"/>
      <c r="I30" s="404"/>
      <c r="J30" s="402"/>
      <c r="K30" s="402"/>
      <c r="L30" s="402"/>
      <c r="M30" s="402"/>
      <c r="N30" s="403"/>
    </row>
    <row r="31" spans="2:14" ht="15" customHeight="1">
      <c r="B31" s="397"/>
      <c r="C31" s="399"/>
      <c r="D31" s="399"/>
      <c r="E31" s="399"/>
      <c r="F31" s="399"/>
      <c r="G31" s="399"/>
      <c r="H31" s="399"/>
      <c r="I31" s="404"/>
      <c r="J31" s="402"/>
      <c r="K31" s="402"/>
      <c r="L31" s="402"/>
      <c r="M31" s="402"/>
      <c r="N31" s="403"/>
    </row>
    <row r="32" spans="2:14" ht="15" customHeight="1">
      <c r="B32" s="397"/>
      <c r="C32" s="399"/>
      <c r="D32" s="399"/>
      <c r="E32" s="399"/>
      <c r="F32" s="399"/>
      <c r="G32" s="399"/>
      <c r="H32" s="399"/>
      <c r="I32" s="404"/>
      <c r="J32" s="402"/>
      <c r="K32" s="402"/>
      <c r="L32" s="402"/>
      <c r="M32" s="402"/>
      <c r="N32" s="403"/>
    </row>
    <row r="33" spans="2:14" ht="15" customHeight="1">
      <c r="B33" s="397"/>
      <c r="C33" s="399"/>
      <c r="D33" s="399"/>
      <c r="E33" s="399"/>
      <c r="F33" s="399"/>
      <c r="G33" s="399"/>
      <c r="H33" s="399"/>
      <c r="I33" s="404"/>
      <c r="J33" s="402"/>
      <c r="K33" s="402"/>
      <c r="L33" s="402"/>
      <c r="M33" s="402"/>
      <c r="N33" s="403"/>
    </row>
    <row r="34" spans="2:14" ht="15" customHeight="1">
      <c r="B34" s="397"/>
      <c r="C34" s="399"/>
      <c r="D34" s="399"/>
      <c r="E34" s="399"/>
      <c r="F34" s="399"/>
      <c r="G34" s="399"/>
      <c r="H34" s="399"/>
      <c r="I34" s="404"/>
      <c r="J34" s="402"/>
      <c r="K34" s="402"/>
      <c r="L34" s="402"/>
      <c r="M34" s="402"/>
      <c r="N34" s="403"/>
    </row>
    <row r="35" spans="2:14" ht="15" customHeight="1">
      <c r="B35" s="397"/>
      <c r="C35" s="399"/>
      <c r="D35" s="399"/>
      <c r="E35" s="399"/>
      <c r="F35" s="399"/>
      <c r="G35" s="399"/>
      <c r="H35" s="399"/>
      <c r="I35" s="404"/>
      <c r="J35" s="402"/>
      <c r="K35" s="402"/>
      <c r="L35" s="402"/>
      <c r="M35" s="402"/>
      <c r="N35" s="403"/>
    </row>
    <row r="36" spans="2:14" ht="15" customHeight="1">
      <c r="B36" s="397"/>
      <c r="C36" s="399"/>
      <c r="D36" s="399"/>
      <c r="E36" s="399"/>
      <c r="F36" s="399"/>
      <c r="G36" s="399"/>
      <c r="H36" s="399"/>
      <c r="I36" s="404"/>
      <c r="J36" s="402"/>
      <c r="K36" s="402"/>
      <c r="L36" s="402"/>
      <c r="M36" s="402"/>
      <c r="N36" s="403"/>
    </row>
    <row r="37" spans="2:14" ht="15" customHeight="1">
      <c r="B37" s="397"/>
      <c r="C37" s="399"/>
      <c r="D37" s="399"/>
      <c r="E37" s="399"/>
      <c r="F37" s="399"/>
      <c r="G37" s="399"/>
      <c r="H37" s="399"/>
      <c r="I37" s="404"/>
      <c r="J37" s="402"/>
      <c r="K37" s="402"/>
      <c r="L37" s="402"/>
      <c r="M37" s="402"/>
      <c r="N37" s="403"/>
    </row>
    <row r="38" spans="2:14" ht="15" customHeight="1">
      <c r="B38" s="397"/>
      <c r="C38" s="399"/>
      <c r="D38" s="399"/>
      <c r="E38" s="399"/>
      <c r="F38" s="399"/>
      <c r="G38" s="399"/>
      <c r="H38" s="399"/>
      <c r="I38" s="404"/>
      <c r="J38" s="402"/>
      <c r="K38" s="402"/>
      <c r="L38" s="402"/>
      <c r="M38" s="402"/>
      <c r="N38" s="403"/>
    </row>
    <row r="39" spans="2:14" ht="15" customHeight="1">
      <c r="B39" s="397"/>
      <c r="C39" s="399"/>
      <c r="D39" s="399"/>
      <c r="E39" s="399"/>
      <c r="F39" s="399"/>
      <c r="G39" s="399"/>
      <c r="H39" s="399"/>
      <c r="I39" s="404"/>
      <c r="J39" s="402"/>
      <c r="K39" s="402"/>
      <c r="L39" s="402"/>
      <c r="M39" s="402"/>
      <c r="N39" s="403"/>
    </row>
    <row r="40" spans="2:14" ht="15" customHeight="1">
      <c r="B40" s="397"/>
      <c r="C40" s="399"/>
      <c r="D40" s="399"/>
      <c r="E40" s="399"/>
      <c r="F40" s="399"/>
      <c r="G40" s="399"/>
      <c r="H40" s="399"/>
      <c r="I40" s="404"/>
      <c r="J40" s="402"/>
      <c r="K40" s="402"/>
      <c r="L40" s="402"/>
      <c r="M40" s="402"/>
      <c r="N40" s="403"/>
    </row>
    <row r="41" spans="2:14" ht="15" customHeight="1">
      <c r="B41" s="397"/>
      <c r="C41" s="399"/>
      <c r="D41" s="399"/>
      <c r="E41" s="399"/>
      <c r="F41" s="399"/>
      <c r="G41" s="399"/>
      <c r="H41" s="399"/>
      <c r="I41" s="404"/>
      <c r="J41" s="402"/>
      <c r="K41" s="402"/>
      <c r="L41" s="402"/>
      <c r="M41" s="402"/>
      <c r="N41" s="403"/>
    </row>
    <row r="42" spans="2:14" ht="15" customHeight="1">
      <c r="B42" s="397"/>
      <c r="C42" s="399"/>
      <c r="D42" s="399"/>
      <c r="E42" s="399"/>
      <c r="F42" s="399"/>
      <c r="G42" s="399"/>
      <c r="H42" s="399"/>
      <c r="I42" s="404"/>
      <c r="J42" s="402"/>
      <c r="K42" s="402"/>
      <c r="L42" s="402"/>
      <c r="M42" s="402"/>
      <c r="N42" s="403"/>
    </row>
    <row r="43" spans="2:14" ht="15" customHeight="1">
      <c r="B43" s="397"/>
      <c r="C43" s="399"/>
      <c r="D43" s="399"/>
      <c r="E43" s="399"/>
      <c r="F43" s="399"/>
      <c r="G43" s="399"/>
      <c r="H43" s="399"/>
      <c r="I43" s="404"/>
      <c r="J43" s="402"/>
      <c r="K43" s="402"/>
      <c r="L43" s="402"/>
      <c r="M43" s="402"/>
      <c r="N43" s="403"/>
    </row>
    <row r="44" spans="2:14" ht="15" customHeight="1">
      <c r="B44" s="397"/>
      <c r="C44" s="399"/>
      <c r="D44" s="399"/>
      <c r="E44" s="399"/>
      <c r="F44" s="399"/>
      <c r="G44" s="399"/>
      <c r="H44" s="399"/>
      <c r="I44" s="404"/>
      <c r="J44" s="402"/>
      <c r="K44" s="402"/>
      <c r="L44" s="402"/>
      <c r="M44" s="402"/>
      <c r="N44" s="403"/>
    </row>
    <row r="45" spans="2:14" ht="15" customHeight="1">
      <c r="B45" s="397"/>
      <c r="C45" s="399"/>
      <c r="D45" s="399"/>
      <c r="E45" s="399"/>
      <c r="F45" s="399"/>
      <c r="G45" s="399"/>
      <c r="H45" s="399"/>
      <c r="I45" s="404"/>
      <c r="J45" s="402"/>
      <c r="K45" s="402"/>
      <c r="L45" s="402"/>
      <c r="M45" s="402"/>
      <c r="N45" s="403"/>
    </row>
    <row r="46" spans="2:14" ht="15" customHeight="1">
      <c r="B46" s="397"/>
      <c r="C46" s="399"/>
      <c r="D46" s="399"/>
      <c r="E46" s="399"/>
      <c r="F46" s="399"/>
      <c r="G46" s="399"/>
      <c r="H46" s="399"/>
      <c r="I46" s="404"/>
      <c r="J46" s="402"/>
      <c r="K46" s="402"/>
      <c r="L46" s="402"/>
      <c r="M46" s="402"/>
      <c r="N46" s="403"/>
    </row>
    <row r="47" spans="2:14" ht="15" customHeight="1">
      <c r="B47" s="397"/>
      <c r="C47" s="399"/>
      <c r="D47" s="399"/>
      <c r="E47" s="399"/>
      <c r="F47" s="399"/>
      <c r="G47" s="399"/>
      <c r="H47" s="399"/>
      <c r="I47" s="404"/>
      <c r="J47" s="402"/>
      <c r="K47" s="402"/>
      <c r="L47" s="402"/>
      <c r="M47" s="402"/>
      <c r="N47" s="403"/>
    </row>
    <row r="48" spans="2:14" ht="15" customHeight="1">
      <c r="B48" s="397"/>
      <c r="C48" s="399"/>
      <c r="D48" s="399"/>
      <c r="E48" s="399"/>
      <c r="F48" s="399"/>
      <c r="G48" s="399"/>
      <c r="H48" s="399"/>
      <c r="I48" s="404"/>
      <c r="J48" s="402"/>
      <c r="K48" s="402"/>
      <c r="L48" s="402"/>
      <c r="M48" s="402"/>
      <c r="N48" s="403"/>
    </row>
    <row r="49" spans="2:14" ht="15" customHeight="1">
      <c r="B49" s="397"/>
      <c r="C49" s="399"/>
      <c r="D49" s="399"/>
      <c r="E49" s="399"/>
      <c r="F49" s="399"/>
      <c r="G49" s="399"/>
      <c r="H49" s="399"/>
      <c r="I49" s="404"/>
      <c r="J49" s="402"/>
      <c r="K49" s="402"/>
      <c r="L49" s="402"/>
      <c r="M49" s="402"/>
      <c r="N49" s="403"/>
    </row>
    <row r="50" spans="2:14" ht="15" customHeight="1">
      <c r="B50" s="397"/>
      <c r="C50" s="399"/>
      <c r="D50" s="399"/>
      <c r="E50" s="399"/>
      <c r="F50" s="399"/>
      <c r="G50" s="399"/>
      <c r="H50" s="399"/>
      <c r="I50" s="404"/>
      <c r="J50" s="402"/>
      <c r="K50" s="402"/>
      <c r="L50" s="402"/>
      <c r="M50" s="402"/>
      <c r="N50" s="403"/>
    </row>
    <row r="51" spans="2:14" ht="15" customHeight="1">
      <c r="B51" s="397"/>
      <c r="C51" s="399"/>
      <c r="D51" s="399"/>
      <c r="E51" s="399"/>
      <c r="F51" s="399"/>
      <c r="G51" s="399"/>
      <c r="H51" s="399"/>
      <c r="I51" s="404"/>
      <c r="J51" s="402"/>
      <c r="K51" s="402"/>
      <c r="L51" s="402"/>
      <c r="M51" s="402"/>
      <c r="N51" s="403"/>
    </row>
    <row r="52" spans="2:14" ht="15" customHeight="1" thickBot="1">
      <c r="B52" s="406"/>
      <c r="C52" s="407"/>
      <c r="D52" s="407"/>
      <c r="E52" s="407"/>
      <c r="F52" s="407"/>
      <c r="G52" s="407"/>
      <c r="H52" s="407"/>
      <c r="I52" s="408"/>
      <c r="J52" s="409"/>
      <c r="K52" s="409"/>
      <c r="L52" s="409"/>
      <c r="M52" s="409"/>
      <c r="N52" s="410"/>
    </row>
    <row r="53" spans="2:14" ht="20.25" customHeight="1" thickBot="1">
      <c r="B53" s="411" t="s">
        <v>361</v>
      </c>
      <c r="C53" s="411"/>
      <c r="D53" s="411"/>
      <c r="E53" s="411"/>
      <c r="F53" s="411"/>
      <c r="G53" s="411"/>
      <c r="H53" s="411"/>
      <c r="I53" s="411"/>
      <c r="J53" s="411"/>
      <c r="K53" s="411"/>
      <c r="L53" s="411"/>
      <c r="M53" s="411"/>
      <c r="N53" s="411"/>
    </row>
    <row r="54" spans="2:14" ht="15" customHeight="1" thickBot="1">
      <c r="B54" s="412" t="s">
        <v>362</v>
      </c>
      <c r="C54" s="413" t="s">
        <v>359</v>
      </c>
      <c r="D54" s="414"/>
      <c r="E54" s="414"/>
      <c r="F54" s="414"/>
      <c r="G54" s="414"/>
      <c r="H54" s="415"/>
      <c r="I54" s="413" t="s">
        <v>354</v>
      </c>
      <c r="J54" s="414"/>
      <c r="K54" s="416"/>
      <c r="L54" s="413" t="s">
        <v>363</v>
      </c>
      <c r="M54" s="414"/>
      <c r="N54" s="417"/>
    </row>
    <row r="55" spans="2:14" ht="15" customHeight="1">
      <c r="B55" s="418"/>
      <c r="C55" s="419"/>
      <c r="D55" s="420"/>
      <c r="E55" s="420"/>
      <c r="F55" s="420"/>
      <c r="G55" s="420"/>
      <c r="H55" s="421"/>
      <c r="I55" s="422"/>
      <c r="J55" s="423"/>
      <c r="K55" s="424"/>
      <c r="L55" s="425"/>
      <c r="M55" s="426"/>
      <c r="N55" s="427"/>
    </row>
    <row r="56" spans="2:14" ht="15" customHeight="1">
      <c r="B56" s="428"/>
      <c r="C56" s="429"/>
      <c r="D56" s="430"/>
      <c r="E56" s="430"/>
      <c r="F56" s="430"/>
      <c r="G56" s="430"/>
      <c r="H56" s="431"/>
      <c r="I56" s="432"/>
      <c r="J56" s="433"/>
      <c r="K56" s="434"/>
      <c r="L56" s="435"/>
      <c r="M56" s="436"/>
      <c r="N56" s="437"/>
    </row>
    <row r="57" spans="2:14" ht="15" customHeight="1">
      <c r="B57" s="428"/>
      <c r="C57" s="429"/>
      <c r="D57" s="430"/>
      <c r="E57" s="430"/>
      <c r="F57" s="430"/>
      <c r="G57" s="430"/>
      <c r="H57" s="431"/>
      <c r="I57" s="432"/>
      <c r="J57" s="433"/>
      <c r="K57" s="434"/>
      <c r="L57" s="435"/>
      <c r="M57" s="436"/>
      <c r="N57" s="437"/>
    </row>
    <row r="58" spans="2:14" ht="15" customHeight="1">
      <c r="B58" s="428"/>
      <c r="C58" s="429"/>
      <c r="D58" s="430"/>
      <c r="E58" s="430"/>
      <c r="F58" s="430"/>
      <c r="G58" s="430"/>
      <c r="H58" s="431"/>
      <c r="I58" s="432"/>
      <c r="J58" s="433"/>
      <c r="K58" s="434"/>
      <c r="L58" s="435"/>
      <c r="M58" s="436"/>
      <c r="N58" s="437"/>
    </row>
    <row r="59" spans="2:14" ht="15" customHeight="1">
      <c r="B59" s="428"/>
      <c r="C59" s="429"/>
      <c r="D59" s="430"/>
      <c r="E59" s="430"/>
      <c r="F59" s="430"/>
      <c r="G59" s="430"/>
      <c r="H59" s="431"/>
      <c r="I59" s="432"/>
      <c r="J59" s="433"/>
      <c r="K59" s="434"/>
      <c r="L59" s="435"/>
      <c r="M59" s="436"/>
      <c r="N59" s="437"/>
    </row>
    <row r="60" spans="2:14" ht="15" customHeight="1">
      <c r="B60" s="428"/>
      <c r="C60" s="429"/>
      <c r="D60" s="430"/>
      <c r="E60" s="430"/>
      <c r="F60" s="430"/>
      <c r="G60" s="430"/>
      <c r="H60" s="431"/>
      <c r="I60" s="432"/>
      <c r="J60" s="433"/>
      <c r="K60" s="434"/>
      <c r="L60" s="435"/>
      <c r="M60" s="436"/>
      <c r="N60" s="437"/>
    </row>
    <row r="61" spans="2:14" ht="15" customHeight="1">
      <c r="B61" s="428"/>
      <c r="C61" s="429"/>
      <c r="D61" s="430"/>
      <c r="E61" s="430"/>
      <c r="F61" s="430"/>
      <c r="G61" s="430"/>
      <c r="H61" s="431"/>
      <c r="I61" s="432"/>
      <c r="J61" s="433"/>
      <c r="K61" s="434"/>
      <c r="L61" s="435"/>
      <c r="M61" s="436"/>
      <c r="N61" s="437"/>
    </row>
    <row r="62" spans="2:14" ht="15" customHeight="1">
      <c r="B62" s="428"/>
      <c r="C62" s="429"/>
      <c r="D62" s="430"/>
      <c r="E62" s="430"/>
      <c r="F62" s="430"/>
      <c r="G62" s="430"/>
      <c r="H62" s="431"/>
      <c r="I62" s="432"/>
      <c r="J62" s="433"/>
      <c r="K62" s="434"/>
      <c r="L62" s="435"/>
      <c r="M62" s="436"/>
      <c r="N62" s="437"/>
    </row>
    <row r="63" spans="2:14" ht="15" customHeight="1">
      <c r="B63" s="428"/>
      <c r="C63" s="429"/>
      <c r="D63" s="430"/>
      <c r="E63" s="430"/>
      <c r="F63" s="430"/>
      <c r="G63" s="430"/>
      <c r="H63" s="431"/>
      <c r="I63" s="432"/>
      <c r="J63" s="433"/>
      <c r="K63" s="434"/>
      <c r="L63" s="435"/>
      <c r="M63" s="436"/>
      <c r="N63" s="437"/>
    </row>
    <row r="64" spans="2:14" ht="15" customHeight="1">
      <c r="B64" s="428"/>
      <c r="C64" s="429"/>
      <c r="D64" s="430"/>
      <c r="E64" s="430"/>
      <c r="F64" s="430"/>
      <c r="G64" s="430"/>
      <c r="H64" s="431"/>
      <c r="I64" s="432"/>
      <c r="J64" s="433"/>
      <c r="K64" s="434"/>
      <c r="L64" s="435"/>
      <c r="M64" s="436"/>
      <c r="N64" s="437"/>
    </row>
    <row r="65" spans="2:14" ht="15" customHeight="1">
      <c r="B65" s="428"/>
      <c r="C65" s="429"/>
      <c r="D65" s="430"/>
      <c r="E65" s="430"/>
      <c r="F65" s="430"/>
      <c r="G65" s="430"/>
      <c r="H65" s="431"/>
      <c r="I65" s="432"/>
      <c r="J65" s="433"/>
      <c r="K65" s="434"/>
      <c r="L65" s="435"/>
      <c r="M65" s="436"/>
      <c r="N65" s="437"/>
    </row>
    <row r="66" spans="2:14" ht="15" customHeight="1">
      <c r="B66" s="428"/>
      <c r="C66" s="429"/>
      <c r="D66" s="430"/>
      <c r="E66" s="430"/>
      <c r="F66" s="430"/>
      <c r="G66" s="430"/>
      <c r="H66" s="431"/>
      <c r="I66" s="432"/>
      <c r="J66" s="433"/>
      <c r="K66" s="434"/>
      <c r="L66" s="435"/>
      <c r="M66" s="436"/>
      <c r="N66" s="437"/>
    </row>
    <row r="67" spans="2:14" ht="15" customHeight="1">
      <c r="B67" s="428"/>
      <c r="C67" s="429"/>
      <c r="D67" s="430"/>
      <c r="E67" s="430"/>
      <c r="F67" s="430"/>
      <c r="G67" s="430"/>
      <c r="H67" s="431"/>
      <c r="I67" s="432"/>
      <c r="J67" s="433"/>
      <c r="K67" s="434"/>
      <c r="L67" s="435"/>
      <c r="M67" s="436"/>
      <c r="N67" s="437"/>
    </row>
    <row r="68" spans="2:14" ht="15" customHeight="1">
      <c r="B68" s="428"/>
      <c r="C68" s="429"/>
      <c r="D68" s="430"/>
      <c r="E68" s="430"/>
      <c r="F68" s="430"/>
      <c r="G68" s="430"/>
      <c r="H68" s="431"/>
      <c r="I68" s="432"/>
      <c r="J68" s="433"/>
      <c r="K68" s="434"/>
      <c r="L68" s="435"/>
      <c r="M68" s="436"/>
      <c r="N68" s="437"/>
    </row>
    <row r="69" spans="2:14" ht="15" customHeight="1">
      <c r="B69" s="428"/>
      <c r="C69" s="429"/>
      <c r="D69" s="430"/>
      <c r="E69" s="430"/>
      <c r="F69" s="430"/>
      <c r="G69" s="430"/>
      <c r="H69" s="431"/>
      <c r="I69" s="432"/>
      <c r="J69" s="433"/>
      <c r="K69" s="434"/>
      <c r="L69" s="435"/>
      <c r="M69" s="436"/>
      <c r="N69" s="437"/>
    </row>
    <row r="70" spans="2:14" ht="15" customHeight="1">
      <c r="B70" s="428"/>
      <c r="C70" s="429"/>
      <c r="D70" s="430"/>
      <c r="E70" s="430"/>
      <c r="F70" s="430"/>
      <c r="G70" s="430"/>
      <c r="H70" s="431"/>
      <c r="I70" s="432"/>
      <c r="J70" s="433"/>
      <c r="K70" s="434"/>
      <c r="L70" s="435"/>
      <c r="M70" s="436"/>
      <c r="N70" s="437"/>
    </row>
    <row r="71" spans="2:14" ht="15" customHeight="1">
      <c r="B71" s="428"/>
      <c r="C71" s="429"/>
      <c r="D71" s="430"/>
      <c r="E71" s="430"/>
      <c r="F71" s="430"/>
      <c r="G71" s="430"/>
      <c r="H71" s="431"/>
      <c r="I71" s="432"/>
      <c r="J71" s="433"/>
      <c r="K71" s="434"/>
      <c r="L71" s="435"/>
      <c r="M71" s="436"/>
      <c r="N71" s="437"/>
    </row>
    <row r="72" spans="2:14">
      <c r="B72" s="428"/>
      <c r="C72" s="429"/>
      <c r="D72" s="430"/>
      <c r="E72" s="430"/>
      <c r="F72" s="430"/>
      <c r="G72" s="430"/>
      <c r="H72" s="431"/>
      <c r="I72" s="432"/>
      <c r="J72" s="433"/>
      <c r="K72" s="434"/>
      <c r="L72" s="435"/>
      <c r="M72" s="436"/>
      <c r="N72" s="437"/>
    </row>
    <row r="73" spans="2:14">
      <c r="B73" s="428"/>
      <c r="C73" s="429"/>
      <c r="D73" s="430"/>
      <c r="E73" s="430"/>
      <c r="F73" s="430"/>
      <c r="G73" s="430"/>
      <c r="H73" s="431"/>
      <c r="I73" s="432"/>
      <c r="J73" s="433"/>
      <c r="K73" s="434"/>
      <c r="L73" s="435"/>
      <c r="M73" s="436"/>
      <c r="N73" s="437"/>
    </row>
    <row r="74" spans="2:14">
      <c r="B74" s="428"/>
      <c r="C74" s="429"/>
      <c r="D74" s="430"/>
      <c r="E74" s="430"/>
      <c r="F74" s="430"/>
      <c r="G74" s="430"/>
      <c r="H74" s="431"/>
      <c r="I74" s="432"/>
      <c r="J74" s="433"/>
      <c r="K74" s="434"/>
      <c r="L74" s="435"/>
      <c r="M74" s="436"/>
      <c r="N74" s="437"/>
    </row>
    <row r="75" spans="2:14">
      <c r="B75" s="428"/>
      <c r="C75" s="429"/>
      <c r="D75" s="430"/>
      <c r="E75" s="430"/>
      <c r="F75" s="430"/>
      <c r="G75" s="430"/>
      <c r="H75" s="431"/>
      <c r="I75" s="432"/>
      <c r="J75" s="433"/>
      <c r="K75" s="434"/>
      <c r="L75" s="435"/>
      <c r="M75" s="436"/>
      <c r="N75" s="437"/>
    </row>
    <row r="76" spans="2:14">
      <c r="B76" s="428"/>
      <c r="C76" s="429"/>
      <c r="D76" s="430"/>
      <c r="E76" s="430"/>
      <c r="F76" s="430"/>
      <c r="G76" s="430"/>
      <c r="H76" s="431"/>
      <c r="I76" s="432"/>
      <c r="J76" s="433"/>
      <c r="K76" s="434"/>
      <c r="L76" s="435"/>
      <c r="M76" s="436"/>
      <c r="N76" s="437"/>
    </row>
    <row r="77" spans="2:14">
      <c r="B77" s="428"/>
      <c r="C77" s="429"/>
      <c r="D77" s="430"/>
      <c r="E77" s="430"/>
      <c r="F77" s="430"/>
      <c r="G77" s="430"/>
      <c r="H77" s="431"/>
      <c r="I77" s="432"/>
      <c r="J77" s="433"/>
      <c r="K77" s="434"/>
      <c r="L77" s="435"/>
      <c r="M77" s="436"/>
      <c r="N77" s="437"/>
    </row>
    <row r="78" spans="2:14">
      <c r="B78" s="428"/>
      <c r="C78" s="429"/>
      <c r="D78" s="430"/>
      <c r="E78" s="430"/>
      <c r="F78" s="430"/>
      <c r="G78" s="430"/>
      <c r="H78" s="431"/>
      <c r="I78" s="432"/>
      <c r="J78" s="433"/>
      <c r="K78" s="434"/>
      <c r="L78" s="435"/>
      <c r="M78" s="436"/>
      <c r="N78" s="437"/>
    </row>
    <row r="79" spans="2:14" ht="13.5" thickBot="1">
      <c r="B79" s="438"/>
      <c r="C79" s="439"/>
      <c r="D79" s="440"/>
      <c r="E79" s="440"/>
      <c r="F79" s="440"/>
      <c r="G79" s="440"/>
      <c r="H79" s="441"/>
      <c r="I79" s="442"/>
      <c r="J79" s="443"/>
      <c r="K79" s="444"/>
      <c r="L79" s="445"/>
      <c r="M79" s="446"/>
      <c r="N79" s="447"/>
    </row>
  </sheetData>
  <mergeCells count="80">
    <mergeCell ref="C78:G78"/>
    <mergeCell ref="I78:K78"/>
    <mergeCell ref="L78:N78"/>
    <mergeCell ref="C79:G79"/>
    <mergeCell ref="I79:K79"/>
    <mergeCell ref="L79:N79"/>
    <mergeCell ref="C76:G76"/>
    <mergeCell ref="I76:K76"/>
    <mergeCell ref="L76:N76"/>
    <mergeCell ref="C77:G77"/>
    <mergeCell ref="I77:K77"/>
    <mergeCell ref="L77:N77"/>
    <mergeCell ref="C74:G74"/>
    <mergeCell ref="I74:K74"/>
    <mergeCell ref="L74:N74"/>
    <mergeCell ref="C75:G75"/>
    <mergeCell ref="I75:K75"/>
    <mergeCell ref="L75:N75"/>
    <mergeCell ref="C72:G72"/>
    <mergeCell ref="I72:K72"/>
    <mergeCell ref="L72:N72"/>
    <mergeCell ref="C73:G73"/>
    <mergeCell ref="I73:K73"/>
    <mergeCell ref="L73:N73"/>
    <mergeCell ref="C70:G70"/>
    <mergeCell ref="I70:K70"/>
    <mergeCell ref="L70:N70"/>
    <mergeCell ref="C71:G71"/>
    <mergeCell ref="I71:K71"/>
    <mergeCell ref="L71:N71"/>
    <mergeCell ref="C68:G68"/>
    <mergeCell ref="I68:K68"/>
    <mergeCell ref="L68:N68"/>
    <mergeCell ref="C69:G69"/>
    <mergeCell ref="I69:K69"/>
    <mergeCell ref="L69:N69"/>
    <mergeCell ref="C66:G66"/>
    <mergeCell ref="I66:K66"/>
    <mergeCell ref="L66:N66"/>
    <mergeCell ref="C67:G67"/>
    <mergeCell ref="I67:K67"/>
    <mergeCell ref="L67:N67"/>
    <mergeCell ref="C64:G64"/>
    <mergeCell ref="I64:K64"/>
    <mergeCell ref="L64:N64"/>
    <mergeCell ref="C65:G65"/>
    <mergeCell ref="I65:K65"/>
    <mergeCell ref="L65:N65"/>
    <mergeCell ref="C62:G62"/>
    <mergeCell ref="I62:K62"/>
    <mergeCell ref="L62:N62"/>
    <mergeCell ref="C63:G63"/>
    <mergeCell ref="I63:K63"/>
    <mergeCell ref="L63:N63"/>
    <mergeCell ref="C60:G60"/>
    <mergeCell ref="I60:K60"/>
    <mergeCell ref="L60:N60"/>
    <mergeCell ref="C61:G61"/>
    <mergeCell ref="I61:K61"/>
    <mergeCell ref="L61:N61"/>
    <mergeCell ref="C58:G58"/>
    <mergeCell ref="I58:K58"/>
    <mergeCell ref="L58:N58"/>
    <mergeCell ref="C59:G59"/>
    <mergeCell ref="I59:K59"/>
    <mergeCell ref="L59:N59"/>
    <mergeCell ref="C56:G56"/>
    <mergeCell ref="I56:K56"/>
    <mergeCell ref="L56:N56"/>
    <mergeCell ref="C57:G57"/>
    <mergeCell ref="I57:K57"/>
    <mergeCell ref="L57:N57"/>
    <mergeCell ref="B2:G4"/>
    <mergeCell ref="B53:N53"/>
    <mergeCell ref="C54:G54"/>
    <mergeCell ref="I54:K54"/>
    <mergeCell ref="L54:N54"/>
    <mergeCell ref="C55:G55"/>
    <mergeCell ref="I55:K55"/>
    <mergeCell ref="L55:N55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workbookViewId="0"/>
  </sheetViews>
  <sheetFormatPr defaultRowHeight="12.75"/>
  <cols>
    <col min="1" max="1" width="19.7109375" style="461" customWidth="1"/>
    <col min="2" max="7" width="10.7109375" style="461" customWidth="1"/>
    <col min="8" max="16384" width="9.140625" style="461"/>
  </cols>
  <sheetData>
    <row r="1" spans="1:12" ht="21" customHeight="1">
      <c r="A1" s="459" t="s">
        <v>386</v>
      </c>
      <c r="B1" s="460" t="s">
        <v>425</v>
      </c>
      <c r="C1" s="460"/>
      <c r="D1" s="460"/>
      <c r="E1" s="460"/>
      <c r="F1" s="460"/>
      <c r="G1" s="460"/>
    </row>
    <row r="2" spans="1:12" ht="15" customHeight="1"/>
    <row r="3" spans="1:12" ht="20.25">
      <c r="A3" s="462" t="s">
        <v>387</v>
      </c>
    </row>
    <row r="4" spans="1:12" ht="12" customHeight="1">
      <c r="A4" s="463"/>
      <c r="B4" s="463"/>
      <c r="C4" s="463"/>
      <c r="D4" s="463" t="s">
        <v>439</v>
      </c>
      <c r="E4" s="463"/>
      <c r="F4" s="463"/>
      <c r="G4" s="463"/>
      <c r="H4" s="463"/>
      <c r="I4" s="463"/>
      <c r="J4" s="463"/>
      <c r="K4" s="463"/>
      <c r="L4" s="463"/>
    </row>
    <row r="5" spans="1:12" ht="15.6" customHeight="1">
      <c r="A5" s="464" t="s">
        <v>5</v>
      </c>
      <c r="B5" s="464" t="s">
        <v>388</v>
      </c>
      <c r="C5" s="464" t="s">
        <v>389</v>
      </c>
      <c r="D5" s="464" t="s">
        <v>390</v>
      </c>
      <c r="E5" s="464" t="s">
        <v>391</v>
      </c>
      <c r="F5" s="464" t="s">
        <v>392</v>
      </c>
      <c r="G5" s="464" t="s">
        <v>393</v>
      </c>
      <c r="H5" s="463"/>
      <c r="I5" s="463"/>
      <c r="J5" s="463"/>
      <c r="K5" s="463"/>
      <c r="L5" s="463"/>
    </row>
    <row r="6" spans="1:12" ht="15.6" customHeight="1">
      <c r="A6" s="465" t="s">
        <v>394</v>
      </c>
      <c r="B6" s="465" t="s">
        <v>164</v>
      </c>
      <c r="C6" s="465" t="s">
        <v>164</v>
      </c>
      <c r="D6" s="465" t="s">
        <v>395</v>
      </c>
      <c r="E6" s="465" t="s">
        <v>134</v>
      </c>
      <c r="F6" s="465" t="s">
        <v>396</v>
      </c>
      <c r="G6" s="465" t="s">
        <v>396</v>
      </c>
      <c r="H6" s="463"/>
      <c r="I6" s="463"/>
      <c r="J6" s="463"/>
      <c r="K6" s="463"/>
      <c r="L6" s="463"/>
    </row>
    <row r="7" spans="1:12" ht="15.95" customHeight="1">
      <c r="A7" s="466" t="s">
        <v>426</v>
      </c>
      <c r="B7" s="466" t="s">
        <v>440</v>
      </c>
      <c r="C7" s="466" t="s">
        <v>451</v>
      </c>
      <c r="D7" s="466" t="s">
        <v>463</v>
      </c>
      <c r="E7" s="466" t="s">
        <v>475</v>
      </c>
      <c r="F7" s="466" t="s">
        <v>488</v>
      </c>
      <c r="G7" s="466" t="s">
        <v>501</v>
      </c>
      <c r="H7" s="463"/>
      <c r="I7" s="463"/>
      <c r="J7" s="463"/>
      <c r="K7" s="463"/>
      <c r="L7" s="463"/>
    </row>
    <row r="8" spans="1:12" ht="15.95" customHeight="1">
      <c r="A8" s="466" t="s">
        <v>427</v>
      </c>
      <c r="B8" s="466" t="s">
        <v>441</v>
      </c>
      <c r="C8" s="466" t="s">
        <v>452</v>
      </c>
      <c r="D8" s="466" t="s">
        <v>464</v>
      </c>
      <c r="E8" s="466" t="s">
        <v>476</v>
      </c>
      <c r="F8" s="466" t="s">
        <v>489</v>
      </c>
      <c r="G8" s="466" t="s">
        <v>502</v>
      </c>
      <c r="H8" s="463"/>
      <c r="I8" s="463"/>
      <c r="J8" s="463"/>
      <c r="K8" s="463"/>
      <c r="L8" s="463"/>
    </row>
    <row r="9" spans="1:12" ht="15.95" customHeight="1">
      <c r="A9" s="466" t="s">
        <v>428</v>
      </c>
      <c r="B9" s="466" t="s">
        <v>440</v>
      </c>
      <c r="C9" s="466" t="s">
        <v>453</v>
      </c>
      <c r="D9" s="466" t="s">
        <v>465</v>
      </c>
      <c r="E9" s="466" t="s">
        <v>477</v>
      </c>
      <c r="F9" s="466" t="s">
        <v>490</v>
      </c>
      <c r="G9" s="466" t="s">
        <v>503</v>
      </c>
      <c r="H9" s="463"/>
      <c r="I9" s="463"/>
      <c r="J9" s="463"/>
      <c r="K9" s="463"/>
      <c r="L9" s="463"/>
    </row>
    <row r="10" spans="1:12" ht="15.95" customHeight="1">
      <c r="A10" s="466" t="s">
        <v>429</v>
      </c>
      <c r="B10" s="466" t="s">
        <v>440</v>
      </c>
      <c r="C10" s="466" t="s">
        <v>453</v>
      </c>
      <c r="D10" s="466" t="s">
        <v>465</v>
      </c>
      <c r="E10" s="466" t="s">
        <v>478</v>
      </c>
      <c r="F10" s="466" t="s">
        <v>491</v>
      </c>
      <c r="G10" s="466" t="s">
        <v>504</v>
      </c>
      <c r="H10" s="463"/>
      <c r="I10" s="463"/>
      <c r="J10" s="463"/>
      <c r="K10" s="463"/>
      <c r="L10" s="463"/>
    </row>
    <row r="11" spans="1:12" ht="15.95" customHeight="1">
      <c r="A11" s="466" t="s">
        <v>430</v>
      </c>
      <c r="B11" s="466" t="s">
        <v>442</v>
      </c>
      <c r="C11" s="466" t="s">
        <v>454</v>
      </c>
      <c r="D11" s="466" t="s">
        <v>466</v>
      </c>
      <c r="E11" s="466" t="s">
        <v>479</v>
      </c>
      <c r="F11" s="466" t="s">
        <v>492</v>
      </c>
      <c r="G11" s="466" t="s">
        <v>505</v>
      </c>
      <c r="H11" s="463"/>
      <c r="I11" s="463"/>
      <c r="J11" s="463"/>
      <c r="K11" s="463"/>
      <c r="L11" s="463"/>
    </row>
    <row r="12" spans="1:12" ht="15.95" customHeight="1">
      <c r="A12" s="466" t="s">
        <v>431</v>
      </c>
      <c r="B12" s="466" t="s">
        <v>443</v>
      </c>
      <c r="C12" s="466" t="s">
        <v>455</v>
      </c>
      <c r="D12" s="466" t="s">
        <v>467</v>
      </c>
      <c r="E12" s="466" t="s">
        <v>480</v>
      </c>
      <c r="F12" s="466" t="s">
        <v>493</v>
      </c>
      <c r="G12" s="466" t="s">
        <v>506</v>
      </c>
      <c r="H12" s="463"/>
      <c r="I12" s="463"/>
      <c r="J12" s="463"/>
      <c r="K12" s="463"/>
      <c r="L12" s="463"/>
    </row>
    <row r="13" spans="1:12" ht="15.95" customHeight="1">
      <c r="A13" s="466" t="s">
        <v>432</v>
      </c>
      <c r="B13" s="466" t="s">
        <v>444</v>
      </c>
      <c r="C13" s="466" t="s">
        <v>456</v>
      </c>
      <c r="D13" s="466" t="s">
        <v>468</v>
      </c>
      <c r="E13" s="466" t="s">
        <v>481</v>
      </c>
      <c r="F13" s="466" t="s">
        <v>494</v>
      </c>
      <c r="G13" s="466" t="s">
        <v>507</v>
      </c>
      <c r="H13" s="463"/>
      <c r="I13" s="463"/>
      <c r="J13" s="463"/>
      <c r="K13" s="463"/>
      <c r="L13" s="463"/>
    </row>
    <row r="14" spans="1:12" ht="15.95" customHeight="1">
      <c r="A14" s="466" t="s">
        <v>433</v>
      </c>
      <c r="B14" s="466" t="s">
        <v>445</v>
      </c>
      <c r="C14" s="466" t="s">
        <v>457</v>
      </c>
      <c r="D14" s="466" t="s">
        <v>469</v>
      </c>
      <c r="E14" s="466" t="s">
        <v>482</v>
      </c>
      <c r="F14" s="466" t="s">
        <v>495</v>
      </c>
      <c r="G14" s="466" t="s">
        <v>508</v>
      </c>
      <c r="H14" s="463"/>
      <c r="I14" s="463"/>
      <c r="J14" s="463"/>
      <c r="K14" s="463"/>
      <c r="L14" s="463"/>
    </row>
    <row r="15" spans="1:12" ht="15.95" customHeight="1">
      <c r="A15" s="466" t="s">
        <v>434</v>
      </c>
      <c r="B15" s="466" t="s">
        <v>446</v>
      </c>
      <c r="C15" s="466" t="s">
        <v>458</v>
      </c>
      <c r="D15" s="466" t="s">
        <v>470</v>
      </c>
      <c r="E15" s="466" t="s">
        <v>483</v>
      </c>
      <c r="F15" s="466" t="s">
        <v>496</v>
      </c>
      <c r="G15" s="466" t="s">
        <v>509</v>
      </c>
      <c r="H15" s="463"/>
      <c r="I15" s="463"/>
      <c r="J15" s="463"/>
      <c r="K15" s="463"/>
      <c r="L15" s="463"/>
    </row>
    <row r="16" spans="1:12" ht="15.95" customHeight="1">
      <c r="A16" s="466" t="s">
        <v>435</v>
      </c>
      <c r="B16" s="466" t="s">
        <v>447</v>
      </c>
      <c r="C16" s="466" t="s">
        <v>459</v>
      </c>
      <c r="D16" s="466" t="s">
        <v>471</v>
      </c>
      <c r="E16" s="466" t="s">
        <v>484</v>
      </c>
      <c r="F16" s="466" t="s">
        <v>497</v>
      </c>
      <c r="G16" s="466" t="s">
        <v>510</v>
      </c>
      <c r="H16" s="463"/>
      <c r="I16" s="463"/>
      <c r="J16" s="463"/>
      <c r="K16" s="463"/>
      <c r="L16" s="463"/>
    </row>
    <row r="17" spans="1:12" ht="15.95" customHeight="1">
      <c r="A17" s="466" t="s">
        <v>436</v>
      </c>
      <c r="B17" s="466" t="s">
        <v>448</v>
      </c>
      <c r="C17" s="466" t="s">
        <v>460</v>
      </c>
      <c r="D17" s="466" t="s">
        <v>472</v>
      </c>
      <c r="E17" s="466" t="s">
        <v>485</v>
      </c>
      <c r="F17" s="466" t="s">
        <v>498</v>
      </c>
      <c r="G17" s="466" t="s">
        <v>511</v>
      </c>
      <c r="H17" s="463"/>
      <c r="I17" s="463"/>
      <c r="J17" s="463"/>
      <c r="K17" s="463"/>
      <c r="L17" s="463"/>
    </row>
    <row r="18" spans="1:12" ht="15.95" customHeight="1">
      <c r="A18" s="466" t="s">
        <v>437</v>
      </c>
      <c r="B18" s="466" t="s">
        <v>449</v>
      </c>
      <c r="C18" s="466" t="s">
        <v>461</v>
      </c>
      <c r="D18" s="466" t="s">
        <v>473</v>
      </c>
      <c r="E18" s="466" t="s">
        <v>486</v>
      </c>
      <c r="F18" s="466" t="s">
        <v>499</v>
      </c>
      <c r="G18" s="466" t="s">
        <v>512</v>
      </c>
      <c r="H18" s="463"/>
      <c r="I18" s="463"/>
      <c r="J18" s="463"/>
      <c r="K18" s="463"/>
      <c r="L18" s="463"/>
    </row>
    <row r="19" spans="1:12" ht="15.95" customHeight="1">
      <c r="A19" s="466" t="s">
        <v>438</v>
      </c>
      <c r="B19" s="466" t="s">
        <v>450</v>
      </c>
      <c r="C19" s="466" t="s">
        <v>462</v>
      </c>
      <c r="D19" s="466" t="s">
        <v>474</v>
      </c>
      <c r="E19" s="466" t="s">
        <v>487</v>
      </c>
      <c r="F19" s="466" t="s">
        <v>500</v>
      </c>
      <c r="G19" s="466" t="s">
        <v>513</v>
      </c>
      <c r="H19" s="463"/>
      <c r="I19" s="463"/>
      <c r="J19" s="463"/>
      <c r="K19" s="463"/>
      <c r="L19" s="463"/>
    </row>
    <row r="20" spans="1:12" ht="15.75">
      <c r="A20" s="463"/>
      <c r="B20" s="463"/>
      <c r="C20" s="463"/>
      <c r="D20" s="463"/>
      <c r="E20" s="463"/>
      <c r="F20" s="463"/>
      <c r="G20" s="463"/>
      <c r="H20" s="463"/>
      <c r="I20" s="463"/>
      <c r="J20" s="463"/>
      <c r="K20" s="463"/>
      <c r="L20" s="463"/>
    </row>
    <row r="21" spans="1:12" ht="15.75">
      <c r="A21" s="463"/>
      <c r="B21" s="463"/>
      <c r="C21" s="463"/>
      <c r="D21" s="467" t="s">
        <v>523</v>
      </c>
      <c r="E21" s="468"/>
      <c r="F21" s="468"/>
      <c r="G21" s="469"/>
      <c r="H21" s="463"/>
      <c r="I21" s="463"/>
      <c r="J21" s="463"/>
      <c r="K21" s="463"/>
      <c r="L21" s="463"/>
    </row>
    <row r="22" spans="1:12" ht="17.25" customHeight="1">
      <c r="A22" s="463"/>
      <c r="B22" s="470" t="s">
        <v>397</v>
      </c>
      <c r="C22" s="470"/>
      <c r="D22" s="470" t="s">
        <v>398</v>
      </c>
      <c r="E22" s="470"/>
      <c r="F22" s="470" t="s">
        <v>399</v>
      </c>
      <c r="G22" s="470"/>
      <c r="H22" s="463"/>
      <c r="I22" s="463"/>
      <c r="J22" s="463"/>
      <c r="K22" s="463"/>
      <c r="L22" s="463"/>
    </row>
    <row r="23" spans="1:12" ht="15.75">
      <c r="A23" s="471" t="s">
        <v>400</v>
      </c>
      <c r="B23" s="472" t="s">
        <v>514</v>
      </c>
      <c r="C23" s="472"/>
      <c r="D23" s="472" t="s">
        <v>517</v>
      </c>
      <c r="E23" s="472"/>
      <c r="F23" s="472" t="s">
        <v>520</v>
      </c>
      <c r="G23" s="472"/>
      <c r="H23" s="463"/>
      <c r="I23" s="463"/>
      <c r="J23" s="463"/>
      <c r="K23" s="463"/>
      <c r="L23" s="463"/>
    </row>
    <row r="24" spans="1:12" ht="18" customHeight="1">
      <c r="A24" s="471" t="s">
        <v>401</v>
      </c>
      <c r="B24" s="472" t="s">
        <v>515</v>
      </c>
      <c r="C24" s="472"/>
      <c r="D24" s="472" t="s">
        <v>518</v>
      </c>
      <c r="E24" s="472"/>
      <c r="F24" s="472" t="s">
        <v>521</v>
      </c>
      <c r="G24" s="472"/>
      <c r="H24" s="463"/>
      <c r="I24" s="463"/>
      <c r="J24" s="463"/>
      <c r="K24" s="463"/>
      <c r="L24" s="463"/>
    </row>
    <row r="25" spans="1:12" ht="15.75">
      <c r="A25" s="471" t="s">
        <v>402</v>
      </c>
      <c r="B25" s="472" t="s">
        <v>516</v>
      </c>
      <c r="C25" s="472"/>
      <c r="D25" s="472" t="s">
        <v>519</v>
      </c>
      <c r="E25" s="472"/>
      <c r="F25" s="472" t="s">
        <v>522</v>
      </c>
      <c r="G25" s="472"/>
      <c r="H25" s="463"/>
      <c r="I25" s="463"/>
      <c r="J25" s="463"/>
      <c r="K25" s="463"/>
      <c r="L25" s="463"/>
    </row>
    <row r="26" spans="1:12" ht="15.75">
      <c r="A26" s="463"/>
      <c r="B26" s="463"/>
      <c r="C26" s="463"/>
      <c r="D26" s="463"/>
      <c r="E26" s="463"/>
      <c r="F26" s="463"/>
      <c r="G26" s="463"/>
      <c r="H26" s="463"/>
      <c r="I26" s="463"/>
      <c r="J26" s="463"/>
      <c r="K26" s="463"/>
      <c r="L26" s="463"/>
    </row>
    <row r="27" spans="1:12" ht="20.25">
      <c r="A27" s="462" t="s">
        <v>403</v>
      </c>
      <c r="B27" s="463"/>
      <c r="C27" s="463"/>
      <c r="D27" s="463"/>
      <c r="E27" s="463"/>
      <c r="F27" s="463"/>
      <c r="G27" s="463"/>
      <c r="H27" s="463"/>
      <c r="I27" s="463"/>
      <c r="J27" s="463"/>
      <c r="K27" s="463"/>
      <c r="L27" s="463"/>
    </row>
    <row r="28" spans="1:12" ht="15.75">
      <c r="A28" s="463"/>
      <c r="B28" s="463"/>
      <c r="C28" s="463"/>
      <c r="D28" s="463"/>
      <c r="E28" s="473" t="s">
        <v>404</v>
      </c>
      <c r="F28" s="468"/>
      <c r="G28" s="469"/>
      <c r="H28" s="463"/>
      <c r="I28" s="463"/>
      <c r="J28" s="463"/>
      <c r="K28" s="463"/>
      <c r="L28" s="463"/>
    </row>
    <row r="29" spans="1:12" ht="15.75">
      <c r="A29" s="463"/>
      <c r="B29" s="470" t="s">
        <v>405</v>
      </c>
      <c r="C29" s="470"/>
      <c r="D29" s="474" t="s">
        <v>406</v>
      </c>
      <c r="E29" s="474" t="s">
        <v>407</v>
      </c>
      <c r="F29" s="470" t="s">
        <v>408</v>
      </c>
      <c r="G29" s="470"/>
      <c r="H29" s="463"/>
      <c r="I29" s="463"/>
      <c r="J29" s="463"/>
      <c r="K29" s="463"/>
      <c r="L29" s="463"/>
    </row>
    <row r="30" spans="1:12" ht="15.75">
      <c r="A30" s="471" t="s">
        <v>409</v>
      </c>
      <c r="B30" s="472" t="s">
        <v>524</v>
      </c>
      <c r="C30" s="472"/>
      <c r="D30" s="466" t="s">
        <v>527</v>
      </c>
      <c r="E30" s="466" t="s">
        <v>410</v>
      </c>
      <c r="F30" s="472" t="s">
        <v>530</v>
      </c>
      <c r="G30" s="472"/>
      <c r="H30" s="463"/>
      <c r="I30" s="463"/>
      <c r="J30" s="463"/>
      <c r="K30" s="463"/>
      <c r="L30" s="463"/>
    </row>
    <row r="31" spans="1:12" ht="15.75">
      <c r="A31" s="471" t="s">
        <v>411</v>
      </c>
      <c r="B31" s="472" t="s">
        <v>525</v>
      </c>
      <c r="C31" s="472"/>
      <c r="D31" s="466" t="s">
        <v>528</v>
      </c>
      <c r="E31" s="466" t="s">
        <v>412</v>
      </c>
      <c r="F31" s="472" t="s">
        <v>531</v>
      </c>
      <c r="G31" s="472"/>
      <c r="H31" s="463"/>
      <c r="I31" s="463"/>
      <c r="J31" s="463"/>
      <c r="K31" s="463"/>
      <c r="L31" s="463"/>
    </row>
    <row r="32" spans="1:12" ht="15.75">
      <c r="A32" s="471" t="s">
        <v>413</v>
      </c>
      <c r="B32" s="472" t="s">
        <v>526</v>
      </c>
      <c r="C32" s="472"/>
      <c r="D32" s="466" t="s">
        <v>529</v>
      </c>
      <c r="E32" s="466" t="s">
        <v>414</v>
      </c>
      <c r="F32" s="472" t="s">
        <v>532</v>
      </c>
      <c r="G32" s="472"/>
      <c r="H32" s="463"/>
      <c r="I32" s="463"/>
      <c r="J32" s="463"/>
      <c r="K32" s="463"/>
      <c r="L32" s="463"/>
    </row>
    <row r="33" spans="1:12" ht="15.75">
      <c r="A33" s="463"/>
      <c r="B33" s="463"/>
      <c r="C33" s="463"/>
      <c r="D33" s="463"/>
      <c r="E33" s="463"/>
      <c r="F33" s="463"/>
      <c r="G33" s="463"/>
      <c r="H33" s="463"/>
      <c r="I33" s="463"/>
      <c r="J33" s="463"/>
      <c r="K33" s="463"/>
      <c r="L33" s="463"/>
    </row>
    <row r="34" spans="1:12" ht="15.75">
      <c r="A34" s="463"/>
      <c r="B34" s="463"/>
      <c r="C34" s="463"/>
      <c r="D34" s="463"/>
      <c r="E34" s="473" t="s">
        <v>415</v>
      </c>
      <c r="F34" s="468"/>
      <c r="G34" s="469"/>
      <c r="H34" s="463"/>
      <c r="I34" s="463"/>
      <c r="J34" s="463"/>
      <c r="K34" s="463"/>
      <c r="L34" s="463"/>
    </row>
    <row r="35" spans="1:12" ht="15.75">
      <c r="A35" s="463"/>
      <c r="B35" s="470" t="s">
        <v>416</v>
      </c>
      <c r="C35" s="470"/>
      <c r="D35" s="474" t="s">
        <v>407</v>
      </c>
      <c r="E35" s="474" t="s">
        <v>417</v>
      </c>
      <c r="F35" s="474" t="s">
        <v>99</v>
      </c>
      <c r="G35" s="474" t="s">
        <v>418</v>
      </c>
      <c r="H35" s="463"/>
      <c r="I35" s="463"/>
      <c r="J35" s="463"/>
      <c r="K35" s="463"/>
      <c r="L35" s="463"/>
    </row>
    <row r="36" spans="1:12" ht="15.75">
      <c r="A36" s="471" t="s">
        <v>409</v>
      </c>
      <c r="B36" s="475" t="s">
        <v>533</v>
      </c>
      <c r="C36" s="476"/>
      <c r="D36" s="477" t="s">
        <v>535</v>
      </c>
      <c r="E36" s="477" t="s">
        <v>419</v>
      </c>
      <c r="F36" s="478" t="s">
        <v>420</v>
      </c>
      <c r="G36" s="466" t="s">
        <v>538</v>
      </c>
      <c r="H36" s="463"/>
      <c r="I36" s="463"/>
      <c r="J36" s="463"/>
      <c r="K36" s="463"/>
      <c r="L36" s="463"/>
    </row>
    <row r="37" spans="1:12" ht="15.75">
      <c r="A37" s="471" t="s">
        <v>411</v>
      </c>
      <c r="B37" s="475" t="s">
        <v>534</v>
      </c>
      <c r="C37" s="476"/>
      <c r="D37" s="477" t="s">
        <v>536</v>
      </c>
      <c r="E37" s="477" t="s">
        <v>419</v>
      </c>
      <c r="F37" s="478" t="s">
        <v>421</v>
      </c>
      <c r="G37" s="479" t="s">
        <v>539</v>
      </c>
      <c r="H37" s="463"/>
      <c r="I37" s="463"/>
      <c r="J37" s="463"/>
      <c r="K37" s="463"/>
      <c r="L37" s="463"/>
    </row>
    <row r="38" spans="1:12" ht="15.75">
      <c r="A38" s="471" t="s">
        <v>413</v>
      </c>
      <c r="B38" s="475" t="s">
        <v>534</v>
      </c>
      <c r="C38" s="476"/>
      <c r="D38" s="477" t="s">
        <v>537</v>
      </c>
      <c r="E38" s="477" t="s">
        <v>419</v>
      </c>
      <c r="F38" s="478" t="s">
        <v>422</v>
      </c>
      <c r="G38" s="466" t="s">
        <v>540</v>
      </c>
      <c r="H38" s="463"/>
      <c r="I38" s="463"/>
      <c r="J38" s="463"/>
      <c r="K38" s="463"/>
      <c r="L38" s="463"/>
    </row>
    <row r="39" spans="1:12" ht="15.75">
      <c r="A39" s="463"/>
      <c r="B39" s="463"/>
      <c r="C39" s="463"/>
      <c r="D39" s="463"/>
      <c r="E39" s="463"/>
      <c r="F39" s="463"/>
      <c r="G39" s="463"/>
      <c r="H39" s="463"/>
      <c r="I39" s="463"/>
      <c r="J39" s="463"/>
      <c r="K39" s="463"/>
      <c r="L39" s="463"/>
    </row>
    <row r="40" spans="1:12" ht="15.75">
      <c r="A40" s="480" t="s">
        <v>423</v>
      </c>
      <c r="B40" s="481" t="s">
        <v>541</v>
      </c>
      <c r="C40" s="481"/>
      <c r="D40" s="482" t="s">
        <v>424</v>
      </c>
      <c r="E40" s="482"/>
      <c r="F40" s="481" t="s">
        <v>542</v>
      </c>
      <c r="G40" s="481"/>
      <c r="H40" s="463"/>
      <c r="I40" s="463"/>
      <c r="J40" s="463"/>
      <c r="K40" s="463"/>
      <c r="L40" s="463"/>
    </row>
    <row r="41" spans="1:12" ht="15.75">
      <c r="A41" s="463"/>
      <c r="B41" s="463"/>
      <c r="C41" s="463"/>
      <c r="D41" s="463"/>
      <c r="E41" s="463"/>
      <c r="F41" s="463"/>
      <c r="G41" s="463"/>
      <c r="H41" s="463"/>
      <c r="I41" s="463"/>
      <c r="J41" s="463"/>
      <c r="K41" s="463"/>
      <c r="L41" s="463"/>
    </row>
    <row r="42" spans="1:12" ht="15.75">
      <c r="A42" s="463"/>
      <c r="B42" s="463"/>
      <c r="C42" s="463"/>
      <c r="D42" s="463"/>
      <c r="E42" s="463"/>
      <c r="F42" s="463"/>
      <c r="G42" s="463"/>
      <c r="H42" s="463"/>
      <c r="I42" s="463"/>
      <c r="J42" s="463"/>
      <c r="K42" s="463"/>
      <c r="L42" s="463"/>
    </row>
    <row r="43" spans="1:12" ht="15.75">
      <c r="A43" s="463"/>
      <c r="B43" s="463"/>
      <c r="C43" s="463"/>
      <c r="D43" s="463"/>
      <c r="E43" s="463"/>
      <c r="F43" s="463"/>
      <c r="G43" s="463"/>
      <c r="H43" s="463"/>
      <c r="I43" s="463"/>
      <c r="J43" s="463"/>
      <c r="K43" s="463"/>
      <c r="L43" s="463"/>
    </row>
    <row r="44" spans="1:12" ht="15.75">
      <c r="A44" s="463"/>
      <c r="B44" s="463"/>
      <c r="C44" s="463"/>
      <c r="D44" s="463"/>
      <c r="E44" s="463"/>
      <c r="F44" s="463"/>
      <c r="G44" s="463"/>
      <c r="H44" s="463"/>
      <c r="I44" s="463"/>
      <c r="J44" s="463"/>
      <c r="K44" s="463"/>
      <c r="L44" s="463"/>
    </row>
    <row r="45" spans="1:12" ht="15.75">
      <c r="A45" s="463"/>
      <c r="B45" s="463"/>
      <c r="C45" s="463"/>
      <c r="D45" s="463"/>
      <c r="E45" s="463"/>
      <c r="F45" s="463"/>
      <c r="G45" s="463"/>
      <c r="H45" s="463"/>
      <c r="I45" s="463"/>
      <c r="J45" s="463"/>
      <c r="K45" s="463"/>
      <c r="L45" s="463"/>
    </row>
    <row r="46" spans="1:12" ht="15.75">
      <c r="A46" s="463"/>
      <c r="B46" s="463"/>
      <c r="C46" s="463"/>
      <c r="D46" s="463"/>
      <c r="E46" s="463"/>
      <c r="F46" s="463"/>
      <c r="G46" s="463"/>
      <c r="H46" s="463"/>
      <c r="I46" s="463"/>
      <c r="J46" s="463"/>
      <c r="K46" s="463"/>
      <c r="L46" s="463"/>
    </row>
    <row r="47" spans="1:12" ht="15.75">
      <c r="A47" s="463"/>
      <c r="B47" s="463"/>
      <c r="C47" s="463"/>
      <c r="D47" s="463"/>
      <c r="E47" s="463"/>
      <c r="F47" s="463"/>
      <c r="G47" s="463"/>
      <c r="H47" s="463"/>
      <c r="I47" s="463"/>
      <c r="J47" s="463"/>
      <c r="K47" s="463"/>
      <c r="L47" s="463"/>
    </row>
    <row r="48" spans="1:12" ht="15.75">
      <c r="A48" s="463"/>
      <c r="B48" s="463"/>
      <c r="C48" s="463"/>
      <c r="D48" s="463"/>
      <c r="E48" s="463"/>
      <c r="F48" s="463"/>
      <c r="G48" s="463"/>
      <c r="H48" s="463"/>
      <c r="I48" s="463"/>
      <c r="J48" s="463"/>
      <c r="K48" s="463"/>
      <c r="L48" s="463"/>
    </row>
    <row r="49" spans="1:12" ht="15.75">
      <c r="A49" s="463"/>
      <c r="B49" s="463"/>
      <c r="C49" s="463"/>
      <c r="D49" s="463"/>
      <c r="E49" s="463"/>
      <c r="F49" s="463"/>
      <c r="G49" s="463"/>
      <c r="H49" s="463"/>
      <c r="I49" s="463"/>
      <c r="J49" s="463"/>
      <c r="K49" s="463"/>
      <c r="L49" s="463"/>
    </row>
    <row r="50" spans="1:12" ht="15.75">
      <c r="A50" s="463"/>
      <c r="B50" s="463"/>
      <c r="C50" s="463"/>
      <c r="D50" s="463"/>
      <c r="E50" s="463"/>
      <c r="F50" s="463"/>
      <c r="G50" s="463"/>
      <c r="H50" s="463"/>
      <c r="I50" s="463"/>
      <c r="J50" s="463"/>
      <c r="K50" s="463"/>
      <c r="L50" s="463"/>
    </row>
    <row r="51" spans="1:12" ht="15.75">
      <c r="A51" s="463"/>
      <c r="B51" s="463"/>
      <c r="C51" s="463"/>
      <c r="D51" s="463"/>
      <c r="E51" s="463"/>
      <c r="F51" s="463"/>
      <c r="G51" s="463"/>
      <c r="H51" s="463"/>
      <c r="I51" s="463"/>
      <c r="J51" s="463"/>
      <c r="K51" s="463"/>
      <c r="L51" s="463"/>
    </row>
    <row r="52" spans="1:12" ht="15.75">
      <c r="A52" s="463"/>
      <c r="B52" s="463"/>
      <c r="C52" s="463"/>
      <c r="D52" s="463"/>
      <c r="E52" s="463"/>
      <c r="F52" s="463"/>
      <c r="G52" s="463"/>
      <c r="H52" s="463"/>
      <c r="I52" s="463"/>
      <c r="J52" s="463"/>
      <c r="K52" s="463"/>
      <c r="L52" s="463"/>
    </row>
    <row r="53" spans="1:12" ht="15.75">
      <c r="A53" s="463"/>
      <c r="B53" s="463"/>
      <c r="C53" s="463"/>
      <c r="D53" s="463"/>
      <c r="E53" s="463"/>
      <c r="F53" s="463"/>
      <c r="G53" s="463"/>
      <c r="H53" s="463"/>
      <c r="I53" s="463"/>
      <c r="J53" s="463"/>
      <c r="K53" s="463"/>
      <c r="L53" s="463"/>
    </row>
    <row r="54" spans="1:12" ht="15.75">
      <c r="A54" s="463"/>
      <c r="B54" s="463"/>
      <c r="C54" s="463"/>
      <c r="D54" s="463"/>
      <c r="E54" s="463"/>
      <c r="F54" s="463"/>
      <c r="G54" s="463"/>
      <c r="H54" s="463"/>
      <c r="I54" s="463"/>
      <c r="J54" s="463"/>
      <c r="K54" s="463"/>
      <c r="L54" s="463"/>
    </row>
    <row r="55" spans="1:12" ht="15.75">
      <c r="A55" s="463"/>
      <c r="B55" s="463"/>
      <c r="C55" s="463"/>
      <c r="D55" s="463"/>
      <c r="E55" s="463"/>
      <c r="F55" s="463"/>
      <c r="G55" s="463"/>
      <c r="H55" s="463"/>
      <c r="I55" s="463"/>
      <c r="J55" s="463"/>
      <c r="K55" s="463"/>
      <c r="L55" s="463"/>
    </row>
    <row r="56" spans="1:12" ht="15.75">
      <c r="A56" s="463"/>
      <c r="B56" s="463"/>
      <c r="C56" s="463"/>
      <c r="D56" s="463"/>
      <c r="E56" s="463"/>
      <c r="F56" s="463"/>
      <c r="G56" s="463"/>
      <c r="H56" s="463"/>
      <c r="I56" s="463"/>
      <c r="J56" s="463"/>
      <c r="K56" s="463"/>
      <c r="L56" s="463"/>
    </row>
    <row r="57" spans="1:12" ht="15.75">
      <c r="A57" s="463"/>
      <c r="B57" s="463"/>
      <c r="C57" s="463"/>
      <c r="D57" s="463"/>
      <c r="E57" s="463"/>
      <c r="F57" s="463"/>
      <c r="G57" s="463"/>
      <c r="H57" s="463"/>
      <c r="I57" s="463"/>
      <c r="J57" s="463"/>
      <c r="K57" s="463"/>
      <c r="L57" s="463"/>
    </row>
    <row r="58" spans="1:12" ht="15.75">
      <c r="A58" s="463"/>
      <c r="B58" s="463"/>
      <c r="C58" s="463"/>
      <c r="D58" s="463"/>
      <c r="E58" s="463"/>
      <c r="F58" s="463"/>
      <c r="G58" s="463"/>
      <c r="H58" s="463"/>
      <c r="I58" s="463"/>
      <c r="J58" s="463"/>
      <c r="K58" s="463"/>
      <c r="L58" s="463"/>
    </row>
    <row r="59" spans="1:12" ht="15.75">
      <c r="A59" s="463"/>
      <c r="B59" s="463"/>
      <c r="C59" s="463"/>
      <c r="D59" s="463"/>
      <c r="E59" s="463"/>
      <c r="F59" s="463"/>
      <c r="G59" s="463"/>
      <c r="H59" s="463"/>
      <c r="I59" s="463"/>
      <c r="J59" s="463"/>
      <c r="K59" s="463"/>
      <c r="L59" s="463"/>
    </row>
    <row r="60" spans="1:12" ht="15.75">
      <c r="A60" s="463"/>
      <c r="B60" s="463"/>
      <c r="C60" s="463"/>
      <c r="D60" s="463"/>
      <c r="E60" s="463"/>
      <c r="F60" s="463"/>
      <c r="G60" s="463"/>
      <c r="H60" s="463"/>
      <c r="I60" s="463"/>
      <c r="J60" s="463"/>
      <c r="K60" s="463"/>
      <c r="L60" s="463"/>
    </row>
    <row r="61" spans="1:12" ht="15.75">
      <c r="A61" s="463"/>
      <c r="B61" s="463"/>
      <c r="C61" s="463"/>
      <c r="D61" s="463"/>
      <c r="E61" s="463"/>
      <c r="F61" s="463"/>
      <c r="G61" s="463"/>
      <c r="H61" s="463"/>
      <c r="I61" s="463"/>
      <c r="J61" s="463"/>
      <c r="K61" s="463"/>
      <c r="L61" s="463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E28:G28"/>
    <mergeCell ref="B29:C29"/>
    <mergeCell ref="F29:G29"/>
    <mergeCell ref="B30:C30"/>
    <mergeCell ref="F30:G30"/>
    <mergeCell ref="B31:C31"/>
    <mergeCell ref="F31:G31"/>
    <mergeCell ref="B24:C24"/>
    <mergeCell ref="D24:E24"/>
    <mergeCell ref="F24:G24"/>
    <mergeCell ref="B25:C25"/>
    <mergeCell ref="D25:E25"/>
    <mergeCell ref="F25:G25"/>
    <mergeCell ref="B1:G1"/>
    <mergeCell ref="D21:G21"/>
    <mergeCell ref="B22:C22"/>
    <mergeCell ref="D22:E22"/>
    <mergeCell ref="F22:G22"/>
    <mergeCell ref="B23:C23"/>
    <mergeCell ref="D23:E23"/>
    <mergeCell ref="F23:G23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DesignSheet</vt:lpstr>
      <vt:lpstr>Data Sheet</vt:lpstr>
      <vt:lpstr>LoginSheet</vt:lpstr>
      <vt:lpstr>StallTime</vt:lpstr>
      <vt:lpstr>'Data Sheet'!Print_Area</vt:lpstr>
      <vt:lpstr>DesignSheet!Print_Area</vt:lpstr>
      <vt:lpstr>LoginSheet!Print_Area</vt:lpstr>
      <vt:lpstr>StallTime!Print_Area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Mammen, Bibin</cp:lastModifiedBy>
  <cp:lastPrinted>1997-10-31T21:44:37Z</cp:lastPrinted>
  <dcterms:created xsi:type="dcterms:W3CDTF">1997-10-03T20:37:30Z</dcterms:created>
  <dcterms:modified xsi:type="dcterms:W3CDTF">2014-08-28T15:16:56Z</dcterms:modified>
</cp:coreProperties>
</file>