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drawings/drawing6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G:\DESPRO\BASE MV DESIGNS\6800 Frame TEFC\2P\SERIES\"/>
    </mc:Choice>
  </mc:AlternateContent>
  <bookViews>
    <workbookView xWindow="3168" yWindow="1080" windowWidth="4800" windowHeight="5196" tabRatio="863" activeTab="1"/>
  </bookViews>
  <sheets>
    <sheet name="DesignSheet" sheetId="10" r:id="rId1"/>
    <sheet name="Data Sheet" sheetId="3" r:id="rId2"/>
    <sheet name="Form " sheetId="11" r:id="rId3"/>
    <sheet name="LoginSheet" sheetId="4" r:id="rId4"/>
    <sheet name="STCurve" sheetId="6" r:id="rId5"/>
    <sheet name="StallTime" sheetId="7" r:id="rId6"/>
    <sheet name="Thermdam" sheetId="8" r:id="rId7"/>
    <sheet name="MagNoise" sheetId="9" r:id="rId8"/>
  </sheets>
  <definedNames>
    <definedName name="_xlnm.Print_Area" localSheetId="1">'Data Sheet'!$A$1:$K$46</definedName>
    <definedName name="_xlnm.Print_Area" localSheetId="0">DesignSheet!$A$1:$J$68</definedName>
    <definedName name="_xlnm.Print_Area" localSheetId="2">'Form '!$A$1:$F$39</definedName>
    <definedName name="_xlnm.Print_Area" localSheetId="3">LoginSheet!$A$1:$N$79</definedName>
    <definedName name="_xlnm.Print_Area" localSheetId="5">StallTime!$A$1:$G$40</definedName>
    <definedName name="_xlnm.Print_Area" localSheetId="4">STCurve!$A$1:$F$43</definedName>
    <definedName name="_xlnm.Print_Area" localSheetId="6">Thermdam!$A$1:$F$43</definedName>
    <definedName name="Z_852987ED_B4F5_11D1_ABEC_0000832EB49E_.wvu.PrintArea" localSheetId="4" hidden="1">STCurve!$A$1:$F$43</definedName>
  </definedNames>
  <calcPr calcId="162913"/>
</workbook>
</file>

<file path=xl/calcChain.xml><?xml version="1.0" encoding="utf-8"?>
<calcChain xmlns="http://schemas.openxmlformats.org/spreadsheetml/2006/main">
  <c r="C76" i="8" l="1"/>
  <c r="C77" i="8" s="1"/>
  <c r="C78" i="8" s="1"/>
  <c r="B76" i="8"/>
  <c r="C75" i="8"/>
  <c r="C74" i="8"/>
  <c r="B74" i="8"/>
  <c r="C69" i="8"/>
  <c r="E68" i="8"/>
  <c r="D66" i="8"/>
  <c r="F50" i="8"/>
  <c r="M28" i="3"/>
  <c r="M18" i="3"/>
  <c r="B69" i="8" l="1"/>
  <c r="B75" i="8" s="1"/>
  <c r="B70" i="8" l="1"/>
  <c r="C70" i="8"/>
  <c r="C71" i="8" l="1"/>
  <c r="A72" i="8"/>
  <c r="B71" i="8"/>
  <c r="B72" i="8" l="1"/>
  <c r="A73" i="8"/>
  <c r="B73" i="8" s="1"/>
</calcChain>
</file>

<file path=xl/comments1.xml><?xml version="1.0" encoding="utf-8"?>
<comments xmlns="http://schemas.openxmlformats.org/spreadsheetml/2006/main">
  <authors>
    <author>Paulo Yoshiura</author>
  </authors>
  <commentList>
    <comment ref="K4" authorId="0" shapeId="0">
      <text>
        <r>
          <rPr>
            <b/>
            <sz val="8"/>
            <color indexed="81"/>
            <rFont val="Tahoma"/>
            <family val="2"/>
          </rPr>
          <t>Insert type of motor</t>
        </r>
        <r>
          <rPr>
            <sz val="8"/>
            <color indexed="81"/>
            <rFont val="Tahoma"/>
            <family val="2"/>
          </rPr>
          <t xml:space="preserve">
</t>
        </r>
        <r>
          <rPr>
            <b/>
            <sz val="8"/>
            <color indexed="81"/>
            <rFont val="Tahoma"/>
            <family val="2"/>
          </rPr>
          <t>Either choose from list or write appropriate name</t>
        </r>
      </text>
    </comment>
    <comment ref="D6" authorId="0" shapeId="0">
      <text>
        <r>
          <rPr>
            <b/>
            <sz val="8"/>
            <color indexed="81"/>
            <rFont val="Tahoma"/>
            <family val="2"/>
          </rPr>
          <t>Choose Steel Type
from list or input name</t>
        </r>
      </text>
    </comment>
    <comment ref="D21" authorId="0" shapeId="0">
      <text>
        <r>
          <rPr>
            <b/>
            <sz val="8"/>
            <color indexed="81"/>
            <rFont val="Tahoma"/>
            <family val="2"/>
          </rPr>
          <t>Choose Method of coil connection from list!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<sst xmlns="http://schemas.openxmlformats.org/spreadsheetml/2006/main" count="829" uniqueCount="646">
  <si>
    <t>Calc. Code:</t>
  </si>
  <si>
    <t>File:</t>
  </si>
  <si>
    <t>Date:</t>
  </si>
  <si>
    <t>Time:</t>
  </si>
  <si>
    <t>Pole</t>
  </si>
  <si>
    <t>RPM</t>
  </si>
  <si>
    <t>Voltage</t>
  </si>
  <si>
    <t>Frequency</t>
  </si>
  <si>
    <t>FLSpeed</t>
  </si>
  <si>
    <t>FLSlip</t>
  </si>
  <si>
    <t xml:space="preserve">Frame </t>
  </si>
  <si>
    <t>Core Data</t>
  </si>
  <si>
    <t>Winding Data</t>
  </si>
  <si>
    <t>Constant Data</t>
  </si>
  <si>
    <t>Primary</t>
  </si>
  <si>
    <t>Secondary</t>
  </si>
  <si>
    <t xml:space="preserve">Bar </t>
  </si>
  <si>
    <t>End Ring</t>
  </si>
  <si>
    <t xml:space="preserve">St. Slot Pitch </t>
  </si>
  <si>
    <t>LR Test Data</t>
  </si>
  <si>
    <t>Air Gap</t>
  </si>
  <si>
    <t>Rt. Slot Pitch</t>
  </si>
  <si>
    <t>ES</t>
  </si>
  <si>
    <t>Space Fac.</t>
  </si>
  <si>
    <t>Pitch</t>
  </si>
  <si>
    <t>Cross Section Area</t>
  </si>
  <si>
    <t>Mean Value</t>
  </si>
  <si>
    <t>Core Length</t>
  </si>
  <si>
    <t>Eff.T.W.St.</t>
  </si>
  <si>
    <t>WS</t>
  </si>
  <si>
    <t>OD</t>
  </si>
  <si>
    <t>Coil Pitch</t>
  </si>
  <si>
    <t>Eff.T.W.Rt.</t>
  </si>
  <si>
    <t>ID</t>
  </si>
  <si>
    <t>Slot Fill</t>
  </si>
  <si>
    <t xml:space="preserve">St.Carter Fac. </t>
  </si>
  <si>
    <t>IS</t>
  </si>
  <si>
    <t>Core Depth</t>
  </si>
  <si>
    <t>Con./Slot</t>
  </si>
  <si>
    <t xml:space="preserve"> </t>
  </si>
  <si>
    <t>Rt.Carter Fac.</t>
  </si>
  <si>
    <t>Eff.Core L.</t>
  </si>
  <si>
    <t>Wire Size 1</t>
  </si>
  <si>
    <t>Carter Factor</t>
  </si>
  <si>
    <t>Volts / Turn</t>
  </si>
  <si>
    <t>Slot Data</t>
  </si>
  <si>
    <t>Wire Size 2</t>
  </si>
  <si>
    <t>Short. Factor</t>
  </si>
  <si>
    <t>Number</t>
  </si>
  <si>
    <t>// Circuits</t>
  </si>
  <si>
    <t>Distrib. Factor</t>
  </si>
  <si>
    <t>AC</t>
  </si>
  <si>
    <t>Kind</t>
  </si>
  <si>
    <t>Connection</t>
  </si>
  <si>
    <t>Wind. Factor</t>
  </si>
  <si>
    <t>Skew</t>
  </si>
  <si>
    <t>MCL</t>
  </si>
  <si>
    <t>Reactance</t>
  </si>
  <si>
    <t>Depth</t>
  </si>
  <si>
    <t>No.Cond./Ph.</t>
  </si>
  <si>
    <t>Running</t>
  </si>
  <si>
    <t>Start</t>
  </si>
  <si>
    <t>Width</t>
  </si>
  <si>
    <t>Stator Slot</t>
  </si>
  <si>
    <t>Opening</t>
  </si>
  <si>
    <t>Rotor Slot</t>
  </si>
  <si>
    <t>Tip Depth</t>
  </si>
  <si>
    <t>Material</t>
  </si>
  <si>
    <t>Zigzag</t>
  </si>
  <si>
    <t>T.Min.Wid.</t>
  </si>
  <si>
    <t>Spec.Resist.</t>
  </si>
  <si>
    <t>Coil End</t>
  </si>
  <si>
    <t>Low. R.</t>
  </si>
  <si>
    <t>Spec.Gravity</t>
  </si>
  <si>
    <t>Belt Leakage</t>
  </si>
  <si>
    <t>Up. R.</t>
  </si>
  <si>
    <t>Weight (kg)</t>
  </si>
  <si>
    <t>Total Resist.</t>
  </si>
  <si>
    <t>Wedge Dep.</t>
  </si>
  <si>
    <t>Wire 1</t>
  </si>
  <si>
    <t>Total React.</t>
  </si>
  <si>
    <t>Duct</t>
  </si>
  <si>
    <t>Wire 2</t>
  </si>
  <si>
    <t>Impedance</t>
  </si>
  <si>
    <t>Effective Depth (S=1)</t>
  </si>
  <si>
    <t>Magnetic Circuit Data</t>
  </si>
  <si>
    <t>Core Loss Data</t>
  </si>
  <si>
    <t>Res.=</t>
  </si>
  <si>
    <t>Length</t>
  </si>
  <si>
    <t>Section</t>
  </si>
  <si>
    <t>Density</t>
  </si>
  <si>
    <t>AT</t>
  </si>
  <si>
    <t>Volume</t>
  </si>
  <si>
    <t>Loss</t>
  </si>
  <si>
    <t>Reac.=</t>
  </si>
  <si>
    <t>Primary Core</t>
  </si>
  <si>
    <t>Excitation Data</t>
  </si>
  <si>
    <t>Tooth</t>
  </si>
  <si>
    <t>Excit.Amps</t>
  </si>
  <si>
    <t>Second.Core</t>
  </si>
  <si>
    <t>Total</t>
  </si>
  <si>
    <t>Core Loss</t>
  </si>
  <si>
    <t>Flux / Pole</t>
  </si>
  <si>
    <t>C.L.C.</t>
  </si>
  <si>
    <t>NoLoad</t>
  </si>
  <si>
    <t>S.F.C.</t>
  </si>
  <si>
    <t>Load Characteristics</t>
  </si>
  <si>
    <t>No Load Loss</t>
  </si>
  <si>
    <t>W.Loss</t>
  </si>
  <si>
    <t>Load (%)</t>
  </si>
  <si>
    <t>Primary Loss</t>
  </si>
  <si>
    <t>S.Loss</t>
  </si>
  <si>
    <t>Current (A)</t>
  </si>
  <si>
    <t>Second. Loss</t>
  </si>
  <si>
    <t>Total C.Loss</t>
  </si>
  <si>
    <t xml:space="preserve">Efficiency </t>
  </si>
  <si>
    <t>Frict.&amp; Wind.</t>
  </si>
  <si>
    <t>P.F.</t>
  </si>
  <si>
    <t>Starting Data</t>
  </si>
  <si>
    <t>Slip</t>
  </si>
  <si>
    <t>PF</t>
  </si>
  <si>
    <t xml:space="preserve">LRA </t>
  </si>
  <si>
    <t>%</t>
  </si>
  <si>
    <t>L (Inv., MH)</t>
  </si>
  <si>
    <t>LRT (kg.m)</t>
  </si>
  <si>
    <t>(No Load)</t>
  </si>
  <si>
    <t>Design Parameters (Full Load)</t>
  </si>
  <si>
    <t>Magnetic Pull  &amp; Thrust</t>
  </si>
  <si>
    <t>BDT (kW)</t>
  </si>
  <si>
    <t>IM/IW</t>
  </si>
  <si>
    <t>I*R1/E</t>
  </si>
  <si>
    <t>Rosenberg</t>
  </si>
  <si>
    <t>IW*X/E</t>
  </si>
  <si>
    <t>I*R2/E</t>
  </si>
  <si>
    <t>Schwisky</t>
  </si>
  <si>
    <t>Amps</t>
  </si>
  <si>
    <t>SUM</t>
  </si>
  <si>
    <t>Friction/OP.</t>
  </si>
  <si>
    <t>Tsurumi</t>
  </si>
  <si>
    <t>Max. Output</t>
  </si>
  <si>
    <t>IH/I</t>
  </si>
  <si>
    <t>Thrust (1mm)</t>
  </si>
  <si>
    <t>Efficiency</t>
  </si>
  <si>
    <t>Thrust (3 mm)</t>
  </si>
  <si>
    <t>Miscellaneous Data</t>
  </si>
  <si>
    <t>Slot Number</t>
  </si>
  <si>
    <t>Slit Width</t>
  </si>
  <si>
    <t>T.M.Wid.Low.</t>
  </si>
  <si>
    <t>Watt Rad.</t>
  </si>
  <si>
    <t>Coil Cur. Density</t>
  </si>
  <si>
    <t>Slit Depth</t>
  </si>
  <si>
    <t>Cal.T.W.Up.</t>
  </si>
  <si>
    <t>L.S.Up.Wid.</t>
  </si>
  <si>
    <t>Cal.M.T.Wid.</t>
  </si>
  <si>
    <t>Bar Cur. Den.</t>
  </si>
  <si>
    <t>L.S.Low.Wid.</t>
  </si>
  <si>
    <t>Up. Sl. Wid.</t>
  </si>
  <si>
    <t>L.S.Depth</t>
  </si>
  <si>
    <t>X2S</t>
  </si>
  <si>
    <t>IMC</t>
  </si>
  <si>
    <t>ER Cur. Den.</t>
  </si>
  <si>
    <t>Up. Sl. Dep.</t>
  </si>
  <si>
    <t>T.M.Wid.Up.</t>
  </si>
  <si>
    <t>X3S</t>
  </si>
  <si>
    <t>Coil Pitch Ct.</t>
  </si>
  <si>
    <t>Torque (%)</t>
  </si>
  <si>
    <t>Res.     (20°C)</t>
  </si>
  <si>
    <t xml:space="preserve">                              TOSHIBA INTERNATIONAL CORPORATION</t>
  </si>
  <si>
    <r>
      <t>DG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</si>
  <si>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GD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L(kg.m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</si>
  <si>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r>
      <t>DO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L(cm</t>
    </r>
    <r>
      <rPr>
        <i/>
        <vertAlign val="superscript"/>
        <sz val="10"/>
        <rFont val="Times New Roman"/>
        <family val="1"/>
      </rPr>
      <t>2</t>
    </r>
    <r>
      <rPr>
        <i/>
        <sz val="10"/>
        <rFont val="Times New Roman"/>
        <family val="1"/>
      </rPr>
      <t>)</t>
    </r>
  </si>
  <si>
    <t>HP</t>
  </si>
  <si>
    <t>Form</t>
  </si>
  <si>
    <t xml:space="preserve">             3-PHASE SQUIRREL CAGE INDUCTION MOTOR DESIGN SHEET</t>
  </si>
  <si>
    <t>-</t>
  </si>
  <si>
    <t>Temperature</t>
  </si>
  <si>
    <t>FCW4</t>
  </si>
  <si>
    <t>6811USS</t>
  </si>
  <si>
    <t>Open</t>
  </si>
  <si>
    <t>Trapeze</t>
  </si>
  <si>
    <t>14.30 - 14.30</t>
  </si>
  <si>
    <t>0.80 - 3.65</t>
  </si>
  <si>
    <t>Normal</t>
  </si>
  <si>
    <t>1 ~ 18</t>
  </si>
  <si>
    <t>(.091"x.204")x2</t>
  </si>
  <si>
    <t>Wye</t>
  </si>
  <si>
    <t>(105°C)</t>
  </si>
  <si>
    <t>CU</t>
  </si>
  <si>
    <t>ERD1: 318.0</t>
  </si>
  <si>
    <t>EBL: 62.5</t>
  </si>
  <si>
    <t>ERT: 60.00</t>
  </si>
  <si>
    <t>ERH: 44.00</t>
  </si>
  <si>
    <t>LB:  -</t>
  </si>
  <si>
    <t>LER:  -</t>
  </si>
  <si>
    <t>Single Cage Data</t>
  </si>
  <si>
    <t>UB: 322.1</t>
  </si>
  <si>
    <t>UER: 2640.0</t>
  </si>
  <si>
    <t>(Coeff.: 0.0472)</t>
  </si>
  <si>
    <t>Skew R.: 0.00</t>
  </si>
  <si>
    <t>2-2-2-0-1-2</t>
  </si>
  <si>
    <t>B.L.-1  P.F.-1</t>
  </si>
  <si>
    <t>8640.8 / 3560.4</t>
  </si>
  <si>
    <t>1647.2 / 678.7</t>
  </si>
  <si>
    <t>6993.6 / 2881.7</t>
  </si>
  <si>
    <t>1.50 / 0.62</t>
  </si>
  <si>
    <t>Temp. Rise @ 100%:</t>
  </si>
  <si>
    <t>Stray Loss</t>
  </si>
  <si>
    <t>0.948 / 0.932</t>
  </si>
  <si>
    <t>0.951 / 0.935</t>
  </si>
  <si>
    <t>0.0026 / 0.0029</t>
  </si>
  <si>
    <t>0.0039 / 0.0042</t>
  </si>
  <si>
    <t>0.0053 / 0.0056</t>
  </si>
  <si>
    <t>0.0066 / 0.0069</t>
  </si>
  <si>
    <t>17.517 / 19.830</t>
  </si>
  <si>
    <t>1.246 / 1.410</t>
  </si>
  <si>
    <t>17.56 / 19.88</t>
  </si>
  <si>
    <t>297.7 / 274.5</t>
  </si>
  <si>
    <t>Correlated to: FW2M20U_Lab1329A.dat</t>
  </si>
  <si>
    <t>TOSHIBA INTERNATIONAL CORPORATION</t>
  </si>
  <si>
    <t>INDUCTION MOTOR DATA SHEET</t>
  </si>
  <si>
    <t>HRW / Model Number:</t>
  </si>
  <si>
    <t>Motor Type Selection</t>
  </si>
  <si>
    <t>Electrical Steel Table</t>
  </si>
  <si>
    <t>Motor Parameters</t>
  </si>
  <si>
    <t>PERFORMANCE</t>
  </si>
  <si>
    <t>DESIGN</t>
  </si>
  <si>
    <t>TEST</t>
  </si>
  <si>
    <t>EPACT</t>
  </si>
  <si>
    <t>M22 - 26Ga.</t>
  </si>
  <si>
    <t>NCB1 - 26Ga.</t>
  </si>
  <si>
    <t>NL &amp; Impedance Test</t>
  </si>
  <si>
    <t>EQP-III</t>
  </si>
  <si>
    <t>M36 - 26Ga.</t>
  </si>
  <si>
    <t>No load amps</t>
  </si>
  <si>
    <t>Exp.Prf.</t>
  </si>
  <si>
    <t>Stack length</t>
  </si>
  <si>
    <t>No load watts</t>
  </si>
  <si>
    <t>Exp.Prf.-EQPIII</t>
  </si>
  <si>
    <t>M43 - 26Ga.</t>
  </si>
  <si>
    <t>Number of turns per coil</t>
  </si>
  <si>
    <t>Impedance amps</t>
  </si>
  <si>
    <t>f</t>
  </si>
  <si>
    <t>Prem. Eff.</t>
  </si>
  <si>
    <t>M45 - 26Ga.</t>
  </si>
  <si>
    <t>Wire 1 (size &amp; number)</t>
  </si>
  <si>
    <t>Impedance volts</t>
  </si>
  <si>
    <t>OWP</t>
  </si>
  <si>
    <t>M54 - 26Ga.</t>
  </si>
  <si>
    <t>Wire 2 (size &amp; number)</t>
  </si>
  <si>
    <t>Impedance watts</t>
  </si>
  <si>
    <t>Dry Kiln</t>
  </si>
  <si>
    <r>
      <t xml:space="preserve">Slot fill - </t>
    </r>
    <r>
      <rPr>
        <i/>
        <sz val="9"/>
        <color indexed="8"/>
        <rFont val="Times New Roman"/>
        <family val="1"/>
      </rPr>
      <t>circle/square method (%)</t>
    </r>
  </si>
  <si>
    <t>Temperature Rise (°C)</t>
  </si>
  <si>
    <t>Winding</t>
  </si>
  <si>
    <t>80/115</t>
  </si>
  <si>
    <t>Allowance for ins. depth</t>
  </si>
  <si>
    <t xml:space="preserve">Bearing  PS/OS </t>
  </si>
  <si>
    <t>Allowance for ins. width</t>
  </si>
  <si>
    <t>Slot/Wire arrangement</t>
  </si>
  <si>
    <t>Nameplate Data</t>
  </si>
  <si>
    <t>Effective cross section for coil</t>
  </si>
  <si>
    <t>FLC (A)</t>
  </si>
  <si>
    <t>Coil grouping</t>
  </si>
  <si>
    <t>Coil pitch (slot number)</t>
  </si>
  <si>
    <t>CODE</t>
  </si>
  <si>
    <t>Method of coil connection</t>
  </si>
  <si>
    <t>S. F.</t>
  </si>
  <si>
    <t>Method of Connection</t>
  </si>
  <si>
    <t>Resistance per phase @ 20 °C</t>
  </si>
  <si>
    <t>Skip</t>
  </si>
  <si>
    <t>Coil Weight</t>
  </si>
  <si>
    <t>Wire1</t>
  </si>
  <si>
    <t xml:space="preserve">Nom.Eff. (%): </t>
  </si>
  <si>
    <t>Adjacent</t>
  </si>
  <si>
    <t>(lbs.)</t>
  </si>
  <si>
    <t>Wire2</t>
  </si>
  <si>
    <t xml:space="preserve">Min.Eff. (%): </t>
  </si>
  <si>
    <r>
      <t>Current Densities (A/cm</t>
    </r>
    <r>
      <rPr>
        <b/>
        <i/>
        <vertAlign val="superscript"/>
        <sz val="12"/>
        <color indexed="8"/>
        <rFont val="Times New Roman"/>
        <family val="1"/>
      </rPr>
      <t>2</t>
    </r>
    <r>
      <rPr>
        <b/>
        <i/>
        <sz val="12"/>
        <color indexed="8"/>
        <rFont val="Times New Roman"/>
        <family val="1"/>
      </rPr>
      <t>)</t>
    </r>
  </si>
  <si>
    <t>Bar / ER</t>
  </si>
  <si>
    <t xml:space="preserve">P.F. (%): </t>
  </si>
  <si>
    <t>FL / LR</t>
  </si>
  <si>
    <t>Stator Slot Shape                                      (Reference)</t>
  </si>
  <si>
    <t>Performance</t>
  </si>
  <si>
    <t>LRC (A)</t>
  </si>
  <si>
    <t>LRT (%)</t>
  </si>
  <si>
    <t>BDT (%)</t>
  </si>
  <si>
    <t>SLIP (%)</t>
  </si>
  <si>
    <t>IEEE-B</t>
  </si>
  <si>
    <t>Eff. (%)</t>
  </si>
  <si>
    <t>Rotor Slot Shape                                       (Reference)</t>
  </si>
  <si>
    <t>PF (%)</t>
  </si>
  <si>
    <t>Losses (Watts)</t>
  </si>
  <si>
    <t>Core</t>
  </si>
  <si>
    <t>F &amp; W</t>
  </si>
  <si>
    <t xml:space="preserve">Stray </t>
  </si>
  <si>
    <t>End Ring                                                   (Reference)</t>
  </si>
  <si>
    <t>Note</t>
  </si>
  <si>
    <t>Approved</t>
  </si>
  <si>
    <t>Design</t>
  </si>
  <si>
    <t>Date</t>
  </si>
  <si>
    <t>P</t>
  </si>
  <si>
    <t>T</t>
  </si>
  <si>
    <t>L</t>
  </si>
  <si>
    <t>PROJECT HISTORY</t>
  </si>
  <si>
    <t>E</t>
  </si>
  <si>
    <t>D</t>
  </si>
  <si>
    <t>I</t>
  </si>
  <si>
    <t>Y</t>
  </si>
  <si>
    <t>H</t>
  </si>
  <si>
    <t>R</t>
  </si>
  <si>
    <t>M</t>
  </si>
  <si>
    <t>F</t>
  </si>
  <si>
    <t>C</t>
  </si>
  <si>
    <t>U</t>
  </si>
  <si>
    <t>N</t>
  </si>
  <si>
    <t>A</t>
  </si>
  <si>
    <t>S</t>
  </si>
  <si>
    <t>V</t>
  </si>
  <si>
    <t>DATE</t>
  </si>
  <si>
    <t>PROJECT</t>
  </si>
  <si>
    <t>SMART NUMBER</t>
  </si>
  <si>
    <t>QTY</t>
  </si>
  <si>
    <t>CUSTOMER</t>
  </si>
  <si>
    <t>REMARKS</t>
  </si>
  <si>
    <t>LIMIT CODE</t>
  </si>
  <si>
    <t>REVISION HISTORY</t>
  </si>
  <si>
    <t>REV</t>
  </si>
  <si>
    <t>INIT</t>
  </si>
  <si>
    <t>Type: TIKE - Form: FCW4 - 2 Pole - 1000 HP - 4000 V - 60 Hz - 6811USS - Class F</t>
  </si>
  <si>
    <t>20 x 2</t>
  </si>
  <si>
    <t>2 x Wye</t>
  </si>
  <si>
    <t xml:space="preserve"> - </t>
  </si>
  <si>
    <t>258 / 1627</t>
  </si>
  <si>
    <t>334 / 298</t>
  </si>
  <si>
    <t>Winding Data Calculation</t>
  </si>
  <si>
    <t>Coil Resistance</t>
  </si>
  <si>
    <t>Lead Resistance</t>
  </si>
  <si>
    <t>Coil Dimensions</t>
  </si>
  <si>
    <t>HM:</t>
  </si>
  <si>
    <t>WM:</t>
  </si>
  <si>
    <t>WT:</t>
  </si>
  <si>
    <t>Insulation Allowance</t>
  </si>
  <si>
    <t>Wire Weight</t>
  </si>
  <si>
    <t>Depth:</t>
  </si>
  <si>
    <t>Width:</t>
  </si>
  <si>
    <t>QC Resistance</t>
  </si>
  <si>
    <t>MCL: 1400.0</t>
  </si>
  <si>
    <t xml:space="preserve">10T: </t>
  </si>
  <si>
    <t/>
  </si>
  <si>
    <t>0.0215 ~ 0.0207</t>
  </si>
  <si>
    <t xml:space="preserve"> (.091"x.204")x 2: </t>
  </si>
  <si>
    <t>710 lbs.</t>
  </si>
  <si>
    <t xml:space="preserve">1-2, 2-3, 3-1: </t>
  </si>
  <si>
    <t>S-T Curve Data (Custom Values)</t>
  </si>
  <si>
    <t>Current (%)</t>
  </si>
  <si>
    <t>Current(%)</t>
  </si>
  <si>
    <t>Speed Torque/Current Curve</t>
  </si>
  <si>
    <t>Model #:</t>
  </si>
  <si>
    <t>FLAmps:</t>
  </si>
  <si>
    <t>Enclosure:</t>
  </si>
  <si>
    <t>Voltage:</t>
  </si>
  <si>
    <t>Frame:</t>
  </si>
  <si>
    <t>Pole:</t>
  </si>
  <si>
    <t>Frequency:</t>
  </si>
  <si>
    <t>3 PH / 60 Hz</t>
  </si>
  <si>
    <t>Ins. Class:</t>
  </si>
  <si>
    <t>HP:</t>
  </si>
  <si>
    <t>Rotor Inertia:</t>
  </si>
  <si>
    <t>FLRPM:</t>
  </si>
  <si>
    <t>Load Inertia:</t>
  </si>
  <si>
    <t>N/A</t>
  </si>
  <si>
    <t>Locked Rotor Amps:</t>
  </si>
  <si>
    <t>Load Type:</t>
  </si>
  <si>
    <t>Locked Rotor Torque:</t>
  </si>
  <si>
    <t>Starting at:</t>
  </si>
  <si>
    <t>Breakdown Torque:</t>
  </si>
  <si>
    <t>Accel. Time:</t>
  </si>
  <si>
    <t>Rated Torque:</t>
  </si>
  <si>
    <t>Comments:</t>
  </si>
  <si>
    <t>D.E.Curve #:</t>
  </si>
  <si>
    <t>Prepared by:</t>
  </si>
  <si>
    <t>Checked by:</t>
  </si>
  <si>
    <t>4000 V</t>
  </si>
  <si>
    <t>414.3 lb-ft²</t>
  </si>
  <si>
    <t>1467 lb-ft</t>
  </si>
  <si>
    <t>763 A</t>
  </si>
  <si>
    <t>Load</t>
  </si>
  <si>
    <t>Fan / Pump</t>
  </si>
  <si>
    <t>56.3 kg.m²</t>
  </si>
  <si>
    <t>Acceleration Data (FV V)</t>
  </si>
  <si>
    <t>202.9 kg.m</t>
  </si>
  <si>
    <t>Rating:</t>
  </si>
  <si>
    <t>Starting Performance</t>
  </si>
  <si>
    <t>Motor</t>
  </si>
  <si>
    <t xml:space="preserve">Load </t>
  </si>
  <si>
    <t>Accel.</t>
  </si>
  <si>
    <t xml:space="preserve"> Line</t>
  </si>
  <si>
    <t>Stator</t>
  </si>
  <si>
    <t>Rotor</t>
  </si>
  <si>
    <t>Speed Increment</t>
  </si>
  <si>
    <t>Time (s)</t>
  </si>
  <si>
    <t>kW / s</t>
  </si>
  <si>
    <t>Energy</t>
  </si>
  <si>
    <t>First Start</t>
  </si>
  <si>
    <t>Second Start</t>
  </si>
  <si>
    <t>Stator Winding Rise</t>
  </si>
  <si>
    <t>Rotor Bar Rise</t>
  </si>
  <si>
    <t>End Ring Rise</t>
  </si>
  <si>
    <t>Locked Rotor Thermal Capability</t>
  </si>
  <si>
    <t>Cold Condition</t>
  </si>
  <si>
    <t>Rate of Rise</t>
  </si>
  <si>
    <t>Power</t>
  </si>
  <si>
    <t>Rise Limit</t>
  </si>
  <si>
    <t>Max Time</t>
  </si>
  <si>
    <t>Stator Copper</t>
  </si>
  <si>
    <t>160°C</t>
  </si>
  <si>
    <t>Rotor Bar</t>
  </si>
  <si>
    <t>260°C</t>
  </si>
  <si>
    <t>Rotor ER</t>
  </si>
  <si>
    <t>180°C</t>
  </si>
  <si>
    <t>Hot Condition</t>
  </si>
  <si>
    <t>Hot Temp.</t>
  </si>
  <si>
    <t>Ambient</t>
  </si>
  <si>
    <t>Max.Time</t>
  </si>
  <si>
    <t>40°C</t>
  </si>
  <si>
    <t>=    200°C</t>
  </si>
  <si>
    <t>=    300°C</t>
  </si>
  <si>
    <t>=    220°C</t>
  </si>
  <si>
    <t>Cold Stall Time:</t>
  </si>
  <si>
    <t>Hot Stall Time:</t>
  </si>
  <si>
    <t>2 Pole - 1000.0 HP - 3600 RPM - 4000 V - 60 Hz</t>
  </si>
  <si>
    <t>0~360</t>
  </si>
  <si>
    <t>360~720</t>
  </si>
  <si>
    <t>720~1080</t>
  </si>
  <si>
    <t>1080~1440</t>
  </si>
  <si>
    <t>1440~1800</t>
  </si>
  <si>
    <t>1800~2192</t>
  </si>
  <si>
    <t>2192~2584</t>
  </si>
  <si>
    <t>2584~2976</t>
  </si>
  <si>
    <t>2976~3172</t>
  </si>
  <si>
    <t>3172~3368</t>
  </si>
  <si>
    <t>3368~3564</t>
  </si>
  <si>
    <t>3564~3593</t>
  </si>
  <si>
    <t>3593~3600</t>
  </si>
  <si>
    <t>Load Type: Fan / Pump - 334.0 lb-ft²</t>
  </si>
  <si>
    <t>77.0</t>
  </si>
  <si>
    <t>78.1</t>
  </si>
  <si>
    <t>81.3</t>
  </si>
  <si>
    <t>88.0</t>
  </si>
  <si>
    <t>99.6</t>
  </si>
  <si>
    <t>123.2</t>
  </si>
  <si>
    <t>207.4</t>
  </si>
  <si>
    <t>222.4</t>
  </si>
  <si>
    <t>134.9</t>
  </si>
  <si>
    <t>22.5</t>
  </si>
  <si>
    <t>11.5</t>
  </si>
  <si>
    <t>7.0</t>
  </si>
  <si>
    <t>11.0</t>
  </si>
  <si>
    <t>18.5</t>
  </si>
  <si>
    <t>29.5</t>
  </si>
  <si>
    <t>45.9</t>
  </si>
  <si>
    <t>62.5</t>
  </si>
  <si>
    <t>76.2</t>
  </si>
  <si>
    <t>90.6</t>
  </si>
  <si>
    <t>98.8</t>
  </si>
  <si>
    <t>99.8</t>
  </si>
  <si>
    <t>1.095</t>
  </si>
  <si>
    <t>0.911</t>
  </si>
  <si>
    <t>0.852</t>
  </si>
  <si>
    <t>0.904</t>
  </si>
  <si>
    <t>1.090</t>
  </si>
  <si>
    <t>1.254</t>
  </si>
  <si>
    <t>1.547</t>
  </si>
  <si>
    <t>0.873</t>
  </si>
  <si>
    <t>0.690</t>
  </si>
  <si>
    <t>0.278</t>
  </si>
  <si>
    <t>0.039</t>
  </si>
  <si>
    <t>0.034</t>
  </si>
  <si>
    <t>761.8</t>
  </si>
  <si>
    <t>759.1</t>
  </si>
  <si>
    <t>756.0</t>
  </si>
  <si>
    <t>752.3</t>
  </si>
  <si>
    <t>748.0</t>
  </si>
  <si>
    <t>742.8</t>
  </si>
  <si>
    <t>736.7</t>
  </si>
  <si>
    <t>728.5</t>
  </si>
  <si>
    <t>719.2</t>
  </si>
  <si>
    <t>704.2</t>
  </si>
  <si>
    <t>652.4</t>
  </si>
  <si>
    <t>415.6</t>
  </si>
  <si>
    <t>120.7</t>
  </si>
  <si>
    <t>239.9</t>
  </si>
  <si>
    <t>198.4</t>
  </si>
  <si>
    <t>184.2</t>
  </si>
  <si>
    <t>182.6</t>
  </si>
  <si>
    <t>191.6</t>
  </si>
  <si>
    <t>228.2</t>
  </si>
  <si>
    <t>258.6</t>
  </si>
  <si>
    <t>313.2</t>
  </si>
  <si>
    <t>172.2</t>
  </si>
  <si>
    <t>132.6</t>
  </si>
  <si>
    <t>50.4</t>
  </si>
  <si>
    <t>5.4</t>
  </si>
  <si>
    <t>0.2</t>
  </si>
  <si>
    <t>832.4</t>
  </si>
  <si>
    <t>623.4</t>
  </si>
  <si>
    <t>518.5</t>
  </si>
  <si>
    <t>453.7</t>
  </si>
  <si>
    <t>412.4</t>
  </si>
  <si>
    <t>380.6</t>
  </si>
  <si>
    <t>352.2</t>
  </si>
  <si>
    <t>330.0</t>
  </si>
  <si>
    <t>254.2</t>
  </si>
  <si>
    <t>158.7</t>
  </si>
  <si>
    <t>45.4</t>
  </si>
  <si>
    <t>13.1</t>
  </si>
  <si>
    <t>15.1</t>
  </si>
  <si>
    <t>2158 kW / s</t>
  </si>
  <si>
    <t>3236 kW / s</t>
  </si>
  <si>
    <t>1154 kW / s</t>
  </si>
  <si>
    <t>18°C</t>
  </si>
  <si>
    <t>73°C</t>
  </si>
  <si>
    <t>56°C</t>
  </si>
  <si>
    <t>36°C</t>
  </si>
  <si>
    <t>146°C</t>
  </si>
  <si>
    <t>113°C</t>
  </si>
  <si>
    <t>Acceleration Time:  10.4 s</t>
  </si>
  <si>
    <t>2.2°C / s</t>
  </si>
  <si>
    <t>9.5°C / s</t>
  </si>
  <si>
    <t>7.4°C / s</t>
  </si>
  <si>
    <t>263.1 kW</t>
  </si>
  <si>
    <t>423.4 kW</t>
  </si>
  <si>
    <t>151.0 kW</t>
  </si>
  <si>
    <t>73.5 s</t>
  </si>
  <si>
    <t>27.2 s</t>
  </si>
  <si>
    <t>24.4 s</t>
  </si>
  <si>
    <t>77°C    +</t>
  </si>
  <si>
    <t>105°C    +</t>
  </si>
  <si>
    <t>83°C    +</t>
  </si>
  <si>
    <t>155°C   +</t>
  </si>
  <si>
    <t>75°C   +</t>
  </si>
  <si>
    <t>38.1 s</t>
  </si>
  <si>
    <t>16.3 s</t>
  </si>
  <si>
    <t>10.2 s</t>
  </si>
  <si>
    <t>38.2 s</t>
  </si>
  <si>
    <t>16.0 s</t>
  </si>
  <si>
    <t>Thermal Limit &amp; Acceleration Curves</t>
  </si>
  <si>
    <t>Design Values (For Reference Only)</t>
  </si>
  <si>
    <t>Cold</t>
  </si>
  <si>
    <t>Hot</t>
  </si>
  <si>
    <t>CURRENT (%)</t>
  </si>
  <si>
    <t>Accel. Time</t>
  </si>
  <si>
    <t>334.0 lb-ft²</t>
  </si>
  <si>
    <t>Magnetic Noise Verification</t>
  </si>
  <si>
    <t>Electromagnetic Excitation Frequencies</t>
  </si>
  <si>
    <t>L =</t>
  </si>
  <si>
    <t>+ 1</t>
  </si>
  <si>
    <t>- 1</t>
  </si>
  <si>
    <t>Slip =</t>
  </si>
  <si>
    <t>Mode A</t>
  </si>
  <si>
    <t>Mode B</t>
  </si>
  <si>
    <t>Mode C</t>
  </si>
  <si>
    <t>Natural Frequencies of Stator Core</t>
  </si>
  <si>
    <t>Mode 0  =</t>
  </si>
  <si>
    <t>Mode 6  =</t>
  </si>
  <si>
    <t>Mode 2  =</t>
  </si>
  <si>
    <t>Mode 7  =</t>
  </si>
  <si>
    <t>Mode 3  =</t>
  </si>
  <si>
    <t>Mode 8  =</t>
  </si>
  <si>
    <t>Mode 4  =</t>
  </si>
  <si>
    <t>Mode 9  =</t>
  </si>
  <si>
    <t>Mode 5  =</t>
  </si>
  <si>
    <t>Mode 10  =</t>
  </si>
  <si>
    <t>Analysis Results</t>
  </si>
  <si>
    <t>2880.0 Hz</t>
  </si>
  <si>
    <t>2865.4 Hz</t>
  </si>
  <si>
    <t>2640.0 Hz</t>
  </si>
  <si>
    <t>2625.4 Hz</t>
  </si>
  <si>
    <t>2760.0 Hz</t>
  </si>
  <si>
    <t>2745.4 Hz</t>
  </si>
  <si>
    <t>2288.2 Hz</t>
  </si>
  <si>
    <t>602.1 Hz</t>
  </si>
  <si>
    <t>1703.1 Hz</t>
  </si>
  <si>
    <t>3265.4 Hz</t>
  </si>
  <si>
    <t>5280.9 Hz</t>
  </si>
  <si>
    <t>7747.0 Hz</t>
  </si>
  <si>
    <t>10662.8 Hz</t>
  </si>
  <si>
    <t>14027.8 Hz</t>
  </si>
  <si>
    <t>17841.9 Hz</t>
  </si>
  <si>
    <t>22105.0 Hz</t>
  </si>
  <si>
    <t>No matching frequencies detected.</t>
  </si>
  <si>
    <t>M203FTQL11F-C</t>
  </si>
  <si>
    <t>Interspersed</t>
  </si>
  <si>
    <t>J. Dougherty</t>
  </si>
  <si>
    <t>JD</t>
  </si>
  <si>
    <t>10.1 (s)</t>
  </si>
  <si>
    <t>UER: 2.90 / 2.99</t>
  </si>
  <si>
    <t>UB: 3.25 / 3.34</t>
  </si>
  <si>
    <t>2.51 / 2.58</t>
  </si>
  <si>
    <t>86.5 / 77.1</t>
  </si>
  <si>
    <t>175.5 / 156.4</t>
  </si>
  <si>
    <t>598.6 / 651.4</t>
  </si>
  <si>
    <t>3576.4 / 3575.3</t>
  </si>
  <si>
    <t>3581.1 / 3580.0</t>
  </si>
  <si>
    <t>3586.0 / 3584.9</t>
  </si>
  <si>
    <t>3590.6 / 3589.5</t>
  </si>
  <si>
    <t>3595.2 / 3594.1</t>
  </si>
  <si>
    <t>701.1 / 762.9</t>
  </si>
  <si>
    <t>0.0013 / 0.0016</t>
  </si>
  <si>
    <t>0.929 / 0.913</t>
  </si>
  <si>
    <t>0.834 / 0.820</t>
  </si>
  <si>
    <t>8350.0 / 10961.2</t>
  </si>
  <si>
    <t>0.968 / 0.957</t>
  </si>
  <si>
    <t>0.966 / 0.955</t>
  </si>
  <si>
    <t>0.962 / 0.951</t>
  </si>
  <si>
    <t>0.951 / 0.940</t>
  </si>
  <si>
    <t>0.913 / 0.903</t>
  </si>
  <si>
    <t>4060.8 / 4302.2</t>
  </si>
  <si>
    <t>146.71 / 150.97</t>
  </si>
  <si>
    <t>117.12 / 120.52</t>
  </si>
  <si>
    <t>88.53 / 91.10</t>
  </si>
  <si>
    <t>60.96 / 62.73</t>
  </si>
  <si>
    <t>35.34 / 36.37</t>
  </si>
  <si>
    <t>5163.6 / 5649.8</t>
  </si>
  <si>
    <t>17077.4 / 14640.0</t>
  </si>
  <si>
    <t>77 / 77</t>
  </si>
  <si>
    <t>Special</t>
  </si>
  <si>
    <t>FCW</t>
  </si>
  <si>
    <t>77 / 102</t>
  </si>
  <si>
    <t>0.198 ~ 0.186</t>
  </si>
  <si>
    <t>3.54</t>
  </si>
  <si>
    <t>11.12</t>
  </si>
  <si>
    <t>14.40 ~ 14.00</t>
  </si>
  <si>
    <t>10T: 10.76</t>
  </si>
  <si>
    <t>10T: 25.11</t>
  </si>
  <si>
    <t>0.00099</t>
  </si>
  <si>
    <t>AWG. 1/0 x 3</t>
  </si>
  <si>
    <t>AG</t>
  </si>
  <si>
    <t>M:\Active Projects\6800 Frame TEFC\Electrical Design\2P\SERIES\CS2M20U.rat</t>
  </si>
  <si>
    <t>CS2M20U</t>
  </si>
  <si>
    <t>QC Limits: CS2M20U</t>
  </si>
  <si>
    <t>A. Gracia</t>
  </si>
  <si>
    <t xml:space="preserve">LINK: </t>
  </si>
  <si>
    <t>FW2M20U.rat with FW2M20U_Lab1329A.dat</t>
  </si>
  <si>
    <t xml:space="preserve">Additional methods to cool bearing are necessary to </t>
  </si>
  <si>
    <t>meet API temperature limits.  Z.X 12/16/21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</si>
</sst>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0"/>
    <numFmt numFmtId="165" formatCode="0.000"/>
    <numFmt numFmtId="166" formatCode="0.0"/>
    <numFmt numFmtId="167" formatCode="0.0%"/>
    <numFmt numFmtId="168" formatCode=".0000"/>
    <numFmt numFmtId="169" formatCode="mm/dd/yy"/>
    <numFmt numFmtId="170" formatCode="0.00_);\(0.00\)"/>
  </numFmts>
  <fonts count="56">
    <font>
      <sz val="10"/>
      <name val="Arial"/>
    </font>
    <font>
      <sz val="10"/>
      <name val="Arial"/>
      <family val="2"/>
    </font>
    <font>
      <sz val="10"/>
      <name val="Times New Roman"/>
      <family val="1"/>
    </font>
    <font>
      <i/>
      <sz val="10"/>
      <name val="Times New Roman"/>
      <family val="1"/>
    </font>
    <font>
      <b/>
      <i/>
      <sz val="10"/>
      <name val="Times New Roman"/>
      <family val="1"/>
    </font>
    <font>
      <sz val="8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  <font>
      <i/>
      <vertAlign val="superscript"/>
      <sz val="10"/>
      <name val="Times New Roman"/>
      <family val="1"/>
    </font>
    <font>
      <b/>
      <sz val="10"/>
      <name val="Times New Roman"/>
      <family val="1"/>
    </font>
    <font>
      <sz val="12"/>
      <name val="Univers (W1)"/>
    </font>
    <font>
      <b/>
      <sz val="16"/>
      <name val="Times New Roman"/>
      <family val="1"/>
    </font>
    <font>
      <sz val="9"/>
      <color indexed="8"/>
      <name val="Times New Roman"/>
      <family val="1"/>
    </font>
    <font>
      <sz val="12"/>
      <color indexed="8"/>
      <name val="Univers (W1)"/>
    </font>
    <font>
      <b/>
      <sz val="14"/>
      <color indexed="8"/>
      <name val="Times New Roman"/>
      <family val="1"/>
    </font>
    <font>
      <b/>
      <i/>
      <sz val="12"/>
      <color indexed="8"/>
      <name val="Times New Roman"/>
      <family val="1"/>
    </font>
    <font>
      <sz val="12"/>
      <color indexed="8"/>
      <name val="Times New Roman"/>
      <family val="1"/>
    </font>
    <font>
      <sz val="11"/>
      <color indexed="8"/>
      <name val="Times New Roman"/>
      <family val="1"/>
    </font>
    <font>
      <b/>
      <sz val="12"/>
      <name val="Times New Roman"/>
      <family val="1"/>
    </font>
    <font>
      <sz val="10"/>
      <color indexed="8"/>
      <name val="Times New Roman"/>
      <family val="1"/>
    </font>
    <font>
      <b/>
      <sz val="12"/>
      <color indexed="8"/>
      <name val="Times New Roman"/>
      <family val="1"/>
    </font>
    <font>
      <sz val="10"/>
      <color indexed="8"/>
      <name val="Univers (W1)"/>
    </font>
    <font>
      <b/>
      <i/>
      <sz val="11"/>
      <color indexed="8"/>
      <name val="Times New Roman"/>
      <family val="1"/>
    </font>
    <font>
      <sz val="8"/>
      <color indexed="8"/>
      <name val="Times New Roman"/>
      <family val="1"/>
    </font>
    <font>
      <i/>
      <sz val="10"/>
      <color indexed="8"/>
      <name val="Times New Roman"/>
      <family val="1"/>
    </font>
    <font>
      <b/>
      <sz val="11"/>
      <color indexed="8"/>
      <name val="Univers (W1)"/>
      <family val="2"/>
    </font>
    <font>
      <b/>
      <sz val="10"/>
      <color indexed="8"/>
      <name val="Univers (W1)"/>
    </font>
    <font>
      <i/>
      <sz val="11"/>
      <color indexed="8"/>
      <name val="Times New Roman"/>
      <family val="1"/>
    </font>
    <font>
      <b/>
      <i/>
      <sz val="11"/>
      <color indexed="8"/>
      <name val="Univers (W1)"/>
      <family val="2"/>
    </font>
    <font>
      <i/>
      <sz val="11"/>
      <color indexed="8"/>
      <name val="Symbol"/>
      <family val="1"/>
      <charset val="2"/>
    </font>
    <font>
      <i/>
      <sz val="9"/>
      <color indexed="8"/>
      <name val="Times New Roman"/>
      <family val="1"/>
    </font>
    <font>
      <i/>
      <sz val="8"/>
      <color indexed="8"/>
      <name val="Times New Roman"/>
      <family val="1"/>
    </font>
    <font>
      <b/>
      <sz val="10"/>
      <color indexed="8"/>
      <name val="Times New Roman"/>
      <family val="1"/>
    </font>
    <font>
      <b/>
      <i/>
      <vertAlign val="superscript"/>
      <sz val="12"/>
      <color indexed="8"/>
      <name val="Times New Roman"/>
      <family val="1"/>
    </font>
    <font>
      <b/>
      <i/>
      <sz val="10"/>
      <color indexed="8"/>
      <name val="Times New Roman"/>
      <family val="1"/>
    </font>
    <font>
      <u/>
      <sz val="10"/>
      <color indexed="8"/>
      <name val="Univers (W1)"/>
    </font>
    <font>
      <sz val="20"/>
      <color indexed="8"/>
      <name val="WP Greek Century"/>
      <charset val="2"/>
    </font>
    <font>
      <sz val="10"/>
      <color indexed="8"/>
      <name val="WP Greek Century"/>
      <charset val="2"/>
    </font>
    <font>
      <b/>
      <i/>
      <sz val="12"/>
      <color indexed="8"/>
      <name val="Brush Script MT"/>
      <family val="4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Times New Roman"/>
      <family val="1"/>
    </font>
    <font>
      <b/>
      <i/>
      <sz val="14"/>
      <name val="Times New Roman"/>
      <family val="1"/>
    </font>
    <font>
      <b/>
      <i/>
      <sz val="12"/>
      <name val="Times New Roman"/>
      <family val="1"/>
    </font>
    <font>
      <sz val="14"/>
      <name val="Times New Roman"/>
      <family val="1"/>
    </font>
    <font>
      <b/>
      <u/>
      <sz val="22"/>
      <name val="Times New Roman"/>
      <family val="1"/>
    </font>
    <font>
      <b/>
      <u/>
      <sz val="16"/>
      <name val="Times New Roman"/>
      <family val="1"/>
    </font>
    <font>
      <sz val="10"/>
      <name val="Arial"/>
      <family val="2"/>
    </font>
    <font>
      <i/>
      <sz val="12"/>
      <name val="Times New Roman"/>
      <family val="1"/>
    </font>
    <font>
      <b/>
      <i/>
      <u/>
      <sz val="14"/>
      <name val="Times New Roman"/>
      <family val="1"/>
    </font>
    <font>
      <sz val="10"/>
      <color indexed="9"/>
      <name val="Arial"/>
      <family val="2"/>
    </font>
    <font>
      <sz val="10"/>
      <color indexed="8"/>
      <name val="Arial"/>
      <family val="2"/>
    </font>
    <font>
      <b/>
      <i/>
      <u/>
      <sz val="16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23"/>
      </right>
      <top/>
      <bottom/>
      <diagonal/>
    </border>
    <border>
      <left style="hair">
        <color indexed="23"/>
      </left>
      <right style="hair">
        <color indexed="23"/>
      </right>
      <top/>
      <bottom/>
      <diagonal/>
    </border>
    <border>
      <left style="medium">
        <color indexed="64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 style="hair">
        <color indexed="23"/>
      </right>
      <top/>
      <bottom style="hair">
        <color indexed="23"/>
      </bottom>
      <diagonal/>
    </border>
    <border>
      <left style="hair">
        <color indexed="23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/>
      <top style="hair">
        <color indexed="55"/>
      </top>
      <bottom style="hair">
        <color indexed="55"/>
      </bottom>
      <diagonal/>
    </border>
    <border>
      <left/>
      <right style="thin">
        <color indexed="64"/>
      </right>
      <top style="hair">
        <color indexed="55"/>
      </top>
      <bottom style="hair">
        <color indexed="55"/>
      </bottom>
      <diagonal/>
    </border>
    <border>
      <left style="thin">
        <color indexed="64"/>
      </left>
      <right/>
      <top style="hair">
        <color indexed="23"/>
      </top>
      <bottom style="hair">
        <color indexed="23"/>
      </bottom>
      <diagonal/>
    </border>
    <border>
      <left/>
      <right/>
      <top style="hair">
        <color indexed="23"/>
      </top>
      <bottom style="hair">
        <color indexed="23"/>
      </bottom>
      <diagonal/>
    </border>
    <border>
      <left/>
      <right style="hair">
        <color indexed="23"/>
      </right>
      <top style="hair">
        <color indexed="23"/>
      </top>
      <bottom style="hair">
        <color indexed="23"/>
      </bottom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/>
      <bottom style="hair">
        <color indexed="23"/>
      </bottom>
      <diagonal/>
    </border>
    <border>
      <left/>
      <right/>
      <top/>
      <bottom style="hair">
        <color indexed="23"/>
      </bottom>
      <diagonal/>
    </border>
    <border>
      <left/>
      <right style="hair">
        <color indexed="23"/>
      </right>
      <top/>
      <bottom style="hair">
        <color indexed="23"/>
      </bottom>
      <diagonal/>
    </border>
    <border>
      <left/>
      <right style="medium">
        <color indexed="64"/>
      </right>
      <top style="hair">
        <color indexed="23"/>
      </top>
      <bottom style="hair">
        <color indexed="23"/>
      </bottom>
      <diagonal/>
    </border>
    <border>
      <left style="medium">
        <color indexed="64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 style="thin">
        <color indexed="64"/>
      </bottom>
      <diagonal/>
    </border>
    <border>
      <left/>
      <right/>
      <top style="hair">
        <color indexed="23"/>
      </top>
      <bottom style="thin">
        <color indexed="64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thin">
        <color indexed="64"/>
      </bottom>
      <diagonal/>
    </border>
    <border>
      <left/>
      <right style="medium">
        <color indexed="64"/>
      </right>
      <top style="hair">
        <color indexed="23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23"/>
      </bottom>
      <diagonal/>
    </border>
    <border>
      <left/>
      <right/>
      <top style="thin">
        <color indexed="64"/>
      </top>
      <bottom style="hair">
        <color indexed="23"/>
      </bottom>
      <diagonal/>
    </border>
    <border>
      <left/>
      <right style="medium">
        <color indexed="64"/>
      </right>
      <top style="thin">
        <color indexed="64"/>
      </top>
      <bottom style="hair">
        <color indexed="23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hair">
        <color indexed="23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hair">
        <color indexed="23"/>
      </bottom>
      <diagonal/>
    </border>
    <border>
      <left style="thin">
        <color indexed="64"/>
      </left>
      <right/>
      <top style="hair">
        <color indexed="23"/>
      </top>
      <bottom/>
      <diagonal/>
    </border>
    <border>
      <left/>
      <right/>
      <top style="hair">
        <color indexed="23"/>
      </top>
      <bottom/>
      <diagonal/>
    </border>
    <border>
      <left style="medium">
        <color indexed="64"/>
      </left>
      <right/>
      <top style="hair">
        <color indexed="55"/>
      </top>
      <bottom style="hair">
        <color indexed="55"/>
      </bottom>
      <diagonal/>
    </border>
    <border>
      <left/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55"/>
      </bottom>
      <diagonal/>
    </border>
    <border>
      <left style="hair">
        <color indexed="55"/>
      </left>
      <right/>
      <top style="hair">
        <color indexed="55"/>
      </top>
      <bottom style="hair">
        <color indexed="55"/>
      </bottom>
      <diagonal/>
    </border>
    <border>
      <left/>
      <right style="hair">
        <color indexed="55"/>
      </right>
      <top style="hair">
        <color indexed="55"/>
      </top>
      <bottom style="hair">
        <color indexed="23"/>
      </bottom>
      <diagonal/>
    </border>
    <border>
      <left style="medium">
        <color indexed="64"/>
      </left>
      <right style="hair">
        <color indexed="23"/>
      </right>
      <top/>
      <bottom/>
      <diagonal/>
    </border>
    <border>
      <left style="hair">
        <color indexed="23"/>
      </left>
      <right/>
      <top style="hair">
        <color indexed="23"/>
      </top>
      <bottom/>
      <diagonal/>
    </border>
    <border>
      <left/>
      <right style="hair">
        <color indexed="23"/>
      </right>
      <top style="hair">
        <color indexed="23"/>
      </top>
      <bottom/>
      <diagonal/>
    </border>
    <border>
      <left/>
      <right style="medium">
        <color indexed="64"/>
      </right>
      <top style="hair">
        <color indexed="23"/>
      </top>
      <bottom/>
      <diagonal/>
    </border>
    <border>
      <left style="medium">
        <color indexed="64"/>
      </left>
      <right style="hair">
        <color indexed="23"/>
      </right>
      <top/>
      <bottom style="thin">
        <color indexed="64"/>
      </bottom>
      <diagonal/>
    </border>
    <border>
      <left/>
      <right style="hair">
        <color indexed="23"/>
      </right>
      <top style="hair">
        <color indexed="23"/>
      </top>
      <bottom style="thin">
        <color indexed="64"/>
      </bottom>
      <diagonal/>
    </border>
    <border>
      <left style="hair">
        <color indexed="23"/>
      </left>
      <right/>
      <top style="hair">
        <color indexed="55"/>
      </top>
      <bottom style="thin">
        <color indexed="64"/>
      </bottom>
      <diagonal/>
    </border>
    <border>
      <left/>
      <right style="thin">
        <color indexed="64"/>
      </right>
      <top style="hair">
        <color indexed="55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hair">
        <color indexed="23"/>
      </left>
      <right/>
      <top/>
      <bottom style="hair">
        <color indexed="23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hair">
        <color indexed="23"/>
      </right>
      <top style="hair">
        <color indexed="64"/>
      </top>
      <bottom style="thin">
        <color indexed="64"/>
      </bottom>
      <diagonal/>
    </border>
    <border>
      <left style="hair">
        <color indexed="23"/>
      </left>
      <right/>
      <top style="hair">
        <color indexed="23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23"/>
      </left>
      <right style="medium">
        <color indexed="64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hair">
        <color indexed="55"/>
      </bottom>
      <diagonal/>
    </border>
    <border>
      <left/>
      <right style="hair">
        <color indexed="23"/>
      </right>
      <top/>
      <bottom style="hair">
        <color indexed="55"/>
      </bottom>
      <diagonal/>
    </border>
    <border>
      <left style="hair">
        <color indexed="23"/>
      </left>
      <right style="hair">
        <color indexed="23"/>
      </right>
      <top style="hair">
        <color indexed="23"/>
      </top>
      <bottom style="hair">
        <color indexed="55"/>
      </bottom>
      <diagonal/>
    </border>
    <border>
      <left style="medium">
        <color indexed="64"/>
      </left>
      <right style="hair">
        <color indexed="23"/>
      </right>
      <top style="medium">
        <color indexed="64"/>
      </top>
      <bottom style="hair">
        <color indexed="64"/>
      </bottom>
      <diagonal/>
    </border>
    <border>
      <left style="hair">
        <color indexed="23"/>
      </left>
      <right/>
      <top style="medium">
        <color indexed="64"/>
      </top>
      <bottom style="hair">
        <color indexed="23"/>
      </bottom>
      <diagonal/>
    </border>
    <border>
      <left/>
      <right style="hair">
        <color indexed="23"/>
      </right>
      <top style="medium">
        <color indexed="64"/>
      </top>
      <bottom style="hair">
        <color indexed="23"/>
      </bottom>
      <diagonal/>
    </border>
    <border>
      <left/>
      <right/>
      <top style="medium">
        <color indexed="64"/>
      </top>
      <bottom style="hair">
        <color indexed="23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23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23"/>
      </top>
      <bottom style="medium">
        <color indexed="64"/>
      </bottom>
      <diagonal/>
    </border>
    <border>
      <left/>
      <right style="hair">
        <color indexed="23"/>
      </right>
      <top style="hair">
        <color indexed="23"/>
      </top>
      <bottom style="medium">
        <color indexed="64"/>
      </bottom>
      <diagonal/>
    </border>
    <border>
      <left style="hair">
        <color indexed="23"/>
      </left>
      <right style="medium">
        <color indexed="64"/>
      </right>
      <top/>
      <bottom style="medium">
        <color indexed="64"/>
      </bottom>
      <diagonal/>
    </border>
    <border>
      <left/>
      <right/>
      <top style="hair">
        <color indexed="23"/>
      </top>
      <bottom style="medium">
        <color indexed="64"/>
      </bottom>
      <diagonal/>
    </border>
    <border>
      <left/>
      <right style="medium">
        <color indexed="64"/>
      </right>
      <top style="hair">
        <color indexed="23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7">
    <xf numFmtId="0" fontId="0" fillId="0" borderId="0"/>
    <xf numFmtId="0" fontId="10" fillId="0" borderId="0"/>
    <xf numFmtId="0" fontId="10" fillId="0" borderId="0"/>
    <xf numFmtId="0" fontId="1" fillId="0" borderId="0"/>
    <xf numFmtId="0" fontId="50" fillId="0" borderId="0"/>
    <xf numFmtId="0" fontId="1" fillId="0" borderId="0"/>
    <xf numFmtId="0" fontId="1" fillId="0" borderId="0"/>
  </cellStyleXfs>
  <cellXfs count="598">
    <xf numFmtId="0" fontId="0" fillId="0" borderId="0" xfId="0"/>
    <xf numFmtId="0" fontId="12" fillId="0" borderId="0" xfId="1" applyFont="1" applyFill="1"/>
    <xf numFmtId="0" fontId="13" fillId="0" borderId="0" xfId="1" applyFont="1" applyFill="1"/>
    <xf numFmtId="0" fontId="15" fillId="2" borderId="0" xfId="1" applyFont="1" applyFill="1" applyAlignment="1">
      <alignment horizontal="right"/>
    </xf>
    <xf numFmtId="0" fontId="16" fillId="2" borderId="0" xfId="1" applyFont="1" applyFill="1"/>
    <xf numFmtId="0" fontId="17" fillId="2" borderId="0" xfId="1" applyFont="1" applyFill="1"/>
    <xf numFmtId="0" fontId="14" fillId="2" borderId="0" xfId="1" applyFont="1" applyFill="1" applyAlignment="1">
      <alignment horizontal="center"/>
    </xf>
    <xf numFmtId="0" fontId="18" fillId="0" borderId="51" xfId="1" applyFont="1" applyBorder="1" applyAlignment="1">
      <alignment horizontal="left" vertical="center"/>
    </xf>
    <xf numFmtId="0" fontId="18" fillId="0" borderId="52" xfId="1" applyFont="1" applyBorder="1" applyAlignment="1">
      <alignment vertical="center"/>
    </xf>
    <xf numFmtId="0" fontId="10" fillId="0" borderId="52" xfId="1" applyBorder="1"/>
    <xf numFmtId="0" fontId="18" fillId="0" borderId="53" xfId="1" applyFont="1" applyBorder="1" applyAlignment="1">
      <alignment horizontal="right" vertical="center"/>
    </xf>
    <xf numFmtId="0" fontId="19" fillId="0" borderId="0" xfId="1" applyFont="1" applyFill="1"/>
    <xf numFmtId="0" fontId="20" fillId="0" borderId="51" xfId="1" applyFont="1" applyFill="1" applyBorder="1"/>
    <xf numFmtId="0" fontId="19" fillId="0" borderId="53" xfId="1" applyFont="1" applyFill="1" applyBorder="1"/>
    <xf numFmtId="0" fontId="20" fillId="0" borderId="53" xfId="1" applyFont="1" applyFill="1" applyBorder="1"/>
    <xf numFmtId="0" fontId="21" fillId="0" borderId="0" xfId="1" applyFont="1" applyFill="1"/>
    <xf numFmtId="0" fontId="22" fillId="2" borderId="13" xfId="1" applyFont="1" applyFill="1" applyBorder="1" applyAlignment="1">
      <alignment horizontal="center"/>
    </xf>
    <xf numFmtId="0" fontId="22" fillId="2" borderId="54" xfId="1" applyFont="1" applyFill="1" applyBorder="1" applyAlignment="1">
      <alignment horizontal="center"/>
    </xf>
    <xf numFmtId="0" fontId="22" fillId="2" borderId="0" xfId="1" quotePrefix="1" applyFont="1" applyFill="1" applyBorder="1" applyAlignment="1">
      <alignment horizontal="left"/>
    </xf>
    <xf numFmtId="0" fontId="17" fillId="2" borderId="0" xfId="1" applyFont="1" applyFill="1" applyBorder="1"/>
    <xf numFmtId="0" fontId="23" fillId="2" borderId="55" xfId="1" applyFont="1" applyFill="1" applyBorder="1" applyAlignment="1">
      <alignment horizontal="right"/>
    </xf>
    <xf numFmtId="0" fontId="22" fillId="2" borderId="56" xfId="1" applyFont="1" applyFill="1" applyBorder="1" applyAlignment="1">
      <alignment horizontal="center"/>
    </xf>
    <xf numFmtId="0" fontId="22" fillId="2" borderId="21" xfId="1" applyFont="1" applyFill="1" applyBorder="1" applyAlignment="1">
      <alignment horizontal="center"/>
    </xf>
    <xf numFmtId="0" fontId="20" fillId="0" borderId="45" xfId="1" applyFont="1" applyFill="1" applyBorder="1"/>
    <xf numFmtId="0" fontId="19" fillId="0" borderId="21" xfId="1" applyFont="1" applyFill="1" applyBorder="1"/>
    <xf numFmtId="0" fontId="20" fillId="0" borderId="21" xfId="1" applyFont="1" applyFill="1" applyBorder="1"/>
    <xf numFmtId="0" fontId="24" fillId="2" borderId="66" xfId="1" applyFont="1" applyFill="1" applyBorder="1"/>
    <xf numFmtId="0" fontId="24" fillId="2" borderId="67" xfId="1" applyFont="1" applyFill="1" applyBorder="1"/>
    <xf numFmtId="0" fontId="27" fillId="2" borderId="67" xfId="1" applyFont="1" applyFill="1" applyBorder="1"/>
    <xf numFmtId="0" fontId="27" fillId="2" borderId="68" xfId="1" applyFont="1" applyFill="1" applyBorder="1"/>
    <xf numFmtId="166" fontId="26" fillId="2" borderId="63" xfId="1" applyNumberFormat="1" applyFont="1" applyFill="1" applyBorder="1" applyAlignment="1">
      <alignment horizontal="center"/>
    </xf>
    <xf numFmtId="0" fontId="26" fillId="2" borderId="69" xfId="1" applyFont="1" applyFill="1" applyBorder="1" applyAlignment="1">
      <alignment horizontal="center"/>
    </xf>
    <xf numFmtId="0" fontId="24" fillId="2" borderId="70" xfId="1" applyFont="1" applyFill="1" applyBorder="1"/>
    <xf numFmtId="0" fontId="24" fillId="2" borderId="71" xfId="1" applyFont="1" applyFill="1" applyBorder="1"/>
    <xf numFmtId="0" fontId="27" fillId="2" borderId="71" xfId="1" applyFont="1" applyFill="1" applyBorder="1"/>
    <xf numFmtId="0" fontId="27" fillId="2" borderId="72" xfId="1" applyFont="1" applyFill="1" applyBorder="1"/>
    <xf numFmtId="1" fontId="26" fillId="2" borderId="63" xfId="1" applyNumberFormat="1" applyFont="1" applyFill="1" applyBorder="1" applyAlignment="1">
      <alignment horizontal="center"/>
    </xf>
    <xf numFmtId="0" fontId="26" fillId="2" borderId="73" xfId="1" applyFont="1" applyFill="1" applyBorder="1" applyAlignment="1">
      <alignment horizontal="center"/>
    </xf>
    <xf numFmtId="0" fontId="28" fillId="2" borderId="67" xfId="1" applyFont="1" applyFill="1" applyBorder="1"/>
    <xf numFmtId="0" fontId="29" fillId="2" borderId="68" xfId="1" applyFont="1" applyFill="1" applyBorder="1" applyAlignment="1">
      <alignment horizontal="left"/>
    </xf>
    <xf numFmtId="0" fontId="26" fillId="2" borderId="63" xfId="1" applyFont="1" applyFill="1" applyBorder="1" applyAlignment="1">
      <alignment horizontal="center"/>
    </xf>
    <xf numFmtId="0" fontId="20" fillId="0" borderId="46" xfId="1" applyFont="1" applyFill="1" applyBorder="1"/>
    <xf numFmtId="0" fontId="20" fillId="0" borderId="24" xfId="1" applyFont="1" applyFill="1" applyBorder="1"/>
    <xf numFmtId="0" fontId="24" fillId="2" borderId="75" xfId="1" applyFont="1" applyFill="1" applyBorder="1"/>
    <xf numFmtId="0" fontId="24" fillId="2" borderId="76" xfId="1" applyFont="1" applyFill="1" applyBorder="1"/>
    <xf numFmtId="0" fontId="28" fillId="2" borderId="76" xfId="1" applyFont="1" applyFill="1" applyBorder="1"/>
    <xf numFmtId="0" fontId="26" fillId="2" borderId="77" xfId="1" applyFont="1" applyFill="1" applyBorder="1" applyAlignment="1">
      <alignment horizontal="center"/>
    </xf>
    <xf numFmtId="0" fontId="26" fillId="2" borderId="78" xfId="1" applyFont="1" applyFill="1" applyBorder="1" applyAlignment="1">
      <alignment horizontal="center"/>
    </xf>
    <xf numFmtId="0" fontId="19" fillId="0" borderId="24" xfId="1" applyFont="1" applyFill="1" applyBorder="1"/>
    <xf numFmtId="0" fontId="24" fillId="2" borderId="62" xfId="1" quotePrefix="1" applyFont="1" applyFill="1" applyBorder="1" applyAlignment="1">
      <alignment horizontal="left"/>
    </xf>
    <xf numFmtId="0" fontId="21" fillId="0" borderId="68" xfId="1" applyFont="1" applyFill="1" applyBorder="1"/>
    <xf numFmtId="0" fontId="24" fillId="2" borderId="82" xfId="1" quotePrefix="1" applyFont="1" applyFill="1" applyBorder="1" applyAlignment="1">
      <alignment horizontal="left"/>
    </xf>
    <xf numFmtId="0" fontId="24" fillId="2" borderId="58" xfId="1" applyFont="1" applyFill="1" applyBorder="1"/>
    <xf numFmtId="0" fontId="27" fillId="2" borderId="58" xfId="1" applyFont="1" applyFill="1" applyBorder="1"/>
    <xf numFmtId="0" fontId="31" fillId="2" borderId="58" xfId="1" applyFont="1" applyFill="1" applyBorder="1" applyAlignment="1">
      <alignment horizontal="right"/>
    </xf>
    <xf numFmtId="49" fontId="26" fillId="2" borderId="58" xfId="1" applyNumberFormat="1" applyFont="1" applyFill="1" applyBorder="1" applyAlignment="1">
      <alignment horizontal="center"/>
    </xf>
    <xf numFmtId="0" fontId="26" fillId="2" borderId="83" xfId="1" applyFont="1" applyFill="1" applyBorder="1" applyAlignment="1">
      <alignment horizontal="center"/>
    </xf>
    <xf numFmtId="0" fontId="24" fillId="2" borderId="63" xfId="1" applyFont="1" applyFill="1" applyBorder="1"/>
    <xf numFmtId="0" fontId="27" fillId="2" borderId="63" xfId="1" applyFont="1" applyFill="1" applyBorder="1"/>
    <xf numFmtId="0" fontId="24" fillId="2" borderId="84" xfId="1" quotePrefix="1" applyFont="1" applyFill="1" applyBorder="1" applyAlignment="1">
      <alignment horizontal="left"/>
    </xf>
    <xf numFmtId="0" fontId="24" fillId="2" borderId="77" xfId="1" applyFont="1" applyFill="1" applyBorder="1"/>
    <xf numFmtId="0" fontId="27" fillId="2" borderId="77" xfId="1" applyFont="1" applyFill="1" applyBorder="1"/>
    <xf numFmtId="0" fontId="24" fillId="2" borderId="62" xfId="1" applyFont="1" applyFill="1" applyBorder="1" applyAlignment="1">
      <alignment horizontal="left"/>
    </xf>
    <xf numFmtId="0" fontId="19" fillId="2" borderId="85" xfId="1" applyFont="1" applyFill="1" applyBorder="1"/>
    <xf numFmtId="0" fontId="19" fillId="2" borderId="68" xfId="1" applyFont="1" applyFill="1" applyBorder="1"/>
    <xf numFmtId="0" fontId="24" fillId="2" borderId="62" xfId="1" applyFont="1" applyFill="1" applyBorder="1"/>
    <xf numFmtId="0" fontId="19" fillId="2" borderId="67" xfId="1" applyFont="1" applyFill="1" applyBorder="1"/>
    <xf numFmtId="0" fontId="24" fillId="2" borderId="85" xfId="1" applyFont="1" applyFill="1" applyBorder="1"/>
    <xf numFmtId="0" fontId="31" fillId="2" borderId="68" xfId="1" applyFont="1" applyFill="1" applyBorder="1" applyAlignment="1">
      <alignment horizontal="right"/>
    </xf>
    <xf numFmtId="0" fontId="24" fillId="2" borderId="57" xfId="1" quotePrefix="1" applyFont="1" applyFill="1" applyBorder="1" applyAlignment="1">
      <alignment horizontal="left"/>
    </xf>
    <xf numFmtId="0" fontId="21" fillId="0" borderId="92" xfId="1" applyFont="1" applyFill="1" applyBorder="1"/>
    <xf numFmtId="0" fontId="24" fillId="2" borderId="85" xfId="1" quotePrefix="1" applyFont="1" applyFill="1" applyBorder="1" applyAlignment="1">
      <alignment horizontal="left"/>
    </xf>
    <xf numFmtId="0" fontId="19" fillId="2" borderId="63" xfId="1" applyFont="1" applyFill="1" applyBorder="1"/>
    <xf numFmtId="0" fontId="24" fillId="2" borderId="93" xfId="1" applyFont="1" applyFill="1" applyBorder="1" applyAlignment="1">
      <alignment horizontal="left"/>
    </xf>
    <xf numFmtId="0" fontId="24" fillId="2" borderId="67" xfId="1" quotePrefix="1" applyFont="1" applyFill="1" applyBorder="1" applyAlignment="1">
      <alignment horizontal="center"/>
    </xf>
    <xf numFmtId="0" fontId="19" fillId="2" borderId="68" xfId="1" quotePrefix="1" applyFont="1" applyFill="1" applyBorder="1" applyAlignment="1">
      <alignment horizontal="center"/>
    </xf>
    <xf numFmtId="0" fontId="24" fillId="2" borderId="94" xfId="1" applyFont="1" applyFill="1" applyBorder="1"/>
    <xf numFmtId="0" fontId="21" fillId="0" borderId="95" xfId="1" applyFont="1" applyFill="1" applyBorder="1"/>
    <xf numFmtId="0" fontId="26" fillId="0" borderId="95" xfId="1" applyNumberFormat="1" applyFont="1" applyFill="1" applyBorder="1" applyAlignment="1">
      <alignment horizontal="center"/>
    </xf>
    <xf numFmtId="0" fontId="26" fillId="0" borderId="96" xfId="1" applyFont="1" applyFill="1" applyBorder="1" applyAlignment="1">
      <alignment horizontal="center"/>
    </xf>
    <xf numFmtId="0" fontId="24" fillId="2" borderId="97" xfId="1" applyFont="1" applyFill="1" applyBorder="1" applyAlignment="1">
      <alignment horizontal="center"/>
    </xf>
    <xf numFmtId="0" fontId="24" fillId="2" borderId="76" xfId="1" quotePrefix="1" applyFont="1" applyFill="1" applyBorder="1" applyAlignment="1">
      <alignment horizontal="center"/>
    </xf>
    <xf numFmtId="0" fontId="19" fillId="2" borderId="98" xfId="1" quotePrefix="1" applyFont="1" applyFill="1" applyBorder="1" applyAlignment="1">
      <alignment horizontal="center"/>
    </xf>
    <xf numFmtId="0" fontId="26" fillId="0" borderId="68" xfId="1" applyNumberFormat="1" applyFont="1" applyFill="1" applyBorder="1" applyAlignment="1">
      <alignment horizontal="center"/>
    </xf>
    <xf numFmtId="0" fontId="26" fillId="0" borderId="73" xfId="1" applyFont="1" applyFill="1" applyBorder="1" applyAlignment="1">
      <alignment horizontal="center"/>
    </xf>
    <xf numFmtId="0" fontId="26" fillId="0" borderId="46" xfId="1" applyFont="1" applyFill="1" applyBorder="1"/>
    <xf numFmtId="0" fontId="32" fillId="0" borderId="24" xfId="1" applyFont="1" applyFill="1" applyBorder="1"/>
    <xf numFmtId="0" fontId="15" fillId="0" borderId="101" xfId="1" applyFont="1" applyFill="1" applyBorder="1" applyAlignment="1">
      <alignment horizontal="left"/>
    </xf>
    <xf numFmtId="0" fontId="15" fillId="0" borderId="61" xfId="1" applyFont="1" applyFill="1" applyBorder="1" applyAlignment="1">
      <alignment horizontal="left"/>
    </xf>
    <xf numFmtId="0" fontId="34" fillId="2" borderId="102" xfId="1" applyFont="1" applyFill="1" applyBorder="1" applyAlignment="1">
      <alignment horizontal="center"/>
    </xf>
    <xf numFmtId="166" fontId="26" fillId="0" borderId="68" xfId="1" applyNumberFormat="1" applyFont="1" applyFill="1" applyBorder="1" applyAlignment="1">
      <alignment horizontal="center"/>
    </xf>
    <xf numFmtId="0" fontId="24" fillId="2" borderId="103" xfId="1" applyFont="1" applyFill="1" applyBorder="1" applyAlignment="1">
      <alignment horizontal="left"/>
    </xf>
    <xf numFmtId="0" fontId="19" fillId="2" borderId="104" xfId="1" applyFont="1" applyFill="1" applyBorder="1"/>
    <xf numFmtId="0" fontId="19" fillId="2" borderId="105" xfId="1" applyFont="1" applyFill="1" applyBorder="1"/>
    <xf numFmtId="0" fontId="26" fillId="2" borderId="106" xfId="1" applyFont="1" applyFill="1" applyBorder="1" applyAlignment="1">
      <alignment horizontal="center"/>
    </xf>
    <xf numFmtId="0" fontId="21" fillId="0" borderId="77" xfId="1" applyFont="1" applyFill="1" applyBorder="1"/>
    <xf numFmtId="0" fontId="21" fillId="0" borderId="78" xfId="1" applyFont="1" applyFill="1" applyBorder="1"/>
    <xf numFmtId="0" fontId="21" fillId="0" borderId="86" xfId="1" applyFont="1" applyFill="1" applyBorder="1"/>
    <xf numFmtId="0" fontId="24" fillId="2" borderId="95" xfId="1" applyFont="1" applyFill="1" applyBorder="1"/>
    <xf numFmtId="0" fontId="31" fillId="2" borderId="63" xfId="1" applyFont="1" applyFill="1" applyBorder="1" applyAlignment="1">
      <alignment horizontal="right" shrinkToFit="1"/>
    </xf>
    <xf numFmtId="0" fontId="26" fillId="2" borderId="108" xfId="1" applyFont="1" applyFill="1" applyBorder="1" applyAlignment="1">
      <alignment horizontal="center"/>
    </xf>
    <xf numFmtId="2" fontId="21" fillId="0" borderId="0" xfId="1" applyNumberFormat="1" applyFont="1" applyFill="1"/>
    <xf numFmtId="0" fontId="24" fillId="2" borderId="82" xfId="1" applyFont="1" applyFill="1" applyBorder="1"/>
    <xf numFmtId="0" fontId="24" fillId="2" borderId="55" xfId="1" applyFont="1" applyFill="1" applyBorder="1"/>
    <xf numFmtId="0" fontId="31" fillId="2" borderId="63" xfId="1" applyFont="1" applyFill="1" applyBorder="1" applyAlignment="1">
      <alignment horizontal="right"/>
    </xf>
    <xf numFmtId="2" fontId="26" fillId="2" borderId="63" xfId="1" applyNumberFormat="1" applyFont="1" applyFill="1" applyBorder="1" applyAlignment="1">
      <alignment horizontal="center"/>
    </xf>
    <xf numFmtId="0" fontId="31" fillId="2" borderId="55" xfId="1" applyFont="1" applyFill="1" applyBorder="1" applyAlignment="1">
      <alignment horizontal="right"/>
    </xf>
    <xf numFmtId="0" fontId="31" fillId="2" borderId="63" xfId="1" applyFont="1" applyFill="1" applyBorder="1"/>
    <xf numFmtId="0" fontId="35" fillId="0" borderId="0" xfId="1" applyFont="1" applyFill="1"/>
    <xf numFmtId="0" fontId="24" fillId="2" borderId="110" xfId="1" applyFont="1" applyFill="1" applyBorder="1"/>
    <xf numFmtId="0" fontId="24" fillId="2" borderId="111" xfId="1" applyFont="1" applyFill="1" applyBorder="1"/>
    <xf numFmtId="0" fontId="24" fillId="2" borderId="112" xfId="1" applyFont="1" applyFill="1" applyBorder="1"/>
    <xf numFmtId="0" fontId="31" fillId="2" borderId="112" xfId="1" applyFont="1" applyFill="1" applyBorder="1"/>
    <xf numFmtId="166" fontId="26" fillId="2" borderId="112" xfId="1" applyNumberFormat="1" applyFont="1" applyFill="1" applyBorder="1" applyAlignment="1">
      <alignment horizontal="center"/>
    </xf>
    <xf numFmtId="0" fontId="24" fillId="2" borderId="72" xfId="1" applyFont="1" applyFill="1" applyBorder="1"/>
    <xf numFmtId="0" fontId="24" fillId="2" borderId="102" xfId="1" applyFont="1" applyFill="1" applyBorder="1" applyAlignment="1">
      <alignment horizontal="left"/>
    </xf>
    <xf numFmtId="0" fontId="24" fillId="2" borderId="72" xfId="1" applyFont="1" applyFill="1" applyBorder="1" applyAlignment="1">
      <alignment horizontal="left"/>
    </xf>
    <xf numFmtId="1" fontId="26" fillId="2" borderId="58" xfId="1" applyNumberFormat="1" applyFont="1" applyFill="1" applyBorder="1" applyAlignment="1">
      <alignment horizontal="center"/>
    </xf>
    <xf numFmtId="0" fontId="36" fillId="0" borderId="0" xfId="1" quotePrefix="1" applyFont="1" applyFill="1" applyAlignment="1">
      <alignment horizontal="left"/>
    </xf>
    <xf numFmtId="0" fontId="21" fillId="0" borderId="0" xfId="2" applyFont="1" applyFill="1"/>
    <xf numFmtId="0" fontId="24" fillId="2" borderId="0" xfId="1" applyFont="1" applyFill="1" applyBorder="1"/>
    <xf numFmtId="0" fontId="24" fillId="2" borderId="85" xfId="1" applyFont="1" applyFill="1" applyBorder="1" applyAlignment="1">
      <alignment horizontal="left"/>
    </xf>
    <xf numFmtId="0" fontId="24" fillId="2" borderId="68" xfId="1" applyFont="1" applyFill="1" applyBorder="1" applyAlignment="1">
      <alignment horizontal="left"/>
    </xf>
    <xf numFmtId="166" fontId="26" fillId="2" borderId="69" xfId="1" applyNumberFormat="1" applyFont="1" applyFill="1" applyBorder="1" applyAlignment="1">
      <alignment horizontal="center"/>
    </xf>
    <xf numFmtId="1" fontId="21" fillId="0" borderId="0" xfId="1" applyNumberFormat="1" applyFont="1" applyFill="1"/>
    <xf numFmtId="0" fontId="24" fillId="2" borderId="40" xfId="1" applyFont="1" applyFill="1" applyBorder="1"/>
    <xf numFmtId="0" fontId="24" fillId="2" borderId="106" xfId="1" applyFont="1" applyFill="1" applyBorder="1" applyAlignment="1">
      <alignment horizontal="left"/>
    </xf>
    <xf numFmtId="0" fontId="24" fillId="2" borderId="98" xfId="1" applyFont="1" applyFill="1" applyBorder="1" applyAlignment="1">
      <alignment horizontal="left"/>
    </xf>
    <xf numFmtId="1" fontId="26" fillId="2" borderId="77" xfId="1" applyNumberFormat="1" applyFont="1" applyFill="1" applyBorder="1" applyAlignment="1">
      <alignment horizontal="center"/>
    </xf>
    <xf numFmtId="0" fontId="15" fillId="2" borderId="79" xfId="1" applyFont="1" applyFill="1" applyBorder="1" applyAlignment="1">
      <alignment horizontal="left"/>
    </xf>
    <xf numFmtId="0" fontId="15" fillId="2" borderId="80" xfId="1" applyFont="1" applyFill="1" applyBorder="1" applyAlignment="1">
      <alignment horizontal="left"/>
    </xf>
    <xf numFmtId="0" fontId="15" fillId="2" borderId="81" xfId="1" applyFont="1" applyFill="1" applyBorder="1" applyAlignment="1">
      <alignment horizontal="left"/>
    </xf>
    <xf numFmtId="0" fontId="17" fillId="2" borderId="82" xfId="1" applyFont="1" applyFill="1" applyBorder="1"/>
    <xf numFmtId="0" fontId="21" fillId="2" borderId="71" xfId="1" applyFont="1" applyFill="1" applyBorder="1" applyAlignment="1">
      <alignment horizontal="left"/>
    </xf>
    <xf numFmtId="0" fontId="21" fillId="2" borderId="83" xfId="1" applyFont="1" applyFill="1" applyBorder="1" applyAlignment="1">
      <alignment horizontal="left"/>
    </xf>
    <xf numFmtId="0" fontId="17" fillId="2" borderId="67" xfId="1" applyFont="1" applyFill="1" applyBorder="1" applyAlignment="1">
      <alignment horizontal="left"/>
    </xf>
    <xf numFmtId="0" fontId="17" fillId="2" borderId="73" xfId="1" applyFont="1" applyFill="1" applyBorder="1" applyAlignment="1">
      <alignment horizontal="left"/>
    </xf>
    <xf numFmtId="0" fontId="37" fillId="0" borderId="0" xfId="1" applyFont="1" applyFill="1"/>
    <xf numFmtId="0" fontId="24" fillId="0" borderId="113" xfId="1" applyFont="1" applyFill="1" applyBorder="1"/>
    <xf numFmtId="0" fontId="24" fillId="2" borderId="116" xfId="1" applyFont="1" applyFill="1" applyBorder="1"/>
    <xf numFmtId="0" fontId="38" fillId="2" borderId="117" xfId="1" applyFont="1" applyFill="1" applyBorder="1" applyAlignment="1">
      <alignment horizontal="center" shrinkToFit="1"/>
    </xf>
    <xf numFmtId="0" fontId="17" fillId="2" borderId="45" xfId="1" applyFont="1" applyFill="1" applyBorder="1"/>
    <xf numFmtId="0" fontId="24" fillId="2" borderId="118" xfId="1" applyFont="1" applyFill="1" applyBorder="1"/>
    <xf numFmtId="0" fontId="24" fillId="2" borderId="23" xfId="1" applyFont="1" applyFill="1" applyBorder="1"/>
    <xf numFmtId="14" fontId="19" fillId="2" borderId="121" xfId="1" applyNumberFormat="1" applyFont="1" applyFill="1" applyBorder="1" applyAlignment="1">
      <alignment horizontal="center"/>
    </xf>
    <xf numFmtId="0" fontId="17" fillId="0" borderId="23" xfId="1" applyFont="1" applyFill="1" applyBorder="1"/>
    <xf numFmtId="0" fontId="17" fillId="2" borderId="122" xfId="1" applyFont="1" applyFill="1" applyBorder="1" applyAlignment="1">
      <alignment horizontal="left"/>
    </xf>
    <xf numFmtId="0" fontId="17" fillId="2" borderId="123" xfId="1" applyFont="1" applyFill="1" applyBorder="1" applyAlignment="1">
      <alignment horizontal="left"/>
    </xf>
    <xf numFmtId="0" fontId="17" fillId="0" borderId="0" xfId="1" applyFont="1" applyFill="1"/>
    <xf numFmtId="0" fontId="17" fillId="0" borderId="0" xfId="1" applyFont="1" applyFill="1" applyBorder="1"/>
    <xf numFmtId="0" fontId="1" fillId="0" borderId="6" xfId="3" applyBorder="1"/>
    <xf numFmtId="0" fontId="1" fillId="0" borderId="7" xfId="3" applyBorder="1"/>
    <xf numFmtId="0" fontId="1" fillId="0" borderId="41" xfId="3" applyBorder="1"/>
    <xf numFmtId="0" fontId="1" fillId="0" borderId="41" xfId="3" applyBorder="1" applyAlignment="1">
      <alignment horizontal="center"/>
    </xf>
    <xf numFmtId="0" fontId="41" fillId="0" borderId="41" xfId="3" applyFont="1" applyBorder="1" applyAlignment="1">
      <alignment horizontal="center"/>
    </xf>
    <xf numFmtId="0" fontId="1" fillId="0" borderId="0" xfId="3"/>
    <xf numFmtId="0" fontId="42" fillId="0" borderId="124" xfId="3" applyFont="1" applyBorder="1" applyAlignment="1">
      <alignment horizontal="center"/>
    </xf>
    <xf numFmtId="0" fontId="1" fillId="0" borderId="124" xfId="3" applyBorder="1" applyAlignment="1">
      <alignment horizontal="center"/>
    </xf>
    <xf numFmtId="0" fontId="41" fillId="0" borderId="124" xfId="3" applyFont="1" applyBorder="1" applyAlignment="1">
      <alignment horizontal="center"/>
    </xf>
    <xf numFmtId="0" fontId="42" fillId="0" borderId="45" xfId="3" applyFont="1" applyBorder="1" applyAlignment="1">
      <alignment horizontal="center"/>
    </xf>
    <xf numFmtId="0" fontId="42" fillId="0" borderId="0" xfId="3" applyFont="1" applyBorder="1" applyAlignment="1">
      <alignment horizontal="center"/>
    </xf>
    <xf numFmtId="0" fontId="1" fillId="0" borderId="45" xfId="3" applyBorder="1"/>
    <xf numFmtId="0" fontId="43" fillId="0" borderId="0" xfId="3" applyFont="1"/>
    <xf numFmtId="0" fontId="1" fillId="0" borderId="124" xfId="3" applyBorder="1"/>
    <xf numFmtId="0" fontId="41" fillId="0" borderId="0" xfId="3" applyFont="1"/>
    <xf numFmtId="0" fontId="41" fillId="0" borderId="124" xfId="3" applyFont="1" applyBorder="1"/>
    <xf numFmtId="169" fontId="1" fillId="0" borderId="3" xfId="3" applyNumberFormat="1" applyBorder="1"/>
    <xf numFmtId="49" fontId="1" fillId="0" borderId="1" xfId="3" applyNumberFormat="1" applyBorder="1" applyAlignment="1">
      <alignment horizontal="center"/>
    </xf>
    <xf numFmtId="49" fontId="1" fillId="0" borderId="1" xfId="3" applyNumberFormat="1" applyBorder="1"/>
    <xf numFmtId="49" fontId="41" fillId="0" borderId="1" xfId="3" applyNumberFormat="1" applyFont="1" applyBorder="1"/>
    <xf numFmtId="170" fontId="41" fillId="0" borderId="1" xfId="3" applyNumberFormat="1" applyFont="1" applyBorder="1"/>
    <xf numFmtId="0" fontId="1" fillId="0" borderId="1" xfId="3" applyBorder="1"/>
    <xf numFmtId="0" fontId="1" fillId="0" borderId="9" xfId="3" applyBorder="1"/>
    <xf numFmtId="170" fontId="1" fillId="0" borderId="1" xfId="3" applyNumberFormat="1" applyBorder="1"/>
    <xf numFmtId="0" fontId="1" fillId="0" borderId="1" xfId="3" applyBorder="1" applyAlignment="1">
      <alignment horizontal="center"/>
    </xf>
    <xf numFmtId="169" fontId="1" fillId="0" borderId="18" xfId="3" applyNumberFormat="1" applyBorder="1"/>
    <xf numFmtId="49" fontId="1" fillId="0" borderId="26" xfId="3" applyNumberFormat="1" applyBorder="1"/>
    <xf numFmtId="170" fontId="1" fillId="0" borderId="26" xfId="3" applyNumberFormat="1" applyBorder="1"/>
    <xf numFmtId="0" fontId="1" fillId="0" borderId="26" xfId="3" applyBorder="1"/>
    <xf numFmtId="0" fontId="1" fillId="0" borderId="125" xfId="3" applyBorder="1"/>
    <xf numFmtId="0" fontId="41" fillId="0" borderId="126" xfId="3" applyFont="1" applyBorder="1" applyAlignment="1">
      <alignment horizontal="center"/>
    </xf>
    <xf numFmtId="0" fontId="41" fillId="0" borderId="127" xfId="3" applyFont="1" applyBorder="1" applyAlignment="1">
      <alignment horizontal="center"/>
    </xf>
    <xf numFmtId="49" fontId="41" fillId="0" borderId="2" xfId="3" applyNumberFormat="1" applyFont="1" applyBorder="1" applyAlignment="1">
      <alignment horizontal="center"/>
    </xf>
    <xf numFmtId="0" fontId="1" fillId="0" borderId="54" xfId="3" applyBorder="1" applyAlignment="1">
      <alignment horizontal="left"/>
    </xf>
    <xf numFmtId="49" fontId="1" fillId="0" borderId="3" xfId="3" applyNumberFormat="1" applyBorder="1"/>
    <xf numFmtId="0" fontId="1" fillId="0" borderId="129" xfId="3" applyBorder="1" applyAlignment="1">
      <alignment horizontal="left"/>
    </xf>
    <xf numFmtId="49" fontId="1" fillId="0" borderId="4" xfId="3" applyNumberFormat="1" applyBorder="1"/>
    <xf numFmtId="0" fontId="1" fillId="0" borderId="131" xfId="3" applyBorder="1" applyAlignment="1">
      <alignment horizontal="left"/>
    </xf>
    <xf numFmtId="166" fontId="2" fillId="0" borderId="0" xfId="0" applyNumberFormat="1" applyFont="1" applyBorder="1" applyAlignment="1">
      <alignment horizontal="center"/>
    </xf>
    <xf numFmtId="0" fontId="47" fillId="0" borderId="60" xfId="0" applyFont="1" applyBorder="1"/>
    <xf numFmtId="0" fontId="47" fillId="0" borderId="61" xfId="0" applyFont="1" applyBorder="1"/>
    <xf numFmtId="0" fontId="47" fillId="0" borderId="38" xfId="0" applyFont="1" applyBorder="1"/>
    <xf numFmtId="0" fontId="48" fillId="0" borderId="82" xfId="0" applyFont="1" applyBorder="1" applyAlignment="1">
      <alignment horizontal="centerContinuous"/>
    </xf>
    <xf numFmtId="0" fontId="47" fillId="0" borderId="0" xfId="0" applyFont="1" applyBorder="1" applyAlignment="1">
      <alignment horizontal="centerContinuous"/>
    </xf>
    <xf numFmtId="0" fontId="47" fillId="0" borderId="107" xfId="0" applyFont="1" applyBorder="1" applyAlignment="1">
      <alignment horizontal="centerContinuous"/>
    </xf>
    <xf numFmtId="0" fontId="49" fillId="0" borderId="82" xfId="0" applyFont="1" applyBorder="1" applyAlignment="1">
      <alignment horizontal="centerContinuous"/>
    </xf>
    <xf numFmtId="0" fontId="47" fillId="0" borderId="82" xfId="0" applyFont="1" applyBorder="1"/>
    <xf numFmtId="0" fontId="47" fillId="0" borderId="0" xfId="0" applyFont="1" applyBorder="1"/>
    <xf numFmtId="0" fontId="47" fillId="0" borderId="107" xfId="0" applyFont="1" applyBorder="1"/>
    <xf numFmtId="0" fontId="45" fillId="0" borderId="1" xfId="0" applyFont="1" applyBorder="1" applyAlignment="1">
      <alignment horizontal="right"/>
    </xf>
    <xf numFmtId="0" fontId="47" fillId="0" borderId="1" xfId="0" applyFont="1" applyBorder="1" applyAlignment="1">
      <alignment horizontal="center"/>
    </xf>
    <xf numFmtId="14" fontId="47" fillId="0" borderId="1" xfId="0" applyNumberFormat="1" applyFont="1" applyBorder="1" applyAlignment="1">
      <alignment horizontal="center"/>
    </xf>
    <xf numFmtId="0" fontId="45" fillId="0" borderId="0" xfId="0" applyFont="1" applyBorder="1" applyAlignment="1">
      <alignment horizontal="right"/>
    </xf>
    <xf numFmtId="0" fontId="47" fillId="0" borderId="0" xfId="0" applyFont="1" applyBorder="1" applyAlignment="1">
      <alignment horizontal="center"/>
    </xf>
    <xf numFmtId="9" fontId="47" fillId="0" borderId="0" xfId="0" applyNumberFormat="1" applyFont="1" applyBorder="1" applyAlignment="1">
      <alignment horizontal="center"/>
    </xf>
    <xf numFmtId="0" fontId="45" fillId="0" borderId="82" xfId="0" applyFont="1" applyBorder="1" applyAlignment="1">
      <alignment horizontal="right"/>
    </xf>
    <xf numFmtId="0" fontId="47" fillId="0" borderId="40" xfId="0" applyFont="1" applyBorder="1"/>
    <xf numFmtId="0" fontId="47" fillId="0" borderId="39" xfId="0" applyFont="1" applyBorder="1" applyAlignment="1">
      <alignment horizontal="center"/>
    </xf>
    <xf numFmtId="0" fontId="47" fillId="0" borderId="84" xfId="0" applyFont="1" applyBorder="1"/>
    <xf numFmtId="0" fontId="45" fillId="0" borderId="17" xfId="0" applyFont="1" applyBorder="1" applyAlignment="1">
      <alignment horizontal="right"/>
    </xf>
    <xf numFmtId="0" fontId="47" fillId="0" borderId="129" xfId="0" applyFont="1" applyBorder="1"/>
    <xf numFmtId="166" fontId="3" fillId="0" borderId="0" xfId="0" quotePrefix="1" applyNumberFormat="1" applyFont="1" applyBorder="1" applyAlignment="1">
      <alignment horizontal="center"/>
    </xf>
    <xf numFmtId="166" fontId="3" fillId="0" borderId="0" xfId="0" applyNumberFormat="1" applyFont="1" applyBorder="1" applyAlignment="1">
      <alignment horizontal="center"/>
    </xf>
    <xf numFmtId="0" fontId="6" fillId="0" borderId="0" xfId="4" applyFont="1" applyAlignment="1">
      <alignment horizontal="right"/>
    </xf>
    <xf numFmtId="0" fontId="50" fillId="0" borderId="0" xfId="4"/>
    <xf numFmtId="0" fontId="11" fillId="0" borderId="0" xfId="4" applyFont="1"/>
    <xf numFmtId="0" fontId="44" fillId="0" borderId="0" xfId="4" applyFont="1"/>
    <xf numFmtId="0" fontId="51" fillId="0" borderId="26" xfId="4" applyFont="1" applyBorder="1" applyAlignment="1">
      <alignment horizontal="center"/>
    </xf>
    <xf numFmtId="0" fontId="51" fillId="0" borderId="28" xfId="4" applyFont="1" applyBorder="1" applyAlignment="1">
      <alignment horizontal="center"/>
    </xf>
    <xf numFmtId="0" fontId="44" fillId="0" borderId="1" xfId="4" applyFont="1" applyBorder="1" applyAlignment="1">
      <alignment horizontal="center"/>
    </xf>
    <xf numFmtId="0" fontId="51" fillId="0" borderId="1" xfId="4" applyFont="1" applyBorder="1" applyAlignment="1">
      <alignment horizontal="right"/>
    </xf>
    <xf numFmtId="0" fontId="51" fillId="0" borderId="1" xfId="4" applyFont="1" applyBorder="1" applyAlignment="1">
      <alignment horizontal="center"/>
    </xf>
    <xf numFmtId="0" fontId="44" fillId="0" borderId="128" xfId="4" applyFont="1" applyBorder="1" applyAlignment="1">
      <alignment horizontal="center"/>
    </xf>
    <xf numFmtId="0" fontId="44" fillId="0" borderId="129" xfId="4" quotePrefix="1" applyFont="1" applyBorder="1" applyAlignment="1">
      <alignment horizontal="center"/>
    </xf>
    <xf numFmtId="0" fontId="44" fillId="0" borderId="129" xfId="4" applyFont="1" applyBorder="1" applyAlignment="1">
      <alignment horizontal="center"/>
    </xf>
    <xf numFmtId="0" fontId="51" fillId="0" borderId="0" xfId="4" applyFont="1" applyAlignment="1">
      <alignment horizontal="right"/>
    </xf>
    <xf numFmtId="0" fontId="47" fillId="0" borderId="60" xfId="4" applyFont="1" applyBorder="1"/>
    <xf numFmtId="0" fontId="47" fillId="0" borderId="61" xfId="4" applyFont="1" applyBorder="1"/>
    <xf numFmtId="0" fontId="47" fillId="0" borderId="38" xfId="4" applyFont="1" applyBorder="1"/>
    <xf numFmtId="0" fontId="48" fillId="0" borderId="82" xfId="4" applyFont="1" applyBorder="1" applyAlignment="1">
      <alignment horizontal="centerContinuous"/>
    </xf>
    <xf numFmtId="0" fontId="47" fillId="0" borderId="0" xfId="4" applyFont="1" applyBorder="1" applyAlignment="1">
      <alignment horizontal="centerContinuous"/>
    </xf>
    <xf numFmtId="0" fontId="47" fillId="0" borderId="107" xfId="4" applyFont="1" applyBorder="1" applyAlignment="1">
      <alignment horizontal="centerContinuous"/>
    </xf>
    <xf numFmtId="0" fontId="47" fillId="0" borderId="82" xfId="4" applyFont="1" applyBorder="1"/>
    <xf numFmtId="0" fontId="47" fillId="0" borderId="0" xfId="4" applyFont="1" applyBorder="1"/>
    <xf numFmtId="0" fontId="47" fillId="0" borderId="107" xfId="4" applyFont="1" applyBorder="1"/>
    <xf numFmtId="0" fontId="45" fillId="0" borderId="1" xfId="4" applyFont="1" applyBorder="1" applyAlignment="1">
      <alignment horizontal="right"/>
    </xf>
    <xf numFmtId="0" fontId="47" fillId="0" borderId="1" xfId="4" applyFont="1" applyBorder="1" applyAlignment="1">
      <alignment horizontal="center"/>
    </xf>
    <xf numFmtId="14" fontId="47" fillId="0" borderId="1" xfId="4" applyNumberFormat="1" applyFont="1" applyBorder="1" applyAlignment="1">
      <alignment horizontal="center"/>
    </xf>
    <xf numFmtId="0" fontId="45" fillId="0" borderId="0" xfId="4" applyFont="1" applyBorder="1" applyAlignment="1">
      <alignment horizontal="right"/>
    </xf>
    <xf numFmtId="0" fontId="47" fillId="0" borderId="0" xfId="4" applyFont="1" applyBorder="1" applyAlignment="1">
      <alignment horizontal="center"/>
    </xf>
    <xf numFmtId="9" fontId="47" fillId="0" borderId="0" xfId="4" applyNumberFormat="1" applyFont="1" applyBorder="1" applyAlignment="1">
      <alignment horizontal="center"/>
    </xf>
    <xf numFmtId="0" fontId="45" fillId="0" borderId="82" xfId="4" applyFont="1" applyBorder="1" applyAlignment="1">
      <alignment horizontal="right"/>
    </xf>
    <xf numFmtId="0" fontId="47" fillId="0" borderId="40" xfId="4" applyFont="1" applyBorder="1"/>
    <xf numFmtId="0" fontId="47" fillId="0" borderId="39" xfId="4" applyFont="1" applyBorder="1" applyAlignment="1">
      <alignment horizontal="center"/>
    </xf>
    <xf numFmtId="0" fontId="47" fillId="0" borderId="84" xfId="4" applyFont="1" applyBorder="1"/>
    <xf numFmtId="0" fontId="45" fillId="0" borderId="17" xfId="4" applyFont="1" applyBorder="1" applyAlignment="1">
      <alignment horizontal="right"/>
    </xf>
    <xf numFmtId="0" fontId="47" fillId="0" borderId="129" xfId="4" applyFont="1" applyBorder="1"/>
    <xf numFmtId="0" fontId="53" fillId="0" borderId="0" xfId="4" applyFont="1"/>
    <xf numFmtId="0" fontId="50" fillId="0" borderId="0" xfId="4" applyBorder="1"/>
    <xf numFmtId="0" fontId="54" fillId="0" borderId="0" xfId="4" applyFont="1" applyFill="1" applyBorder="1"/>
    <xf numFmtId="0" fontId="50" fillId="0" borderId="0" xfId="4" applyFont="1" applyFill="1" applyBorder="1"/>
    <xf numFmtId="0" fontId="2" fillId="0" borderId="1" xfId="4" applyFont="1" applyBorder="1" applyAlignment="1">
      <alignment horizontal="center"/>
    </xf>
    <xf numFmtId="1" fontId="2" fillId="2" borderId="1" xfId="4" applyNumberFormat="1" applyFont="1" applyFill="1" applyBorder="1" applyAlignment="1">
      <alignment horizontal="center"/>
    </xf>
    <xf numFmtId="2" fontId="2" fillId="2" borderId="1" xfId="4" applyNumberFormat="1" applyFont="1" applyFill="1" applyBorder="1" applyAlignment="1">
      <alignment horizontal="center"/>
    </xf>
    <xf numFmtId="0" fontId="2" fillId="2" borderId="1" xfId="4" applyFont="1" applyFill="1" applyBorder="1" applyAlignment="1">
      <alignment horizontal="center"/>
    </xf>
    <xf numFmtId="0" fontId="45" fillId="0" borderId="0" xfId="4" applyFont="1" applyAlignment="1">
      <alignment horizontal="right"/>
    </xf>
    <xf numFmtId="0" fontId="6" fillId="0" borderId="0" xfId="4" applyFont="1"/>
    <xf numFmtId="0" fontId="45" fillId="0" borderId="0" xfId="4" applyFont="1"/>
    <xf numFmtId="0" fontId="47" fillId="0" borderId="0" xfId="4" applyFont="1"/>
    <xf numFmtId="0" fontId="18" fillId="0" borderId="17" xfId="4" applyFont="1" applyBorder="1" applyAlignment="1">
      <alignment horizontal="right"/>
    </xf>
    <xf numFmtId="0" fontId="18" fillId="0" borderId="129" xfId="4" applyFont="1" applyBorder="1" applyAlignment="1">
      <alignment horizontal="left"/>
    </xf>
    <xf numFmtId="0" fontId="18" fillId="0" borderId="129" xfId="4" quotePrefix="1" applyFont="1" applyBorder="1" applyAlignment="1">
      <alignment horizontal="left"/>
    </xf>
    <xf numFmtId="0" fontId="1" fillId="0" borderId="0" xfId="5"/>
    <xf numFmtId="166" fontId="2" fillId="0" borderId="0" xfId="5" applyNumberFormat="1" applyFont="1" applyAlignment="1">
      <alignment horizontal="center"/>
    </xf>
    <xf numFmtId="0" fontId="2" fillId="0" borderId="0" xfId="5" applyFont="1"/>
    <xf numFmtId="0" fontId="5" fillId="0" borderId="0" xfId="5" applyFont="1"/>
    <xf numFmtId="0" fontId="5" fillId="0" borderId="24" xfId="5" applyFont="1" applyBorder="1"/>
    <xf numFmtId="0" fontId="5" fillId="0" borderId="23" xfId="5" applyFont="1" applyBorder="1"/>
    <xf numFmtId="0" fontId="5" fillId="0" borderId="46" xfId="5" applyFont="1" applyBorder="1"/>
    <xf numFmtId="166" fontId="2" fillId="0" borderId="23" xfId="5" applyNumberFormat="1" applyFont="1" applyFill="1" applyBorder="1" applyAlignment="1">
      <alignment horizontal="centerContinuous"/>
    </xf>
    <xf numFmtId="2" fontId="3" fillId="0" borderId="23" xfId="5" applyNumberFormat="1" applyFont="1" applyFill="1" applyBorder="1" applyAlignment="1">
      <alignment horizontal="right"/>
    </xf>
    <xf numFmtId="166" fontId="2" fillId="0" borderId="37" xfId="5" applyNumberFormat="1" applyFont="1" applyBorder="1" applyAlignment="1">
      <alignment horizontal="center"/>
    </xf>
    <xf numFmtId="166" fontId="2" fillId="0" borderId="36" xfId="5" applyNumberFormat="1" applyFont="1" applyBorder="1" applyAlignment="1">
      <alignment horizontal="center"/>
    </xf>
    <xf numFmtId="2" fontId="3" fillId="0" borderId="47" xfId="5" quotePrefix="1" applyNumberFormat="1" applyFont="1" applyBorder="1" applyAlignment="1">
      <alignment horizontal="center"/>
    </xf>
    <xf numFmtId="0" fontId="5" fillId="0" borderId="21" xfId="5" applyFont="1" applyBorder="1"/>
    <xf numFmtId="0" fontId="5" fillId="0" borderId="0" xfId="5" applyFont="1" applyBorder="1"/>
    <xf numFmtId="0" fontId="5" fillId="0" borderId="45" xfId="5" applyFont="1" applyBorder="1"/>
    <xf numFmtId="166" fontId="2" fillId="0" borderId="0" xfId="5" applyNumberFormat="1" applyFont="1" applyBorder="1" applyAlignment="1">
      <alignment horizontal="centerContinuous"/>
    </xf>
    <xf numFmtId="166" fontId="2" fillId="0" borderId="0" xfId="5" applyNumberFormat="1" applyFont="1" applyFill="1" applyBorder="1" applyAlignment="1">
      <alignment horizontal="centerContinuous"/>
    </xf>
    <xf numFmtId="2" fontId="3" fillId="0" borderId="0" xfId="5" applyNumberFormat="1" applyFont="1" applyFill="1" applyBorder="1" applyAlignment="1">
      <alignment horizontal="right"/>
    </xf>
    <xf numFmtId="166" fontId="2" fillId="0" borderId="35" xfId="5" applyNumberFormat="1" applyFont="1" applyBorder="1" applyAlignment="1">
      <alignment horizontal="center"/>
    </xf>
    <xf numFmtId="166" fontId="2" fillId="0" borderId="30" xfId="5" applyNumberFormat="1" applyFont="1" applyBorder="1" applyAlignment="1">
      <alignment horizontal="center"/>
    </xf>
    <xf numFmtId="2" fontId="3" fillId="0" borderId="20" xfId="5" quotePrefix="1" applyNumberFormat="1" applyFont="1" applyBorder="1" applyAlignment="1">
      <alignment horizontal="center"/>
    </xf>
    <xf numFmtId="166" fontId="9" fillId="0" borderId="40" xfId="5" applyNumberFormat="1" applyFont="1" applyFill="1" applyBorder="1" applyAlignment="1">
      <alignment horizontal="left"/>
    </xf>
    <xf numFmtId="2" fontId="4" fillId="0" borderId="40" xfId="5" applyNumberFormat="1" applyFont="1" applyFill="1" applyBorder="1" applyAlignment="1">
      <alignment horizontal="left"/>
    </xf>
    <xf numFmtId="166" fontId="2" fillId="0" borderId="132" xfId="5" applyNumberFormat="1" applyFont="1" applyFill="1" applyBorder="1" applyAlignment="1">
      <alignment horizontal="center"/>
    </xf>
    <xf numFmtId="166" fontId="2" fillId="0" borderId="36" xfId="5" applyNumberFormat="1" applyFont="1" applyFill="1" applyBorder="1" applyAlignment="1">
      <alignment horizontal="center"/>
    </xf>
    <xf numFmtId="2" fontId="3" fillId="0" borderId="36" xfId="5" applyNumberFormat="1" applyFont="1" applyFill="1" applyBorder="1" applyAlignment="1">
      <alignment horizontal="center"/>
    </xf>
    <xf numFmtId="2" fontId="3" fillId="0" borderId="30" xfId="5" applyNumberFormat="1" applyFont="1" applyBorder="1" applyAlignment="1">
      <alignment horizontal="center"/>
    </xf>
    <xf numFmtId="2" fontId="3" fillId="0" borderId="30" xfId="5" quotePrefix="1" applyNumberFormat="1" applyFont="1" applyBorder="1" applyAlignment="1">
      <alignment horizontal="center"/>
    </xf>
    <xf numFmtId="165" fontId="3" fillId="0" borderId="20" xfId="5" quotePrefix="1" applyNumberFormat="1" applyFont="1" applyBorder="1" applyAlignment="1">
      <alignment horizontal="center"/>
    </xf>
    <xf numFmtId="0" fontId="3" fillId="0" borderId="9" xfId="5" applyFont="1" applyBorder="1" applyAlignment="1">
      <alignment horizontal="center"/>
    </xf>
    <xf numFmtId="0" fontId="3" fillId="0" borderId="1" xfId="5" applyFont="1" applyBorder="1" applyAlignment="1">
      <alignment horizontal="center"/>
    </xf>
    <xf numFmtId="0" fontId="3" fillId="0" borderId="3" xfId="5" applyFont="1" applyBorder="1" applyAlignment="1">
      <alignment horizontal="center"/>
    </xf>
    <xf numFmtId="0" fontId="5" fillId="0" borderId="14" xfId="5" applyFont="1" applyBorder="1"/>
    <xf numFmtId="0" fontId="5" fillId="0" borderId="13" xfId="5" applyFont="1" applyBorder="1"/>
    <xf numFmtId="0" fontId="5" fillId="0" borderId="12" xfId="5" applyFont="1" applyBorder="1"/>
    <xf numFmtId="0" fontId="2" fillId="0" borderId="14" xfId="5" applyFont="1" applyBorder="1"/>
    <xf numFmtId="0" fontId="2" fillId="0" borderId="13" xfId="5" applyFont="1" applyBorder="1"/>
    <xf numFmtId="0" fontId="4" fillId="0" borderId="12" xfId="5" applyFont="1" applyBorder="1"/>
    <xf numFmtId="0" fontId="2" fillId="0" borderId="24" xfId="5" applyFont="1" applyBorder="1" applyAlignment="1">
      <alignment horizontal="center"/>
    </xf>
    <xf numFmtId="0" fontId="2" fillId="0" borderId="23" xfId="5" applyFont="1" applyBorder="1" applyAlignment="1">
      <alignment horizontal="center"/>
    </xf>
    <xf numFmtId="165" fontId="2" fillId="0" borderId="11" xfId="5" applyNumberFormat="1" applyFont="1" applyBorder="1" applyAlignment="1">
      <alignment horizontal="center"/>
    </xf>
    <xf numFmtId="0" fontId="3" fillId="0" borderId="11" xfId="5" applyFont="1" applyBorder="1" applyAlignment="1">
      <alignment horizontal="right"/>
    </xf>
    <xf numFmtId="2" fontId="2" fillId="0" borderId="33" xfId="5" applyNumberFormat="1" applyFont="1" applyBorder="1" applyAlignment="1">
      <alignment horizontal="center"/>
    </xf>
    <xf numFmtId="2" fontId="2" fillId="0" borderId="11" xfId="5" applyNumberFormat="1" applyFont="1" applyBorder="1" applyAlignment="1">
      <alignment horizontal="center"/>
    </xf>
    <xf numFmtId="0" fontId="3" fillId="0" borderId="4" xfId="5" applyFont="1" applyBorder="1" applyAlignment="1">
      <alignment horizontal="right"/>
    </xf>
    <xf numFmtId="0" fontId="2" fillId="0" borderId="21" xfId="5" applyFont="1" applyBorder="1"/>
    <xf numFmtId="0" fontId="3" fillId="0" borderId="0" xfId="5" applyFont="1" applyBorder="1" applyAlignment="1">
      <alignment horizontal="left"/>
    </xf>
    <xf numFmtId="2" fontId="2" fillId="0" borderId="1" xfId="5" applyNumberFormat="1" applyFont="1" applyBorder="1" applyAlignment="1">
      <alignment horizontal="center"/>
    </xf>
    <xf numFmtId="0" fontId="3" fillId="0" borderId="1" xfId="5" applyFont="1" applyBorder="1" applyAlignment="1">
      <alignment horizontal="right"/>
    </xf>
    <xf numFmtId="2" fontId="2" fillId="0" borderId="9" xfId="5" applyNumberFormat="1" applyFont="1" applyBorder="1" applyAlignment="1">
      <alignment horizontal="center"/>
    </xf>
    <xf numFmtId="0" fontId="3" fillId="0" borderId="3" xfId="5" applyFont="1" applyBorder="1" applyAlignment="1">
      <alignment horizontal="right"/>
    </xf>
    <xf numFmtId="0" fontId="2" fillId="0" borderId="29" xfId="5" applyFont="1" applyBorder="1" applyAlignment="1">
      <alignment horizontal="center"/>
    </xf>
    <xf numFmtId="0" fontId="2" fillId="0" borderId="40" xfId="5" applyFont="1" applyBorder="1" applyAlignment="1">
      <alignment horizontal="center"/>
    </xf>
    <xf numFmtId="166" fontId="2" fillId="0" borderId="1" xfId="5" applyNumberFormat="1" applyFont="1" applyBorder="1" applyAlignment="1">
      <alignment horizontal="center"/>
    </xf>
    <xf numFmtId="165" fontId="2" fillId="0" borderId="1" xfId="5" applyNumberFormat="1" applyFont="1" applyBorder="1" applyAlignment="1">
      <alignment horizontal="center"/>
    </xf>
    <xf numFmtId="0" fontId="2" fillId="0" borderId="29" xfId="5" applyFont="1" applyBorder="1" applyAlignment="1">
      <alignment horizontal="centerContinuous"/>
    </xf>
    <xf numFmtId="2" fontId="2" fillId="0" borderId="40" xfId="5" applyNumberFormat="1" applyFont="1" applyBorder="1" applyAlignment="1">
      <alignment horizontal="centerContinuous"/>
    </xf>
    <xf numFmtId="164" fontId="2" fillId="0" borderId="1" xfId="5" applyNumberFormat="1" applyFont="1" applyBorder="1" applyAlignment="1">
      <alignment horizontal="center"/>
    </xf>
    <xf numFmtId="0" fontId="2" fillId="0" borderId="1" xfId="5" applyFont="1" applyBorder="1" applyAlignment="1">
      <alignment horizontal="center"/>
    </xf>
    <xf numFmtId="0" fontId="2" fillId="0" borderId="7" xfId="5" applyFont="1" applyBorder="1"/>
    <xf numFmtId="0" fontId="4" fillId="0" borderId="6" xfId="5" applyFont="1" applyBorder="1"/>
    <xf numFmtId="0" fontId="2" fillId="0" borderId="8" xfId="5" applyFont="1" applyBorder="1"/>
    <xf numFmtId="0" fontId="2" fillId="0" borderId="28" xfId="5" applyFont="1" applyBorder="1" applyAlignment="1">
      <alignment horizontal="center"/>
    </xf>
    <xf numFmtId="1" fontId="2" fillId="0" borderId="28" xfId="5" applyNumberFormat="1" applyFont="1" applyBorder="1" applyAlignment="1">
      <alignment horizontal="center"/>
    </xf>
    <xf numFmtId="0" fontId="3" fillId="0" borderId="28" xfId="5" applyFont="1" applyBorder="1" applyAlignment="1">
      <alignment horizontal="right"/>
    </xf>
    <xf numFmtId="166" fontId="2" fillId="0" borderId="33" xfId="5" applyNumberFormat="1" applyFont="1" applyBorder="1" applyAlignment="1">
      <alignment horizontal="center"/>
    </xf>
    <xf numFmtId="0" fontId="3" fillId="0" borderId="4" xfId="5" applyFont="1" applyBorder="1"/>
    <xf numFmtId="165" fontId="2" fillId="0" borderId="33" xfId="5" applyNumberFormat="1" applyFont="1" applyBorder="1" applyAlignment="1">
      <alignment horizontal="center"/>
    </xf>
    <xf numFmtId="0" fontId="3" fillId="0" borderId="11" xfId="5" applyFont="1" applyBorder="1"/>
    <xf numFmtId="0" fontId="2" fillId="0" borderId="11" xfId="5" applyFont="1" applyBorder="1" applyAlignment="1">
      <alignment horizontal="center"/>
    </xf>
    <xf numFmtId="0" fontId="2" fillId="0" borderId="4" xfId="5" applyFont="1" applyBorder="1"/>
    <xf numFmtId="0" fontId="2" fillId="0" borderId="21" xfId="5" applyFont="1" applyBorder="1" applyAlignment="1">
      <alignment horizontal="center"/>
    </xf>
    <xf numFmtId="0" fontId="2" fillId="0" borderId="30" xfId="5" applyFont="1" applyBorder="1" applyAlignment="1">
      <alignment horizontal="center"/>
    </xf>
    <xf numFmtId="0" fontId="3" fillId="0" borderId="30" xfId="5" applyFont="1" applyBorder="1" applyAlignment="1">
      <alignment horizontal="right"/>
    </xf>
    <xf numFmtId="166" fontId="2" fillId="0" borderId="9" xfId="5" applyNumberFormat="1" applyFont="1" applyBorder="1" applyAlignment="1">
      <alignment horizontal="center"/>
    </xf>
    <xf numFmtId="0" fontId="3" fillId="0" borderId="3" xfId="5" applyFont="1" applyBorder="1"/>
    <xf numFmtId="165" fontId="2" fillId="0" borderId="9" xfId="5" applyNumberFormat="1" applyFont="1" applyBorder="1" applyAlignment="1">
      <alignment horizontal="center"/>
    </xf>
    <xf numFmtId="0" fontId="3" fillId="0" borderId="1" xfId="5" applyFont="1" applyBorder="1"/>
    <xf numFmtId="2" fontId="2" fillId="0" borderId="21" xfId="5" applyNumberFormat="1" applyFont="1" applyBorder="1" applyAlignment="1">
      <alignment horizontal="center"/>
    </xf>
    <xf numFmtId="165" fontId="2" fillId="0" borderId="26" xfId="5" applyNumberFormat="1" applyFont="1" applyBorder="1" applyAlignment="1">
      <alignment horizontal="center"/>
    </xf>
    <xf numFmtId="166" fontId="2" fillId="0" borderId="26" xfId="5" applyNumberFormat="1" applyFont="1" applyBorder="1" applyAlignment="1">
      <alignment horizontal="center"/>
    </xf>
    <xf numFmtId="0" fontId="3" fillId="0" borderId="26" xfId="5" applyFont="1" applyBorder="1" applyAlignment="1">
      <alignment horizontal="right"/>
    </xf>
    <xf numFmtId="0" fontId="3" fillId="0" borderId="19" xfId="5" applyFont="1" applyBorder="1" applyAlignment="1">
      <alignment horizontal="right"/>
    </xf>
    <xf numFmtId="0" fontId="3" fillId="0" borderId="20" xfId="5" applyFont="1" applyBorder="1" applyAlignment="1">
      <alignment horizontal="right"/>
    </xf>
    <xf numFmtId="2" fontId="2" fillId="0" borderId="27" xfId="5" applyNumberFormat="1" applyFont="1" applyBorder="1" applyAlignment="1">
      <alignment horizontal="center"/>
    </xf>
    <xf numFmtId="0" fontId="3" fillId="0" borderId="18" xfId="5" applyFont="1" applyBorder="1" applyAlignment="1">
      <alignment horizontal="right"/>
    </xf>
    <xf numFmtId="0" fontId="2" fillId="0" borderId="10" xfId="5" applyFont="1" applyBorder="1"/>
    <xf numFmtId="0" fontId="4" fillId="0" borderId="2" xfId="5" applyFont="1" applyBorder="1"/>
    <xf numFmtId="0" fontId="2" fillId="0" borderId="0" xfId="5" applyFont="1" applyBorder="1"/>
    <xf numFmtId="0" fontId="2" fillId="0" borderId="50" xfId="5" applyFont="1" applyBorder="1"/>
    <xf numFmtId="166" fontId="2" fillId="0" borderId="39" xfId="5" applyNumberFormat="1" applyFont="1" applyBorder="1" applyAlignment="1">
      <alignment horizontal="center"/>
    </xf>
    <xf numFmtId="0" fontId="2" fillId="0" borderId="26" xfId="5" applyFont="1" applyBorder="1" applyAlignment="1">
      <alignment horizontal="center"/>
    </xf>
    <xf numFmtId="166" fontId="2" fillId="0" borderId="38" xfId="5" applyNumberFormat="1" applyFont="1" applyBorder="1" applyAlignment="1">
      <alignment horizontal="center"/>
    </xf>
    <xf numFmtId="0" fontId="2" fillId="0" borderId="27" xfId="5" applyFont="1" applyBorder="1" applyAlignment="1">
      <alignment horizontal="center"/>
    </xf>
    <xf numFmtId="164" fontId="2" fillId="0" borderId="9" xfId="5" applyNumberFormat="1" applyFont="1" applyBorder="1" applyAlignment="1">
      <alignment horizontal="center"/>
    </xf>
    <xf numFmtId="0" fontId="3" fillId="0" borderId="10" xfId="5" applyFont="1" applyBorder="1" applyAlignment="1">
      <alignment horizontal="center"/>
    </xf>
    <xf numFmtId="0" fontId="3" fillId="0" borderId="22" xfId="5" applyFont="1" applyBorder="1" applyAlignment="1">
      <alignment horizontal="center"/>
    </xf>
    <xf numFmtId="166" fontId="2" fillId="0" borderId="34" xfId="5" applyNumberFormat="1" applyFont="1" applyBorder="1" applyAlignment="1">
      <alignment horizontal="center"/>
    </xf>
    <xf numFmtId="0" fontId="3" fillId="0" borderId="49" xfId="5" applyFont="1" applyBorder="1" applyAlignment="1">
      <alignment horizontal="right"/>
    </xf>
    <xf numFmtId="166" fontId="2" fillId="0" borderId="10" xfId="5" applyNumberFormat="1" applyFont="1" applyBorder="1" applyAlignment="1">
      <alignment horizontal="center"/>
    </xf>
    <xf numFmtId="0" fontId="3" fillId="0" borderId="2" xfId="5" applyFont="1" applyBorder="1" applyAlignment="1">
      <alignment horizontal="right"/>
    </xf>
    <xf numFmtId="49" fontId="2" fillId="0" borderId="7" xfId="5" applyNumberFormat="1" applyFont="1" applyBorder="1" applyAlignment="1">
      <alignment horizontal="center"/>
    </xf>
    <xf numFmtId="0" fontId="2" fillId="0" borderId="7" xfId="5" applyFont="1" applyBorder="1" applyAlignment="1">
      <alignment horizontal="right"/>
    </xf>
    <xf numFmtId="165" fontId="2" fillId="0" borderId="0" xfId="5" applyNumberFormat="1" applyFont="1" applyBorder="1" applyAlignment="1">
      <alignment horizontal="center"/>
    </xf>
    <xf numFmtId="0" fontId="3" fillId="0" borderId="0" xfId="5" applyFont="1" applyBorder="1" applyAlignment="1">
      <alignment horizontal="center"/>
    </xf>
    <xf numFmtId="0" fontId="2" fillId="0" borderId="16" xfId="5" applyFont="1" applyBorder="1" applyAlignment="1">
      <alignment horizontal="center"/>
    </xf>
    <xf numFmtId="0" fontId="1" fillId="0" borderId="13" xfId="5" applyFont="1" applyBorder="1"/>
    <xf numFmtId="2" fontId="2" fillId="0" borderId="32" xfId="5" applyNumberFormat="1" applyFont="1" applyBorder="1" applyAlignment="1">
      <alignment horizontal="center"/>
    </xf>
    <xf numFmtId="0" fontId="2" fillId="0" borderId="31" xfId="5" applyFont="1" applyBorder="1" applyAlignment="1">
      <alignment horizontal="right"/>
    </xf>
    <xf numFmtId="0" fontId="2" fillId="0" borderId="3" xfId="5" applyFont="1" applyBorder="1"/>
    <xf numFmtId="2" fontId="2" fillId="0" borderId="16" xfId="5" applyNumberFormat="1" applyFont="1" applyBorder="1" applyAlignment="1">
      <alignment horizontal="center"/>
    </xf>
    <xf numFmtId="0" fontId="2" fillId="0" borderId="17" xfId="5" applyFont="1" applyBorder="1" applyAlignment="1">
      <alignment horizontal="right"/>
    </xf>
    <xf numFmtId="0" fontId="4" fillId="0" borderId="15" xfId="5" applyFont="1" applyBorder="1"/>
    <xf numFmtId="0" fontId="2" fillId="0" borderId="7" xfId="5" applyFont="1" applyBorder="1" applyAlignment="1">
      <alignment horizontal="centerContinuous"/>
    </xf>
    <xf numFmtId="0" fontId="3" fillId="0" borderId="7" xfId="5" applyFont="1" applyBorder="1" applyAlignment="1">
      <alignment horizontal="centerContinuous"/>
    </xf>
    <xf numFmtId="0" fontId="2" fillId="0" borderId="9" xfId="5" applyFont="1" applyBorder="1" applyAlignment="1">
      <alignment horizontal="center"/>
    </xf>
    <xf numFmtId="0" fontId="2" fillId="0" borderId="0" xfId="5" applyFont="1" applyBorder="1" applyAlignment="1">
      <alignment horizontal="center"/>
    </xf>
    <xf numFmtId="0" fontId="3" fillId="0" borderId="45" xfId="5" applyFont="1" applyBorder="1"/>
    <xf numFmtId="0" fontId="3" fillId="0" borderId="9" xfId="5" applyFont="1" applyBorder="1" applyAlignment="1">
      <alignment horizontal="centerContinuous"/>
    </xf>
    <xf numFmtId="0" fontId="1" fillId="0" borderId="3" xfId="5" applyFont="1" applyBorder="1"/>
    <xf numFmtId="0" fontId="4" fillId="0" borderId="8" xfId="5" applyFont="1" applyBorder="1" applyAlignment="1">
      <alignment horizontal="centerContinuous"/>
    </xf>
    <xf numFmtId="0" fontId="4" fillId="0" borderId="7" xfId="5" applyFont="1" applyBorder="1" applyAlignment="1">
      <alignment horizontal="centerContinuous"/>
    </xf>
    <xf numFmtId="166" fontId="9" fillId="0" borderId="1" xfId="5" applyNumberFormat="1" applyFont="1" applyBorder="1" applyAlignment="1">
      <alignment horizontal="center"/>
    </xf>
    <xf numFmtId="166" fontId="2" fillId="0" borderId="42" xfId="5" applyNumberFormat="1" applyFont="1" applyBorder="1" applyAlignment="1">
      <alignment horizontal="center"/>
    </xf>
    <xf numFmtId="0" fontId="2" fillId="0" borderId="9" xfId="5" applyFont="1" applyBorder="1" applyAlignment="1">
      <alignment horizontal="left"/>
    </xf>
    <xf numFmtId="0" fontId="3" fillId="0" borderId="0" xfId="5" applyFont="1"/>
    <xf numFmtId="0" fontId="3" fillId="0" borderId="43" xfId="5" applyFont="1" applyBorder="1" applyAlignment="1">
      <alignment horizontal="center"/>
    </xf>
    <xf numFmtId="166" fontId="2" fillId="0" borderId="8" xfId="5" applyNumberFormat="1" applyFont="1" applyBorder="1" applyAlignment="1">
      <alignment horizontal="center"/>
    </xf>
    <xf numFmtId="166" fontId="2" fillId="0" borderId="7" xfId="5" applyNumberFormat="1" applyFont="1" applyBorder="1" applyAlignment="1">
      <alignment horizontal="center"/>
    </xf>
    <xf numFmtId="0" fontId="3" fillId="0" borderId="41" xfId="5" applyFont="1" applyBorder="1" applyAlignment="1">
      <alignment horizontal="center"/>
    </xf>
    <xf numFmtId="0" fontId="3" fillId="0" borderId="0" xfId="5" applyFont="1" applyAlignment="1">
      <alignment horizontal="right"/>
    </xf>
    <xf numFmtId="2" fontId="2" fillId="0" borderId="24" xfId="5" applyNumberFormat="1" applyFont="1" applyBorder="1" applyAlignment="1">
      <alignment horizontal="center"/>
    </xf>
    <xf numFmtId="2" fontId="2" fillId="0" borderId="48" xfId="5" applyNumberFormat="1" applyFont="1" applyBorder="1" applyAlignment="1">
      <alignment horizontal="center"/>
    </xf>
    <xf numFmtId="0" fontId="3" fillId="0" borderId="47" xfId="5" applyFont="1" applyBorder="1"/>
    <xf numFmtId="0" fontId="2" fillId="0" borderId="1" xfId="5" applyFont="1" applyBorder="1" applyAlignment="1">
      <alignment horizontal="left"/>
    </xf>
    <xf numFmtId="167" fontId="2" fillId="0" borderId="1" xfId="5" applyNumberFormat="1" applyFont="1" applyBorder="1" applyAlignment="1">
      <alignment horizontal="center"/>
    </xf>
    <xf numFmtId="0" fontId="2" fillId="0" borderId="29" xfId="5" applyFont="1" applyBorder="1" applyAlignment="1">
      <alignment horizontal="left"/>
    </xf>
    <xf numFmtId="0" fontId="2" fillId="0" borderId="28" xfId="5" applyFont="1" applyBorder="1" applyAlignment="1">
      <alignment horizontal="left"/>
    </xf>
    <xf numFmtId="0" fontId="2" fillId="0" borderId="21" xfId="5" applyFont="1" applyBorder="1" applyAlignment="1">
      <alignment horizontal="left"/>
    </xf>
    <xf numFmtId="0" fontId="2" fillId="0" borderId="30" xfId="5" applyFont="1" applyBorder="1" applyAlignment="1">
      <alignment horizontal="left"/>
    </xf>
    <xf numFmtId="0" fontId="2" fillId="0" borderId="16" xfId="5" applyFont="1" applyBorder="1" applyAlignment="1">
      <alignment horizontal="centerContinuous"/>
    </xf>
    <xf numFmtId="0" fontId="3" fillId="0" borderId="17" xfId="5" applyFont="1" applyBorder="1" applyAlignment="1">
      <alignment horizontal="centerContinuous"/>
    </xf>
    <xf numFmtId="0" fontId="3" fillId="0" borderId="44" xfId="5" applyFont="1" applyBorder="1" applyAlignment="1">
      <alignment horizontal="center"/>
    </xf>
    <xf numFmtId="0" fontId="2" fillId="0" borderId="0" xfId="5" applyFont="1" applyBorder="1" applyAlignment="1">
      <alignment horizontal="centerContinuous"/>
    </xf>
    <xf numFmtId="0" fontId="1" fillId="0" borderId="45" xfId="5" applyFont="1" applyBorder="1"/>
    <xf numFmtId="0" fontId="2" fillId="0" borderId="14" xfId="5" applyFont="1" applyBorder="1" applyAlignment="1">
      <alignment horizontal="centerContinuous"/>
    </xf>
    <xf numFmtId="0" fontId="4" fillId="0" borderId="0" xfId="5" applyFont="1" applyBorder="1"/>
    <xf numFmtId="0" fontId="4" fillId="0" borderId="12" xfId="5" applyFont="1" applyBorder="1" applyAlignment="1">
      <alignment horizontal="left"/>
    </xf>
    <xf numFmtId="0" fontId="3" fillId="0" borderId="14" xfId="5" applyFont="1" applyBorder="1" applyAlignment="1">
      <alignment horizontal="center"/>
    </xf>
    <xf numFmtId="0" fontId="3" fillId="0" borderId="13" xfId="5" applyFont="1" applyBorder="1" applyAlignment="1">
      <alignment horizontal="center"/>
    </xf>
    <xf numFmtId="0" fontId="2" fillId="0" borderId="25" xfId="5" applyFont="1" applyBorder="1" applyAlignment="1">
      <alignment horizontal="center"/>
    </xf>
    <xf numFmtId="165" fontId="2" fillId="0" borderId="25" xfId="5" applyNumberFormat="1" applyFont="1" applyBorder="1" applyAlignment="1">
      <alignment horizontal="center"/>
    </xf>
    <xf numFmtId="166" fontId="2" fillId="0" borderId="25" xfId="5" applyNumberFormat="1" applyFont="1" applyBorder="1" applyAlignment="1">
      <alignment horizontal="center"/>
    </xf>
    <xf numFmtId="1" fontId="2" fillId="0" borderId="25" xfId="5" applyNumberFormat="1" applyFont="1" applyBorder="1" applyAlignment="1">
      <alignment horizontal="center"/>
    </xf>
    <xf numFmtId="2" fontId="2" fillId="0" borderId="25" xfId="5" applyNumberFormat="1" applyFont="1" applyBorder="1" applyAlignment="1">
      <alignment horizontal="center"/>
    </xf>
    <xf numFmtId="0" fontId="4" fillId="0" borderId="5" xfId="5" applyFont="1" applyBorder="1" applyAlignment="1">
      <alignment horizontal="center"/>
    </xf>
    <xf numFmtId="19" fontId="3" fillId="0" borderId="0" xfId="5" applyNumberFormat="1" applyFont="1"/>
    <xf numFmtId="14" fontId="3" fillId="0" borderId="0" xfId="5" applyNumberFormat="1" applyFont="1" applyAlignment="1">
      <alignment horizontal="center"/>
    </xf>
    <xf numFmtId="0" fontId="7" fillId="0" borderId="0" xfId="5" applyFont="1" applyAlignment="1">
      <alignment horizontal="center"/>
    </xf>
    <xf numFmtId="0" fontId="1" fillId="0" borderId="0" xfId="5" applyAlignment="1">
      <alignment horizontal="centerContinuous"/>
    </xf>
    <xf numFmtId="0" fontId="6" fillId="0" borderId="0" xfId="5" applyFont="1" applyAlignment="1">
      <alignment horizontal="centerContinuous"/>
    </xf>
    <xf numFmtId="0" fontId="3" fillId="0" borderId="0" xfId="5" applyFont="1" applyAlignment="1">
      <alignment horizontal="centerContinuous"/>
    </xf>
    <xf numFmtId="0" fontId="1" fillId="0" borderId="0" xfId="6"/>
    <xf numFmtId="0" fontId="44" fillId="0" borderId="0" xfId="6" applyFont="1"/>
    <xf numFmtId="0" fontId="44" fillId="0" borderId="0" xfId="6" applyFont="1" applyBorder="1" applyAlignment="1">
      <alignment horizontal="center"/>
    </xf>
    <xf numFmtId="0" fontId="18" fillId="0" borderId="32" xfId="6" applyFont="1" applyBorder="1" applyAlignment="1">
      <alignment horizontal="center"/>
    </xf>
    <xf numFmtId="0" fontId="18" fillId="0" borderId="24" xfId="6" applyFont="1" applyBorder="1" applyAlignment="1">
      <alignment horizontal="center"/>
    </xf>
    <xf numFmtId="0" fontId="46" fillId="0" borderId="46" xfId="6" applyFont="1" applyBorder="1" applyAlignment="1">
      <alignment horizontal="right"/>
    </xf>
    <xf numFmtId="0" fontId="18" fillId="0" borderId="27" xfId="6" applyFont="1" applyBorder="1" applyAlignment="1">
      <alignment horizontal="center"/>
    </xf>
    <xf numFmtId="0" fontId="46" fillId="0" borderId="101" xfId="6" applyFont="1" applyBorder="1" applyAlignment="1">
      <alignment horizontal="right"/>
    </xf>
    <xf numFmtId="0" fontId="18" fillId="0" borderId="48" xfId="6" applyFont="1" applyBorder="1"/>
    <xf numFmtId="0" fontId="44" fillId="0" borderId="132" xfId="6" applyFont="1" applyBorder="1" applyAlignment="1">
      <alignment horizontal="center"/>
    </xf>
    <xf numFmtId="0" fontId="18" fillId="0" borderId="48" xfId="6" applyFont="1" applyBorder="1" applyAlignment="1">
      <alignment horizontal="center"/>
    </xf>
    <xf numFmtId="0" fontId="1" fillId="0" borderId="46" xfId="6" applyBorder="1"/>
    <xf numFmtId="0" fontId="18" fillId="0" borderId="38" xfId="6" applyFont="1" applyBorder="1"/>
    <xf numFmtId="0" fontId="46" fillId="0" borderId="60" xfId="6" applyFont="1" applyBorder="1" applyAlignment="1">
      <alignment horizontal="center"/>
    </xf>
    <xf numFmtId="0" fontId="18" fillId="0" borderId="38" xfId="6" applyFont="1" applyBorder="1" applyAlignment="1">
      <alignment horizontal="center"/>
    </xf>
    <xf numFmtId="0" fontId="46" fillId="0" borderId="101" xfId="6" applyFont="1" applyBorder="1" applyAlignment="1">
      <alignment horizontal="center"/>
    </xf>
    <xf numFmtId="0" fontId="46" fillId="0" borderId="47" xfId="6" applyFont="1" applyBorder="1" applyAlignment="1">
      <alignment horizontal="right"/>
    </xf>
    <xf numFmtId="0" fontId="46" fillId="0" borderId="20" xfId="6" applyFont="1" applyBorder="1" applyAlignment="1">
      <alignment horizontal="right"/>
    </xf>
    <xf numFmtId="0" fontId="15" fillId="0" borderId="101" xfId="1" applyFont="1" applyFill="1" applyBorder="1" applyAlignment="1">
      <alignment horizontal="left"/>
    </xf>
    <xf numFmtId="0" fontId="15" fillId="0" borderId="61" xfId="1" applyFont="1" applyFill="1" applyBorder="1" applyAlignment="1">
      <alignment horizontal="left"/>
    </xf>
    <xf numFmtId="0" fontId="15" fillId="2" borderId="60" xfId="1" applyFont="1" applyFill="1" applyBorder="1" applyAlignment="1">
      <alignment horizontal="left"/>
    </xf>
    <xf numFmtId="0" fontId="15" fillId="2" borderId="61" xfId="1" applyFont="1" applyFill="1" applyBorder="1" applyAlignment="1">
      <alignment horizontal="left"/>
    </xf>
    <xf numFmtId="0" fontId="15" fillId="2" borderId="27" xfId="1" applyFont="1" applyFill="1" applyBorder="1" applyAlignment="1">
      <alignment horizontal="left"/>
    </xf>
    <xf numFmtId="14" fontId="19" fillId="2" borderId="119" xfId="1" applyNumberFormat="1" applyFont="1" applyFill="1" applyBorder="1" applyAlignment="1">
      <alignment horizontal="center"/>
    </xf>
    <xf numFmtId="14" fontId="19" fillId="2" borderId="120" xfId="1" applyNumberFormat="1" applyFont="1" applyFill="1" applyBorder="1" applyAlignment="1">
      <alignment horizontal="center"/>
    </xf>
    <xf numFmtId="0" fontId="21" fillId="0" borderId="45" xfId="1" applyFont="1" applyFill="1" applyBorder="1" applyAlignment="1">
      <alignment horizontal="center"/>
    </xf>
    <xf numFmtId="0" fontId="21" fillId="0" borderId="0" xfId="1" applyFont="1" applyFill="1" applyBorder="1" applyAlignment="1">
      <alignment horizontal="center"/>
    </xf>
    <xf numFmtId="0" fontId="21" fillId="0" borderId="107" xfId="1" applyFont="1" applyFill="1" applyBorder="1" applyAlignment="1">
      <alignment horizontal="center"/>
    </xf>
    <xf numFmtId="0" fontId="21" fillId="0" borderId="109" xfId="1" applyFont="1" applyFill="1" applyBorder="1" applyAlignment="1">
      <alignment horizontal="center"/>
    </xf>
    <xf numFmtId="0" fontId="21" fillId="0" borderId="40" xfId="1" applyFont="1" applyFill="1" applyBorder="1" applyAlignment="1">
      <alignment horizontal="center"/>
    </xf>
    <xf numFmtId="0" fontId="21" fillId="0" borderId="39" xfId="1" applyFont="1" applyFill="1" applyBorder="1" applyAlignment="1">
      <alignment horizontal="center"/>
    </xf>
    <xf numFmtId="0" fontId="15" fillId="0" borderId="38" xfId="1" applyFont="1" applyFill="1" applyBorder="1" applyAlignment="1">
      <alignment horizontal="left"/>
    </xf>
    <xf numFmtId="0" fontId="21" fillId="0" borderId="45" xfId="2" applyFont="1" applyFill="1" applyBorder="1" applyAlignment="1">
      <alignment horizontal="center"/>
    </xf>
    <xf numFmtId="0" fontId="21" fillId="0" borderId="0" xfId="2" applyFont="1" applyFill="1" applyBorder="1" applyAlignment="1">
      <alignment horizontal="center"/>
    </xf>
    <xf numFmtId="0" fontId="21" fillId="0" borderId="107" xfId="2" applyFont="1" applyFill="1" applyBorder="1" applyAlignment="1">
      <alignment horizontal="center"/>
    </xf>
    <xf numFmtId="0" fontId="21" fillId="0" borderId="46" xfId="2" applyFont="1" applyFill="1" applyBorder="1" applyAlignment="1">
      <alignment horizontal="center"/>
    </xf>
    <xf numFmtId="0" fontId="21" fillId="0" borderId="23" xfId="2" applyFont="1" applyFill="1" applyBorder="1" applyAlignment="1">
      <alignment horizontal="center"/>
    </xf>
    <xf numFmtId="0" fontId="21" fillId="0" borderId="48" xfId="2" applyFont="1" applyFill="1" applyBorder="1" applyAlignment="1">
      <alignment horizontal="center"/>
    </xf>
    <xf numFmtId="0" fontId="38" fillId="2" borderId="114" xfId="1" applyFont="1" applyFill="1" applyBorder="1" applyAlignment="1">
      <alignment horizontal="center"/>
    </xf>
    <xf numFmtId="0" fontId="38" fillId="2" borderId="115" xfId="1" applyFont="1" applyFill="1" applyBorder="1" applyAlignment="1">
      <alignment horizontal="center"/>
    </xf>
    <xf numFmtId="0" fontId="24" fillId="2" borderId="74" xfId="1" quotePrefix="1" applyFont="1" applyFill="1" applyBorder="1" applyAlignment="1">
      <alignment horizontal="left"/>
    </xf>
    <xf numFmtId="0" fontId="24" fillId="2" borderId="67" xfId="1" quotePrefix="1" applyFont="1" applyFill="1" applyBorder="1" applyAlignment="1">
      <alignment horizontal="left"/>
    </xf>
    <xf numFmtId="0" fontId="24" fillId="2" borderId="68" xfId="1" quotePrefix="1" applyFont="1" applyFill="1" applyBorder="1" applyAlignment="1">
      <alignment horizontal="left"/>
    </xf>
    <xf numFmtId="2" fontId="26" fillId="2" borderId="64" xfId="1" applyNumberFormat="1" applyFont="1" applyFill="1" applyBorder="1" applyAlignment="1">
      <alignment horizontal="center"/>
    </xf>
    <xf numFmtId="2" fontId="26" fillId="2" borderId="65" xfId="1" applyNumberFormat="1" applyFont="1" applyFill="1" applyBorder="1" applyAlignment="1">
      <alignment horizontal="center"/>
    </xf>
    <xf numFmtId="0" fontId="26" fillId="2" borderId="64" xfId="1" applyFont="1" applyFill="1" applyBorder="1" applyAlignment="1">
      <alignment horizontal="center"/>
    </xf>
    <xf numFmtId="0" fontId="26" fillId="2" borderId="65" xfId="1" applyFont="1" applyFill="1" applyBorder="1" applyAlignment="1">
      <alignment horizontal="center"/>
    </xf>
    <xf numFmtId="0" fontId="15" fillId="0" borderId="79" xfId="1" applyFont="1" applyFill="1" applyBorder="1" applyAlignment="1">
      <alignment horizontal="left"/>
    </xf>
    <xf numFmtId="0" fontId="15" fillId="0" borderId="80" xfId="1" applyFont="1" applyFill="1" applyBorder="1" applyAlignment="1">
      <alignment horizontal="left"/>
    </xf>
    <xf numFmtId="0" fontId="15" fillId="0" borderId="81" xfId="1" applyFont="1" applyFill="1" applyBorder="1" applyAlignment="1">
      <alignment horizontal="left"/>
    </xf>
    <xf numFmtId="166" fontId="26" fillId="2" borderId="64" xfId="1" applyNumberFormat="1" applyFont="1" applyFill="1" applyBorder="1" applyAlignment="1">
      <alignment horizontal="center"/>
    </xf>
    <xf numFmtId="166" fontId="26" fillId="2" borderId="65" xfId="1" applyNumberFormat="1" applyFont="1" applyFill="1" applyBorder="1" applyAlignment="1">
      <alignment horizontal="center"/>
    </xf>
    <xf numFmtId="0" fontId="24" fillId="2" borderId="86" xfId="1" applyFont="1" applyFill="1" applyBorder="1" applyAlignment="1">
      <alignment horizontal="center"/>
    </xf>
    <xf numFmtId="0" fontId="24" fillId="2" borderId="87" xfId="1" applyFont="1" applyFill="1" applyBorder="1" applyAlignment="1">
      <alignment horizontal="center"/>
    </xf>
    <xf numFmtId="0" fontId="24" fillId="2" borderId="82" xfId="1" applyFont="1" applyFill="1" applyBorder="1" applyAlignment="1">
      <alignment horizontal="center"/>
    </xf>
    <xf numFmtId="0" fontId="24" fillId="2" borderId="0" xfId="1" applyFont="1" applyFill="1" applyBorder="1" applyAlignment="1">
      <alignment horizontal="center"/>
    </xf>
    <xf numFmtId="0" fontId="24" fillId="2" borderId="84" xfId="1" applyFont="1" applyFill="1" applyBorder="1" applyAlignment="1">
      <alignment horizontal="center"/>
    </xf>
    <xf numFmtId="0" fontId="24" fillId="2" borderId="40" xfId="1" applyFont="1" applyFill="1" applyBorder="1" applyAlignment="1">
      <alignment horizontal="center"/>
    </xf>
    <xf numFmtId="0" fontId="24" fillId="2" borderId="88" xfId="1" applyFont="1" applyFill="1" applyBorder="1" applyAlignment="1">
      <alignment horizontal="left"/>
    </xf>
    <xf numFmtId="0" fontId="24" fillId="2" borderId="89" xfId="1" applyFont="1" applyFill="1" applyBorder="1" applyAlignment="1">
      <alignment horizontal="left"/>
    </xf>
    <xf numFmtId="0" fontId="24" fillId="2" borderId="90" xfId="1" applyFont="1" applyFill="1" applyBorder="1" applyAlignment="1">
      <alignment horizontal="left"/>
    </xf>
    <xf numFmtId="0" fontId="26" fillId="2" borderId="91" xfId="1" applyFont="1" applyFill="1" applyBorder="1" applyAlignment="1">
      <alignment horizontal="center"/>
    </xf>
    <xf numFmtId="0" fontId="26" fillId="0" borderId="91" xfId="1" applyFont="1" applyFill="1" applyBorder="1" applyAlignment="1">
      <alignment horizontal="center"/>
    </xf>
    <xf numFmtId="0" fontId="26" fillId="0" borderId="65" xfId="1" applyFont="1" applyFill="1" applyBorder="1" applyAlignment="1">
      <alignment horizontal="center"/>
    </xf>
    <xf numFmtId="0" fontId="24" fillId="2" borderId="74" xfId="1" applyFont="1" applyFill="1" applyBorder="1" applyAlignment="1">
      <alignment horizontal="left"/>
    </xf>
    <xf numFmtId="0" fontId="24" fillId="2" borderId="67" xfId="1" applyFont="1" applyFill="1" applyBorder="1" applyAlignment="1">
      <alignment horizontal="left"/>
    </xf>
    <xf numFmtId="0" fontId="24" fillId="2" borderId="68" xfId="1" applyFont="1" applyFill="1" applyBorder="1" applyAlignment="1">
      <alignment horizontal="left"/>
    </xf>
    <xf numFmtId="0" fontId="26" fillId="0" borderId="64" xfId="1" applyFont="1" applyFill="1" applyBorder="1" applyAlignment="1">
      <alignment horizontal="center"/>
    </xf>
    <xf numFmtId="168" fontId="26" fillId="2" borderId="64" xfId="1" applyNumberFormat="1" applyFont="1" applyFill="1" applyBorder="1" applyAlignment="1">
      <alignment horizontal="center"/>
    </xf>
    <xf numFmtId="168" fontId="26" fillId="2" borderId="65" xfId="1" applyNumberFormat="1" applyFont="1" applyFill="1" applyBorder="1" applyAlignment="1">
      <alignment horizontal="center"/>
    </xf>
    <xf numFmtId="1" fontId="26" fillId="2" borderId="64" xfId="1" applyNumberFormat="1" applyFont="1" applyFill="1" applyBorder="1" applyAlignment="1">
      <alignment horizontal="center"/>
    </xf>
    <xf numFmtId="1" fontId="26" fillId="2" borderId="65" xfId="1" applyNumberFormat="1" applyFont="1" applyFill="1" applyBorder="1" applyAlignment="1">
      <alignment horizontal="center"/>
    </xf>
    <xf numFmtId="1" fontId="26" fillId="2" borderId="99" xfId="1" applyNumberFormat="1" applyFont="1" applyFill="1" applyBorder="1" applyAlignment="1">
      <alignment horizontal="center"/>
    </xf>
    <xf numFmtId="1" fontId="26" fillId="2" borderId="100" xfId="1" applyNumberFormat="1" applyFont="1" applyFill="1" applyBorder="1" applyAlignment="1">
      <alignment horizontal="center"/>
    </xf>
    <xf numFmtId="0" fontId="21" fillId="0" borderId="106" xfId="1" applyFont="1" applyFill="1" applyBorder="1" applyAlignment="1">
      <alignment horizontal="left"/>
    </xf>
    <xf numFmtId="0" fontId="21" fillId="0" borderId="76" xfId="1" applyFont="1" applyFill="1" applyBorder="1" applyAlignment="1">
      <alignment horizontal="left"/>
    </xf>
    <xf numFmtId="0" fontId="24" fillId="0" borderId="74" xfId="1" applyFont="1" applyFill="1" applyBorder="1" applyAlignment="1">
      <alignment horizontal="left"/>
    </xf>
    <xf numFmtId="0" fontId="24" fillId="0" borderId="67" xfId="1" applyFont="1" applyFill="1" applyBorder="1" applyAlignment="1">
      <alignment horizontal="left"/>
    </xf>
    <xf numFmtId="0" fontId="24" fillId="0" borderId="68" xfId="1" applyFont="1" applyFill="1" applyBorder="1" applyAlignment="1">
      <alignment horizontal="left"/>
    </xf>
    <xf numFmtId="166" fontId="26" fillId="0" borderId="64" xfId="1" applyNumberFormat="1" applyFont="1" applyFill="1" applyBorder="1" applyAlignment="1">
      <alignment horizontal="center"/>
    </xf>
    <xf numFmtId="166" fontId="26" fillId="0" borderId="65" xfId="1" applyNumberFormat="1" applyFont="1" applyFill="1" applyBorder="1" applyAlignment="1">
      <alignment horizontal="center"/>
    </xf>
    <xf numFmtId="0" fontId="24" fillId="0" borderId="62" xfId="1" applyFont="1" applyFill="1" applyBorder="1" applyAlignment="1">
      <alignment horizontal="left"/>
    </xf>
    <xf numFmtId="0" fontId="24" fillId="0" borderId="63" xfId="1" applyFont="1" applyFill="1" applyBorder="1" applyAlignment="1">
      <alignment horizontal="left"/>
    </xf>
    <xf numFmtId="2" fontId="26" fillId="0" borderId="64" xfId="1" applyNumberFormat="1" applyFont="1" applyFill="1" applyBorder="1" applyAlignment="1">
      <alignment horizontal="center"/>
    </xf>
    <xf numFmtId="2" fontId="26" fillId="0" borderId="65" xfId="1" applyNumberFormat="1" applyFont="1" applyFill="1" applyBorder="1" applyAlignment="1">
      <alignment horizontal="center"/>
    </xf>
    <xf numFmtId="0" fontId="11" fillId="0" borderId="0" xfId="1" applyFont="1" applyAlignment="1">
      <alignment horizontal="center"/>
    </xf>
    <xf numFmtId="0" fontId="14" fillId="2" borderId="0" xfId="1" applyFont="1" applyFill="1" applyAlignment="1">
      <alignment horizontal="center"/>
    </xf>
    <xf numFmtId="0" fontId="16" fillId="2" borderId="23" xfId="1" applyFont="1" applyFill="1" applyBorder="1" applyAlignment="1">
      <alignment horizontal="center"/>
    </xf>
    <xf numFmtId="0" fontId="22" fillId="2" borderId="12" xfId="1" applyFont="1" applyFill="1" applyBorder="1" applyAlignment="1">
      <alignment horizontal="left"/>
    </xf>
    <xf numFmtId="0" fontId="22" fillId="2" borderId="13" xfId="1" applyFont="1" applyFill="1" applyBorder="1" applyAlignment="1">
      <alignment horizontal="left"/>
    </xf>
    <xf numFmtId="0" fontId="24" fillId="0" borderId="57" xfId="1" applyFont="1" applyFill="1" applyBorder="1" applyAlignment="1">
      <alignment horizontal="left"/>
    </xf>
    <xf numFmtId="0" fontId="24" fillId="0" borderId="58" xfId="1" applyFont="1" applyFill="1" applyBorder="1" applyAlignment="1">
      <alignment horizontal="left"/>
    </xf>
    <xf numFmtId="0" fontId="25" fillId="2" borderId="59" xfId="1" applyFont="1" applyFill="1" applyBorder="1" applyAlignment="1">
      <alignment horizontal="center"/>
    </xf>
    <xf numFmtId="0" fontId="25" fillId="2" borderId="55" xfId="1" applyFont="1" applyFill="1" applyBorder="1" applyAlignment="1">
      <alignment horizontal="center"/>
    </xf>
    <xf numFmtId="0" fontId="45" fillId="0" borderId="12" xfId="6" applyFont="1" applyBorder="1" applyAlignment="1">
      <alignment horizontal="left"/>
    </xf>
    <xf numFmtId="0" fontId="45" fillId="0" borderId="13" xfId="6" applyFont="1" applyBorder="1" applyAlignment="1">
      <alignment horizontal="left"/>
    </xf>
    <xf numFmtId="0" fontId="45" fillId="0" borderId="14" xfId="6" applyFont="1" applyBorder="1" applyAlignment="1">
      <alignment horizontal="left"/>
    </xf>
    <xf numFmtId="0" fontId="4" fillId="0" borderId="133" xfId="6" applyFont="1" applyBorder="1" applyAlignment="1">
      <alignment horizontal="right"/>
    </xf>
    <xf numFmtId="0" fontId="4" fillId="0" borderId="130" xfId="6" applyFont="1" applyBorder="1" applyAlignment="1">
      <alignment horizontal="right"/>
    </xf>
    <xf numFmtId="0" fontId="18" fillId="0" borderId="130" xfId="6" applyFont="1" applyBorder="1" applyAlignment="1">
      <alignment horizontal="center"/>
    </xf>
    <xf numFmtId="0" fontId="18" fillId="0" borderId="61" xfId="6" applyFont="1" applyBorder="1" applyAlignment="1">
      <alignment horizontal="center"/>
    </xf>
    <xf numFmtId="0" fontId="18" fillId="0" borderId="27" xfId="6" applyFont="1" applyBorder="1" applyAlignment="1">
      <alignment horizontal="center"/>
    </xf>
    <xf numFmtId="0" fontId="46" fillId="0" borderId="101" xfId="6" applyFont="1" applyBorder="1" applyAlignment="1">
      <alignment horizontal="right"/>
    </xf>
    <xf numFmtId="0" fontId="46" fillId="0" borderId="61" xfId="6" applyFont="1" applyBorder="1" applyAlignment="1">
      <alignment horizontal="right"/>
    </xf>
    <xf numFmtId="0" fontId="18" fillId="0" borderId="23" xfId="6" applyFont="1" applyBorder="1" applyAlignment="1">
      <alignment horizontal="center"/>
    </xf>
    <xf numFmtId="0" fontId="18" fillId="0" borderId="24" xfId="6" applyFont="1" applyBorder="1" applyAlignment="1">
      <alignment horizontal="center"/>
    </xf>
    <xf numFmtId="0" fontId="46" fillId="0" borderId="46" xfId="6" applyFont="1" applyBorder="1" applyAlignment="1">
      <alignment horizontal="right"/>
    </xf>
    <xf numFmtId="0" fontId="46" fillId="0" borderId="23" xfId="6" applyFont="1" applyBorder="1" applyAlignment="1">
      <alignment horizontal="right"/>
    </xf>
    <xf numFmtId="0" fontId="18" fillId="0" borderId="36" xfId="6" applyFont="1" applyBorder="1" applyAlignment="1">
      <alignment horizontal="center"/>
    </xf>
    <xf numFmtId="0" fontId="18" fillId="0" borderId="37" xfId="6" applyFont="1" applyBorder="1" applyAlignment="1">
      <alignment horizontal="center"/>
    </xf>
    <xf numFmtId="0" fontId="18" fillId="0" borderId="46" xfId="6" applyFont="1" applyBorder="1" applyAlignment="1">
      <alignment horizontal="center"/>
    </xf>
    <xf numFmtId="0" fontId="46" fillId="0" borderId="60" xfId="6" applyFont="1" applyBorder="1" applyAlignment="1">
      <alignment horizontal="center"/>
    </xf>
    <xf numFmtId="0" fontId="1" fillId="0" borderId="27" xfId="6" applyBorder="1" applyAlignment="1">
      <alignment horizontal="center"/>
    </xf>
    <xf numFmtId="0" fontId="18" fillId="0" borderId="132" xfId="6" applyFont="1" applyBorder="1" applyAlignment="1">
      <alignment horizontal="center"/>
    </xf>
    <xf numFmtId="0" fontId="11" fillId="0" borderId="0" xfId="6" applyFont="1" applyAlignment="1">
      <alignment horizontal="center"/>
    </xf>
    <xf numFmtId="0" fontId="6" fillId="0" borderId="0" xfId="6" applyFont="1" applyBorder="1" applyAlignment="1">
      <alignment horizontal="center"/>
    </xf>
    <xf numFmtId="0" fontId="18" fillId="0" borderId="60" xfId="6" applyFont="1" applyBorder="1" applyAlignment="1">
      <alignment horizontal="center"/>
    </xf>
    <xf numFmtId="0" fontId="46" fillId="0" borderId="101" xfId="6" applyFont="1" applyBorder="1" applyAlignment="1">
      <alignment horizontal="center"/>
    </xf>
    <xf numFmtId="0" fontId="46" fillId="0" borderId="61" xfId="6" applyFont="1" applyBorder="1" applyAlignment="1">
      <alignment horizontal="center"/>
    </xf>
    <xf numFmtId="0" fontId="46" fillId="0" borderId="27" xfId="6" applyFont="1" applyBorder="1" applyAlignment="1">
      <alignment horizontal="center"/>
    </xf>
    <xf numFmtId="0" fontId="1" fillId="0" borderId="17" xfId="3" applyBorder="1" applyAlignment="1">
      <alignment horizontal="left"/>
    </xf>
    <xf numFmtId="0" fontId="1" fillId="0" borderId="128" xfId="3" applyBorder="1" applyAlignment="1">
      <alignment horizontal="left"/>
    </xf>
    <xf numFmtId="169" fontId="1" fillId="0" borderId="17" xfId="3" applyNumberFormat="1" applyBorder="1" applyAlignment="1">
      <alignment horizontal="center"/>
    </xf>
    <xf numFmtId="169" fontId="1" fillId="0" borderId="128" xfId="3" applyNumberFormat="1" applyBorder="1" applyAlignment="1">
      <alignment horizontal="center"/>
    </xf>
    <xf numFmtId="169" fontId="1" fillId="0" borderId="129" xfId="3" applyNumberFormat="1" applyBorder="1" applyAlignment="1">
      <alignment horizontal="center"/>
    </xf>
    <xf numFmtId="49" fontId="1" fillId="0" borderId="17" xfId="3" applyNumberFormat="1" applyBorder="1" applyAlignment="1">
      <alignment horizontal="center"/>
    </xf>
    <xf numFmtId="49" fontId="1" fillId="0" borderId="128" xfId="3" applyNumberFormat="1" applyBorder="1" applyAlignment="1">
      <alignment horizontal="center"/>
    </xf>
    <xf numFmtId="49" fontId="1" fillId="0" borderId="16" xfId="3" applyNumberFormat="1" applyBorder="1" applyAlignment="1">
      <alignment horizontal="center"/>
    </xf>
    <xf numFmtId="0" fontId="1" fillId="0" borderId="31" xfId="3" applyBorder="1" applyAlignment="1">
      <alignment horizontal="left"/>
    </xf>
    <xf numFmtId="0" fontId="1" fillId="0" borderId="130" xfId="3" applyBorder="1" applyAlignment="1">
      <alignment horizontal="left"/>
    </xf>
    <xf numFmtId="169" fontId="1" fillId="0" borderId="31" xfId="3" applyNumberFormat="1" applyBorder="1" applyAlignment="1">
      <alignment horizontal="center"/>
    </xf>
    <xf numFmtId="169" fontId="1" fillId="0" borderId="130" xfId="3" applyNumberFormat="1" applyBorder="1" applyAlignment="1">
      <alignment horizontal="center"/>
    </xf>
    <xf numFmtId="169" fontId="1" fillId="0" borderId="131" xfId="3" applyNumberFormat="1" applyBorder="1" applyAlignment="1">
      <alignment horizontal="center"/>
    </xf>
    <xf numFmtId="49" fontId="1" fillId="0" borderId="31" xfId="3" applyNumberFormat="1" applyBorder="1" applyAlignment="1">
      <alignment horizontal="center"/>
    </xf>
    <xf numFmtId="49" fontId="1" fillId="0" borderId="130" xfId="3" applyNumberFormat="1" applyBorder="1" applyAlignment="1">
      <alignment horizontal="center"/>
    </xf>
    <xf numFmtId="49" fontId="1" fillId="0" borderId="32" xfId="3" applyNumberFormat="1" applyBorder="1" applyAlignment="1">
      <alignment horizontal="center"/>
    </xf>
    <xf numFmtId="0" fontId="1" fillId="0" borderId="50" xfId="3" applyBorder="1" applyAlignment="1">
      <alignment horizontal="left"/>
    </xf>
    <xf numFmtId="0" fontId="1" fillId="0" borderId="13" xfId="3" applyBorder="1" applyAlignment="1">
      <alignment horizontal="left"/>
    </xf>
    <xf numFmtId="169" fontId="1" fillId="0" borderId="50" xfId="3" applyNumberFormat="1" applyBorder="1" applyAlignment="1">
      <alignment horizontal="center"/>
    </xf>
    <xf numFmtId="169" fontId="1" fillId="0" borderId="13" xfId="3" applyNumberFormat="1" applyBorder="1" applyAlignment="1">
      <alignment horizontal="center"/>
    </xf>
    <xf numFmtId="169" fontId="1" fillId="0" borderId="54" xfId="3" applyNumberFormat="1" applyBorder="1" applyAlignment="1">
      <alignment horizontal="center"/>
    </xf>
    <xf numFmtId="49" fontId="1" fillId="0" borderId="50" xfId="3" applyNumberFormat="1" applyBorder="1" applyAlignment="1">
      <alignment horizontal="center"/>
    </xf>
    <xf numFmtId="49" fontId="1" fillId="0" borderId="13" xfId="3" applyNumberFormat="1" applyBorder="1" applyAlignment="1">
      <alignment horizontal="center"/>
    </xf>
    <xf numFmtId="49" fontId="1" fillId="0" borderId="14" xfId="3" applyNumberFormat="1" applyBorder="1" applyAlignment="1">
      <alignment horizontal="center"/>
    </xf>
    <xf numFmtId="0" fontId="42" fillId="0" borderId="45" xfId="3" applyFont="1" applyBorder="1" applyAlignment="1">
      <alignment horizontal="center"/>
    </xf>
    <xf numFmtId="0" fontId="42" fillId="0" borderId="0" xfId="3" applyFont="1" applyBorder="1" applyAlignment="1">
      <alignment horizontal="center"/>
    </xf>
    <xf numFmtId="0" fontId="42" fillId="0" borderId="52" xfId="3" applyFont="1" applyBorder="1" applyAlignment="1">
      <alignment horizontal="center"/>
    </xf>
    <xf numFmtId="0" fontId="41" fillId="0" borderId="15" xfId="3" applyFont="1" applyBorder="1" applyAlignment="1">
      <alignment horizontal="center"/>
    </xf>
    <xf numFmtId="0" fontId="41" fillId="0" borderId="7" xfId="3" applyFont="1" applyBorder="1" applyAlignment="1">
      <alignment horizontal="center"/>
    </xf>
    <xf numFmtId="0" fontId="41" fillId="0" borderId="127" xfId="3" applyFont="1" applyBorder="1" applyAlignment="1">
      <alignment horizontal="center"/>
    </xf>
    <xf numFmtId="0" fontId="41" fillId="0" borderId="8" xfId="3" applyFont="1" applyBorder="1" applyAlignment="1">
      <alignment horizontal="center"/>
    </xf>
    <xf numFmtId="0" fontId="47" fillId="0" borderId="17" xfId="0" applyFont="1" applyBorder="1" applyAlignment="1">
      <alignment horizontal="center"/>
    </xf>
    <xf numFmtId="0" fontId="47" fillId="0" borderId="128" xfId="0" applyFont="1" applyBorder="1" applyAlignment="1">
      <alignment horizontal="center"/>
    </xf>
    <xf numFmtId="0" fontId="47" fillId="0" borderId="129" xfId="0" applyFont="1" applyBorder="1" applyAlignment="1">
      <alignment horizontal="center"/>
    </xf>
    <xf numFmtId="0" fontId="44" fillId="0" borderId="17" xfId="4" applyFont="1" applyBorder="1" applyAlignment="1">
      <alignment horizontal="right"/>
    </xf>
    <xf numFmtId="0" fontId="44" fillId="0" borderId="128" xfId="4" applyFont="1" applyBorder="1" applyAlignment="1">
      <alignment horizontal="right"/>
    </xf>
    <xf numFmtId="0" fontId="18" fillId="0" borderId="0" xfId="4" applyFont="1" applyAlignment="1">
      <alignment horizontal="center"/>
    </xf>
    <xf numFmtId="0" fontId="51" fillId="0" borderId="0" xfId="4" applyFont="1" applyAlignment="1">
      <alignment horizontal="right"/>
    </xf>
    <xf numFmtId="0" fontId="44" fillId="0" borderId="1" xfId="4" applyFont="1" applyBorder="1" applyAlignment="1">
      <alignment horizontal="center"/>
    </xf>
    <xf numFmtId="0" fontId="18" fillId="0" borderId="17" xfId="4" applyFont="1" applyBorder="1" applyAlignment="1">
      <alignment horizontal="center"/>
    </xf>
    <xf numFmtId="0" fontId="18" fillId="0" borderId="128" xfId="4" applyFont="1" applyBorder="1" applyAlignment="1">
      <alignment horizontal="center"/>
    </xf>
    <xf numFmtId="0" fontId="18" fillId="0" borderId="129" xfId="4" applyFont="1" applyBorder="1" applyAlignment="1">
      <alignment horizontal="center"/>
    </xf>
    <xf numFmtId="0" fontId="51" fillId="0" borderId="1" xfId="4" applyFont="1" applyBorder="1" applyAlignment="1">
      <alignment horizontal="center"/>
    </xf>
    <xf numFmtId="0" fontId="6" fillId="0" borderId="0" xfId="4" applyFont="1" applyAlignment="1">
      <alignment horizontal="center"/>
    </xf>
    <xf numFmtId="0" fontId="46" fillId="0" borderId="17" xfId="4" applyFont="1" applyBorder="1" applyAlignment="1">
      <alignment horizontal="center"/>
    </xf>
    <xf numFmtId="0" fontId="49" fillId="0" borderId="82" xfId="4" applyFont="1" applyBorder="1" applyAlignment="1">
      <alignment horizontal="center"/>
    </xf>
    <xf numFmtId="0" fontId="49" fillId="0" borderId="0" xfId="4" applyFont="1" applyBorder="1" applyAlignment="1">
      <alignment horizontal="center"/>
    </xf>
    <xf numFmtId="0" fontId="49" fillId="0" borderId="107" xfId="4" applyFont="1" applyBorder="1" applyAlignment="1">
      <alignment horizontal="center"/>
    </xf>
    <xf numFmtId="0" fontId="52" fillId="0" borderId="82" xfId="4" applyFont="1" applyBorder="1" applyAlignment="1">
      <alignment horizontal="center"/>
    </xf>
    <xf numFmtId="0" fontId="52" fillId="0" borderId="0" xfId="4" applyFont="1" applyBorder="1" applyAlignment="1">
      <alignment horizontal="center"/>
    </xf>
    <xf numFmtId="0" fontId="52" fillId="0" borderId="107" xfId="4" applyFont="1" applyBorder="1" applyAlignment="1">
      <alignment horizontal="center"/>
    </xf>
    <xf numFmtId="0" fontId="44" fillId="0" borderId="1" xfId="4" applyFont="1" applyBorder="1" applyAlignment="1">
      <alignment horizontal="right"/>
    </xf>
    <xf numFmtId="0" fontId="44" fillId="0" borderId="129" xfId="4" applyFont="1" applyBorder="1" applyAlignment="1">
      <alignment horizontal="center"/>
    </xf>
    <xf numFmtId="0" fontId="55" fillId="0" borderId="0" xfId="4" applyFont="1" applyAlignment="1">
      <alignment horizontal="center"/>
    </xf>
  </cellXfs>
  <cellStyles count="7">
    <cellStyle name="Normal" xfId="0" builtinId="0"/>
    <cellStyle name="Normal 2" xfId="1"/>
    <cellStyle name="Normal 2 2" xfId="6"/>
    <cellStyle name="Normal 3" xfId="4"/>
    <cellStyle name="Normal 4" xfId="5"/>
    <cellStyle name="Normal_OPTEST" xfId="2"/>
    <cellStyle name="Normal_PROJ_REV_HIST" xfId="3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3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S-T Curve Estimation</a:t>
            </a:r>
          </a:p>
        </c:rich>
      </c:tx>
      <c:layout>
        <c:manualLayout>
          <c:xMode val="edge"/>
          <c:yMode val="edge"/>
          <c:x val="0.33815076622161511"/>
          <c:y val="2.1008446462313021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052047185534436"/>
          <c:y val="0.11344561089649031"/>
          <c:w val="0.67919170993230382"/>
          <c:h val="0.68067366537894192"/>
        </c:manualLayout>
      </c:layout>
      <c:scatterChart>
        <c:scatterStyle val="lineMarker"/>
        <c:varyColors val="0"/>
        <c:ser>
          <c:idx val="0"/>
          <c:order val="0"/>
          <c:spPr>
            <a:ln w="127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(DesignSheet!$B$59:$B$68,DesignSheet!$E$59:$E$62)</c:f>
              <c:numCache>
                <c:formatCode>0.0</c:formatCode>
                <c:ptCount val="14"/>
                <c:pt idx="0">
                  <c:v>0</c:v>
                </c:pt>
                <c:pt idx="1">
                  <c:v>170.69483653506316</c:v>
                </c:pt>
                <c:pt idx="2">
                  <c:v>274</c:v>
                </c:pt>
                <c:pt idx="3">
                  <c:v>142.34488911789236</c:v>
                </c:pt>
                <c:pt idx="4">
                  <c:v>110.19814463293164</c:v>
                </c:pt>
                <c:pt idx="5">
                  <c:v>96.192206702750198</c:v>
                </c:pt>
                <c:pt idx="6">
                  <c:v>87.41046153988836</c:v>
                </c:pt>
                <c:pt idx="7">
                  <c:v>83.098429084663053</c:v>
                </c:pt>
                <c:pt idx="8">
                  <c:v>80.538339170305875</c:v>
                </c:pt>
                <c:pt idx="9">
                  <c:v>78.974450072843723</c:v>
                </c:pt>
                <c:pt idx="10">
                  <c:v>78.033439012676723</c:v>
                </c:pt>
                <c:pt idx="11">
                  <c:v>77.481709483902847</c:v>
                </c:pt>
                <c:pt idx="12">
                  <c:v>77.168924073014026</c:v>
                </c:pt>
                <c:pt idx="13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D76E-45A1-B0F4-3C09F28B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07456"/>
        <c:axId val="161909376"/>
      </c:scatterChart>
      <c:scatterChart>
        <c:scatterStyle val="lineMarker"/>
        <c:varyColors val="0"/>
        <c:ser>
          <c:idx val="1"/>
          <c:order val="1"/>
          <c:spPr>
            <a:ln w="12700">
              <a:solidFill>
                <a:srgbClr val="000000"/>
              </a:solidFill>
              <a:prstDash val="sysDash"/>
            </a:ln>
          </c:spPr>
          <c:marker>
            <c:symbol val="none"/>
          </c:marker>
          <c:xVal>
            <c:numRef>
              <c:f>(DesignSheet!$A$59:$A$68,DesignSheet!$D$59:$D$62)</c:f>
              <c:numCache>
                <c:formatCode>0.000</c:formatCode>
                <c:ptCount val="14"/>
                <c:pt idx="0" formatCode="0.00">
                  <c:v>0</c:v>
                </c:pt>
                <c:pt idx="1">
                  <c:v>2.0000003278255463E-3</c:v>
                </c:pt>
                <c:pt idx="2">
                  <c:v>1.0000001639127731E-2</c:v>
                </c:pt>
                <c:pt idx="3" formatCode="0.00">
                  <c:v>6.2105264514684677E-2</c:v>
                </c:pt>
                <c:pt idx="4" formatCode="0.00">
                  <c:v>0.11421053111553192</c:v>
                </c:pt>
                <c:pt idx="5" formatCode="0.00">
                  <c:v>0.16631579399108887</c:v>
                </c:pt>
                <c:pt idx="6" formatCode="0.00">
                  <c:v>0.27052631974220276</c:v>
                </c:pt>
                <c:pt idx="7" formatCode="0.00">
                  <c:v>0.37473684549331665</c:v>
                </c:pt>
                <c:pt idx="8" formatCode="0.00">
                  <c:v>0.47894737124443054</c:v>
                </c:pt>
                <c:pt idx="9" formatCode="0.00">
                  <c:v>0.58315789699554443</c:v>
                </c:pt>
                <c:pt idx="10" formatCode="0.00">
                  <c:v>0.68736839294433594</c:v>
                </c:pt>
                <c:pt idx="11" formatCode="0.00">
                  <c:v>0.79157894849777222</c:v>
                </c:pt>
                <c:pt idx="12" formatCode="0.00">
                  <c:v>0.89578944444656372</c:v>
                </c:pt>
                <c:pt idx="13" formatCode="0.00">
                  <c:v>1</c:v>
                </c:pt>
              </c:numCache>
            </c:numRef>
          </c:xVal>
          <c:yVal>
            <c:numRef>
              <c:f>(DesignSheet!$C$59:$C$68,DesignSheet!$F$59:$F$62)</c:f>
              <c:numCache>
                <c:formatCode>0.0</c:formatCode>
                <c:ptCount val="14"/>
                <c:pt idx="0">
                  <c:v>0.14513100683689117</c:v>
                </c:pt>
                <c:pt idx="1">
                  <c:v>183.19085693359375</c:v>
                </c:pt>
                <c:pt idx="2">
                  <c:v>506.00360107421875</c:v>
                </c:pt>
                <c:pt idx="3">
                  <c:v>573.63116455078125</c:v>
                </c:pt>
                <c:pt idx="4">
                  <c:v>590.7476806640625</c:v>
                </c:pt>
                <c:pt idx="5">
                  <c:v>598.12481689453125</c:v>
                </c:pt>
                <c:pt idx="6">
                  <c:v>606.03900146484375</c:v>
                </c:pt>
                <c:pt idx="7">
                  <c:v>611.606201171875</c:v>
                </c:pt>
                <c:pt idx="8">
                  <c:v>616.244140625</c:v>
                </c:pt>
                <c:pt idx="9">
                  <c:v>620.15283203125</c:v>
                </c:pt>
                <c:pt idx="10">
                  <c:v>623.4344482421875</c:v>
                </c:pt>
                <c:pt idx="11">
                  <c:v>626.19891357421875</c:v>
                </c:pt>
                <c:pt idx="12">
                  <c:v>628.55108642578125</c:v>
                </c:pt>
                <c:pt idx="13">
                  <c:v>630.5784912109375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D76E-45A1-B0F4-3C09F28BC3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1923840"/>
        <c:axId val="161925376"/>
      </c:scatterChart>
      <c:valAx>
        <c:axId val="161907456"/>
        <c:scaling>
          <c:orientation val="maxMin"/>
          <c:max val="1"/>
        </c:scaling>
        <c:delete val="0"/>
        <c:axPos val="b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Slip (p.u.)</a:t>
                </a:r>
              </a:p>
            </c:rich>
          </c:tx>
          <c:layout>
            <c:manualLayout>
              <c:xMode val="edge"/>
              <c:yMode val="edge"/>
              <c:x val="0.43641680085011864"/>
              <c:y val="0.89075813000207216"/>
            </c:manualLayout>
          </c:layout>
          <c:overlay val="0"/>
          <c:spPr>
            <a:noFill/>
            <a:ln w="25400">
              <a:noFill/>
            </a:ln>
          </c:spPr>
        </c:title>
        <c:numFmt formatCode="0.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909376"/>
        <c:crossesAt val="0"/>
        <c:crossBetween val="midCat"/>
        <c:majorUnit val="0.2"/>
        <c:minorUnit val="0.2"/>
      </c:valAx>
      <c:valAx>
        <c:axId val="161909376"/>
        <c:scaling>
          <c:orientation val="minMax"/>
        </c:scaling>
        <c:delete val="0"/>
        <c:axPos val="l"/>
        <c:majorGridlines>
          <c:spPr>
            <a:ln w="3175">
              <a:pattFill prst="pct25">
                <a:fgClr>
                  <a:srgbClr val="000000"/>
                </a:fgClr>
                <a:bgClr>
                  <a:srgbClr val="FFFFFF"/>
                </a:bgClr>
              </a:patt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Torque (%) </a:t>
                </a:r>
              </a:p>
            </c:rich>
          </c:tx>
          <c:layout>
            <c:manualLayout>
              <c:xMode val="edge"/>
              <c:yMode val="edge"/>
              <c:x val="1.4450887445368167E-2"/>
              <c:y val="0.28991656117991971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907456"/>
        <c:crosses val="max"/>
        <c:crossBetween val="midCat"/>
        <c:majorUnit val="50"/>
        <c:minorUnit val="50"/>
      </c:valAx>
      <c:valAx>
        <c:axId val="161923840"/>
        <c:scaling>
          <c:orientation val="maxMin"/>
        </c:scaling>
        <c:delete val="1"/>
        <c:axPos val="b"/>
        <c:numFmt formatCode="0.00" sourceLinked="1"/>
        <c:majorTickMark val="out"/>
        <c:minorTickMark val="none"/>
        <c:tickLblPos val="nextTo"/>
        <c:crossAx val="161925376"/>
        <c:crosses val="autoZero"/>
        <c:crossBetween val="midCat"/>
      </c:valAx>
      <c:valAx>
        <c:axId val="161925376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 sz="8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Current (%)</a:t>
                </a:r>
              </a:p>
            </c:rich>
          </c:tx>
          <c:layout>
            <c:manualLayout>
              <c:xMode val="edge"/>
              <c:yMode val="edge"/>
              <c:x val="0.92774697399263628"/>
              <c:y val="0.2563030468402188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1923840"/>
        <c:crosses val="autoZero"/>
        <c:crossBetween val="midCat"/>
      </c:valAx>
      <c:spPr>
        <a:solidFill>
          <a:srgbClr val="E3E3E3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8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paperSize="9" orientation="landscape" horizontalDpi="-4" verticalDpi="300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400" b="1" i="1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US"/>
              <a:t>Design Values</a:t>
            </a:r>
          </a:p>
        </c:rich>
      </c:tx>
      <c:layout>
        <c:manualLayout>
          <c:xMode val="edge"/>
          <c:yMode val="edge"/>
          <c:x val="0.39122874045494183"/>
          <c:y val="2.85171367383710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859672868134712"/>
          <c:y val="0.14068454124263052"/>
          <c:w val="0.71228192208388519"/>
          <c:h val="0.63308043559183735"/>
        </c:manualLayout>
      </c:layout>
      <c:scatterChart>
        <c:scatterStyle val="smoothMarker"/>
        <c:varyColors val="0"/>
        <c:ser>
          <c:idx val="0"/>
          <c:order val="0"/>
          <c:tx>
            <c:v>Torque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STCurve!$B$54:$B$67</c:f>
              <c:numCache>
                <c:formatCode>0.0</c:formatCode>
                <c:ptCount val="14"/>
                <c:pt idx="0">
                  <c:v>0</c:v>
                </c:pt>
                <c:pt idx="1">
                  <c:v>169.80368081136817</c:v>
                </c:pt>
                <c:pt idx="2">
                  <c:v>275</c:v>
                </c:pt>
                <c:pt idx="3">
                  <c:v>139.76153847161987</c:v>
                </c:pt>
                <c:pt idx="4">
                  <c:v>106.69611308924708</c:v>
                </c:pt>
                <c:pt idx="5">
                  <c:v>92.579596313083897</c:v>
                </c:pt>
                <c:pt idx="6">
                  <c:v>83.358611370982217</c:v>
                </c:pt>
                <c:pt idx="7">
                  <c:v>79.161924503883</c:v>
                </c:pt>
                <c:pt idx="8">
                  <c:v>77</c:v>
                </c:pt>
                <c:pt idx="9">
                  <c:v>77.000977961016147</c:v>
                </c:pt>
                <c:pt idx="10">
                  <c:v>77.002157492807356</c:v>
                </c:pt>
                <c:pt idx="11">
                  <c:v>77.002894882391232</c:v>
                </c:pt>
                <c:pt idx="12">
                  <c:v>77.004031972955502</c:v>
                </c:pt>
                <c:pt idx="13">
                  <c:v>77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79D-460E-9F22-A9A034C75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06656"/>
        <c:axId val="165212928"/>
      </c:scatterChart>
      <c:scatterChart>
        <c:scatterStyle val="lineMarker"/>
        <c:varyColors val="0"/>
        <c:ser>
          <c:idx val="1"/>
          <c:order val="1"/>
          <c:tx>
            <c:v>Current</c:v>
          </c:tx>
          <c:spPr>
            <a:ln w="25400">
              <a:solidFill>
                <a:srgbClr val="000000"/>
              </a:solidFill>
              <a:prstDash val="lgDash"/>
            </a:ln>
          </c:spPr>
          <c:marker>
            <c:symbol val="none"/>
          </c:marker>
          <c:xVal>
            <c:numRef>
              <c:f>STCurve!$A$54:$A$67</c:f>
              <c:numCache>
                <c:formatCode>0.0</c:formatCode>
                <c:ptCount val="14"/>
                <c:pt idx="0">
                  <c:v>100</c:v>
                </c:pt>
                <c:pt idx="1">
                  <c:v>99.799999967217445</c:v>
                </c:pt>
                <c:pt idx="2">
                  <c:v>98.999999836087227</c:v>
                </c:pt>
                <c:pt idx="3">
                  <c:v>93.555555492639542</c:v>
                </c:pt>
                <c:pt idx="4">
                  <c:v>88.111110031604767</c:v>
                </c:pt>
                <c:pt idx="5">
                  <c:v>82.666666805744171</c:v>
                </c:pt>
                <c:pt idx="6">
                  <c:v>71.777775883674622</c:v>
                </c:pt>
                <c:pt idx="7">
                  <c:v>60.88888943195343</c:v>
                </c:pt>
                <c:pt idx="8">
                  <c:v>50</c:v>
                </c:pt>
                <c:pt idx="9">
                  <c:v>39.999997615814209</c:v>
                </c:pt>
                <c:pt idx="10">
                  <c:v>30.000001192092896</c:v>
                </c:pt>
                <c:pt idx="11">
                  <c:v>19.999998807907104</c:v>
                </c:pt>
                <c:pt idx="12">
                  <c:v>10.000002384185791</c:v>
                </c:pt>
                <c:pt idx="13">
                  <c:v>0</c:v>
                </c:pt>
              </c:numCache>
            </c:numRef>
          </c:xVal>
          <c:yVal>
            <c:numRef>
              <c:f>STCurve!$C$54:$C$67</c:f>
              <c:numCache>
                <c:formatCode>0.0</c:formatCode>
                <c:ptCount val="14"/>
                <c:pt idx="0">
                  <c:v>0.14513100683689117</c:v>
                </c:pt>
                <c:pt idx="1">
                  <c:v>181.97735595703125</c:v>
                </c:pt>
                <c:pt idx="2">
                  <c:v>504.9798583984375</c:v>
                </c:pt>
                <c:pt idx="3">
                  <c:v>573.32177734375</c:v>
                </c:pt>
                <c:pt idx="4">
                  <c:v>590.6463623046875</c:v>
                </c:pt>
                <c:pt idx="5">
                  <c:v>598.0946044921875</c:v>
                </c:pt>
                <c:pt idx="6">
                  <c:v>606.0347900390625</c:v>
                </c:pt>
                <c:pt idx="7">
                  <c:v>611.59228515625</c:v>
                </c:pt>
                <c:pt idx="8">
                  <c:v>616.22259521484375</c:v>
                </c:pt>
                <c:pt idx="9">
                  <c:v>620.13067626953125</c:v>
                </c:pt>
                <c:pt idx="10">
                  <c:v>623.416259765625</c:v>
                </c:pt>
                <c:pt idx="11">
                  <c:v>626.18682861328125</c:v>
                </c:pt>
                <c:pt idx="12">
                  <c:v>628.54522705078125</c:v>
                </c:pt>
                <c:pt idx="13">
                  <c:v>630.5784912109375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679D-460E-9F22-A9A034C75B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5214848"/>
        <c:axId val="164049280"/>
      </c:scatterChart>
      <c:valAx>
        <c:axId val="165206656"/>
        <c:scaling>
          <c:orientation val="minMax"/>
          <c:max val="10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Synchronous Speed</a:t>
                </a:r>
              </a:p>
            </c:rich>
          </c:tx>
          <c:layout>
            <c:manualLayout>
              <c:xMode val="edge"/>
              <c:yMode val="edge"/>
              <c:x val="0.33508829339414303"/>
              <c:y val="0.84600838990500782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212928"/>
        <c:crosses val="autoZero"/>
        <c:crossBetween val="midCat"/>
        <c:majorUnit val="20"/>
        <c:minorUnit val="20"/>
      </c:valAx>
      <c:valAx>
        <c:axId val="165212928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Torque</a:t>
                </a:r>
              </a:p>
            </c:rich>
          </c:tx>
          <c:layout>
            <c:manualLayout>
              <c:xMode val="edge"/>
              <c:yMode val="edge"/>
              <c:x val="2.8070223530399414E-2"/>
              <c:y val="0.29657822207905893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206656"/>
        <c:crosses val="autoZero"/>
        <c:crossBetween val="midCat"/>
      </c:valAx>
      <c:valAx>
        <c:axId val="165214848"/>
        <c:scaling>
          <c:orientation val="minMax"/>
        </c:scaling>
        <c:delete val="1"/>
        <c:axPos val="b"/>
        <c:numFmt formatCode="0.0" sourceLinked="1"/>
        <c:majorTickMark val="out"/>
        <c:minorTickMark val="none"/>
        <c:tickLblPos val="nextTo"/>
        <c:crossAx val="164049280"/>
        <c:crosses val="autoZero"/>
        <c:crossBetween val="midCat"/>
      </c:valAx>
      <c:valAx>
        <c:axId val="164049280"/>
        <c:scaling>
          <c:orientation val="minMax"/>
          <c:max val="900"/>
        </c:scaling>
        <c:delete val="0"/>
        <c:axPos val="r"/>
        <c:title>
          <c:tx>
            <c:rich>
              <a:bodyPr/>
              <a:lstStyle/>
              <a:p>
                <a:pPr>
                  <a:defRPr sz="1100" b="0" i="1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Full-Load Current</a:t>
                </a:r>
              </a:p>
            </c:rich>
          </c:tx>
          <c:layout>
            <c:manualLayout>
              <c:xMode val="edge"/>
              <c:yMode val="edge"/>
              <c:x val="0.92456298753253074"/>
              <c:y val="0.29277593718060946"/>
            </c:manualLayout>
          </c:layout>
          <c:overlay val="0"/>
          <c:spPr>
            <a:solidFill>
              <a:srgbClr val="FFFFFF"/>
            </a:solidFill>
            <a:ln w="25400">
              <a:noFill/>
            </a:ln>
          </c:spPr>
        </c:title>
        <c:numFmt formatCode="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100" b="0" i="0" u="none" strike="noStrike" baseline="0">
                <a:solidFill>
                  <a:srgbClr val="00000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65214848"/>
        <c:crosses val="max"/>
        <c:crossBetween val="midCat"/>
        <c:majorUnit val="150"/>
      </c:valAx>
      <c:spPr>
        <a:solidFill>
          <a:srgbClr val="FFFFFF"/>
        </a:solidFill>
        <a:ln w="12700">
          <a:solidFill>
            <a:srgbClr val="000000"/>
          </a:solidFill>
          <a:prstDash val="solid"/>
        </a:ln>
      </c:spPr>
    </c:plotArea>
    <c:legend>
      <c:legendPos val="r"/>
      <c:layout>
        <c:manualLayout>
          <c:xMode val="edge"/>
          <c:yMode val="edge"/>
          <c:x val="0.34210584927674287"/>
          <c:y val="0.94106551236624469"/>
          <c:w val="0.30526368089309364"/>
          <c:h val="4.1825133882944211E-2"/>
        </c:manualLayout>
      </c:layout>
      <c:overlay val="0"/>
      <c:spPr>
        <a:solidFill>
          <a:srgbClr val="FFFFFF"/>
        </a:solidFill>
        <a:ln w="25400">
          <a:noFill/>
        </a:ln>
      </c:spPr>
      <c:txPr>
        <a:bodyPr/>
        <a:lstStyle/>
        <a:p>
          <a:pPr>
            <a:defRPr sz="920" b="0" i="0" u="none" strike="noStrike" baseline="0">
              <a:solidFill>
                <a:srgbClr val="000000"/>
              </a:solidFill>
              <a:latin typeface="Times New Roman"/>
              <a:ea typeface="Times New Roman"/>
              <a:cs typeface="Times New Roman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 orientation="landscape" horizontalDpi="0" verticalDpi="300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82084690553746"/>
          <c:y val="2.3668656149350608E-2"/>
          <c:w val="0.81921824104234531"/>
          <c:h val="0.86834382247930042"/>
        </c:manualLayout>
      </c:layout>
      <c:scatterChart>
        <c:scatterStyle val="smoothMarker"/>
        <c:varyColors val="0"/>
        <c:ser>
          <c:idx val="0"/>
          <c:order val="0"/>
          <c:tx>
            <c:v>Cold Stall</c:v>
          </c:tx>
          <c:spPr>
            <a:ln w="25400">
              <a:solidFill>
                <a:srgbClr val="0080C0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630.57851239669424</c:v>
                </c:pt>
                <c:pt idx="1">
                  <c:v>561.05929421487599</c:v>
                </c:pt>
                <c:pt idx="2">
                  <c:v>491.51921818181819</c:v>
                </c:pt>
                <c:pt idx="3">
                  <c:v>422</c:v>
                </c:pt>
              </c:numCache>
            </c:numRef>
          </c:xVal>
          <c:yVal>
            <c:numRef>
              <c:f>Thermdam!$B$68:$B$71</c:f>
              <c:numCache>
                <c:formatCode>0.00</c:formatCode>
                <c:ptCount val="4"/>
                <c:pt idx="0">
                  <c:v>35</c:v>
                </c:pt>
                <c:pt idx="1">
                  <c:v>44.210849262475534</c:v>
                </c:pt>
                <c:pt idx="2">
                  <c:v>57.605688703077043</c:v>
                </c:pt>
                <c:pt idx="3">
                  <c:v>78.148649571971518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6EB-4444-B0B4-3A75615AFEC4}"/>
            </c:ext>
          </c:extLst>
        </c:ser>
        <c:ser>
          <c:idx val="1"/>
          <c:order val="1"/>
          <c:tx>
            <c:v>Hot Stall</c:v>
          </c:tx>
          <c:spPr>
            <a:ln w="25400">
              <a:solidFill>
                <a:srgbClr val="996666"/>
              </a:solidFill>
              <a:prstDash val="solid"/>
            </a:ln>
          </c:spPr>
          <c:marker>
            <c:symbol val="none"/>
          </c:marker>
          <c:xVal>
            <c:numRef>
              <c:f>Thermdam!$A$68:$A$71</c:f>
              <c:numCache>
                <c:formatCode>0</c:formatCode>
                <c:ptCount val="4"/>
                <c:pt idx="0">
                  <c:v>630.57851239669424</c:v>
                </c:pt>
                <c:pt idx="1">
                  <c:v>561.05929421487599</c:v>
                </c:pt>
                <c:pt idx="2">
                  <c:v>491.51921818181819</c:v>
                </c:pt>
                <c:pt idx="3">
                  <c:v>422</c:v>
                </c:pt>
              </c:numCache>
            </c:numRef>
          </c:xVal>
          <c:yVal>
            <c:numRef>
              <c:f>Thermdam!$C$68:$C$71</c:f>
              <c:numCache>
                <c:formatCode>0.00</c:formatCode>
                <c:ptCount val="4"/>
                <c:pt idx="0">
                  <c:v>15</c:v>
                </c:pt>
                <c:pt idx="1">
                  <c:v>18.947506826775228</c:v>
                </c:pt>
                <c:pt idx="2">
                  <c:v>24.688152301318731</c:v>
                </c:pt>
                <c:pt idx="3">
                  <c:v>33.492278387987788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16EB-4444-B0B4-3A75615AFEC4}"/>
            </c:ext>
          </c:extLst>
        </c:ser>
        <c:ser>
          <c:idx val="2"/>
          <c:order val="2"/>
          <c:tx>
            <c:v>Running Condition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xVal>
            <c:numRef>
              <c:f>Thermdam!$A$72:$A$79</c:f>
              <c:numCache>
                <c:formatCode>0</c:formatCode>
                <c:ptCount val="8"/>
                <c:pt idx="0">
                  <c:v>322</c:v>
                </c:pt>
                <c:pt idx="1">
                  <c:v>222</c:v>
                </c:pt>
                <c:pt idx="2">
                  <c:v>275</c:v>
                </c:pt>
                <c:pt idx="3" formatCode="General">
                  <c:v>180</c:v>
                </c:pt>
                <c:pt idx="4" formatCode="General">
                  <c:v>120</c:v>
                </c:pt>
                <c:pt idx="5" formatCode="General">
                  <c:v>110</c:v>
                </c:pt>
                <c:pt idx="6" formatCode="General">
                  <c:v>110</c:v>
                </c:pt>
                <c:pt idx="7" formatCode="General">
                  <c:v>110</c:v>
                </c:pt>
              </c:numCache>
            </c:numRef>
          </c:xVal>
          <c:yVal>
            <c:numRef>
              <c:f>Thermdam!$C$72:$C$79</c:f>
              <c:numCache>
                <c:formatCode>0.00</c:formatCode>
                <c:ptCount val="8"/>
                <c:pt idx="2">
                  <c:v>78.868613612514622</c:v>
                </c:pt>
                <c:pt idx="3">
                  <c:v>184.08762050760549</c:v>
                </c:pt>
                <c:pt idx="4">
                  <c:v>414.19714614211239</c:v>
                </c:pt>
                <c:pt idx="5" formatCode="0">
                  <c:v>900</c:v>
                </c:pt>
                <c:pt idx="6" formatCode="0">
                  <c:v>1800</c:v>
                </c:pt>
                <c:pt idx="7" formatCode="General">
                  <c:v>10000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16EB-4444-B0B4-3A75615AFEC4}"/>
            </c:ext>
          </c:extLst>
        </c:ser>
        <c:ser>
          <c:idx val="3"/>
          <c:order val="3"/>
          <c:tx>
            <c:v>Acceleration Curve</c:v>
          </c:tx>
          <c:spPr>
            <a:ln w="25400">
              <a:solidFill>
                <a:srgbClr val="336666"/>
              </a:solidFill>
              <a:prstDash val="solid"/>
            </a:ln>
          </c:spPr>
          <c:marker>
            <c:symbol val="none"/>
          </c:marker>
          <c:xVal>
            <c:numRef>
              <c:f>Thermdam!$E$68:$E$81</c:f>
              <c:numCache>
                <c:formatCode>0</c:formatCode>
                <c:ptCount val="14"/>
                <c:pt idx="0">
                  <c:v>630.57851239669424</c:v>
                </c:pt>
                <c:pt idx="1">
                  <c:v>629.58677685950408</c:v>
                </c:pt>
                <c:pt idx="2">
                  <c:v>627.35537190082641</c:v>
                </c:pt>
                <c:pt idx="3">
                  <c:v>624.7933884297521</c:v>
                </c:pt>
                <c:pt idx="4">
                  <c:v>621.7355371900826</c:v>
                </c:pt>
                <c:pt idx="5">
                  <c:v>618.18181818181813</c:v>
                </c:pt>
                <c:pt idx="6">
                  <c:v>613.88429752066111</c:v>
                </c:pt>
                <c:pt idx="7">
                  <c:v>608.84297520661153</c:v>
                </c:pt>
                <c:pt idx="8">
                  <c:v>602.06611570247935</c:v>
                </c:pt>
                <c:pt idx="9">
                  <c:v>594.38016528925618</c:v>
                </c:pt>
                <c:pt idx="10">
                  <c:v>581.98347107438019</c:v>
                </c:pt>
                <c:pt idx="11">
                  <c:v>539.17355371900828</c:v>
                </c:pt>
                <c:pt idx="12">
                  <c:v>343.47107438016531</c:v>
                </c:pt>
                <c:pt idx="13">
                  <c:v>0</c:v>
                </c:pt>
              </c:numCache>
            </c:numRef>
          </c:xVal>
          <c:yVal>
            <c:numRef>
              <c:f>Thermdam!$F$68:$F$81</c:f>
              <c:numCache>
                <c:formatCode>0.00</c:formatCode>
                <c:ptCount val="14"/>
                <c:pt idx="0">
                  <c:v>1E-4</c:v>
                </c:pt>
                <c:pt idx="1">
                  <c:v>1.0950000286102295</c:v>
                </c:pt>
                <c:pt idx="2">
                  <c:v>2.0060000419616699</c:v>
                </c:pt>
                <c:pt idx="3">
                  <c:v>2.8580000400543213</c:v>
                </c:pt>
                <c:pt idx="4">
                  <c:v>3.7100000381469727</c:v>
                </c:pt>
                <c:pt idx="5">
                  <c:v>4.6139998435974121</c:v>
                </c:pt>
                <c:pt idx="6">
                  <c:v>5.7039999961853027</c:v>
                </c:pt>
                <c:pt idx="7">
                  <c:v>6.9580001831054688</c:v>
                </c:pt>
                <c:pt idx="8">
                  <c:v>8.505000114440918</c:v>
                </c:pt>
                <c:pt idx="9">
                  <c:v>9.3780002593994141</c:v>
                </c:pt>
                <c:pt idx="10">
                  <c:v>10.067999839782715</c:v>
                </c:pt>
                <c:pt idx="11">
                  <c:v>10.345999717712402</c:v>
                </c:pt>
                <c:pt idx="12">
                  <c:v>10.38499927520752</c:v>
                </c:pt>
                <c:pt idx="13">
                  <c:v>10.418999671936035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16EB-4444-B0B4-3A75615AFE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63221888"/>
        <c:axId val="163223808"/>
      </c:scatterChart>
      <c:valAx>
        <c:axId val="163221888"/>
        <c:scaling>
          <c:orientation val="minMax"/>
          <c:max val="1000"/>
          <c:min val="0"/>
        </c:scaling>
        <c:delete val="0"/>
        <c:axPos val="b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Percent of Full Load Current</a:t>
                </a:r>
              </a:p>
            </c:rich>
          </c:tx>
          <c:layout>
            <c:manualLayout>
              <c:xMode val="edge"/>
              <c:yMode val="edge"/>
              <c:x val="0.41530944625407168"/>
              <c:y val="0.94970482799269307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1"/>
        <c:majorTickMark val="out"/>
        <c:minorTickMark val="in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23808"/>
        <c:crossesAt val="0.1"/>
        <c:crossBetween val="midCat"/>
        <c:majorUnit val="100"/>
      </c:valAx>
      <c:valAx>
        <c:axId val="163223808"/>
        <c:scaling>
          <c:logBase val="10"/>
          <c:orientation val="minMax"/>
          <c:max val="10000"/>
          <c:min val="1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minorGridlines>
          <c:spPr>
            <a:ln w="3175">
              <a:solidFill>
                <a:srgbClr val="000000"/>
              </a:solidFill>
              <a:prstDash val="solid"/>
            </a:ln>
          </c:spPr>
        </c:minorGridlines>
        <c:title>
          <c:tx>
            <c:rich>
              <a:bodyPr/>
              <a:lstStyle/>
              <a:p>
                <a:pPr>
                  <a:defRPr sz="1200" b="1" i="0" u="none" strike="noStrike" baseline="0">
                    <a:solidFill>
                      <a:srgbClr val="000000"/>
                    </a:solidFill>
                    <a:latin typeface="Times New Roman"/>
                    <a:ea typeface="Times New Roman"/>
                    <a:cs typeface="Times New Roman"/>
                  </a:defRPr>
                </a:pPr>
                <a:r>
                  <a:rPr lang="en-US"/>
                  <a:t>Time in Seconds</a:t>
                </a:r>
              </a:p>
            </c:rich>
          </c:tx>
          <c:layout>
            <c:manualLayout>
              <c:xMode val="edge"/>
              <c:yMode val="edge"/>
              <c:x val="3.5830618892508145E-2"/>
              <c:y val="0.3757399163709409"/>
            </c:manualLayout>
          </c:layout>
          <c:overlay val="0"/>
          <c:spPr>
            <a:noFill/>
            <a:ln w="25400">
              <a:noFill/>
            </a:ln>
          </c:spPr>
        </c:title>
        <c:numFmt formatCode="0" sourceLinked="0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75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63221888"/>
        <c:crosses val="autoZero"/>
        <c:crossBetween val="midCat"/>
        <c:minorUnit val="1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7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" r="0.75" t="1" header="0.5" footer="0.5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56</xdr:row>
      <xdr:rowOff>9525</xdr:rowOff>
    </xdr:from>
    <xdr:to>
      <xdr:col>9</xdr:col>
      <xdr:colOff>809625</xdr:colOff>
      <xdr:row>67</xdr:row>
      <xdr:rowOff>180975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152400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2" name="Rectangle 1"/>
        <xdr:cNvSpPr>
          <a:spLocks noChangeArrowheads="1"/>
        </xdr:cNvSpPr>
      </xdr:nvSpPr>
      <xdr:spPr bwMode="auto">
        <a:xfrm>
          <a:off x="5495925" y="989647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43</xdr:row>
      <xdr:rowOff>0</xdr:rowOff>
    </xdr:from>
    <xdr:to>
      <xdr:col>9</xdr:col>
      <xdr:colOff>333375</xdr:colOff>
      <xdr:row>43</xdr:row>
      <xdr:rowOff>0</xdr:rowOff>
    </xdr:to>
    <xdr:sp macro="" textlink="">
      <xdr:nvSpPr>
        <xdr:cNvPr id="3" name="Rectangle 2"/>
        <xdr:cNvSpPr>
          <a:spLocks noChangeArrowheads="1"/>
        </xdr:cNvSpPr>
      </xdr:nvSpPr>
      <xdr:spPr bwMode="auto">
        <a:xfrm>
          <a:off x="5362575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43</xdr:row>
      <xdr:rowOff>0</xdr:rowOff>
    </xdr:from>
    <xdr:to>
      <xdr:col>9</xdr:col>
      <xdr:colOff>342900</xdr:colOff>
      <xdr:row>43</xdr:row>
      <xdr:rowOff>0</xdr:rowOff>
    </xdr:to>
    <xdr:sp macro="" textlink="">
      <xdr:nvSpPr>
        <xdr:cNvPr id="4" name="Rectangle 3"/>
        <xdr:cNvSpPr>
          <a:spLocks noChangeArrowheads="1"/>
        </xdr:cNvSpPr>
      </xdr:nvSpPr>
      <xdr:spPr bwMode="auto">
        <a:xfrm>
          <a:off x="5372100" y="989647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43</xdr:row>
      <xdr:rowOff>0</xdr:rowOff>
    </xdr:from>
    <xdr:to>
      <xdr:col>9</xdr:col>
      <xdr:colOff>409575</xdr:colOff>
      <xdr:row>43</xdr:row>
      <xdr:rowOff>0</xdr:rowOff>
    </xdr:to>
    <xdr:sp macro="" textlink="">
      <xdr:nvSpPr>
        <xdr:cNvPr id="5" name="Rectangle 4"/>
        <xdr:cNvSpPr>
          <a:spLocks noChangeArrowheads="1"/>
        </xdr:cNvSpPr>
      </xdr:nvSpPr>
      <xdr:spPr bwMode="auto">
        <a:xfrm>
          <a:off x="5343525" y="989647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43</xdr:row>
      <xdr:rowOff>0</xdr:rowOff>
    </xdr:from>
    <xdr:to>
      <xdr:col>9</xdr:col>
      <xdr:colOff>361950</xdr:colOff>
      <xdr:row>43</xdr:row>
      <xdr:rowOff>0</xdr:rowOff>
    </xdr:to>
    <xdr:sp macro="" textlink="">
      <xdr:nvSpPr>
        <xdr:cNvPr id="6" name="Rectangle 5"/>
        <xdr:cNvSpPr>
          <a:spLocks noChangeArrowheads="1"/>
        </xdr:cNvSpPr>
      </xdr:nvSpPr>
      <xdr:spPr bwMode="auto">
        <a:xfrm>
          <a:off x="5486400" y="989647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35</xdr:row>
      <xdr:rowOff>123825</xdr:rowOff>
    </xdr:from>
    <xdr:to>
      <xdr:col>3</xdr:col>
      <xdr:colOff>504825</xdr:colOff>
      <xdr:row>36</xdr:row>
      <xdr:rowOff>28575</xdr:rowOff>
    </xdr:to>
    <xdr:sp macro="" textlink="">
      <xdr:nvSpPr>
        <xdr:cNvPr id="29" name="Depth2"/>
        <xdr:cNvSpPr txBox="1">
          <a:spLocks noChangeArrowheads="1"/>
        </xdr:cNvSpPr>
      </xdr:nvSpPr>
      <xdr:spPr bwMode="auto">
        <a:xfrm>
          <a:off x="1895475" y="8191500"/>
          <a:ext cx="30480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41.41</a:t>
          </a:r>
        </a:p>
      </xdr:txBody>
    </xdr:sp>
    <xdr:clientData/>
  </xdr:twoCellAnchor>
  <xdr:twoCellAnchor>
    <xdr:from>
      <xdr:col>1</xdr:col>
      <xdr:colOff>190500</xdr:colOff>
      <xdr:row>33</xdr:row>
      <xdr:rowOff>180975</xdr:rowOff>
    </xdr:from>
    <xdr:to>
      <xdr:col>2</xdr:col>
      <xdr:colOff>9525</xdr:colOff>
      <xdr:row>34</xdr:row>
      <xdr:rowOff>66675</xdr:rowOff>
    </xdr:to>
    <xdr:sp macro="" textlink="">
      <xdr:nvSpPr>
        <xdr:cNvPr id="30" name="Tip2"/>
        <xdr:cNvSpPr txBox="1">
          <a:spLocks noChangeArrowheads="1"/>
        </xdr:cNvSpPr>
      </xdr:nvSpPr>
      <xdr:spPr bwMode="auto">
        <a:xfrm>
          <a:off x="981075" y="7791450"/>
          <a:ext cx="228600" cy="1143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6.00</a:t>
          </a:r>
        </a:p>
      </xdr:txBody>
    </xdr:sp>
    <xdr:clientData/>
  </xdr:twoCellAnchor>
  <xdr:twoCellAnchor>
    <xdr:from>
      <xdr:col>2</xdr:col>
      <xdr:colOff>161925</xdr:colOff>
      <xdr:row>33</xdr:row>
      <xdr:rowOff>38100</xdr:rowOff>
    </xdr:from>
    <xdr:to>
      <xdr:col>2</xdr:col>
      <xdr:colOff>485775</xdr:colOff>
      <xdr:row>33</xdr:row>
      <xdr:rowOff>180975</xdr:rowOff>
    </xdr:to>
    <xdr:sp macro="" textlink="">
      <xdr:nvSpPr>
        <xdr:cNvPr id="31" name="Opening"/>
        <xdr:cNvSpPr txBox="1">
          <a:spLocks noChangeArrowheads="1"/>
        </xdr:cNvSpPr>
      </xdr:nvSpPr>
      <xdr:spPr bwMode="auto">
        <a:xfrm>
          <a:off x="1362075" y="7648575"/>
          <a:ext cx="323850" cy="1428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3.00</a:t>
          </a:r>
        </a:p>
      </xdr:txBody>
    </xdr:sp>
    <xdr:clientData/>
  </xdr:twoCellAnchor>
  <xdr:twoCellAnchor>
    <xdr:from>
      <xdr:col>2</xdr:col>
      <xdr:colOff>142875</xdr:colOff>
      <xdr:row>36</xdr:row>
      <xdr:rowOff>190500</xdr:rowOff>
    </xdr:from>
    <xdr:to>
      <xdr:col>3</xdr:col>
      <xdr:colOff>0</xdr:colOff>
      <xdr:row>37</xdr:row>
      <xdr:rowOff>66675</xdr:rowOff>
    </xdr:to>
    <xdr:sp macro="" textlink="">
      <xdr:nvSpPr>
        <xdr:cNvPr id="32" name="Width3"/>
        <xdr:cNvSpPr txBox="1">
          <a:spLocks noChangeArrowheads="1"/>
        </xdr:cNvSpPr>
      </xdr:nvSpPr>
      <xdr:spPr bwMode="auto">
        <a:xfrm>
          <a:off x="1343025" y="8486775"/>
          <a:ext cx="3524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14.12</a:t>
          </a:r>
        </a:p>
      </xdr:txBody>
    </xdr:sp>
    <xdr:clientData/>
  </xdr:twoCellAnchor>
  <xdr:twoCellAnchor>
    <xdr:from>
      <xdr:col>2</xdr:col>
      <xdr:colOff>161925</xdr:colOff>
      <xdr:row>34</xdr:row>
      <xdr:rowOff>161925</xdr:rowOff>
    </xdr:from>
    <xdr:to>
      <xdr:col>2</xdr:col>
      <xdr:colOff>485775</xdr:colOff>
      <xdr:row>35</xdr:row>
      <xdr:rowOff>66675</xdr:rowOff>
    </xdr:to>
    <xdr:sp macro="" textlink="">
      <xdr:nvSpPr>
        <xdr:cNvPr id="33" name="Width2"/>
        <xdr:cNvSpPr txBox="1">
          <a:spLocks noChangeArrowheads="1"/>
        </xdr:cNvSpPr>
      </xdr:nvSpPr>
      <xdr:spPr bwMode="auto">
        <a:xfrm>
          <a:off x="1362075" y="8001000"/>
          <a:ext cx="323850" cy="1333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5.72</a:t>
          </a:r>
        </a:p>
      </xdr:txBody>
    </xdr:sp>
    <xdr:clientData/>
  </xdr:twoCellAnchor>
  <xdr:twoCellAnchor>
    <xdr:from>
      <xdr:col>1</xdr:col>
      <xdr:colOff>390525</xdr:colOff>
      <xdr:row>33</xdr:row>
      <xdr:rowOff>171450</xdr:rowOff>
    </xdr:from>
    <xdr:to>
      <xdr:col>3</xdr:col>
      <xdr:colOff>352425</xdr:colOff>
      <xdr:row>37</xdr:row>
      <xdr:rowOff>209550</xdr:rowOff>
    </xdr:to>
    <xdr:grpSp>
      <xdr:nvGrpSpPr>
        <xdr:cNvPr id="34" name="Group 190"/>
        <xdr:cNvGrpSpPr>
          <a:grpSpLocks/>
        </xdr:cNvGrpSpPr>
      </xdr:nvGrpSpPr>
      <xdr:grpSpPr bwMode="auto">
        <a:xfrm>
          <a:off x="1205865" y="7768590"/>
          <a:ext cx="891540" cy="952500"/>
          <a:chOff x="120" y="793"/>
          <a:chExt cx="91" cy="100"/>
        </a:xfrm>
      </xdr:grpSpPr>
      <xdr:sp macro="" textlink="">
        <xdr:nvSpPr>
          <xdr:cNvPr id="35" name="Line 100"/>
          <xdr:cNvSpPr>
            <a:spLocks noChangeShapeType="1"/>
          </xdr:cNvSpPr>
        </xdr:nvSpPr>
        <xdr:spPr bwMode="auto">
          <a:xfrm>
            <a:off x="139" y="813"/>
            <a:ext cx="32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6" name="Line 149"/>
          <xdr:cNvSpPr>
            <a:spLocks noChangeShapeType="1"/>
          </xdr:cNvSpPr>
        </xdr:nvSpPr>
        <xdr:spPr bwMode="auto">
          <a:xfrm>
            <a:off x="128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7" name="Line 150"/>
          <xdr:cNvSpPr>
            <a:spLocks noChangeShapeType="1"/>
          </xdr:cNvSpPr>
        </xdr:nvSpPr>
        <xdr:spPr bwMode="auto">
          <a:xfrm flipH="1">
            <a:off x="164" y="793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8" name="Line 151"/>
          <xdr:cNvSpPr>
            <a:spLocks noChangeShapeType="1"/>
          </xdr:cNvSpPr>
        </xdr:nvSpPr>
        <xdr:spPr bwMode="auto">
          <a:xfrm flipH="1">
            <a:off x="127" y="879"/>
            <a:ext cx="1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39" name="Line 152"/>
          <xdr:cNvSpPr>
            <a:spLocks noChangeShapeType="1"/>
          </xdr:cNvSpPr>
        </xdr:nvSpPr>
        <xdr:spPr bwMode="auto">
          <a:xfrm>
            <a:off x="147" y="880"/>
            <a:ext cx="3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0" name="Line 156"/>
          <xdr:cNvSpPr>
            <a:spLocks noChangeShapeType="1"/>
          </xdr:cNvSpPr>
        </xdr:nvSpPr>
        <xdr:spPr bwMode="auto">
          <a:xfrm flipV="1">
            <a:off x="194" y="8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1" name="Line 157"/>
          <xdr:cNvSpPr>
            <a:spLocks noChangeShapeType="1"/>
          </xdr:cNvSpPr>
        </xdr:nvSpPr>
        <xdr:spPr bwMode="auto">
          <a:xfrm flipV="1">
            <a:off x="204" y="794"/>
            <a:ext cx="0" cy="3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2" name="Line 158"/>
          <xdr:cNvSpPr>
            <a:spLocks noChangeShapeType="1"/>
          </xdr:cNvSpPr>
        </xdr:nvSpPr>
        <xdr:spPr bwMode="auto">
          <a:xfrm>
            <a:off x="204" y="849"/>
            <a:ext cx="0" cy="43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3" name="Line 159"/>
          <xdr:cNvSpPr>
            <a:spLocks noChangeShapeType="1"/>
          </xdr:cNvSpPr>
        </xdr:nvSpPr>
        <xdr:spPr bwMode="auto">
          <a:xfrm>
            <a:off x="194" y="793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4" name="Line 160"/>
          <xdr:cNvSpPr>
            <a:spLocks noChangeShapeType="1"/>
          </xdr:cNvSpPr>
        </xdr:nvSpPr>
        <xdr:spPr bwMode="auto">
          <a:xfrm flipH="1">
            <a:off x="120" y="804"/>
            <a:ext cx="2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5" name="Line 161"/>
          <xdr:cNvSpPr>
            <a:spLocks noChangeShapeType="1"/>
          </xdr:cNvSpPr>
        </xdr:nvSpPr>
        <xdr:spPr bwMode="auto">
          <a:xfrm flipV="1">
            <a:off x="127" y="874"/>
            <a:ext cx="0" cy="1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6" name="Line 162"/>
          <xdr:cNvSpPr>
            <a:spLocks noChangeShapeType="1"/>
          </xdr:cNvSpPr>
        </xdr:nvSpPr>
        <xdr:spPr bwMode="auto">
          <a:xfrm flipV="1">
            <a:off x="184" y="871"/>
            <a:ext cx="0" cy="2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7" name="Line 163"/>
          <xdr:cNvSpPr>
            <a:spLocks noChangeShapeType="1"/>
          </xdr:cNvSpPr>
        </xdr:nvSpPr>
        <xdr:spPr bwMode="auto">
          <a:xfrm flipV="1">
            <a:off x="137" y="804"/>
            <a:ext cx="1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8" name="Line 164"/>
          <xdr:cNvSpPr>
            <a:spLocks noChangeShapeType="1"/>
          </xdr:cNvSpPr>
        </xdr:nvSpPr>
        <xdr:spPr bwMode="auto">
          <a:xfrm flipH="1">
            <a:off x="127" y="813"/>
            <a:ext cx="10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49" name="Line 165"/>
          <xdr:cNvSpPr>
            <a:spLocks noChangeShapeType="1"/>
          </xdr:cNvSpPr>
        </xdr:nvSpPr>
        <xdr:spPr bwMode="auto">
          <a:xfrm flipV="1">
            <a:off x="147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0" name="Line 166"/>
          <xdr:cNvSpPr>
            <a:spLocks noChangeShapeType="1"/>
          </xdr:cNvSpPr>
        </xdr:nvSpPr>
        <xdr:spPr bwMode="auto">
          <a:xfrm>
            <a:off x="164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1" name="Line 168"/>
          <xdr:cNvSpPr>
            <a:spLocks noChangeShapeType="1"/>
          </xdr:cNvSpPr>
        </xdr:nvSpPr>
        <xdr:spPr bwMode="auto">
          <a:xfrm>
            <a:off x="132" y="793"/>
            <a:ext cx="0" cy="1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2" name="Line 169"/>
          <xdr:cNvSpPr>
            <a:spLocks noChangeShapeType="1"/>
          </xdr:cNvSpPr>
        </xdr:nvSpPr>
        <xdr:spPr bwMode="auto">
          <a:xfrm flipH="1" flipV="1">
            <a:off x="132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3" name="Line 170"/>
          <xdr:cNvSpPr>
            <a:spLocks noChangeShapeType="1"/>
          </xdr:cNvSpPr>
        </xdr:nvSpPr>
        <xdr:spPr bwMode="auto">
          <a:xfrm flipV="1">
            <a:off x="130" y="793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4" name="Line 171"/>
          <xdr:cNvSpPr>
            <a:spLocks noChangeShapeType="1"/>
          </xdr:cNvSpPr>
        </xdr:nvSpPr>
        <xdr:spPr bwMode="auto">
          <a:xfrm flipV="1">
            <a:off x="132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5" name="Line 172"/>
          <xdr:cNvSpPr>
            <a:spLocks noChangeShapeType="1"/>
          </xdr:cNvSpPr>
        </xdr:nvSpPr>
        <xdr:spPr bwMode="auto">
          <a:xfrm flipH="1" flipV="1">
            <a:off x="130" y="800"/>
            <a:ext cx="2" cy="4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6" name="Line 173"/>
          <xdr:cNvSpPr>
            <a:spLocks noChangeShapeType="1"/>
          </xdr:cNvSpPr>
        </xdr:nvSpPr>
        <xdr:spPr bwMode="auto">
          <a:xfrm>
            <a:off x="173" y="813"/>
            <a:ext cx="11" cy="7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7" name="Line 174"/>
          <xdr:cNvSpPr>
            <a:spLocks noChangeShapeType="1"/>
          </xdr:cNvSpPr>
        </xdr:nvSpPr>
        <xdr:spPr bwMode="auto">
          <a:xfrm>
            <a:off x="164" y="805"/>
            <a:ext cx="9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8" name="Line 175"/>
          <xdr:cNvSpPr>
            <a:spLocks noChangeShapeType="1"/>
          </xdr:cNvSpPr>
        </xdr:nvSpPr>
        <xdr:spPr bwMode="auto">
          <a:xfrm>
            <a:off x="127" y="893"/>
            <a:ext cx="5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59" name="Line 176"/>
          <xdr:cNvSpPr>
            <a:spLocks noChangeShapeType="1"/>
          </xdr:cNvSpPr>
        </xdr:nvSpPr>
        <xdr:spPr bwMode="auto">
          <a:xfrm>
            <a:off x="147" y="796"/>
            <a:ext cx="1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0" name="Line 177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1" name="Line 178"/>
          <xdr:cNvSpPr>
            <a:spLocks noChangeShapeType="1"/>
          </xdr:cNvSpPr>
        </xdr:nvSpPr>
        <xdr:spPr bwMode="auto">
          <a:xfrm flipH="1" flipV="1">
            <a:off x="147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2" name="Line 179"/>
          <xdr:cNvSpPr>
            <a:spLocks noChangeShapeType="1"/>
          </xdr:cNvSpPr>
        </xdr:nvSpPr>
        <xdr:spPr bwMode="auto">
          <a:xfrm flipH="1">
            <a:off x="147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3" name="Line 180"/>
          <xdr:cNvSpPr>
            <a:spLocks noChangeShapeType="1"/>
          </xdr:cNvSpPr>
        </xdr:nvSpPr>
        <xdr:spPr bwMode="auto">
          <a:xfrm flipV="1">
            <a:off x="161" y="796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4" name="Line 181"/>
          <xdr:cNvSpPr>
            <a:spLocks noChangeShapeType="1"/>
          </xdr:cNvSpPr>
        </xdr:nvSpPr>
        <xdr:spPr bwMode="auto">
          <a:xfrm>
            <a:off x="161" y="794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5" name="Line 182"/>
          <xdr:cNvSpPr>
            <a:spLocks noChangeShapeType="1"/>
          </xdr:cNvSpPr>
        </xdr:nvSpPr>
        <xdr:spPr bwMode="auto">
          <a:xfrm flipH="1" flipV="1">
            <a:off x="139" y="813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6" name="Line 183"/>
          <xdr:cNvSpPr>
            <a:spLocks noChangeShapeType="1"/>
          </xdr:cNvSpPr>
        </xdr:nvSpPr>
        <xdr:spPr bwMode="auto">
          <a:xfrm flipV="1">
            <a:off x="168" y="813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7" name="Line 184"/>
          <xdr:cNvSpPr>
            <a:spLocks noChangeShapeType="1"/>
          </xdr:cNvSpPr>
        </xdr:nvSpPr>
        <xdr:spPr bwMode="auto">
          <a:xfrm flipH="1" flipV="1">
            <a:off x="168" y="811"/>
            <a:ext cx="3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68" name="Line 185"/>
          <xdr:cNvSpPr>
            <a:spLocks noChangeShapeType="1"/>
          </xdr:cNvSpPr>
        </xdr:nvSpPr>
        <xdr:spPr bwMode="auto">
          <a:xfrm flipV="1">
            <a:off x="139" y="811"/>
            <a:ext cx="4" cy="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3</xdr:col>
      <xdr:colOff>123825</xdr:colOff>
      <xdr:row>29</xdr:row>
      <xdr:rowOff>85725</xdr:rowOff>
    </xdr:from>
    <xdr:to>
      <xdr:col>3</xdr:col>
      <xdr:colOff>409575</xdr:colOff>
      <xdr:row>29</xdr:row>
      <xdr:rowOff>209550</xdr:rowOff>
    </xdr:to>
    <xdr:sp macro="" textlink="">
      <xdr:nvSpPr>
        <xdr:cNvPr id="69" name="Depth"/>
        <xdr:cNvSpPr txBox="1">
          <a:spLocks noChangeArrowheads="1"/>
        </xdr:cNvSpPr>
      </xdr:nvSpPr>
      <xdr:spPr bwMode="auto">
        <a:xfrm>
          <a:off x="1819275" y="6781800"/>
          <a:ext cx="285750" cy="12382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65.0</a:t>
          </a:r>
        </a:p>
      </xdr:txBody>
    </xdr:sp>
    <xdr:clientData/>
  </xdr:twoCellAnchor>
  <xdr:twoCellAnchor>
    <xdr:from>
      <xdr:col>1</xdr:col>
      <xdr:colOff>38100</xdr:colOff>
      <xdr:row>31</xdr:row>
      <xdr:rowOff>0</xdr:rowOff>
    </xdr:from>
    <xdr:to>
      <xdr:col>2</xdr:col>
      <xdr:colOff>19050</xdr:colOff>
      <xdr:row>31</xdr:row>
      <xdr:rowOff>104775</xdr:rowOff>
    </xdr:to>
    <xdr:sp macro="" textlink="">
      <xdr:nvSpPr>
        <xdr:cNvPr id="70" name="Tip"/>
        <xdr:cNvSpPr txBox="1">
          <a:spLocks noChangeArrowheads="1"/>
        </xdr:cNvSpPr>
      </xdr:nvSpPr>
      <xdr:spPr bwMode="auto">
        <a:xfrm>
          <a:off x="828675" y="7153275"/>
          <a:ext cx="390525" cy="104775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3.65</a:t>
          </a:r>
        </a:p>
      </xdr:txBody>
    </xdr:sp>
    <xdr:clientData/>
  </xdr:twoCellAnchor>
  <xdr:twoCellAnchor>
    <xdr:from>
      <xdr:col>2</xdr:col>
      <xdr:colOff>142875</xdr:colOff>
      <xdr:row>26</xdr:row>
      <xdr:rowOff>200025</xdr:rowOff>
    </xdr:from>
    <xdr:to>
      <xdr:col>3</xdr:col>
      <xdr:colOff>47625</xdr:colOff>
      <xdr:row>27</xdr:row>
      <xdr:rowOff>66675</xdr:rowOff>
    </xdr:to>
    <xdr:sp macro="" textlink="">
      <xdr:nvSpPr>
        <xdr:cNvPr id="71" name="Width"/>
        <xdr:cNvSpPr txBox="1">
          <a:spLocks noChangeArrowheads="1"/>
        </xdr:cNvSpPr>
      </xdr:nvSpPr>
      <xdr:spPr bwMode="auto">
        <a:xfrm>
          <a:off x="1343025" y="6210300"/>
          <a:ext cx="400050" cy="9525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14.3</a:t>
          </a:r>
        </a:p>
      </xdr:txBody>
    </xdr:sp>
    <xdr:clientData/>
  </xdr:twoCellAnchor>
  <xdr:twoCellAnchor>
    <xdr:from>
      <xdr:col>1</xdr:col>
      <xdr:colOff>333375</xdr:colOff>
      <xdr:row>27</xdr:row>
      <xdr:rowOff>57150</xdr:rowOff>
    </xdr:from>
    <xdr:to>
      <xdr:col>3</xdr:col>
      <xdr:colOff>371475</xdr:colOff>
      <xdr:row>31</xdr:row>
      <xdr:rowOff>219075</xdr:rowOff>
    </xdr:to>
    <xdr:grpSp>
      <xdr:nvGrpSpPr>
        <xdr:cNvPr id="72" name="Group 254"/>
        <xdr:cNvGrpSpPr>
          <a:grpSpLocks/>
        </xdr:cNvGrpSpPr>
      </xdr:nvGrpSpPr>
      <xdr:grpSpPr bwMode="auto">
        <a:xfrm>
          <a:off x="1148715" y="6282690"/>
          <a:ext cx="967740" cy="1076325"/>
          <a:chOff x="118" y="637"/>
          <a:chExt cx="99" cy="113"/>
        </a:xfrm>
      </xdr:grpSpPr>
      <xdr:sp macro="" textlink="">
        <xdr:nvSpPr>
          <xdr:cNvPr id="73" name="Line 229"/>
          <xdr:cNvSpPr>
            <a:spLocks noChangeShapeType="1"/>
          </xdr:cNvSpPr>
        </xdr:nvSpPr>
        <xdr:spPr bwMode="auto">
          <a:xfrm flipH="1">
            <a:off x="182" y="651"/>
            <a:ext cx="1" cy="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4" name="Line 230"/>
          <xdr:cNvSpPr>
            <a:spLocks noChangeShapeType="1"/>
          </xdr:cNvSpPr>
        </xdr:nvSpPr>
        <xdr:spPr bwMode="auto">
          <a:xfrm flipH="1">
            <a:off x="134" y="652"/>
            <a:ext cx="49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5" name="Line 231"/>
          <xdr:cNvSpPr>
            <a:spLocks noChangeShapeType="1"/>
          </xdr:cNvSpPr>
        </xdr:nvSpPr>
        <xdr:spPr bwMode="auto">
          <a:xfrm>
            <a:off x="183" y="651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6" name="Line 232"/>
          <xdr:cNvSpPr>
            <a:spLocks noChangeShapeType="1"/>
          </xdr:cNvSpPr>
        </xdr:nvSpPr>
        <xdr:spPr bwMode="auto">
          <a:xfrm>
            <a:off x="136" y="652"/>
            <a:ext cx="0" cy="72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7" name="Line 233"/>
          <xdr:cNvSpPr>
            <a:spLocks noChangeShapeType="1"/>
          </xdr:cNvSpPr>
        </xdr:nvSpPr>
        <xdr:spPr bwMode="auto">
          <a:xfrm>
            <a:off x="130" y="724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8" name="Line 234"/>
          <xdr:cNvSpPr>
            <a:spLocks noChangeShapeType="1"/>
          </xdr:cNvSpPr>
        </xdr:nvSpPr>
        <xdr:spPr bwMode="auto">
          <a:xfrm flipH="1">
            <a:off x="190" y="729"/>
            <a:ext cx="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79" name="Line 235"/>
          <xdr:cNvSpPr>
            <a:spLocks noChangeShapeType="1"/>
          </xdr:cNvSpPr>
        </xdr:nvSpPr>
        <xdr:spPr bwMode="auto">
          <a:xfrm>
            <a:off x="130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0" name="Line 236"/>
          <xdr:cNvSpPr>
            <a:spLocks noChangeShapeType="1"/>
          </xdr:cNvSpPr>
        </xdr:nvSpPr>
        <xdr:spPr bwMode="auto">
          <a:xfrm>
            <a:off x="182" y="729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1" name="Line 237"/>
          <xdr:cNvSpPr>
            <a:spLocks noChangeShapeType="1"/>
          </xdr:cNvSpPr>
        </xdr:nvSpPr>
        <xdr:spPr bwMode="auto">
          <a:xfrm>
            <a:off x="137" y="731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2" name="Line 238"/>
          <xdr:cNvSpPr>
            <a:spLocks noChangeShapeType="1"/>
          </xdr:cNvSpPr>
        </xdr:nvSpPr>
        <xdr:spPr bwMode="auto">
          <a:xfrm>
            <a:off x="182" y="739"/>
            <a:ext cx="13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3" name="Line 239"/>
          <xdr:cNvSpPr>
            <a:spLocks noChangeShapeType="1"/>
          </xdr:cNvSpPr>
        </xdr:nvSpPr>
        <xdr:spPr bwMode="auto">
          <a:xfrm flipH="1">
            <a:off x="121" y="739"/>
            <a:ext cx="1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4" name="Line 240"/>
          <xdr:cNvSpPr>
            <a:spLocks noChangeShapeType="1"/>
          </xdr:cNvSpPr>
        </xdr:nvSpPr>
        <xdr:spPr bwMode="auto">
          <a:xfrm>
            <a:off x="190" y="653"/>
            <a:ext cx="2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5" name="Line 241"/>
          <xdr:cNvSpPr>
            <a:spLocks noChangeShapeType="1"/>
          </xdr:cNvSpPr>
        </xdr:nvSpPr>
        <xdr:spPr bwMode="auto">
          <a:xfrm flipV="1">
            <a:off x="200" y="654"/>
            <a:ext cx="0" cy="31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6" name="Line 242"/>
          <xdr:cNvSpPr>
            <a:spLocks noChangeShapeType="1"/>
          </xdr:cNvSpPr>
        </xdr:nvSpPr>
        <xdr:spPr bwMode="auto">
          <a:xfrm>
            <a:off x="200" y="708"/>
            <a:ext cx="0" cy="2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med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7" name="Line 243"/>
          <xdr:cNvSpPr>
            <a:spLocks noChangeShapeType="1"/>
          </xdr:cNvSpPr>
        </xdr:nvSpPr>
        <xdr:spPr bwMode="auto">
          <a:xfrm flipV="1">
            <a:off x="124" y="740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8" name="Line 244"/>
          <xdr:cNvSpPr>
            <a:spLocks noChangeShapeType="1"/>
          </xdr:cNvSpPr>
        </xdr:nvSpPr>
        <xdr:spPr bwMode="auto">
          <a:xfrm>
            <a:off x="122" y="714"/>
            <a:ext cx="0" cy="8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89" name="Line 245"/>
          <xdr:cNvSpPr>
            <a:spLocks noChangeShapeType="1"/>
          </xdr:cNvSpPr>
        </xdr:nvSpPr>
        <xdr:spPr bwMode="auto">
          <a:xfrm>
            <a:off x="118" y="724"/>
            <a:ext cx="10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0" name="Line 246"/>
          <xdr:cNvSpPr>
            <a:spLocks noChangeShapeType="1"/>
          </xdr:cNvSpPr>
        </xdr:nvSpPr>
        <xdr:spPr bwMode="auto">
          <a:xfrm flipV="1">
            <a:off x="183" y="637"/>
            <a:ext cx="0" cy="1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1" name="Line 247"/>
          <xdr:cNvSpPr>
            <a:spLocks noChangeShapeType="1"/>
          </xdr:cNvSpPr>
        </xdr:nvSpPr>
        <xdr:spPr bwMode="auto">
          <a:xfrm flipV="1">
            <a:off x="135" y="638"/>
            <a:ext cx="0" cy="9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2" name="Line 248"/>
          <xdr:cNvSpPr>
            <a:spLocks noChangeShapeType="1"/>
          </xdr:cNvSpPr>
        </xdr:nvSpPr>
        <xdr:spPr bwMode="auto">
          <a:xfrm>
            <a:off x="144" y="643"/>
            <a:ext cx="3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3" name="Line 249"/>
          <xdr:cNvSpPr>
            <a:spLocks noChangeShapeType="1"/>
          </xdr:cNvSpPr>
        </xdr:nvSpPr>
        <xdr:spPr bwMode="auto">
          <a:xfrm flipH="1">
            <a:off x="139" y="643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 type="arrow" w="sm" len="sm"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4" name="Line 250"/>
          <xdr:cNvSpPr>
            <a:spLocks noChangeShapeType="1"/>
          </xdr:cNvSpPr>
        </xdr:nvSpPr>
        <xdr:spPr bwMode="auto">
          <a:xfrm>
            <a:off x="130" y="724"/>
            <a:ext cx="6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5" name="Line 251"/>
          <xdr:cNvSpPr>
            <a:spLocks noChangeShapeType="1"/>
          </xdr:cNvSpPr>
        </xdr:nvSpPr>
        <xdr:spPr bwMode="auto">
          <a:xfrm>
            <a:off x="182" y="730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6" name="Line 252"/>
          <xdr:cNvSpPr>
            <a:spLocks noChangeShapeType="1"/>
          </xdr:cNvSpPr>
        </xdr:nvSpPr>
        <xdr:spPr bwMode="auto">
          <a:xfrm flipV="1">
            <a:off x="190" y="722"/>
            <a:ext cx="0" cy="6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  <xdr:sp macro="" textlink="">
        <xdr:nvSpPr>
          <xdr:cNvPr id="97" name="Line 253"/>
          <xdr:cNvSpPr>
            <a:spLocks noChangeShapeType="1"/>
          </xdr:cNvSpPr>
        </xdr:nvSpPr>
        <xdr:spPr bwMode="auto">
          <a:xfrm>
            <a:off x="183" y="723"/>
            <a:ext cx="7" cy="0"/>
          </a:xfrm>
          <a:prstGeom prst="line">
            <a:avLst/>
          </a:prstGeom>
          <a:noFill/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8"/>
            </a:solidFill>
            <a:round/>
            <a:headEnd/>
            <a:tailEnd/>
          </a:ln>
          <a:extLst>
            <a:ext uri="{909E8E84-426E-40DD-AFC4-6F175D3DCCD1}">
              <a14:hiddenFill xmlns:a14="http://schemas.microsoft.com/office/drawing/2010/main">
                <a:noFill/>
              </a14:hiddenFill>
            </a:ext>
          </a:extLst>
        </xdr:spPr>
      </xdr:sp>
    </xdr:grpSp>
    <xdr:clientData/>
  </xdr:twoCellAnchor>
  <xdr:twoCellAnchor>
    <xdr:from>
      <xdr:col>9</xdr:col>
      <xdr:colOff>152400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98" name="Rectangle 255"/>
        <xdr:cNvSpPr>
          <a:spLocks noChangeArrowheads="1"/>
        </xdr:cNvSpPr>
      </xdr:nvSpPr>
      <xdr:spPr bwMode="auto">
        <a:xfrm>
          <a:off x="5495925" y="10106025"/>
          <a:ext cx="20955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19050</xdr:colOff>
      <xdr:row>44</xdr:row>
      <xdr:rowOff>0</xdr:rowOff>
    </xdr:from>
    <xdr:to>
      <xdr:col>9</xdr:col>
      <xdr:colOff>333375</xdr:colOff>
      <xdr:row>44</xdr:row>
      <xdr:rowOff>0</xdr:rowOff>
    </xdr:to>
    <xdr:sp macro="" textlink="">
      <xdr:nvSpPr>
        <xdr:cNvPr id="99" name="Rectangle 256"/>
        <xdr:cNvSpPr>
          <a:spLocks noChangeArrowheads="1"/>
        </xdr:cNvSpPr>
      </xdr:nvSpPr>
      <xdr:spPr bwMode="auto">
        <a:xfrm>
          <a:off x="5362575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28575</xdr:colOff>
      <xdr:row>44</xdr:row>
      <xdr:rowOff>0</xdr:rowOff>
    </xdr:from>
    <xdr:to>
      <xdr:col>9</xdr:col>
      <xdr:colOff>342900</xdr:colOff>
      <xdr:row>44</xdr:row>
      <xdr:rowOff>0</xdr:rowOff>
    </xdr:to>
    <xdr:sp macro="" textlink="">
      <xdr:nvSpPr>
        <xdr:cNvPr id="100" name="Rectangle 257"/>
        <xdr:cNvSpPr>
          <a:spLocks noChangeArrowheads="1"/>
        </xdr:cNvSpPr>
      </xdr:nvSpPr>
      <xdr:spPr bwMode="auto">
        <a:xfrm>
          <a:off x="5372100" y="10106025"/>
          <a:ext cx="31432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0</xdr:colOff>
      <xdr:row>44</xdr:row>
      <xdr:rowOff>0</xdr:rowOff>
    </xdr:from>
    <xdr:to>
      <xdr:col>9</xdr:col>
      <xdr:colOff>409575</xdr:colOff>
      <xdr:row>44</xdr:row>
      <xdr:rowOff>0</xdr:rowOff>
    </xdr:to>
    <xdr:sp macro="" textlink="">
      <xdr:nvSpPr>
        <xdr:cNvPr id="101" name="Rectangle 258"/>
        <xdr:cNvSpPr>
          <a:spLocks noChangeArrowheads="1"/>
        </xdr:cNvSpPr>
      </xdr:nvSpPr>
      <xdr:spPr bwMode="auto">
        <a:xfrm>
          <a:off x="5343525" y="10106025"/>
          <a:ext cx="4095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9</xdr:col>
      <xdr:colOff>142875</xdr:colOff>
      <xdr:row>44</xdr:row>
      <xdr:rowOff>0</xdr:rowOff>
    </xdr:from>
    <xdr:to>
      <xdr:col>9</xdr:col>
      <xdr:colOff>361950</xdr:colOff>
      <xdr:row>44</xdr:row>
      <xdr:rowOff>0</xdr:rowOff>
    </xdr:to>
    <xdr:sp macro="" textlink="">
      <xdr:nvSpPr>
        <xdr:cNvPr id="102" name="Rectangle 259"/>
        <xdr:cNvSpPr>
          <a:spLocks noChangeArrowheads="1"/>
        </xdr:cNvSpPr>
      </xdr:nvSpPr>
      <xdr:spPr bwMode="auto">
        <a:xfrm>
          <a:off x="5486400" y="10106025"/>
          <a:ext cx="219075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0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0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0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0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07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08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09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1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2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3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15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16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17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18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19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552450</xdr:colOff>
      <xdr:row>42</xdr:row>
      <xdr:rowOff>114300</xdr:rowOff>
    </xdr:from>
    <xdr:to>
      <xdr:col>4</xdr:col>
      <xdr:colOff>0</xdr:colOff>
      <xdr:row>43</xdr:row>
      <xdr:rowOff>9525</xdr:rowOff>
    </xdr:to>
    <xdr:sp macro="" textlink="">
      <xdr:nvSpPr>
        <xdr:cNvPr id="120" name="Radius"/>
        <xdr:cNvSpPr txBox="1">
          <a:spLocks noChangeArrowheads="1"/>
        </xdr:cNvSpPr>
      </xdr:nvSpPr>
      <xdr:spPr bwMode="auto">
        <a:xfrm>
          <a:off x="2247900" y="97821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85725</xdr:rowOff>
    </xdr:to>
    <xdr:sp macro="" textlink="">
      <xdr:nvSpPr>
        <xdr:cNvPr id="121" name="Height"/>
        <xdr:cNvSpPr txBox="1">
          <a:spLocks noChangeArrowheads="1"/>
        </xdr:cNvSpPr>
      </xdr:nvSpPr>
      <xdr:spPr bwMode="auto">
        <a:xfrm>
          <a:off x="1743075" y="9439275"/>
          <a:ext cx="266700" cy="857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42</xdr:row>
      <xdr:rowOff>0</xdr:rowOff>
    </xdr:from>
    <xdr:to>
      <xdr:col>3</xdr:col>
      <xdr:colOff>323850</xdr:colOff>
      <xdr:row>42</xdr:row>
      <xdr:rowOff>104775</xdr:rowOff>
    </xdr:to>
    <xdr:sp macro="" textlink="">
      <xdr:nvSpPr>
        <xdr:cNvPr id="122" name="Thickness"/>
        <xdr:cNvSpPr txBox="1">
          <a:spLocks noChangeArrowheads="1"/>
        </xdr:cNvSpPr>
      </xdr:nvSpPr>
      <xdr:spPr bwMode="auto">
        <a:xfrm>
          <a:off x="1609725" y="9667875"/>
          <a:ext cx="4095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23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295275</xdr:colOff>
      <xdr:row>40</xdr:row>
      <xdr:rowOff>133350</xdr:rowOff>
    </xdr:from>
    <xdr:to>
      <xdr:col>3</xdr:col>
      <xdr:colOff>590550</xdr:colOff>
      <xdr:row>41</xdr:row>
      <xdr:rowOff>9525</xdr:rowOff>
    </xdr:to>
    <xdr:sp macro="" textlink="">
      <xdr:nvSpPr>
        <xdr:cNvPr id="124" name="Thickness"/>
        <xdr:cNvSpPr txBox="1">
          <a:spLocks noChangeArrowheads="1"/>
        </xdr:cNvSpPr>
      </xdr:nvSpPr>
      <xdr:spPr bwMode="auto">
        <a:xfrm>
          <a:off x="1990725" y="9344025"/>
          <a:ext cx="295275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5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26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27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28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29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0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1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2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3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37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38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39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0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41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42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43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44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5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46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47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48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149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150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151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152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3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55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6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7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158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159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160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161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162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163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164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276225</xdr:colOff>
      <xdr:row>40</xdr:row>
      <xdr:rowOff>171450</xdr:rowOff>
    </xdr:to>
    <xdr:sp macro="" textlink="">
      <xdr:nvSpPr>
        <xdr:cNvPr id="165" name="Height"/>
        <xdr:cNvSpPr txBox="1">
          <a:spLocks noChangeArrowheads="1"/>
        </xdr:cNvSpPr>
      </xdr:nvSpPr>
      <xdr:spPr bwMode="auto">
        <a:xfrm>
          <a:off x="1543050" y="9039225"/>
          <a:ext cx="428625" cy="3429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166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167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168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169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170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171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172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173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174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175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176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177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178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179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180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181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182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183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184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185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186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187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188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189" name="Thickness"/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190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191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192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193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194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195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196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197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198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199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00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01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02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03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4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5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06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07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08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09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10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11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2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3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14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5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6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17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18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19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2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21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22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23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24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25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26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27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28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29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30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31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32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233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234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235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236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237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238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239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240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241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242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243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244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245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246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247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377573</xdr:colOff>
      <xdr:row>40</xdr:row>
      <xdr:rowOff>180975</xdr:rowOff>
    </xdr:to>
    <xdr:sp macro="" textlink="">
      <xdr:nvSpPr>
        <xdr:cNvPr id="248" name="Thickness"/>
        <xdr:cNvSpPr txBox="1">
          <a:spLocks noChangeArrowheads="1"/>
        </xdr:cNvSpPr>
      </xdr:nvSpPr>
      <xdr:spPr bwMode="auto">
        <a:xfrm>
          <a:off x="1752600" y="9286875"/>
          <a:ext cx="320423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18.50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249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250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251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252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253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254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5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56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57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58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59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0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1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2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3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4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5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66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267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268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269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270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1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2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3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4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275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276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277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278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79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0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1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2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3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284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285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286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287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288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289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051-TA13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290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328.0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291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292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293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85.0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294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295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296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297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298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299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00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01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57.5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02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03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04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05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06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07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08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09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10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11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12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13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14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57150</xdr:colOff>
      <xdr:row>40</xdr:row>
      <xdr:rowOff>76200</xdr:rowOff>
    </xdr:from>
    <xdr:to>
      <xdr:col>3</xdr:col>
      <xdr:colOff>381000</xdr:colOff>
      <xdr:row>40</xdr:row>
      <xdr:rowOff>180975</xdr:rowOff>
    </xdr:to>
    <xdr:sp macro="" textlink="">
      <xdr:nvSpPr>
        <xdr:cNvPr id="315" name="Thickness"/>
        <xdr:cNvSpPr txBox="1">
          <a:spLocks noChangeArrowheads="1"/>
        </xdr:cNvSpPr>
      </xdr:nvSpPr>
      <xdr:spPr bwMode="auto">
        <a:xfrm>
          <a:off x="1752600" y="9286875"/>
          <a:ext cx="3238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133350</xdr:colOff>
      <xdr:row>40</xdr:row>
      <xdr:rowOff>171450</xdr:rowOff>
    </xdr:from>
    <xdr:to>
      <xdr:col>3</xdr:col>
      <xdr:colOff>352425</xdr:colOff>
      <xdr:row>40</xdr:row>
      <xdr:rowOff>171450</xdr:rowOff>
    </xdr:to>
    <xdr:sp macro="" textlink="">
      <xdr:nvSpPr>
        <xdr:cNvPr id="316" name="Line 146"/>
        <xdr:cNvSpPr>
          <a:spLocks noChangeShapeType="1"/>
        </xdr:cNvSpPr>
      </xdr:nvSpPr>
      <xdr:spPr bwMode="auto">
        <a:xfrm>
          <a:off x="1828800" y="9382125"/>
          <a:ext cx="2190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17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55</a:t>
          </a:r>
        </a:p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.0</a:t>
          </a: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18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19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20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21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2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3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4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5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304800</xdr:colOff>
      <xdr:row>43</xdr:row>
      <xdr:rowOff>47625</xdr:rowOff>
    </xdr:to>
    <xdr:sp macro="" textlink="">
      <xdr:nvSpPr>
        <xdr:cNvPr id="326" name="Radius"/>
        <xdr:cNvSpPr txBox="1">
          <a:spLocks noChangeArrowheads="1"/>
        </xdr:cNvSpPr>
      </xdr:nvSpPr>
      <xdr:spPr bwMode="auto">
        <a:xfrm>
          <a:off x="1714500" y="9820275"/>
          <a:ext cx="2857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390525</xdr:colOff>
      <xdr:row>41</xdr:row>
      <xdr:rowOff>19050</xdr:rowOff>
    </xdr:from>
    <xdr:to>
      <xdr:col>3</xdr:col>
      <xdr:colOff>190500</xdr:colOff>
      <xdr:row>41</xdr:row>
      <xdr:rowOff>114300</xdr:rowOff>
    </xdr:to>
    <xdr:sp macro="" textlink="">
      <xdr:nvSpPr>
        <xdr:cNvPr id="327" name="Height"/>
        <xdr:cNvSpPr txBox="1">
          <a:spLocks noChangeArrowheads="1"/>
        </xdr:cNvSpPr>
      </xdr:nvSpPr>
      <xdr:spPr bwMode="auto">
        <a:xfrm>
          <a:off x="1590675" y="9458325"/>
          <a:ext cx="29527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276225</xdr:colOff>
      <xdr:row>41</xdr:row>
      <xdr:rowOff>219075</xdr:rowOff>
    </xdr:to>
    <xdr:sp macro="" textlink="">
      <xdr:nvSpPr>
        <xdr:cNvPr id="328" name="Clear"/>
        <xdr:cNvSpPr txBox="1">
          <a:spLocks noChangeArrowheads="1"/>
        </xdr:cNvSpPr>
      </xdr:nvSpPr>
      <xdr:spPr bwMode="auto">
        <a:xfrm>
          <a:off x="1228725" y="9544050"/>
          <a:ext cx="247650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352425</xdr:colOff>
      <xdr:row>42</xdr:row>
      <xdr:rowOff>19050</xdr:rowOff>
    </xdr:from>
    <xdr:to>
      <xdr:col>3</xdr:col>
      <xdr:colOff>47625</xdr:colOff>
      <xdr:row>42</xdr:row>
      <xdr:rowOff>123825</xdr:rowOff>
    </xdr:to>
    <xdr:sp macro="" textlink="">
      <xdr:nvSpPr>
        <xdr:cNvPr id="329" name="Thickness"/>
        <xdr:cNvSpPr txBox="1">
          <a:spLocks noChangeArrowheads="1"/>
        </xdr:cNvSpPr>
      </xdr:nvSpPr>
      <xdr:spPr bwMode="auto">
        <a:xfrm>
          <a:off x="1552575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0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1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2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3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19050</xdr:colOff>
      <xdr:row>42</xdr:row>
      <xdr:rowOff>152400</xdr:rowOff>
    </xdr:from>
    <xdr:to>
      <xdr:col>3</xdr:col>
      <xdr:colOff>314325</xdr:colOff>
      <xdr:row>43</xdr:row>
      <xdr:rowOff>47625</xdr:rowOff>
    </xdr:to>
    <xdr:sp macro="" textlink="">
      <xdr:nvSpPr>
        <xdr:cNvPr id="334" name="Radius"/>
        <xdr:cNvSpPr txBox="1">
          <a:spLocks noChangeArrowheads="1"/>
        </xdr:cNvSpPr>
      </xdr:nvSpPr>
      <xdr:spPr bwMode="auto">
        <a:xfrm>
          <a:off x="1714500" y="9820275"/>
          <a:ext cx="295275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409575</xdr:colOff>
      <xdr:row>41</xdr:row>
      <xdr:rowOff>19050</xdr:rowOff>
    </xdr:from>
    <xdr:to>
      <xdr:col>3</xdr:col>
      <xdr:colOff>200025</xdr:colOff>
      <xdr:row>41</xdr:row>
      <xdr:rowOff>114300</xdr:rowOff>
    </xdr:to>
    <xdr:sp macro="" textlink="">
      <xdr:nvSpPr>
        <xdr:cNvPr id="335" name="Height"/>
        <xdr:cNvSpPr txBox="1">
          <a:spLocks noChangeArrowheads="1"/>
        </xdr:cNvSpPr>
      </xdr:nvSpPr>
      <xdr:spPr bwMode="auto">
        <a:xfrm>
          <a:off x="1609725" y="9458325"/>
          <a:ext cx="28575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28575</xdr:colOff>
      <xdr:row>41</xdr:row>
      <xdr:rowOff>104775</xdr:rowOff>
    </xdr:from>
    <xdr:to>
      <xdr:col>2</xdr:col>
      <xdr:colOff>285750</xdr:colOff>
      <xdr:row>41</xdr:row>
      <xdr:rowOff>219075</xdr:rowOff>
    </xdr:to>
    <xdr:sp macro="" textlink="">
      <xdr:nvSpPr>
        <xdr:cNvPr id="336" name="Clear"/>
        <xdr:cNvSpPr txBox="1">
          <a:spLocks noChangeArrowheads="1"/>
        </xdr:cNvSpPr>
      </xdr:nvSpPr>
      <xdr:spPr bwMode="auto">
        <a:xfrm>
          <a:off x="1228725" y="954405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361950</xdr:colOff>
      <xdr:row>42</xdr:row>
      <xdr:rowOff>19050</xdr:rowOff>
    </xdr:from>
    <xdr:to>
      <xdr:col>3</xdr:col>
      <xdr:colOff>57150</xdr:colOff>
      <xdr:row>42</xdr:row>
      <xdr:rowOff>123825</xdr:rowOff>
    </xdr:to>
    <xdr:sp macro="" textlink="">
      <xdr:nvSpPr>
        <xdr:cNvPr id="337" name="Thickness"/>
        <xdr:cNvSpPr txBox="1">
          <a:spLocks noChangeArrowheads="1"/>
        </xdr:cNvSpPr>
      </xdr:nvSpPr>
      <xdr:spPr bwMode="auto">
        <a:xfrm>
          <a:off x="1562100" y="9686925"/>
          <a:ext cx="1905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38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39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0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1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2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476250</xdr:colOff>
      <xdr:row>42</xdr:row>
      <xdr:rowOff>0</xdr:rowOff>
    </xdr:from>
    <xdr:to>
      <xdr:col>3</xdr:col>
      <xdr:colOff>247650</xdr:colOff>
      <xdr:row>42</xdr:row>
      <xdr:rowOff>104775</xdr:rowOff>
    </xdr:to>
    <xdr:sp macro="" textlink="">
      <xdr:nvSpPr>
        <xdr:cNvPr id="343" name="Thickness"/>
        <xdr:cNvSpPr txBox="1">
          <a:spLocks noChangeArrowheads="1"/>
        </xdr:cNvSpPr>
      </xdr:nvSpPr>
      <xdr:spPr bwMode="auto">
        <a:xfrm>
          <a:off x="1676400" y="9667875"/>
          <a:ext cx="26670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95250</xdr:colOff>
      <xdr:row>42</xdr:row>
      <xdr:rowOff>133350</xdr:rowOff>
    </xdr:from>
    <xdr:to>
      <xdr:col>3</xdr:col>
      <xdr:colOff>419100</xdr:colOff>
      <xdr:row>43</xdr:row>
      <xdr:rowOff>28575</xdr:rowOff>
    </xdr:to>
    <xdr:sp macro="" textlink="">
      <xdr:nvSpPr>
        <xdr:cNvPr id="344" name="Radius"/>
        <xdr:cNvSpPr txBox="1">
          <a:spLocks noChangeArrowheads="1"/>
        </xdr:cNvSpPr>
      </xdr:nvSpPr>
      <xdr:spPr bwMode="auto">
        <a:xfrm>
          <a:off x="1790700" y="9801225"/>
          <a:ext cx="323850" cy="12382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47625</xdr:colOff>
      <xdr:row>41</xdr:row>
      <xdr:rowOff>0</xdr:rowOff>
    </xdr:from>
    <xdr:to>
      <xdr:col>3</xdr:col>
      <xdr:colOff>314325</xdr:colOff>
      <xdr:row>41</xdr:row>
      <xdr:rowOff>95250</xdr:rowOff>
    </xdr:to>
    <xdr:sp macro="" textlink="">
      <xdr:nvSpPr>
        <xdr:cNvPr id="345" name="Height"/>
        <xdr:cNvSpPr txBox="1">
          <a:spLocks noChangeArrowheads="1"/>
        </xdr:cNvSpPr>
      </xdr:nvSpPr>
      <xdr:spPr bwMode="auto">
        <a:xfrm>
          <a:off x="1743075" y="943927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</xdr:col>
      <xdr:colOff>180975</xdr:colOff>
      <xdr:row>41</xdr:row>
      <xdr:rowOff>85725</xdr:rowOff>
    </xdr:from>
    <xdr:to>
      <xdr:col>2</xdr:col>
      <xdr:colOff>438150</xdr:colOff>
      <xdr:row>41</xdr:row>
      <xdr:rowOff>200025</xdr:rowOff>
    </xdr:to>
    <xdr:sp macro="" textlink="">
      <xdr:nvSpPr>
        <xdr:cNvPr id="346" name="Clear"/>
        <xdr:cNvSpPr txBox="1">
          <a:spLocks noChangeArrowheads="1"/>
        </xdr:cNvSpPr>
      </xdr:nvSpPr>
      <xdr:spPr bwMode="auto">
        <a:xfrm>
          <a:off x="1381125" y="9525000"/>
          <a:ext cx="257175" cy="11430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200025</xdr:colOff>
      <xdr:row>41</xdr:row>
      <xdr:rowOff>171450</xdr:rowOff>
    </xdr:from>
    <xdr:to>
      <xdr:col>3</xdr:col>
      <xdr:colOff>485775</xdr:colOff>
      <xdr:row>42</xdr:row>
      <xdr:rowOff>47625</xdr:rowOff>
    </xdr:to>
    <xdr:sp macro="" textlink="">
      <xdr:nvSpPr>
        <xdr:cNvPr id="347" name="Thickness"/>
        <xdr:cNvSpPr txBox="1">
          <a:spLocks noChangeArrowheads="1"/>
        </xdr:cNvSpPr>
      </xdr:nvSpPr>
      <xdr:spPr bwMode="auto">
        <a:xfrm>
          <a:off x="1895475" y="9610725"/>
          <a:ext cx="285750" cy="104775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</xdr:col>
      <xdr:colOff>765810</xdr:colOff>
      <xdr:row>39</xdr:row>
      <xdr:rowOff>161925</xdr:rowOff>
    </xdr:from>
    <xdr:to>
      <xdr:col>4</xdr:col>
      <xdr:colOff>775335</xdr:colOff>
      <xdr:row>40</xdr:row>
      <xdr:rowOff>87890</xdr:rowOff>
    </xdr:to>
    <xdr:sp macro="" textlink="">
      <xdr:nvSpPr>
        <xdr:cNvPr id="348" name="Text 219"/>
        <xdr:cNvSpPr txBox="1">
          <a:spLocks noChangeArrowheads="1"/>
        </xdr:cNvSpPr>
      </xdr:nvSpPr>
      <xdr:spPr bwMode="auto">
        <a:xfrm>
          <a:off x="2461260" y="914400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051-FA11</a:t>
          </a:r>
        </a:p>
      </xdr:txBody>
    </xdr:sp>
    <xdr:clientData/>
  </xdr:twoCellAnchor>
  <xdr:twoCellAnchor>
    <xdr:from>
      <xdr:col>3</xdr:col>
      <xdr:colOff>407670</xdr:colOff>
      <xdr:row>42</xdr:row>
      <xdr:rowOff>19050</xdr:rowOff>
    </xdr:from>
    <xdr:to>
      <xdr:col>3</xdr:col>
      <xdr:colOff>682105</xdr:colOff>
      <xdr:row>42</xdr:row>
      <xdr:rowOff>142875</xdr:rowOff>
    </xdr:to>
    <xdr:sp macro="" textlink="">
      <xdr:nvSpPr>
        <xdr:cNvPr id="349" name="Radius"/>
        <xdr:cNvSpPr txBox="1">
          <a:spLocks noChangeArrowheads="1"/>
        </xdr:cNvSpPr>
      </xdr:nvSpPr>
      <xdr:spPr bwMode="auto">
        <a:xfrm>
          <a:off x="2103120" y="9686925"/>
          <a:ext cx="274435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318.0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342900</xdr:colOff>
      <xdr:row>39</xdr:row>
      <xdr:rowOff>57150</xdr:rowOff>
    </xdr:from>
    <xdr:to>
      <xdr:col>3</xdr:col>
      <xdr:colOff>114300</xdr:colOff>
      <xdr:row>39</xdr:row>
      <xdr:rowOff>152400</xdr:rowOff>
    </xdr:to>
    <xdr:sp macro="" textlink="">
      <xdr:nvSpPr>
        <xdr:cNvPr id="350" name="Height"/>
        <xdr:cNvSpPr txBox="1">
          <a:spLocks noChangeArrowheads="1"/>
        </xdr:cNvSpPr>
      </xdr:nvSpPr>
      <xdr:spPr bwMode="auto">
        <a:xfrm>
          <a:off x="1543050" y="9039225"/>
          <a:ext cx="266700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302895</xdr:colOff>
      <xdr:row>42</xdr:row>
      <xdr:rowOff>66675</xdr:rowOff>
    </xdr:from>
    <xdr:to>
      <xdr:col>2</xdr:col>
      <xdr:colOff>160020</xdr:colOff>
      <xdr:row>42</xdr:row>
      <xdr:rowOff>180975</xdr:rowOff>
    </xdr:to>
    <xdr:sp macro="" textlink="">
      <xdr:nvSpPr>
        <xdr:cNvPr id="351" name="Clear"/>
        <xdr:cNvSpPr txBox="1">
          <a:spLocks noChangeArrowheads="1"/>
        </xdr:cNvSpPr>
      </xdr:nvSpPr>
      <xdr:spPr bwMode="auto">
        <a:xfrm>
          <a:off x="1093470" y="9734550"/>
          <a:ext cx="266700" cy="1143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62.5</a:t>
          </a:r>
        </a:p>
      </xdr:txBody>
    </xdr:sp>
    <xdr:clientData/>
  </xdr:twoCellAnchor>
  <xdr:twoCellAnchor>
    <xdr:from>
      <xdr:col>2</xdr:col>
      <xdr:colOff>188595</xdr:colOff>
      <xdr:row>42</xdr:row>
      <xdr:rowOff>76200</xdr:rowOff>
    </xdr:from>
    <xdr:to>
      <xdr:col>3</xdr:col>
      <xdr:colOff>104857</xdr:colOff>
      <xdr:row>42</xdr:row>
      <xdr:rowOff>180975</xdr:rowOff>
    </xdr:to>
    <xdr:sp macro="" textlink="">
      <xdr:nvSpPr>
        <xdr:cNvPr id="352" name="Thickness"/>
        <xdr:cNvSpPr txBox="1">
          <a:spLocks noChangeArrowheads="1"/>
        </xdr:cNvSpPr>
      </xdr:nvSpPr>
      <xdr:spPr bwMode="auto">
        <a:xfrm>
          <a:off x="1388745" y="9744075"/>
          <a:ext cx="411562" cy="10477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60.0</a:t>
          </a:r>
        </a:p>
      </xdr:txBody>
    </xdr:sp>
    <xdr:clientData/>
  </xdr:twoCellAnchor>
  <xdr:twoCellAnchor>
    <xdr:from>
      <xdr:col>3</xdr:col>
      <xdr:colOff>381000</xdr:colOff>
      <xdr:row>42</xdr:row>
      <xdr:rowOff>133350</xdr:rowOff>
    </xdr:from>
    <xdr:to>
      <xdr:col>3</xdr:col>
      <xdr:colOff>504825</xdr:colOff>
      <xdr:row>43</xdr:row>
      <xdr:rowOff>0</xdr:rowOff>
    </xdr:to>
    <xdr:sp macro="" textlink="">
      <xdr:nvSpPr>
        <xdr:cNvPr id="353" name="Text 583"/>
        <xdr:cNvSpPr txBox="1">
          <a:spLocks noChangeArrowheads="1"/>
        </xdr:cNvSpPr>
      </xdr:nvSpPr>
      <xdr:spPr bwMode="auto">
        <a:xfrm>
          <a:off x="2076450" y="9801225"/>
          <a:ext cx="123825" cy="95250"/>
        </a:xfrm>
        <a:prstGeom prst="rect">
          <a:avLst/>
        </a:prstGeom>
        <a:solidFill>
          <a:srgbClr val="FFFFFF"/>
        </a:solidFill>
        <a:ln>
          <a:noFill/>
        </a:ln>
        <a:extLst>
          <a:ext uri="{91240B29-F687-4F45-9708-019B960494DF}">
            <a14:hiddenLine xmlns:a14="http://schemas.microsoft.com/office/drawing/2010/main" w="1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</xdr:col>
      <xdr:colOff>9525</xdr:colOff>
      <xdr:row>40</xdr:row>
      <xdr:rowOff>66675</xdr:rowOff>
    </xdr:from>
    <xdr:to>
      <xdr:col>1</xdr:col>
      <xdr:colOff>285750</xdr:colOff>
      <xdr:row>40</xdr:row>
      <xdr:rowOff>66675</xdr:rowOff>
    </xdr:to>
    <xdr:sp macro="" textlink="">
      <xdr:nvSpPr>
        <xdr:cNvPr id="354" name="Line 125"/>
        <xdr:cNvSpPr>
          <a:spLocks noChangeShapeType="1"/>
        </xdr:cNvSpPr>
      </xdr:nvSpPr>
      <xdr:spPr bwMode="auto">
        <a:xfrm flipV="1">
          <a:off x="800100" y="9277350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66675</xdr:rowOff>
    </xdr:from>
    <xdr:to>
      <xdr:col>1</xdr:col>
      <xdr:colOff>276225</xdr:colOff>
      <xdr:row>43</xdr:row>
      <xdr:rowOff>114300</xdr:rowOff>
    </xdr:to>
    <xdr:sp macro="" textlink="">
      <xdr:nvSpPr>
        <xdr:cNvPr id="355" name="Line 126"/>
        <xdr:cNvSpPr>
          <a:spLocks noChangeShapeType="1"/>
        </xdr:cNvSpPr>
      </xdr:nvSpPr>
      <xdr:spPr bwMode="auto">
        <a:xfrm>
          <a:off x="1066800" y="9277350"/>
          <a:ext cx="0" cy="7334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42</xdr:row>
      <xdr:rowOff>19050</xdr:rowOff>
    </xdr:from>
    <xdr:to>
      <xdr:col>2</xdr:col>
      <xdr:colOff>171450</xdr:colOff>
      <xdr:row>42</xdr:row>
      <xdr:rowOff>19050</xdr:rowOff>
    </xdr:to>
    <xdr:sp macro="" textlink="">
      <xdr:nvSpPr>
        <xdr:cNvPr id="356" name="Line 127"/>
        <xdr:cNvSpPr>
          <a:spLocks noChangeShapeType="1"/>
        </xdr:cNvSpPr>
      </xdr:nvSpPr>
      <xdr:spPr bwMode="auto">
        <a:xfrm flipV="1">
          <a:off x="1095375" y="9686925"/>
          <a:ext cx="276225" cy="0"/>
        </a:xfrm>
        <a:prstGeom prst="line">
          <a:avLst/>
        </a:prstGeom>
        <a:noFill/>
        <a:ln w="9525">
          <a:solidFill>
            <a:srgbClr val="000000"/>
          </a:solidFill>
          <a:round/>
          <a:headEnd type="arrow" w="sm" len="sm"/>
          <a:tailEnd type="arrow" w="sm" len="sm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304800</xdr:colOff>
      <xdr:row>41</xdr:row>
      <xdr:rowOff>123825</xdr:rowOff>
    </xdr:from>
    <xdr:to>
      <xdr:col>2</xdr:col>
      <xdr:colOff>190500</xdr:colOff>
      <xdr:row>41</xdr:row>
      <xdr:rowOff>123825</xdr:rowOff>
    </xdr:to>
    <xdr:sp macro="" textlink="">
      <xdr:nvSpPr>
        <xdr:cNvPr id="357" name="Line 128"/>
        <xdr:cNvSpPr>
          <a:spLocks noChangeShapeType="1"/>
        </xdr:cNvSpPr>
      </xdr:nvSpPr>
      <xdr:spPr bwMode="auto">
        <a:xfrm>
          <a:off x="1095375" y="9563100"/>
          <a:ext cx="2952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276225</xdr:colOff>
      <xdr:row>40</xdr:row>
      <xdr:rowOff>95250</xdr:rowOff>
    </xdr:from>
    <xdr:to>
      <xdr:col>2</xdr:col>
      <xdr:colOff>171450</xdr:colOff>
      <xdr:row>40</xdr:row>
      <xdr:rowOff>95250</xdr:rowOff>
    </xdr:to>
    <xdr:sp macro="" textlink="">
      <xdr:nvSpPr>
        <xdr:cNvPr id="358" name="Line 129"/>
        <xdr:cNvSpPr>
          <a:spLocks noChangeShapeType="1"/>
        </xdr:cNvSpPr>
      </xdr:nvSpPr>
      <xdr:spPr bwMode="auto">
        <a:xfrm>
          <a:off x="1066800" y="9305925"/>
          <a:ext cx="3048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342900</xdr:colOff>
      <xdr:row>41</xdr:row>
      <xdr:rowOff>161925</xdr:rowOff>
    </xdr:from>
    <xdr:to>
      <xdr:col>3</xdr:col>
      <xdr:colOff>342900</xdr:colOff>
      <xdr:row>42</xdr:row>
      <xdr:rowOff>114300</xdr:rowOff>
    </xdr:to>
    <xdr:sp macro="" textlink="">
      <xdr:nvSpPr>
        <xdr:cNvPr id="359" name="Line 130"/>
        <xdr:cNvSpPr>
          <a:spLocks noChangeShapeType="1"/>
        </xdr:cNvSpPr>
      </xdr:nvSpPr>
      <xdr:spPr bwMode="auto">
        <a:xfrm flipV="1">
          <a:off x="2038350" y="96012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283845</xdr:colOff>
      <xdr:row>40</xdr:row>
      <xdr:rowOff>171450</xdr:rowOff>
    </xdr:from>
    <xdr:to>
      <xdr:col>3</xdr:col>
      <xdr:colOff>567851</xdr:colOff>
      <xdr:row>41</xdr:row>
      <xdr:rowOff>66675</xdr:rowOff>
    </xdr:to>
    <xdr:sp macro="" textlink="">
      <xdr:nvSpPr>
        <xdr:cNvPr id="360" name="Thickness"/>
        <xdr:cNvSpPr txBox="1">
          <a:spLocks noChangeArrowheads="1"/>
        </xdr:cNvSpPr>
      </xdr:nvSpPr>
      <xdr:spPr bwMode="auto">
        <a:xfrm>
          <a:off x="1979295" y="9382125"/>
          <a:ext cx="284006" cy="123825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44.0</a:t>
          </a:r>
        </a:p>
      </xdr:txBody>
    </xdr:sp>
    <xdr:clientData/>
  </xdr:twoCellAnchor>
  <xdr:twoCellAnchor>
    <xdr:from>
      <xdr:col>2</xdr:col>
      <xdr:colOff>171450</xdr:colOff>
      <xdr:row>40</xdr:row>
      <xdr:rowOff>66675</xdr:rowOff>
    </xdr:from>
    <xdr:to>
      <xdr:col>3</xdr:col>
      <xdr:colOff>95250</xdr:colOff>
      <xdr:row>41</xdr:row>
      <xdr:rowOff>171450</xdr:rowOff>
    </xdr:to>
    <xdr:sp macro="" textlink="">
      <xdr:nvSpPr>
        <xdr:cNvPr id="361" name="Rectangle 132"/>
        <xdr:cNvSpPr>
          <a:spLocks noChangeArrowheads="1"/>
        </xdr:cNvSpPr>
      </xdr:nvSpPr>
      <xdr:spPr bwMode="auto">
        <a:xfrm>
          <a:off x="1371600" y="9277350"/>
          <a:ext cx="419100" cy="3333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361950</xdr:colOff>
      <xdr:row>40</xdr:row>
      <xdr:rowOff>66675</xdr:rowOff>
    </xdr:from>
    <xdr:to>
      <xdr:col>3</xdr:col>
      <xdr:colOff>95250</xdr:colOff>
      <xdr:row>40</xdr:row>
      <xdr:rowOff>171450</xdr:rowOff>
    </xdr:to>
    <xdr:sp macro="" textlink="">
      <xdr:nvSpPr>
        <xdr:cNvPr id="362" name="Rectangle 133"/>
        <xdr:cNvSpPr>
          <a:spLocks noChangeArrowheads="1"/>
        </xdr:cNvSpPr>
      </xdr:nvSpPr>
      <xdr:spPr bwMode="auto">
        <a:xfrm>
          <a:off x="1562100" y="9277350"/>
          <a:ext cx="228600" cy="10477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2</xdr:col>
      <xdr:colOff>171450</xdr:colOff>
      <xdr:row>41</xdr:row>
      <xdr:rowOff>209550</xdr:rowOff>
    </xdr:from>
    <xdr:to>
      <xdr:col>2</xdr:col>
      <xdr:colOff>171450</xdr:colOff>
      <xdr:row>42</xdr:row>
      <xdr:rowOff>171450</xdr:rowOff>
    </xdr:to>
    <xdr:sp macro="" textlink="">
      <xdr:nvSpPr>
        <xdr:cNvPr id="363" name="Line 134"/>
        <xdr:cNvSpPr>
          <a:spLocks noChangeShapeType="1"/>
        </xdr:cNvSpPr>
      </xdr:nvSpPr>
      <xdr:spPr bwMode="auto">
        <a:xfrm>
          <a:off x="1371600" y="9648825"/>
          <a:ext cx="0" cy="19050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41</xdr:row>
      <xdr:rowOff>200025</xdr:rowOff>
    </xdr:from>
    <xdr:to>
      <xdr:col>3</xdr:col>
      <xdr:colOff>95250</xdr:colOff>
      <xdr:row>42</xdr:row>
      <xdr:rowOff>152400</xdr:rowOff>
    </xdr:to>
    <xdr:sp macro="" textlink="">
      <xdr:nvSpPr>
        <xdr:cNvPr id="364" name="Line 135"/>
        <xdr:cNvSpPr>
          <a:spLocks noChangeShapeType="1"/>
        </xdr:cNvSpPr>
      </xdr:nvSpPr>
      <xdr:spPr bwMode="auto">
        <a:xfrm>
          <a:off x="1790700" y="9639300"/>
          <a:ext cx="0" cy="18097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95250</xdr:colOff>
      <xdr:row>42</xdr:row>
      <xdr:rowOff>19050</xdr:rowOff>
    </xdr:to>
    <xdr:sp macro="" textlink="">
      <xdr:nvSpPr>
        <xdr:cNvPr id="365" name="Line 136"/>
        <xdr:cNvSpPr>
          <a:spLocks noChangeShapeType="1"/>
        </xdr:cNvSpPr>
      </xdr:nvSpPr>
      <xdr:spPr bwMode="auto">
        <a:xfrm>
          <a:off x="1371600" y="9686925"/>
          <a:ext cx="4191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171450</xdr:colOff>
      <xdr:row>42</xdr:row>
      <xdr:rowOff>19050</xdr:rowOff>
    </xdr:from>
    <xdr:to>
      <xdr:col>3</xdr:col>
      <xdr:colOff>85725</xdr:colOff>
      <xdr:row>42</xdr:row>
      <xdr:rowOff>19050</xdr:rowOff>
    </xdr:to>
    <xdr:sp macro="" textlink="">
      <xdr:nvSpPr>
        <xdr:cNvPr id="366" name="Line 137"/>
        <xdr:cNvSpPr>
          <a:spLocks noChangeShapeType="1"/>
        </xdr:cNvSpPr>
      </xdr:nvSpPr>
      <xdr:spPr bwMode="auto">
        <a:xfrm flipH="1">
          <a:off x="1371600" y="9686925"/>
          <a:ext cx="40957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419100</xdr:colOff>
      <xdr:row>40</xdr:row>
      <xdr:rowOff>76200</xdr:rowOff>
    </xdr:from>
    <xdr:to>
      <xdr:col>3</xdr:col>
      <xdr:colOff>419100</xdr:colOff>
      <xdr:row>40</xdr:row>
      <xdr:rowOff>171450</xdr:rowOff>
    </xdr:to>
    <xdr:sp macro="" textlink="">
      <xdr:nvSpPr>
        <xdr:cNvPr id="367" name="Line 138"/>
        <xdr:cNvSpPr>
          <a:spLocks noChangeShapeType="1"/>
        </xdr:cNvSpPr>
      </xdr:nvSpPr>
      <xdr:spPr bwMode="auto">
        <a:xfrm flipV="1">
          <a:off x="2114550" y="9286875"/>
          <a:ext cx="0" cy="9525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409575</xdr:colOff>
      <xdr:row>41</xdr:row>
      <xdr:rowOff>66675</xdr:rowOff>
    </xdr:from>
    <xdr:to>
      <xdr:col>3</xdr:col>
      <xdr:colOff>409575</xdr:colOff>
      <xdr:row>41</xdr:row>
      <xdr:rowOff>152400</xdr:rowOff>
    </xdr:to>
    <xdr:sp macro="" textlink="">
      <xdr:nvSpPr>
        <xdr:cNvPr id="368" name="Line 139"/>
        <xdr:cNvSpPr>
          <a:spLocks noChangeShapeType="1"/>
        </xdr:cNvSpPr>
      </xdr:nvSpPr>
      <xdr:spPr bwMode="auto">
        <a:xfrm>
          <a:off x="2105025" y="9505950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133350</xdr:colOff>
      <xdr:row>41</xdr:row>
      <xdr:rowOff>161925</xdr:rowOff>
    </xdr:from>
    <xdr:to>
      <xdr:col>3</xdr:col>
      <xdr:colOff>523875</xdr:colOff>
      <xdr:row>41</xdr:row>
      <xdr:rowOff>161925</xdr:rowOff>
    </xdr:to>
    <xdr:sp macro="" textlink="">
      <xdr:nvSpPr>
        <xdr:cNvPr id="369" name="Line 140"/>
        <xdr:cNvSpPr>
          <a:spLocks noChangeShapeType="1"/>
        </xdr:cNvSpPr>
      </xdr:nvSpPr>
      <xdr:spPr bwMode="auto">
        <a:xfrm>
          <a:off x="1828800" y="9601200"/>
          <a:ext cx="3905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523875</xdr:colOff>
      <xdr:row>40</xdr:row>
      <xdr:rowOff>66675</xdr:rowOff>
    </xdr:to>
    <xdr:sp macro="" textlink="">
      <xdr:nvSpPr>
        <xdr:cNvPr id="370" name="Line 141"/>
        <xdr:cNvSpPr>
          <a:spLocks noChangeShapeType="1"/>
        </xdr:cNvSpPr>
      </xdr:nvSpPr>
      <xdr:spPr bwMode="auto">
        <a:xfrm>
          <a:off x="1819275" y="9277350"/>
          <a:ext cx="4000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123825</xdr:colOff>
      <xdr:row>40</xdr:row>
      <xdr:rowOff>66675</xdr:rowOff>
    </xdr:from>
    <xdr:to>
      <xdr:col>3</xdr:col>
      <xdr:colOff>333375</xdr:colOff>
      <xdr:row>40</xdr:row>
      <xdr:rowOff>66675</xdr:rowOff>
    </xdr:to>
    <xdr:sp macro="" textlink="">
      <xdr:nvSpPr>
        <xdr:cNvPr id="371" name="Line 142"/>
        <xdr:cNvSpPr>
          <a:spLocks noChangeShapeType="1"/>
        </xdr:cNvSpPr>
      </xdr:nvSpPr>
      <xdr:spPr bwMode="auto">
        <a:xfrm>
          <a:off x="1819275" y="9277350"/>
          <a:ext cx="20955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200025</xdr:colOff>
      <xdr:row>40</xdr:row>
      <xdr:rowOff>209550</xdr:rowOff>
    </xdr:from>
    <xdr:to>
      <xdr:col>3</xdr:col>
      <xdr:colOff>200025</xdr:colOff>
      <xdr:row>41</xdr:row>
      <xdr:rowOff>66675</xdr:rowOff>
    </xdr:to>
    <xdr:sp macro="" textlink="">
      <xdr:nvSpPr>
        <xdr:cNvPr id="372" name="Line 143"/>
        <xdr:cNvSpPr>
          <a:spLocks noChangeShapeType="1"/>
        </xdr:cNvSpPr>
      </xdr:nvSpPr>
      <xdr:spPr bwMode="auto">
        <a:xfrm flipV="1">
          <a:off x="1895475" y="9420225"/>
          <a:ext cx="0" cy="857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190500</xdr:colOff>
      <xdr:row>39</xdr:row>
      <xdr:rowOff>161925</xdr:rowOff>
    </xdr:from>
    <xdr:to>
      <xdr:col>3</xdr:col>
      <xdr:colOff>190500</xdr:colOff>
      <xdr:row>40</xdr:row>
      <xdr:rowOff>57150</xdr:rowOff>
    </xdr:to>
    <xdr:sp macro="" textlink="">
      <xdr:nvSpPr>
        <xdr:cNvPr id="373" name="Line 144"/>
        <xdr:cNvSpPr>
          <a:spLocks noChangeShapeType="1"/>
        </xdr:cNvSpPr>
      </xdr:nvSpPr>
      <xdr:spPr bwMode="auto">
        <a:xfrm>
          <a:off x="1885950" y="9144000"/>
          <a:ext cx="0" cy="1238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142876</xdr:colOff>
      <xdr:row>40</xdr:row>
      <xdr:rowOff>88107</xdr:rowOff>
    </xdr:from>
    <xdr:to>
      <xdr:col>3</xdr:col>
      <xdr:colOff>371476</xdr:colOff>
      <xdr:row>40</xdr:row>
      <xdr:rowOff>164307</xdr:rowOff>
    </xdr:to>
    <xdr:sp macro="" textlink="">
      <xdr:nvSpPr>
        <xdr:cNvPr id="374" name="Thickness"/>
        <xdr:cNvSpPr txBox="1">
          <a:spLocks noChangeArrowheads="1"/>
        </xdr:cNvSpPr>
      </xdr:nvSpPr>
      <xdr:spPr bwMode="auto">
        <a:xfrm>
          <a:off x="1838326" y="9298782"/>
          <a:ext cx="228600" cy="7620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b" anchorCtr="0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14.5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2</xdr:col>
      <xdr:colOff>340995</xdr:colOff>
      <xdr:row>39</xdr:row>
      <xdr:rowOff>85725</xdr:rowOff>
    </xdr:from>
    <xdr:to>
      <xdr:col>3</xdr:col>
      <xdr:colOff>114376</xdr:colOff>
      <xdr:row>39</xdr:row>
      <xdr:rowOff>180975</xdr:rowOff>
    </xdr:to>
    <xdr:sp macro="" textlink="">
      <xdr:nvSpPr>
        <xdr:cNvPr id="375" name="Height"/>
        <xdr:cNvSpPr txBox="1">
          <a:spLocks noChangeArrowheads="1"/>
        </xdr:cNvSpPr>
      </xdr:nvSpPr>
      <xdr:spPr bwMode="auto">
        <a:xfrm>
          <a:off x="1541145" y="9067800"/>
          <a:ext cx="268681" cy="95250"/>
        </a:xfrm>
        <a:prstGeom prst="rect">
          <a:avLst/>
        </a:prstGeom>
        <a:solidFill>
          <a:srgbClr val="FFFFFF"/>
        </a:solidFill>
        <a:ln w="1">
          <a:noFill/>
          <a:miter lim="800000"/>
          <a:headEnd/>
          <a:tailEnd/>
        </a:ln>
      </xdr:spPr>
      <xdr:txBody>
        <a:bodyPr vertOverflow="clip" wrap="square" lIns="27432" tIns="18288" rIns="27432" bIns="0" anchor="t" upright="1"/>
        <a:lstStyle/>
        <a:p>
          <a:pPr algn="ctr" rtl="0">
            <a:defRPr sz="1000"/>
          </a:pPr>
          <a:r>
            <a:rPr lang="en-US" sz="600" b="1" i="0" u="none" strike="noStrike" baseline="0">
              <a:solidFill>
                <a:srgbClr val="000000"/>
              </a:solidFill>
              <a:latin typeface="Univers (W1)"/>
            </a:rPr>
            <a:t>40.0</a:t>
          </a:r>
        </a:p>
        <a:p>
          <a:pPr algn="ctr" rtl="0">
            <a:defRPr sz="1000"/>
          </a:pPr>
          <a:endParaRPr lang="en-US" sz="600" b="1" i="0" u="none" strike="noStrike" baseline="0">
            <a:solidFill>
              <a:srgbClr val="000000"/>
            </a:solidFill>
            <a:latin typeface="Univers (W1)"/>
          </a:endParaRPr>
        </a:p>
      </xdr:txBody>
    </xdr:sp>
    <xdr:clientData/>
  </xdr:twoCellAnchor>
  <xdr:twoCellAnchor>
    <xdr:from>
      <xdr:col>3</xdr:col>
      <xdr:colOff>95250</xdr:colOff>
      <xdr:row>39</xdr:row>
      <xdr:rowOff>123825</xdr:rowOff>
    </xdr:from>
    <xdr:to>
      <xdr:col>3</xdr:col>
      <xdr:colOff>171450</xdr:colOff>
      <xdr:row>39</xdr:row>
      <xdr:rowOff>123825</xdr:rowOff>
    </xdr:to>
    <xdr:sp macro="" textlink="">
      <xdr:nvSpPr>
        <xdr:cNvPr id="376" name="Line 148"/>
        <xdr:cNvSpPr>
          <a:spLocks noChangeShapeType="1"/>
        </xdr:cNvSpPr>
      </xdr:nvSpPr>
      <xdr:spPr bwMode="auto">
        <a:xfrm flipH="1">
          <a:off x="1790700" y="9105900"/>
          <a:ext cx="76200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257175</xdr:colOff>
      <xdr:row>39</xdr:row>
      <xdr:rowOff>123825</xdr:rowOff>
    </xdr:from>
    <xdr:to>
      <xdr:col>2</xdr:col>
      <xdr:colOff>342900</xdr:colOff>
      <xdr:row>39</xdr:row>
      <xdr:rowOff>123825</xdr:rowOff>
    </xdr:to>
    <xdr:sp macro="" textlink="">
      <xdr:nvSpPr>
        <xdr:cNvPr id="377" name="Line 149"/>
        <xdr:cNvSpPr>
          <a:spLocks noChangeShapeType="1"/>
        </xdr:cNvSpPr>
      </xdr:nvSpPr>
      <xdr:spPr bwMode="auto">
        <a:xfrm>
          <a:off x="1457325" y="9105900"/>
          <a:ext cx="85725" cy="0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2</xdr:col>
      <xdr:colOff>361950</xdr:colOff>
      <xdr:row>39</xdr:row>
      <xdr:rowOff>95250</xdr:rowOff>
    </xdr:from>
    <xdr:to>
      <xdr:col>2</xdr:col>
      <xdr:colOff>361950</xdr:colOff>
      <xdr:row>40</xdr:row>
      <xdr:rowOff>28575</xdr:rowOff>
    </xdr:to>
    <xdr:sp macro="" textlink="">
      <xdr:nvSpPr>
        <xdr:cNvPr id="378" name="Line 150"/>
        <xdr:cNvSpPr>
          <a:spLocks noChangeShapeType="1"/>
        </xdr:cNvSpPr>
      </xdr:nvSpPr>
      <xdr:spPr bwMode="auto">
        <a:xfrm flipV="1">
          <a:off x="1562100" y="9077325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95250</xdr:colOff>
      <xdr:row>39</xdr:row>
      <xdr:rowOff>104775</xdr:rowOff>
    </xdr:from>
    <xdr:to>
      <xdr:col>3</xdr:col>
      <xdr:colOff>95250</xdr:colOff>
      <xdr:row>40</xdr:row>
      <xdr:rowOff>38100</xdr:rowOff>
    </xdr:to>
    <xdr:sp macro="" textlink="">
      <xdr:nvSpPr>
        <xdr:cNvPr id="379" name="Line 151"/>
        <xdr:cNvSpPr>
          <a:spLocks noChangeShapeType="1"/>
        </xdr:cNvSpPr>
      </xdr:nvSpPr>
      <xdr:spPr bwMode="auto">
        <a:xfrm flipV="1">
          <a:off x="1790700" y="9086850"/>
          <a:ext cx="0" cy="161925"/>
        </a:xfrm>
        <a:prstGeom prst="line">
          <a:avLst/>
        </a:prstGeom>
        <a:noFill/>
        <a:ln w="9525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3</xdr:col>
      <xdr:colOff>742950</xdr:colOff>
      <xdr:row>33</xdr:row>
      <xdr:rowOff>142875</xdr:rowOff>
    </xdr:from>
    <xdr:to>
      <xdr:col>4</xdr:col>
      <xdr:colOff>752475</xdr:colOff>
      <xdr:row>34</xdr:row>
      <xdr:rowOff>68840</xdr:rowOff>
    </xdr:to>
    <xdr:sp macro="" textlink="">
      <xdr:nvSpPr>
        <xdr:cNvPr id="380" name="Text 219"/>
        <xdr:cNvSpPr txBox="1">
          <a:spLocks noChangeArrowheads="1"/>
        </xdr:cNvSpPr>
      </xdr:nvSpPr>
      <xdr:spPr bwMode="auto">
        <a:xfrm>
          <a:off x="2438400" y="7753350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411-FA11</a:t>
          </a:r>
        </a:p>
      </xdr:txBody>
    </xdr:sp>
    <xdr:clientData/>
  </xdr:twoCellAnchor>
  <xdr:twoCellAnchor>
    <xdr:from>
      <xdr:col>3</xdr:col>
      <xdr:colOff>723900</xdr:colOff>
      <xdr:row>27</xdr:row>
      <xdr:rowOff>190500</xdr:rowOff>
    </xdr:from>
    <xdr:to>
      <xdr:col>4</xdr:col>
      <xdr:colOff>733425</xdr:colOff>
      <xdr:row>28</xdr:row>
      <xdr:rowOff>116465</xdr:rowOff>
    </xdr:to>
    <xdr:sp macro="" textlink="">
      <xdr:nvSpPr>
        <xdr:cNvPr id="381" name="Text 219"/>
        <xdr:cNvSpPr txBox="1">
          <a:spLocks noChangeArrowheads="1"/>
        </xdr:cNvSpPr>
      </xdr:nvSpPr>
      <xdr:spPr bwMode="auto">
        <a:xfrm>
          <a:off x="2419350" y="6429375"/>
          <a:ext cx="847725" cy="154565"/>
        </a:xfrm>
        <a:prstGeom prst="rect">
          <a:avLst/>
        </a:prstGeom>
        <a:solidFill>
          <a:srgbClr val="FFFFFF"/>
        </a:solidFill>
        <a:ln w="1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27432" bIns="0" anchor="t" upright="1"/>
        <a:lstStyle/>
        <a:p>
          <a:pPr algn="ctr" rtl="0">
            <a:defRPr sz="1000"/>
          </a:pPr>
          <a:r>
            <a:rPr lang="en-US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311-FA11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8</xdr:row>
      <xdr:rowOff>0</xdr:rowOff>
    </xdr:from>
    <xdr:to>
      <xdr:col>7</xdr:col>
      <xdr:colOff>0</xdr:colOff>
      <xdr:row>8</xdr:row>
      <xdr:rowOff>0</xdr:rowOff>
    </xdr:to>
    <xdr:sp macro="" textlink="">
      <xdr:nvSpPr>
        <xdr:cNvPr id="2" name="Line 1"/>
        <xdr:cNvSpPr>
          <a:spLocks noChangeShapeType="1"/>
        </xdr:cNvSpPr>
      </xdr:nvSpPr>
      <xdr:spPr bwMode="auto">
        <a:xfrm>
          <a:off x="609600" y="1285875"/>
          <a:ext cx="9429750" cy="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9</xdr:row>
      <xdr:rowOff>0</xdr:rowOff>
    </xdr:from>
    <xdr:to>
      <xdr:col>13</xdr:col>
      <xdr:colOff>381000</xdr:colOff>
      <xdr:row>9</xdr:row>
      <xdr:rowOff>9525</xdr:rowOff>
    </xdr:to>
    <xdr:sp macro="" textlink="">
      <xdr:nvSpPr>
        <xdr:cNvPr id="3" name="Line 2"/>
        <xdr:cNvSpPr>
          <a:spLocks noChangeShapeType="1"/>
        </xdr:cNvSpPr>
      </xdr:nvSpPr>
      <xdr:spPr bwMode="auto">
        <a:xfrm flipV="1">
          <a:off x="609600" y="1447800"/>
          <a:ext cx="11877675" cy="95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4" name="Line 3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10</xdr:col>
      <xdr:colOff>0</xdr:colOff>
      <xdr:row>3</xdr:row>
      <xdr:rowOff>0</xdr:rowOff>
    </xdr:from>
    <xdr:to>
      <xdr:col>10</xdr:col>
      <xdr:colOff>0</xdr:colOff>
      <xdr:row>4</xdr:row>
      <xdr:rowOff>0</xdr:rowOff>
    </xdr:to>
    <xdr:sp macro="" textlink="">
      <xdr:nvSpPr>
        <xdr:cNvPr id="5" name="Line 4"/>
        <xdr:cNvSpPr>
          <a:spLocks noChangeShapeType="1"/>
        </xdr:cNvSpPr>
      </xdr:nvSpPr>
      <xdr:spPr bwMode="auto">
        <a:xfrm flipV="1">
          <a:off x="11858625" y="485775"/>
          <a:ext cx="0" cy="161925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1</xdr:col>
      <xdr:colOff>0</xdr:colOff>
      <xdr:row>3</xdr:row>
      <xdr:rowOff>9525</xdr:rowOff>
    </xdr:from>
    <xdr:to>
      <xdr:col>1</xdr:col>
      <xdr:colOff>0</xdr:colOff>
      <xdr:row>7</xdr:row>
      <xdr:rowOff>152400</xdr:rowOff>
    </xdr:to>
    <xdr:sp macro="" textlink="">
      <xdr:nvSpPr>
        <xdr:cNvPr id="6" name="Line 5"/>
        <xdr:cNvSpPr>
          <a:spLocks noChangeShapeType="1"/>
        </xdr:cNvSpPr>
      </xdr:nvSpPr>
      <xdr:spPr bwMode="auto">
        <a:xfrm flipH="1">
          <a:off x="609600" y="495300"/>
          <a:ext cx="0" cy="781050"/>
        </a:xfrm>
        <a:prstGeom prst="line">
          <a:avLst/>
        </a:prstGeom>
        <a:noFill/>
        <a:ln w="1905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800100</xdr:colOff>
      <xdr:row>15</xdr:row>
      <xdr:rowOff>161925</xdr:rowOff>
    </xdr:from>
    <xdr:to>
      <xdr:col>5</xdr:col>
      <xdr:colOff>657225</xdr:colOff>
      <xdr:row>36</xdr:row>
      <xdr:rowOff>171450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314325</xdr:colOff>
      <xdr:row>11</xdr:row>
      <xdr:rowOff>0</xdr:rowOff>
    </xdr:from>
    <xdr:to>
      <xdr:col>5</xdr:col>
      <xdr:colOff>590550</xdr:colOff>
      <xdr:row>38</xdr:row>
      <xdr:rowOff>9525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0.66812</cdr:x>
      <cdr:y>0.61992</cdr:y>
    </cdr:from>
    <cdr:to>
      <cdr:x>0.90397</cdr:x>
      <cdr:y>0.64061</cdr:y>
    </cdr:to>
    <cdr:sp macro="" textlink="">
      <cdr:nvSpPr>
        <cdr:cNvPr id="5133" name="Hot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07384" y="3991630"/>
          <a:ext cx="1379333" cy="13322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HOT STALL</a:t>
          </a:r>
        </a:p>
      </cdr:txBody>
    </cdr:sp>
  </cdr:relSizeAnchor>
  <cdr:relSizeAnchor xmlns:cdr="http://schemas.openxmlformats.org/drawingml/2006/chartDrawing">
    <cdr:from>
      <cdr:x>0.67463</cdr:x>
      <cdr:y>0.54384</cdr:y>
    </cdr:from>
    <cdr:to>
      <cdr:x>0.95745</cdr:x>
      <cdr:y>0.56897</cdr:y>
    </cdr:to>
    <cdr:sp macro="" textlink="">
      <cdr:nvSpPr>
        <cdr:cNvPr id="5134" name="Cold Stall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45484" y="3501731"/>
          <a:ext cx="1654030" cy="1618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COLD (AMBIENT) STALL</a:t>
          </a:r>
        </a:p>
      </cdr:txBody>
    </cdr:sp>
  </cdr:relSizeAnchor>
  <cdr:relSizeAnchor xmlns:cdr="http://schemas.openxmlformats.org/drawingml/2006/chartDrawing">
    <cdr:from>
      <cdr:x>0.66822</cdr:x>
      <cdr:y>0.76059</cdr:y>
    </cdr:from>
    <cdr:to>
      <cdr:x>0.91366</cdr:x>
      <cdr:y>0.78572</cdr:y>
    </cdr:to>
    <cdr:sp macro="" textlink="">
      <cdr:nvSpPr>
        <cdr:cNvPr id="5135" name="Acceleration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917521" y="4907802"/>
          <a:ext cx="1437775" cy="16200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ACCELERATION CURVE</a:t>
          </a:r>
        </a:p>
      </cdr:txBody>
    </cdr:sp>
  </cdr:relSizeAnchor>
  <cdr:relSizeAnchor xmlns:cdr="http://schemas.openxmlformats.org/drawingml/2006/chartDrawing">
    <cdr:from>
      <cdr:x>0.29932</cdr:x>
      <cdr:y>0.36182</cdr:y>
    </cdr:from>
    <cdr:to>
      <cdr:x>0.62444</cdr:x>
      <cdr:y>0.3899</cdr:y>
    </cdr:to>
    <cdr:sp macro="" textlink="">
      <cdr:nvSpPr>
        <cdr:cNvPr id="5136" name="Running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756537" y="2336355"/>
          <a:ext cx="1904548" cy="18106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vertOverflow="clip" wrap="square" lIns="27432" tIns="18288" rIns="0" bIns="0" anchor="t" upright="1"/>
        <a:lstStyle xmlns:a="http://schemas.openxmlformats.org/drawingml/2006/main"/>
        <a:p xmlns:a="http://schemas.openxmlformats.org/drawingml/2006/main">
          <a:pPr algn="l" rtl="0">
            <a:defRPr sz="1000"/>
          </a:pPr>
          <a:r>
            <a:rPr lang="en-US" sz="800" b="1" i="0" u="none" strike="noStrike" baseline="0">
              <a:solidFill>
                <a:srgbClr val="000000"/>
              </a:solidFill>
              <a:latin typeface="Times New Roman"/>
              <a:cs typeface="Times New Roman"/>
            </a:rPr>
            <a:t>RUNNING CONDITION</a:t>
          </a:r>
        </a:p>
      </cdr:txBody>
    </cdr:sp>
  </cdr:relSizeAnchor>
  <cdr:relSizeAnchor xmlns:cdr="http://schemas.openxmlformats.org/drawingml/2006/chartDrawing">
    <cdr:from>
      <cdr:x>0.6242</cdr:x>
      <cdr:y>0.19532</cdr:y>
    </cdr:from>
    <cdr:to>
      <cdr:x>0.94932</cdr:x>
      <cdr:y>0.2234</cdr:y>
    </cdr:to>
    <cdr:sp macro="" textlink="">
      <cdr:nvSpPr>
        <cdr:cNvPr id="5137" name="Load Type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659644" y="1262668"/>
          <a:ext cx="1904547" cy="18106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9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/>
        <a:lstStyle xmlns:a="http://schemas.openxmlformats.org/drawingml/2006/main"/>
        <a:p xmlns:a="http://schemas.openxmlformats.org/drawingml/2006/main">
          <a:r>
            <a:rPr lang="en-US"/>
            <a:t>LOAD TYPE: FAN / PUMP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13"/>
  <sheetViews>
    <sheetView topLeftCell="A13" zoomScale="95" zoomScaleNormal="95" workbookViewId="0">
      <selection activeCell="M20" sqref="M20"/>
    </sheetView>
  </sheetViews>
  <sheetFormatPr defaultColWidth="9.109375" defaultRowHeight="13.2"/>
  <cols>
    <col min="1" max="6" width="12.33203125" style="262" customWidth="1"/>
    <col min="7" max="7" width="12.44140625" style="262" customWidth="1"/>
    <col min="8" max="8" width="12.6640625" style="262" customWidth="1"/>
    <col min="9" max="10" width="12.33203125" style="262" customWidth="1"/>
    <col min="11" max="16384" width="9.109375" style="262"/>
  </cols>
  <sheetData>
    <row r="1" spans="1:10" ht="17.399999999999999">
      <c r="A1" s="422" t="s">
        <v>167</v>
      </c>
      <c r="B1" s="421"/>
      <c r="C1" s="421"/>
      <c r="D1" s="421"/>
      <c r="E1" s="421"/>
      <c r="F1" s="421"/>
      <c r="G1" s="421"/>
      <c r="H1" s="421"/>
      <c r="I1" s="423" t="s">
        <v>0</v>
      </c>
      <c r="J1" s="423" t="s">
        <v>199</v>
      </c>
    </row>
    <row r="2" spans="1:10" ht="17.399999999999999">
      <c r="A2" s="422" t="s">
        <v>173</v>
      </c>
      <c r="B2" s="421"/>
      <c r="C2" s="421"/>
      <c r="D2" s="421"/>
      <c r="E2" s="421"/>
      <c r="F2" s="421"/>
      <c r="G2" s="421"/>
      <c r="H2" s="421"/>
      <c r="I2" s="421"/>
      <c r="J2" s="420" t="s">
        <v>200</v>
      </c>
    </row>
    <row r="3" spans="1:10" ht="15" customHeight="1" thickBot="1">
      <c r="A3" s="392" t="s">
        <v>1</v>
      </c>
      <c r="B3" s="387" t="s">
        <v>638</v>
      </c>
      <c r="C3" s="264"/>
      <c r="D3" s="392"/>
      <c r="E3" s="264"/>
      <c r="F3" s="264"/>
      <c r="G3" s="392" t="s">
        <v>2</v>
      </c>
      <c r="H3" s="419">
        <v>41611</v>
      </c>
      <c r="I3" s="392" t="s">
        <v>3</v>
      </c>
      <c r="J3" s="418">
        <v>0.41516203703703702</v>
      </c>
    </row>
    <row r="4" spans="1:10" ht="15" customHeight="1">
      <c r="A4" s="417" t="s">
        <v>4</v>
      </c>
      <c r="B4" s="417" t="s">
        <v>171</v>
      </c>
      <c r="C4" s="417" t="s">
        <v>5</v>
      </c>
      <c r="D4" s="417" t="s">
        <v>172</v>
      </c>
      <c r="E4" s="417" t="s">
        <v>6</v>
      </c>
      <c r="F4" s="417" t="s">
        <v>7</v>
      </c>
      <c r="G4" s="417" t="s">
        <v>175</v>
      </c>
      <c r="H4" s="417" t="s">
        <v>8</v>
      </c>
      <c r="I4" s="417" t="s">
        <v>9</v>
      </c>
      <c r="J4" s="417" t="s">
        <v>10</v>
      </c>
    </row>
    <row r="5" spans="1:10" ht="15" customHeight="1" thickBot="1">
      <c r="A5" s="412">
        <v>2</v>
      </c>
      <c r="B5" s="416">
        <v>1000</v>
      </c>
      <c r="C5" s="415">
        <v>3600</v>
      </c>
      <c r="D5" s="412" t="s">
        <v>627</v>
      </c>
      <c r="E5" s="415">
        <v>4000</v>
      </c>
      <c r="F5" s="415">
        <v>60</v>
      </c>
      <c r="G5" s="412">
        <v>105</v>
      </c>
      <c r="H5" s="414" t="s">
        <v>603</v>
      </c>
      <c r="I5" s="413" t="s">
        <v>211</v>
      </c>
      <c r="J5" s="412">
        <v>6811</v>
      </c>
    </row>
    <row r="6" spans="1:10" ht="15" customHeight="1" thickBot="1">
      <c r="A6" s="299" t="s">
        <v>11</v>
      </c>
      <c r="B6" s="411"/>
      <c r="C6" s="410"/>
      <c r="D6" s="409" t="s">
        <v>12</v>
      </c>
      <c r="E6" s="298"/>
      <c r="F6" s="321"/>
      <c r="G6" s="323"/>
      <c r="H6" s="408" t="s">
        <v>13</v>
      </c>
      <c r="I6" s="405"/>
      <c r="J6" s="407"/>
    </row>
    <row r="7" spans="1:10" ht="15" customHeight="1" thickBot="1">
      <c r="A7" s="406"/>
      <c r="B7" s="292" t="s">
        <v>14</v>
      </c>
      <c r="C7" s="291" t="s">
        <v>15</v>
      </c>
      <c r="D7" s="406"/>
      <c r="E7" s="405"/>
      <c r="F7" s="292" t="s">
        <v>16</v>
      </c>
      <c r="G7" s="291" t="s">
        <v>17</v>
      </c>
      <c r="H7" s="312" t="s">
        <v>18</v>
      </c>
      <c r="I7" s="316">
        <v>24.143700925925923</v>
      </c>
      <c r="J7" s="404" t="s">
        <v>19</v>
      </c>
    </row>
    <row r="8" spans="1:10" ht="15" customHeight="1">
      <c r="A8" s="337" t="s">
        <v>20</v>
      </c>
      <c r="B8" s="309">
        <v>3.5</v>
      </c>
      <c r="C8" s="377"/>
      <c r="D8" s="337"/>
      <c r="E8" s="320"/>
      <c r="F8" s="292"/>
      <c r="G8" s="291"/>
      <c r="H8" s="312" t="s">
        <v>21</v>
      </c>
      <c r="I8" s="316">
        <v>27.864537391304346</v>
      </c>
      <c r="J8" s="391" t="s">
        <v>22</v>
      </c>
    </row>
    <row r="9" spans="1:10" ht="15" customHeight="1" thickBot="1">
      <c r="A9" s="337" t="s">
        <v>23</v>
      </c>
      <c r="B9" s="309">
        <v>0.93000000715255737</v>
      </c>
      <c r="C9" s="377"/>
      <c r="D9" s="337" t="s">
        <v>24</v>
      </c>
      <c r="E9" s="378" t="s">
        <v>183</v>
      </c>
      <c r="F9" s="403" t="s">
        <v>25</v>
      </c>
      <c r="G9" s="402"/>
      <c r="H9" s="312" t="s">
        <v>26</v>
      </c>
      <c r="I9" s="309">
        <v>26.004119158615133</v>
      </c>
      <c r="J9" s="385">
        <v>668.22312687552505</v>
      </c>
    </row>
    <row r="10" spans="1:10" ht="15" customHeight="1">
      <c r="A10" s="337" t="s">
        <v>27</v>
      </c>
      <c r="B10" s="309">
        <v>630</v>
      </c>
      <c r="C10" s="311">
        <v>630</v>
      </c>
      <c r="D10" s="337"/>
      <c r="E10" s="320"/>
      <c r="F10" s="401" t="s">
        <v>195</v>
      </c>
      <c r="G10" s="400" t="s">
        <v>196</v>
      </c>
      <c r="H10" s="312" t="s">
        <v>28</v>
      </c>
      <c r="I10" s="316">
        <v>17.419318365226331</v>
      </c>
      <c r="J10" s="391" t="s">
        <v>29</v>
      </c>
    </row>
    <row r="11" spans="1:10" ht="15" customHeight="1" thickBot="1">
      <c r="A11" s="337" t="s">
        <v>30</v>
      </c>
      <c r="B11" s="309">
        <v>770</v>
      </c>
      <c r="C11" s="311">
        <v>408</v>
      </c>
      <c r="D11" s="337" t="s">
        <v>31</v>
      </c>
      <c r="E11" s="316">
        <v>0.62956666666666661</v>
      </c>
      <c r="F11" s="399"/>
      <c r="G11" s="398"/>
      <c r="H11" s="312" t="s">
        <v>32</v>
      </c>
      <c r="I11" s="316">
        <v>27.468965263537992</v>
      </c>
      <c r="J11" s="385">
        <v>23225.106225233834</v>
      </c>
    </row>
    <row r="12" spans="1:10" ht="15" customHeight="1">
      <c r="A12" s="337" t="s">
        <v>33</v>
      </c>
      <c r="B12" s="309">
        <v>415</v>
      </c>
      <c r="C12" s="311">
        <v>170</v>
      </c>
      <c r="D12" s="337" t="s">
        <v>34</v>
      </c>
      <c r="E12" s="397" t="s">
        <v>174</v>
      </c>
      <c r="F12" s="396" t="s">
        <v>189</v>
      </c>
      <c r="G12" s="386" t="s">
        <v>188</v>
      </c>
      <c r="H12" s="312" t="s">
        <v>35</v>
      </c>
      <c r="I12" s="316">
        <v>1.3860301775139077</v>
      </c>
      <c r="J12" s="391" t="s">
        <v>36</v>
      </c>
    </row>
    <row r="13" spans="1:10" ht="15" customHeight="1" thickBot="1">
      <c r="A13" s="337" t="s">
        <v>37</v>
      </c>
      <c r="B13" s="309">
        <v>112.5</v>
      </c>
      <c r="C13" s="311">
        <v>77.590000152587891</v>
      </c>
      <c r="D13" s="337" t="s">
        <v>38</v>
      </c>
      <c r="E13" s="315">
        <v>20</v>
      </c>
      <c r="F13" s="396"/>
      <c r="G13" s="386" t="s">
        <v>190</v>
      </c>
      <c r="H13" s="312" t="s">
        <v>40</v>
      </c>
      <c r="I13" s="316">
        <v>1.0144006927079787</v>
      </c>
      <c r="J13" s="385">
        <v>117.12228393554688</v>
      </c>
    </row>
    <row r="14" spans="1:10" ht="15" customHeight="1" thickBot="1">
      <c r="A14" s="395" t="s">
        <v>41</v>
      </c>
      <c r="B14" s="394">
        <v>585.9000244140625</v>
      </c>
      <c r="C14" s="393">
        <v>585.9000244140625</v>
      </c>
      <c r="D14" s="337" t="s">
        <v>42</v>
      </c>
      <c r="E14" s="320" t="s">
        <v>184</v>
      </c>
      <c r="F14" s="320"/>
      <c r="G14" s="386" t="s">
        <v>191</v>
      </c>
      <c r="H14" s="392" t="s">
        <v>43</v>
      </c>
      <c r="I14" s="316">
        <v>1.4059899721842706</v>
      </c>
      <c r="J14" s="391" t="s">
        <v>44</v>
      </c>
    </row>
    <row r="15" spans="1:10" ht="15" customHeight="1" thickBot="1">
      <c r="A15" s="322" t="s">
        <v>45</v>
      </c>
      <c r="B15" s="390"/>
      <c r="C15" s="389"/>
      <c r="D15" s="337" t="s">
        <v>46</v>
      </c>
      <c r="E15" s="320" t="s">
        <v>174</v>
      </c>
      <c r="F15" s="320"/>
      <c r="G15" s="386"/>
      <c r="H15" s="312" t="s">
        <v>47</v>
      </c>
      <c r="I15" s="316">
        <v>0.83543300071747506</v>
      </c>
      <c r="J15" s="385">
        <v>25.660763888888887</v>
      </c>
    </row>
    <row r="16" spans="1:10" ht="15" customHeight="1">
      <c r="A16" s="337" t="s">
        <v>48</v>
      </c>
      <c r="B16" s="320">
        <v>54</v>
      </c>
      <c r="C16" s="377">
        <v>46</v>
      </c>
      <c r="D16" s="337" t="s">
        <v>49</v>
      </c>
      <c r="E16" s="320">
        <v>2</v>
      </c>
      <c r="F16" s="320"/>
      <c r="G16" s="386"/>
      <c r="H16" s="312" t="s">
        <v>50</v>
      </c>
      <c r="I16" s="316">
        <v>0.95529270900034158</v>
      </c>
      <c r="J16" s="388" t="s">
        <v>51</v>
      </c>
    </row>
    <row r="17" spans="1:10" ht="15" customHeight="1" thickBot="1">
      <c r="A17" s="337" t="s">
        <v>52</v>
      </c>
      <c r="B17" s="320" t="s">
        <v>178</v>
      </c>
      <c r="C17" s="377" t="s">
        <v>179</v>
      </c>
      <c r="D17" s="387" t="s">
        <v>53</v>
      </c>
      <c r="E17" s="320" t="s">
        <v>185</v>
      </c>
      <c r="F17" s="320"/>
      <c r="G17" s="386"/>
      <c r="H17" s="312" t="s">
        <v>54</v>
      </c>
      <c r="I17" s="316">
        <v>0.79808305444368111</v>
      </c>
      <c r="J17" s="385">
        <v>485.10493190287548</v>
      </c>
    </row>
    <row r="18" spans="1:10" ht="15" customHeight="1">
      <c r="A18" s="337" t="s">
        <v>55</v>
      </c>
      <c r="B18" s="320" t="s">
        <v>174</v>
      </c>
      <c r="C18" s="311">
        <v>0</v>
      </c>
      <c r="D18" s="337" t="s">
        <v>56</v>
      </c>
      <c r="E18" s="384">
        <v>1400</v>
      </c>
      <c r="F18" s="315">
        <v>815</v>
      </c>
      <c r="G18" s="336"/>
      <c r="H18" s="322" t="s">
        <v>57</v>
      </c>
      <c r="I18" s="383" t="s">
        <v>197</v>
      </c>
      <c r="J18" s="382"/>
    </row>
    <row r="19" spans="1:10" ht="15" customHeight="1">
      <c r="A19" s="337" t="s">
        <v>58</v>
      </c>
      <c r="B19" s="309">
        <v>65</v>
      </c>
      <c r="C19" s="311">
        <v>41.409999847412109</v>
      </c>
      <c r="D19" s="337" t="s">
        <v>59</v>
      </c>
      <c r="E19" s="315">
        <v>180</v>
      </c>
      <c r="F19" s="320"/>
      <c r="G19" s="377"/>
      <c r="H19" s="381"/>
      <c r="I19" s="292" t="s">
        <v>60</v>
      </c>
      <c r="J19" s="380" t="s">
        <v>61</v>
      </c>
    </row>
    <row r="20" spans="1:10" ht="15" customHeight="1">
      <c r="A20" s="337" t="s">
        <v>62</v>
      </c>
      <c r="B20" s="309" t="s">
        <v>180</v>
      </c>
      <c r="C20" s="311"/>
      <c r="D20" s="337" t="s">
        <v>166</v>
      </c>
      <c r="E20" s="319">
        <v>9.4059486706904588E-2</v>
      </c>
      <c r="F20" s="320"/>
      <c r="G20" s="377"/>
      <c r="H20" s="312" t="s">
        <v>63</v>
      </c>
      <c r="I20" s="316">
        <v>12.936479568481445</v>
      </c>
      <c r="J20" s="338">
        <v>12.936479568481445</v>
      </c>
    </row>
    <row r="21" spans="1:10" ht="15" customHeight="1">
      <c r="A21" s="337" t="s">
        <v>64</v>
      </c>
      <c r="B21" s="309">
        <v>14.300000190734863</v>
      </c>
      <c r="C21" s="311">
        <v>3</v>
      </c>
      <c r="D21" s="312" t="s">
        <v>186</v>
      </c>
      <c r="E21" s="319">
        <v>0.12547424651078234</v>
      </c>
      <c r="F21" s="319">
        <v>8.0099307000637054E-2</v>
      </c>
      <c r="G21" s="356">
        <v>2.8556951882628984E-2</v>
      </c>
      <c r="H21" s="312" t="s">
        <v>65</v>
      </c>
      <c r="I21" s="316">
        <v>25.59199333190918</v>
      </c>
      <c r="J21" s="338">
        <v>23.06072998046875</v>
      </c>
    </row>
    <row r="22" spans="1:10" ht="15" customHeight="1">
      <c r="A22" s="337" t="s">
        <v>66</v>
      </c>
      <c r="B22" s="309">
        <v>3.6500000953674316</v>
      </c>
      <c r="C22" s="311">
        <v>6</v>
      </c>
      <c r="D22" s="337" t="s">
        <v>67</v>
      </c>
      <c r="E22" s="320" t="s">
        <v>187</v>
      </c>
      <c r="F22" s="320" t="s">
        <v>626</v>
      </c>
      <c r="G22" s="377" t="s">
        <v>626</v>
      </c>
      <c r="H22" s="312" t="s">
        <v>68</v>
      </c>
      <c r="I22" s="316">
        <v>5.1524181365966797</v>
      </c>
      <c r="J22" s="338">
        <v>5.1524181365966797</v>
      </c>
    </row>
    <row r="23" spans="1:10" ht="15" customHeight="1">
      <c r="A23" s="337" t="s">
        <v>69</v>
      </c>
      <c r="B23" s="309">
        <v>9.8437004089355469</v>
      </c>
      <c r="C23" s="311">
        <v>8.0883092880249023</v>
      </c>
      <c r="D23" s="337" t="s">
        <v>70</v>
      </c>
      <c r="E23" s="316">
        <v>1.7419999837875366</v>
      </c>
      <c r="F23" s="316">
        <v>1.7239999771118164</v>
      </c>
      <c r="G23" s="338">
        <v>1.7239999771118164</v>
      </c>
      <c r="H23" s="312" t="s">
        <v>71</v>
      </c>
      <c r="I23" s="316">
        <v>20.651388459391384</v>
      </c>
      <c r="J23" s="291" t="s">
        <v>198</v>
      </c>
    </row>
    <row r="24" spans="1:10" ht="15" customHeight="1">
      <c r="A24" s="337" t="s">
        <v>72</v>
      </c>
      <c r="B24" s="309">
        <v>0</v>
      </c>
      <c r="C24" s="311">
        <v>0.80000001192092896</v>
      </c>
      <c r="D24" s="337" t="s">
        <v>73</v>
      </c>
      <c r="E24" s="316">
        <v>8.8900003433227539</v>
      </c>
      <c r="F24" s="316">
        <v>8.8900003433227539</v>
      </c>
      <c r="G24" s="338">
        <v>8.8900003433227539</v>
      </c>
      <c r="H24" s="312" t="s">
        <v>74</v>
      </c>
      <c r="I24" s="316">
        <v>6.8935024020808395</v>
      </c>
      <c r="J24" s="338">
        <v>6.8935024020808395</v>
      </c>
    </row>
    <row r="25" spans="1:10" ht="15" customHeight="1">
      <c r="A25" s="337" t="s">
        <v>75</v>
      </c>
      <c r="B25" s="320" t="s">
        <v>174</v>
      </c>
      <c r="C25" s="311">
        <v>5.7199997901916504</v>
      </c>
      <c r="D25" s="379" t="s">
        <v>76</v>
      </c>
      <c r="E25" s="378"/>
      <c r="F25" s="378"/>
      <c r="G25" s="333"/>
      <c r="H25" s="312" t="s">
        <v>77</v>
      </c>
      <c r="I25" s="316">
        <v>0.23413050174713135</v>
      </c>
      <c r="J25" s="338">
        <v>0.56436151266098022</v>
      </c>
    </row>
    <row r="26" spans="1:10" ht="15" customHeight="1">
      <c r="A26" s="337" t="s">
        <v>78</v>
      </c>
      <c r="B26" s="378" t="s">
        <v>181</v>
      </c>
      <c r="C26" s="333" t="s">
        <v>182</v>
      </c>
      <c r="D26" s="312" t="s">
        <v>79</v>
      </c>
      <c r="E26" s="309">
        <v>313.66759657474665</v>
      </c>
      <c r="F26" s="309">
        <v>115.25463388499172</v>
      </c>
      <c r="G26" s="311">
        <v>53.173945349688275</v>
      </c>
      <c r="H26" s="312" t="s">
        <v>80</v>
      </c>
      <c r="I26" s="316">
        <v>3.3649604320526123</v>
      </c>
      <c r="J26" s="338">
        <v>3.2453746795654297</v>
      </c>
    </row>
    <row r="27" spans="1:10" ht="15" customHeight="1" thickBot="1">
      <c r="A27" s="337" t="s">
        <v>81</v>
      </c>
      <c r="B27" s="320" t="s">
        <v>174</v>
      </c>
      <c r="C27" s="377" t="s">
        <v>174</v>
      </c>
      <c r="D27" s="306" t="s">
        <v>82</v>
      </c>
      <c r="E27" s="305" t="s">
        <v>174</v>
      </c>
      <c r="F27" s="305" t="s">
        <v>174</v>
      </c>
      <c r="G27" s="304" t="s">
        <v>174</v>
      </c>
      <c r="H27" s="306" t="s">
        <v>83</v>
      </c>
      <c r="I27" s="302">
        <v>3.3730959892272949</v>
      </c>
      <c r="J27" s="329">
        <v>3.2940795421600342</v>
      </c>
    </row>
    <row r="28" spans="1:10" ht="15" customHeight="1">
      <c r="A28" s="337" t="s">
        <v>84</v>
      </c>
      <c r="B28" s="350"/>
      <c r="C28" s="307"/>
      <c r="D28" s="322" t="s">
        <v>85</v>
      </c>
      <c r="E28" s="376"/>
      <c r="F28" s="375"/>
      <c r="G28" s="298"/>
      <c r="H28" s="323"/>
      <c r="I28" s="374" t="s">
        <v>86</v>
      </c>
      <c r="J28" s="323"/>
    </row>
    <row r="29" spans="1:10" ht="15" customHeight="1">
      <c r="A29" s="371"/>
      <c r="B29" s="373" t="s">
        <v>87</v>
      </c>
      <c r="C29" s="372">
        <v>35.358402413749502</v>
      </c>
      <c r="D29" s="371"/>
      <c r="E29" s="292" t="s">
        <v>88</v>
      </c>
      <c r="F29" s="292" t="s">
        <v>89</v>
      </c>
      <c r="G29" s="292" t="s">
        <v>90</v>
      </c>
      <c r="H29" s="291" t="s">
        <v>91</v>
      </c>
      <c r="I29" s="292" t="s">
        <v>92</v>
      </c>
      <c r="J29" s="291" t="s">
        <v>93</v>
      </c>
    </row>
    <row r="30" spans="1:10" ht="15" customHeight="1" thickBot="1">
      <c r="A30" s="332"/>
      <c r="B30" s="370" t="s">
        <v>94</v>
      </c>
      <c r="C30" s="369">
        <v>35.395236770671517</v>
      </c>
      <c r="D30" s="312" t="s">
        <v>95</v>
      </c>
      <c r="E30" s="309">
        <v>60.475607500000002</v>
      </c>
      <c r="F30" s="309">
        <v>1318.2750549316406</v>
      </c>
      <c r="G30" s="309">
        <v>9.1554824887253528</v>
      </c>
      <c r="H30" s="336">
        <v>110.80948093153219</v>
      </c>
      <c r="I30" s="315">
        <v>136151.14611792102</v>
      </c>
      <c r="J30" s="336">
        <v>4187.0567021426477</v>
      </c>
    </row>
    <row r="31" spans="1:10" ht="15" customHeight="1">
      <c r="A31" s="299" t="s">
        <v>96</v>
      </c>
      <c r="B31" s="368"/>
      <c r="C31" s="297"/>
      <c r="D31" s="312" t="s">
        <v>97</v>
      </c>
      <c r="E31" s="309">
        <v>6.5</v>
      </c>
      <c r="F31" s="309">
        <v>1557.2045636784146</v>
      </c>
      <c r="G31" s="309">
        <v>7.7507120530392974</v>
      </c>
      <c r="H31" s="336">
        <v>7.0555696589619057</v>
      </c>
      <c r="I31" s="315">
        <v>20243.65932781939</v>
      </c>
      <c r="J31" s="336">
        <v>475.32029102759464</v>
      </c>
    </row>
    <row r="32" spans="1:10" ht="15" customHeight="1">
      <c r="A32" s="337" t="s">
        <v>98</v>
      </c>
      <c r="B32" s="316" t="s">
        <v>213</v>
      </c>
      <c r="C32" s="367"/>
      <c r="D32" s="312" t="s">
        <v>99</v>
      </c>
      <c r="E32" s="309">
        <v>25.539555928968429</v>
      </c>
      <c r="F32" s="309">
        <v>1241.2096735084026</v>
      </c>
      <c r="G32" s="309">
        <v>9.7239366066448749</v>
      </c>
      <c r="H32" s="336">
        <v>56.30494497449542</v>
      </c>
      <c r="I32" s="310" t="s">
        <v>100</v>
      </c>
      <c r="J32" s="336">
        <v>4662.3769931702427</v>
      </c>
    </row>
    <row r="33" spans="1:10" ht="15" customHeight="1">
      <c r="A33" s="337" t="s">
        <v>101</v>
      </c>
      <c r="B33" s="316" t="s">
        <v>214</v>
      </c>
      <c r="C33" s="366" t="s">
        <v>102</v>
      </c>
      <c r="D33" s="312" t="s">
        <v>97</v>
      </c>
      <c r="E33" s="309">
        <v>4.1409999847412111</v>
      </c>
      <c r="F33" s="309">
        <v>1089.9563401441242</v>
      </c>
      <c r="G33" s="309">
        <v>11.073328110696758</v>
      </c>
      <c r="H33" s="336">
        <v>13.458933038713642</v>
      </c>
      <c r="I33" s="310" t="s">
        <v>103</v>
      </c>
      <c r="J33" s="311" t="s">
        <v>204</v>
      </c>
    </row>
    <row r="34" spans="1:10" ht="15" customHeight="1" thickBot="1">
      <c r="A34" s="328" t="s">
        <v>104</v>
      </c>
      <c r="B34" s="302" t="s">
        <v>215</v>
      </c>
      <c r="C34" s="365">
        <v>12.069444180750088</v>
      </c>
      <c r="D34" s="306" t="s">
        <v>20</v>
      </c>
      <c r="E34" s="302">
        <v>0.35000000000000003</v>
      </c>
      <c r="F34" s="305">
        <v>2920.9621752279131</v>
      </c>
      <c r="G34" s="305">
        <v>4.1320097477155278</v>
      </c>
      <c r="H34" s="327">
        <v>1150.853080526449</v>
      </c>
      <c r="I34" s="310" t="s">
        <v>105</v>
      </c>
      <c r="J34" s="311">
        <v>6.0500001907348633</v>
      </c>
    </row>
    <row r="35" spans="1:10" ht="15" customHeight="1">
      <c r="A35" s="322" t="s">
        <v>106</v>
      </c>
      <c r="B35" s="321"/>
      <c r="C35" s="321"/>
      <c r="D35" s="364" t="s">
        <v>205</v>
      </c>
      <c r="E35" s="363" t="s">
        <v>625</v>
      </c>
      <c r="F35" s="323"/>
      <c r="G35" s="362" t="s">
        <v>107</v>
      </c>
      <c r="H35" s="361" t="s">
        <v>624</v>
      </c>
      <c r="I35" s="312" t="s">
        <v>108</v>
      </c>
      <c r="J35" s="336" t="s">
        <v>203</v>
      </c>
    </row>
    <row r="36" spans="1:10" ht="15" customHeight="1">
      <c r="A36" s="337" t="s">
        <v>109</v>
      </c>
      <c r="B36" s="292">
        <v>25</v>
      </c>
      <c r="C36" s="292">
        <v>50</v>
      </c>
      <c r="D36" s="292">
        <v>75</v>
      </c>
      <c r="E36" s="292">
        <v>100</v>
      </c>
      <c r="F36" s="291">
        <v>125</v>
      </c>
      <c r="G36" s="312" t="s">
        <v>110</v>
      </c>
      <c r="H36" s="336" t="s">
        <v>623</v>
      </c>
      <c r="I36" s="312" t="s">
        <v>111</v>
      </c>
      <c r="J36" s="336" t="s">
        <v>202</v>
      </c>
    </row>
    <row r="37" spans="1:10" ht="15" customHeight="1" thickBot="1">
      <c r="A37" s="337" t="s">
        <v>112</v>
      </c>
      <c r="B37" s="309" t="s">
        <v>622</v>
      </c>
      <c r="C37" s="309" t="s">
        <v>621</v>
      </c>
      <c r="D37" s="309" t="s">
        <v>620</v>
      </c>
      <c r="E37" s="309" t="s">
        <v>619</v>
      </c>
      <c r="F37" s="311" t="s">
        <v>618</v>
      </c>
      <c r="G37" s="312" t="s">
        <v>113</v>
      </c>
      <c r="H37" s="336" t="s">
        <v>617</v>
      </c>
      <c r="I37" s="306" t="s">
        <v>114</v>
      </c>
      <c r="J37" s="327" t="s">
        <v>201</v>
      </c>
    </row>
    <row r="38" spans="1:10" ht="15" customHeight="1" thickBot="1">
      <c r="A38" s="337" t="s">
        <v>115</v>
      </c>
      <c r="B38" s="316" t="s">
        <v>616</v>
      </c>
      <c r="C38" s="316" t="s">
        <v>615</v>
      </c>
      <c r="D38" s="316" t="s">
        <v>614</v>
      </c>
      <c r="E38" s="316" t="s">
        <v>613</v>
      </c>
      <c r="F38" s="338" t="s">
        <v>612</v>
      </c>
      <c r="G38" s="328" t="s">
        <v>116</v>
      </c>
      <c r="H38" s="327" t="s">
        <v>611</v>
      </c>
      <c r="I38" s="360" t="s">
        <v>206</v>
      </c>
      <c r="J38" s="359">
        <v>10297.900390625</v>
      </c>
    </row>
    <row r="39" spans="1:10" ht="15" customHeight="1">
      <c r="A39" s="337" t="s">
        <v>117</v>
      </c>
      <c r="B39" s="316" t="s">
        <v>610</v>
      </c>
      <c r="C39" s="316" t="s">
        <v>609</v>
      </c>
      <c r="D39" s="316" t="s">
        <v>207</v>
      </c>
      <c r="E39" s="316" t="s">
        <v>208</v>
      </c>
      <c r="F39" s="338" t="s">
        <v>207</v>
      </c>
      <c r="G39" s="322" t="s">
        <v>118</v>
      </c>
      <c r="H39" s="321"/>
      <c r="I39" s="358" t="s">
        <v>119</v>
      </c>
      <c r="J39" s="357" t="s">
        <v>120</v>
      </c>
    </row>
    <row r="40" spans="1:10" ht="15" customHeight="1">
      <c r="A40" s="337" t="s">
        <v>119</v>
      </c>
      <c r="B40" s="319" t="s">
        <v>608</v>
      </c>
      <c r="C40" s="319" t="s">
        <v>209</v>
      </c>
      <c r="D40" s="319" t="s">
        <v>210</v>
      </c>
      <c r="E40" s="319" t="s">
        <v>211</v>
      </c>
      <c r="F40" s="356" t="s">
        <v>212</v>
      </c>
      <c r="G40" s="347" t="s">
        <v>121</v>
      </c>
      <c r="H40" s="354" t="s">
        <v>607</v>
      </c>
      <c r="I40" s="353"/>
      <c r="J40" s="355"/>
    </row>
    <row r="41" spans="1:10" ht="15" customHeight="1">
      <c r="A41" s="337" t="s">
        <v>5</v>
      </c>
      <c r="B41" s="315" t="s">
        <v>606</v>
      </c>
      <c r="C41" s="315" t="s">
        <v>605</v>
      </c>
      <c r="D41" s="315" t="s">
        <v>604</v>
      </c>
      <c r="E41" s="315" t="s">
        <v>603</v>
      </c>
      <c r="F41" s="336" t="s">
        <v>602</v>
      </c>
      <c r="G41" s="344" t="s">
        <v>122</v>
      </c>
      <c r="H41" s="352" t="s">
        <v>601</v>
      </c>
      <c r="I41" s="324"/>
      <c r="J41" s="313"/>
    </row>
    <row r="42" spans="1:10" ht="15" customHeight="1">
      <c r="A42" s="337" t="s">
        <v>123</v>
      </c>
      <c r="B42" s="316">
        <v>7.929703715279298</v>
      </c>
      <c r="C42" s="316">
        <v>7.929703715279298</v>
      </c>
      <c r="D42" s="316">
        <v>7.929703715279298</v>
      </c>
      <c r="E42" s="316">
        <v>7.929703715279298</v>
      </c>
      <c r="F42" s="338">
        <v>7.929703715279298</v>
      </c>
      <c r="G42" s="347" t="s">
        <v>124</v>
      </c>
      <c r="H42" s="354" t="s">
        <v>600</v>
      </c>
      <c r="I42" s="353"/>
      <c r="J42" s="346">
        <v>0.17133111812022819</v>
      </c>
    </row>
    <row r="43" spans="1:10" ht="15" customHeight="1" thickBot="1">
      <c r="A43" s="328" t="s">
        <v>125</v>
      </c>
      <c r="B43" s="302">
        <v>7.929703715279298</v>
      </c>
      <c r="C43" s="302"/>
      <c r="D43" s="302" t="s">
        <v>217</v>
      </c>
      <c r="E43" s="302"/>
      <c r="F43" s="329"/>
      <c r="G43" s="344" t="s">
        <v>122</v>
      </c>
      <c r="H43" s="352" t="s">
        <v>599</v>
      </c>
      <c r="I43" s="324"/>
      <c r="J43" s="313"/>
    </row>
    <row r="44" spans="1:10" ht="15" customHeight="1">
      <c r="A44" s="349" t="s">
        <v>126</v>
      </c>
      <c r="B44" s="351"/>
      <c r="C44" s="350"/>
      <c r="D44" s="350"/>
      <c r="E44" s="349" t="s">
        <v>127</v>
      </c>
      <c r="F44" s="348"/>
      <c r="G44" s="347" t="s">
        <v>128</v>
      </c>
      <c r="H44" s="342">
        <v>2232.4902486983469</v>
      </c>
      <c r="I44" s="341">
        <v>3.2268074155947887E-2</v>
      </c>
      <c r="J44" s="346">
        <v>0.65484760160565603</v>
      </c>
    </row>
    <row r="45" spans="1:10" ht="15" customHeight="1">
      <c r="A45" s="337" t="s">
        <v>129</v>
      </c>
      <c r="B45" s="316">
        <v>0.15693877637386322</v>
      </c>
      <c r="C45" s="339" t="s">
        <v>130</v>
      </c>
      <c r="D45" s="338">
        <v>6.370149552822113E-3</v>
      </c>
      <c r="E45" s="337" t="s">
        <v>131</v>
      </c>
      <c r="F45" s="336">
        <v>311.63747591761472</v>
      </c>
      <c r="G45" s="345" t="s">
        <v>122</v>
      </c>
      <c r="H45" s="281" t="s">
        <v>216</v>
      </c>
      <c r="I45" s="334"/>
      <c r="J45" s="333"/>
    </row>
    <row r="46" spans="1:10" ht="15" customHeight="1">
      <c r="A46" s="337" t="s">
        <v>132</v>
      </c>
      <c r="B46" s="316">
        <v>0.16262504458427429</v>
      </c>
      <c r="C46" s="339" t="s">
        <v>133</v>
      </c>
      <c r="D46" s="338">
        <v>5.2512441761791706E-3</v>
      </c>
      <c r="E46" s="337" t="s">
        <v>134</v>
      </c>
      <c r="F46" s="336">
        <v>491.69568388914178</v>
      </c>
      <c r="G46" s="344" t="s">
        <v>135</v>
      </c>
      <c r="H46" s="325">
        <v>476.17989333582983</v>
      </c>
      <c r="I46" s="324"/>
      <c r="J46" s="313"/>
    </row>
    <row r="47" spans="1:10" ht="15" customHeight="1">
      <c r="A47" s="337" t="s">
        <v>136</v>
      </c>
      <c r="B47" s="316">
        <v>0.31956380605697632</v>
      </c>
      <c r="C47" s="339" t="s">
        <v>137</v>
      </c>
      <c r="D47" s="338">
        <v>1.1193029582500458E-2</v>
      </c>
      <c r="E47" s="337" t="s">
        <v>138</v>
      </c>
      <c r="F47" s="336">
        <v>177.35212196033947</v>
      </c>
      <c r="G47" s="343" t="s">
        <v>139</v>
      </c>
      <c r="H47" s="342">
        <v>2161.6559032741507</v>
      </c>
      <c r="I47" s="341">
        <v>3.1207348902883861E-2</v>
      </c>
      <c r="J47" s="340">
        <v>0.66643403980571292</v>
      </c>
    </row>
    <row r="48" spans="1:10" ht="15" customHeight="1">
      <c r="A48" s="337" t="s">
        <v>140</v>
      </c>
      <c r="B48" s="316">
        <v>1.0626186616718769E-2</v>
      </c>
      <c r="C48" s="339" t="s">
        <v>100</v>
      </c>
      <c r="D48" s="338">
        <v>3.3440608531236649E-2</v>
      </c>
      <c r="E48" s="337" t="s">
        <v>141</v>
      </c>
      <c r="F48" s="336">
        <v>4.8398171670391443</v>
      </c>
      <c r="G48" s="335" t="s">
        <v>122</v>
      </c>
      <c r="H48" s="281">
        <v>289.76620687321054</v>
      </c>
      <c r="I48" s="334"/>
      <c r="J48" s="333"/>
    </row>
    <row r="49" spans="1:10" ht="15" customHeight="1" thickBot="1">
      <c r="A49" s="332"/>
      <c r="B49" s="331"/>
      <c r="C49" s="330" t="s">
        <v>142</v>
      </c>
      <c r="D49" s="329">
        <v>0.96655941009521484</v>
      </c>
      <c r="E49" s="328" t="s">
        <v>143</v>
      </c>
      <c r="F49" s="327">
        <v>12.348955521797427</v>
      </c>
      <c r="G49" s="326" t="s">
        <v>135</v>
      </c>
      <c r="H49" s="325">
        <v>468.16187822603223</v>
      </c>
      <c r="I49" s="324"/>
      <c r="J49" s="300"/>
    </row>
    <row r="50" spans="1:10" ht="15" customHeight="1">
      <c r="A50" s="322" t="s">
        <v>194</v>
      </c>
      <c r="B50" s="321"/>
      <c r="C50" s="321"/>
      <c r="D50" s="321"/>
      <c r="E50" s="321"/>
      <c r="F50" s="323"/>
      <c r="G50" s="322" t="s">
        <v>144</v>
      </c>
      <c r="H50" s="321"/>
      <c r="I50" s="298"/>
      <c r="J50" s="297"/>
    </row>
    <row r="51" spans="1:10" ht="15" customHeight="1">
      <c r="A51" s="312" t="s">
        <v>145</v>
      </c>
      <c r="B51" s="320">
        <v>46</v>
      </c>
      <c r="C51" s="310" t="s">
        <v>146</v>
      </c>
      <c r="D51" s="309" t="s">
        <v>174</v>
      </c>
      <c r="E51" s="310" t="s">
        <v>147</v>
      </c>
      <c r="F51" s="311" t="s">
        <v>174</v>
      </c>
      <c r="G51" s="310" t="s">
        <v>148</v>
      </c>
      <c r="H51" s="319">
        <v>4.2068367158164803E-2</v>
      </c>
      <c r="I51" s="308" t="s">
        <v>149</v>
      </c>
      <c r="J51" s="307"/>
    </row>
    <row r="52" spans="1:10" ht="15" customHeight="1">
      <c r="A52" s="312" t="s">
        <v>58</v>
      </c>
      <c r="B52" s="309">
        <v>41.409999847412109</v>
      </c>
      <c r="C52" s="310" t="s">
        <v>150</v>
      </c>
      <c r="D52" s="309" t="s">
        <v>174</v>
      </c>
      <c r="E52" s="310" t="s">
        <v>151</v>
      </c>
      <c r="F52" s="311" t="s">
        <v>174</v>
      </c>
      <c r="G52" s="310" t="s">
        <v>168</v>
      </c>
      <c r="H52" s="309">
        <v>104872.32000000001</v>
      </c>
      <c r="I52" s="318" t="s">
        <v>598</v>
      </c>
      <c r="J52" s="317"/>
    </row>
    <row r="53" spans="1:10" ht="15" customHeight="1">
      <c r="A53" s="312" t="s">
        <v>64</v>
      </c>
      <c r="B53" s="309">
        <v>3</v>
      </c>
      <c r="C53" s="310" t="s">
        <v>152</v>
      </c>
      <c r="D53" s="309" t="s">
        <v>174</v>
      </c>
      <c r="E53" s="310" t="s">
        <v>153</v>
      </c>
      <c r="F53" s="311" t="s">
        <v>174</v>
      </c>
      <c r="G53" s="310" t="s">
        <v>169</v>
      </c>
      <c r="H53" s="316">
        <v>69.829863505920002</v>
      </c>
      <c r="I53" s="308" t="s">
        <v>154</v>
      </c>
      <c r="J53" s="307"/>
    </row>
    <row r="54" spans="1:10" ht="15" customHeight="1">
      <c r="A54" s="312" t="s">
        <v>66</v>
      </c>
      <c r="B54" s="309">
        <v>6</v>
      </c>
      <c r="C54" s="310" t="s">
        <v>155</v>
      </c>
      <c r="D54" s="309" t="s">
        <v>174</v>
      </c>
      <c r="E54" s="310" t="s">
        <v>153</v>
      </c>
      <c r="F54" s="311" t="s">
        <v>174</v>
      </c>
      <c r="G54" s="310" t="s">
        <v>170</v>
      </c>
      <c r="H54" s="315">
        <v>373527</v>
      </c>
      <c r="I54" s="314" t="s">
        <v>597</v>
      </c>
      <c r="J54" s="313" t="s">
        <v>192</v>
      </c>
    </row>
    <row r="55" spans="1:10" ht="15" customHeight="1">
      <c r="A55" s="312" t="s">
        <v>156</v>
      </c>
      <c r="B55" s="309">
        <v>14.119999885559082</v>
      </c>
      <c r="C55" s="310" t="s">
        <v>157</v>
      </c>
      <c r="D55" s="309" t="s">
        <v>174</v>
      </c>
      <c r="E55" s="310" t="s">
        <v>158</v>
      </c>
      <c r="F55" s="311" t="s">
        <v>174</v>
      </c>
      <c r="G55" s="310" t="s">
        <v>159</v>
      </c>
      <c r="H55" s="309">
        <v>1</v>
      </c>
      <c r="I55" s="308" t="s">
        <v>160</v>
      </c>
      <c r="J55" s="307"/>
    </row>
    <row r="56" spans="1:10" ht="15" customHeight="1" thickBot="1">
      <c r="A56" s="306" t="s">
        <v>161</v>
      </c>
      <c r="B56" s="305" t="s">
        <v>174</v>
      </c>
      <c r="C56" s="303" t="s">
        <v>162</v>
      </c>
      <c r="D56" s="305" t="s">
        <v>174</v>
      </c>
      <c r="E56" s="303" t="s">
        <v>163</v>
      </c>
      <c r="F56" s="304" t="s">
        <v>174</v>
      </c>
      <c r="G56" s="303" t="s">
        <v>164</v>
      </c>
      <c r="H56" s="302">
        <v>0.69434999999999991</v>
      </c>
      <c r="I56" s="301" t="s">
        <v>596</v>
      </c>
      <c r="J56" s="300" t="s">
        <v>193</v>
      </c>
    </row>
    <row r="57" spans="1:10" ht="15" customHeight="1">
      <c r="A57" s="299" t="s">
        <v>353</v>
      </c>
      <c r="B57" s="298"/>
      <c r="C57" s="298"/>
      <c r="D57" s="298"/>
      <c r="E57" s="298"/>
      <c r="F57" s="297"/>
      <c r="G57" s="296"/>
      <c r="H57" s="295"/>
      <c r="I57" s="295"/>
      <c r="J57" s="294"/>
    </row>
    <row r="58" spans="1:10" ht="15" customHeight="1">
      <c r="A58" s="293" t="s">
        <v>119</v>
      </c>
      <c r="B58" s="292" t="s">
        <v>165</v>
      </c>
      <c r="C58" s="291" t="s">
        <v>354</v>
      </c>
      <c r="D58" s="292" t="s">
        <v>119</v>
      </c>
      <c r="E58" s="292" t="s">
        <v>165</v>
      </c>
      <c r="F58" s="291" t="s">
        <v>355</v>
      </c>
      <c r="G58" s="276"/>
      <c r="H58" s="275"/>
      <c r="I58" s="275"/>
      <c r="J58" s="274"/>
    </row>
    <row r="59" spans="1:10" ht="15" customHeight="1">
      <c r="A59" s="282">
        <v>0</v>
      </c>
      <c r="B59" s="281">
        <v>0</v>
      </c>
      <c r="C59" s="280">
        <v>0.14513100683689117</v>
      </c>
      <c r="D59" s="289">
        <v>0.68736839294433594</v>
      </c>
      <c r="E59" s="281">
        <v>78.033439012676723</v>
      </c>
      <c r="F59" s="280">
        <v>623.4344482421875</v>
      </c>
      <c r="G59" s="276"/>
      <c r="H59" s="275"/>
      <c r="I59" s="275"/>
      <c r="J59" s="274"/>
    </row>
    <row r="60" spans="1:10" ht="15" customHeight="1">
      <c r="A60" s="290">
        <v>2.0000003278255463E-3</v>
      </c>
      <c r="B60" s="281">
        <v>170.69483653506316</v>
      </c>
      <c r="C60" s="280">
        <v>183.19085693359375</v>
      </c>
      <c r="D60" s="289">
        <v>0.79157894849777222</v>
      </c>
      <c r="E60" s="281">
        <v>77.481709483902847</v>
      </c>
      <c r="F60" s="280">
        <v>626.19891357421875</v>
      </c>
      <c r="G60" s="276"/>
      <c r="H60" s="275"/>
      <c r="I60" s="275"/>
      <c r="J60" s="274"/>
    </row>
    <row r="61" spans="1:10" ht="15" customHeight="1">
      <c r="A61" s="290">
        <v>1.0000001639127731E-2</v>
      </c>
      <c r="B61" s="281">
        <v>274</v>
      </c>
      <c r="C61" s="280">
        <v>506.00360107421875</v>
      </c>
      <c r="D61" s="289">
        <v>0.89578944444656372</v>
      </c>
      <c r="E61" s="281">
        <v>77.168924073014026</v>
      </c>
      <c r="F61" s="280">
        <v>628.55108642578125</v>
      </c>
      <c r="G61" s="276"/>
      <c r="H61" s="275"/>
      <c r="I61" s="275"/>
      <c r="J61" s="274"/>
    </row>
    <row r="62" spans="1:10" ht="15" customHeight="1">
      <c r="A62" s="282">
        <v>6.2105264514684677E-2</v>
      </c>
      <c r="B62" s="281">
        <v>142.34488911789236</v>
      </c>
      <c r="C62" s="280">
        <v>573.63116455078125</v>
      </c>
      <c r="D62" s="288">
        <v>1</v>
      </c>
      <c r="E62" s="281">
        <v>77</v>
      </c>
      <c r="F62" s="280">
        <v>630.5784912109375</v>
      </c>
      <c r="G62" s="276"/>
      <c r="H62" s="275"/>
      <c r="I62" s="275"/>
      <c r="J62" s="274"/>
    </row>
    <row r="63" spans="1:10" ht="15" customHeight="1" thickBot="1">
      <c r="A63" s="282">
        <v>0.11421053111553192</v>
      </c>
      <c r="B63" s="281">
        <v>110.19814463293164</v>
      </c>
      <c r="C63" s="280">
        <v>590.7476806640625</v>
      </c>
      <c r="D63" s="287"/>
      <c r="E63" s="286"/>
      <c r="F63" s="285"/>
      <c r="G63" s="276"/>
      <c r="H63" s="275"/>
      <c r="I63" s="275"/>
      <c r="J63" s="274"/>
    </row>
    <row r="64" spans="1:10" ht="15" customHeight="1">
      <c r="A64" s="282">
        <v>0.16631579399108887</v>
      </c>
      <c r="B64" s="281">
        <v>96.192206702750198</v>
      </c>
      <c r="C64" s="280">
        <v>598.12481689453125</v>
      </c>
      <c r="D64" s="284" t="s">
        <v>389</v>
      </c>
      <c r="E64" s="283"/>
      <c r="F64" s="283"/>
      <c r="G64" s="276"/>
      <c r="H64" s="275"/>
      <c r="I64" s="275"/>
      <c r="J64" s="274"/>
    </row>
    <row r="65" spans="1:10" ht="15" customHeight="1">
      <c r="A65" s="282">
        <v>0.27052631974220276</v>
      </c>
      <c r="B65" s="281">
        <v>87.41046153988836</v>
      </c>
      <c r="C65" s="280">
        <v>606.03900146484375</v>
      </c>
      <c r="D65" s="279" t="s">
        <v>372</v>
      </c>
      <c r="E65" s="278" t="s">
        <v>387</v>
      </c>
      <c r="F65" s="277"/>
      <c r="G65" s="276"/>
      <c r="H65" s="275"/>
      <c r="I65" s="275"/>
      <c r="J65" s="274"/>
    </row>
    <row r="66" spans="1:10" ht="15" customHeight="1">
      <c r="A66" s="282">
        <v>0.37473684549331665</v>
      </c>
      <c r="B66" s="281">
        <v>83.098429084663053</v>
      </c>
      <c r="C66" s="280">
        <v>611.606201171875</v>
      </c>
      <c r="D66" s="279" t="s">
        <v>369</v>
      </c>
      <c r="E66" s="278" t="s">
        <v>388</v>
      </c>
      <c r="F66" s="277"/>
      <c r="G66" s="276"/>
      <c r="H66" s="275"/>
      <c r="I66" s="275"/>
      <c r="J66" s="274"/>
    </row>
    <row r="67" spans="1:10" ht="15" customHeight="1">
      <c r="A67" s="282">
        <v>0.47894737124443054</v>
      </c>
      <c r="B67" s="281">
        <v>80.538339170305875</v>
      </c>
      <c r="C67" s="280">
        <v>616.244140625</v>
      </c>
      <c r="D67" s="279" t="s">
        <v>376</v>
      </c>
      <c r="E67" s="278" t="s">
        <v>595</v>
      </c>
      <c r="F67" s="277"/>
      <c r="G67" s="276"/>
      <c r="H67" s="275"/>
      <c r="I67" s="275"/>
      <c r="J67" s="274"/>
    </row>
    <row r="68" spans="1:10" ht="15" customHeight="1" thickBot="1">
      <c r="A68" s="273">
        <v>0.58315789699554443</v>
      </c>
      <c r="B68" s="272">
        <v>78.974450072843723</v>
      </c>
      <c r="C68" s="271">
        <v>620.15283203125</v>
      </c>
      <c r="D68" s="270" t="s">
        <v>377</v>
      </c>
      <c r="E68" s="269" t="s">
        <v>390</v>
      </c>
      <c r="F68" s="269"/>
      <c r="G68" s="268"/>
      <c r="H68" s="267"/>
      <c r="I68" s="267"/>
      <c r="J68" s="266"/>
    </row>
    <row r="69" spans="1:10" ht="15" customHeight="1">
      <c r="A69" s="265"/>
      <c r="B69" s="265"/>
      <c r="C69" s="265"/>
      <c r="D69" s="265"/>
      <c r="E69" s="265"/>
      <c r="F69" s="265"/>
      <c r="G69" s="265"/>
      <c r="H69" s="265"/>
      <c r="I69" s="265"/>
      <c r="J69" s="265"/>
    </row>
    <row r="70" spans="1:10" ht="15" customHeight="1">
      <c r="A70" s="265"/>
      <c r="B70" s="265"/>
      <c r="C70" s="265"/>
      <c r="D70" s="265"/>
      <c r="E70" s="265"/>
      <c r="F70" s="265"/>
      <c r="G70" s="265"/>
      <c r="H70" s="265"/>
      <c r="I70" s="265"/>
      <c r="J70" s="265"/>
    </row>
    <row r="71" spans="1:10">
      <c r="A71" s="264"/>
      <c r="B71" s="264"/>
      <c r="C71" s="264"/>
      <c r="D71" s="264"/>
      <c r="E71" s="264"/>
      <c r="F71" s="264"/>
      <c r="G71" s="264"/>
      <c r="H71" s="264"/>
      <c r="I71" s="264"/>
      <c r="J71" s="264"/>
    </row>
    <row r="99" spans="1:9">
      <c r="A99" s="263" t="s">
        <v>386</v>
      </c>
      <c r="B99" s="263"/>
      <c r="C99" s="263"/>
      <c r="D99" s="263"/>
      <c r="E99" s="263"/>
      <c r="F99" s="263"/>
      <c r="G99" s="263"/>
      <c r="H99" s="263"/>
      <c r="I99" s="263"/>
    </row>
    <row r="100" spans="1:9">
      <c r="A100" s="263">
        <v>100</v>
      </c>
      <c r="B100" s="263"/>
      <c r="C100" s="263"/>
      <c r="D100" s="263"/>
      <c r="E100" s="263"/>
      <c r="F100" s="263"/>
      <c r="G100" s="263"/>
      <c r="H100" s="263"/>
      <c r="I100" s="263"/>
    </row>
    <row r="101" spans="1:9">
      <c r="A101" s="263">
        <v>99.599998474121094</v>
      </c>
      <c r="B101" s="263"/>
      <c r="C101" s="263"/>
      <c r="D101" s="263"/>
      <c r="E101" s="263"/>
      <c r="F101" s="263"/>
      <c r="G101" s="263"/>
      <c r="H101" s="263"/>
      <c r="I101" s="263"/>
    </row>
    <row r="102" spans="1:9">
      <c r="A102" s="263">
        <v>98</v>
      </c>
      <c r="B102" s="263"/>
      <c r="C102" s="263"/>
      <c r="D102" s="263"/>
      <c r="E102" s="263"/>
      <c r="F102" s="263"/>
      <c r="G102" s="263"/>
      <c r="H102" s="263"/>
      <c r="I102" s="263"/>
    </row>
    <row r="103" spans="1:9">
      <c r="A103" s="263">
        <v>83.852630615234375</v>
      </c>
      <c r="B103" s="263"/>
      <c r="C103" s="263"/>
      <c r="D103" s="263"/>
      <c r="E103" s="263"/>
      <c r="F103" s="263"/>
      <c r="G103" s="263"/>
      <c r="H103" s="263"/>
      <c r="I103" s="263"/>
    </row>
    <row r="104" spans="1:9">
      <c r="A104" s="263">
        <v>70.305259704589844</v>
      </c>
      <c r="B104" s="263"/>
      <c r="C104" s="263"/>
      <c r="D104" s="263"/>
      <c r="E104" s="263"/>
      <c r="F104" s="263"/>
      <c r="G104" s="263"/>
      <c r="H104" s="263"/>
      <c r="I104" s="263"/>
    </row>
    <row r="105" spans="1:9">
      <c r="A105" s="263">
        <v>57.410526275634766</v>
      </c>
      <c r="B105" s="263"/>
      <c r="C105" s="263"/>
      <c r="D105" s="263"/>
      <c r="E105" s="263"/>
      <c r="F105" s="263"/>
      <c r="G105" s="263"/>
      <c r="H105" s="263"/>
      <c r="I105" s="263"/>
    </row>
    <row r="106" spans="1:9">
      <c r="A106" s="263">
        <v>38.010524749755859</v>
      </c>
      <c r="B106" s="263"/>
      <c r="C106" s="263"/>
      <c r="D106" s="263"/>
      <c r="E106" s="263"/>
      <c r="F106" s="263"/>
      <c r="G106" s="263"/>
      <c r="H106" s="263"/>
      <c r="I106" s="263"/>
    </row>
    <row r="107" spans="1:9">
      <c r="A107" s="263">
        <v>24.778947830200195</v>
      </c>
      <c r="B107" s="263"/>
      <c r="C107" s="263"/>
      <c r="D107" s="263"/>
      <c r="E107" s="263"/>
      <c r="F107" s="263"/>
      <c r="G107" s="263"/>
      <c r="H107" s="263"/>
      <c r="I107" s="263"/>
    </row>
    <row r="108" spans="1:9">
      <c r="A108" s="263">
        <v>15.684209823608398</v>
      </c>
      <c r="B108" s="263"/>
      <c r="C108" s="263"/>
      <c r="D108" s="263"/>
      <c r="E108" s="263"/>
      <c r="F108" s="263"/>
      <c r="G108" s="263"/>
      <c r="H108" s="263"/>
      <c r="I108" s="263"/>
    </row>
    <row r="109" spans="1:9">
      <c r="A109" s="263">
        <v>9.0105257034301758</v>
      </c>
      <c r="B109" s="263"/>
      <c r="C109" s="263"/>
      <c r="D109" s="263"/>
      <c r="E109" s="263"/>
      <c r="F109" s="263"/>
      <c r="G109" s="263"/>
      <c r="H109" s="263"/>
      <c r="I109" s="263"/>
    </row>
    <row r="110" spans="1:9">
      <c r="A110" s="263">
        <v>6.2526321411132813</v>
      </c>
      <c r="B110" s="263"/>
      <c r="C110" s="263"/>
      <c r="D110" s="263"/>
      <c r="E110" s="263"/>
      <c r="F110" s="263"/>
      <c r="G110" s="263"/>
      <c r="H110" s="263"/>
      <c r="I110" s="263"/>
    </row>
    <row r="111" spans="1:9">
      <c r="A111" s="263">
        <v>7.8315787315368652</v>
      </c>
      <c r="B111" s="263"/>
      <c r="C111" s="263"/>
      <c r="D111" s="263"/>
      <c r="E111" s="263"/>
      <c r="F111" s="263"/>
      <c r="G111" s="263"/>
      <c r="H111" s="263"/>
      <c r="I111" s="263"/>
    </row>
    <row r="112" spans="1:9">
      <c r="A112" s="263">
        <v>14.70526123046875</v>
      </c>
      <c r="B112" s="263"/>
      <c r="C112" s="263"/>
      <c r="D112" s="263"/>
      <c r="E112" s="263"/>
      <c r="F112" s="263"/>
      <c r="G112" s="263"/>
      <c r="H112" s="263"/>
      <c r="I112" s="263"/>
    </row>
    <row r="113" spans="1:9">
      <c r="A113" s="263">
        <v>30</v>
      </c>
      <c r="B113" s="263"/>
      <c r="C113" s="263"/>
      <c r="D113" s="263"/>
      <c r="E113" s="263"/>
      <c r="F113" s="263"/>
      <c r="G113" s="263"/>
      <c r="H113" s="263"/>
      <c r="I113" s="263"/>
    </row>
  </sheetData>
  <printOptions horizontalCentered="1"/>
  <pageMargins left="0.86614173228346503" right="0" top="0.23622047244094499" bottom="0.23622047244094499" header="0" footer="0"/>
  <pageSetup scale="75" orientation="portrait" horizontalDpi="1200" verticalDpi="120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Z53"/>
  <sheetViews>
    <sheetView tabSelected="1" topLeftCell="A28" workbookViewId="0">
      <selection activeCell="N42" sqref="N42"/>
    </sheetView>
  </sheetViews>
  <sheetFormatPr defaultColWidth="9.109375" defaultRowHeight="15"/>
  <cols>
    <col min="1" max="1" width="11.88671875" style="148" customWidth="1"/>
    <col min="2" max="2" width="6.109375" style="148" customWidth="1"/>
    <col min="3" max="3" width="7.44140625" style="148" customWidth="1"/>
    <col min="4" max="5" width="12.5546875" style="148" customWidth="1"/>
    <col min="6" max="6" width="9.44140625" style="148" customWidth="1"/>
    <col min="7" max="7" width="5.6640625" style="148" customWidth="1"/>
    <col min="8" max="8" width="7.88671875" style="148" customWidth="1"/>
    <col min="9" max="9" width="6.5546875" style="148" customWidth="1"/>
    <col min="10" max="10" width="12" style="149" customWidth="1"/>
    <col min="11" max="11" width="12" style="148" customWidth="1"/>
    <col min="12" max="26" width="9.109375" style="1"/>
    <col min="27" max="16384" width="9.109375" style="2"/>
  </cols>
  <sheetData>
    <row r="1" spans="1:26" ht="20.25" customHeight="1">
      <c r="A1" s="509" t="s">
        <v>218</v>
      </c>
      <c r="B1" s="509"/>
      <c r="C1" s="509"/>
      <c r="D1" s="509"/>
      <c r="E1" s="509"/>
      <c r="F1" s="509"/>
      <c r="G1" s="509"/>
      <c r="H1" s="509"/>
      <c r="I1" s="509"/>
      <c r="J1" s="509"/>
      <c r="K1" s="509"/>
    </row>
    <row r="2" spans="1:26" ht="20.25" customHeight="1">
      <c r="A2" s="510" t="s">
        <v>219</v>
      </c>
      <c r="B2" s="510"/>
      <c r="C2" s="510"/>
      <c r="D2" s="510"/>
      <c r="E2" s="510"/>
      <c r="F2" s="510"/>
      <c r="G2" s="510"/>
      <c r="H2" s="510"/>
      <c r="I2" s="510"/>
      <c r="J2" s="510"/>
      <c r="K2" s="510"/>
    </row>
    <row r="3" spans="1:26" ht="18.75" customHeight="1" thickBot="1">
      <c r="A3" s="3" t="s">
        <v>1</v>
      </c>
      <c r="B3" s="4" t="s">
        <v>639</v>
      </c>
      <c r="C3" s="5"/>
      <c r="D3" s="5"/>
      <c r="E3" s="5"/>
      <c r="F3" s="6"/>
      <c r="G3" s="5"/>
      <c r="H3" s="5"/>
      <c r="I3" s="3" t="s">
        <v>220</v>
      </c>
      <c r="J3" s="511" t="s">
        <v>591</v>
      </c>
      <c r="K3" s="511"/>
    </row>
    <row r="4" spans="1:26" s="15" customFormat="1" ht="18.45" customHeight="1" thickBot="1">
      <c r="A4" s="7" t="s">
        <v>328</v>
      </c>
      <c r="B4" s="8"/>
      <c r="C4" s="9"/>
      <c r="D4" s="9"/>
      <c r="E4" s="9"/>
      <c r="F4" s="9"/>
      <c r="G4" s="9"/>
      <c r="H4" s="9"/>
      <c r="I4" s="9"/>
      <c r="J4" s="9"/>
      <c r="K4" s="10"/>
      <c r="L4" s="11"/>
      <c r="M4" s="11"/>
      <c r="N4" s="11"/>
      <c r="O4" s="11"/>
      <c r="P4" s="11"/>
      <c r="Q4" s="12" t="s">
        <v>221</v>
      </c>
      <c r="R4" s="13"/>
      <c r="S4" s="11"/>
      <c r="T4" s="12" t="s">
        <v>222</v>
      </c>
      <c r="U4" s="14"/>
      <c r="V4" s="11"/>
      <c r="W4" s="11"/>
      <c r="X4" s="11"/>
      <c r="Y4" s="11"/>
      <c r="Z4" s="11"/>
    </row>
    <row r="5" spans="1:26" s="15" customFormat="1" ht="18.45" customHeight="1">
      <c r="A5" s="512" t="s">
        <v>223</v>
      </c>
      <c r="B5" s="513"/>
      <c r="C5" s="513"/>
      <c r="D5" s="16"/>
      <c r="E5" s="17"/>
      <c r="F5" s="18" t="s">
        <v>224</v>
      </c>
      <c r="G5" s="19"/>
      <c r="H5" s="19"/>
      <c r="I5" s="20"/>
      <c r="J5" s="21" t="s">
        <v>225</v>
      </c>
      <c r="K5" s="22" t="s">
        <v>226</v>
      </c>
      <c r="L5" s="11"/>
      <c r="M5" s="11"/>
      <c r="N5" s="11"/>
      <c r="O5" s="11"/>
      <c r="P5" s="11"/>
      <c r="Q5" s="23" t="s">
        <v>227</v>
      </c>
      <c r="R5" s="24"/>
      <c r="S5" s="11"/>
      <c r="T5" s="23" t="s">
        <v>228</v>
      </c>
      <c r="U5" s="25"/>
      <c r="V5" s="11"/>
      <c r="W5" s="11"/>
      <c r="X5" s="11"/>
      <c r="Y5" s="11"/>
      <c r="Z5" s="11"/>
    </row>
    <row r="6" spans="1:26" s="15" customFormat="1" ht="18.45" customHeight="1">
      <c r="A6" s="514" t="s">
        <v>67</v>
      </c>
      <c r="B6" s="515"/>
      <c r="C6" s="515"/>
      <c r="D6" s="516" t="s">
        <v>232</v>
      </c>
      <c r="E6" s="517"/>
      <c r="F6" s="444" t="s">
        <v>230</v>
      </c>
      <c r="G6" s="445"/>
      <c r="H6" s="445"/>
      <c r="I6" s="445"/>
      <c r="J6" s="445"/>
      <c r="K6" s="446"/>
      <c r="L6" s="11"/>
      <c r="M6" s="11"/>
      <c r="N6" s="11"/>
      <c r="O6" s="11"/>
      <c r="P6" s="11"/>
      <c r="Q6" s="23" t="s">
        <v>231</v>
      </c>
      <c r="R6" s="24"/>
      <c r="S6" s="11"/>
      <c r="T6" s="23" t="s">
        <v>232</v>
      </c>
      <c r="U6" s="25"/>
      <c r="V6" s="11"/>
      <c r="W6" s="11"/>
      <c r="X6" s="11"/>
      <c r="Y6" s="11"/>
      <c r="Z6" s="11"/>
    </row>
    <row r="7" spans="1:26" s="15" customFormat="1" ht="18.45" customHeight="1">
      <c r="A7" s="505" t="s">
        <v>20</v>
      </c>
      <c r="B7" s="506"/>
      <c r="C7" s="506"/>
      <c r="D7" s="507">
        <v>3.5</v>
      </c>
      <c r="E7" s="508"/>
      <c r="F7" s="26" t="s">
        <v>233</v>
      </c>
      <c r="G7" s="27"/>
      <c r="H7" s="28"/>
      <c r="I7" s="29"/>
      <c r="J7" s="30">
        <v>19.899999999999999</v>
      </c>
      <c r="K7" s="31" t="s">
        <v>174</v>
      </c>
      <c r="L7" s="11"/>
      <c r="M7" s="11"/>
      <c r="N7" s="11"/>
      <c r="O7" s="11"/>
      <c r="P7" s="11"/>
      <c r="Q7" s="23" t="s">
        <v>234</v>
      </c>
      <c r="R7" s="24"/>
      <c r="S7" s="11"/>
      <c r="T7" s="23" t="s">
        <v>229</v>
      </c>
      <c r="U7" s="25"/>
      <c r="V7" s="11"/>
      <c r="W7" s="11"/>
      <c r="X7" s="11"/>
      <c r="Y7" s="11"/>
      <c r="Z7" s="11"/>
    </row>
    <row r="8" spans="1:26" s="15" customFormat="1" ht="18.45" customHeight="1">
      <c r="A8" s="505" t="s">
        <v>235</v>
      </c>
      <c r="B8" s="506"/>
      <c r="C8" s="506"/>
      <c r="D8" s="491">
        <v>630</v>
      </c>
      <c r="E8" s="487"/>
      <c r="F8" s="32" t="s">
        <v>236</v>
      </c>
      <c r="G8" s="33"/>
      <c r="H8" s="34"/>
      <c r="I8" s="35"/>
      <c r="J8" s="36">
        <v>14636</v>
      </c>
      <c r="K8" s="37" t="s">
        <v>174</v>
      </c>
      <c r="L8" s="11"/>
      <c r="M8" s="11"/>
      <c r="N8" s="11"/>
      <c r="O8" s="11"/>
      <c r="P8" s="11"/>
      <c r="Q8" s="23" t="s">
        <v>237</v>
      </c>
      <c r="R8" s="24"/>
      <c r="S8" s="11"/>
      <c r="T8" s="23" t="s">
        <v>238</v>
      </c>
      <c r="U8" s="25"/>
      <c r="V8" s="11"/>
      <c r="W8" s="11"/>
      <c r="X8" s="11"/>
      <c r="Y8" s="11"/>
      <c r="Z8" s="11"/>
    </row>
    <row r="9" spans="1:26" s="15" customFormat="1" ht="18.45" customHeight="1">
      <c r="A9" s="500" t="s">
        <v>239</v>
      </c>
      <c r="B9" s="501"/>
      <c r="C9" s="502"/>
      <c r="D9" s="491">
        <v>10</v>
      </c>
      <c r="E9" s="487"/>
      <c r="F9" s="26" t="s">
        <v>240</v>
      </c>
      <c r="G9" s="27"/>
      <c r="H9" s="38">
        <v>3</v>
      </c>
      <c r="I9" s="39" t="s">
        <v>241</v>
      </c>
      <c r="J9" s="40">
        <v>202</v>
      </c>
      <c r="K9" s="37" t="s">
        <v>174</v>
      </c>
      <c r="L9" s="11"/>
      <c r="M9" s="11"/>
      <c r="N9" s="11"/>
      <c r="O9" s="11"/>
      <c r="P9" s="11"/>
      <c r="Q9" s="23" t="s">
        <v>242</v>
      </c>
      <c r="R9" s="24"/>
      <c r="S9" s="11"/>
      <c r="T9" s="23" t="s">
        <v>243</v>
      </c>
      <c r="U9" s="25"/>
      <c r="V9" s="11"/>
      <c r="W9" s="11"/>
      <c r="X9" s="11"/>
      <c r="Y9" s="11"/>
      <c r="Z9" s="11"/>
    </row>
    <row r="10" spans="1:26" s="15" customFormat="1" ht="18.45" customHeight="1" thickBot="1">
      <c r="A10" s="500" t="s">
        <v>244</v>
      </c>
      <c r="B10" s="501"/>
      <c r="C10" s="502"/>
      <c r="D10" s="474" t="s">
        <v>184</v>
      </c>
      <c r="E10" s="475"/>
      <c r="F10" s="26" t="s">
        <v>245</v>
      </c>
      <c r="G10" s="27"/>
      <c r="H10" s="38">
        <v>3</v>
      </c>
      <c r="I10" s="39" t="s">
        <v>241</v>
      </c>
      <c r="J10" s="40">
        <v>1150</v>
      </c>
      <c r="K10" s="37" t="s">
        <v>174</v>
      </c>
      <c r="L10" s="11"/>
      <c r="M10" s="11"/>
      <c r="N10" s="11"/>
      <c r="O10" s="11"/>
      <c r="P10" s="11"/>
      <c r="Q10" s="23" t="s">
        <v>246</v>
      </c>
      <c r="R10" s="24"/>
      <c r="S10" s="11"/>
      <c r="T10" s="41" t="s">
        <v>247</v>
      </c>
      <c r="U10" s="42"/>
      <c r="V10" s="11"/>
      <c r="W10" s="11"/>
      <c r="X10" s="11"/>
      <c r="Y10" s="11"/>
      <c r="Z10" s="11"/>
    </row>
    <row r="11" spans="1:26" s="15" customFormat="1" ht="18.45" customHeight="1" thickBot="1">
      <c r="A11" s="500" t="s">
        <v>248</v>
      </c>
      <c r="B11" s="501"/>
      <c r="C11" s="502"/>
      <c r="D11" s="469" t="s">
        <v>174</v>
      </c>
      <c r="E11" s="470"/>
      <c r="F11" s="43" t="s">
        <v>249</v>
      </c>
      <c r="G11" s="44"/>
      <c r="H11" s="45">
        <v>3</v>
      </c>
      <c r="I11" s="39" t="s">
        <v>241</v>
      </c>
      <c r="J11" s="46">
        <v>23454</v>
      </c>
      <c r="K11" s="47" t="s">
        <v>174</v>
      </c>
      <c r="L11" s="11"/>
      <c r="M11" s="11"/>
      <c r="N11" s="11"/>
      <c r="O11" s="11"/>
      <c r="P11" s="11"/>
      <c r="Q11" s="41" t="s">
        <v>250</v>
      </c>
      <c r="R11" s="48"/>
      <c r="S11" s="11"/>
      <c r="T11" s="11"/>
      <c r="U11" s="11"/>
      <c r="V11" s="11"/>
      <c r="W11" s="11"/>
      <c r="X11" s="11"/>
      <c r="Y11" s="11"/>
      <c r="Z11" s="11"/>
    </row>
    <row r="12" spans="1:26" s="15" customFormat="1" ht="18.45" customHeight="1">
      <c r="A12" s="49" t="s">
        <v>251</v>
      </c>
      <c r="C12" s="50"/>
      <c r="D12" s="503" t="s">
        <v>174</v>
      </c>
      <c r="E12" s="504"/>
      <c r="F12" s="471" t="s">
        <v>252</v>
      </c>
      <c r="G12" s="472"/>
      <c r="H12" s="472"/>
      <c r="I12" s="472"/>
      <c r="J12" s="472"/>
      <c r="K12" s="473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 s="15" customFormat="1" ht="18.45" customHeight="1">
      <c r="A13" s="500" t="s">
        <v>53</v>
      </c>
      <c r="B13" s="501"/>
      <c r="C13" s="502"/>
      <c r="D13" s="494" t="s">
        <v>330</v>
      </c>
      <c r="E13" s="495"/>
      <c r="F13" s="51"/>
      <c r="G13" s="52" t="s">
        <v>253</v>
      </c>
      <c r="H13" s="53"/>
      <c r="I13" s="54" t="s">
        <v>254</v>
      </c>
      <c r="J13" s="55" t="s">
        <v>628</v>
      </c>
      <c r="K13" s="56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spans="1:26" s="15" customFormat="1" ht="18.45" customHeight="1">
      <c r="A14" s="500" t="s">
        <v>56</v>
      </c>
      <c r="B14" s="501"/>
      <c r="C14" s="502"/>
      <c r="D14" s="503">
        <v>1400</v>
      </c>
      <c r="E14" s="504"/>
      <c r="F14" s="51"/>
      <c r="G14" s="57" t="s">
        <v>10</v>
      </c>
      <c r="H14" s="58"/>
      <c r="I14" s="58"/>
      <c r="J14" s="40" t="s">
        <v>174</v>
      </c>
      <c r="K14" s="37" t="s">
        <v>174</v>
      </c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spans="1:26" s="15" customFormat="1" ht="18.45" customHeight="1">
      <c r="A15" s="488" t="s">
        <v>255</v>
      </c>
      <c r="B15" s="489"/>
      <c r="C15" s="490"/>
      <c r="D15" s="467">
        <v>7.12</v>
      </c>
      <c r="E15" s="468"/>
      <c r="F15" s="51"/>
      <c r="G15" s="57" t="s">
        <v>256</v>
      </c>
      <c r="H15" s="58"/>
      <c r="I15" s="58"/>
      <c r="J15" s="40" t="s">
        <v>174</v>
      </c>
      <c r="K15" s="37" t="s">
        <v>174</v>
      </c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spans="1:26" s="15" customFormat="1" ht="18.45" customHeight="1">
      <c r="A16" s="464" t="s">
        <v>257</v>
      </c>
      <c r="B16" s="465"/>
      <c r="C16" s="466"/>
      <c r="D16" s="467">
        <v>3.34</v>
      </c>
      <c r="E16" s="468"/>
      <c r="F16" s="59"/>
      <c r="G16" s="60" t="s">
        <v>17</v>
      </c>
      <c r="H16" s="61"/>
      <c r="I16" s="61"/>
      <c r="J16" s="46" t="s">
        <v>174</v>
      </c>
      <c r="K16" s="47" t="s">
        <v>174</v>
      </c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spans="1:26" s="15" customFormat="1" ht="18.45" customHeight="1">
      <c r="A17" s="62" t="s">
        <v>258</v>
      </c>
      <c r="B17" s="63"/>
      <c r="C17" s="64"/>
      <c r="D17" s="469" t="s">
        <v>329</v>
      </c>
      <c r="E17" s="470"/>
      <c r="F17" s="471" t="s">
        <v>259</v>
      </c>
      <c r="G17" s="472"/>
      <c r="H17" s="472"/>
      <c r="I17" s="472"/>
      <c r="J17" s="472"/>
      <c r="K17" s="473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spans="1:26" s="15" customFormat="1" ht="18.45" customHeight="1">
      <c r="A18" s="65" t="s">
        <v>260</v>
      </c>
      <c r="B18" s="66"/>
      <c r="C18" s="64"/>
      <c r="D18" s="474" t="s">
        <v>174</v>
      </c>
      <c r="E18" s="475"/>
      <c r="F18" s="476"/>
      <c r="G18" s="477"/>
      <c r="H18" s="67" t="s">
        <v>261</v>
      </c>
      <c r="I18" s="68"/>
      <c r="J18" s="36">
        <v>121</v>
      </c>
      <c r="K18" s="37"/>
      <c r="L18" s="11"/>
      <c r="M18" s="11">
        <f>J18*6.5</f>
        <v>786.5</v>
      </c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spans="1:26" s="15" customFormat="1" ht="18.45" customHeight="1">
      <c r="A19" s="482" t="s">
        <v>262</v>
      </c>
      <c r="B19" s="483"/>
      <c r="C19" s="484"/>
      <c r="D19" s="485" t="s">
        <v>592</v>
      </c>
      <c r="E19" s="470"/>
      <c r="F19" s="478"/>
      <c r="G19" s="479"/>
      <c r="H19" s="67" t="s">
        <v>5</v>
      </c>
      <c r="I19" s="29"/>
      <c r="J19" s="36">
        <v>3580</v>
      </c>
      <c r="K19" s="37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spans="1:26" s="15" customFormat="1" ht="18.45" customHeight="1" thickBot="1">
      <c r="A20" s="69" t="s">
        <v>263</v>
      </c>
      <c r="C20" s="70"/>
      <c r="D20" s="486" t="s">
        <v>183</v>
      </c>
      <c r="E20" s="487"/>
      <c r="F20" s="478"/>
      <c r="G20" s="479"/>
      <c r="H20" s="67" t="s">
        <v>264</v>
      </c>
      <c r="I20" s="29"/>
      <c r="J20" s="40" t="s">
        <v>311</v>
      </c>
      <c r="K20" s="37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spans="1:26" s="15" customFormat="1" ht="18.45" customHeight="1" thickBot="1">
      <c r="A21" s="488" t="s">
        <v>265</v>
      </c>
      <c r="B21" s="489"/>
      <c r="C21" s="490"/>
      <c r="D21" s="491" t="s">
        <v>174</v>
      </c>
      <c r="E21" s="487"/>
      <c r="F21" s="478"/>
      <c r="G21" s="479"/>
      <c r="H21" s="71" t="s">
        <v>266</v>
      </c>
      <c r="I21" s="29"/>
      <c r="J21" s="40">
        <v>1.1499999999999999</v>
      </c>
      <c r="K21" s="37"/>
      <c r="L21" s="11"/>
      <c r="M21" s="11"/>
      <c r="N21" s="11"/>
      <c r="O21" s="11"/>
      <c r="P21" s="11"/>
      <c r="Q21" s="12" t="s">
        <v>267</v>
      </c>
      <c r="R21" s="14"/>
      <c r="S21" s="11"/>
      <c r="T21" s="11"/>
      <c r="U21" s="11"/>
      <c r="V21" s="11"/>
      <c r="W21" s="11"/>
      <c r="X21" s="11"/>
      <c r="Y21" s="11"/>
      <c r="Z21" s="11"/>
    </row>
    <row r="22" spans="1:26" s="15" customFormat="1" ht="18.45" customHeight="1">
      <c r="A22" s="65" t="s">
        <v>268</v>
      </c>
      <c r="B22" s="72"/>
      <c r="C22" s="72"/>
      <c r="D22" s="492">
        <v>9.6000000000000002E-2</v>
      </c>
      <c r="E22" s="493"/>
      <c r="F22" s="478"/>
      <c r="G22" s="479"/>
      <c r="H22" s="67" t="s">
        <v>225</v>
      </c>
      <c r="I22" s="29"/>
      <c r="J22" s="40" t="s">
        <v>174</v>
      </c>
      <c r="K22" s="37"/>
      <c r="L22" s="11"/>
      <c r="M22" s="11"/>
      <c r="N22" s="11"/>
      <c r="O22" s="11"/>
      <c r="P22" s="11"/>
      <c r="Q22" s="23" t="s">
        <v>269</v>
      </c>
      <c r="R22" s="25"/>
      <c r="S22" s="11"/>
      <c r="T22" s="11"/>
      <c r="U22" s="11"/>
      <c r="V22" s="11"/>
      <c r="W22" s="11"/>
      <c r="X22" s="11"/>
      <c r="Y22" s="11"/>
      <c r="Z22" s="11"/>
    </row>
    <row r="23" spans="1:26" s="15" customFormat="1" ht="18.45" customHeight="1">
      <c r="A23" s="73" t="s">
        <v>270</v>
      </c>
      <c r="B23" s="74" t="s">
        <v>271</v>
      </c>
      <c r="C23" s="75"/>
      <c r="D23" s="494">
        <v>710</v>
      </c>
      <c r="E23" s="495"/>
      <c r="F23" s="478"/>
      <c r="G23" s="479"/>
      <c r="H23" s="76" t="s">
        <v>272</v>
      </c>
      <c r="I23" s="77"/>
      <c r="J23" s="78"/>
      <c r="K23" s="79"/>
      <c r="L23" s="11"/>
      <c r="Q23" s="23" t="s">
        <v>273</v>
      </c>
      <c r="R23" s="25"/>
      <c r="S23" s="11"/>
      <c r="T23" s="11"/>
      <c r="U23" s="11"/>
      <c r="V23" s="11"/>
      <c r="W23" s="11"/>
      <c r="X23" s="11"/>
      <c r="Y23" s="11"/>
      <c r="Z23" s="11"/>
    </row>
    <row r="24" spans="1:26" s="15" customFormat="1" ht="18.45" customHeight="1" thickBot="1">
      <c r="A24" s="80" t="s">
        <v>274</v>
      </c>
      <c r="B24" s="81" t="s">
        <v>275</v>
      </c>
      <c r="C24" s="82"/>
      <c r="D24" s="496" t="s">
        <v>174</v>
      </c>
      <c r="E24" s="497"/>
      <c r="F24" s="478"/>
      <c r="G24" s="479"/>
      <c r="H24" s="67" t="s">
        <v>276</v>
      </c>
      <c r="I24" s="50"/>
      <c r="J24" s="83"/>
      <c r="K24" s="84"/>
      <c r="Q24" s="85" t="s">
        <v>174</v>
      </c>
      <c r="R24" s="86"/>
      <c r="S24" s="11"/>
      <c r="T24" s="11"/>
      <c r="U24" s="11"/>
      <c r="V24" s="11"/>
      <c r="W24" s="11"/>
      <c r="X24" s="11"/>
      <c r="Y24" s="11"/>
      <c r="Z24" s="11"/>
    </row>
    <row r="25" spans="1:26" s="15" customFormat="1" ht="18.45" customHeight="1">
      <c r="A25" s="87" t="s">
        <v>277</v>
      </c>
      <c r="B25" s="88"/>
      <c r="C25" s="88"/>
      <c r="D25" s="89"/>
      <c r="E25" s="89" t="s">
        <v>278</v>
      </c>
      <c r="F25" s="478"/>
      <c r="G25" s="479"/>
      <c r="H25" s="67" t="s">
        <v>279</v>
      </c>
      <c r="I25" s="50"/>
      <c r="J25" s="90"/>
      <c r="K25" s="84"/>
      <c r="R25" s="11"/>
      <c r="S25" s="11"/>
      <c r="T25" s="11"/>
      <c r="U25" s="11"/>
      <c r="V25" s="11"/>
      <c r="W25" s="11"/>
      <c r="X25" s="11"/>
      <c r="Y25" s="11"/>
      <c r="Z25" s="11"/>
    </row>
    <row r="26" spans="1:26" s="15" customFormat="1" ht="18.45" customHeight="1">
      <c r="A26" s="91" t="s">
        <v>280</v>
      </c>
      <c r="B26" s="92"/>
      <c r="C26" s="93"/>
      <c r="D26" s="94" t="s">
        <v>332</v>
      </c>
      <c r="E26" s="94" t="s">
        <v>333</v>
      </c>
      <c r="F26" s="480"/>
      <c r="G26" s="481"/>
      <c r="H26" s="498"/>
      <c r="I26" s="499"/>
      <c r="J26" s="95"/>
      <c r="K26" s="96"/>
      <c r="R26" s="11"/>
      <c r="S26" s="11"/>
      <c r="T26" s="11"/>
      <c r="U26" s="11"/>
      <c r="V26" s="11"/>
      <c r="W26" s="11"/>
      <c r="X26" s="11"/>
      <c r="Y26" s="11"/>
      <c r="Z26" s="11"/>
    </row>
    <row r="27" spans="1:26" s="15" customFormat="1" ht="18.45" customHeight="1">
      <c r="A27" s="442" t="s">
        <v>281</v>
      </c>
      <c r="B27" s="443"/>
      <c r="C27" s="443"/>
      <c r="D27" s="443"/>
      <c r="E27" s="443"/>
      <c r="F27" s="444" t="s">
        <v>282</v>
      </c>
      <c r="G27" s="445"/>
      <c r="H27" s="445"/>
      <c r="I27" s="445"/>
      <c r="J27" s="445"/>
      <c r="K27" s="446"/>
      <c r="R27" s="11"/>
      <c r="S27" s="11"/>
      <c r="T27" s="11"/>
      <c r="U27" s="11"/>
      <c r="V27" s="11"/>
      <c r="W27" s="11"/>
      <c r="X27" s="11"/>
      <c r="Y27" s="11"/>
      <c r="Z27" s="11"/>
    </row>
    <row r="28" spans="1:26" s="15" customFormat="1" ht="18.45" customHeight="1">
      <c r="A28" s="449"/>
      <c r="B28" s="450"/>
      <c r="C28" s="450"/>
      <c r="D28" s="450"/>
      <c r="E28" s="451"/>
      <c r="F28" s="97"/>
      <c r="G28" s="98"/>
      <c r="H28" s="57" t="s">
        <v>283</v>
      </c>
      <c r="I28" s="99" t="s">
        <v>331</v>
      </c>
      <c r="J28" s="36">
        <v>763</v>
      </c>
      <c r="K28" s="100" t="s">
        <v>174</v>
      </c>
      <c r="M28" s="15">
        <f>(J28/J18)*100</f>
        <v>630.57851239669412</v>
      </c>
      <c r="N28" s="101"/>
      <c r="R28" s="11"/>
      <c r="S28" s="11"/>
      <c r="T28" s="11"/>
      <c r="U28" s="11"/>
      <c r="V28" s="11"/>
      <c r="W28" s="11"/>
      <c r="X28" s="11"/>
      <c r="Y28" s="11"/>
      <c r="Z28" s="11"/>
    </row>
    <row r="29" spans="1:26" s="15" customFormat="1" ht="18.45" customHeight="1">
      <c r="A29" s="449"/>
      <c r="B29" s="450"/>
      <c r="C29" s="450"/>
      <c r="D29" s="450"/>
      <c r="E29" s="451"/>
      <c r="F29" s="102"/>
      <c r="G29" s="103"/>
      <c r="H29" s="57" t="s">
        <v>284</v>
      </c>
      <c r="I29" s="104">
        <v>60</v>
      </c>
      <c r="J29" s="36">
        <v>77</v>
      </c>
      <c r="K29" s="31" t="s">
        <v>174</v>
      </c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spans="1:26" s="15" customFormat="1" ht="18.45" customHeight="1">
      <c r="A30" s="449"/>
      <c r="B30" s="450"/>
      <c r="C30" s="450"/>
      <c r="D30" s="450"/>
      <c r="E30" s="451"/>
      <c r="F30" s="102"/>
      <c r="G30" s="103"/>
      <c r="H30" s="57" t="s">
        <v>285</v>
      </c>
      <c r="I30" s="104">
        <v>175</v>
      </c>
      <c r="J30" s="36">
        <v>274</v>
      </c>
      <c r="K30" s="31" t="s">
        <v>174</v>
      </c>
      <c r="L30" s="11"/>
      <c r="R30" s="11"/>
      <c r="S30" s="11"/>
      <c r="T30" s="11"/>
      <c r="U30" s="11"/>
      <c r="V30" s="11"/>
      <c r="W30" s="11"/>
      <c r="X30" s="11"/>
      <c r="Y30" s="11"/>
      <c r="Z30" s="11"/>
    </row>
    <row r="31" spans="1:26" s="15" customFormat="1" ht="18.45" customHeight="1">
      <c r="A31" s="449"/>
      <c r="B31" s="450"/>
      <c r="C31" s="450"/>
      <c r="D31" s="450"/>
      <c r="E31" s="451"/>
      <c r="F31" s="102"/>
      <c r="G31" s="103"/>
      <c r="H31" s="57" t="s">
        <v>286</v>
      </c>
      <c r="I31" s="58"/>
      <c r="J31" s="105">
        <v>0.56000000000000005</v>
      </c>
      <c r="K31" s="31" t="s">
        <v>174</v>
      </c>
      <c r="L31" s="11"/>
      <c r="R31" s="11"/>
      <c r="S31" s="11"/>
      <c r="T31" s="11"/>
      <c r="U31" s="11"/>
      <c r="V31" s="11"/>
      <c r="W31" s="11"/>
      <c r="X31" s="11"/>
      <c r="Y31" s="11"/>
      <c r="Z31" s="11"/>
    </row>
    <row r="32" spans="1:26" s="15" customFormat="1" ht="18.45" customHeight="1">
      <c r="A32" s="452"/>
      <c r="B32" s="453"/>
      <c r="C32" s="453"/>
      <c r="D32" s="453"/>
      <c r="E32" s="454"/>
      <c r="F32" s="102"/>
      <c r="G32" s="106" t="s">
        <v>287</v>
      </c>
      <c r="H32" s="57" t="s">
        <v>288</v>
      </c>
      <c r="I32" s="107"/>
      <c r="J32" s="30">
        <v>95.5</v>
      </c>
      <c r="K32" s="31" t="s">
        <v>174</v>
      </c>
      <c r="L32" s="11"/>
      <c r="N32" s="108"/>
      <c r="R32" s="11"/>
      <c r="S32" s="11"/>
      <c r="T32" s="11"/>
      <c r="U32" s="11"/>
      <c r="V32" s="11"/>
      <c r="W32" s="11"/>
      <c r="X32" s="11"/>
      <c r="Y32" s="11"/>
      <c r="Z32" s="11"/>
    </row>
    <row r="33" spans="1:26" s="15" customFormat="1" ht="18.45" customHeight="1">
      <c r="A33" s="442" t="s">
        <v>289</v>
      </c>
      <c r="B33" s="443"/>
      <c r="C33" s="443"/>
      <c r="D33" s="443"/>
      <c r="E33" s="455"/>
      <c r="F33" s="109"/>
      <c r="G33" s="110"/>
      <c r="H33" s="111" t="s">
        <v>290</v>
      </c>
      <c r="I33" s="112"/>
      <c r="J33" s="113">
        <v>93.5</v>
      </c>
      <c r="K33" s="100" t="s">
        <v>174</v>
      </c>
      <c r="L33" s="11"/>
      <c r="R33" s="11"/>
      <c r="S33" s="11"/>
      <c r="T33" s="11"/>
      <c r="U33" s="11"/>
      <c r="V33" s="11"/>
      <c r="W33" s="11"/>
      <c r="X33" s="11"/>
      <c r="Y33" s="11"/>
      <c r="Z33" s="11"/>
    </row>
    <row r="34" spans="1:26" s="15" customFormat="1" ht="18.45" customHeight="1">
      <c r="A34" s="449"/>
      <c r="B34" s="450"/>
      <c r="C34" s="450"/>
      <c r="D34" s="450"/>
      <c r="E34" s="451"/>
      <c r="F34" s="32" t="s">
        <v>291</v>
      </c>
      <c r="G34" s="114"/>
      <c r="H34" s="115" t="s">
        <v>14</v>
      </c>
      <c r="I34" s="116"/>
      <c r="J34" s="117">
        <v>5650</v>
      </c>
      <c r="K34" s="100" t="s">
        <v>174</v>
      </c>
      <c r="L34" s="118"/>
      <c r="M34" s="119"/>
      <c r="R34" s="11"/>
      <c r="S34" s="11"/>
      <c r="T34" s="11"/>
      <c r="U34" s="11"/>
      <c r="V34" s="11"/>
      <c r="W34" s="11"/>
      <c r="X34" s="11"/>
      <c r="Y34" s="11"/>
      <c r="Z34" s="11"/>
    </row>
    <row r="35" spans="1:26" s="15" customFormat="1" ht="18.45" customHeight="1">
      <c r="A35" s="449"/>
      <c r="B35" s="450"/>
      <c r="C35" s="450"/>
      <c r="D35" s="450"/>
      <c r="E35" s="451"/>
      <c r="F35" s="51"/>
      <c r="G35" s="120"/>
      <c r="H35" s="121" t="s">
        <v>15</v>
      </c>
      <c r="I35" s="122"/>
      <c r="J35" s="36">
        <v>4302</v>
      </c>
      <c r="K35" s="100" t="s">
        <v>174</v>
      </c>
      <c r="M35" s="119"/>
      <c r="R35" s="11"/>
      <c r="S35" s="11"/>
      <c r="T35" s="11"/>
      <c r="U35" s="11"/>
      <c r="V35" s="11"/>
      <c r="W35" s="11"/>
      <c r="X35" s="11"/>
      <c r="Y35" s="11"/>
      <c r="Z35" s="11"/>
    </row>
    <row r="36" spans="1:26" s="15" customFormat="1" ht="18.45" customHeight="1">
      <c r="A36" s="449"/>
      <c r="B36" s="450"/>
      <c r="C36" s="450"/>
      <c r="D36" s="450"/>
      <c r="E36" s="451"/>
      <c r="F36" s="51"/>
      <c r="G36" s="120"/>
      <c r="H36" s="121" t="s">
        <v>292</v>
      </c>
      <c r="I36" s="122"/>
      <c r="J36" s="36">
        <v>3560</v>
      </c>
      <c r="K36" s="100" t="s">
        <v>174</v>
      </c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spans="1:26" s="15" customFormat="1" ht="18.45" customHeight="1">
      <c r="A37" s="449"/>
      <c r="B37" s="450"/>
      <c r="C37" s="450"/>
      <c r="D37" s="450"/>
      <c r="E37" s="451"/>
      <c r="F37" s="102"/>
      <c r="G37" s="120"/>
      <c r="H37" s="121" t="s">
        <v>293</v>
      </c>
      <c r="I37" s="122"/>
      <c r="J37" s="36">
        <v>10961</v>
      </c>
      <c r="K37" s="123" t="s">
        <v>174</v>
      </c>
      <c r="M37" s="124"/>
      <c r="R37" s="11"/>
      <c r="S37" s="11"/>
      <c r="T37" s="11"/>
      <c r="U37" s="11"/>
      <c r="V37" s="11"/>
      <c r="W37" s="11"/>
      <c r="X37" s="11"/>
      <c r="Y37" s="11"/>
      <c r="Z37" s="11"/>
    </row>
    <row r="38" spans="1:26" s="15" customFormat="1" ht="18.45" customHeight="1">
      <c r="A38" s="452"/>
      <c r="B38" s="453"/>
      <c r="C38" s="453"/>
      <c r="D38" s="453"/>
      <c r="E38" s="454"/>
      <c r="F38" s="59"/>
      <c r="G38" s="125"/>
      <c r="H38" s="126" t="s">
        <v>294</v>
      </c>
      <c r="I38" s="127"/>
      <c r="J38" s="128">
        <v>10298</v>
      </c>
      <c r="K38" s="100" t="s">
        <v>174</v>
      </c>
      <c r="R38" s="11"/>
      <c r="S38" s="11"/>
      <c r="T38" s="11"/>
      <c r="U38" s="11"/>
      <c r="V38" s="11"/>
      <c r="W38" s="11"/>
      <c r="X38" s="11"/>
      <c r="Y38" s="11"/>
      <c r="Z38" s="11"/>
    </row>
    <row r="39" spans="1:26" s="15" customFormat="1" ht="18.45" customHeight="1">
      <c r="A39" s="442" t="s">
        <v>295</v>
      </c>
      <c r="B39" s="443"/>
      <c r="C39" s="443"/>
      <c r="D39" s="443"/>
      <c r="E39" s="443"/>
      <c r="F39" s="129" t="s">
        <v>296</v>
      </c>
      <c r="G39" s="130"/>
      <c r="H39" s="130"/>
      <c r="I39" s="130"/>
      <c r="J39" s="130"/>
      <c r="K39" s="131"/>
      <c r="R39" s="11"/>
      <c r="S39" s="11"/>
      <c r="T39" s="11"/>
      <c r="U39" s="11"/>
      <c r="V39" s="11"/>
      <c r="W39" s="11"/>
      <c r="X39" s="11"/>
      <c r="Y39" s="11"/>
      <c r="Z39" s="11"/>
    </row>
    <row r="40" spans="1:26" s="15" customFormat="1" ht="18.45" customHeight="1">
      <c r="A40" s="456"/>
      <c r="B40" s="457"/>
      <c r="C40" s="457"/>
      <c r="D40" s="457"/>
      <c r="E40" s="458"/>
      <c r="F40" s="132" t="s">
        <v>642</v>
      </c>
      <c r="G40" s="133" t="s">
        <v>643</v>
      </c>
      <c r="I40" s="133"/>
      <c r="J40" s="133"/>
      <c r="K40" s="134"/>
      <c r="R40" s="11"/>
      <c r="S40" s="11"/>
      <c r="T40" s="11"/>
      <c r="U40" s="11"/>
      <c r="V40" s="11"/>
      <c r="W40" s="11"/>
      <c r="X40" s="11"/>
      <c r="Y40" s="11"/>
      <c r="Z40" s="11"/>
    </row>
    <row r="41" spans="1:26" s="15" customFormat="1" ht="18.45" customHeight="1">
      <c r="A41" s="456"/>
      <c r="B41" s="457"/>
      <c r="C41" s="457"/>
      <c r="D41" s="457"/>
      <c r="E41" s="458"/>
      <c r="F41" s="132"/>
      <c r="G41" s="135" t="s">
        <v>644</v>
      </c>
      <c r="H41" s="135"/>
      <c r="I41" s="135"/>
      <c r="J41" s="135"/>
      <c r="K41" s="136"/>
      <c r="L41" s="137"/>
      <c r="R41" s="11"/>
      <c r="S41" s="11"/>
      <c r="T41" s="11"/>
      <c r="U41" s="11"/>
      <c r="V41" s="11"/>
      <c r="W41" s="11"/>
      <c r="X41" s="11"/>
      <c r="Y41" s="11"/>
      <c r="Z41" s="11"/>
    </row>
    <row r="42" spans="1:26" s="15" customFormat="1" ht="18.45" customHeight="1">
      <c r="A42" s="456"/>
      <c r="B42" s="457"/>
      <c r="C42" s="457"/>
      <c r="D42" s="457"/>
      <c r="E42" s="458"/>
      <c r="F42" s="132"/>
      <c r="G42" s="15" t="s">
        <v>645</v>
      </c>
      <c r="H42" s="135"/>
      <c r="I42" s="135"/>
      <c r="J42" s="135"/>
      <c r="K42" s="136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spans="1:26" s="15" customFormat="1" ht="18.45" customHeight="1">
      <c r="A43" s="456"/>
      <c r="B43" s="457"/>
      <c r="C43" s="457"/>
      <c r="D43" s="457"/>
      <c r="E43" s="458"/>
      <c r="F43" s="132"/>
      <c r="G43" s="135"/>
      <c r="H43" s="135"/>
      <c r="I43" s="135"/>
      <c r="J43" s="135"/>
      <c r="K43" s="136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spans="1:26" s="15" customFormat="1" ht="17.100000000000001" customHeight="1" thickBot="1">
      <c r="A44" s="459"/>
      <c r="B44" s="460"/>
      <c r="C44" s="460"/>
      <c r="D44" s="460"/>
      <c r="E44" s="461"/>
      <c r="F44" s="132"/>
      <c r="G44" s="133" t="s">
        <v>640</v>
      </c>
      <c r="H44" s="135"/>
      <c r="I44" s="135"/>
      <c r="J44" s="135"/>
      <c r="K44" s="136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spans="1:26" s="15" customFormat="1" ht="17.100000000000001" customHeight="1">
      <c r="A45" s="138" t="s">
        <v>297</v>
      </c>
      <c r="B45" s="462" t="s">
        <v>641</v>
      </c>
      <c r="C45" s="463"/>
      <c r="D45" s="139" t="s">
        <v>298</v>
      </c>
      <c r="E45" s="140" t="s">
        <v>593</v>
      </c>
      <c r="F45" s="141"/>
      <c r="G45" s="135"/>
      <c r="H45" s="135"/>
      <c r="I45" s="135"/>
      <c r="J45" s="135"/>
      <c r="K45" s="136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spans="1:26" s="15" customFormat="1" ht="17.100000000000001" customHeight="1" thickBot="1">
      <c r="A46" s="142" t="s">
        <v>299</v>
      </c>
      <c r="B46" s="447">
        <v>41670</v>
      </c>
      <c r="C46" s="448"/>
      <c r="D46" s="143" t="s">
        <v>299</v>
      </c>
      <c r="E46" s="144">
        <v>41610</v>
      </c>
      <c r="F46" s="145"/>
      <c r="G46" s="146"/>
      <c r="H46" s="146"/>
      <c r="I46" s="146"/>
      <c r="J46" s="146"/>
      <c r="K46" s="147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spans="1:26" s="15" customFormat="1" ht="17.100000000000001" customHeight="1">
      <c r="F47" s="148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</row>
    <row r="48" spans="1:26" s="15" customFormat="1" ht="17.100000000000001" customHeight="1">
      <c r="F48" s="11"/>
      <c r="G48" s="11"/>
      <c r="H48" s="11"/>
      <c r="I48" s="11"/>
      <c r="J48" s="11"/>
      <c r="K48" s="11"/>
    </row>
    <row r="49" spans="2:26" ht="17.100000000000001" customHeight="1">
      <c r="F49" s="1"/>
      <c r="G49" s="1"/>
      <c r="H49" s="1"/>
      <c r="I49" s="1"/>
      <c r="J49" s="1"/>
      <c r="K49" s="1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2:26">
      <c r="F50" s="1"/>
      <c r="G50" s="1"/>
      <c r="H50" s="1"/>
      <c r="I50" s="1"/>
      <c r="J50" s="1"/>
      <c r="K50" s="1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2:26">
      <c r="F51" s="1"/>
      <c r="G51" s="1"/>
      <c r="H51" s="1"/>
      <c r="I51" s="1"/>
      <c r="J51" s="1"/>
      <c r="K51" s="1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2:26">
      <c r="B52" s="1"/>
      <c r="C52" s="1"/>
      <c r="D52" s="1"/>
      <c r="E52" s="1"/>
      <c r="F52" s="1"/>
      <c r="G52" s="1"/>
      <c r="H52" s="1"/>
      <c r="I52" s="1"/>
      <c r="J52" s="1"/>
      <c r="K52" s="1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2:26">
      <c r="F53" s="1"/>
      <c r="G53" s="1"/>
      <c r="H53" s="1"/>
      <c r="I53" s="1"/>
      <c r="J53" s="1"/>
      <c r="K53" s="1"/>
      <c r="Q53" s="2"/>
      <c r="R53" s="2"/>
      <c r="S53" s="2"/>
      <c r="T53" s="2"/>
      <c r="U53" s="2"/>
      <c r="V53" s="2"/>
      <c r="W53" s="2"/>
      <c r="X53" s="2"/>
      <c r="Y53" s="2"/>
      <c r="Z53" s="2"/>
    </row>
  </sheetData>
  <mergeCells count="49">
    <mergeCell ref="A1:K1"/>
    <mergeCell ref="A2:K2"/>
    <mergeCell ref="J3:K3"/>
    <mergeCell ref="A5:C5"/>
    <mergeCell ref="A6:C6"/>
    <mergeCell ref="D6:E6"/>
    <mergeCell ref="F6:K6"/>
    <mergeCell ref="F12:K12"/>
    <mergeCell ref="A7:C7"/>
    <mergeCell ref="D7:E7"/>
    <mergeCell ref="A8:C8"/>
    <mergeCell ref="D8:E8"/>
    <mergeCell ref="A9:C9"/>
    <mergeCell ref="D9:E9"/>
    <mergeCell ref="A10:C10"/>
    <mergeCell ref="D10:E10"/>
    <mergeCell ref="A11:C11"/>
    <mergeCell ref="D11:E11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D17:E17"/>
    <mergeCell ref="F17:K17"/>
    <mergeCell ref="D18:E18"/>
    <mergeCell ref="F18:G26"/>
    <mergeCell ref="A19:C19"/>
    <mergeCell ref="D19:E19"/>
    <mergeCell ref="D20:E20"/>
    <mergeCell ref="A21:C21"/>
    <mergeCell ref="D21:E21"/>
    <mergeCell ref="D22:E22"/>
    <mergeCell ref="D23:E23"/>
    <mergeCell ref="D24:E24"/>
    <mergeCell ref="H26:I26"/>
    <mergeCell ref="A27:E27"/>
    <mergeCell ref="F27:K27"/>
    <mergeCell ref="B46:C46"/>
    <mergeCell ref="A28:E32"/>
    <mergeCell ref="A33:E33"/>
    <mergeCell ref="A34:E38"/>
    <mergeCell ref="A39:E39"/>
    <mergeCell ref="A40:E44"/>
    <mergeCell ref="B45:C45"/>
  </mergeCells>
  <dataValidations count="3">
    <dataValidation type="list" allowBlank="1" showInputMessage="1" sqref="D6:E6">
      <formula1>$T$5:$T$10</formula1>
    </dataValidation>
    <dataValidation type="list" allowBlank="1" showErrorMessage="1" error="Choose from list!" sqref="D21">
      <formula1>$Q$22:$Q$24</formula1>
    </dataValidation>
    <dataValidation type="list" allowBlank="1" showInputMessage="1" errorTitle="Hold on!" error="Enter a valid motor type!" prompt="Motor Type  Select one from the list or input name" sqref="K4">
      <formula1>$Q$5:$Q$11</formula1>
    </dataValidation>
  </dataValidations>
  <printOptions horizontalCentered="1" verticalCentered="1"/>
  <pageMargins left="0.25" right="0.25" top="0.5" bottom="0.5" header="0.5" footer="0.5"/>
  <pageSetup scale="88" orientation="portrait" blackAndWhite="1" r:id="rId1"/>
  <headerFooter alignWithMargins="0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1"/>
  <sheetViews>
    <sheetView workbookViewId="0">
      <selection activeCell="D30" sqref="D30"/>
    </sheetView>
  </sheetViews>
  <sheetFormatPr defaultColWidth="9.109375" defaultRowHeight="13.2"/>
  <cols>
    <col min="1" max="6" width="14.6640625" style="424" customWidth="1"/>
    <col min="7" max="16384" width="9.109375" style="424"/>
  </cols>
  <sheetData>
    <row r="1" spans="1:7" ht="20.399999999999999">
      <c r="A1" s="538" t="s">
        <v>334</v>
      </c>
      <c r="B1" s="538"/>
      <c r="C1" s="538"/>
      <c r="D1" s="538"/>
      <c r="E1" s="538"/>
      <c r="F1" s="538"/>
    </row>
    <row r="2" spans="1:7" ht="18" thickBot="1">
      <c r="A2" s="425"/>
      <c r="B2" s="425"/>
      <c r="C2" s="539" t="s">
        <v>346</v>
      </c>
      <c r="D2" s="539"/>
      <c r="E2" s="425"/>
      <c r="F2" s="425"/>
      <c r="G2" s="425"/>
    </row>
    <row r="3" spans="1:7" ht="18">
      <c r="A3" s="518" t="s">
        <v>335</v>
      </c>
      <c r="B3" s="519"/>
      <c r="C3" s="520"/>
      <c r="D3" s="518" t="s">
        <v>336</v>
      </c>
      <c r="E3" s="519"/>
      <c r="F3" s="520"/>
      <c r="G3" s="425"/>
    </row>
    <row r="4" spans="1:7" ht="16.2">
      <c r="A4" s="441" t="s">
        <v>347</v>
      </c>
      <c r="B4" s="540" t="s">
        <v>349</v>
      </c>
      <c r="C4" s="525"/>
      <c r="D4" s="541" t="s">
        <v>636</v>
      </c>
      <c r="E4" s="542"/>
      <c r="F4" s="543"/>
      <c r="G4" s="425"/>
    </row>
    <row r="5" spans="1:7" ht="16.8" thickBot="1">
      <c r="A5" s="440" t="s">
        <v>348</v>
      </c>
      <c r="B5" s="532" t="s">
        <v>348</v>
      </c>
      <c r="C5" s="533"/>
      <c r="D5" s="534" t="s">
        <v>635</v>
      </c>
      <c r="E5" s="528"/>
      <c r="F5" s="529"/>
      <c r="G5" s="425"/>
    </row>
    <row r="6" spans="1:7" ht="18">
      <c r="A6" s="518" t="s">
        <v>337</v>
      </c>
      <c r="B6" s="519"/>
      <c r="C6" s="519"/>
      <c r="D6" s="519"/>
      <c r="E6" s="519"/>
      <c r="F6" s="520"/>
      <c r="G6" s="425"/>
    </row>
    <row r="7" spans="1:7" ht="16.2">
      <c r="A7" s="439" t="s">
        <v>338</v>
      </c>
      <c r="B7" s="438" t="s">
        <v>634</v>
      </c>
      <c r="C7" s="437" t="s">
        <v>339</v>
      </c>
      <c r="D7" s="436" t="s">
        <v>633</v>
      </c>
      <c r="E7" s="535" t="s">
        <v>340</v>
      </c>
      <c r="F7" s="536"/>
      <c r="G7" s="425"/>
    </row>
    <row r="8" spans="1:7" ht="16.2" thickBot="1">
      <c r="A8" s="435"/>
      <c r="B8" s="434" t="s">
        <v>348</v>
      </c>
      <c r="C8" s="433"/>
      <c r="D8" s="432" t="s">
        <v>348</v>
      </c>
      <c r="E8" s="537" t="s">
        <v>632</v>
      </c>
      <c r="F8" s="529"/>
      <c r="G8" s="425"/>
    </row>
    <row r="9" spans="1:7" ht="18">
      <c r="A9" s="518" t="s">
        <v>341</v>
      </c>
      <c r="B9" s="519"/>
      <c r="C9" s="520"/>
      <c r="D9" s="518" t="s">
        <v>342</v>
      </c>
      <c r="E9" s="519"/>
      <c r="F9" s="520"/>
      <c r="G9" s="425"/>
    </row>
    <row r="10" spans="1:7" ht="16.2">
      <c r="A10" s="431" t="s">
        <v>343</v>
      </c>
      <c r="B10" s="524" t="s">
        <v>631</v>
      </c>
      <c r="C10" s="525"/>
      <c r="D10" s="526" t="s">
        <v>350</v>
      </c>
      <c r="E10" s="527"/>
      <c r="F10" s="430" t="s">
        <v>351</v>
      </c>
      <c r="G10" s="425"/>
    </row>
    <row r="11" spans="1:7" ht="16.8" thickBot="1">
      <c r="A11" s="429" t="s">
        <v>344</v>
      </c>
      <c r="B11" s="528" t="s">
        <v>630</v>
      </c>
      <c r="C11" s="529"/>
      <c r="D11" s="530"/>
      <c r="E11" s="531"/>
      <c r="F11" s="428" t="s">
        <v>348</v>
      </c>
      <c r="G11" s="425"/>
    </row>
    <row r="12" spans="1:7" ht="18">
      <c r="A12" s="518" t="s">
        <v>345</v>
      </c>
      <c r="B12" s="519"/>
      <c r="C12" s="519"/>
      <c r="D12" s="519"/>
      <c r="E12" s="519"/>
      <c r="F12" s="520"/>
      <c r="G12" s="425"/>
    </row>
    <row r="13" spans="1:7" ht="16.2" thickBot="1">
      <c r="A13" s="521" t="s">
        <v>352</v>
      </c>
      <c r="B13" s="522"/>
      <c r="C13" s="523" t="s">
        <v>629</v>
      </c>
      <c r="D13" s="523"/>
      <c r="E13" s="523"/>
      <c r="F13" s="427"/>
      <c r="G13" s="425"/>
    </row>
    <row r="14" spans="1:7" ht="18.899999999999999" customHeight="1">
      <c r="A14" s="426"/>
      <c r="B14" s="426"/>
      <c r="C14" s="426"/>
      <c r="D14" s="426"/>
      <c r="E14" s="426"/>
      <c r="F14" s="426"/>
      <c r="G14" s="425"/>
    </row>
    <row r="15" spans="1:7" ht="15.6">
      <c r="G15" s="425"/>
    </row>
    <row r="16" spans="1:7" ht="15.6">
      <c r="G16" s="425"/>
    </row>
    <row r="17" spans="7:7" ht="15.6">
      <c r="G17" s="425"/>
    </row>
    <row r="18" spans="7:7" ht="15.6">
      <c r="G18" s="425"/>
    </row>
    <row r="19" spans="7:7" ht="15.6">
      <c r="G19" s="425"/>
    </row>
    <row r="20" spans="7:7" ht="15.6">
      <c r="G20" s="425"/>
    </row>
    <row r="21" spans="7:7" ht="15.6">
      <c r="G21" s="425"/>
    </row>
    <row r="22" spans="7:7" ht="15.6">
      <c r="G22" s="425"/>
    </row>
    <row r="23" spans="7:7" ht="15.6">
      <c r="G23" s="425"/>
    </row>
    <row r="24" spans="7:7" ht="15.6">
      <c r="G24" s="425"/>
    </row>
    <row r="25" spans="7:7" ht="15.6">
      <c r="G25" s="425"/>
    </row>
    <row r="26" spans="7:7" ht="15.6">
      <c r="G26" s="425"/>
    </row>
    <row r="27" spans="7:7" ht="18.899999999999999" customHeight="1">
      <c r="G27" s="425"/>
    </row>
    <row r="28" spans="7:7" ht="15.6">
      <c r="G28" s="425"/>
    </row>
    <row r="29" spans="7:7" ht="15.6">
      <c r="G29" s="425"/>
    </row>
    <row r="30" spans="7:7" ht="15.6">
      <c r="G30" s="425"/>
    </row>
    <row r="31" spans="7:7" ht="15.6">
      <c r="G31" s="425"/>
    </row>
  </sheetData>
  <mergeCells count="20">
    <mergeCell ref="A1:F1"/>
    <mergeCell ref="C2:D2"/>
    <mergeCell ref="A3:C3"/>
    <mergeCell ref="D3:F3"/>
    <mergeCell ref="B4:C4"/>
    <mergeCell ref="D4:F4"/>
    <mergeCell ref="B5:C5"/>
    <mergeCell ref="D5:F5"/>
    <mergeCell ref="A6:F6"/>
    <mergeCell ref="E7:F7"/>
    <mergeCell ref="E8:F8"/>
    <mergeCell ref="A12:F12"/>
    <mergeCell ref="A13:B13"/>
    <mergeCell ref="C13:E13"/>
    <mergeCell ref="A9:C9"/>
    <mergeCell ref="D9:F9"/>
    <mergeCell ref="B10:C10"/>
    <mergeCell ref="D10:E10"/>
    <mergeCell ref="B11:C11"/>
    <mergeCell ref="D11:E11"/>
  </mergeCells>
  <printOptions horizontalCentered="1"/>
  <pageMargins left="0.75" right="0.75" top="1" bottom="1" header="0.5" footer="0.5"/>
  <pageSetup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N79"/>
  <sheetViews>
    <sheetView zoomScale="75" zoomScaleNormal="75" workbookViewId="0"/>
  </sheetViews>
  <sheetFormatPr defaultColWidth="9.109375" defaultRowHeight="13.2"/>
  <cols>
    <col min="1" max="1" width="9.109375" style="155" customWidth="1"/>
    <col min="2" max="2" width="18.109375" style="155" customWidth="1"/>
    <col min="3" max="3" width="21.5546875" style="155" customWidth="1"/>
    <col min="4" max="4" width="21.33203125" style="155" bestFit="1" customWidth="1"/>
    <col min="5" max="5" width="6.88671875" style="155" bestFit="1" customWidth="1"/>
    <col min="6" max="6" width="29.88671875" style="155" customWidth="1"/>
    <col min="7" max="7" width="43.6640625" style="155" customWidth="1"/>
    <col min="8" max="8" width="17.109375" style="155" customWidth="1"/>
    <col min="9" max="9" width="7.88671875" style="155" customWidth="1"/>
    <col min="10" max="10" width="2.33203125" style="155" bestFit="1" customWidth="1"/>
    <col min="11" max="12" width="2.33203125" style="155" customWidth="1"/>
    <col min="13" max="13" width="2.5546875" style="155" bestFit="1" customWidth="1"/>
    <col min="14" max="14" width="2.33203125" style="155" bestFit="1" customWidth="1"/>
    <col min="15" max="16384" width="9.109375" style="155"/>
  </cols>
  <sheetData>
    <row r="1" spans="2:14" ht="12.75" customHeight="1">
      <c r="B1" s="150"/>
      <c r="C1" s="151"/>
      <c r="D1" s="151"/>
      <c r="E1" s="151"/>
      <c r="F1" s="151"/>
      <c r="G1" s="151"/>
      <c r="H1" s="152"/>
      <c r="I1" s="153"/>
      <c r="J1" s="154" t="s">
        <v>300</v>
      </c>
      <c r="K1" s="154" t="s">
        <v>301</v>
      </c>
      <c r="L1" s="154" t="s">
        <v>302</v>
      </c>
      <c r="M1" s="154" t="s">
        <v>301</v>
      </c>
      <c r="N1" s="154"/>
    </row>
    <row r="2" spans="2:14" ht="12.75" customHeight="1">
      <c r="B2" s="568" t="s">
        <v>303</v>
      </c>
      <c r="C2" s="569"/>
      <c r="D2" s="569"/>
      <c r="E2" s="569"/>
      <c r="F2" s="569"/>
      <c r="G2" s="569"/>
      <c r="H2" s="156"/>
      <c r="I2" s="157"/>
      <c r="J2" s="158" t="s">
        <v>304</v>
      </c>
      <c r="K2" s="158" t="s">
        <v>305</v>
      </c>
      <c r="L2" s="158" t="s">
        <v>306</v>
      </c>
      <c r="M2" s="158" t="s">
        <v>307</v>
      </c>
      <c r="N2" s="158" t="s">
        <v>308</v>
      </c>
    </row>
    <row r="3" spans="2:14" ht="12.75" customHeight="1">
      <c r="B3" s="568"/>
      <c r="C3" s="569"/>
      <c r="D3" s="569"/>
      <c r="E3" s="569"/>
      <c r="F3" s="569"/>
      <c r="G3" s="569"/>
      <c r="H3" s="156"/>
      <c r="I3" s="157"/>
      <c r="J3" s="158" t="s">
        <v>309</v>
      </c>
      <c r="K3" s="158"/>
      <c r="L3" s="158" t="s">
        <v>310</v>
      </c>
      <c r="M3" s="158" t="s">
        <v>300</v>
      </c>
      <c r="N3" s="158"/>
    </row>
    <row r="4" spans="2:14" ht="12.75" customHeight="1">
      <c r="B4" s="568"/>
      <c r="C4" s="569"/>
      <c r="D4" s="569"/>
      <c r="E4" s="569"/>
      <c r="F4" s="569"/>
      <c r="G4" s="569"/>
      <c r="H4" s="156"/>
      <c r="I4" s="157"/>
      <c r="J4" s="158" t="s">
        <v>311</v>
      </c>
      <c r="K4" s="158"/>
      <c r="L4" s="158" t="s">
        <v>306</v>
      </c>
      <c r="M4" s="158" t="s">
        <v>304</v>
      </c>
      <c r="N4" s="158"/>
    </row>
    <row r="5" spans="2:14" ht="12.75" customHeight="1">
      <c r="B5" s="159"/>
      <c r="C5" s="160"/>
      <c r="D5" s="160"/>
      <c r="E5" s="160"/>
      <c r="F5" s="160"/>
      <c r="G5" s="160"/>
      <c r="H5" s="156"/>
      <c r="I5" s="157"/>
      <c r="J5" s="158"/>
      <c r="K5" s="158" t="s">
        <v>312</v>
      </c>
      <c r="L5" s="158" t="s">
        <v>301</v>
      </c>
      <c r="M5" s="158"/>
      <c r="N5" s="158" t="s">
        <v>306</v>
      </c>
    </row>
    <row r="6" spans="2:14" ht="12" customHeight="1">
      <c r="B6" s="161"/>
      <c r="C6" s="162"/>
      <c r="D6" s="162"/>
      <c r="F6" s="162"/>
      <c r="H6" s="163"/>
      <c r="I6" s="157"/>
      <c r="J6" s="158" t="s">
        <v>305</v>
      </c>
      <c r="K6" s="158" t="s">
        <v>313</v>
      </c>
      <c r="L6" s="158"/>
      <c r="M6" s="158" t="s">
        <v>301</v>
      </c>
      <c r="N6" s="158" t="s">
        <v>314</v>
      </c>
    </row>
    <row r="7" spans="2:14" ht="12.75" customHeight="1">
      <c r="B7" s="161"/>
      <c r="D7" s="164"/>
      <c r="H7" s="163"/>
      <c r="I7" s="157"/>
      <c r="J7" s="158" t="s">
        <v>315</v>
      </c>
      <c r="K7" s="158" t="s">
        <v>309</v>
      </c>
      <c r="L7" s="158" t="s">
        <v>309</v>
      </c>
      <c r="M7" s="158" t="s">
        <v>304</v>
      </c>
      <c r="N7" s="158" t="s">
        <v>316</v>
      </c>
    </row>
    <row r="8" spans="2:14" ht="12.75" customHeight="1">
      <c r="B8" s="161"/>
      <c r="G8" s="164"/>
      <c r="H8" s="165"/>
      <c r="I8" s="158" t="s">
        <v>316</v>
      </c>
      <c r="J8" s="158" t="s">
        <v>301</v>
      </c>
      <c r="K8" s="158" t="s">
        <v>317</v>
      </c>
      <c r="L8" s="158" t="s">
        <v>304</v>
      </c>
      <c r="M8" s="158" t="s">
        <v>316</v>
      </c>
      <c r="N8" s="158" t="s">
        <v>313</v>
      </c>
    </row>
    <row r="9" spans="2:14">
      <c r="B9" s="158" t="s">
        <v>318</v>
      </c>
      <c r="C9" s="165" t="s">
        <v>319</v>
      </c>
      <c r="D9" s="165" t="s">
        <v>320</v>
      </c>
      <c r="E9" s="165" t="s">
        <v>321</v>
      </c>
      <c r="F9" s="158" t="s">
        <v>322</v>
      </c>
      <c r="G9" s="158" t="s">
        <v>323</v>
      </c>
      <c r="H9" s="158" t="s">
        <v>324</v>
      </c>
      <c r="I9" s="158" t="s">
        <v>311</v>
      </c>
      <c r="J9" s="158" t="s">
        <v>315</v>
      </c>
      <c r="K9" s="158" t="s">
        <v>304</v>
      </c>
      <c r="L9" s="158" t="s">
        <v>317</v>
      </c>
      <c r="M9" s="158" t="s">
        <v>301</v>
      </c>
      <c r="N9" s="158" t="s">
        <v>302</v>
      </c>
    </row>
    <row r="10" spans="2:14" ht="15" customHeight="1">
      <c r="B10" s="166"/>
      <c r="C10" s="167"/>
      <c r="D10" s="167"/>
      <c r="E10" s="167"/>
      <c r="F10" s="168"/>
      <c r="G10" s="169"/>
      <c r="H10" s="169"/>
      <c r="I10" s="170"/>
      <c r="J10" s="171"/>
      <c r="K10" s="171"/>
      <c r="L10" s="171"/>
      <c r="M10" s="171"/>
      <c r="N10" s="172"/>
    </row>
    <row r="11" spans="2:14" ht="15" customHeight="1">
      <c r="B11" s="166"/>
      <c r="C11" s="168"/>
      <c r="D11" s="168"/>
      <c r="E11" s="168"/>
      <c r="F11" s="168"/>
      <c r="G11" s="168"/>
      <c r="H11" s="168"/>
      <c r="I11" s="173"/>
      <c r="J11" s="171"/>
      <c r="K11" s="171"/>
      <c r="L11" s="171"/>
      <c r="M11" s="171"/>
      <c r="N11" s="172"/>
    </row>
    <row r="12" spans="2:14" ht="15" customHeight="1">
      <c r="B12" s="166"/>
      <c r="C12" s="168"/>
      <c r="D12" s="168"/>
      <c r="E12" s="168"/>
      <c r="F12" s="168"/>
      <c r="G12" s="168"/>
      <c r="H12" s="168"/>
      <c r="I12" s="173"/>
      <c r="J12" s="174"/>
      <c r="K12" s="171"/>
      <c r="L12" s="171"/>
      <c r="M12" s="171"/>
      <c r="N12" s="172"/>
    </row>
    <row r="13" spans="2:14" ht="15" customHeight="1">
      <c r="B13" s="166"/>
      <c r="C13" s="168"/>
      <c r="D13" s="168"/>
      <c r="E13" s="168"/>
      <c r="F13" s="168"/>
      <c r="G13" s="168"/>
      <c r="H13" s="168"/>
      <c r="I13" s="173"/>
      <c r="J13" s="171"/>
      <c r="K13" s="171"/>
      <c r="L13" s="171"/>
      <c r="M13" s="171"/>
      <c r="N13" s="172"/>
    </row>
    <row r="14" spans="2:14" ht="15" customHeight="1">
      <c r="B14" s="166"/>
      <c r="C14" s="168"/>
      <c r="D14" s="168"/>
      <c r="E14" s="168"/>
      <c r="F14" s="168"/>
      <c r="G14" s="168"/>
      <c r="H14" s="168"/>
      <c r="I14" s="173"/>
      <c r="J14" s="171"/>
      <c r="K14" s="171"/>
      <c r="L14" s="171"/>
      <c r="M14" s="171"/>
      <c r="N14" s="172"/>
    </row>
    <row r="15" spans="2:14" ht="15" customHeight="1">
      <c r="B15" s="166"/>
      <c r="C15" s="168"/>
      <c r="D15" s="168"/>
      <c r="E15" s="168"/>
      <c r="F15" s="168"/>
      <c r="G15" s="168"/>
      <c r="H15" s="168"/>
      <c r="I15" s="173"/>
      <c r="J15" s="171"/>
      <c r="K15" s="171"/>
      <c r="L15" s="171"/>
      <c r="M15" s="171"/>
      <c r="N15" s="172"/>
    </row>
    <row r="16" spans="2:14" ht="15" customHeight="1">
      <c r="B16" s="166"/>
      <c r="C16" s="168"/>
      <c r="D16" s="168"/>
      <c r="E16" s="168"/>
      <c r="F16" s="168"/>
      <c r="G16" s="168"/>
      <c r="H16" s="168"/>
      <c r="I16" s="173"/>
      <c r="J16" s="171"/>
      <c r="K16" s="171"/>
      <c r="L16" s="171"/>
      <c r="M16" s="171"/>
      <c r="N16" s="172"/>
    </row>
    <row r="17" spans="2:14" ht="15" customHeight="1">
      <c r="B17" s="166"/>
      <c r="C17" s="168"/>
      <c r="D17" s="168"/>
      <c r="E17" s="168"/>
      <c r="F17" s="168"/>
      <c r="G17" s="168"/>
      <c r="H17" s="168"/>
      <c r="I17" s="173"/>
      <c r="J17" s="171"/>
      <c r="K17" s="171"/>
      <c r="L17" s="171"/>
      <c r="M17" s="171"/>
      <c r="N17" s="172"/>
    </row>
    <row r="18" spans="2:14" ht="15" customHeight="1">
      <c r="B18" s="166"/>
      <c r="C18" s="168"/>
      <c r="D18" s="168"/>
      <c r="E18" s="168"/>
      <c r="F18" s="168"/>
      <c r="G18" s="168"/>
      <c r="H18" s="168"/>
      <c r="I18" s="173"/>
      <c r="J18" s="171"/>
      <c r="K18" s="171"/>
      <c r="L18" s="171"/>
      <c r="M18" s="171"/>
      <c r="N18" s="172"/>
    </row>
    <row r="19" spans="2:14" ht="15" customHeight="1">
      <c r="B19" s="166"/>
      <c r="C19" s="168"/>
      <c r="D19" s="168"/>
      <c r="E19" s="168"/>
      <c r="F19" s="168"/>
      <c r="G19" s="168"/>
      <c r="H19" s="168"/>
      <c r="I19" s="173"/>
      <c r="J19" s="171"/>
      <c r="K19" s="171"/>
      <c r="L19" s="171"/>
      <c r="M19" s="171"/>
      <c r="N19" s="172"/>
    </row>
    <row r="20" spans="2:14" ht="15" customHeight="1">
      <c r="B20" s="166"/>
      <c r="C20" s="168"/>
      <c r="D20" s="168"/>
      <c r="E20" s="168"/>
      <c r="F20" s="168"/>
      <c r="G20" s="168"/>
      <c r="H20" s="168"/>
      <c r="I20" s="173"/>
      <c r="J20" s="171"/>
      <c r="K20" s="171"/>
      <c r="L20" s="171"/>
      <c r="M20" s="171"/>
      <c r="N20" s="172"/>
    </row>
    <row r="21" spans="2:14" ht="15" customHeight="1">
      <c r="B21" s="166"/>
      <c r="C21" s="168"/>
      <c r="D21" s="168"/>
      <c r="E21" s="168"/>
      <c r="F21" s="168"/>
      <c r="G21" s="168"/>
      <c r="H21" s="168"/>
      <c r="I21" s="173"/>
      <c r="J21" s="171"/>
      <c r="K21" s="171"/>
      <c r="L21" s="171"/>
      <c r="M21" s="171"/>
      <c r="N21" s="172"/>
    </row>
    <row r="22" spans="2:14" ht="15" customHeight="1">
      <c r="B22" s="166"/>
      <c r="C22" s="168"/>
      <c r="D22" s="168"/>
      <c r="E22" s="168"/>
      <c r="F22" s="168"/>
      <c r="G22" s="168"/>
      <c r="H22" s="168"/>
      <c r="I22" s="173"/>
      <c r="J22" s="171"/>
      <c r="K22" s="171"/>
      <c r="L22" s="171"/>
      <c r="M22" s="171"/>
      <c r="N22" s="172"/>
    </row>
    <row r="23" spans="2:14" ht="15" customHeight="1">
      <c r="B23" s="166"/>
      <c r="C23" s="168"/>
      <c r="D23" s="168"/>
      <c r="E23" s="168"/>
      <c r="F23" s="168"/>
      <c r="G23" s="168"/>
      <c r="H23" s="168"/>
      <c r="I23" s="173"/>
      <c r="J23" s="171"/>
      <c r="K23" s="171"/>
      <c r="L23" s="171"/>
      <c r="M23" s="171"/>
      <c r="N23" s="172"/>
    </row>
    <row r="24" spans="2:14" ht="15" customHeight="1">
      <c r="B24" s="166"/>
      <c r="C24" s="168"/>
      <c r="D24" s="168"/>
      <c r="E24" s="168"/>
      <c r="F24" s="168"/>
      <c r="G24" s="168"/>
      <c r="H24" s="168"/>
      <c r="I24" s="173"/>
      <c r="J24" s="171"/>
      <c r="K24" s="171"/>
      <c r="L24" s="171"/>
      <c r="M24" s="171"/>
      <c r="N24" s="172"/>
    </row>
    <row r="25" spans="2:14" ht="15" customHeight="1">
      <c r="B25" s="166"/>
      <c r="C25" s="168"/>
      <c r="D25" s="168"/>
      <c r="E25" s="168"/>
      <c r="F25" s="168"/>
      <c r="G25" s="168"/>
      <c r="H25" s="168"/>
      <c r="I25" s="173"/>
      <c r="J25" s="171"/>
      <c r="K25" s="171"/>
      <c r="L25" s="171"/>
      <c r="M25" s="171"/>
      <c r="N25" s="172"/>
    </row>
    <row r="26" spans="2:14" ht="15" customHeight="1">
      <c r="B26" s="166"/>
      <c r="C26" s="168"/>
      <c r="D26" s="168"/>
      <c r="E26" s="168"/>
      <c r="F26" s="168"/>
      <c r="G26" s="168"/>
      <c r="H26" s="168"/>
      <c r="I26" s="173"/>
      <c r="J26" s="171"/>
      <c r="K26" s="171"/>
      <c r="L26" s="171"/>
      <c r="M26" s="171"/>
      <c r="N26" s="172"/>
    </row>
    <row r="27" spans="2:14" ht="15" customHeight="1">
      <c r="B27" s="166"/>
      <c r="C27" s="168"/>
      <c r="D27" s="168"/>
      <c r="E27" s="168"/>
      <c r="F27" s="168"/>
      <c r="G27" s="168"/>
      <c r="H27" s="168"/>
      <c r="I27" s="173"/>
      <c r="J27" s="171"/>
      <c r="K27" s="171"/>
      <c r="L27" s="171"/>
      <c r="M27" s="171"/>
      <c r="N27" s="172"/>
    </row>
    <row r="28" spans="2:14" ht="15" customHeight="1">
      <c r="B28" s="166"/>
      <c r="C28" s="168"/>
      <c r="D28" s="168"/>
      <c r="E28" s="168"/>
      <c r="F28" s="168"/>
      <c r="G28" s="168"/>
      <c r="H28" s="168"/>
      <c r="I28" s="173"/>
      <c r="J28" s="171"/>
      <c r="K28" s="171"/>
      <c r="L28" s="171"/>
      <c r="M28" s="171"/>
      <c r="N28" s="172"/>
    </row>
    <row r="29" spans="2:14" ht="15" customHeight="1">
      <c r="B29" s="166"/>
      <c r="C29" s="168"/>
      <c r="D29" s="168"/>
      <c r="E29" s="168"/>
      <c r="F29" s="168"/>
      <c r="G29" s="168"/>
      <c r="H29" s="168"/>
      <c r="I29" s="173"/>
      <c r="J29" s="171"/>
      <c r="K29" s="171"/>
      <c r="L29" s="171"/>
      <c r="M29" s="171"/>
      <c r="N29" s="172"/>
    </row>
    <row r="30" spans="2:14" ht="15" customHeight="1">
      <c r="B30" s="166"/>
      <c r="C30" s="168"/>
      <c r="D30" s="168"/>
      <c r="E30" s="168"/>
      <c r="F30" s="168"/>
      <c r="G30" s="168"/>
      <c r="H30" s="168"/>
      <c r="I30" s="173"/>
      <c r="J30" s="171"/>
      <c r="K30" s="171"/>
      <c r="L30" s="171"/>
      <c r="M30" s="171"/>
      <c r="N30" s="172"/>
    </row>
    <row r="31" spans="2:14" ht="15" customHeight="1">
      <c r="B31" s="166"/>
      <c r="C31" s="168"/>
      <c r="D31" s="168"/>
      <c r="E31" s="168"/>
      <c r="F31" s="168"/>
      <c r="G31" s="168"/>
      <c r="H31" s="168"/>
      <c r="I31" s="173"/>
      <c r="J31" s="171"/>
      <c r="K31" s="171"/>
      <c r="L31" s="171"/>
      <c r="M31" s="171"/>
      <c r="N31" s="172"/>
    </row>
    <row r="32" spans="2:14" ht="15" customHeight="1">
      <c r="B32" s="166"/>
      <c r="C32" s="168"/>
      <c r="D32" s="168"/>
      <c r="E32" s="168"/>
      <c r="F32" s="168"/>
      <c r="G32" s="168"/>
      <c r="H32" s="168"/>
      <c r="I32" s="173"/>
      <c r="J32" s="171"/>
      <c r="K32" s="171"/>
      <c r="L32" s="171"/>
      <c r="M32" s="171"/>
      <c r="N32" s="172"/>
    </row>
    <row r="33" spans="2:14" ht="15" customHeight="1">
      <c r="B33" s="166"/>
      <c r="C33" s="168"/>
      <c r="D33" s="168"/>
      <c r="E33" s="168"/>
      <c r="F33" s="168"/>
      <c r="G33" s="168"/>
      <c r="H33" s="168"/>
      <c r="I33" s="173"/>
      <c r="J33" s="171"/>
      <c r="K33" s="171"/>
      <c r="L33" s="171"/>
      <c r="M33" s="171"/>
      <c r="N33" s="172"/>
    </row>
    <row r="34" spans="2:14" ht="15" customHeight="1">
      <c r="B34" s="166"/>
      <c r="C34" s="168"/>
      <c r="D34" s="168"/>
      <c r="E34" s="168"/>
      <c r="F34" s="168"/>
      <c r="G34" s="168"/>
      <c r="H34" s="168"/>
      <c r="I34" s="173"/>
      <c r="J34" s="171"/>
      <c r="K34" s="171"/>
      <c r="L34" s="171"/>
      <c r="M34" s="171"/>
      <c r="N34" s="172"/>
    </row>
    <row r="35" spans="2:14" ht="15" customHeight="1">
      <c r="B35" s="166"/>
      <c r="C35" s="168"/>
      <c r="D35" s="168"/>
      <c r="E35" s="168"/>
      <c r="F35" s="168"/>
      <c r="G35" s="168"/>
      <c r="H35" s="168"/>
      <c r="I35" s="173"/>
      <c r="J35" s="171"/>
      <c r="K35" s="171"/>
      <c r="L35" s="171"/>
      <c r="M35" s="171"/>
      <c r="N35" s="172"/>
    </row>
    <row r="36" spans="2:14" ht="15" customHeight="1">
      <c r="B36" s="166"/>
      <c r="C36" s="168"/>
      <c r="D36" s="168"/>
      <c r="E36" s="168"/>
      <c r="F36" s="168"/>
      <c r="G36" s="168"/>
      <c r="H36" s="168"/>
      <c r="I36" s="173"/>
      <c r="J36" s="171"/>
      <c r="K36" s="171"/>
      <c r="L36" s="171"/>
      <c r="M36" s="171"/>
      <c r="N36" s="172"/>
    </row>
    <row r="37" spans="2:14" ht="15" customHeight="1">
      <c r="B37" s="166"/>
      <c r="C37" s="168"/>
      <c r="D37" s="168"/>
      <c r="E37" s="168"/>
      <c r="F37" s="168"/>
      <c r="G37" s="168"/>
      <c r="H37" s="168"/>
      <c r="I37" s="173"/>
      <c r="J37" s="171"/>
      <c r="K37" s="171"/>
      <c r="L37" s="171"/>
      <c r="M37" s="171"/>
      <c r="N37" s="172"/>
    </row>
    <row r="38" spans="2:14" ht="15" customHeight="1">
      <c r="B38" s="166"/>
      <c r="C38" s="168"/>
      <c r="D38" s="168"/>
      <c r="E38" s="168"/>
      <c r="F38" s="168"/>
      <c r="G38" s="168"/>
      <c r="H38" s="168"/>
      <c r="I38" s="173"/>
      <c r="J38" s="171"/>
      <c r="K38" s="171"/>
      <c r="L38" s="171"/>
      <c r="M38" s="171"/>
      <c r="N38" s="172"/>
    </row>
    <row r="39" spans="2:14" ht="15" customHeight="1">
      <c r="B39" s="166"/>
      <c r="C39" s="168"/>
      <c r="D39" s="168"/>
      <c r="E39" s="168"/>
      <c r="F39" s="168"/>
      <c r="G39" s="168"/>
      <c r="H39" s="168"/>
      <c r="I39" s="173"/>
      <c r="J39" s="171"/>
      <c r="K39" s="171"/>
      <c r="L39" s="171"/>
      <c r="M39" s="171"/>
      <c r="N39" s="172"/>
    </row>
    <row r="40" spans="2:14" ht="15" customHeight="1">
      <c r="B40" s="166"/>
      <c r="C40" s="168"/>
      <c r="D40" s="168"/>
      <c r="E40" s="168"/>
      <c r="F40" s="168"/>
      <c r="G40" s="168"/>
      <c r="H40" s="168"/>
      <c r="I40" s="173"/>
      <c r="J40" s="171"/>
      <c r="K40" s="171"/>
      <c r="L40" s="171"/>
      <c r="M40" s="171"/>
      <c r="N40" s="172"/>
    </row>
    <row r="41" spans="2:14" ht="15" customHeight="1">
      <c r="B41" s="166"/>
      <c r="C41" s="168"/>
      <c r="D41" s="168"/>
      <c r="E41" s="168"/>
      <c r="F41" s="168"/>
      <c r="G41" s="168"/>
      <c r="H41" s="168"/>
      <c r="I41" s="173"/>
      <c r="J41" s="171"/>
      <c r="K41" s="171"/>
      <c r="L41" s="171"/>
      <c r="M41" s="171"/>
      <c r="N41" s="172"/>
    </row>
    <row r="42" spans="2:14" ht="15" customHeight="1">
      <c r="B42" s="166"/>
      <c r="C42" s="168"/>
      <c r="D42" s="168"/>
      <c r="E42" s="168"/>
      <c r="F42" s="168"/>
      <c r="G42" s="168"/>
      <c r="H42" s="168"/>
      <c r="I42" s="173"/>
      <c r="J42" s="171"/>
      <c r="K42" s="171"/>
      <c r="L42" s="171"/>
      <c r="M42" s="171"/>
      <c r="N42" s="172"/>
    </row>
    <row r="43" spans="2:14" ht="15" customHeight="1">
      <c r="B43" s="166"/>
      <c r="C43" s="168"/>
      <c r="D43" s="168"/>
      <c r="E43" s="168"/>
      <c r="F43" s="168"/>
      <c r="G43" s="168"/>
      <c r="H43" s="168"/>
      <c r="I43" s="173"/>
      <c r="J43" s="171"/>
      <c r="K43" s="171"/>
      <c r="L43" s="171"/>
      <c r="M43" s="171"/>
      <c r="N43" s="172"/>
    </row>
    <row r="44" spans="2:14" ht="15" customHeight="1">
      <c r="B44" s="166"/>
      <c r="C44" s="168"/>
      <c r="D44" s="168"/>
      <c r="E44" s="168"/>
      <c r="F44" s="168"/>
      <c r="G44" s="168"/>
      <c r="H44" s="168"/>
      <c r="I44" s="173"/>
      <c r="J44" s="171"/>
      <c r="K44" s="171"/>
      <c r="L44" s="171"/>
      <c r="M44" s="171"/>
      <c r="N44" s="172"/>
    </row>
    <row r="45" spans="2:14" ht="15" customHeight="1">
      <c r="B45" s="166"/>
      <c r="C45" s="168"/>
      <c r="D45" s="168"/>
      <c r="E45" s="168"/>
      <c r="F45" s="168"/>
      <c r="G45" s="168"/>
      <c r="H45" s="168"/>
      <c r="I45" s="173"/>
      <c r="J45" s="171"/>
      <c r="K45" s="171"/>
      <c r="L45" s="171"/>
      <c r="M45" s="171"/>
      <c r="N45" s="172"/>
    </row>
    <row r="46" spans="2:14" ht="15" customHeight="1">
      <c r="B46" s="166"/>
      <c r="C46" s="168"/>
      <c r="D46" s="168"/>
      <c r="E46" s="168"/>
      <c r="F46" s="168"/>
      <c r="G46" s="168"/>
      <c r="H46" s="168"/>
      <c r="I46" s="173"/>
      <c r="J46" s="171"/>
      <c r="K46" s="171"/>
      <c r="L46" s="171"/>
      <c r="M46" s="171"/>
      <c r="N46" s="172"/>
    </row>
    <row r="47" spans="2:14" ht="15" customHeight="1">
      <c r="B47" s="166"/>
      <c r="C47" s="168"/>
      <c r="D47" s="168"/>
      <c r="E47" s="168"/>
      <c r="F47" s="168"/>
      <c r="G47" s="168"/>
      <c r="H47" s="168"/>
      <c r="I47" s="173"/>
      <c r="J47" s="171"/>
      <c r="K47" s="171"/>
      <c r="L47" s="171"/>
      <c r="M47" s="171"/>
      <c r="N47" s="172"/>
    </row>
    <row r="48" spans="2:14" ht="15" customHeight="1">
      <c r="B48" s="166"/>
      <c r="C48" s="168"/>
      <c r="D48" s="168"/>
      <c r="E48" s="168"/>
      <c r="F48" s="168"/>
      <c r="G48" s="168"/>
      <c r="H48" s="168"/>
      <c r="I48" s="173"/>
      <c r="J48" s="171"/>
      <c r="K48" s="171"/>
      <c r="L48" s="171"/>
      <c r="M48" s="171"/>
      <c r="N48" s="172"/>
    </row>
    <row r="49" spans="2:14" ht="15" customHeight="1">
      <c r="B49" s="166"/>
      <c r="C49" s="168"/>
      <c r="D49" s="168"/>
      <c r="E49" s="168"/>
      <c r="F49" s="168"/>
      <c r="G49" s="168"/>
      <c r="H49" s="168"/>
      <c r="I49" s="173"/>
      <c r="J49" s="171"/>
      <c r="K49" s="171"/>
      <c r="L49" s="171"/>
      <c r="M49" s="171"/>
      <c r="N49" s="172"/>
    </row>
    <row r="50" spans="2:14" ht="15" customHeight="1">
      <c r="B50" s="166"/>
      <c r="C50" s="168"/>
      <c r="D50" s="168"/>
      <c r="E50" s="168"/>
      <c r="F50" s="168"/>
      <c r="G50" s="168"/>
      <c r="H50" s="168"/>
      <c r="I50" s="173"/>
      <c r="J50" s="171"/>
      <c r="K50" s="171"/>
      <c r="L50" s="171"/>
      <c r="M50" s="171"/>
      <c r="N50" s="172"/>
    </row>
    <row r="51" spans="2:14" ht="15" customHeight="1">
      <c r="B51" s="166"/>
      <c r="C51" s="168"/>
      <c r="D51" s="168"/>
      <c r="E51" s="168"/>
      <c r="F51" s="168"/>
      <c r="G51" s="168"/>
      <c r="H51" s="168"/>
      <c r="I51" s="173"/>
      <c r="J51" s="171"/>
      <c r="K51" s="171"/>
      <c r="L51" s="171"/>
      <c r="M51" s="171"/>
      <c r="N51" s="172"/>
    </row>
    <row r="52" spans="2:14" ht="15" customHeight="1" thickBot="1">
      <c r="B52" s="175"/>
      <c r="C52" s="176"/>
      <c r="D52" s="176"/>
      <c r="E52" s="176"/>
      <c r="F52" s="176"/>
      <c r="G52" s="176"/>
      <c r="H52" s="176"/>
      <c r="I52" s="177"/>
      <c r="J52" s="178"/>
      <c r="K52" s="178"/>
      <c r="L52" s="178"/>
      <c r="M52" s="178"/>
      <c r="N52" s="179"/>
    </row>
    <row r="53" spans="2:14" ht="20.25" customHeight="1" thickBot="1">
      <c r="B53" s="570" t="s">
        <v>325</v>
      </c>
      <c r="C53" s="570"/>
      <c r="D53" s="570"/>
      <c r="E53" s="570"/>
      <c r="F53" s="570"/>
      <c r="G53" s="570"/>
      <c r="H53" s="570"/>
      <c r="I53" s="570"/>
      <c r="J53" s="570"/>
      <c r="K53" s="570"/>
      <c r="L53" s="570"/>
      <c r="M53" s="570"/>
      <c r="N53" s="570"/>
    </row>
    <row r="54" spans="2:14" ht="15" customHeight="1" thickBot="1">
      <c r="B54" s="180" t="s">
        <v>326</v>
      </c>
      <c r="C54" s="571" t="s">
        <v>323</v>
      </c>
      <c r="D54" s="572"/>
      <c r="E54" s="572"/>
      <c r="F54" s="572"/>
      <c r="G54" s="572"/>
      <c r="H54" s="181"/>
      <c r="I54" s="571" t="s">
        <v>318</v>
      </c>
      <c r="J54" s="572"/>
      <c r="K54" s="573"/>
      <c r="L54" s="571" t="s">
        <v>327</v>
      </c>
      <c r="M54" s="572"/>
      <c r="N54" s="574"/>
    </row>
    <row r="55" spans="2:14" ht="15" customHeight="1">
      <c r="B55" s="182"/>
      <c r="C55" s="560"/>
      <c r="D55" s="561"/>
      <c r="E55" s="561"/>
      <c r="F55" s="561"/>
      <c r="G55" s="561"/>
      <c r="H55" s="183"/>
      <c r="I55" s="562"/>
      <c r="J55" s="563"/>
      <c r="K55" s="564"/>
      <c r="L55" s="565"/>
      <c r="M55" s="566"/>
      <c r="N55" s="567"/>
    </row>
    <row r="56" spans="2:14" ht="15" customHeight="1">
      <c r="B56" s="184"/>
      <c r="C56" s="544"/>
      <c r="D56" s="545"/>
      <c r="E56" s="545"/>
      <c r="F56" s="545"/>
      <c r="G56" s="545"/>
      <c r="H56" s="185"/>
      <c r="I56" s="546"/>
      <c r="J56" s="547"/>
      <c r="K56" s="548"/>
      <c r="L56" s="549"/>
      <c r="M56" s="550"/>
      <c r="N56" s="551"/>
    </row>
    <row r="57" spans="2:14" ht="15" customHeight="1">
      <c r="B57" s="184"/>
      <c r="C57" s="544"/>
      <c r="D57" s="545"/>
      <c r="E57" s="545"/>
      <c r="F57" s="545"/>
      <c r="G57" s="545"/>
      <c r="H57" s="185"/>
      <c r="I57" s="546"/>
      <c r="J57" s="547"/>
      <c r="K57" s="548"/>
      <c r="L57" s="549"/>
      <c r="M57" s="550"/>
      <c r="N57" s="551"/>
    </row>
    <row r="58" spans="2:14" ht="15" customHeight="1">
      <c r="B58" s="184"/>
      <c r="C58" s="544"/>
      <c r="D58" s="545"/>
      <c r="E58" s="545"/>
      <c r="F58" s="545"/>
      <c r="G58" s="545"/>
      <c r="H58" s="185"/>
      <c r="I58" s="546"/>
      <c r="J58" s="547"/>
      <c r="K58" s="548"/>
      <c r="L58" s="549"/>
      <c r="M58" s="550"/>
      <c r="N58" s="551"/>
    </row>
    <row r="59" spans="2:14" ht="15" customHeight="1">
      <c r="B59" s="184"/>
      <c r="C59" s="544"/>
      <c r="D59" s="545"/>
      <c r="E59" s="545"/>
      <c r="F59" s="545"/>
      <c r="G59" s="545"/>
      <c r="H59" s="185"/>
      <c r="I59" s="546"/>
      <c r="J59" s="547"/>
      <c r="K59" s="548"/>
      <c r="L59" s="549"/>
      <c r="M59" s="550"/>
      <c r="N59" s="551"/>
    </row>
    <row r="60" spans="2:14" ht="15" customHeight="1">
      <c r="B60" s="184"/>
      <c r="C60" s="544"/>
      <c r="D60" s="545"/>
      <c r="E60" s="545"/>
      <c r="F60" s="545"/>
      <c r="G60" s="545"/>
      <c r="H60" s="185"/>
      <c r="I60" s="546"/>
      <c r="J60" s="547"/>
      <c r="K60" s="548"/>
      <c r="L60" s="549"/>
      <c r="M60" s="550"/>
      <c r="N60" s="551"/>
    </row>
    <row r="61" spans="2:14" ht="15" customHeight="1">
      <c r="B61" s="184"/>
      <c r="C61" s="544"/>
      <c r="D61" s="545"/>
      <c r="E61" s="545"/>
      <c r="F61" s="545"/>
      <c r="G61" s="545"/>
      <c r="H61" s="185"/>
      <c r="I61" s="546"/>
      <c r="J61" s="547"/>
      <c r="K61" s="548"/>
      <c r="L61" s="549"/>
      <c r="M61" s="550"/>
      <c r="N61" s="551"/>
    </row>
    <row r="62" spans="2:14" ht="15" customHeight="1">
      <c r="B62" s="184"/>
      <c r="C62" s="544"/>
      <c r="D62" s="545"/>
      <c r="E62" s="545"/>
      <c r="F62" s="545"/>
      <c r="G62" s="545"/>
      <c r="H62" s="185"/>
      <c r="I62" s="546"/>
      <c r="J62" s="547"/>
      <c r="K62" s="548"/>
      <c r="L62" s="549"/>
      <c r="M62" s="550"/>
      <c r="N62" s="551"/>
    </row>
    <row r="63" spans="2:14" ht="15" customHeight="1">
      <c r="B63" s="184"/>
      <c r="C63" s="544"/>
      <c r="D63" s="545"/>
      <c r="E63" s="545"/>
      <c r="F63" s="545"/>
      <c r="G63" s="545"/>
      <c r="H63" s="185"/>
      <c r="I63" s="546"/>
      <c r="J63" s="547"/>
      <c r="K63" s="548"/>
      <c r="L63" s="549"/>
      <c r="M63" s="550"/>
      <c r="N63" s="551"/>
    </row>
    <row r="64" spans="2:14" ht="15" customHeight="1">
      <c r="B64" s="184"/>
      <c r="C64" s="544"/>
      <c r="D64" s="545"/>
      <c r="E64" s="545"/>
      <c r="F64" s="545"/>
      <c r="G64" s="545"/>
      <c r="H64" s="185"/>
      <c r="I64" s="546"/>
      <c r="J64" s="547"/>
      <c r="K64" s="548"/>
      <c r="L64" s="549"/>
      <c r="M64" s="550"/>
      <c r="N64" s="551"/>
    </row>
    <row r="65" spans="2:14" ht="15" customHeight="1">
      <c r="B65" s="184"/>
      <c r="C65" s="544"/>
      <c r="D65" s="545"/>
      <c r="E65" s="545"/>
      <c r="F65" s="545"/>
      <c r="G65" s="545"/>
      <c r="H65" s="185"/>
      <c r="I65" s="546"/>
      <c r="J65" s="547"/>
      <c r="K65" s="548"/>
      <c r="L65" s="549"/>
      <c r="M65" s="550"/>
      <c r="N65" s="551"/>
    </row>
    <row r="66" spans="2:14" ht="15" customHeight="1">
      <c r="B66" s="184"/>
      <c r="C66" s="544"/>
      <c r="D66" s="545"/>
      <c r="E66" s="545"/>
      <c r="F66" s="545"/>
      <c r="G66" s="545"/>
      <c r="H66" s="185"/>
      <c r="I66" s="546"/>
      <c r="J66" s="547"/>
      <c r="K66" s="548"/>
      <c r="L66" s="549"/>
      <c r="M66" s="550"/>
      <c r="N66" s="551"/>
    </row>
    <row r="67" spans="2:14" ht="15" customHeight="1">
      <c r="B67" s="184"/>
      <c r="C67" s="544"/>
      <c r="D67" s="545"/>
      <c r="E67" s="545"/>
      <c r="F67" s="545"/>
      <c r="G67" s="545"/>
      <c r="H67" s="185"/>
      <c r="I67" s="546"/>
      <c r="J67" s="547"/>
      <c r="K67" s="548"/>
      <c r="L67" s="549"/>
      <c r="M67" s="550"/>
      <c r="N67" s="551"/>
    </row>
    <row r="68" spans="2:14" ht="15" customHeight="1">
      <c r="B68" s="184"/>
      <c r="C68" s="544"/>
      <c r="D68" s="545"/>
      <c r="E68" s="545"/>
      <c r="F68" s="545"/>
      <c r="G68" s="545"/>
      <c r="H68" s="185"/>
      <c r="I68" s="546"/>
      <c r="J68" s="547"/>
      <c r="K68" s="548"/>
      <c r="L68" s="549"/>
      <c r="M68" s="550"/>
      <c r="N68" s="551"/>
    </row>
    <row r="69" spans="2:14" ht="15" customHeight="1">
      <c r="B69" s="184"/>
      <c r="C69" s="544"/>
      <c r="D69" s="545"/>
      <c r="E69" s="545"/>
      <c r="F69" s="545"/>
      <c r="G69" s="545"/>
      <c r="H69" s="185"/>
      <c r="I69" s="546"/>
      <c r="J69" s="547"/>
      <c r="K69" s="548"/>
      <c r="L69" s="549"/>
      <c r="M69" s="550"/>
      <c r="N69" s="551"/>
    </row>
    <row r="70" spans="2:14" ht="15" customHeight="1">
      <c r="B70" s="184"/>
      <c r="C70" s="544"/>
      <c r="D70" s="545"/>
      <c r="E70" s="545"/>
      <c r="F70" s="545"/>
      <c r="G70" s="545"/>
      <c r="H70" s="185"/>
      <c r="I70" s="546"/>
      <c r="J70" s="547"/>
      <c r="K70" s="548"/>
      <c r="L70" s="549"/>
      <c r="M70" s="550"/>
      <c r="N70" s="551"/>
    </row>
    <row r="71" spans="2:14" ht="15" customHeight="1">
      <c r="B71" s="184"/>
      <c r="C71" s="544"/>
      <c r="D71" s="545"/>
      <c r="E71" s="545"/>
      <c r="F71" s="545"/>
      <c r="G71" s="545"/>
      <c r="H71" s="185"/>
      <c r="I71" s="546"/>
      <c r="J71" s="547"/>
      <c r="K71" s="548"/>
      <c r="L71" s="549"/>
      <c r="M71" s="550"/>
      <c r="N71" s="551"/>
    </row>
    <row r="72" spans="2:14">
      <c r="B72" s="184"/>
      <c r="C72" s="544"/>
      <c r="D72" s="545"/>
      <c r="E72" s="545"/>
      <c r="F72" s="545"/>
      <c r="G72" s="545"/>
      <c r="H72" s="185"/>
      <c r="I72" s="546"/>
      <c r="J72" s="547"/>
      <c r="K72" s="548"/>
      <c r="L72" s="549"/>
      <c r="M72" s="550"/>
      <c r="N72" s="551"/>
    </row>
    <row r="73" spans="2:14">
      <c r="B73" s="184"/>
      <c r="C73" s="544"/>
      <c r="D73" s="545"/>
      <c r="E73" s="545"/>
      <c r="F73" s="545"/>
      <c r="G73" s="545"/>
      <c r="H73" s="185"/>
      <c r="I73" s="546"/>
      <c r="J73" s="547"/>
      <c r="K73" s="548"/>
      <c r="L73" s="549"/>
      <c r="M73" s="550"/>
      <c r="N73" s="551"/>
    </row>
    <row r="74" spans="2:14">
      <c r="B74" s="184"/>
      <c r="C74" s="544"/>
      <c r="D74" s="545"/>
      <c r="E74" s="545"/>
      <c r="F74" s="545"/>
      <c r="G74" s="545"/>
      <c r="H74" s="185"/>
      <c r="I74" s="546"/>
      <c r="J74" s="547"/>
      <c r="K74" s="548"/>
      <c r="L74" s="549"/>
      <c r="M74" s="550"/>
      <c r="N74" s="551"/>
    </row>
    <row r="75" spans="2:14">
      <c r="B75" s="184"/>
      <c r="C75" s="544"/>
      <c r="D75" s="545"/>
      <c r="E75" s="545"/>
      <c r="F75" s="545"/>
      <c r="G75" s="545"/>
      <c r="H75" s="185"/>
      <c r="I75" s="546"/>
      <c r="J75" s="547"/>
      <c r="K75" s="548"/>
      <c r="L75" s="549"/>
      <c r="M75" s="550"/>
      <c r="N75" s="551"/>
    </row>
    <row r="76" spans="2:14">
      <c r="B76" s="184"/>
      <c r="C76" s="544"/>
      <c r="D76" s="545"/>
      <c r="E76" s="545"/>
      <c r="F76" s="545"/>
      <c r="G76" s="545"/>
      <c r="H76" s="185"/>
      <c r="I76" s="546"/>
      <c r="J76" s="547"/>
      <c r="K76" s="548"/>
      <c r="L76" s="549"/>
      <c r="M76" s="550"/>
      <c r="N76" s="551"/>
    </row>
    <row r="77" spans="2:14">
      <c r="B77" s="184"/>
      <c r="C77" s="544"/>
      <c r="D77" s="545"/>
      <c r="E77" s="545"/>
      <c r="F77" s="545"/>
      <c r="G77" s="545"/>
      <c r="H77" s="185"/>
      <c r="I77" s="546"/>
      <c r="J77" s="547"/>
      <c r="K77" s="548"/>
      <c r="L77" s="549"/>
      <c r="M77" s="550"/>
      <c r="N77" s="551"/>
    </row>
    <row r="78" spans="2:14">
      <c r="B78" s="184"/>
      <c r="C78" s="544"/>
      <c r="D78" s="545"/>
      <c r="E78" s="545"/>
      <c r="F78" s="545"/>
      <c r="G78" s="545"/>
      <c r="H78" s="185"/>
      <c r="I78" s="546"/>
      <c r="J78" s="547"/>
      <c r="K78" s="548"/>
      <c r="L78" s="549"/>
      <c r="M78" s="550"/>
      <c r="N78" s="551"/>
    </row>
    <row r="79" spans="2:14" ht="13.8" thickBot="1">
      <c r="B79" s="186"/>
      <c r="C79" s="552"/>
      <c r="D79" s="553"/>
      <c r="E79" s="553"/>
      <c r="F79" s="553"/>
      <c r="G79" s="553"/>
      <c r="H79" s="187"/>
      <c r="I79" s="554"/>
      <c r="J79" s="555"/>
      <c r="K79" s="556"/>
      <c r="L79" s="557"/>
      <c r="M79" s="558"/>
      <c r="N79" s="559"/>
    </row>
  </sheetData>
  <mergeCells count="80">
    <mergeCell ref="C55:G55"/>
    <mergeCell ref="I55:K55"/>
    <mergeCell ref="L55:N55"/>
    <mergeCell ref="B2:G4"/>
    <mergeCell ref="B53:N53"/>
    <mergeCell ref="C54:G54"/>
    <mergeCell ref="I54:K54"/>
    <mergeCell ref="L54:N54"/>
    <mergeCell ref="C56:G56"/>
    <mergeCell ref="I56:K56"/>
    <mergeCell ref="L56:N56"/>
    <mergeCell ref="C57:G57"/>
    <mergeCell ref="I57:K57"/>
    <mergeCell ref="L57:N57"/>
    <mergeCell ref="C58:G58"/>
    <mergeCell ref="I58:K58"/>
    <mergeCell ref="L58:N58"/>
    <mergeCell ref="C59:G59"/>
    <mergeCell ref="I59:K59"/>
    <mergeCell ref="L59:N59"/>
    <mergeCell ref="C60:G60"/>
    <mergeCell ref="I60:K60"/>
    <mergeCell ref="L60:N60"/>
    <mergeCell ref="C61:G61"/>
    <mergeCell ref="I61:K61"/>
    <mergeCell ref="L61:N61"/>
    <mergeCell ref="C62:G62"/>
    <mergeCell ref="I62:K62"/>
    <mergeCell ref="L62:N62"/>
    <mergeCell ref="C63:G63"/>
    <mergeCell ref="I63:K63"/>
    <mergeCell ref="L63:N63"/>
    <mergeCell ref="C64:G64"/>
    <mergeCell ref="I64:K64"/>
    <mergeCell ref="L64:N64"/>
    <mergeCell ref="C65:G65"/>
    <mergeCell ref="I65:K65"/>
    <mergeCell ref="L65:N65"/>
    <mergeCell ref="C66:G66"/>
    <mergeCell ref="I66:K66"/>
    <mergeCell ref="L66:N66"/>
    <mergeCell ref="C67:G67"/>
    <mergeCell ref="I67:K67"/>
    <mergeCell ref="L67:N67"/>
    <mergeCell ref="C68:G68"/>
    <mergeCell ref="I68:K68"/>
    <mergeCell ref="L68:N68"/>
    <mergeCell ref="C69:G69"/>
    <mergeCell ref="I69:K69"/>
    <mergeCell ref="L69:N69"/>
    <mergeCell ref="C70:G70"/>
    <mergeCell ref="I70:K70"/>
    <mergeCell ref="L70:N70"/>
    <mergeCell ref="C71:G71"/>
    <mergeCell ref="I71:K71"/>
    <mergeCell ref="L71:N71"/>
    <mergeCell ref="C72:G72"/>
    <mergeCell ref="I72:K72"/>
    <mergeCell ref="L72:N72"/>
    <mergeCell ref="C73:G73"/>
    <mergeCell ref="I73:K73"/>
    <mergeCell ref="L73:N73"/>
    <mergeCell ref="C74:G74"/>
    <mergeCell ref="I74:K74"/>
    <mergeCell ref="L74:N74"/>
    <mergeCell ref="C75:G75"/>
    <mergeCell ref="I75:K75"/>
    <mergeCell ref="L75:N75"/>
    <mergeCell ref="C76:G76"/>
    <mergeCell ref="I76:K76"/>
    <mergeCell ref="L76:N76"/>
    <mergeCell ref="C77:G77"/>
    <mergeCell ref="I77:K77"/>
    <mergeCell ref="L77:N77"/>
    <mergeCell ref="C78:G78"/>
    <mergeCell ref="I78:K78"/>
    <mergeCell ref="L78:N78"/>
    <mergeCell ref="C79:G79"/>
    <mergeCell ref="I79:K79"/>
    <mergeCell ref="L79:N79"/>
  </mergeCells>
  <printOptions horizontalCentered="1"/>
  <pageMargins left="0" right="0" top="0.5" bottom="0.5" header="0.5" footer="0.5"/>
  <pageSetup scale="53" orientation="portrait" horizontalDpi="0" r:id="rId1"/>
  <headerFooter alignWithMargins="0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67"/>
  <sheetViews>
    <sheetView workbookViewId="0">
      <selection activeCell="L24" sqref="L24"/>
    </sheetView>
  </sheetViews>
  <sheetFormatPr defaultRowHeight="13.2"/>
  <cols>
    <col min="1" max="6" width="16.6640625" customWidth="1"/>
  </cols>
  <sheetData>
    <row r="1" spans="1:6" ht="18.899999999999999" customHeight="1">
      <c r="A1" s="189"/>
      <c r="B1" s="190"/>
      <c r="C1" s="190"/>
      <c r="D1" s="190"/>
      <c r="E1" s="190"/>
      <c r="F1" s="191"/>
    </row>
    <row r="2" spans="1:6" ht="26.1" customHeight="1">
      <c r="A2" s="192" t="s">
        <v>218</v>
      </c>
      <c r="B2" s="193"/>
      <c r="C2" s="193"/>
      <c r="D2" s="193"/>
      <c r="E2" s="193"/>
      <c r="F2" s="194"/>
    </row>
    <row r="3" spans="1:6" ht="18.899999999999999" customHeight="1">
      <c r="A3" s="195" t="s">
        <v>356</v>
      </c>
      <c r="B3" s="193"/>
      <c r="C3" s="193"/>
      <c r="D3" s="193"/>
      <c r="E3" s="193"/>
      <c r="F3" s="194"/>
    </row>
    <row r="4" spans="1:6" ht="18.899999999999999" customHeight="1">
      <c r="A4" s="196"/>
      <c r="B4" s="197"/>
      <c r="C4" s="197"/>
      <c r="D4" s="197"/>
      <c r="E4" s="197"/>
      <c r="F4" s="198"/>
    </row>
    <row r="5" spans="1:6" ht="18.899999999999999" customHeight="1">
      <c r="A5" s="196"/>
      <c r="B5" s="197"/>
      <c r="C5" s="197"/>
      <c r="D5" s="197"/>
      <c r="E5" s="197"/>
      <c r="F5" s="198"/>
    </row>
    <row r="6" spans="1:6" ht="18.899999999999999" customHeight="1">
      <c r="A6" s="199" t="s">
        <v>357</v>
      </c>
      <c r="B6" s="575" t="s">
        <v>591</v>
      </c>
      <c r="C6" s="576"/>
      <c r="D6" s="577"/>
      <c r="E6" s="199" t="s">
        <v>358</v>
      </c>
      <c r="F6" s="200">
        <v>121</v>
      </c>
    </row>
    <row r="7" spans="1:6" ht="18.899999999999999" customHeight="1">
      <c r="A7" s="199" t="s">
        <v>359</v>
      </c>
      <c r="B7" s="200" t="s">
        <v>176</v>
      </c>
      <c r="C7" s="199" t="s">
        <v>360</v>
      </c>
      <c r="D7" s="200" t="s">
        <v>382</v>
      </c>
      <c r="E7" s="199" t="s">
        <v>361</v>
      </c>
      <c r="F7" s="200" t="s">
        <v>177</v>
      </c>
    </row>
    <row r="8" spans="1:6" ht="18.899999999999999" customHeight="1">
      <c r="A8" s="199" t="s">
        <v>362</v>
      </c>
      <c r="B8" s="200">
        <v>2</v>
      </c>
      <c r="C8" s="199" t="s">
        <v>363</v>
      </c>
      <c r="D8" s="200" t="s">
        <v>364</v>
      </c>
      <c r="E8" s="199" t="s">
        <v>365</v>
      </c>
      <c r="F8" s="200" t="s">
        <v>311</v>
      </c>
    </row>
    <row r="9" spans="1:6" ht="18.899999999999999" customHeight="1">
      <c r="A9" s="199" t="s">
        <v>366</v>
      </c>
      <c r="B9" s="200">
        <v>1000</v>
      </c>
      <c r="C9" s="199" t="s">
        <v>367</v>
      </c>
      <c r="D9" s="200" t="s">
        <v>383</v>
      </c>
      <c r="E9" s="199" t="s">
        <v>2</v>
      </c>
      <c r="F9" s="201">
        <v>41610</v>
      </c>
    </row>
    <row r="10" spans="1:6" ht="18.899999999999999" customHeight="1">
      <c r="A10" s="199" t="s">
        <v>368</v>
      </c>
      <c r="B10" s="200">
        <v>3580</v>
      </c>
      <c r="C10" s="199" t="s">
        <v>369</v>
      </c>
      <c r="D10" s="200" t="s">
        <v>370</v>
      </c>
      <c r="E10" s="199" t="s">
        <v>1</v>
      </c>
      <c r="F10" s="200" t="s">
        <v>639</v>
      </c>
    </row>
    <row r="11" spans="1:6" ht="18.899999999999999" customHeight="1">
      <c r="A11" s="196"/>
      <c r="B11" s="197"/>
      <c r="C11" s="197"/>
      <c r="D11" s="197"/>
      <c r="E11" s="197"/>
      <c r="F11" s="198"/>
    </row>
    <row r="12" spans="1:6" ht="18.899999999999999" customHeight="1">
      <c r="A12" s="196"/>
      <c r="B12" s="202" t="s">
        <v>371</v>
      </c>
      <c r="C12" s="203" t="s">
        <v>385</v>
      </c>
      <c r="D12" s="202" t="s">
        <v>372</v>
      </c>
      <c r="E12" s="203" t="s">
        <v>370</v>
      </c>
      <c r="F12" s="198"/>
    </row>
    <row r="13" spans="1:6" ht="18.899999999999999" customHeight="1">
      <c r="A13" s="196"/>
      <c r="B13" s="202" t="s">
        <v>373</v>
      </c>
      <c r="C13" s="204">
        <v>0.77</v>
      </c>
      <c r="D13" s="202" t="s">
        <v>374</v>
      </c>
      <c r="E13" s="203" t="s">
        <v>370</v>
      </c>
      <c r="F13" s="198"/>
    </row>
    <row r="14" spans="1:6" ht="18.899999999999999" customHeight="1">
      <c r="A14" s="196"/>
      <c r="B14" s="202" t="s">
        <v>375</v>
      </c>
      <c r="C14" s="204">
        <v>2.74</v>
      </c>
      <c r="D14" s="202" t="s">
        <v>376</v>
      </c>
      <c r="E14" s="203" t="s">
        <v>370</v>
      </c>
      <c r="F14" s="198"/>
    </row>
    <row r="15" spans="1:6" ht="18.899999999999999" customHeight="1">
      <c r="A15" s="196"/>
      <c r="B15" s="202" t="s">
        <v>377</v>
      </c>
      <c r="C15" s="203" t="s">
        <v>384</v>
      </c>
      <c r="D15" s="197"/>
      <c r="E15" s="197"/>
      <c r="F15" s="198"/>
    </row>
    <row r="16" spans="1:6" ht="18.899999999999999" customHeight="1">
      <c r="A16" s="196"/>
      <c r="B16" s="197"/>
      <c r="C16" s="197"/>
      <c r="D16" s="197"/>
      <c r="E16" s="197"/>
      <c r="F16" s="198"/>
    </row>
    <row r="17" spans="1:6" ht="18.899999999999999" customHeight="1">
      <c r="A17" s="196"/>
      <c r="B17" s="197"/>
      <c r="C17" s="197"/>
      <c r="D17" s="197"/>
      <c r="E17" s="197"/>
      <c r="F17" s="198"/>
    </row>
    <row r="18" spans="1:6" ht="18.899999999999999" customHeight="1">
      <c r="A18" s="196"/>
      <c r="B18" s="197"/>
      <c r="C18" s="197"/>
      <c r="D18" s="197"/>
      <c r="E18" s="197"/>
      <c r="F18" s="198"/>
    </row>
    <row r="19" spans="1:6" ht="18.899999999999999" customHeight="1">
      <c r="A19" s="196"/>
      <c r="B19" s="197"/>
      <c r="C19" s="197"/>
      <c r="D19" s="197"/>
      <c r="E19" s="197"/>
      <c r="F19" s="198"/>
    </row>
    <row r="20" spans="1:6" ht="18.899999999999999" customHeight="1">
      <c r="A20" s="196"/>
      <c r="B20" s="197"/>
      <c r="C20" s="197"/>
      <c r="D20" s="197"/>
      <c r="E20" s="197"/>
      <c r="F20" s="198"/>
    </row>
    <row r="21" spans="1:6" ht="18.899999999999999" customHeight="1">
      <c r="A21" s="196"/>
      <c r="B21" s="197"/>
      <c r="C21" s="197"/>
      <c r="D21" s="197"/>
      <c r="E21" s="197"/>
      <c r="F21" s="198"/>
    </row>
    <row r="22" spans="1:6" ht="18.899999999999999" customHeight="1">
      <c r="A22" s="196"/>
      <c r="B22" s="197"/>
      <c r="C22" s="197"/>
      <c r="D22" s="197"/>
      <c r="E22" s="197"/>
      <c r="F22" s="198"/>
    </row>
    <row r="23" spans="1:6" ht="18.899999999999999" customHeight="1">
      <c r="A23" s="196"/>
      <c r="B23" s="197"/>
      <c r="C23" s="197"/>
      <c r="D23" s="197"/>
      <c r="E23" s="197"/>
      <c r="F23" s="198"/>
    </row>
    <row r="24" spans="1:6" ht="18.899999999999999" customHeight="1">
      <c r="A24" s="196"/>
      <c r="B24" s="197"/>
      <c r="C24" s="197"/>
      <c r="D24" s="197"/>
      <c r="E24" s="197"/>
      <c r="F24" s="198"/>
    </row>
    <row r="25" spans="1:6" ht="18.899999999999999" customHeight="1">
      <c r="A25" s="196"/>
      <c r="B25" s="197"/>
      <c r="C25" s="197"/>
      <c r="D25" s="197"/>
      <c r="E25" s="197"/>
      <c r="F25" s="198"/>
    </row>
    <row r="26" spans="1:6" ht="18.899999999999999" customHeight="1">
      <c r="A26" s="196"/>
      <c r="B26" s="197"/>
      <c r="C26" s="197"/>
      <c r="D26" s="197"/>
      <c r="E26" s="197"/>
      <c r="F26" s="198"/>
    </row>
    <row r="27" spans="1:6" ht="18.899999999999999" customHeight="1">
      <c r="A27" s="196"/>
      <c r="B27" s="197"/>
      <c r="C27" s="197"/>
      <c r="D27" s="197"/>
      <c r="E27" s="197"/>
      <c r="F27" s="198"/>
    </row>
    <row r="28" spans="1:6" ht="18.899999999999999" customHeight="1">
      <c r="A28" s="196"/>
      <c r="B28" s="197"/>
      <c r="C28" s="197"/>
      <c r="D28" s="197"/>
      <c r="E28" s="197"/>
      <c r="F28" s="198"/>
    </row>
    <row r="29" spans="1:6" ht="18.899999999999999" customHeight="1">
      <c r="A29" s="196"/>
      <c r="B29" s="197"/>
      <c r="C29" s="197"/>
      <c r="D29" s="197"/>
      <c r="E29" s="197"/>
      <c r="F29" s="198"/>
    </row>
    <row r="30" spans="1:6" ht="18.899999999999999" customHeight="1">
      <c r="A30" s="196"/>
      <c r="B30" s="197"/>
      <c r="C30" s="197"/>
      <c r="D30" s="197"/>
      <c r="E30" s="197"/>
      <c r="F30" s="198"/>
    </row>
    <row r="31" spans="1:6" ht="18.899999999999999" customHeight="1">
      <c r="A31" s="196"/>
      <c r="B31" s="197"/>
      <c r="C31" s="197"/>
      <c r="D31" s="197"/>
      <c r="E31" s="197"/>
      <c r="F31" s="198"/>
    </row>
    <row r="32" spans="1:6" ht="18.899999999999999" customHeight="1">
      <c r="A32" s="196"/>
      <c r="B32" s="197"/>
      <c r="C32" s="197"/>
      <c r="D32" s="197"/>
      <c r="E32" s="197"/>
      <c r="F32" s="198"/>
    </row>
    <row r="33" spans="1:6" ht="18.899999999999999" customHeight="1">
      <c r="A33" s="196"/>
      <c r="B33" s="197"/>
      <c r="C33" s="197"/>
      <c r="D33" s="197"/>
      <c r="E33" s="197"/>
      <c r="F33" s="198"/>
    </row>
    <row r="34" spans="1:6" ht="18.899999999999999" customHeight="1">
      <c r="A34" s="196"/>
      <c r="B34" s="197"/>
      <c r="C34" s="197"/>
      <c r="D34" s="197"/>
      <c r="E34" s="197"/>
      <c r="F34" s="198"/>
    </row>
    <row r="35" spans="1:6" ht="18.899999999999999" customHeight="1">
      <c r="A35" s="196"/>
      <c r="B35" s="197"/>
      <c r="C35" s="197"/>
      <c r="D35" s="197"/>
      <c r="E35" s="197"/>
      <c r="F35" s="198"/>
    </row>
    <row r="36" spans="1:6" ht="18.899999999999999" customHeight="1">
      <c r="A36" s="196"/>
      <c r="B36" s="197"/>
      <c r="C36" s="197"/>
      <c r="D36" s="197"/>
      <c r="E36" s="197"/>
      <c r="F36" s="198"/>
    </row>
    <row r="37" spans="1:6" ht="18.899999999999999" customHeight="1">
      <c r="A37" s="196"/>
      <c r="B37" s="197"/>
      <c r="C37" s="197"/>
      <c r="D37" s="197"/>
      <c r="E37" s="197"/>
      <c r="F37" s="198"/>
    </row>
    <row r="38" spans="1:6" ht="18.899999999999999" customHeight="1">
      <c r="A38" s="196"/>
      <c r="B38" s="197"/>
      <c r="C38" s="197"/>
      <c r="D38" s="197"/>
      <c r="E38" s="197"/>
      <c r="F38" s="198"/>
    </row>
    <row r="39" spans="1:6" ht="18.899999999999999" customHeight="1">
      <c r="A39" s="205" t="s">
        <v>378</v>
      </c>
      <c r="B39" s="206"/>
      <c r="C39" s="206"/>
      <c r="D39" s="197"/>
      <c r="E39" s="202" t="s">
        <v>379</v>
      </c>
      <c r="F39" s="207"/>
    </row>
    <row r="40" spans="1:6" ht="18.899999999999999" customHeight="1">
      <c r="A40" s="196"/>
      <c r="B40" s="206"/>
      <c r="C40" s="206"/>
      <c r="D40" s="197"/>
      <c r="E40" s="197"/>
      <c r="F40" s="198"/>
    </row>
    <row r="41" spans="1:6" ht="18.899999999999999" customHeight="1">
      <c r="A41" s="196"/>
      <c r="B41" s="206"/>
      <c r="C41" s="206"/>
      <c r="D41" s="197"/>
      <c r="E41" s="197"/>
      <c r="F41" s="198"/>
    </row>
    <row r="42" spans="1:6" ht="18.899999999999999" customHeight="1">
      <c r="A42" s="196"/>
      <c r="B42" s="197"/>
      <c r="C42" s="197"/>
      <c r="D42" s="197"/>
      <c r="E42" s="197"/>
      <c r="F42" s="198"/>
    </row>
    <row r="43" spans="1:6" ht="18.899999999999999" customHeight="1">
      <c r="A43" s="208"/>
      <c r="B43" s="206"/>
      <c r="C43" s="209" t="s">
        <v>380</v>
      </c>
      <c r="D43" s="210" t="s">
        <v>594</v>
      </c>
      <c r="E43" s="209" t="s">
        <v>381</v>
      </c>
      <c r="F43" s="210" t="s">
        <v>637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1:3" ht="15" customHeight="1"/>
    <row r="50" spans="1:3" ht="15" customHeight="1"/>
    <row r="51" spans="1:3" ht="15" customHeight="1"/>
    <row r="52" spans="1:3" ht="15" customHeight="1"/>
    <row r="53" spans="1:3" ht="15" customHeight="1"/>
    <row r="54" spans="1:3" ht="15" customHeight="1">
      <c r="A54" s="211">
        <v>100</v>
      </c>
      <c r="B54" s="188">
        <v>0</v>
      </c>
      <c r="C54" s="188">
        <v>0.14513100683689117</v>
      </c>
    </row>
    <row r="55" spans="1:3" ht="15" customHeight="1">
      <c r="A55" s="211">
        <v>99.799999967217445</v>
      </c>
      <c r="B55" s="188">
        <v>169.80368081136817</v>
      </c>
      <c r="C55" s="188">
        <v>181.97735595703125</v>
      </c>
    </row>
    <row r="56" spans="1:3" ht="15" customHeight="1">
      <c r="A56" s="211">
        <v>98.999999836087227</v>
      </c>
      <c r="B56" s="188">
        <v>275</v>
      </c>
      <c r="C56" s="188">
        <v>504.9798583984375</v>
      </c>
    </row>
    <row r="57" spans="1:3">
      <c r="A57" s="211">
        <v>93.555555492639542</v>
      </c>
      <c r="B57" s="188">
        <v>139.76153847161987</v>
      </c>
      <c r="C57" s="188">
        <v>573.32177734375</v>
      </c>
    </row>
    <row r="58" spans="1:3">
      <c r="A58" s="211">
        <v>88.111110031604767</v>
      </c>
      <c r="B58" s="188">
        <v>106.69611308924708</v>
      </c>
      <c r="C58" s="188">
        <v>590.6463623046875</v>
      </c>
    </row>
    <row r="59" spans="1:3">
      <c r="A59" s="211">
        <v>82.666666805744171</v>
      </c>
      <c r="B59" s="188">
        <v>92.579596313083897</v>
      </c>
      <c r="C59" s="188">
        <v>598.0946044921875</v>
      </c>
    </row>
    <row r="60" spans="1:3">
      <c r="A60" s="211">
        <v>71.777775883674622</v>
      </c>
      <c r="B60" s="188">
        <v>83.358611370982217</v>
      </c>
      <c r="C60" s="188">
        <v>606.0347900390625</v>
      </c>
    </row>
    <row r="61" spans="1:3">
      <c r="A61" s="211">
        <v>60.88888943195343</v>
      </c>
      <c r="B61" s="188">
        <v>79.161924503883</v>
      </c>
      <c r="C61" s="188">
        <v>611.59228515625</v>
      </c>
    </row>
    <row r="62" spans="1:3">
      <c r="A62" s="211">
        <v>50</v>
      </c>
      <c r="B62" s="188">
        <v>77</v>
      </c>
      <c r="C62" s="188">
        <v>616.22259521484375</v>
      </c>
    </row>
    <row r="63" spans="1:3">
      <c r="A63" s="211">
        <v>39.999997615814209</v>
      </c>
      <c r="B63" s="188">
        <v>77.000977961016147</v>
      </c>
      <c r="C63" s="188">
        <v>620.13067626953125</v>
      </c>
    </row>
    <row r="64" spans="1:3">
      <c r="A64" s="211">
        <v>30.000001192092896</v>
      </c>
      <c r="B64" s="188">
        <v>77.002157492807356</v>
      </c>
      <c r="C64" s="188">
        <v>623.416259765625</v>
      </c>
    </row>
    <row r="65" spans="1:3">
      <c r="A65" s="211">
        <v>19.999998807907104</v>
      </c>
      <c r="B65" s="188">
        <v>77.002894882391232</v>
      </c>
      <c r="C65" s="188">
        <v>626.18682861328125</v>
      </c>
    </row>
    <row r="66" spans="1:3">
      <c r="A66" s="211">
        <v>10.000002384185791</v>
      </c>
      <c r="B66" s="188">
        <v>77.004031972955502</v>
      </c>
      <c r="C66" s="188">
        <v>628.54522705078125</v>
      </c>
    </row>
    <row r="67" spans="1:3">
      <c r="A67" s="212">
        <v>0</v>
      </c>
      <c r="B67" s="188">
        <v>77</v>
      </c>
      <c r="C67" s="188">
        <v>630.5784912109375</v>
      </c>
    </row>
  </sheetData>
  <mergeCells count="1">
    <mergeCell ref="B6:D6"/>
  </mergeCells>
  <printOptions horizontalCentered="1" verticalCentered="1"/>
  <pageMargins left="0.59055118110236204" right="0.59055118110236204" top="0.59055118110236204" bottom="0.59055118110236204" header="0" footer="0"/>
  <pageSetup scale="88" orientation="portrait" r:id="rId1"/>
  <headerFooter alignWithMargins="0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L61"/>
  <sheetViews>
    <sheetView workbookViewId="0"/>
  </sheetViews>
  <sheetFormatPr defaultColWidth="9.109375" defaultRowHeight="13.2"/>
  <cols>
    <col min="1" max="1" width="19.6640625" style="214" customWidth="1"/>
    <col min="2" max="7" width="10.6640625" style="214" customWidth="1"/>
    <col min="8" max="16384" width="9.109375" style="214"/>
  </cols>
  <sheetData>
    <row r="1" spans="1:12" ht="21" customHeight="1">
      <c r="A1" s="213" t="s">
        <v>391</v>
      </c>
      <c r="B1" s="587" t="s">
        <v>430</v>
      </c>
      <c r="C1" s="587"/>
      <c r="D1" s="587"/>
      <c r="E1" s="587"/>
      <c r="F1" s="587"/>
      <c r="G1" s="587"/>
    </row>
    <row r="2" spans="1:12" ht="15" customHeight="1"/>
    <row r="3" spans="1:12" ht="20.399999999999999">
      <c r="A3" s="215" t="s">
        <v>392</v>
      </c>
    </row>
    <row r="4" spans="1:12" ht="12" customHeight="1">
      <c r="A4" s="216"/>
      <c r="B4" s="216"/>
      <c r="C4" s="216"/>
      <c r="D4" s="216" t="s">
        <v>444</v>
      </c>
      <c r="E4" s="216"/>
      <c r="F4" s="216"/>
      <c r="G4" s="216"/>
      <c r="H4" s="216"/>
      <c r="I4" s="216"/>
      <c r="J4" s="216"/>
      <c r="K4" s="216"/>
      <c r="L4" s="216"/>
    </row>
    <row r="5" spans="1:12" ht="15.6" customHeight="1">
      <c r="A5" s="217" t="s">
        <v>5</v>
      </c>
      <c r="B5" s="217" t="s">
        <v>393</v>
      </c>
      <c r="C5" s="217" t="s">
        <v>394</v>
      </c>
      <c r="D5" s="217" t="s">
        <v>395</v>
      </c>
      <c r="E5" s="217" t="s">
        <v>396</v>
      </c>
      <c r="F5" s="217" t="s">
        <v>397</v>
      </c>
      <c r="G5" s="217" t="s">
        <v>398</v>
      </c>
      <c r="H5" s="216"/>
      <c r="I5" s="216"/>
      <c r="J5" s="216"/>
      <c r="K5" s="216"/>
      <c r="L5" s="216"/>
    </row>
    <row r="6" spans="1:12" ht="15.6" customHeight="1">
      <c r="A6" s="218" t="s">
        <v>399</v>
      </c>
      <c r="B6" s="218" t="s">
        <v>165</v>
      </c>
      <c r="C6" s="218" t="s">
        <v>165</v>
      </c>
      <c r="D6" s="218" t="s">
        <v>400</v>
      </c>
      <c r="E6" s="218" t="s">
        <v>135</v>
      </c>
      <c r="F6" s="218" t="s">
        <v>401</v>
      </c>
      <c r="G6" s="218" t="s">
        <v>401</v>
      </c>
      <c r="H6" s="216"/>
      <c r="I6" s="216"/>
      <c r="J6" s="216"/>
      <c r="K6" s="216"/>
      <c r="L6" s="216"/>
    </row>
    <row r="7" spans="1:12" ht="15.9" customHeight="1">
      <c r="A7" s="219" t="s">
        <v>431</v>
      </c>
      <c r="B7" s="219" t="s">
        <v>445</v>
      </c>
      <c r="C7" s="219" t="s">
        <v>454</v>
      </c>
      <c r="D7" s="219" t="s">
        <v>466</v>
      </c>
      <c r="E7" s="219" t="s">
        <v>478</v>
      </c>
      <c r="F7" s="219" t="s">
        <v>491</v>
      </c>
      <c r="G7" s="219" t="s">
        <v>504</v>
      </c>
      <c r="H7" s="216"/>
      <c r="I7" s="216"/>
      <c r="J7" s="216"/>
      <c r="K7" s="216"/>
      <c r="L7" s="216"/>
    </row>
    <row r="8" spans="1:12" ht="15.9" customHeight="1">
      <c r="A8" s="219" t="s">
        <v>432</v>
      </c>
      <c r="B8" s="219" t="s">
        <v>445</v>
      </c>
      <c r="C8" s="219" t="s">
        <v>455</v>
      </c>
      <c r="D8" s="219" t="s">
        <v>467</v>
      </c>
      <c r="E8" s="219" t="s">
        <v>479</v>
      </c>
      <c r="F8" s="219" t="s">
        <v>492</v>
      </c>
      <c r="G8" s="219" t="s">
        <v>505</v>
      </c>
      <c r="H8" s="216"/>
      <c r="I8" s="216"/>
      <c r="J8" s="216"/>
      <c r="K8" s="216"/>
      <c r="L8" s="216"/>
    </row>
    <row r="9" spans="1:12" ht="15.9" customHeight="1">
      <c r="A9" s="219" t="s">
        <v>433</v>
      </c>
      <c r="B9" s="219" t="s">
        <v>445</v>
      </c>
      <c r="C9" s="219" t="s">
        <v>456</v>
      </c>
      <c r="D9" s="219" t="s">
        <v>468</v>
      </c>
      <c r="E9" s="219" t="s">
        <v>480</v>
      </c>
      <c r="F9" s="219" t="s">
        <v>493</v>
      </c>
      <c r="G9" s="219" t="s">
        <v>506</v>
      </c>
      <c r="H9" s="216"/>
      <c r="I9" s="216"/>
      <c r="J9" s="216"/>
      <c r="K9" s="216"/>
      <c r="L9" s="216"/>
    </row>
    <row r="10" spans="1:12" ht="15.9" customHeight="1">
      <c r="A10" s="219" t="s">
        <v>434</v>
      </c>
      <c r="B10" s="219" t="s">
        <v>445</v>
      </c>
      <c r="C10" s="219" t="s">
        <v>456</v>
      </c>
      <c r="D10" s="219" t="s">
        <v>468</v>
      </c>
      <c r="E10" s="219" t="s">
        <v>481</v>
      </c>
      <c r="F10" s="219" t="s">
        <v>494</v>
      </c>
      <c r="G10" s="219" t="s">
        <v>507</v>
      </c>
      <c r="H10" s="216"/>
      <c r="I10" s="216"/>
      <c r="J10" s="216"/>
      <c r="K10" s="216"/>
      <c r="L10" s="216"/>
    </row>
    <row r="11" spans="1:12" ht="15.9" customHeight="1">
      <c r="A11" s="219" t="s">
        <v>435</v>
      </c>
      <c r="B11" s="219" t="s">
        <v>445</v>
      </c>
      <c r="C11" s="219" t="s">
        <v>457</v>
      </c>
      <c r="D11" s="219" t="s">
        <v>469</v>
      </c>
      <c r="E11" s="219" t="s">
        <v>482</v>
      </c>
      <c r="F11" s="219" t="s">
        <v>495</v>
      </c>
      <c r="G11" s="219" t="s">
        <v>508</v>
      </c>
      <c r="H11" s="216"/>
      <c r="I11" s="216"/>
      <c r="J11" s="216"/>
      <c r="K11" s="216"/>
      <c r="L11" s="216"/>
    </row>
    <row r="12" spans="1:12" ht="15.9" customHeight="1">
      <c r="A12" s="219" t="s">
        <v>436</v>
      </c>
      <c r="B12" s="219" t="s">
        <v>446</v>
      </c>
      <c r="C12" s="219" t="s">
        <v>458</v>
      </c>
      <c r="D12" s="219" t="s">
        <v>470</v>
      </c>
      <c r="E12" s="219" t="s">
        <v>483</v>
      </c>
      <c r="F12" s="219" t="s">
        <v>496</v>
      </c>
      <c r="G12" s="219" t="s">
        <v>509</v>
      </c>
      <c r="H12" s="216"/>
      <c r="I12" s="216"/>
      <c r="J12" s="216"/>
      <c r="K12" s="216"/>
      <c r="L12" s="216"/>
    </row>
    <row r="13" spans="1:12" ht="15.9" customHeight="1">
      <c r="A13" s="219" t="s">
        <v>437</v>
      </c>
      <c r="B13" s="219" t="s">
        <v>447</v>
      </c>
      <c r="C13" s="219" t="s">
        <v>459</v>
      </c>
      <c r="D13" s="219" t="s">
        <v>471</v>
      </c>
      <c r="E13" s="219" t="s">
        <v>484</v>
      </c>
      <c r="F13" s="219" t="s">
        <v>497</v>
      </c>
      <c r="G13" s="219" t="s">
        <v>510</v>
      </c>
      <c r="H13" s="216"/>
      <c r="I13" s="216"/>
      <c r="J13" s="216"/>
      <c r="K13" s="216"/>
      <c r="L13" s="216"/>
    </row>
    <row r="14" spans="1:12" ht="15.9" customHeight="1">
      <c r="A14" s="219" t="s">
        <v>438</v>
      </c>
      <c r="B14" s="219" t="s">
        <v>448</v>
      </c>
      <c r="C14" s="219" t="s">
        <v>460</v>
      </c>
      <c r="D14" s="219" t="s">
        <v>472</v>
      </c>
      <c r="E14" s="219" t="s">
        <v>485</v>
      </c>
      <c r="F14" s="219" t="s">
        <v>498</v>
      </c>
      <c r="G14" s="219" t="s">
        <v>511</v>
      </c>
      <c r="H14" s="216"/>
      <c r="I14" s="216"/>
      <c r="J14" s="216"/>
      <c r="K14" s="216"/>
      <c r="L14" s="216"/>
    </row>
    <row r="15" spans="1:12" ht="15.9" customHeight="1">
      <c r="A15" s="219" t="s">
        <v>439</v>
      </c>
      <c r="B15" s="219" t="s">
        <v>449</v>
      </c>
      <c r="C15" s="219" t="s">
        <v>461</v>
      </c>
      <c r="D15" s="219" t="s">
        <v>473</v>
      </c>
      <c r="E15" s="219" t="s">
        <v>486</v>
      </c>
      <c r="F15" s="219" t="s">
        <v>499</v>
      </c>
      <c r="G15" s="219" t="s">
        <v>512</v>
      </c>
      <c r="H15" s="216"/>
      <c r="I15" s="216"/>
      <c r="J15" s="216"/>
      <c r="K15" s="216"/>
      <c r="L15" s="216"/>
    </row>
    <row r="16" spans="1:12" ht="15.9" customHeight="1">
      <c r="A16" s="219" t="s">
        <v>440</v>
      </c>
      <c r="B16" s="219" t="s">
        <v>450</v>
      </c>
      <c r="C16" s="219" t="s">
        <v>462</v>
      </c>
      <c r="D16" s="219" t="s">
        <v>474</v>
      </c>
      <c r="E16" s="219" t="s">
        <v>487</v>
      </c>
      <c r="F16" s="219" t="s">
        <v>500</v>
      </c>
      <c r="G16" s="219" t="s">
        <v>513</v>
      </c>
      <c r="H16" s="216"/>
      <c r="I16" s="216"/>
      <c r="J16" s="216"/>
      <c r="K16" s="216"/>
      <c r="L16" s="216"/>
    </row>
    <row r="17" spans="1:12" ht="15.9" customHeight="1">
      <c r="A17" s="219" t="s">
        <v>441</v>
      </c>
      <c r="B17" s="219" t="s">
        <v>451</v>
      </c>
      <c r="C17" s="219" t="s">
        <v>463</v>
      </c>
      <c r="D17" s="219" t="s">
        <v>475</v>
      </c>
      <c r="E17" s="219" t="s">
        <v>488</v>
      </c>
      <c r="F17" s="219" t="s">
        <v>501</v>
      </c>
      <c r="G17" s="219" t="s">
        <v>514</v>
      </c>
      <c r="H17" s="216"/>
      <c r="I17" s="216"/>
      <c r="J17" s="216"/>
      <c r="K17" s="216"/>
      <c r="L17" s="216"/>
    </row>
    <row r="18" spans="1:12" ht="15.9" customHeight="1">
      <c r="A18" s="219" t="s">
        <v>442</v>
      </c>
      <c r="B18" s="219" t="s">
        <v>452</v>
      </c>
      <c r="C18" s="219" t="s">
        <v>464</v>
      </c>
      <c r="D18" s="219" t="s">
        <v>476</v>
      </c>
      <c r="E18" s="219" t="s">
        <v>489</v>
      </c>
      <c r="F18" s="219" t="s">
        <v>502</v>
      </c>
      <c r="G18" s="219" t="s">
        <v>515</v>
      </c>
      <c r="H18" s="216"/>
      <c r="I18" s="216"/>
      <c r="J18" s="216"/>
      <c r="K18" s="216"/>
      <c r="L18" s="216"/>
    </row>
    <row r="19" spans="1:12" ht="15.9" customHeight="1">
      <c r="A19" s="219" t="s">
        <v>443</v>
      </c>
      <c r="B19" s="219" t="s">
        <v>453</v>
      </c>
      <c r="C19" s="219" t="s">
        <v>465</v>
      </c>
      <c r="D19" s="219" t="s">
        <v>477</v>
      </c>
      <c r="E19" s="219" t="s">
        <v>490</v>
      </c>
      <c r="F19" s="219" t="s">
        <v>503</v>
      </c>
      <c r="G19" s="219" t="s">
        <v>516</v>
      </c>
      <c r="H19" s="216"/>
      <c r="I19" s="216"/>
      <c r="J19" s="216"/>
      <c r="K19" s="216"/>
      <c r="L19" s="216"/>
    </row>
    <row r="20" spans="1:12" ht="15.6">
      <c r="A20" s="216"/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</row>
    <row r="21" spans="1:12" ht="16.2">
      <c r="A21" s="216"/>
      <c r="B21" s="216"/>
      <c r="C21" s="216"/>
      <c r="D21" s="588" t="s">
        <v>526</v>
      </c>
      <c r="E21" s="584"/>
      <c r="F21" s="584"/>
      <c r="G21" s="585"/>
      <c r="H21" s="216"/>
      <c r="I21" s="216"/>
      <c r="J21" s="216"/>
      <c r="K21" s="216"/>
      <c r="L21" s="216"/>
    </row>
    <row r="22" spans="1:12" ht="17.25" customHeight="1">
      <c r="A22" s="216"/>
      <c r="B22" s="586" t="s">
        <v>402</v>
      </c>
      <c r="C22" s="586"/>
      <c r="D22" s="586" t="s">
        <v>403</v>
      </c>
      <c r="E22" s="586"/>
      <c r="F22" s="586" t="s">
        <v>404</v>
      </c>
      <c r="G22" s="586"/>
      <c r="H22" s="216"/>
      <c r="I22" s="216"/>
      <c r="J22" s="216"/>
      <c r="K22" s="216"/>
      <c r="L22" s="216"/>
    </row>
    <row r="23" spans="1:12" ht="15.6">
      <c r="A23" s="220" t="s">
        <v>405</v>
      </c>
      <c r="B23" s="582" t="s">
        <v>517</v>
      </c>
      <c r="C23" s="582"/>
      <c r="D23" s="582" t="s">
        <v>520</v>
      </c>
      <c r="E23" s="582"/>
      <c r="F23" s="582" t="s">
        <v>523</v>
      </c>
      <c r="G23" s="582"/>
      <c r="H23" s="216"/>
      <c r="I23" s="216"/>
      <c r="J23" s="216"/>
      <c r="K23" s="216"/>
      <c r="L23" s="216"/>
    </row>
    <row r="24" spans="1:12" ht="18" customHeight="1">
      <c r="A24" s="220" t="s">
        <v>406</v>
      </c>
      <c r="B24" s="582" t="s">
        <v>518</v>
      </c>
      <c r="C24" s="582"/>
      <c r="D24" s="582" t="s">
        <v>521</v>
      </c>
      <c r="E24" s="582"/>
      <c r="F24" s="582" t="s">
        <v>524</v>
      </c>
      <c r="G24" s="582"/>
      <c r="H24" s="216"/>
      <c r="I24" s="216"/>
      <c r="J24" s="216"/>
      <c r="K24" s="216"/>
      <c r="L24" s="216"/>
    </row>
    <row r="25" spans="1:12" ht="15.6">
      <c r="A25" s="220" t="s">
        <v>407</v>
      </c>
      <c r="B25" s="582" t="s">
        <v>519</v>
      </c>
      <c r="C25" s="582"/>
      <c r="D25" s="582" t="s">
        <v>522</v>
      </c>
      <c r="E25" s="582"/>
      <c r="F25" s="582" t="s">
        <v>525</v>
      </c>
      <c r="G25" s="582"/>
      <c r="H25" s="216"/>
      <c r="I25" s="216"/>
      <c r="J25" s="216"/>
      <c r="K25" s="216"/>
      <c r="L25" s="216"/>
    </row>
    <row r="26" spans="1:12" ht="15.6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</row>
    <row r="27" spans="1:12" ht="20.399999999999999">
      <c r="A27" s="215" t="s">
        <v>408</v>
      </c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</row>
    <row r="28" spans="1:12" ht="15.6">
      <c r="A28" s="216"/>
      <c r="B28" s="216"/>
      <c r="C28" s="216"/>
      <c r="D28" s="216"/>
      <c r="E28" s="583" t="s">
        <v>409</v>
      </c>
      <c r="F28" s="584"/>
      <c r="G28" s="585"/>
      <c r="H28" s="216"/>
      <c r="I28" s="216"/>
      <c r="J28" s="216"/>
      <c r="K28" s="216"/>
      <c r="L28" s="216"/>
    </row>
    <row r="29" spans="1:12" ht="15.6">
      <c r="A29" s="216"/>
      <c r="B29" s="586" t="s">
        <v>410</v>
      </c>
      <c r="C29" s="586"/>
      <c r="D29" s="221" t="s">
        <v>411</v>
      </c>
      <c r="E29" s="221" t="s">
        <v>412</v>
      </c>
      <c r="F29" s="586" t="s">
        <v>413</v>
      </c>
      <c r="G29" s="586"/>
      <c r="H29" s="216"/>
      <c r="I29" s="216"/>
      <c r="J29" s="216"/>
      <c r="K29" s="216"/>
      <c r="L29" s="216"/>
    </row>
    <row r="30" spans="1:12" ht="15.6">
      <c r="A30" s="220" t="s">
        <v>414</v>
      </c>
      <c r="B30" s="582" t="s">
        <v>527</v>
      </c>
      <c r="C30" s="582"/>
      <c r="D30" s="219" t="s">
        <v>530</v>
      </c>
      <c r="E30" s="219" t="s">
        <v>415</v>
      </c>
      <c r="F30" s="582" t="s">
        <v>533</v>
      </c>
      <c r="G30" s="582"/>
      <c r="H30" s="216"/>
      <c r="I30" s="216"/>
      <c r="J30" s="216"/>
      <c r="K30" s="216"/>
      <c r="L30" s="216"/>
    </row>
    <row r="31" spans="1:12" ht="15.6">
      <c r="A31" s="220" t="s">
        <v>416</v>
      </c>
      <c r="B31" s="582" t="s">
        <v>528</v>
      </c>
      <c r="C31" s="582"/>
      <c r="D31" s="219" t="s">
        <v>531</v>
      </c>
      <c r="E31" s="219" t="s">
        <v>417</v>
      </c>
      <c r="F31" s="582" t="s">
        <v>534</v>
      </c>
      <c r="G31" s="582"/>
      <c r="H31" s="216"/>
      <c r="I31" s="216"/>
      <c r="J31" s="216"/>
      <c r="K31" s="216"/>
      <c r="L31" s="216"/>
    </row>
    <row r="32" spans="1:12" ht="15.6">
      <c r="A32" s="220" t="s">
        <v>418</v>
      </c>
      <c r="B32" s="582" t="s">
        <v>529</v>
      </c>
      <c r="C32" s="582"/>
      <c r="D32" s="219" t="s">
        <v>532</v>
      </c>
      <c r="E32" s="219" t="s">
        <v>419</v>
      </c>
      <c r="F32" s="582" t="s">
        <v>535</v>
      </c>
      <c r="G32" s="582"/>
      <c r="H32" s="216"/>
      <c r="I32" s="216"/>
      <c r="J32" s="216"/>
      <c r="K32" s="216"/>
      <c r="L32" s="216"/>
    </row>
    <row r="33" spans="1:12" ht="15.6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</row>
    <row r="34" spans="1:12" ht="15.6">
      <c r="A34" s="216"/>
      <c r="B34" s="216"/>
      <c r="C34" s="216"/>
      <c r="D34" s="216"/>
      <c r="E34" s="583" t="s">
        <v>420</v>
      </c>
      <c r="F34" s="584"/>
      <c r="G34" s="585"/>
      <c r="H34" s="216"/>
      <c r="I34" s="216"/>
      <c r="J34" s="216"/>
      <c r="K34" s="216"/>
      <c r="L34" s="216"/>
    </row>
    <row r="35" spans="1:12" ht="15.6">
      <c r="A35" s="216"/>
      <c r="B35" s="586" t="s">
        <v>421</v>
      </c>
      <c r="C35" s="586"/>
      <c r="D35" s="221" t="s">
        <v>412</v>
      </c>
      <c r="E35" s="221" t="s">
        <v>422</v>
      </c>
      <c r="F35" s="221" t="s">
        <v>100</v>
      </c>
      <c r="G35" s="221" t="s">
        <v>423</v>
      </c>
      <c r="H35" s="216"/>
      <c r="I35" s="216"/>
      <c r="J35" s="216"/>
      <c r="K35" s="216"/>
      <c r="L35" s="216"/>
    </row>
    <row r="36" spans="1:12" ht="15.6">
      <c r="A36" s="220" t="s">
        <v>414</v>
      </c>
      <c r="B36" s="578" t="s">
        <v>536</v>
      </c>
      <c r="C36" s="579"/>
      <c r="D36" s="222" t="s">
        <v>538</v>
      </c>
      <c r="E36" s="222" t="s">
        <v>424</v>
      </c>
      <c r="F36" s="223" t="s">
        <v>425</v>
      </c>
      <c r="G36" s="219" t="s">
        <v>541</v>
      </c>
      <c r="H36" s="216"/>
      <c r="I36" s="216"/>
      <c r="J36" s="216"/>
      <c r="K36" s="216"/>
      <c r="L36" s="216"/>
    </row>
    <row r="37" spans="1:12" ht="15.6">
      <c r="A37" s="220" t="s">
        <v>416</v>
      </c>
      <c r="B37" s="578" t="s">
        <v>537</v>
      </c>
      <c r="C37" s="579"/>
      <c r="D37" s="222" t="s">
        <v>539</v>
      </c>
      <c r="E37" s="222" t="s">
        <v>424</v>
      </c>
      <c r="F37" s="223" t="s">
        <v>426</v>
      </c>
      <c r="G37" s="224" t="s">
        <v>542</v>
      </c>
      <c r="H37" s="216"/>
      <c r="I37" s="216"/>
      <c r="J37" s="216"/>
      <c r="K37" s="216"/>
      <c r="L37" s="216"/>
    </row>
    <row r="38" spans="1:12" ht="15.6">
      <c r="A38" s="220" t="s">
        <v>418</v>
      </c>
      <c r="B38" s="578" t="s">
        <v>537</v>
      </c>
      <c r="C38" s="579"/>
      <c r="D38" s="222" t="s">
        <v>540</v>
      </c>
      <c r="E38" s="222" t="s">
        <v>424</v>
      </c>
      <c r="F38" s="223" t="s">
        <v>427</v>
      </c>
      <c r="G38" s="219" t="s">
        <v>543</v>
      </c>
      <c r="H38" s="216"/>
      <c r="I38" s="216"/>
      <c r="J38" s="216"/>
      <c r="K38" s="216"/>
      <c r="L38" s="216"/>
    </row>
    <row r="39" spans="1:12" ht="15.6">
      <c r="A39" s="216"/>
      <c r="B39" s="216"/>
      <c r="C39" s="216"/>
      <c r="D39" s="216"/>
      <c r="E39" s="216"/>
      <c r="F39" s="216"/>
      <c r="G39" s="216"/>
      <c r="H39" s="216"/>
      <c r="I39" s="216"/>
      <c r="J39" s="216"/>
      <c r="K39" s="216"/>
      <c r="L39" s="216"/>
    </row>
    <row r="40" spans="1:12" ht="15.6">
      <c r="A40" s="225" t="s">
        <v>428</v>
      </c>
      <c r="B40" s="580" t="s">
        <v>544</v>
      </c>
      <c r="C40" s="580"/>
      <c r="D40" s="581" t="s">
        <v>429</v>
      </c>
      <c r="E40" s="581"/>
      <c r="F40" s="580" t="s">
        <v>545</v>
      </c>
      <c r="G40" s="580"/>
      <c r="H40" s="216"/>
      <c r="I40" s="216"/>
      <c r="J40" s="216"/>
      <c r="K40" s="216"/>
      <c r="L40" s="216"/>
    </row>
    <row r="41" spans="1:12" ht="15.6">
      <c r="A41" s="216"/>
      <c r="B41" s="216"/>
      <c r="C41" s="216"/>
      <c r="D41" s="216"/>
      <c r="E41" s="216"/>
      <c r="F41" s="216"/>
      <c r="G41" s="216"/>
      <c r="H41" s="216"/>
      <c r="I41" s="216"/>
      <c r="J41" s="216"/>
      <c r="K41" s="216"/>
      <c r="L41" s="216"/>
    </row>
    <row r="42" spans="1:12" ht="15.6">
      <c r="A42" s="216"/>
      <c r="B42" s="216"/>
      <c r="C42" s="216"/>
      <c r="D42" s="216"/>
      <c r="E42" s="216"/>
      <c r="F42" s="216"/>
      <c r="G42" s="216"/>
      <c r="H42" s="216"/>
      <c r="I42" s="216"/>
      <c r="J42" s="216"/>
      <c r="K42" s="216"/>
      <c r="L42" s="216"/>
    </row>
    <row r="43" spans="1:12" ht="15.6">
      <c r="A43" s="216"/>
      <c r="B43" s="216"/>
      <c r="C43" s="216"/>
      <c r="D43" s="216"/>
      <c r="E43" s="216"/>
      <c r="F43" s="216"/>
      <c r="G43" s="216"/>
      <c r="H43" s="216"/>
      <c r="I43" s="216"/>
      <c r="J43" s="216"/>
      <c r="K43" s="216"/>
      <c r="L43" s="216"/>
    </row>
    <row r="44" spans="1:12" ht="15.6">
      <c r="A44" s="216"/>
      <c r="B44" s="216"/>
      <c r="C44" s="216"/>
      <c r="D44" s="216"/>
      <c r="E44" s="216"/>
      <c r="F44" s="216"/>
      <c r="G44" s="216"/>
      <c r="H44" s="216"/>
      <c r="I44" s="216"/>
      <c r="J44" s="216"/>
      <c r="K44" s="216"/>
      <c r="L44" s="216"/>
    </row>
    <row r="45" spans="1:12" ht="15.6">
      <c r="A45" s="216"/>
      <c r="B45" s="216"/>
      <c r="C45" s="216"/>
      <c r="D45" s="216"/>
      <c r="E45" s="216"/>
      <c r="F45" s="216"/>
      <c r="G45" s="216"/>
      <c r="H45" s="216"/>
      <c r="I45" s="216"/>
      <c r="J45" s="216"/>
      <c r="K45" s="216"/>
      <c r="L45" s="216"/>
    </row>
    <row r="46" spans="1:12" ht="15.6">
      <c r="A46" s="216"/>
      <c r="B46" s="216"/>
      <c r="C46" s="216"/>
      <c r="D46" s="216"/>
      <c r="E46" s="216"/>
      <c r="F46" s="216"/>
      <c r="G46" s="216"/>
      <c r="H46" s="216"/>
      <c r="I46" s="216"/>
      <c r="J46" s="216"/>
      <c r="K46" s="216"/>
      <c r="L46" s="216"/>
    </row>
    <row r="47" spans="1:12" ht="15.6">
      <c r="A47" s="216"/>
      <c r="B47" s="216"/>
      <c r="C47" s="216"/>
      <c r="D47" s="216"/>
      <c r="E47" s="216"/>
      <c r="F47" s="216"/>
      <c r="G47" s="216"/>
      <c r="H47" s="216"/>
      <c r="I47" s="216"/>
      <c r="J47" s="216"/>
      <c r="K47" s="216"/>
      <c r="L47" s="216"/>
    </row>
    <row r="48" spans="1:12" ht="15.6">
      <c r="A48" s="216"/>
      <c r="B48" s="216"/>
      <c r="C48" s="216"/>
      <c r="D48" s="216"/>
      <c r="E48" s="216"/>
      <c r="F48" s="216"/>
      <c r="G48" s="216"/>
      <c r="H48" s="216"/>
      <c r="I48" s="216"/>
      <c r="J48" s="216"/>
      <c r="K48" s="216"/>
      <c r="L48" s="216"/>
    </row>
    <row r="49" spans="1:12" ht="15.6">
      <c r="A49" s="216"/>
      <c r="B49" s="216"/>
      <c r="C49" s="216"/>
      <c r="D49" s="216"/>
      <c r="E49" s="216"/>
      <c r="F49" s="216"/>
      <c r="G49" s="216"/>
      <c r="H49" s="216"/>
      <c r="I49" s="216"/>
      <c r="J49" s="216"/>
      <c r="K49" s="216"/>
      <c r="L49" s="216"/>
    </row>
    <row r="50" spans="1:12" ht="15.6">
      <c r="A50" s="216"/>
      <c r="B50" s="216"/>
      <c r="C50" s="216"/>
      <c r="D50" s="216"/>
      <c r="E50" s="216"/>
      <c r="F50" s="216"/>
      <c r="G50" s="216"/>
      <c r="H50" s="216"/>
      <c r="I50" s="216"/>
      <c r="J50" s="216"/>
      <c r="K50" s="216"/>
      <c r="L50" s="216"/>
    </row>
    <row r="51" spans="1:12" ht="15.6">
      <c r="A51" s="216"/>
      <c r="B51" s="216"/>
      <c r="C51" s="216"/>
      <c r="D51" s="216"/>
      <c r="E51" s="216"/>
      <c r="F51" s="216"/>
      <c r="G51" s="216"/>
      <c r="H51" s="216"/>
      <c r="I51" s="216"/>
      <c r="J51" s="216"/>
      <c r="K51" s="216"/>
      <c r="L51" s="216"/>
    </row>
    <row r="52" spans="1:12" ht="15.6">
      <c r="A52" s="216"/>
      <c r="B52" s="216"/>
      <c r="C52" s="216"/>
      <c r="D52" s="216"/>
      <c r="E52" s="216"/>
      <c r="F52" s="216"/>
      <c r="G52" s="216"/>
      <c r="H52" s="216"/>
      <c r="I52" s="216"/>
      <c r="J52" s="216"/>
      <c r="K52" s="216"/>
      <c r="L52" s="216"/>
    </row>
    <row r="53" spans="1:12" ht="15.6">
      <c r="A53" s="216"/>
      <c r="B53" s="216"/>
      <c r="C53" s="216"/>
      <c r="D53" s="216"/>
      <c r="E53" s="216"/>
      <c r="F53" s="216"/>
      <c r="G53" s="216"/>
      <c r="H53" s="216"/>
      <c r="I53" s="216"/>
      <c r="J53" s="216"/>
      <c r="K53" s="216"/>
      <c r="L53" s="216"/>
    </row>
    <row r="54" spans="1:12" ht="15.6">
      <c r="A54" s="216"/>
      <c r="B54" s="216"/>
      <c r="C54" s="216"/>
      <c r="D54" s="216"/>
      <c r="E54" s="216"/>
      <c r="F54" s="216"/>
      <c r="G54" s="216"/>
      <c r="H54" s="216"/>
      <c r="I54" s="216"/>
      <c r="J54" s="216"/>
      <c r="K54" s="216"/>
      <c r="L54" s="216"/>
    </row>
    <row r="55" spans="1:12" ht="15.6">
      <c r="A55" s="216"/>
      <c r="B55" s="216"/>
      <c r="C55" s="216"/>
      <c r="D55" s="216"/>
      <c r="E55" s="216"/>
      <c r="F55" s="216"/>
      <c r="G55" s="216"/>
      <c r="H55" s="216"/>
      <c r="I55" s="216"/>
      <c r="J55" s="216"/>
      <c r="K55" s="216"/>
      <c r="L55" s="216"/>
    </row>
    <row r="56" spans="1:12" ht="15.6">
      <c r="A56" s="216"/>
      <c r="B56" s="216"/>
      <c r="C56" s="216"/>
      <c r="D56" s="216"/>
      <c r="E56" s="216"/>
      <c r="F56" s="216"/>
      <c r="G56" s="216"/>
      <c r="H56" s="216"/>
      <c r="I56" s="216"/>
      <c r="J56" s="216"/>
      <c r="K56" s="216"/>
      <c r="L56" s="216"/>
    </row>
    <row r="57" spans="1:12" ht="15.6">
      <c r="A57" s="216"/>
      <c r="B57" s="216"/>
      <c r="C57" s="216"/>
      <c r="D57" s="216"/>
      <c r="E57" s="216"/>
      <c r="F57" s="216"/>
      <c r="G57" s="216"/>
      <c r="H57" s="216"/>
      <c r="I57" s="216"/>
      <c r="J57" s="216"/>
      <c r="K57" s="216"/>
      <c r="L57" s="216"/>
    </row>
    <row r="58" spans="1:12" ht="15.6">
      <c r="A58" s="216"/>
      <c r="B58" s="216"/>
      <c r="C58" s="216"/>
      <c r="D58" s="216"/>
      <c r="E58" s="216"/>
      <c r="F58" s="216"/>
      <c r="G58" s="216"/>
      <c r="H58" s="216"/>
      <c r="I58" s="216"/>
      <c r="J58" s="216"/>
      <c r="K58" s="216"/>
      <c r="L58" s="216"/>
    </row>
    <row r="59" spans="1:12" ht="15.6">
      <c r="A59" s="216"/>
      <c r="B59" s="216"/>
      <c r="C59" s="216"/>
      <c r="D59" s="216"/>
      <c r="E59" s="216"/>
      <c r="F59" s="216"/>
      <c r="G59" s="216"/>
      <c r="H59" s="216"/>
      <c r="I59" s="216"/>
      <c r="J59" s="216"/>
      <c r="K59" s="216"/>
      <c r="L59" s="216"/>
    </row>
    <row r="60" spans="1:12" ht="15.6">
      <c r="A60" s="216"/>
      <c r="B60" s="216"/>
      <c r="C60" s="216"/>
      <c r="D60" s="216"/>
      <c r="E60" s="216"/>
      <c r="F60" s="216"/>
      <c r="G60" s="216"/>
      <c r="H60" s="216"/>
      <c r="I60" s="216"/>
      <c r="J60" s="216"/>
      <c r="K60" s="216"/>
      <c r="L60" s="216"/>
    </row>
    <row r="61" spans="1:12" ht="15.6">
      <c r="A61" s="216"/>
      <c r="B61" s="216"/>
      <c r="C61" s="216"/>
      <c r="D61" s="216"/>
      <c r="E61" s="216"/>
      <c r="F61" s="216"/>
      <c r="G61" s="216"/>
      <c r="H61" s="216"/>
      <c r="I61" s="216"/>
      <c r="J61" s="216"/>
      <c r="K61" s="216"/>
      <c r="L61" s="216"/>
    </row>
  </sheetData>
  <mergeCells count="31">
    <mergeCell ref="B23:C23"/>
    <mergeCell ref="D23:E23"/>
    <mergeCell ref="F23:G23"/>
    <mergeCell ref="B1:G1"/>
    <mergeCell ref="D21:G21"/>
    <mergeCell ref="B22:C22"/>
    <mergeCell ref="D22:E22"/>
    <mergeCell ref="F22:G22"/>
    <mergeCell ref="B31:C31"/>
    <mergeCell ref="F31:G31"/>
    <mergeCell ref="B24:C24"/>
    <mergeCell ref="D24:E24"/>
    <mergeCell ref="F24:G24"/>
    <mergeCell ref="B25:C25"/>
    <mergeCell ref="D25:E25"/>
    <mergeCell ref="F25:G25"/>
    <mergeCell ref="E28:G28"/>
    <mergeCell ref="B29:C29"/>
    <mergeCell ref="F29:G29"/>
    <mergeCell ref="B30:C30"/>
    <mergeCell ref="F30:G30"/>
    <mergeCell ref="B38:C38"/>
    <mergeCell ref="B40:C40"/>
    <mergeCell ref="D40:E40"/>
    <mergeCell ref="F40:G40"/>
    <mergeCell ref="B32:C32"/>
    <mergeCell ref="F32:G32"/>
    <mergeCell ref="E34:G34"/>
    <mergeCell ref="B35:C35"/>
    <mergeCell ref="B36:C36"/>
    <mergeCell ref="B37:C37"/>
  </mergeCells>
  <printOptions horizontalCentered="1"/>
  <pageMargins left="0.75" right="0.75" top="1" bottom="1" header="0.5" footer="0.5"/>
  <pageSetup scale="98" orientation="portrait" horizontalDpi="0" verticalDpi="3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81"/>
  <sheetViews>
    <sheetView topLeftCell="A4" workbookViewId="0">
      <selection activeCell="L24" sqref="L24"/>
    </sheetView>
  </sheetViews>
  <sheetFormatPr defaultColWidth="9.109375" defaultRowHeight="13.2"/>
  <cols>
    <col min="1" max="6" width="16.6640625" style="214" customWidth="1"/>
    <col min="7" max="16384" width="9.109375" style="214"/>
  </cols>
  <sheetData>
    <row r="1" spans="1:6" ht="18.899999999999999" customHeight="1">
      <c r="A1" s="226"/>
      <c r="B1" s="227"/>
      <c r="C1" s="227"/>
      <c r="D1" s="227"/>
      <c r="E1" s="227"/>
      <c r="F1" s="228"/>
    </row>
    <row r="2" spans="1:6" ht="26.1" customHeight="1">
      <c r="A2" s="229" t="s">
        <v>218</v>
      </c>
      <c r="B2" s="230"/>
      <c r="C2" s="230"/>
      <c r="D2" s="230"/>
      <c r="E2" s="230"/>
      <c r="F2" s="231"/>
    </row>
    <row r="3" spans="1:6" ht="18.899999999999999" customHeight="1">
      <c r="A3" s="589" t="s">
        <v>546</v>
      </c>
      <c r="B3" s="590"/>
      <c r="C3" s="590"/>
      <c r="D3" s="590"/>
      <c r="E3" s="590"/>
      <c r="F3" s="591"/>
    </row>
    <row r="4" spans="1:6" ht="18.899999999999999" customHeight="1">
      <c r="A4" s="592" t="s">
        <v>547</v>
      </c>
      <c r="B4" s="593"/>
      <c r="C4" s="593"/>
      <c r="D4" s="593"/>
      <c r="E4" s="593"/>
      <c r="F4" s="594"/>
    </row>
    <row r="5" spans="1:6" ht="18.899999999999999" customHeight="1">
      <c r="A5" s="232"/>
      <c r="B5" s="233"/>
      <c r="C5" s="233"/>
      <c r="D5" s="233"/>
      <c r="E5" s="233"/>
      <c r="F5" s="234"/>
    </row>
    <row r="6" spans="1:6" ht="18.899999999999999" customHeight="1">
      <c r="A6" s="235" t="s">
        <v>357</v>
      </c>
      <c r="B6" s="575" t="s">
        <v>591</v>
      </c>
      <c r="C6" s="576"/>
      <c r="D6" s="577"/>
      <c r="E6" s="235" t="s">
        <v>358</v>
      </c>
      <c r="F6" s="236">
        <v>121</v>
      </c>
    </row>
    <row r="7" spans="1:6" ht="18.899999999999999" customHeight="1">
      <c r="A7" s="235" t="s">
        <v>359</v>
      </c>
      <c r="B7" s="236" t="s">
        <v>176</v>
      </c>
      <c r="C7" s="235" t="s">
        <v>360</v>
      </c>
      <c r="D7" s="236" t="s">
        <v>382</v>
      </c>
      <c r="E7" s="235" t="s">
        <v>361</v>
      </c>
      <c r="F7" s="236" t="s">
        <v>177</v>
      </c>
    </row>
    <row r="8" spans="1:6" ht="18.899999999999999" customHeight="1">
      <c r="A8" s="235" t="s">
        <v>362</v>
      </c>
      <c r="B8" s="236">
        <v>2</v>
      </c>
      <c r="C8" s="235" t="s">
        <v>363</v>
      </c>
      <c r="D8" s="236" t="s">
        <v>364</v>
      </c>
      <c r="E8" s="235" t="s">
        <v>365</v>
      </c>
      <c r="F8" s="236" t="s">
        <v>311</v>
      </c>
    </row>
    <row r="9" spans="1:6" ht="18.899999999999999" customHeight="1">
      <c r="A9" s="235" t="s">
        <v>366</v>
      </c>
      <c r="B9" s="236">
        <v>1000</v>
      </c>
      <c r="C9" s="235" t="s">
        <v>367</v>
      </c>
      <c r="D9" s="236" t="s">
        <v>383</v>
      </c>
      <c r="E9" s="235" t="s">
        <v>2</v>
      </c>
      <c r="F9" s="237">
        <v>41610</v>
      </c>
    </row>
    <row r="10" spans="1:6" ht="18.899999999999999" customHeight="1">
      <c r="A10" s="235" t="s">
        <v>368</v>
      </c>
      <c r="B10" s="236">
        <v>3580</v>
      </c>
      <c r="C10" s="235" t="s">
        <v>369</v>
      </c>
      <c r="D10" s="236" t="s">
        <v>552</v>
      </c>
      <c r="E10" s="235" t="s">
        <v>1</v>
      </c>
      <c r="F10" s="236" t="s">
        <v>639</v>
      </c>
    </row>
    <row r="11" spans="1:6" ht="18.899999999999999" customHeight="1">
      <c r="A11" s="232"/>
      <c r="B11" s="233"/>
      <c r="C11" s="233"/>
      <c r="D11" s="233"/>
      <c r="E11" s="233"/>
      <c r="F11" s="234"/>
    </row>
    <row r="12" spans="1:6" ht="18.899999999999999" customHeight="1">
      <c r="A12" s="232"/>
      <c r="B12" s="238"/>
      <c r="C12" s="239"/>
      <c r="D12" s="238"/>
      <c r="E12" s="239"/>
      <c r="F12" s="234"/>
    </row>
    <row r="13" spans="1:6" ht="18.899999999999999" customHeight="1">
      <c r="A13" s="232"/>
      <c r="B13" s="238"/>
      <c r="C13" s="240"/>
      <c r="D13" s="238"/>
      <c r="E13" s="239"/>
      <c r="F13" s="234"/>
    </row>
    <row r="14" spans="1:6" ht="18.899999999999999" customHeight="1">
      <c r="A14" s="232"/>
      <c r="B14" s="238"/>
      <c r="C14" s="240"/>
      <c r="D14" s="238"/>
      <c r="E14" s="239"/>
      <c r="F14" s="234"/>
    </row>
    <row r="15" spans="1:6" ht="18.899999999999999" customHeight="1">
      <c r="A15" s="232"/>
      <c r="B15" s="238"/>
      <c r="C15" s="239"/>
      <c r="D15" s="233"/>
      <c r="E15" s="233"/>
      <c r="F15" s="234"/>
    </row>
    <row r="16" spans="1:6" ht="18.899999999999999" customHeight="1">
      <c r="A16" s="232"/>
      <c r="B16" s="233"/>
      <c r="C16" s="233"/>
      <c r="D16" s="233"/>
      <c r="E16" s="233"/>
      <c r="F16" s="234"/>
    </row>
    <row r="17" spans="1:6" ht="18.899999999999999" customHeight="1">
      <c r="A17" s="232"/>
      <c r="B17" s="233"/>
      <c r="C17" s="233"/>
      <c r="D17" s="233"/>
      <c r="E17" s="233"/>
      <c r="F17" s="234"/>
    </row>
    <row r="18" spans="1:6" ht="18.899999999999999" customHeight="1">
      <c r="A18" s="232"/>
      <c r="B18" s="233"/>
      <c r="C18" s="233"/>
      <c r="D18" s="233"/>
      <c r="E18" s="233"/>
      <c r="F18" s="234"/>
    </row>
    <row r="19" spans="1:6" ht="18.899999999999999" customHeight="1">
      <c r="A19" s="232"/>
      <c r="B19" s="233"/>
      <c r="C19" s="233"/>
      <c r="D19" s="233"/>
      <c r="E19" s="233"/>
      <c r="F19" s="234"/>
    </row>
    <row r="20" spans="1:6" ht="18.899999999999999" customHeight="1">
      <c r="A20" s="232"/>
      <c r="B20" s="233"/>
      <c r="C20" s="233"/>
      <c r="D20" s="233"/>
      <c r="E20" s="233"/>
      <c r="F20" s="234"/>
    </row>
    <row r="21" spans="1:6" ht="18.899999999999999" customHeight="1">
      <c r="A21" s="232"/>
      <c r="B21" s="233"/>
      <c r="C21" s="233"/>
      <c r="D21" s="233"/>
      <c r="E21" s="233"/>
      <c r="F21" s="234"/>
    </row>
    <row r="22" spans="1:6" ht="18.899999999999999" customHeight="1">
      <c r="A22" s="232"/>
      <c r="B22" s="233"/>
      <c r="C22" s="233"/>
      <c r="D22" s="233"/>
      <c r="E22" s="233"/>
      <c r="F22" s="234"/>
    </row>
    <row r="23" spans="1:6" ht="18.899999999999999" customHeight="1">
      <c r="A23" s="232"/>
      <c r="B23" s="233"/>
      <c r="C23" s="233"/>
      <c r="D23" s="233"/>
      <c r="E23" s="233"/>
      <c r="F23" s="234"/>
    </row>
    <row r="24" spans="1:6" ht="18.899999999999999" customHeight="1">
      <c r="A24" s="232"/>
      <c r="B24" s="233"/>
      <c r="C24" s="233"/>
      <c r="D24" s="233"/>
      <c r="E24" s="233"/>
      <c r="F24" s="234"/>
    </row>
    <row r="25" spans="1:6" ht="18.899999999999999" customHeight="1">
      <c r="A25" s="232"/>
      <c r="B25" s="233"/>
      <c r="C25" s="233"/>
      <c r="D25" s="233"/>
      <c r="E25" s="233"/>
      <c r="F25" s="234"/>
    </row>
    <row r="26" spans="1:6" ht="18.899999999999999" customHeight="1">
      <c r="A26" s="232"/>
      <c r="B26" s="233"/>
      <c r="C26" s="233"/>
      <c r="D26" s="233"/>
      <c r="E26" s="233"/>
      <c r="F26" s="234"/>
    </row>
    <row r="27" spans="1:6" ht="18.899999999999999" customHeight="1">
      <c r="A27" s="232"/>
      <c r="B27" s="233"/>
      <c r="C27" s="233"/>
      <c r="D27" s="233"/>
      <c r="E27" s="233"/>
      <c r="F27" s="234"/>
    </row>
    <row r="28" spans="1:6" ht="18.899999999999999" customHeight="1">
      <c r="A28" s="232"/>
      <c r="B28" s="233"/>
      <c r="C28" s="233"/>
      <c r="D28" s="233"/>
      <c r="E28" s="233"/>
      <c r="F28" s="234"/>
    </row>
    <row r="29" spans="1:6" ht="18.899999999999999" customHeight="1">
      <c r="A29" s="232"/>
      <c r="B29" s="233"/>
      <c r="C29" s="233"/>
      <c r="D29" s="233"/>
      <c r="E29" s="233"/>
      <c r="F29" s="234"/>
    </row>
    <row r="30" spans="1:6" ht="18.899999999999999" customHeight="1">
      <c r="A30" s="232"/>
      <c r="B30" s="233"/>
      <c r="C30" s="233"/>
      <c r="D30" s="233"/>
      <c r="E30" s="233"/>
      <c r="F30" s="234"/>
    </row>
    <row r="31" spans="1:6" ht="18.899999999999999" customHeight="1">
      <c r="A31" s="232"/>
      <c r="B31" s="233"/>
      <c r="C31" s="233"/>
      <c r="D31" s="233"/>
      <c r="E31" s="233"/>
      <c r="F31" s="234"/>
    </row>
    <row r="32" spans="1:6" ht="18.899999999999999" customHeight="1">
      <c r="A32" s="232"/>
      <c r="B32" s="233"/>
      <c r="C32" s="233"/>
      <c r="D32" s="233"/>
      <c r="E32" s="233"/>
      <c r="F32" s="234"/>
    </row>
    <row r="33" spans="1:6" ht="18.899999999999999" customHeight="1">
      <c r="A33" s="232"/>
      <c r="B33" s="233"/>
      <c r="C33" s="233"/>
      <c r="D33" s="233"/>
      <c r="E33" s="233"/>
      <c r="F33" s="234"/>
    </row>
    <row r="34" spans="1:6" ht="18.899999999999999" customHeight="1">
      <c r="A34" s="232"/>
      <c r="B34" s="233"/>
      <c r="C34" s="233"/>
      <c r="D34" s="233"/>
      <c r="E34" s="233"/>
      <c r="F34" s="234"/>
    </row>
    <row r="35" spans="1:6" ht="18.899999999999999" customHeight="1">
      <c r="A35" s="232"/>
      <c r="B35" s="233"/>
      <c r="C35" s="233"/>
      <c r="D35" s="233"/>
      <c r="E35" s="233"/>
      <c r="F35" s="234"/>
    </row>
    <row r="36" spans="1:6" ht="18.899999999999999" customHeight="1">
      <c r="A36" s="232"/>
      <c r="B36" s="233"/>
      <c r="C36" s="233"/>
      <c r="D36" s="233"/>
      <c r="E36" s="233"/>
      <c r="F36" s="234"/>
    </row>
    <row r="37" spans="1:6" ht="18.899999999999999" customHeight="1">
      <c r="A37" s="232"/>
      <c r="B37" s="233"/>
      <c r="C37" s="233"/>
      <c r="D37" s="233"/>
      <c r="E37" s="233"/>
      <c r="F37" s="234"/>
    </row>
    <row r="38" spans="1:6" ht="18.899999999999999" customHeight="1">
      <c r="A38" s="232"/>
      <c r="B38" s="233"/>
      <c r="C38" s="233"/>
      <c r="D38" s="233"/>
      <c r="E38" s="233"/>
      <c r="F38" s="234"/>
    </row>
    <row r="39" spans="1:6" ht="18.899999999999999" customHeight="1">
      <c r="A39" s="241" t="s">
        <v>378</v>
      </c>
      <c r="B39" s="242"/>
      <c r="C39" s="242"/>
      <c r="D39" s="233"/>
      <c r="E39" s="238" t="s">
        <v>379</v>
      </c>
      <c r="F39" s="243"/>
    </row>
    <row r="40" spans="1:6" ht="18.899999999999999" customHeight="1">
      <c r="A40" s="232"/>
      <c r="B40" s="242"/>
      <c r="C40" s="242"/>
      <c r="D40" s="233"/>
      <c r="E40" s="233"/>
      <c r="F40" s="234"/>
    </row>
    <row r="41" spans="1:6" ht="18.899999999999999" customHeight="1">
      <c r="A41" s="232"/>
      <c r="B41" s="242"/>
      <c r="C41" s="242"/>
      <c r="D41" s="233"/>
      <c r="E41" s="233"/>
      <c r="F41" s="234"/>
    </row>
    <row r="42" spans="1:6" ht="18.899999999999999" customHeight="1">
      <c r="A42" s="232"/>
      <c r="B42" s="233"/>
      <c r="C42" s="233"/>
      <c r="D42" s="233"/>
      <c r="E42" s="233"/>
      <c r="F42" s="234"/>
    </row>
    <row r="43" spans="1:6" ht="18.899999999999999" customHeight="1">
      <c r="A43" s="244"/>
      <c r="B43" s="242"/>
      <c r="C43" s="245" t="s">
        <v>380</v>
      </c>
      <c r="D43" s="246" t="s">
        <v>594</v>
      </c>
      <c r="E43" s="245" t="s">
        <v>381</v>
      </c>
      <c r="F43" s="246" t="s">
        <v>637</v>
      </c>
    </row>
    <row r="44" spans="1:6" ht="15" customHeight="1"/>
    <row r="45" spans="1:6" ht="15" customHeight="1"/>
    <row r="46" spans="1:6" ht="15" customHeight="1"/>
    <row r="47" spans="1:6" ht="15" customHeight="1"/>
    <row r="48" spans="1:6" ht="15" customHeight="1"/>
    <row r="49" spans="6:9" ht="15" customHeight="1"/>
    <row r="50" spans="6:9" ht="15" customHeight="1">
      <c r="F50" s="247" t="e">
        <f>5252.1*B50/D53</f>
        <v>#DIV/0!</v>
      </c>
      <c r="G50" s="247"/>
    </row>
    <row r="51" spans="6:9" ht="15" customHeight="1">
      <c r="G51" s="248"/>
    </row>
    <row r="52" spans="6:9" ht="15" customHeight="1"/>
    <row r="53" spans="6:9" ht="15" customHeight="1"/>
    <row r="54" spans="6:9" ht="15" customHeight="1"/>
    <row r="55" spans="6:9" ht="15" customHeight="1"/>
    <row r="56" spans="6:9" ht="15" customHeight="1"/>
    <row r="62" spans="6:9">
      <c r="I62" s="249"/>
    </row>
    <row r="63" spans="6:9">
      <c r="I63" s="250" t="s">
        <v>39</v>
      </c>
    </row>
    <row r="64" spans="6:9">
      <c r="I64" s="250"/>
    </row>
    <row r="65" spans="1:9">
      <c r="I65" s="250"/>
    </row>
    <row r="66" spans="1:9">
      <c r="D66" s="247" t="e">
        <f>D65/D64</f>
        <v>#DIV/0!</v>
      </c>
    </row>
    <row r="67" spans="1:9">
      <c r="A67" s="251" t="s">
        <v>354</v>
      </c>
      <c r="B67" s="251" t="s">
        <v>548</v>
      </c>
      <c r="C67" s="251" t="s">
        <v>549</v>
      </c>
      <c r="E67" s="251" t="s">
        <v>550</v>
      </c>
      <c r="F67" s="251" t="s">
        <v>551</v>
      </c>
    </row>
    <row r="68" spans="1:9">
      <c r="A68" s="252">
        <v>630.57851239669424</v>
      </c>
      <c r="B68" s="253">
        <v>35</v>
      </c>
      <c r="C68" s="253">
        <v>15</v>
      </c>
      <c r="E68" s="252">
        <f>A68</f>
        <v>630.57851239669424</v>
      </c>
      <c r="F68" s="253">
        <v>1E-4</v>
      </c>
    </row>
    <row r="69" spans="1:9">
      <c r="A69" s="252">
        <v>561.05929421487599</v>
      </c>
      <c r="B69" s="253">
        <f>((A68/A69)^2)*B68</f>
        <v>44.210849262475534</v>
      </c>
      <c r="C69" s="253">
        <f>((A68/A69)^2)*C68</f>
        <v>18.947506826775228</v>
      </c>
      <c r="E69" s="252">
        <v>629.58677685950408</v>
      </c>
      <c r="F69" s="253">
        <v>1.0950000286102295</v>
      </c>
    </row>
    <row r="70" spans="1:9">
      <c r="A70" s="252">
        <v>491.51921818181819</v>
      </c>
      <c r="B70" s="253">
        <f>((A68/A70)^2)*B68</f>
        <v>57.605688703077043</v>
      </c>
      <c r="C70" s="253">
        <f>((A68/A70)^2)*C68</f>
        <v>24.688152301318731</v>
      </c>
      <c r="E70" s="252">
        <v>627.35537190082641</v>
      </c>
      <c r="F70" s="253">
        <v>2.0060000419616699</v>
      </c>
    </row>
    <row r="71" spans="1:9">
      <c r="A71" s="252">
        <v>422</v>
      </c>
      <c r="B71" s="253">
        <f>((A68/A71)^2)*B68</f>
        <v>78.148649571971518</v>
      </c>
      <c r="C71" s="253">
        <f>((A68/A71)^2)*C68</f>
        <v>33.492278387987788</v>
      </c>
      <c r="E71" s="252">
        <v>624.7933884297521</v>
      </c>
      <c r="F71" s="253">
        <v>2.8580000400543213</v>
      </c>
    </row>
    <row r="72" spans="1:9">
      <c r="A72" s="252">
        <f>A71-100</f>
        <v>322</v>
      </c>
      <c r="B72" s="253">
        <f>((A68/A72)^2)*B68</f>
        <v>134.22537817189706</v>
      </c>
      <c r="C72" s="253"/>
      <c r="E72" s="252">
        <v>621.7355371900826</v>
      </c>
      <c r="F72" s="253">
        <v>3.7100000381469727</v>
      </c>
    </row>
    <row r="73" spans="1:9">
      <c r="A73" s="252">
        <f>A72-100</f>
        <v>222</v>
      </c>
      <c r="B73" s="253">
        <f>((A68/A73)^2)*B68</f>
        <v>282.38422429946792</v>
      </c>
      <c r="C73" s="253"/>
      <c r="E73" s="252">
        <v>618.18181818181813</v>
      </c>
      <c r="F73" s="253">
        <v>4.6139998435974121</v>
      </c>
    </row>
    <row r="74" spans="1:9">
      <c r="A74" s="252">
        <v>275</v>
      </c>
      <c r="B74" s="253">
        <f>((A68/A74)^2)*B68</f>
        <v>184.02676509586746</v>
      </c>
      <c r="C74" s="253">
        <f>((A68/A74)^2)*C68</f>
        <v>78.868613612514622</v>
      </c>
      <c r="E74" s="252">
        <v>613.88429752066111</v>
      </c>
      <c r="F74" s="253">
        <v>5.7039999961853027</v>
      </c>
    </row>
    <row r="75" spans="1:9">
      <c r="A75" s="254">
        <v>180</v>
      </c>
      <c r="B75" s="253">
        <f>((A68/A75)^2)*B69</f>
        <v>542.57800275663635</v>
      </c>
      <c r="C75" s="253">
        <f>((A68/A75)^2)*C68</f>
        <v>184.08762050760549</v>
      </c>
      <c r="E75" s="252">
        <v>608.84297520661153</v>
      </c>
      <c r="F75" s="253">
        <v>6.9580001831054688</v>
      </c>
    </row>
    <row r="76" spans="1:9">
      <c r="A76" s="254">
        <v>120</v>
      </c>
      <c r="B76" s="253">
        <f>((A68/A76)^2)*B68</f>
        <v>966.46000766492887</v>
      </c>
      <c r="C76" s="253">
        <f>((A68/A76)^2)*C68</f>
        <v>414.19714614211239</v>
      </c>
      <c r="E76" s="252">
        <v>602.06611570247935</v>
      </c>
      <c r="F76" s="253">
        <v>8.505000114440918</v>
      </c>
    </row>
    <row r="77" spans="1:9">
      <c r="A77" s="254">
        <v>110</v>
      </c>
      <c r="B77" s="253"/>
      <c r="C77" s="252">
        <f>CEILING(C76*2,100)</f>
        <v>900</v>
      </c>
      <c r="E77" s="252">
        <v>594.38016528925618</v>
      </c>
      <c r="F77" s="253">
        <v>9.3780002593994141</v>
      </c>
    </row>
    <row r="78" spans="1:9">
      <c r="A78" s="254">
        <v>110</v>
      </c>
      <c r="B78" s="253"/>
      <c r="C78" s="252">
        <f>2*C77</f>
        <v>1800</v>
      </c>
      <c r="E78" s="252">
        <v>581.98347107438019</v>
      </c>
      <c r="F78" s="253">
        <v>10.067999839782715</v>
      </c>
    </row>
    <row r="79" spans="1:9">
      <c r="A79" s="254">
        <v>110</v>
      </c>
      <c r="B79" s="254"/>
      <c r="C79" s="254">
        <v>10000</v>
      </c>
      <c r="E79" s="252">
        <v>539.17355371900828</v>
      </c>
      <c r="F79" s="253">
        <v>10.345999717712402</v>
      </c>
    </row>
    <row r="80" spans="1:9">
      <c r="E80" s="252">
        <v>343.47107438016531</v>
      </c>
      <c r="F80" s="253">
        <v>10.38499927520752</v>
      </c>
    </row>
    <row r="81" spans="5:6">
      <c r="E81" s="252">
        <v>0</v>
      </c>
      <c r="F81" s="253">
        <v>10.418999671936035</v>
      </c>
    </row>
  </sheetData>
  <mergeCells count="3">
    <mergeCell ref="A3:F3"/>
    <mergeCell ref="A4:F4"/>
    <mergeCell ref="B6:D6"/>
  </mergeCells>
  <printOptions horizontalCentered="1" verticalCentered="1"/>
  <pageMargins left="0.59055118110236204" right="0.59055118110236204" top="0.59055118110236204" bottom="0.59055118110236204" header="0" footer="0"/>
  <pageSetup scale="87" orientation="portrait" horizontalDpi="0" verticalDpi="300" r:id="rId1"/>
  <headerFooter alignWithMargins="0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3"/>
  <sheetViews>
    <sheetView workbookViewId="0">
      <selection sqref="A1:K1"/>
    </sheetView>
  </sheetViews>
  <sheetFormatPr defaultColWidth="9.109375" defaultRowHeight="13.2"/>
  <cols>
    <col min="1" max="1" width="9.5546875" style="214" customWidth="1"/>
    <col min="2" max="11" width="7.6640625" style="214" customWidth="1"/>
    <col min="12" max="16384" width="9.109375" style="214"/>
  </cols>
  <sheetData>
    <row r="1" spans="1:12" ht="20.399999999999999">
      <c r="A1" s="597" t="s">
        <v>553</v>
      </c>
      <c r="B1" s="597"/>
      <c r="C1" s="597"/>
      <c r="D1" s="597"/>
      <c r="E1" s="597"/>
      <c r="F1" s="597"/>
      <c r="G1" s="597"/>
      <c r="H1" s="597"/>
      <c r="I1" s="597"/>
      <c r="J1" s="597"/>
      <c r="K1" s="597"/>
      <c r="L1" s="216"/>
    </row>
    <row r="2" spans="1:12" ht="30" customHeight="1">
      <c r="A2" s="216"/>
      <c r="B2" s="216"/>
      <c r="C2" s="216"/>
      <c r="D2" s="216"/>
      <c r="E2" s="216"/>
      <c r="F2" s="216"/>
      <c r="G2" s="216"/>
      <c r="H2" s="216"/>
      <c r="I2" s="216"/>
      <c r="J2" s="216"/>
      <c r="K2" s="216"/>
      <c r="L2" s="216"/>
    </row>
    <row r="3" spans="1:12" ht="18">
      <c r="A3" s="255" t="s">
        <v>391</v>
      </c>
      <c r="B3" s="256" t="s">
        <v>430</v>
      </c>
      <c r="C3" s="216"/>
      <c r="D3" s="216"/>
      <c r="E3" s="216"/>
      <c r="F3" s="216"/>
      <c r="G3" s="216"/>
      <c r="H3" s="216"/>
      <c r="I3" s="216"/>
      <c r="J3" s="216"/>
      <c r="K3" s="216"/>
      <c r="L3" s="216"/>
    </row>
    <row r="4" spans="1:12" ht="12" customHeight="1">
      <c r="A4" s="216"/>
      <c r="B4" s="216"/>
      <c r="C4" s="216"/>
      <c r="D4" s="216"/>
      <c r="E4" s="216"/>
      <c r="F4" s="216"/>
      <c r="G4" s="216"/>
      <c r="H4" s="216"/>
      <c r="I4" s="216"/>
      <c r="J4" s="216"/>
      <c r="K4" s="216"/>
      <c r="L4" s="216"/>
    </row>
    <row r="5" spans="1:12" ht="18">
      <c r="A5" s="257" t="s">
        <v>554</v>
      </c>
      <c r="B5" s="258"/>
      <c r="C5" s="258"/>
      <c r="D5" s="258"/>
      <c r="E5" s="258"/>
      <c r="F5" s="216"/>
      <c r="G5" s="216"/>
      <c r="H5" s="216"/>
      <c r="I5" s="216"/>
      <c r="J5" s="216"/>
      <c r="K5" s="216"/>
      <c r="L5" s="216"/>
    </row>
    <row r="6" spans="1:12" ht="17.25" customHeight="1">
      <c r="A6" s="216"/>
      <c r="B6" s="216"/>
      <c r="C6" s="216"/>
      <c r="D6" s="216"/>
      <c r="E6" s="216"/>
      <c r="F6" s="216"/>
      <c r="G6" s="216"/>
      <c r="H6" s="216"/>
      <c r="I6" s="216"/>
      <c r="J6" s="216"/>
      <c r="K6" s="216"/>
      <c r="L6" s="216"/>
    </row>
    <row r="7" spans="1:12" ht="15.6">
      <c r="A7" s="216"/>
      <c r="B7" s="259" t="s">
        <v>555</v>
      </c>
      <c r="C7" s="260">
        <v>0</v>
      </c>
      <c r="D7" s="259" t="s">
        <v>555</v>
      </c>
      <c r="E7" s="261" t="s">
        <v>556</v>
      </c>
      <c r="F7" s="259" t="s">
        <v>555</v>
      </c>
      <c r="G7" s="261" t="s">
        <v>557</v>
      </c>
      <c r="H7" s="259" t="s">
        <v>558</v>
      </c>
      <c r="I7" s="261">
        <v>0</v>
      </c>
      <c r="J7" s="259" t="s">
        <v>558</v>
      </c>
      <c r="K7" s="261">
        <v>5.0000000000000001E-3</v>
      </c>
      <c r="L7" s="216"/>
    </row>
    <row r="8" spans="1:12" ht="15.6">
      <c r="A8" s="219" t="s">
        <v>559</v>
      </c>
      <c r="B8" s="582">
        <v>6</v>
      </c>
      <c r="C8" s="582"/>
      <c r="D8" s="582">
        <v>12</v>
      </c>
      <c r="E8" s="582"/>
      <c r="F8" s="582">
        <v>0</v>
      </c>
      <c r="G8" s="582"/>
      <c r="H8" s="582" t="s">
        <v>574</v>
      </c>
      <c r="I8" s="582"/>
      <c r="J8" s="582" t="s">
        <v>575</v>
      </c>
      <c r="K8" s="582"/>
      <c r="L8" s="216"/>
    </row>
    <row r="9" spans="1:12" ht="15.6">
      <c r="A9" s="219" t="s">
        <v>560</v>
      </c>
      <c r="B9" s="582">
        <v>10</v>
      </c>
      <c r="C9" s="582"/>
      <c r="D9" s="582">
        <v>16</v>
      </c>
      <c r="E9" s="582"/>
      <c r="F9" s="582">
        <v>4</v>
      </c>
      <c r="G9" s="582"/>
      <c r="H9" s="582" t="s">
        <v>576</v>
      </c>
      <c r="I9" s="582"/>
      <c r="J9" s="582" t="s">
        <v>577</v>
      </c>
      <c r="K9" s="582"/>
      <c r="L9" s="216"/>
    </row>
    <row r="10" spans="1:12" ht="15.6">
      <c r="A10" s="219" t="s">
        <v>561</v>
      </c>
      <c r="B10" s="582">
        <v>8</v>
      </c>
      <c r="C10" s="582"/>
      <c r="D10" s="582">
        <v>14</v>
      </c>
      <c r="E10" s="582"/>
      <c r="F10" s="582">
        <v>2</v>
      </c>
      <c r="G10" s="582"/>
      <c r="H10" s="582" t="s">
        <v>578</v>
      </c>
      <c r="I10" s="582"/>
      <c r="J10" s="582" t="s">
        <v>579</v>
      </c>
      <c r="K10" s="582"/>
      <c r="L10" s="216"/>
    </row>
    <row r="11" spans="1:12" ht="26.25" customHeight="1">
      <c r="A11" s="216"/>
      <c r="B11" s="216"/>
      <c r="C11" s="216"/>
      <c r="D11" s="216"/>
      <c r="E11" s="216"/>
      <c r="F11" s="216"/>
      <c r="G11" s="216"/>
      <c r="H11" s="216"/>
      <c r="I11" s="216"/>
      <c r="J11" s="216"/>
      <c r="K11" s="216"/>
      <c r="L11" s="216"/>
    </row>
    <row r="12" spans="1:12" ht="18">
      <c r="A12" s="257" t="s">
        <v>562</v>
      </c>
      <c r="B12" s="216"/>
      <c r="C12" s="216"/>
      <c r="D12" s="216"/>
      <c r="E12" s="216"/>
      <c r="F12" s="216"/>
      <c r="G12" s="216"/>
      <c r="H12" s="216"/>
      <c r="I12" s="216"/>
      <c r="J12" s="216"/>
      <c r="K12" s="216"/>
      <c r="L12" s="216"/>
    </row>
    <row r="13" spans="1:12" ht="15.6">
      <c r="A13" s="216"/>
      <c r="B13" s="216"/>
      <c r="C13" s="216"/>
      <c r="D13" s="216"/>
      <c r="E13" s="216"/>
      <c r="F13" s="216"/>
      <c r="G13" s="216"/>
      <c r="H13" s="216"/>
      <c r="I13" s="216"/>
      <c r="J13" s="216"/>
      <c r="K13" s="216"/>
      <c r="L13" s="216"/>
    </row>
    <row r="14" spans="1:12" ht="15.6">
      <c r="A14" s="216"/>
      <c r="B14" s="595" t="s">
        <v>563</v>
      </c>
      <c r="C14" s="578"/>
      <c r="D14" s="596" t="s">
        <v>580</v>
      </c>
      <c r="E14" s="582"/>
      <c r="F14" s="595" t="s">
        <v>564</v>
      </c>
      <c r="G14" s="578"/>
      <c r="H14" s="596" t="s">
        <v>585</v>
      </c>
      <c r="I14" s="582"/>
      <c r="J14" s="216"/>
      <c r="K14" s="216"/>
      <c r="L14" s="216"/>
    </row>
    <row r="15" spans="1:12" ht="15.6">
      <c r="A15" s="216"/>
      <c r="B15" s="595" t="s">
        <v>565</v>
      </c>
      <c r="C15" s="578"/>
      <c r="D15" s="596" t="s">
        <v>581</v>
      </c>
      <c r="E15" s="582"/>
      <c r="F15" s="595" t="s">
        <v>566</v>
      </c>
      <c r="G15" s="578"/>
      <c r="H15" s="596" t="s">
        <v>586</v>
      </c>
      <c r="I15" s="582"/>
      <c r="J15" s="216"/>
      <c r="K15" s="216"/>
      <c r="L15" s="216"/>
    </row>
    <row r="16" spans="1:12" ht="15.6">
      <c r="A16" s="216"/>
      <c r="B16" s="595" t="s">
        <v>567</v>
      </c>
      <c r="C16" s="578"/>
      <c r="D16" s="596" t="s">
        <v>582</v>
      </c>
      <c r="E16" s="582"/>
      <c r="F16" s="595" t="s">
        <v>568</v>
      </c>
      <c r="G16" s="578"/>
      <c r="H16" s="596" t="s">
        <v>587</v>
      </c>
      <c r="I16" s="582"/>
      <c r="J16" s="216"/>
      <c r="K16" s="216"/>
      <c r="L16" s="216"/>
    </row>
    <row r="17" spans="1:12" ht="15.6">
      <c r="A17" s="216"/>
      <c r="B17" s="595" t="s">
        <v>569</v>
      </c>
      <c r="C17" s="578"/>
      <c r="D17" s="596" t="s">
        <v>583</v>
      </c>
      <c r="E17" s="582"/>
      <c r="F17" s="595" t="s">
        <v>570</v>
      </c>
      <c r="G17" s="578"/>
      <c r="H17" s="596" t="s">
        <v>588</v>
      </c>
      <c r="I17" s="582"/>
      <c r="J17" s="216"/>
      <c r="K17" s="216"/>
      <c r="L17" s="216"/>
    </row>
    <row r="18" spans="1:12" ht="15.6">
      <c r="A18" s="216"/>
      <c r="B18" s="595" t="s">
        <v>571</v>
      </c>
      <c r="C18" s="578"/>
      <c r="D18" s="596" t="s">
        <v>584</v>
      </c>
      <c r="E18" s="582"/>
      <c r="F18" s="595" t="s">
        <v>572</v>
      </c>
      <c r="G18" s="578"/>
      <c r="H18" s="596" t="s">
        <v>589</v>
      </c>
      <c r="I18" s="582"/>
      <c r="J18" s="216"/>
      <c r="K18" s="216"/>
      <c r="L18" s="216"/>
    </row>
    <row r="19" spans="1:12" ht="27" customHeight="1">
      <c r="A19" s="216"/>
      <c r="B19" s="216"/>
      <c r="C19" s="216"/>
      <c r="D19" s="216"/>
      <c r="E19" s="216"/>
      <c r="F19" s="216"/>
      <c r="G19" s="216"/>
      <c r="H19" s="216"/>
      <c r="I19" s="216"/>
      <c r="J19" s="216"/>
      <c r="K19" s="216"/>
      <c r="L19" s="216"/>
    </row>
    <row r="20" spans="1:12" ht="18">
      <c r="A20" s="257" t="s">
        <v>573</v>
      </c>
      <c r="B20" s="216"/>
      <c r="C20" s="216"/>
      <c r="D20" s="216"/>
      <c r="E20" s="216"/>
      <c r="F20" s="216"/>
      <c r="G20" s="216"/>
      <c r="H20" s="216"/>
      <c r="I20" s="216"/>
      <c r="J20" s="216"/>
      <c r="K20" s="216"/>
      <c r="L20" s="216"/>
    </row>
    <row r="21" spans="1:12" ht="15.6">
      <c r="A21" s="216"/>
      <c r="B21" s="216"/>
      <c r="C21" s="216"/>
      <c r="D21" s="216"/>
      <c r="E21" s="216"/>
      <c r="F21" s="216"/>
      <c r="G21" s="216"/>
      <c r="H21" s="216"/>
      <c r="I21" s="216"/>
      <c r="J21" s="216"/>
      <c r="K21" s="216"/>
      <c r="L21" s="216"/>
    </row>
    <row r="22" spans="1:12" ht="18">
      <c r="A22" s="216"/>
      <c r="B22" s="257" t="s">
        <v>590</v>
      </c>
      <c r="C22" s="216"/>
      <c r="D22" s="216"/>
      <c r="E22" s="216"/>
      <c r="F22" s="216"/>
      <c r="G22" s="216"/>
      <c r="H22" s="216"/>
      <c r="I22" s="216"/>
      <c r="J22" s="216"/>
      <c r="K22" s="216"/>
      <c r="L22" s="216"/>
    </row>
    <row r="23" spans="1:12" ht="15.6">
      <c r="A23" s="216"/>
      <c r="B23" s="216"/>
      <c r="C23" s="216"/>
      <c r="D23" s="216"/>
      <c r="E23" s="216"/>
      <c r="F23" s="216"/>
      <c r="G23" s="216"/>
      <c r="H23" s="216"/>
      <c r="I23" s="216"/>
      <c r="J23" s="216"/>
      <c r="K23" s="216"/>
      <c r="L23" s="216"/>
    </row>
    <row r="24" spans="1:12" ht="15.6">
      <c r="A24" s="216"/>
      <c r="B24" s="216"/>
      <c r="C24" s="216"/>
      <c r="D24" s="216"/>
      <c r="E24" s="216"/>
      <c r="F24" s="216"/>
      <c r="G24" s="216"/>
      <c r="H24" s="216"/>
      <c r="I24" s="216"/>
      <c r="J24" s="216"/>
      <c r="K24" s="216"/>
      <c r="L24" s="216"/>
    </row>
    <row r="25" spans="1:12" ht="15.6">
      <c r="A25" s="216"/>
      <c r="B25" s="216"/>
      <c r="C25" s="216"/>
      <c r="D25" s="216"/>
      <c r="E25" s="216"/>
      <c r="F25" s="216"/>
      <c r="G25" s="216"/>
      <c r="H25" s="216"/>
      <c r="I25" s="216"/>
      <c r="J25" s="216"/>
      <c r="K25" s="216"/>
      <c r="L25" s="216"/>
    </row>
    <row r="26" spans="1:12" ht="15.6">
      <c r="A26" s="216"/>
      <c r="B26" s="216"/>
      <c r="C26" s="216"/>
      <c r="D26" s="216"/>
      <c r="E26" s="216"/>
      <c r="F26" s="216"/>
      <c r="G26" s="216"/>
      <c r="H26" s="216"/>
      <c r="I26" s="216"/>
      <c r="J26" s="216"/>
      <c r="K26" s="216"/>
      <c r="L26" s="216"/>
    </row>
    <row r="27" spans="1:12" ht="15.6">
      <c r="A27" s="216"/>
      <c r="B27" s="216"/>
      <c r="C27" s="216"/>
      <c r="D27" s="216"/>
      <c r="E27" s="216"/>
      <c r="F27" s="216"/>
      <c r="G27" s="216"/>
      <c r="H27" s="216"/>
      <c r="I27" s="216"/>
      <c r="J27" s="216"/>
      <c r="K27" s="216"/>
      <c r="L27" s="216"/>
    </row>
    <row r="28" spans="1:12" ht="15.6">
      <c r="A28" s="216"/>
      <c r="B28" s="216"/>
      <c r="C28" s="216"/>
      <c r="D28" s="216"/>
      <c r="E28" s="216"/>
      <c r="F28" s="216"/>
      <c r="G28" s="216"/>
      <c r="H28" s="216"/>
      <c r="I28" s="216"/>
      <c r="J28" s="216"/>
      <c r="K28" s="216"/>
      <c r="L28" s="216"/>
    </row>
    <row r="29" spans="1:12" ht="15.6">
      <c r="A29" s="216"/>
      <c r="B29" s="216"/>
      <c r="C29" s="216"/>
      <c r="D29" s="216"/>
      <c r="E29" s="216"/>
      <c r="F29" s="216"/>
      <c r="G29" s="216"/>
      <c r="H29" s="216"/>
      <c r="I29" s="216"/>
      <c r="J29" s="216"/>
      <c r="K29" s="216"/>
      <c r="L29" s="216"/>
    </row>
    <row r="30" spans="1:12" ht="15.6">
      <c r="A30" s="216"/>
      <c r="B30" s="216"/>
      <c r="C30" s="216"/>
      <c r="D30" s="216"/>
      <c r="E30" s="216"/>
      <c r="F30" s="216"/>
      <c r="G30" s="216"/>
      <c r="H30" s="216"/>
      <c r="I30" s="216"/>
      <c r="J30" s="216"/>
      <c r="K30" s="216"/>
      <c r="L30" s="216"/>
    </row>
    <row r="31" spans="1:12" ht="15.6">
      <c r="A31" s="216"/>
      <c r="B31" s="216"/>
      <c r="C31" s="216"/>
      <c r="D31" s="216"/>
      <c r="E31" s="216"/>
      <c r="F31" s="216"/>
      <c r="G31" s="216"/>
      <c r="H31" s="216"/>
      <c r="I31" s="216"/>
      <c r="J31" s="216"/>
      <c r="K31" s="216"/>
      <c r="L31" s="216"/>
    </row>
    <row r="32" spans="1:12" ht="15.6">
      <c r="A32" s="216"/>
      <c r="B32" s="216"/>
      <c r="C32" s="216"/>
      <c r="D32" s="216"/>
      <c r="E32" s="216"/>
      <c r="F32" s="216"/>
      <c r="G32" s="216"/>
      <c r="H32" s="216"/>
      <c r="I32" s="216"/>
      <c r="J32" s="216"/>
      <c r="K32" s="216"/>
      <c r="L32" s="216"/>
    </row>
    <row r="33" spans="1:12" ht="15.6">
      <c r="A33" s="216"/>
      <c r="B33" s="216"/>
      <c r="C33" s="216"/>
      <c r="D33" s="216"/>
      <c r="E33" s="216"/>
      <c r="F33" s="216"/>
      <c r="G33" s="216"/>
      <c r="H33" s="216"/>
      <c r="I33" s="216"/>
      <c r="J33" s="216"/>
      <c r="K33" s="216"/>
      <c r="L33" s="216"/>
    </row>
  </sheetData>
  <mergeCells count="36">
    <mergeCell ref="A1:K1"/>
    <mergeCell ref="B8:C8"/>
    <mergeCell ref="D8:E8"/>
    <mergeCell ref="F8:G8"/>
    <mergeCell ref="H8:I8"/>
    <mergeCell ref="J8:K8"/>
    <mergeCell ref="B10:C10"/>
    <mergeCell ref="D10:E10"/>
    <mergeCell ref="F10:G10"/>
    <mergeCell ref="H10:I10"/>
    <mergeCell ref="J10:K10"/>
    <mergeCell ref="B9:C9"/>
    <mergeCell ref="D9:E9"/>
    <mergeCell ref="F9:G9"/>
    <mergeCell ref="H9:I9"/>
    <mergeCell ref="J9:K9"/>
    <mergeCell ref="B14:C14"/>
    <mergeCell ref="D14:E14"/>
    <mergeCell ref="F14:G14"/>
    <mergeCell ref="H14:I14"/>
    <mergeCell ref="B15:C15"/>
    <mergeCell ref="D15:E15"/>
    <mergeCell ref="F15:G15"/>
    <mergeCell ref="H15:I15"/>
    <mergeCell ref="B18:C18"/>
    <mergeCell ref="D18:E18"/>
    <mergeCell ref="F18:G18"/>
    <mergeCell ref="H18:I18"/>
    <mergeCell ref="B16:C16"/>
    <mergeCell ref="D16:E16"/>
    <mergeCell ref="F16:G16"/>
    <mergeCell ref="H16:I16"/>
    <mergeCell ref="B17:C17"/>
    <mergeCell ref="D17:E17"/>
    <mergeCell ref="F17:G17"/>
    <mergeCell ref="H17:I17"/>
  </mergeCells>
  <printOptions horizontalCentered="1"/>
  <pageMargins left="0.75" right="0.75" top="1" bottom="1" header="0.5" footer="0.5"/>
  <pageSetup orientation="portrait" horizontalDpi="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DesignSheet</vt:lpstr>
      <vt:lpstr>Data Sheet</vt:lpstr>
      <vt:lpstr>Form </vt:lpstr>
      <vt:lpstr>LoginSheet</vt:lpstr>
      <vt:lpstr>STCurve</vt:lpstr>
      <vt:lpstr>StallTime</vt:lpstr>
      <vt:lpstr>Thermdam</vt:lpstr>
      <vt:lpstr>MagNoise</vt:lpstr>
      <vt:lpstr>'Data Sheet'!Print_Area</vt:lpstr>
      <vt:lpstr>DesignSheet!Print_Area</vt:lpstr>
      <vt:lpstr>'Form '!Print_Area</vt:lpstr>
      <vt:lpstr>LoginSheet!Print_Area</vt:lpstr>
      <vt:lpstr>StallTime!Print_Area</vt:lpstr>
      <vt:lpstr>STCurve!Print_Area</vt:lpstr>
      <vt:lpstr>Thermdam!Print_Area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DesOut</dc:title>
  <dc:creator>Toshiba International Corp</dc:creator>
  <cp:lastModifiedBy>Xie, Zichao</cp:lastModifiedBy>
  <cp:lastPrinted>2014-01-29T22:05:56Z</cp:lastPrinted>
  <dcterms:created xsi:type="dcterms:W3CDTF">1997-10-03T20:37:30Z</dcterms:created>
  <dcterms:modified xsi:type="dcterms:W3CDTF">2021-12-16T13:50:10Z</dcterms:modified>
</cp:coreProperties>
</file>