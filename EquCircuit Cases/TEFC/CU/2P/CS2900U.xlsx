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 TEFC\2P\SERIES\"/>
    </mc:Choice>
  </mc:AlternateContent>
  <xr:revisionPtr revIDLastSave="0" documentId="13_ncr:1_{B91DBA43-4F79-4A27-B797-C3A036E22A88}" xr6:coauthVersionLast="47" xr6:coauthVersionMax="47" xr10:uidLastSave="{00000000-0000-0000-0000-000000000000}"/>
  <bookViews>
    <workbookView xWindow="28680" yWindow="-120" windowWidth="29040" windowHeight="15720" tabRatio="746" activeTab="1" xr2:uid="{00000000-000D-0000-FFFF-FFFF00000000}"/>
  </bookViews>
  <sheets>
    <sheet name="DesignSheet" sheetId="2" r:id="rId1"/>
    <sheet name="Data Sheet" sheetId="3" r:id="rId2"/>
    <sheet name="LoginSheet" sheetId="4" r:id="rId3"/>
    <sheet name="Performance Data Sheet" sheetId="10" r:id="rId4"/>
    <sheet name="STCurve" sheetId="6" r:id="rId5"/>
    <sheet name="Thermdam" sheetId="8" r:id="rId6"/>
    <sheet name="Performance" sheetId="11" r:id="rId7"/>
    <sheet name="Form" sheetId="5" r:id="rId8"/>
    <sheet name="StallTime" sheetId="7" r:id="rId9"/>
    <sheet name="MagNoise" sheetId="9" r:id="rId10"/>
  </sheets>
  <definedNames>
    <definedName name="_Regression_Int" localSheetId="3" hidden="1">1</definedName>
    <definedName name="_xlnm.Print_Area" localSheetId="1">'Data Sheet'!$A$1:$K$46</definedName>
    <definedName name="_xlnm.Print_Area" localSheetId="0">DesignSheet!$A$1:$J$68</definedName>
    <definedName name="_xlnm.Print_Area" localSheetId="7">Form!$A$1:$F$39</definedName>
    <definedName name="_xlnm.Print_Area" localSheetId="2">LoginSheet!$A$1:$N$79</definedName>
    <definedName name="_xlnm.Print_Area" localSheetId="6">Performance!$A$1:$F$43</definedName>
    <definedName name="_xlnm.Print_Area" localSheetId="3">'Performance Data Sheet'!$A$1:$M$45</definedName>
    <definedName name="_xlnm.Print_Area" localSheetId="8">StallTime!$A$1:$G$40</definedName>
    <definedName name="_xlnm.Print_Area" localSheetId="4">STCurve!$A$1:$F$43</definedName>
    <definedName name="_xlnm.Print_Area" localSheetId="5">Thermdam!$A$1:$F$43</definedName>
    <definedName name="Print_Area_MI" localSheetId="3">'Performance Data Sheet'!$A$10:$N$43</definedName>
    <definedName name="Print_Area_MI">#REF!</definedName>
    <definedName name="Z_852987ED_B4F5_11D1_ABEC_0000832EB49E_.wvu.PrintArea" localSheetId="6" hidden="1">Performance!$A$1:$F$43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8" l="1"/>
  <c r="F7" i="8"/>
  <c r="D7" i="8"/>
  <c r="B7" i="8"/>
  <c r="F6" i="8"/>
  <c r="B6" i="8"/>
  <c r="C12" i="11"/>
  <c r="F9" i="11"/>
  <c r="F7" i="11"/>
  <c r="D7" i="11"/>
  <c r="B7" i="11"/>
  <c r="F6" i="11"/>
  <c r="B6" i="11"/>
  <c r="D43" i="11"/>
  <c r="F39" i="11"/>
  <c r="C39" i="11"/>
  <c r="D43" i="8"/>
  <c r="F39" i="8"/>
  <c r="C39" i="8"/>
  <c r="F39" i="6"/>
  <c r="D43" i="6"/>
  <c r="C39" i="6"/>
  <c r="C12" i="6"/>
  <c r="F6" i="6"/>
  <c r="D7" i="6"/>
  <c r="F9" i="6"/>
  <c r="F7" i="6"/>
  <c r="B7" i="6"/>
  <c r="B6" i="6"/>
  <c r="C76" i="8" l="1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<sst xmlns="http://schemas.openxmlformats.org/spreadsheetml/2006/main" count="1019" uniqueCount="751">
  <si>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</si>
  <si>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</si>
  <si>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</si>
  <si>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</si>
  <si>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</si>
  <si>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</si>
  <si>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</si>
  <si>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</si>
  <si>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</si>
  <si>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</si>
  <si>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</si>
  <si>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</si>
  <si>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</si>
  <si>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</si>
  <si>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</si>
  <si>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</si>
  <si>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</si>
  <si>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</si>
  <si>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</si>
  <si>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</si>
  <si>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</si>
  <si>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</si>
  <si>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</si>
  <si>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</si>
  <si>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</si>
  <si>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</si>
  <si>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</si>
  <si>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</si>
  <si>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</si>
  <si>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</si>
  <si>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</si>
  <si>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</si>
  <si>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</si>
  <si>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</si>
  <si>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</si>
  <si>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</si>
  <si>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</si>
  <si>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</si>
  <si>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</si>
  <si>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</si>
  <si>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</si>
  <si>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</si>
  <si>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</si>
  <si>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</si>
  <si>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</si>
  <si>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</si>
  <si>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</si>
  <si>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</si>
  <si>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</si>
  <si>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</si>
  <si>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</si>
  <si>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</si>
  <si>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</si>
  <si>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</si>
  <si>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</si>
  <si>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</si>
  <si>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</si>
  <si>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</si>
  <si>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</si>
  <si>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</si>
  <si>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</si>
  <si>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</si>
  <si>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</si>
  <si>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</si>
  <si>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</si>
  <si>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</si>
  <si>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</si>
  <si>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</si>
  <si>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</si>
  <si>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</si>
  <si>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</si>
  <si>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</si>
  <si>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</si>
  <si>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</si>
  <si>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</si>
  <si>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</si>
  <si>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</si>
  <si>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</si>
  <si>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</si>
  <si>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</si>
  <si>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</si>
  <si>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</si>
  <si>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</si>
  <si>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</si>
  <si>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</si>
  <si>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</si>
  <si>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</si>
  <si>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</si>
  <si>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</si>
  <si>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</si>
  <si>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</si>
  <si>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</si>
  <si>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</si>
  <si>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</si>
  <si>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</si>
  <si>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</si>
  <si>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</si>
  <si>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</si>
  <si>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</si>
  <si>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</si>
  <si>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</si>
  <si>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</si>
  <si>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</si>
  <si>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</si>
  <si>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</si>
  <si>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</si>
  <si>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</si>
  <si>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</si>
  <si>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</si>
  <si>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</si>
  <si>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</si>
  <si>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</si>
  <si>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</si>
  <si>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</si>
  <si>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</si>
  <si>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</si>
  <si>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</si>
  <si>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</si>
  <si>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</si>
  <si>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</si>
  <si>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</si>
  <si>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</si>
  <si>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</si>
  <si>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</si>
  <si>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</si>
  <si>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</si>
  <si>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</si>
  <si>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</si>
  <si>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</si>
  <si>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</si>
  <si>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</si>
  <si>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</si>
  <si>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</si>
  <si>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</si>
  <si>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</si>
  <si>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</si>
  <si>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</si>
  <si>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</si>
  <si>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</si>
  <si>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</si>
  <si>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</si>
  <si>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</si>
  <si>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</si>
  <si>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</si>
  <si>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</si>
  <si>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</si>
  <si>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</si>
  <si>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</si>
  <si>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</si>
  <si>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</si>
  <si>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</si>
  <si>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</si>
  <si>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</si>
  <si>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</si>
  <si>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</si>
  <si>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</si>
  <si>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</si>
  <si>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</si>
  <si>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</si>
  <si>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</si>
  <si>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</si>
  <si>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</si>
  <si>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</si>
  <si>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</si>
  <si>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</si>
  <si>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</si>
  <si>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</si>
  <si>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</si>
  <si>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</si>
  <si>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</si>
  <si>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</si>
  <si>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</si>
  <si>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</si>
  <si>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</si>
  <si>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</si>
  <si>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</si>
  <si>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</si>
  <si>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6811USS</t>
  </si>
  <si>
    <t>Open</t>
  </si>
  <si>
    <t>Trapeze</t>
  </si>
  <si>
    <t>14.30 - 14.30</t>
  </si>
  <si>
    <t>0.80 - 3.65</t>
  </si>
  <si>
    <t>Normal</t>
  </si>
  <si>
    <t>1 ~ 18</t>
  </si>
  <si>
    <t>(.081"x.204")x2</t>
  </si>
  <si>
    <t>Wye</t>
  </si>
  <si>
    <t>(105°C)</t>
  </si>
  <si>
    <t>CU</t>
  </si>
  <si>
    <t>ERD1: 318.0</t>
  </si>
  <si>
    <t>EBL: 62.5</t>
  </si>
  <si>
    <t>ERT: 60.00</t>
  </si>
  <si>
    <t>ERH: 44.00</t>
  </si>
  <si>
    <t>LB:  -</t>
  </si>
  <si>
    <t>LER:  -</t>
  </si>
  <si>
    <t>Single Cage Data</t>
  </si>
  <si>
    <t>UB: 322.1</t>
  </si>
  <si>
    <t>UER: 2640.0</t>
  </si>
  <si>
    <t>(Coeff.: 0.0499)</t>
  </si>
  <si>
    <t>Skew R.: 0.00</t>
  </si>
  <si>
    <t>M:\Active Projects\6800 Frame TEFC\Electrical Design\2P\SERIES\CS2900U.rat</t>
  </si>
  <si>
    <t>2-2-2-0-1-2</t>
  </si>
  <si>
    <t>B.L.-1  P.F.-1</t>
  </si>
  <si>
    <t>4936.1 / 5400.8</t>
  </si>
  <si>
    <t>3726.9 / 3948.4</t>
  </si>
  <si>
    <t>16540.7 / 14180.0</t>
  </si>
  <si>
    <t>8350.0 / 10961.2</t>
  </si>
  <si>
    <t>8097.8 / 3336.7</t>
  </si>
  <si>
    <t>1578.4 / 650.4</t>
  </si>
  <si>
    <t>6519.4 / 2686.3</t>
  </si>
  <si>
    <t>1.50 / 0.62</t>
  </si>
  <si>
    <t>77 / 77</t>
  </si>
  <si>
    <t>Temp. Rise @ 100%:</t>
  </si>
  <si>
    <t>Stray Loss</t>
  </si>
  <si>
    <t>0.907 / 0.897</t>
  </si>
  <si>
    <t>0.947 / 0.936</t>
  </si>
  <si>
    <t>0.959 / 0.948</t>
  </si>
  <si>
    <t>0.964 / 0.953</t>
  </si>
  <si>
    <t>0.966 / 0.955</t>
  </si>
  <si>
    <t>0.820 / 0.806</t>
  </si>
  <si>
    <t>0.923 / 0.907</t>
  </si>
  <si>
    <t>0.945 / 0.929</t>
  </si>
  <si>
    <t>0.949 / 0.933</t>
  </si>
  <si>
    <t>0.946 / 0.930</t>
  </si>
  <si>
    <t>32.56 / 33.52</t>
  </si>
  <si>
    <t>55.43 / 57.06</t>
  </si>
  <si>
    <t>80.17 / 82.54</t>
  </si>
  <si>
    <t>105.91 / 109.03</t>
  </si>
  <si>
    <t>132.55 / 136.45</t>
  </si>
  <si>
    <t>2.56 / 2.63</t>
  </si>
  <si>
    <t>UB: 3.22 / 3.31</t>
  </si>
  <si>
    <t>UER: 2.88 / 2.96</t>
  </si>
  <si>
    <t>3595.1 / 3594.0</t>
  </si>
  <si>
    <t>3590.4 / 3589.3</t>
  </si>
  <si>
    <t>3585.7 / 3584.6</t>
  </si>
  <si>
    <t>3580.7 / 3579.6</t>
  </si>
  <si>
    <t>3575.9 / 3574.8</t>
  </si>
  <si>
    <t>0.0014 / 0.0017</t>
  </si>
  <si>
    <t>0.0027 / 0.0030</t>
  </si>
  <si>
    <t>0.0040 / 0.0043</t>
  </si>
  <si>
    <t>0.0054 / 0.0057</t>
  </si>
  <si>
    <t>0.0067 / 0.0070</t>
  </si>
  <si>
    <t>16.784 / 19.000</t>
  </si>
  <si>
    <t>1.168 / 1.322</t>
  </si>
  <si>
    <t>16.82 / 19.05</t>
  </si>
  <si>
    <t>635.5 / 691.6</t>
  </si>
  <si>
    <t>600.1 / 653.0</t>
  </si>
  <si>
    <t>159.0 / 141.8</t>
  </si>
  <si>
    <t>87.1 / 77.6</t>
  </si>
  <si>
    <t>299.3 / 276.0</t>
  </si>
  <si>
    <t>Correlated to: FW2M20U_Lab1329A.dat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</si>
  <si>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</si>
  <si>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</si>
  <si>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</si>
  <si>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</si>
  <si>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</si>
  <si>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</si>
  <si>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</si>
  <si>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</si>
  <si>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</si>
  <si>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</si>
  <si>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</si>
  <si>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</si>
  <si>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</si>
  <si>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</si>
  <si>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</si>
  <si>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</si>
  <si>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</si>
  <si>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</si>
  <si>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</si>
  <si>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</si>
  <si>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</si>
  <si>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</si>
  <si>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</si>
  <si>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</si>
  <si>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</si>
  <si>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</si>
  <si>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</si>
  <si>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</si>
  <si>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</si>
  <si>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</si>
  <si>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</si>
  <si>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</si>
  <si>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</si>
  <si>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</si>
  <si>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</si>
  <si>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</si>
  <si>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</si>
  <si>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</si>
  <si>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</si>
  <si>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</si>
  <si>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</si>
  <si>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</si>
  <si>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</si>
  <si>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</si>
  <si>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</si>
  <si>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</si>
  <si>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</si>
  <si>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</si>
  <si>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</si>
  <si>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</si>
  <si>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</si>
  <si>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</si>
  <si>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</si>
  <si>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</si>
  <si>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</si>
  <si>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</si>
  <si>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</si>
  <si>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</si>
  <si>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</si>
  <si>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</si>
  <si>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</si>
  <si>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</si>
  <si>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</si>
  <si>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</si>
  <si>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</si>
  <si>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</si>
  <si>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</si>
  <si>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</si>
  <si>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</si>
  <si>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</si>
  <si>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</si>
  <si>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</si>
  <si>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</si>
  <si>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</si>
  <si>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</si>
  <si>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</si>
  <si>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</si>
  <si>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</si>
  <si>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</si>
  <si>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</si>
  <si>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</si>
  <si>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</si>
  <si>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</si>
  <si>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</si>
  <si>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</si>
  <si>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</si>
  <si>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</si>
  <si>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</si>
  <si>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</si>
  <si>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</si>
  <si>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</si>
  <si>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</si>
  <si>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</si>
  <si>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</si>
  <si>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</si>
  <si>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</si>
  <si>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</si>
  <si>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</si>
  <si>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</si>
  <si>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</si>
  <si>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</si>
  <si>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</si>
  <si>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</si>
  <si>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</si>
  <si>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</si>
  <si>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</si>
  <si>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</si>
  <si>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</si>
  <si>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</si>
  <si>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</si>
  <si>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CS2900U</t>
  </si>
  <si>
    <t>Type: TIKE - Form: FCW4 - 2 Pole - 900 HP - 4000 V - 60 Hz - 6811USS - Class F</t>
  </si>
  <si>
    <t>22 x 2</t>
  </si>
  <si>
    <t>2 x Wye</t>
  </si>
  <si>
    <t xml:space="preserve"> - </t>
  </si>
  <si>
    <t>77 / 102</t>
  </si>
  <si>
    <t>263 / 1670</t>
  </si>
  <si>
    <t>331 / 296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</si>
  <si>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</si>
  <si>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</si>
  <si>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</si>
  <si>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</si>
  <si>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</si>
  <si>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</si>
  <si>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</si>
  <si>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</si>
  <si>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</si>
  <si>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</si>
  <si>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</si>
  <si>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</si>
  <si>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1320.0</t>
  </si>
  <si>
    <t xml:space="preserve">11T: </t>
  </si>
  <si>
    <t/>
  </si>
  <si>
    <t>0.0253 ~ 0.0243</t>
  </si>
  <si>
    <t>AWG. 1/0 x 3</t>
  </si>
  <si>
    <t>0.00099</t>
  </si>
  <si>
    <t xml:space="preserve"> (.081"x.204")x 2: </t>
  </si>
  <si>
    <t>655 lbs.</t>
  </si>
  <si>
    <t xml:space="preserve">1-2, 2-3, 3-1: </t>
  </si>
  <si>
    <t>0.232 ~ 0.218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</si>
  <si>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</si>
  <si>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</si>
  <si>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</si>
  <si>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</si>
  <si>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</si>
  <si>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</si>
  <si>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</si>
  <si>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</si>
  <si>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</si>
  <si>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</si>
  <si>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</si>
  <si>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</si>
  <si>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</si>
  <si>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</si>
  <si>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</si>
  <si>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</si>
  <si>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</si>
  <si>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</si>
  <si>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</si>
  <si>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</si>
  <si>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</si>
  <si>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</si>
  <si>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</si>
  <si>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</si>
  <si>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</si>
  <si>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</si>
  <si>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</si>
  <si>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</si>
  <si>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</si>
  <si>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361.7 lb-ft²</t>
  </si>
  <si>
    <t>1322 lb-ft</t>
  </si>
  <si>
    <t>Load</t>
  </si>
  <si>
    <t>Fan / Pump</t>
  </si>
  <si>
    <t>51.8 kg.m²</t>
  </si>
  <si>
    <t>Acceleration Data (FV V)</t>
  </si>
  <si>
    <t>10.2 (s)</t>
  </si>
  <si>
    <t>182.6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</si>
  <si>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</si>
  <si>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</si>
  <si>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</si>
  <si>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</si>
  <si>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</si>
  <si>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</si>
  <si>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</si>
  <si>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</si>
  <si>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</si>
  <si>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</si>
  <si>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</si>
  <si>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</si>
  <si>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</si>
  <si>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</si>
  <si>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</si>
  <si>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</si>
  <si>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</si>
  <si>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</si>
  <si>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</si>
  <si>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</si>
  <si>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</si>
  <si>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</si>
  <si>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</si>
  <si>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</si>
  <si>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</si>
  <si>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</si>
  <si>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</si>
  <si>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</si>
  <si>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</si>
  <si>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</si>
  <si>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</si>
  <si>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</si>
  <si>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</si>
  <si>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</si>
  <si>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</si>
  <si>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</si>
  <si>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</si>
  <si>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</si>
  <si>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</si>
  <si>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- 900.0 HP - 3600 RPM - 4000 V - 60 Hz</t>
  </si>
  <si>
    <t>0~360</t>
  </si>
  <si>
    <t>360~720</t>
  </si>
  <si>
    <t>720~1080</t>
  </si>
  <si>
    <t>1080~1440</t>
  </si>
  <si>
    <t>1440~1800</t>
  </si>
  <si>
    <t>1800~2192</t>
  </si>
  <si>
    <t>2192~2584</t>
  </si>
  <si>
    <t>2584~2976</t>
  </si>
  <si>
    <t>2976~3172</t>
  </si>
  <si>
    <t>3172~3368</t>
  </si>
  <si>
    <t>3368~3564</t>
  </si>
  <si>
    <t>3564~3593</t>
  </si>
  <si>
    <t>3593~3600</t>
  </si>
  <si>
    <t>Load Type: Fan / Pump - 307.5 lb-ft²</t>
  </si>
  <si>
    <t>78.0</t>
  </si>
  <si>
    <t>79.1</t>
  </si>
  <si>
    <t>82.3</t>
  </si>
  <si>
    <t>89.1</t>
  </si>
  <si>
    <t>100.9</t>
  </si>
  <si>
    <t>124.7</t>
  </si>
  <si>
    <t>208.7</t>
  </si>
  <si>
    <t>221.4</t>
  </si>
  <si>
    <t>133.4</t>
  </si>
  <si>
    <t>22.5</t>
  </si>
  <si>
    <t>11.5</t>
  </si>
  <si>
    <t>7.0</t>
  </si>
  <si>
    <t>11.0</t>
  </si>
  <si>
    <t>18.5</t>
  </si>
  <si>
    <t>29.5</t>
  </si>
  <si>
    <t>45.9</t>
  </si>
  <si>
    <t>62.5</t>
  </si>
  <si>
    <t>76.2</t>
  </si>
  <si>
    <t>90.6</t>
  </si>
  <si>
    <t>98.8</t>
  </si>
  <si>
    <t>99.8</t>
  </si>
  <si>
    <t>1.068</t>
  </si>
  <si>
    <t>0.892</t>
  </si>
  <si>
    <t>0.835</t>
  </si>
  <si>
    <t>0.885</t>
  </si>
  <si>
    <t>1.065</t>
  </si>
  <si>
    <t>1.223</t>
  </si>
  <si>
    <t>1.498</t>
  </si>
  <si>
    <t>0.841</t>
  </si>
  <si>
    <t>0.664</t>
  </si>
  <si>
    <t>0.273</t>
  </si>
  <si>
    <t>0.039</t>
  </si>
  <si>
    <t>0.035</t>
  </si>
  <si>
    <t>690.9</t>
  </si>
  <si>
    <t>688.6</t>
  </si>
  <si>
    <t>685.8</t>
  </si>
  <si>
    <t>682.5</t>
  </si>
  <si>
    <t>678.7</t>
  </si>
  <si>
    <t>674.0</t>
  </si>
  <si>
    <t>668.5</t>
  </si>
  <si>
    <t>661.0</t>
  </si>
  <si>
    <t>652.4</t>
  </si>
  <si>
    <t>638.3</t>
  </si>
  <si>
    <t>589.9</t>
  </si>
  <si>
    <t>374.0</t>
  </si>
  <si>
    <t>107.5</t>
  </si>
  <si>
    <t>225.1</t>
  </si>
  <si>
    <t>186.7</t>
  </si>
  <si>
    <t>173.6</t>
  </si>
  <si>
    <t>172.1</t>
  </si>
  <si>
    <t>180.5</t>
  </si>
  <si>
    <t>214.6</t>
  </si>
  <si>
    <t>242.6</t>
  </si>
  <si>
    <t>291.9</t>
  </si>
  <si>
    <t>159.5</t>
  </si>
  <si>
    <t>122.8</t>
  </si>
  <si>
    <t>47.5</t>
  </si>
  <si>
    <t>5.2</t>
  </si>
  <si>
    <t>0.2</t>
  </si>
  <si>
    <t>734.2</t>
  </si>
  <si>
    <t>551.6</t>
  </si>
  <si>
    <t>459.2</t>
  </si>
  <si>
    <t>401.8</t>
  </si>
  <si>
    <t>364.9</t>
  </si>
  <si>
    <t>336.2</t>
  </si>
  <si>
    <t>310.2</t>
  </si>
  <si>
    <t>288.7</t>
  </si>
  <si>
    <t>221.0</t>
  </si>
  <si>
    <t>138.1</t>
  </si>
  <si>
    <t>40.3</t>
  </si>
  <si>
    <t>11.8</t>
  </si>
  <si>
    <t>13.9</t>
  </si>
  <si>
    <t>2022 kW / s</t>
  </si>
  <si>
    <t>2775 kW / s</t>
  </si>
  <si>
    <t>1097 kW / s</t>
  </si>
  <si>
    <t>18°C</t>
  </si>
  <si>
    <t>69°C</t>
  </si>
  <si>
    <t>54°C</t>
  </si>
  <si>
    <t>36°C</t>
  </si>
  <si>
    <t>138°C</t>
  </si>
  <si>
    <t>107°C</t>
  </si>
  <si>
    <t>Acceleration Time:  10.2 s</t>
  </si>
  <si>
    <t>2.3°C / s</t>
  </si>
  <si>
    <t>9.3°C / s</t>
  </si>
  <si>
    <t>7.2°C / s</t>
  </si>
  <si>
    <t>252.9 kW</t>
  </si>
  <si>
    <t>375.3 kW</t>
  </si>
  <si>
    <t>148.4 kW</t>
  </si>
  <si>
    <t>70.3 s</t>
  </si>
  <si>
    <t>27.9 s</t>
  </si>
  <si>
    <t>24.8 s</t>
  </si>
  <si>
    <t>77°C    +</t>
  </si>
  <si>
    <t>105°C    +</t>
  </si>
  <si>
    <t>83°C    +</t>
  </si>
  <si>
    <t>155°C   +</t>
  </si>
  <si>
    <t>75°C   +</t>
  </si>
  <si>
    <t>36.5 s</t>
  </si>
  <si>
    <t>16.7 s</t>
  </si>
  <si>
    <t>10.4 s</t>
  </si>
  <si>
    <t>39.3 s</t>
  </si>
  <si>
    <t>16.5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</si>
  <si>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</si>
  <si>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</si>
  <si>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</si>
  <si>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</si>
  <si>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</si>
  <si>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</si>
  <si>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</si>
  <si>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</si>
  <si>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</si>
  <si>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</si>
  <si>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</si>
  <si>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</si>
  <si>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</si>
  <si>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</si>
  <si>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</si>
  <si>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</si>
  <si>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</si>
  <si>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</si>
  <si>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</si>
  <si>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</si>
  <si>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</si>
  <si>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</si>
  <si>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</si>
  <si>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</si>
  <si>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</si>
  <si>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</si>
  <si>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</si>
  <si>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</si>
  <si>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2865.2 Hz</t>
  </si>
  <si>
    <t>2640.0 Hz</t>
  </si>
  <si>
    <t>2625.2 Hz</t>
  </si>
  <si>
    <t>2760.0 Hz</t>
  </si>
  <si>
    <t>2745.2 Hz</t>
  </si>
  <si>
    <t>2288.2 Hz</t>
  </si>
  <si>
    <t>602.1 Hz</t>
  </si>
  <si>
    <t>1703.1 Hz</t>
  </si>
  <si>
    <t>3265.4 Hz</t>
  </si>
  <si>
    <t>5280.9 Hz</t>
  </si>
  <si>
    <t>7747.0 Hz</t>
  </si>
  <si>
    <t>10662.8 Hz</t>
  </si>
  <si>
    <t>14027.8 Hz</t>
  </si>
  <si>
    <t>17841.9 Hz</t>
  </si>
  <si>
    <t>22105.0 Hz</t>
  </si>
  <si>
    <t>No matching frequencies detected.</t>
  </si>
  <si>
    <t>Interspersed</t>
  </si>
  <si>
    <t>J. Dougherty</t>
  </si>
  <si>
    <t>QC Limits: CS2900U</t>
  </si>
  <si>
    <t>Outer Fan DT360</t>
  </si>
  <si>
    <t>9003FTQL11F-C</t>
  </si>
  <si>
    <t>11T: 25.93</t>
  </si>
  <si>
    <t>11T: 10.96</t>
  </si>
  <si>
    <t>13.82 ~ 13.62</t>
  </si>
  <si>
    <t>A. Gracia</t>
  </si>
  <si>
    <t>AG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</si>
  <si>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</si>
  <si>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</si>
  <si>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</si>
  <si>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</si>
  <si>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</si>
  <si>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</si>
  <si>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</si>
  <si>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</si>
  <si>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</si>
  <si>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</si>
  <si>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</si>
  <si>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</si>
  <si>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</si>
  <si>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</si>
  <si>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</si>
  <si>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</si>
  <si>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</si>
  <si>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</si>
  <si>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</si>
  <si>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</si>
  <si>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</si>
  <si>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</si>
  <si>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60 Hz</t>
  </si>
  <si>
    <t>S. RPM:</t>
  </si>
  <si>
    <t>FRAME:</t>
  </si>
  <si>
    <t>ENCL:</t>
  </si>
  <si>
    <t>TEFC</t>
  </si>
  <si>
    <t>FLAMPS:</t>
  </si>
  <si>
    <t>FORM:</t>
  </si>
  <si>
    <t>S.F.:</t>
  </si>
  <si>
    <t>NEMA DESIGN:</t>
  </si>
  <si>
    <t>INSUL CLASS:</t>
  </si>
  <si>
    <t>TYPE:</t>
  </si>
  <si>
    <t>TIKE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</si>
  <si>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</si>
  <si>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</si>
  <si>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</si>
  <si>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</si>
  <si>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</si>
  <si>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</si>
  <si>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</si>
  <si>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</si>
  <si>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</si>
  <si>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</si>
  <si>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</si>
  <si>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</si>
  <si>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</si>
  <si>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</si>
  <si>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</si>
  <si>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</si>
  <si>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</si>
  <si>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</si>
  <si>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</si>
  <si>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</si>
  <si>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</si>
  <si>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</si>
  <si>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</si>
  <si>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</si>
  <si>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</si>
  <si>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</si>
  <si>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</si>
  <si>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</si>
  <si>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</si>
  <si>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</si>
  <si>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JERRY R</t>
  </si>
  <si>
    <t>DATE:</t>
  </si>
  <si>
    <t>6205ZZ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</si>
  <si>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</si>
  <si>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</si>
  <si>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</si>
  <si>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</si>
  <si>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</si>
  <si>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</si>
  <si>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</si>
  <si>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</si>
  <si>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</si>
  <si>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</si>
  <si>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</si>
  <si>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</si>
  <si>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</si>
  <si>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</si>
  <si>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</si>
  <si>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</si>
  <si>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</si>
  <si>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</si>
  <si>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</si>
  <si>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</si>
  <si>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</si>
  <si>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</si>
  <si>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</si>
  <si>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</si>
  <si>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</si>
  <si>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</si>
  <si>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</si>
  <si>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</si>
  <si>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</si>
  <si>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</si>
  <si>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</si>
  <si>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</si>
  <si>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</si>
  <si>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</si>
  <si>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</si>
  <si>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</si>
  <si>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</si>
  <si>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</si>
  <si>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</si>
  <si>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</si>
  <si>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Performance Curve</t>
  </si>
  <si>
    <t>Input Watts</t>
  </si>
  <si>
    <t>9003FTQL11E-C</t>
  </si>
  <si>
    <t xml:space="preserve">Additional methods to cool bearing are necessary to </t>
  </si>
  <si>
    <t>meet API temperature limits.  Z.X 12/16/21</t>
  </si>
  <si>
    <t xml:space="preserve">LINK: </t>
  </si>
  <si>
    <t>FW2M20U.rat with FW2M20U_Lab1329A.dat</t>
  </si>
  <si>
    <t>Run CS2900U.rat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</si>
</sst>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6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sz val="8"/>
      <name val="Helv"/>
    </font>
    <font>
      <b/>
      <sz val="13"/>
      <name val="Univers (W1)"/>
      <family val="2"/>
    </font>
    <font>
      <b/>
      <sz val="16"/>
      <name val="Bradley Hand ITC"/>
      <family val="4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1" fillId="0" borderId="0"/>
  </cellStyleXfs>
  <cellXfs count="70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/>
    <xf numFmtId="0" fontId="25" fillId="0" borderId="51" xfId="1" applyFont="1" applyBorder="1"/>
    <xf numFmtId="0" fontId="24" fillId="0" borderId="53" xfId="1" applyFont="1" applyBorder="1"/>
    <xf numFmtId="0" fontId="25" fillId="0" borderId="53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Border="1"/>
    <xf numFmtId="0" fontId="31" fillId="0" borderId="95" xfId="1" applyFont="1" applyBorder="1" applyAlignment="1">
      <alignment horizontal="center"/>
    </xf>
    <xf numFmtId="0" fontId="31" fillId="0" borderId="96" xfId="1" applyFont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31" fillId="0" borderId="73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1" xfId="1" applyFont="1" applyBorder="1" applyAlignment="1">
      <alignment horizontal="left"/>
    </xf>
    <xf numFmtId="0" fontId="20" fillId="0" borderId="61" xfId="1" applyFont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Border="1"/>
    <xf numFmtId="0" fontId="26" fillId="0" borderId="78" xfId="1" applyFont="1" applyBorder="1"/>
    <xf numFmtId="0" fontId="26" fillId="0" borderId="86" xfId="1" applyFont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0" fontId="31" fillId="2" borderId="108" xfId="1" applyFont="1" applyFill="1" applyBorder="1" applyAlignment="1">
      <alignment horizontal="center"/>
    </xf>
    <xf numFmtId="2" fontId="26" fillId="0" borderId="0" xfId="1" applyNumberFormat="1" applyFont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41" fillId="0" borderId="0" xfId="1" quotePrefix="1" applyFont="1" applyAlignment="1">
      <alignment horizontal="left"/>
    </xf>
    <xf numFmtId="0" fontId="26" fillId="0" borderId="0" xfId="2" applyFont="1"/>
    <xf numFmtId="0" fontId="29" fillId="2" borderId="0" xfId="1" applyFont="1" applyFill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166" fontId="31" fillId="2" borderId="69" xfId="1" applyNumberFormat="1" applyFont="1" applyFill="1" applyBorder="1" applyAlignment="1">
      <alignment horizontal="center"/>
    </xf>
    <xf numFmtId="1" fontId="26" fillId="0" borderId="0" xfId="1" applyNumberFormat="1" applyFont="1"/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/>
    <xf numFmtId="0" fontId="29" fillId="0" borderId="113" xfId="1" applyFont="1" applyBorder="1"/>
    <xf numFmtId="0" fontId="29" fillId="2" borderId="116" xfId="1" applyFont="1" applyFill="1" applyBorder="1"/>
    <xf numFmtId="0" fontId="43" fillId="2" borderId="117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18" xfId="1" applyFont="1" applyFill="1" applyBorder="1"/>
    <xf numFmtId="0" fontId="29" fillId="2" borderId="23" xfId="1" applyFont="1" applyFill="1" applyBorder="1"/>
    <xf numFmtId="14" fontId="24" fillId="2" borderId="121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2" xfId="1" applyFont="1" applyFill="1" applyBorder="1" applyAlignment="1">
      <alignment horizontal="left"/>
    </xf>
    <xf numFmtId="0" fontId="22" fillId="2" borderId="123" xfId="1" applyFont="1" applyFill="1" applyBorder="1" applyAlignment="1">
      <alignment horizontal="left"/>
    </xf>
    <xf numFmtId="0" fontId="22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6" fillId="0" borderId="124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4" xfId="3" applyBorder="1"/>
    <xf numFmtId="0" fontId="46" fillId="0" borderId="0" xfId="3" applyFont="1"/>
    <xf numFmtId="0" fontId="46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6" fillId="0" borderId="126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2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/>
    <xf numFmtId="0" fontId="52" fillId="0" borderId="107" xfId="0" applyFont="1" applyBorder="1"/>
    <xf numFmtId="0" fontId="50" fillId="0" borderId="1" xfId="0" applyFont="1" applyBorder="1" applyAlignment="1">
      <alignment horizontal="right"/>
    </xf>
    <xf numFmtId="0" fontId="52" fillId="0" borderId="1" xfId="0" applyFont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0" fillId="0" borderId="0" xfId="0" applyFont="1" applyAlignment="1">
      <alignment horizontal="right"/>
    </xf>
    <xf numFmtId="0" fontId="52" fillId="0" borderId="0" xfId="0" applyFont="1" applyAlignment="1">
      <alignment horizontal="center"/>
    </xf>
    <xf numFmtId="9" fontId="52" fillId="0" borderId="0" xfId="0" applyNumberFormat="1" applyFont="1" applyAlignment="1">
      <alignment horizontal="center"/>
    </xf>
    <xf numFmtId="0" fontId="50" fillId="0" borderId="82" xfId="0" applyFont="1" applyBorder="1" applyAlignment="1">
      <alignment horizontal="right"/>
    </xf>
    <xf numFmtId="0" fontId="52" fillId="0" borderId="40" xfId="0" applyFont="1" applyBorder="1"/>
    <xf numFmtId="0" fontId="52" fillId="0" borderId="39" xfId="0" applyFont="1" applyBorder="1" applyAlignment="1">
      <alignment horizontal="center"/>
    </xf>
    <xf numFmtId="0" fontId="52" fillId="0" borderId="84" xfId="0" applyFont="1" applyBorder="1"/>
    <xf numFmtId="0" fontId="50" fillId="0" borderId="17" xfId="0" applyFont="1" applyBorder="1" applyAlignment="1">
      <alignment horizontal="right"/>
    </xf>
    <xf numFmtId="0" fontId="52" fillId="0" borderId="129" xfId="0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132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55" fillId="0" borderId="0" xfId="4"/>
    <xf numFmtId="0" fontId="16" fillId="0" borderId="0" xfId="4" applyFont="1"/>
    <xf numFmtId="0" fontId="49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49" fillId="0" borderId="128" xfId="4" applyFont="1" applyBorder="1" applyAlignment="1">
      <alignment horizontal="center"/>
    </xf>
    <xf numFmtId="0" fontId="49" fillId="0" borderId="129" xfId="4" quotePrefix="1" applyFont="1" applyBorder="1" applyAlignment="1">
      <alignment horizontal="center"/>
    </xf>
    <xf numFmtId="0" fontId="49" fillId="0" borderId="129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3" fillId="0" borderId="82" xfId="4" applyFont="1" applyBorder="1" applyAlignment="1">
      <alignment horizontal="centerContinuous"/>
    </xf>
    <xf numFmtId="0" fontId="52" fillId="0" borderId="0" xfId="4" applyFont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/>
    <xf numFmtId="0" fontId="52" fillId="0" borderId="107" xfId="4" applyFont="1" applyBorder="1"/>
    <xf numFmtId="0" fontId="50" fillId="0" borderId="0" xfId="4" applyFont="1" applyAlignment="1">
      <alignment horizontal="right"/>
    </xf>
    <xf numFmtId="0" fontId="52" fillId="0" borderId="0" xfId="4" applyFont="1" applyAlignment="1">
      <alignment horizontal="center"/>
    </xf>
    <xf numFmtId="9" fontId="52" fillId="0" borderId="0" xfId="4" applyNumberFormat="1" applyFont="1" applyAlignment="1">
      <alignment horizontal="center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0" fillId="0" borderId="0" xfId="4" applyFont="1"/>
    <xf numFmtId="0" fontId="23" fillId="0" borderId="17" xfId="4" applyFont="1" applyBorder="1" applyAlignment="1">
      <alignment horizontal="right"/>
    </xf>
    <xf numFmtId="0" fontId="23" fillId="0" borderId="129" xfId="4" applyFont="1" applyBorder="1" applyAlignment="1">
      <alignment horizontal="left"/>
    </xf>
    <xf numFmtId="0" fontId="23" fillId="0" borderId="129" xfId="4" quotePrefix="1" applyFont="1" applyBorder="1" applyAlignment="1">
      <alignment horizontal="left"/>
    </xf>
    <xf numFmtId="171" fontId="62" fillId="0" borderId="6" xfId="5" applyFont="1" applyBorder="1" applyAlignment="1">
      <alignment horizontal="centerContinuous"/>
    </xf>
    <xf numFmtId="171" fontId="62" fillId="0" borderId="7" xfId="5" applyFont="1" applyBorder="1" applyAlignment="1">
      <alignment horizontal="centerContinuous"/>
    </xf>
    <xf numFmtId="171" fontId="63" fillId="0" borderId="12" xfId="5" applyFont="1" applyBorder="1" applyAlignment="1">
      <alignment horizontal="left"/>
    </xf>
    <xf numFmtId="171" fontId="64" fillId="0" borderId="54" xfId="5" applyFont="1" applyBorder="1"/>
    <xf numFmtId="171" fontId="63" fillId="0" borderId="13" xfId="5" applyFont="1" applyBorder="1" applyAlignment="1">
      <alignment horizontal="centerContinuous"/>
    </xf>
    <xf numFmtId="171" fontId="64" fillId="0" borderId="14" xfId="5" applyFont="1" applyBorder="1" applyAlignment="1">
      <alignment horizontal="centerContinuous"/>
    </xf>
    <xf numFmtId="171" fontId="65" fillId="0" borderId="0" xfId="5" applyFont="1"/>
    <xf numFmtId="171" fontId="61" fillId="0" borderId="0" xfId="5"/>
    <xf numFmtId="171" fontId="62" fillId="0" borderId="45" xfId="5" applyFont="1" applyBorder="1" applyAlignment="1">
      <alignment horizontal="centerContinuous"/>
    </xf>
    <xf numFmtId="171" fontId="62" fillId="0" borderId="0" xfId="5" applyFont="1" applyAlignment="1">
      <alignment horizontal="centerContinuous"/>
    </xf>
    <xf numFmtId="171" fontId="63" fillId="0" borderId="109" xfId="5" applyFont="1" applyBorder="1" applyAlignment="1">
      <alignment horizontal="left"/>
    </xf>
    <xf numFmtId="171" fontId="64" fillId="0" borderId="39" xfId="5" applyFont="1" applyBorder="1"/>
    <xf numFmtId="171" fontId="63" fillId="0" borderId="40" xfId="5" applyFont="1" applyBorder="1" applyAlignment="1">
      <alignment horizontal="centerContinuous"/>
    </xf>
    <xf numFmtId="171" fontId="64" fillId="0" borderId="29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0" xfId="5" applyFont="1" applyAlignment="1">
      <alignment horizontal="centerContinuous"/>
    </xf>
    <xf numFmtId="171" fontId="63" fillId="0" borderId="40" xfId="5" quotePrefix="1" applyFont="1" applyBorder="1" applyAlignment="1">
      <alignment horizontal="centerContinuous"/>
    </xf>
    <xf numFmtId="171" fontId="66" fillId="0" borderId="45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46" xfId="5" applyFont="1" applyBorder="1" applyAlignment="1">
      <alignment horizontal="centerContinuous"/>
    </xf>
    <xf numFmtId="171" fontId="64" fillId="0" borderId="23" xfId="5" applyFont="1" applyBorder="1" applyAlignment="1">
      <alignment horizontal="centerContinuous"/>
    </xf>
    <xf numFmtId="171" fontId="63" fillId="0" borderId="46" xfId="5" applyFont="1" applyBorder="1" applyAlignment="1">
      <alignment horizontal="left"/>
    </xf>
    <xf numFmtId="171" fontId="64" fillId="0" borderId="48" xfId="5" applyFont="1" applyBorder="1"/>
    <xf numFmtId="171" fontId="67" fillId="0" borderId="23" xfId="5" applyFont="1" applyBorder="1" applyAlignment="1">
      <alignment horizontal="centerContinuous"/>
    </xf>
    <xf numFmtId="171" fontId="64" fillId="0" borderId="24" xfId="5" applyFont="1" applyBorder="1" applyAlignment="1">
      <alignment horizontal="centerContinuous"/>
    </xf>
    <xf numFmtId="171" fontId="65" fillId="0" borderId="0" xfId="5" applyFont="1" applyAlignment="1">
      <alignment horizontal="centerContinuous"/>
    </xf>
    <xf numFmtId="171" fontId="63" fillId="0" borderId="0" xfId="5" applyFont="1" applyAlignment="1">
      <alignment horizontal="left"/>
    </xf>
    <xf numFmtId="171" fontId="64" fillId="0" borderId="0" xfId="5" applyFont="1"/>
    <xf numFmtId="171" fontId="63" fillId="0" borderId="0" xfId="5" applyFont="1" applyAlignment="1">
      <alignment horizontal="centerContinuous"/>
    </xf>
    <xf numFmtId="171" fontId="68" fillId="0" borderId="0" xfId="5" applyFont="1"/>
    <xf numFmtId="171" fontId="68" fillId="0" borderId="0" xfId="5" applyFont="1" applyAlignment="1">
      <alignment horizontal="right"/>
    </xf>
    <xf numFmtId="171" fontId="68" fillId="0" borderId="0" xfId="5" applyFont="1" applyAlignment="1" applyProtection="1">
      <alignment horizontal="left"/>
      <protection locked="0"/>
    </xf>
    <xf numFmtId="171" fontId="68" fillId="0" borderId="0" xfId="5" applyFont="1" applyAlignment="1">
      <alignment horizontal="centerContinuous"/>
    </xf>
    <xf numFmtId="171" fontId="68" fillId="0" borderId="0" xfId="5" applyFont="1" applyAlignment="1">
      <alignment horizontal="left"/>
    </xf>
    <xf numFmtId="0" fontId="68" fillId="0" borderId="0" xfId="5" quotePrefix="1" applyNumberFormat="1" applyFont="1" applyAlignment="1" applyProtection="1">
      <alignment horizontal="left"/>
      <protection locked="0"/>
    </xf>
    <xf numFmtId="171" fontId="69" fillId="0" borderId="134" xfId="5" applyFont="1" applyBorder="1" applyAlignment="1">
      <alignment horizontal="centerContinuous"/>
    </xf>
    <xf numFmtId="171" fontId="65" fillId="0" borderId="135" xfId="5" applyFont="1" applyBorder="1" applyAlignment="1">
      <alignment horizontal="centerContinuous"/>
    </xf>
    <xf numFmtId="171" fontId="65" fillId="0" borderId="136" xfId="5" applyFont="1" applyBorder="1" applyAlignment="1">
      <alignment horizontal="centerContinuous"/>
    </xf>
    <xf numFmtId="171" fontId="68" fillId="0" borderId="45" xfId="5" applyFont="1" applyBorder="1"/>
    <xf numFmtId="171" fontId="68" fillId="0" borderId="0" xfId="5" applyFont="1" applyAlignment="1" applyProtection="1">
      <alignment horizontal="center"/>
      <protection locked="0"/>
    </xf>
    <xf numFmtId="171" fontId="68" fillId="0" borderId="21" xfId="5" applyFont="1" applyBorder="1" applyAlignment="1" applyProtection="1">
      <alignment horizontal="center"/>
      <protection locked="0"/>
    </xf>
    <xf numFmtId="171" fontId="63" fillId="0" borderId="0" xfId="5" applyFont="1" applyAlignment="1">
      <alignment horizontal="right"/>
    </xf>
    <xf numFmtId="171" fontId="68" fillId="0" borderId="0" xfId="5" quotePrefix="1" applyFont="1" applyAlignment="1">
      <alignment horizontal="right"/>
    </xf>
    <xf numFmtId="171" fontId="68" fillId="0" borderId="0" xfId="5" quotePrefix="1" applyFont="1" applyAlignment="1" applyProtection="1">
      <alignment horizontal="center"/>
      <protection locked="0"/>
    </xf>
    <xf numFmtId="171" fontId="68" fillId="0" borderId="0" xfId="5" applyFont="1" applyAlignment="1">
      <alignment horizontal="center"/>
    </xf>
    <xf numFmtId="171" fontId="68" fillId="0" borderId="21" xfId="5" applyFont="1" applyBorder="1"/>
    <xf numFmtId="171" fontId="68" fillId="0" borderId="46" xfId="5" applyFont="1" applyBorder="1"/>
    <xf numFmtId="171" fontId="68" fillId="0" borderId="23" xfId="5" applyFont="1" applyBorder="1" applyAlignment="1">
      <alignment horizontal="right"/>
    </xf>
    <xf numFmtId="166" fontId="68" fillId="0" borderId="23" xfId="5" quotePrefix="1" applyNumberFormat="1" applyFont="1" applyBorder="1" applyAlignment="1" applyProtection="1">
      <alignment horizontal="center"/>
      <protection locked="0"/>
    </xf>
    <xf numFmtId="171" fontId="68" fillId="0" borderId="23" xfId="5" applyFont="1" applyBorder="1"/>
    <xf numFmtId="166" fontId="68" fillId="0" borderId="23" xfId="5" applyNumberFormat="1" applyFont="1" applyBorder="1"/>
    <xf numFmtId="171" fontId="68" fillId="0" borderId="24" xfId="5" applyFont="1" applyBorder="1"/>
    <xf numFmtId="171" fontId="70" fillId="0" borderId="45" xfId="5" quotePrefix="1" applyFont="1" applyBorder="1" applyAlignment="1">
      <alignment horizontal="left"/>
    </xf>
    <xf numFmtId="171" fontId="64" fillId="0" borderId="0" xfId="5" quotePrefix="1" applyFont="1" applyAlignment="1">
      <alignment horizontal="right"/>
    </xf>
    <xf numFmtId="171" fontId="64" fillId="0" borderId="107" xfId="5" applyFont="1" applyBorder="1"/>
    <xf numFmtId="171" fontId="70" fillId="0" borderId="0" xfId="5" applyFont="1" applyAlignment="1">
      <alignment horizontal="left"/>
    </xf>
    <xf numFmtId="171" fontId="64" fillId="0" borderId="0" xfId="5" applyFont="1" applyAlignment="1">
      <alignment horizontal="right"/>
    </xf>
    <xf numFmtId="171" fontId="64" fillId="0" borderId="107" xfId="5" applyFont="1" applyBorder="1" applyAlignment="1">
      <alignment horizontal="right"/>
    </xf>
    <xf numFmtId="171" fontId="70" fillId="0" borderId="0" xfId="5" quotePrefix="1" applyFont="1" applyAlignment="1">
      <alignment horizontal="left"/>
    </xf>
    <xf numFmtId="171" fontId="64" fillId="0" borderId="21" xfId="5" applyFont="1" applyBorder="1"/>
    <xf numFmtId="171" fontId="61" fillId="0" borderId="45" xfId="5" applyBorder="1"/>
    <xf numFmtId="171" fontId="68" fillId="0" borderId="107" xfId="5" applyFont="1" applyBorder="1" applyAlignment="1" applyProtection="1">
      <alignment horizontal="center"/>
      <protection locked="0"/>
    </xf>
    <xf numFmtId="1" fontId="68" fillId="0" borderId="107" xfId="5" applyNumberFormat="1" applyFont="1" applyBorder="1" applyAlignment="1">
      <alignment horizontal="center"/>
    </xf>
    <xf numFmtId="171" fontId="68" fillId="0" borderId="107" xfId="5" applyFont="1" applyBorder="1"/>
    <xf numFmtId="171" fontId="68" fillId="0" borderId="48" xfId="5" applyFont="1" applyBorder="1"/>
    <xf numFmtId="171" fontId="68" fillId="0" borderId="48" xfId="5" applyFont="1" applyBorder="1" applyAlignment="1">
      <alignment horizontal="left"/>
    </xf>
    <xf numFmtId="171" fontId="69" fillId="0" borderId="137" xfId="5" applyFont="1" applyBorder="1" applyAlignment="1">
      <alignment horizontal="centerContinuous"/>
    </xf>
    <xf numFmtId="171" fontId="65" fillId="0" borderId="138" xfId="5" applyFont="1" applyBorder="1" applyAlignment="1">
      <alignment horizontal="centerContinuous"/>
    </xf>
    <xf numFmtId="171" fontId="61" fillId="0" borderId="139" xfId="5" applyBorder="1"/>
    <xf numFmtId="171" fontId="65" fillId="0" borderId="140" xfId="5" applyFont="1" applyBorder="1" applyAlignment="1">
      <alignment horizontal="centerContinuous"/>
    </xf>
    <xf numFmtId="171" fontId="70" fillId="0" borderId="45" xfId="5" applyFont="1" applyBorder="1" applyAlignment="1">
      <alignment horizontal="left"/>
    </xf>
    <xf numFmtId="171" fontId="61" fillId="0" borderId="107" xfId="5" applyBorder="1"/>
    <xf numFmtId="166" fontId="68" fillId="0" borderId="0" xfId="5" applyNumberFormat="1" applyFont="1" applyAlignment="1" applyProtection="1">
      <alignment horizontal="center"/>
      <protection locked="0"/>
    </xf>
    <xf numFmtId="171" fontId="68" fillId="0" borderId="45" xfId="5" applyFont="1" applyBorder="1" applyAlignment="1">
      <alignment horizontal="left"/>
    </xf>
    <xf numFmtId="171" fontId="61" fillId="0" borderId="48" xfId="5" applyBorder="1"/>
    <xf numFmtId="171" fontId="65" fillId="0" borderId="0" xfId="5" applyFont="1" applyAlignment="1">
      <alignment horizontal="left"/>
    </xf>
    <xf numFmtId="171" fontId="65" fillId="0" borderId="137" xfId="5" applyFont="1" applyBorder="1"/>
    <xf numFmtId="171" fontId="64" fillId="0" borderId="138" xfId="5" applyFont="1" applyBorder="1" applyAlignment="1">
      <alignment horizontal="left"/>
    </xf>
    <xf numFmtId="171" fontId="64" fillId="0" borderId="140" xfId="5" applyFont="1" applyBorder="1" applyAlignment="1">
      <alignment horizontal="left"/>
    </xf>
    <xf numFmtId="171" fontId="68" fillId="0" borderId="45" xfId="5" quotePrefix="1" applyFont="1" applyBorder="1" applyAlignment="1">
      <alignment horizontal="left"/>
    </xf>
    <xf numFmtId="171" fontId="68" fillId="0" borderId="21" xfId="5" applyFont="1" applyBorder="1" applyAlignment="1">
      <alignment horizontal="left"/>
    </xf>
    <xf numFmtId="171" fontId="71" fillId="0" borderId="141" xfId="5" applyFont="1" applyBorder="1"/>
    <xf numFmtId="171" fontId="68" fillId="0" borderId="142" xfId="5" applyFont="1" applyBorder="1" applyAlignment="1">
      <alignment horizontal="left"/>
    </xf>
    <xf numFmtId="171" fontId="68" fillId="0" borderId="143" xfId="5" applyFont="1" applyBorder="1" applyAlignment="1">
      <alignment horizontal="left"/>
    </xf>
    <xf numFmtId="171" fontId="63" fillId="0" borderId="144" xfId="5" quotePrefix="1" applyFont="1" applyBorder="1" applyAlignment="1">
      <alignment horizontal="left"/>
    </xf>
    <xf numFmtId="171" fontId="68" fillId="0" borderId="145" xfId="5" applyFont="1" applyBorder="1" applyAlignment="1">
      <alignment horizontal="left"/>
    </xf>
    <xf numFmtId="171" fontId="68" fillId="0" borderId="145" xfId="5" quotePrefix="1" applyFont="1" applyBorder="1" applyAlignment="1">
      <alignment horizontal="left"/>
    </xf>
    <xf numFmtId="171" fontId="68" fillId="0" borderId="146" xfId="5" applyFont="1" applyBorder="1" applyAlignment="1">
      <alignment horizontal="left"/>
    </xf>
    <xf numFmtId="171" fontId="68" fillId="0" borderId="147" xfId="5" quotePrefix="1" applyFont="1" applyBorder="1" applyAlignment="1">
      <alignment horizontal="left"/>
    </xf>
    <xf numFmtId="171" fontId="68" fillId="0" borderId="148" xfId="5" applyFont="1" applyBorder="1" applyAlignment="1">
      <alignment horizontal="left"/>
    </xf>
    <xf numFmtId="171" fontId="68" fillId="0" borderId="149" xfId="5" applyFont="1" applyBorder="1" applyAlignment="1">
      <alignment horizontal="left"/>
    </xf>
    <xf numFmtId="171" fontId="68" fillId="0" borderId="46" xfId="5" applyFont="1" applyBorder="1" applyAlignment="1">
      <alignment horizontal="left"/>
    </xf>
    <xf numFmtId="171" fontId="68" fillId="0" borderId="23" xfId="5" applyFont="1" applyBorder="1" applyAlignment="1">
      <alignment horizontal="left"/>
    </xf>
    <xf numFmtId="171" fontId="68" fillId="0" borderId="24" xfId="5" applyFont="1" applyBorder="1" applyAlignment="1">
      <alignment horizontal="left"/>
    </xf>
    <xf numFmtId="171" fontId="72" fillId="0" borderId="0" xfId="5" applyFont="1"/>
    <xf numFmtId="171" fontId="64" fillId="0" borderId="0" xfId="5" applyFont="1" applyAlignment="1">
      <alignment horizontal="left"/>
    </xf>
    <xf numFmtId="171" fontId="73" fillId="0" borderId="0" xfId="5" applyFont="1" applyAlignment="1">
      <alignment horizontal="right"/>
    </xf>
    <xf numFmtId="171" fontId="61" fillId="0" borderId="0" xfId="5" applyAlignment="1">
      <alignment horizontal="right"/>
    </xf>
    <xf numFmtId="0" fontId="54" fillId="0" borderId="82" xfId="4" applyFont="1" applyBorder="1" applyAlignment="1">
      <alignment horizontal="centerContinuous"/>
    </xf>
    <xf numFmtId="0" fontId="75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7" fillId="0" borderId="151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52" xfId="4" applyNumberFormat="1" applyFont="1" applyBorder="1" applyAlignment="1">
      <alignment horizontal="center"/>
    </xf>
    <xf numFmtId="166" fontId="7" fillId="0" borderId="153" xfId="4" quotePrefix="1" applyNumberFormat="1" applyFont="1" applyBorder="1" applyAlignment="1">
      <alignment horizontal="center"/>
    </xf>
    <xf numFmtId="166" fontId="2" fillId="0" borderId="129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7" fillId="0" borderId="25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66" fontId="7" fillId="0" borderId="0" xfId="4" quotePrefix="1" applyNumberFormat="1" applyFont="1" applyAlignment="1">
      <alignment horizontal="center"/>
    </xf>
    <xf numFmtId="166" fontId="2" fillId="0" borderId="0" xfId="4" applyNumberFormat="1" applyFont="1" applyAlignment="1">
      <alignment horizontal="center"/>
    </xf>
    <xf numFmtId="166" fontId="7" fillId="0" borderId="0" xfId="4" applyNumberFormat="1" applyFont="1" applyAlignment="1">
      <alignment horizontal="center"/>
    </xf>
    <xf numFmtId="0" fontId="20" fillId="0" borderId="101" xfId="1" applyFont="1" applyBorder="1" applyAlignment="1">
      <alignment horizontal="left"/>
    </xf>
    <xf numFmtId="0" fontId="20" fillId="0" borderId="61" xfId="1" applyFont="1" applyBorder="1" applyAlignment="1">
      <alignment horizontal="left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19" xfId="1" applyNumberFormat="1" applyFont="1" applyFill="1" applyBorder="1" applyAlignment="1">
      <alignment horizontal="center"/>
    </xf>
    <xf numFmtId="14" fontId="24" fillId="2" borderId="120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107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107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4" xfId="1" applyFont="1" applyFill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0" fontId="20" fillId="0" borderId="79" xfId="1" applyFont="1" applyBorder="1" applyAlignment="1">
      <alignment horizontal="left"/>
    </xf>
    <xf numFmtId="0" fontId="20" fillId="0" borderId="80" xfId="1" applyFont="1" applyBorder="1" applyAlignment="1">
      <alignment horizontal="left"/>
    </xf>
    <xf numFmtId="0" fontId="20" fillId="0" borderId="81" xfId="1" applyFont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Border="1" applyAlignment="1">
      <alignment horizontal="center"/>
    </xf>
    <xf numFmtId="0" fontId="31" fillId="0" borderId="65" xfId="1" applyFont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31" fillId="0" borderId="64" xfId="1" applyFont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Border="1" applyAlignment="1">
      <alignment horizontal="left"/>
    </xf>
    <xf numFmtId="0" fontId="26" fillId="0" borderId="76" xfId="1" applyFont="1" applyBorder="1" applyAlignment="1">
      <alignment horizontal="left"/>
    </xf>
    <xf numFmtId="0" fontId="29" fillId="0" borderId="74" xfId="1" applyFont="1" applyBorder="1" applyAlignment="1">
      <alignment horizontal="left"/>
    </xf>
    <xf numFmtId="0" fontId="29" fillId="0" borderId="67" xfId="1" applyFont="1" applyBorder="1" applyAlignment="1">
      <alignment horizontal="left"/>
    </xf>
    <xf numFmtId="0" fontId="29" fillId="0" borderId="68" xfId="1" applyFont="1" applyBorder="1" applyAlignment="1">
      <alignment horizontal="left"/>
    </xf>
    <xf numFmtId="166" fontId="31" fillId="0" borderId="64" xfId="1" applyNumberFormat="1" applyFont="1" applyBorder="1" applyAlignment="1">
      <alignment horizontal="center"/>
    </xf>
    <xf numFmtId="166" fontId="31" fillId="0" borderId="65" xfId="1" applyNumberFormat="1" applyFont="1" applyBorder="1" applyAlignment="1">
      <alignment horizontal="center"/>
    </xf>
    <xf numFmtId="0" fontId="29" fillId="0" borderId="62" xfId="1" applyFont="1" applyBorder="1" applyAlignment="1">
      <alignment horizontal="left"/>
    </xf>
    <xf numFmtId="0" fontId="29" fillId="0" borderId="63" xfId="1" applyFont="1" applyBorder="1" applyAlignment="1">
      <alignment horizontal="left"/>
    </xf>
    <xf numFmtId="2" fontId="31" fillId="0" borderId="64" xfId="1" applyNumberFormat="1" applyFont="1" applyBorder="1" applyAlignment="1">
      <alignment horizontal="center"/>
    </xf>
    <xf numFmtId="2" fontId="31" fillId="0" borderId="65" xfId="1" applyNumberFormat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Border="1" applyAlignment="1">
      <alignment horizontal="left"/>
    </xf>
    <xf numFmtId="0" fontId="29" fillId="0" borderId="58" xfId="1" applyFont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7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171" fontId="68" fillId="0" borderId="0" xfId="5" applyFont="1" applyAlignment="1">
      <alignment horizontal="center"/>
    </xf>
    <xf numFmtId="171" fontId="68" fillId="0" borderId="21" xfId="5" applyFont="1" applyBorder="1" applyAlignment="1">
      <alignment horizontal="center"/>
    </xf>
    <xf numFmtId="171" fontId="74" fillId="0" borderId="150" xfId="5" applyFont="1" applyBorder="1" applyAlignment="1" applyProtection="1">
      <alignment horizontal="center"/>
      <protection locked="0"/>
    </xf>
    <xf numFmtId="14" fontId="15" fillId="0" borderId="150" xfId="5" quotePrefix="1" applyNumberFormat="1" applyFont="1" applyBorder="1" applyAlignment="1" applyProtection="1">
      <alignment horizontal="center"/>
      <protection locked="0"/>
    </xf>
    <xf numFmtId="0" fontId="52" fillId="0" borderId="17" xfId="0" applyFont="1" applyBorder="1" applyAlignment="1">
      <alignment horizontal="center"/>
    </xf>
    <xf numFmtId="0" fontId="52" fillId="0" borderId="128" xfId="0" applyFont="1" applyBorder="1" applyAlignment="1">
      <alignment horizontal="center"/>
    </xf>
    <xf numFmtId="0" fontId="52" fillId="0" borderId="129" xfId="0" applyFont="1" applyBorder="1" applyAlignment="1">
      <alignment horizontal="center"/>
    </xf>
    <xf numFmtId="0" fontId="54" fillId="0" borderId="82" xfId="4" applyFont="1" applyBorder="1" applyAlignment="1">
      <alignment horizontal="center"/>
    </xf>
    <xf numFmtId="0" fontId="54" fillId="0" borderId="0" xfId="4" applyFont="1" applyAlignment="1">
      <alignment horizontal="center"/>
    </xf>
    <xf numFmtId="0" fontId="54" fillId="0" borderId="107" xfId="4" applyFont="1" applyBorder="1" applyAlignment="1">
      <alignment horizontal="center"/>
    </xf>
    <xf numFmtId="0" fontId="57" fillId="0" borderId="8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107" xfId="4" applyFont="1" applyBorder="1" applyAlignment="1">
      <alignment horizontal="center"/>
    </xf>
    <xf numFmtId="0" fontId="8" fillId="0" borderId="133" xfId="0" applyFont="1" applyBorder="1" applyAlignment="1">
      <alignment horizontal="right"/>
    </xf>
    <xf numFmtId="0" fontId="8" fillId="0" borderId="130" xfId="0" applyFont="1" applyBorder="1" applyAlignment="1">
      <alignment horizontal="right"/>
    </xf>
    <xf numFmtId="0" fontId="23" fillId="0" borderId="130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2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3" fillId="0" borderId="60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49" fillId="0" borderId="17" xfId="4" applyFont="1" applyBorder="1" applyAlignment="1">
      <alignment horizontal="right"/>
    </xf>
    <xf numFmtId="0" fontId="49" fillId="0" borderId="128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49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28" xfId="4" applyFont="1" applyBorder="1" applyAlignment="1">
      <alignment horizontal="center"/>
    </xf>
    <xf numFmtId="0" fontId="23" fillId="0" borderId="129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1" fillId="0" borderId="17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29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26" fillId="2" borderId="67" xfId="1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2" xr:uid="{00000000-0005-0000-0000-000004000000}"/>
    <cellStyle name="Normal_PROJ_REV_HIST" xfId="3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166.78825586515063</c:v>
                </c:pt>
                <c:pt idx="2">
                  <c:v>276</c:v>
                </c:pt>
                <c:pt idx="3">
                  <c:v>141.42678496293067</c:v>
                </c:pt>
                <c:pt idx="4">
                  <c:v>108.02772352423641</c:v>
                </c:pt>
                <c:pt idx="5">
                  <c:v>93.722333620927529</c:v>
                </c:pt>
                <c:pt idx="6">
                  <c:v>84.38480959966995</c:v>
                </c:pt>
                <c:pt idx="7">
                  <c:v>80.163222461269328</c:v>
                </c:pt>
                <c:pt idx="8">
                  <c:v>78</c:v>
                </c:pt>
                <c:pt idx="9">
                  <c:v>78.001745341767332</c:v>
                </c:pt>
                <c:pt idx="10">
                  <c:v>78.003522531916872</c:v>
                </c:pt>
                <c:pt idx="11">
                  <c:v>78.004772604800678</c:v>
                </c:pt>
                <c:pt idx="12">
                  <c:v>78.00647134022023</c:v>
                </c:pt>
                <c:pt idx="13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CD-4271-A614-1AB954AE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84384"/>
        <c:axId val="15559475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6.4444445073604584E-2</c:v>
                </c:pt>
                <c:pt idx="4" formatCode="0.00">
                  <c:v>0.11888889968395233</c:v>
                </c:pt>
                <c:pt idx="5" formatCode="0.00">
                  <c:v>0.17333333194255829</c:v>
                </c:pt>
                <c:pt idx="6" formatCode="0.00">
                  <c:v>0.28222224116325378</c:v>
                </c:pt>
                <c:pt idx="7" formatCode="0.00">
                  <c:v>0.3911111056804657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0.15435272455215454</c:v>
                </c:pt>
                <c:pt idx="1">
                  <c:v>180.35881042480469</c:v>
                </c:pt>
                <c:pt idx="2">
                  <c:v>505.795166015625</c:v>
                </c:pt>
                <c:pt idx="3">
                  <c:v>576.56549072265625</c:v>
                </c:pt>
                <c:pt idx="4">
                  <c:v>594.632080078125</c:v>
                </c:pt>
                <c:pt idx="5">
                  <c:v>602.36859130859375</c:v>
                </c:pt>
                <c:pt idx="6">
                  <c:v>610.49298095703125</c:v>
                </c:pt>
                <c:pt idx="7">
                  <c:v>616.0750732421875</c:v>
                </c:pt>
                <c:pt idx="8">
                  <c:v>620.6842041015625</c:v>
                </c:pt>
                <c:pt idx="9">
                  <c:v>624.55718994140625</c:v>
                </c:pt>
                <c:pt idx="10">
                  <c:v>627.80487060546875</c:v>
                </c:pt>
                <c:pt idx="11">
                  <c:v>630.538330078125</c:v>
                </c:pt>
                <c:pt idx="12">
                  <c:v>632.86175537109375</c:v>
                </c:pt>
                <c:pt idx="13">
                  <c:v>634.86236572265625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CD-4271-A614-1AB954AE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96672"/>
        <c:axId val="155598208"/>
      </c:scatterChart>
      <c:valAx>
        <c:axId val="15558438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594752"/>
        <c:crossesAt val="0"/>
        <c:crossBetween val="midCat"/>
        <c:majorUnit val="0.2"/>
        <c:minorUnit val="0.2"/>
      </c:valAx>
      <c:valAx>
        <c:axId val="15559475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584384"/>
        <c:crosses val="max"/>
        <c:crossBetween val="midCat"/>
        <c:majorUnit val="50"/>
        <c:minorUnit val="50"/>
      </c:valAx>
      <c:valAx>
        <c:axId val="155596672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55598208"/>
        <c:crosses val="autoZero"/>
        <c:crossBetween val="midCat"/>
      </c:valAx>
      <c:valAx>
        <c:axId val="15559820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596672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166.78825586515063</c:v>
                </c:pt>
                <c:pt idx="2">
                  <c:v>276</c:v>
                </c:pt>
                <c:pt idx="3">
                  <c:v>141.42678496293067</c:v>
                </c:pt>
                <c:pt idx="4">
                  <c:v>108.02772352423641</c:v>
                </c:pt>
                <c:pt idx="5">
                  <c:v>93.722333620927529</c:v>
                </c:pt>
                <c:pt idx="6">
                  <c:v>84.38480959966995</c:v>
                </c:pt>
                <c:pt idx="7">
                  <c:v>80.163222461269328</c:v>
                </c:pt>
                <c:pt idx="8">
                  <c:v>78</c:v>
                </c:pt>
                <c:pt idx="9">
                  <c:v>78.001745341767332</c:v>
                </c:pt>
                <c:pt idx="10">
                  <c:v>78.003522531916872</c:v>
                </c:pt>
                <c:pt idx="11">
                  <c:v>78.004772604800678</c:v>
                </c:pt>
                <c:pt idx="12">
                  <c:v>78.00647134022023</c:v>
                </c:pt>
                <c:pt idx="13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F2-4CEC-B409-1AB84C86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64832"/>
        <c:axId val="15546675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0.15435272455215454</c:v>
                </c:pt>
                <c:pt idx="1">
                  <c:v>180.35881042480469</c:v>
                </c:pt>
                <c:pt idx="2">
                  <c:v>505.795166015625</c:v>
                </c:pt>
                <c:pt idx="3">
                  <c:v>576.56549072265625</c:v>
                </c:pt>
                <c:pt idx="4">
                  <c:v>594.632080078125</c:v>
                </c:pt>
                <c:pt idx="5">
                  <c:v>602.36859130859375</c:v>
                </c:pt>
                <c:pt idx="6">
                  <c:v>610.49298095703125</c:v>
                </c:pt>
                <c:pt idx="7">
                  <c:v>616.0750732421875</c:v>
                </c:pt>
                <c:pt idx="8">
                  <c:v>620.6842041015625</c:v>
                </c:pt>
                <c:pt idx="9">
                  <c:v>624.55718994140625</c:v>
                </c:pt>
                <c:pt idx="10">
                  <c:v>627.80487060546875</c:v>
                </c:pt>
                <c:pt idx="11">
                  <c:v>630.538330078125</c:v>
                </c:pt>
                <c:pt idx="12">
                  <c:v>632.86175537109375</c:v>
                </c:pt>
                <c:pt idx="13">
                  <c:v>634.86236572265625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F2-4CEC-B409-1AB84C86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73024"/>
        <c:axId val="155474560"/>
      </c:scatterChart>
      <c:valAx>
        <c:axId val="15546483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466752"/>
        <c:crosses val="autoZero"/>
        <c:crossBetween val="midCat"/>
        <c:majorUnit val="20"/>
        <c:minorUnit val="20"/>
      </c:valAx>
      <c:valAx>
        <c:axId val="155466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464832"/>
        <c:crosses val="autoZero"/>
        <c:crossBetween val="midCat"/>
      </c:valAx>
      <c:valAx>
        <c:axId val="1554730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55474560"/>
        <c:crosses val="autoZero"/>
        <c:crossBetween val="midCat"/>
      </c:valAx>
      <c:valAx>
        <c:axId val="155474560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47302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94106551236624469"/>
          <c:w val="0.30526368089309364"/>
          <c:h val="4.18251338829442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634.86238532110087</c:v>
                </c:pt>
                <c:pt idx="1">
                  <c:v>563.91535229357794</c:v>
                </c:pt>
                <c:pt idx="2">
                  <c:v>492.94703302752293</c:v>
                </c:pt>
                <c:pt idx="3">
                  <c:v>422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44.360803210001812</c:v>
                </c:pt>
                <c:pt idx="2">
                  <c:v>58.053274792320366</c:v>
                </c:pt>
                <c:pt idx="3">
                  <c:v>79.214071395217601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6-4377-B1D0-4B340A699BAE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634.86238532110087</c:v>
                </c:pt>
                <c:pt idx="1">
                  <c:v>563.91535229357794</c:v>
                </c:pt>
                <c:pt idx="2">
                  <c:v>492.94703302752293</c:v>
                </c:pt>
                <c:pt idx="3">
                  <c:v>422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19.01177280428649</c:v>
                </c:pt>
                <c:pt idx="2">
                  <c:v>24.879974910994441</c:v>
                </c:pt>
                <c:pt idx="3">
                  <c:v>33.948887740807542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66-4377-B1D0-4B340A699BAE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322</c:v>
                </c:pt>
                <c:pt idx="1">
                  <c:v>222</c:v>
                </c:pt>
                <c:pt idx="2">
                  <c:v>276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79.365597096644194</c:v>
                </c:pt>
                <c:pt idx="3">
                  <c:v>186.59733717388795</c:v>
                </c:pt>
                <c:pt idx="4">
                  <c:v>419.8440086412478</c:v>
                </c:pt>
                <c:pt idx="5" formatCode="0">
                  <c:v>900</c:v>
                </c:pt>
                <c:pt idx="6" formatCode="0">
                  <c:v>1800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66-4377-B1D0-4B340A699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08000"/>
        <c:axId val="158614272"/>
      </c:scatterChart>
      <c:valAx>
        <c:axId val="15860800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614272"/>
        <c:crossesAt val="0.1"/>
        <c:crossBetween val="midCat"/>
        <c:majorUnit val="100"/>
      </c:valAx>
      <c:valAx>
        <c:axId val="15861427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60800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95165007620914"/>
          <c:y val="3.5114549626119582E-2"/>
          <c:w val="0.6142689841644996"/>
          <c:h val="0.81832167824348245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89.7</c:v>
                </c:pt>
                <c:pt idx="2">
                  <c:v>93.6</c:v>
                </c:pt>
                <c:pt idx="3">
                  <c:v>94.8</c:v>
                </c:pt>
                <c:pt idx="4">
                  <c:v>95.3</c:v>
                </c:pt>
                <c:pt idx="5">
                  <c:v>95.5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F1-4A35-BBE4-91F11863DE51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80.840988159179688</c:v>
                </c:pt>
                <c:pt idx="1">
                  <c:v>90.806556701660156</c:v>
                </c:pt>
                <c:pt idx="2">
                  <c:v>92.914451599121094</c:v>
                </c:pt>
                <c:pt idx="3">
                  <c:v>93.291389465332031</c:v>
                </c:pt>
                <c:pt idx="4">
                  <c:v>93.000137329101563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F1-4A35-BBE4-91F11863DE51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84.953780856173907</c:v>
                </c:pt>
                <c:pt idx="2">
                  <c:v>73.173274768775613</c:v>
                </c:pt>
                <c:pt idx="3">
                  <c:v>61.163878347538223</c:v>
                </c:pt>
                <c:pt idx="4">
                  <c:v>48.739247604660136</c:v>
                </c:pt>
                <c:pt idx="5">
                  <c:v>36.621943510811242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F1-4A35-BBE4-91F11863DE51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2</c:v>
                </c:pt>
                <c:pt idx="1">
                  <c:v>10.400190859054634</c:v>
                </c:pt>
                <c:pt idx="2">
                  <c:v>19.926360662294872</c:v>
                </c:pt>
                <c:pt idx="3">
                  <c:v>29.509159353353628</c:v>
                </c:pt>
                <c:pt idx="4">
                  <c:v>39.153877549558594</c:v>
                </c:pt>
                <c:pt idx="5">
                  <c:v>48.862133606524857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F1-4A35-BBE4-91F11863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29706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19.100000000000001</c:v>
                </c:pt>
                <c:pt idx="1">
                  <c:v>33.5</c:v>
                </c:pt>
                <c:pt idx="2">
                  <c:v>57</c:v>
                </c:pt>
                <c:pt idx="3">
                  <c:v>82.5</c:v>
                </c:pt>
                <c:pt idx="4">
                  <c:v>109</c:v>
                </c:pt>
                <c:pt idx="5">
                  <c:v>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F1-4A35-BBE4-91F11863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68529706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651785062538284"/>
              <c:y val="0.9190851716054577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608238359564184"/>
              <c:y val="0.248855362545330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529706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222973337522658"/>
              <c:y val="0.316030935064414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41.41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03" name="Radiu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04" name="Heigh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05" name="Clea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06" name="Thickness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7" name="Radius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8" name="Heigh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9" name="Thickness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0" name="Clear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1" name="Radius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2" name="Clear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3" name="Thickness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4" name="Radius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5" name="Thickness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6" name="Radius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17" name="Height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8" name="Clear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19" name="Thicknes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4</xdr:col>
      <xdr:colOff>0</xdr:colOff>
      <xdr:row>43</xdr:row>
      <xdr:rowOff>9525</xdr:rowOff>
    </xdr:to>
    <xdr:sp macro="" textlink="">
      <xdr:nvSpPr>
        <xdr:cNvPr id="120" name="Radius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247900" y="97821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85725</xdr:rowOff>
    </xdr:to>
    <xdr:sp macro="" textlink="">
      <xdr:nvSpPr>
        <xdr:cNvPr id="121" name="Height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857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42</xdr:row>
      <xdr:rowOff>0</xdr:rowOff>
    </xdr:from>
    <xdr:to>
      <xdr:col>3</xdr:col>
      <xdr:colOff>323850</xdr:colOff>
      <xdr:row>42</xdr:row>
      <xdr:rowOff>104775</xdr:rowOff>
    </xdr:to>
    <xdr:sp macro="" textlink="">
      <xdr:nvSpPr>
        <xdr:cNvPr id="122" name="Thicknes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609725" y="9667875"/>
          <a:ext cx="4095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23" name="Text 583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590550</xdr:colOff>
      <xdr:row>41</xdr:row>
      <xdr:rowOff>9525</xdr:rowOff>
    </xdr:to>
    <xdr:sp macro="" textlink="">
      <xdr:nvSpPr>
        <xdr:cNvPr id="124" name="Thickness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990725" y="934402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5" name="Radius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26" name="Height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27" name="Clear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28" name="Thickness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9" name="Radius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0" name="Height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1" name="Clear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2" name="Thickness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3" name="Radius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4" name="Height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5" name="Clear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6" name="Thickness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7" name="Radius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8" name="Height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9" name="Clear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0" name="Thickness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41" name="Radius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42" name="Height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43" name="Clear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4" name="Thickness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5" name="Radius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46" name="Height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47" name="Clear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48" name="Thickness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9" name="Radius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50" name="Height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51" name="Clear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52" name="Thickness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3" name="Clear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4" name="Radius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5" name="Clear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6" name="Thickness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7" name="Radius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8" name="Thickness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9" name="Radius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0" name="Height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1" name="Clear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62" name="Thickness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163" name="Text 219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164" name="Radius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276225</xdr:colOff>
      <xdr:row>40</xdr:row>
      <xdr:rowOff>171450</xdr:rowOff>
    </xdr:to>
    <xdr:sp macro="" textlink="">
      <xdr:nvSpPr>
        <xdr:cNvPr id="165" name="Height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1543050" y="9039225"/>
          <a:ext cx="428625" cy="34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166" name="Clear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167" name="Thickness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68" name="Text 583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169" name="Line 125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170" name="Line 126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171" name="Line 127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172" name="Line 128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173" name="Line 129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174" name="Line 130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175" name="Thickness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176" name="Rectangle 132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177" name="Rectangle 133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178" name="Line 134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179" name="Line 135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180" name="Line 136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181" name="Line 137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182" name="Line 138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183" name="Line 139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184" name="Line 140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185" name="Line 14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186" name="Line 142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187" name="Line 143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188" name="Line 144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189" name="Thickness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190" name="Line 146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191" name="Height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192" name="Line 148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193" name="Line 149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194" name="Line 150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195" name="Line 15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96" name="Radius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97" name="Height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98" name="Clear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99" name="Thickness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00" name="Radius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01" name="Height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02" name="Clear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03" name="Thickness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4" name="Radius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5" name="Height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06" name="Clear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07" name="Thickness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8" name="Radius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9" name="Height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10" name="Clear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11" name="Thickness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2" name="Clear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3" name="Radius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4" name="Clear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5" name="Thickness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6" name="Radius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7" name="Thickness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8" name="Radius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19" name="Height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20" name="Clear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21" name="Thickness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22" name="Text 219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23" name="Radius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24" name="Height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25" name="Clear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26" name="Thickness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27" name="Text 583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28" name="Line 125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29" name="Line 126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30" name="Line 127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31" name="Line 128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32" name="Line 12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233" name="Line 130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234" name="Thickness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235" name="Rectangle 132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236" name="Rectangle 133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237" name="Line 134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238" name="Line 135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239" name="Line 136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240" name="Line 137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241" name="Line 138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242" name="Line 13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243" name="Line 140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244" name="Line 14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245" name="Line 142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246" name="Line 143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247" name="Line 144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248" name="Thickness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249" name="Line 146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250" name="Height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251" name="Line 148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252" name="Line 14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253" name="Line 150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254" name="Line 15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5" name="Radius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56" name="Height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57" name="Clear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58" name="Thickness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9" name="Radius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0" name="Height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1" name="Clear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2" name="Thickness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3" name="Radius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4" name="Height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5" name="Clear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6" name="Thickness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7" name="Radius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8" name="Height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9" name="Clear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70" name="Thickness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1" name="Radius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2" name="Height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3" name="Clear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4" name="Thickness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5" name="Radius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6" name="Height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7" name="Clear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8" name="Thickness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79" name="Clear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0" name="Radius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1" name="Clear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2" name="Thickness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3" name="Radius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4" name="Thickness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5" name="Radius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86" name="Height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7" name="Clear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88" name="Thickness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89" name="Text 219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90" name="Radius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91" name="Height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92" name="Clear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93" name="Thickness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94" name="Text 58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95" name="Line 125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96" name="Line 126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97" name="Line 127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98" name="Line 128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99" name="Line 129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00" name="Line 13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01" name="Thickness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02" name="Rectangle 132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03" name="Rectangle 133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04" name="Line 134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05" name="Line 135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06" name="Line 136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07" name="Line 137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08" name="Line 138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09" name="Line 139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10" name="Line 14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11" name="Line 14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12" name="Line 142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13" name="Line 143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14" name="Line 144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381000</xdr:colOff>
      <xdr:row>40</xdr:row>
      <xdr:rowOff>180975</xdr:rowOff>
    </xdr:to>
    <xdr:sp macro="" textlink="">
      <xdr:nvSpPr>
        <xdr:cNvPr id="315" name="Thickness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1752600" y="9286875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316" name="Line 146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17" name="Height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18" name="Line 148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19" name="Line 149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20" name="Line 150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21" name="Line 15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2" name="Radius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3" name="Height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4" name="Clear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5" name="Thickness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6" name="Radius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7" name="Height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8" name="Clear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9" name="Thickness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0" name="Radius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1" name="Height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2" name="Clear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3" name="Thickness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4" name="Radius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5" name="Height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6" name="Clear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7" name="Thickness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38" name="Clear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39" name="Radius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0" name="Clear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1" name="Thickness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2" name="Radius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3" name="Thickness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4" name="Radius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345" name="Height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6" name="Clear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347" name="Thickness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348" name="Text 219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051-FA11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349" name="Radius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318.0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350" name="Height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351" name="Clear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352" name="Thickness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60.0</a:t>
          </a: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353" name="Text 58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354" name="Line 125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355" name="Line 126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356" name="Line 127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357" name="Line 128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358" name="Line 129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59" name="Line 130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60" name="Thickness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44.0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61" name="Rectangle 132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62" name="Rectangle 133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63" name="Line 134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64" name="Line 135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65" name="Line 136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66" name="Line 137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67" name="Line 138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68" name="Line 139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69" name="Line 140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70" name="Line 14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71" name="Line 142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72" name="Line 143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73" name="Line 144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142876</xdr:colOff>
      <xdr:row>40</xdr:row>
      <xdr:rowOff>88107</xdr:rowOff>
    </xdr:from>
    <xdr:to>
      <xdr:col>3</xdr:col>
      <xdr:colOff>371476</xdr:colOff>
      <xdr:row>40</xdr:row>
      <xdr:rowOff>164307</xdr:rowOff>
    </xdr:to>
    <xdr:sp macro="" textlink="">
      <xdr:nvSpPr>
        <xdr:cNvPr id="374" name="Thickness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 txBox="1">
          <a:spLocks noChangeArrowheads="1"/>
        </xdr:cNvSpPr>
      </xdr:nvSpPr>
      <xdr:spPr bwMode="auto">
        <a:xfrm>
          <a:off x="1838326" y="9298782"/>
          <a:ext cx="228600" cy="762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b" anchorCtr="0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75" name="Height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76" name="Line 148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77" name="Line 149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78" name="Line 150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79" name="Line 151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723900</xdr:colOff>
      <xdr:row>33</xdr:row>
      <xdr:rowOff>200025</xdr:rowOff>
    </xdr:from>
    <xdr:to>
      <xdr:col>4</xdr:col>
      <xdr:colOff>733425</xdr:colOff>
      <xdr:row>34</xdr:row>
      <xdr:rowOff>125990</xdr:rowOff>
    </xdr:to>
    <xdr:sp macro="" textlink="">
      <xdr:nvSpPr>
        <xdr:cNvPr id="380" name="Text 21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 txBox="1">
          <a:spLocks noChangeArrowheads="1"/>
        </xdr:cNvSpPr>
      </xdr:nvSpPr>
      <xdr:spPr bwMode="auto">
        <a:xfrm>
          <a:off x="2419350" y="78105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411-FA11</a:t>
          </a:r>
        </a:p>
      </xdr:txBody>
    </xdr:sp>
    <xdr:clientData/>
  </xdr:twoCellAnchor>
  <xdr:twoCellAnchor>
    <xdr:from>
      <xdr:col>3</xdr:col>
      <xdr:colOff>704850</xdr:colOff>
      <xdr:row>27</xdr:row>
      <xdr:rowOff>142875</xdr:rowOff>
    </xdr:from>
    <xdr:to>
      <xdr:col>4</xdr:col>
      <xdr:colOff>714375</xdr:colOff>
      <xdr:row>28</xdr:row>
      <xdr:rowOff>68840</xdr:rowOff>
    </xdr:to>
    <xdr:sp macro="" textlink="">
      <xdr:nvSpPr>
        <xdr:cNvPr id="381" name="Text 219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 txBox="1">
          <a:spLocks noChangeArrowheads="1"/>
        </xdr:cNvSpPr>
      </xdr:nvSpPr>
      <xdr:spPr bwMode="auto">
        <a:xfrm>
          <a:off x="2400300" y="638175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0.67463</cdr:x>
      <cdr:y>0.6214</cdr:y>
    </cdr:from>
    <cdr:to>
      <cdr:x>0.91048</cdr:x>
      <cdr:y>0.64209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45484" y="400115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0.6844</cdr:x>
      <cdr:y>0.54088</cdr:y>
    </cdr:from>
    <cdr:to>
      <cdr:x>0.96722</cdr:x>
      <cdr:y>0.56601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2634" y="34826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421738</xdr:colOff>
      <xdr:row>16</xdr:row>
      <xdr:rowOff>83819</xdr:rowOff>
    </xdr:from>
    <xdr:to>
      <xdr:col>0</xdr:col>
      <xdr:colOff>1106805</xdr:colOff>
      <xdr:row>17</xdr:row>
      <xdr:rowOff>57340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21738" y="3979544"/>
          <a:ext cx="685067" cy="211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406498</xdr:colOff>
      <xdr:row>18</xdr:row>
      <xdr:rowOff>30480</xdr:rowOff>
    </xdr:from>
    <xdr:to>
      <xdr:col>0</xdr:col>
      <xdr:colOff>1091565</xdr:colOff>
      <xdr:row>19</xdr:row>
      <xdr:rowOff>1905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6498" y="4402455"/>
          <a:ext cx="685067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398878</xdr:colOff>
      <xdr:row>19</xdr:row>
      <xdr:rowOff>198119</xdr:rowOff>
    </xdr:from>
    <xdr:to>
      <xdr:col>0</xdr:col>
      <xdr:colOff>1083945</xdr:colOff>
      <xdr:row>20</xdr:row>
      <xdr:rowOff>171640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398878" y="4808219"/>
          <a:ext cx="685067" cy="211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398878</xdr:colOff>
      <xdr:row>21</xdr:row>
      <xdr:rowOff>129539</xdr:rowOff>
    </xdr:from>
    <xdr:to>
      <xdr:col>0</xdr:col>
      <xdr:colOff>1083945</xdr:colOff>
      <xdr:row>22</xdr:row>
      <xdr:rowOff>103060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398878" y="5215889"/>
          <a:ext cx="685067" cy="211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406498</xdr:colOff>
      <xdr:row>23</xdr:row>
      <xdr:rowOff>68579</xdr:rowOff>
    </xdr:from>
    <xdr:to>
      <xdr:col>0</xdr:col>
      <xdr:colOff>1091565</xdr:colOff>
      <xdr:row>24</xdr:row>
      <xdr:rowOff>33718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6498" y="5631179"/>
          <a:ext cx="685067" cy="20326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406498</xdr:colOff>
      <xdr:row>25</xdr:row>
      <xdr:rowOff>0</xdr:rowOff>
    </xdr:from>
    <xdr:to>
      <xdr:col>0</xdr:col>
      <xdr:colOff>1091565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6498" y="6038850"/>
          <a:ext cx="685067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398878</xdr:colOff>
      <xdr:row>26</xdr:row>
      <xdr:rowOff>167639</xdr:rowOff>
    </xdr:from>
    <xdr:to>
      <xdr:col>0</xdr:col>
      <xdr:colOff>1083945</xdr:colOff>
      <xdr:row>27</xdr:row>
      <xdr:rowOff>141160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398878" y="6444614"/>
          <a:ext cx="685067" cy="211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391258</xdr:colOff>
      <xdr:row>28</xdr:row>
      <xdr:rowOff>106679</xdr:rowOff>
    </xdr:from>
    <xdr:to>
      <xdr:col>0</xdr:col>
      <xdr:colOff>1076325</xdr:colOff>
      <xdr:row>29</xdr:row>
      <xdr:rowOff>80200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391258" y="6859904"/>
          <a:ext cx="685067" cy="211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391258</xdr:colOff>
      <xdr:row>30</xdr:row>
      <xdr:rowOff>45719</xdr:rowOff>
    </xdr:from>
    <xdr:to>
      <xdr:col>0</xdr:col>
      <xdr:colOff>1076325</xdr:colOff>
      <xdr:row>31</xdr:row>
      <xdr:rowOff>19240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391258" y="7275194"/>
          <a:ext cx="685067" cy="211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391258</xdr:colOff>
      <xdr:row>31</xdr:row>
      <xdr:rowOff>220979</xdr:rowOff>
    </xdr:from>
    <xdr:to>
      <xdr:col>0</xdr:col>
      <xdr:colOff>1076325</xdr:colOff>
      <xdr:row>32</xdr:row>
      <xdr:rowOff>186118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391258" y="7688579"/>
          <a:ext cx="685067" cy="20326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409640</xdr:colOff>
      <xdr:row>33</xdr:row>
      <xdr:rowOff>152399</xdr:rowOff>
    </xdr:from>
    <xdr:to>
      <xdr:col>0</xdr:col>
      <xdr:colOff>1083909</xdr:colOff>
      <xdr:row>34</xdr:row>
      <xdr:rowOff>125920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9640" y="8096249"/>
          <a:ext cx="674269" cy="211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192405</xdr:colOff>
      <xdr:row>24</xdr:row>
      <xdr:rowOff>135255</xdr:rowOff>
    </xdr:from>
    <xdr:to>
      <xdr:col>0</xdr:col>
      <xdr:colOff>396488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192405" y="5935980"/>
          <a:ext cx="204083" cy="5753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264795</xdr:colOff>
      <xdr:row>16</xdr:row>
      <xdr:rowOff>83820</xdr:rowOff>
    </xdr:from>
    <xdr:to>
      <xdr:col>5</xdr:col>
      <xdr:colOff>848557</xdr:colOff>
      <xdr:row>17</xdr:row>
      <xdr:rowOff>29480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5836920" y="3979545"/>
          <a:ext cx="583762" cy="183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285217</xdr:colOff>
      <xdr:row>24</xdr:row>
      <xdr:rowOff>236219</xdr:rowOff>
    </xdr:from>
    <xdr:to>
      <xdr:col>5</xdr:col>
      <xdr:colOff>928380</xdr:colOff>
      <xdr:row>25</xdr:row>
      <xdr:rowOff>189166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5857342" y="6036944"/>
          <a:ext cx="643163" cy="1910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5</xdr:col>
      <xdr:colOff>287655</xdr:colOff>
      <xdr:row>26</xdr:row>
      <xdr:rowOff>182880</xdr:rowOff>
    </xdr:from>
    <xdr:to>
      <xdr:col>5</xdr:col>
      <xdr:colOff>871417</xdr:colOff>
      <xdr:row>27</xdr:row>
      <xdr:rowOff>121253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5859780" y="6459855"/>
          <a:ext cx="583762" cy="17649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295275</xdr:colOff>
      <xdr:row>28</xdr:row>
      <xdr:rowOff>114300</xdr:rowOff>
    </xdr:from>
    <xdr:to>
      <xdr:col>5</xdr:col>
      <xdr:colOff>879037</xdr:colOff>
      <xdr:row>29</xdr:row>
      <xdr:rowOff>59960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5867400" y="6867525"/>
          <a:ext cx="583762" cy="183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</a:t>
          </a:r>
        </a:p>
      </xdr:txBody>
    </xdr:sp>
    <xdr:clientData/>
  </xdr:twoCellAnchor>
  <xdr:twoCellAnchor>
    <xdr:from>
      <xdr:col>5</xdr:col>
      <xdr:colOff>287655</xdr:colOff>
      <xdr:row>30</xdr:row>
      <xdr:rowOff>38100</xdr:rowOff>
    </xdr:from>
    <xdr:to>
      <xdr:col>5</xdr:col>
      <xdr:colOff>871417</xdr:colOff>
      <xdr:row>30</xdr:row>
      <xdr:rowOff>221885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5859780" y="7267575"/>
          <a:ext cx="583762" cy="183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287655</xdr:colOff>
      <xdr:row>31</xdr:row>
      <xdr:rowOff>220980</xdr:rowOff>
    </xdr:from>
    <xdr:to>
      <xdr:col>5</xdr:col>
      <xdr:colOff>871417</xdr:colOff>
      <xdr:row>32</xdr:row>
      <xdr:rowOff>159353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5859780" y="7688580"/>
          <a:ext cx="583762" cy="17649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</a:t>
          </a:r>
        </a:p>
      </xdr:txBody>
    </xdr:sp>
    <xdr:clientData/>
  </xdr:twoCellAnchor>
  <xdr:twoCellAnchor>
    <xdr:from>
      <xdr:col>5</xdr:col>
      <xdr:colOff>832485</xdr:colOff>
      <xdr:row>22</xdr:row>
      <xdr:rowOff>188595</xdr:rowOff>
    </xdr:from>
    <xdr:to>
      <xdr:col>5</xdr:col>
      <xdr:colOff>1051560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6404610" y="5513070"/>
          <a:ext cx="219075" cy="1327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287655</xdr:colOff>
      <xdr:row>23</xdr:row>
      <xdr:rowOff>68580</xdr:rowOff>
    </xdr:from>
    <xdr:to>
      <xdr:col>5</xdr:col>
      <xdr:colOff>871417</xdr:colOff>
      <xdr:row>24</xdr:row>
      <xdr:rowOff>6953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5859780" y="5631180"/>
          <a:ext cx="583762" cy="17649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5</xdr:col>
      <xdr:colOff>287655</xdr:colOff>
      <xdr:row>21</xdr:row>
      <xdr:rowOff>129540</xdr:rowOff>
    </xdr:from>
    <xdr:to>
      <xdr:col>5</xdr:col>
      <xdr:colOff>871417</xdr:colOff>
      <xdr:row>22</xdr:row>
      <xdr:rowOff>75200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5859780" y="5215890"/>
          <a:ext cx="583762" cy="183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5</xdr:col>
      <xdr:colOff>289560</xdr:colOff>
      <xdr:row>19</xdr:row>
      <xdr:rowOff>198120</xdr:rowOff>
    </xdr:from>
    <xdr:to>
      <xdr:col>5</xdr:col>
      <xdr:colOff>861160</xdr:colOff>
      <xdr:row>20</xdr:row>
      <xdr:rowOff>143780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5861685" y="4808220"/>
          <a:ext cx="571600" cy="183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5</xdr:col>
      <xdr:colOff>289560</xdr:colOff>
      <xdr:row>18</xdr:row>
      <xdr:rowOff>30480</xdr:rowOff>
    </xdr:from>
    <xdr:to>
      <xdr:col>5</xdr:col>
      <xdr:colOff>861160</xdr:colOff>
      <xdr:row>18</xdr:row>
      <xdr:rowOff>214265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5861685" y="4402455"/>
          <a:ext cx="571600" cy="1837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1620</a:t>
          </a:r>
        </a:p>
      </xdr:txBody>
    </xdr:sp>
    <xdr:clientData/>
  </xdr:twoCellAnchor>
  <xdr:twoCellAnchor>
    <xdr:from>
      <xdr:col>2</xdr:col>
      <xdr:colOff>1057275</xdr:colOff>
      <xdr:row>16</xdr:row>
      <xdr:rowOff>186690</xdr:rowOff>
    </xdr:from>
    <xdr:to>
      <xdr:col>3</xdr:col>
      <xdr:colOff>281831</xdr:colOff>
      <xdr:row>17</xdr:row>
      <xdr:rowOff>93345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3286125" y="4082415"/>
          <a:ext cx="338981" cy="14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1082040</xdr:colOff>
      <xdr:row>18</xdr:row>
      <xdr:rowOff>24765</xdr:rowOff>
    </xdr:from>
    <xdr:to>
      <xdr:col>3</xdr:col>
      <xdr:colOff>300990</xdr:colOff>
      <xdr:row>18</xdr:row>
      <xdr:rowOff>201930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3310890" y="4396740"/>
          <a:ext cx="333375" cy="177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981075</xdr:colOff>
      <xdr:row>21</xdr:row>
      <xdr:rowOff>118110</xdr:rowOff>
    </xdr:from>
    <xdr:to>
      <xdr:col>2</xdr:col>
      <xdr:colOff>207696</xdr:colOff>
      <xdr:row>22</xdr:row>
      <xdr:rowOff>15716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2095500" y="5204460"/>
          <a:ext cx="341046" cy="135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781050</xdr:colOff>
      <xdr:row>28</xdr:row>
      <xdr:rowOff>201930</xdr:rowOff>
    </xdr:from>
    <xdr:to>
      <xdr:col>2</xdr:col>
      <xdr:colOff>106767</xdr:colOff>
      <xdr:row>29</xdr:row>
      <xdr:rowOff>116205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6955155"/>
          <a:ext cx="440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68580</xdr:colOff>
      <xdr:row>32</xdr:row>
      <xdr:rowOff>148590</xdr:rowOff>
    </xdr:from>
    <xdr:to>
      <xdr:col>2</xdr:col>
      <xdr:colOff>567898</xdr:colOff>
      <xdr:row>33</xdr:row>
      <xdr:rowOff>64770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2297430" y="7854315"/>
          <a:ext cx="499318" cy="154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363855</xdr:colOff>
      <xdr:row>33</xdr:row>
      <xdr:rowOff>144780</xdr:rowOff>
    </xdr:from>
    <xdr:to>
      <xdr:col>5</xdr:col>
      <xdr:colOff>750661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5935980" y="8088630"/>
          <a:ext cx="386806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5" zoomScale="95" zoomScaleNormal="95" workbookViewId="0">
      <selection activeCell="B36" sqref="B36:F4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200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201</v>
      </c>
    </row>
    <row r="3" spans="1:10" ht="15" customHeight="1" thickBot="1">
      <c r="A3" s="49" t="s">
        <v>1</v>
      </c>
      <c r="B3" s="96" t="s">
        <v>199</v>
      </c>
      <c r="C3" s="1"/>
      <c r="D3" s="49"/>
      <c r="E3" s="1"/>
      <c r="F3" s="1"/>
      <c r="G3" s="49" t="s">
        <v>2</v>
      </c>
      <c r="H3" s="149">
        <v>41654</v>
      </c>
      <c r="I3" s="49" t="s">
        <v>3</v>
      </c>
      <c r="J3" s="150">
        <v>0.46287037037037032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3">
        <v>900.00003272662536</v>
      </c>
      <c r="C5" s="143">
        <v>3600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234</v>
      </c>
      <c r="I5" s="77" t="s">
        <v>239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24.143700925925923</v>
      </c>
      <c r="J7" s="106" t="s">
        <v>19</v>
      </c>
    </row>
    <row r="8" spans="1:10" ht="15" customHeight="1">
      <c r="A8" s="6" t="s">
        <v>20</v>
      </c>
      <c r="B8" s="69">
        <v>3.5</v>
      </c>
      <c r="C8" s="52"/>
      <c r="D8" s="6"/>
      <c r="E8" s="51"/>
      <c r="F8" s="3"/>
      <c r="G8" s="16"/>
      <c r="H8" s="10" t="s">
        <v>21</v>
      </c>
      <c r="I8" s="68">
        <v>27.864537391304346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183</v>
      </c>
      <c r="F9" s="107" t="s">
        <v>25</v>
      </c>
      <c r="G9" s="30"/>
      <c r="H9" s="10" t="s">
        <v>26</v>
      </c>
      <c r="I9" s="69">
        <v>26.004119158615133</v>
      </c>
      <c r="J9" s="104">
        <v>666.59157818788788</v>
      </c>
    </row>
    <row r="10" spans="1:10" ht="15" customHeight="1">
      <c r="A10" s="6" t="s">
        <v>27</v>
      </c>
      <c r="B10" s="69">
        <v>550</v>
      </c>
      <c r="C10" s="73">
        <v>550</v>
      </c>
      <c r="D10" s="6"/>
      <c r="E10" s="51"/>
      <c r="F10" s="117" t="s">
        <v>195</v>
      </c>
      <c r="G10" s="115" t="s">
        <v>196</v>
      </c>
      <c r="H10" s="10" t="s">
        <v>28</v>
      </c>
      <c r="I10" s="68">
        <v>17.419318365226331</v>
      </c>
      <c r="J10" s="103" t="s">
        <v>29</v>
      </c>
    </row>
    <row r="11" spans="1:10" ht="15" customHeight="1" thickBot="1">
      <c r="A11" s="6" t="s">
        <v>30</v>
      </c>
      <c r="B11" s="69">
        <v>770</v>
      </c>
      <c r="C11" s="73">
        <v>408</v>
      </c>
      <c r="D11" s="6" t="s">
        <v>31</v>
      </c>
      <c r="E11" s="68">
        <v>0.62956666666666661</v>
      </c>
      <c r="F11" s="118"/>
      <c r="G11" s="114"/>
      <c r="H11" s="10" t="s">
        <v>32</v>
      </c>
      <c r="I11" s="68">
        <v>27.468965263537992</v>
      </c>
      <c r="J11" s="104">
        <v>21225.542505436108</v>
      </c>
    </row>
    <row r="12" spans="1:10" ht="15" customHeight="1">
      <c r="A12" s="6" t="s">
        <v>33</v>
      </c>
      <c r="B12" s="69">
        <v>415</v>
      </c>
      <c r="C12" s="73">
        <v>170</v>
      </c>
      <c r="D12" s="6" t="s">
        <v>34</v>
      </c>
      <c r="E12" s="138" t="s">
        <v>174</v>
      </c>
      <c r="F12" s="124" t="s">
        <v>189</v>
      </c>
      <c r="G12" s="116" t="s">
        <v>188</v>
      </c>
      <c r="H12" s="10" t="s">
        <v>35</v>
      </c>
      <c r="I12" s="68">
        <v>1.3860301775139077</v>
      </c>
      <c r="J12" s="103" t="s">
        <v>36</v>
      </c>
    </row>
    <row r="13" spans="1:10" ht="15" customHeight="1" thickBot="1">
      <c r="A13" s="6" t="s">
        <v>37</v>
      </c>
      <c r="B13" s="69">
        <v>112.5</v>
      </c>
      <c r="C13" s="73">
        <v>77.590000152587891</v>
      </c>
      <c r="D13" s="6" t="s">
        <v>38</v>
      </c>
      <c r="E13" s="70">
        <v>22</v>
      </c>
      <c r="F13" s="124"/>
      <c r="G13" s="116" t="s">
        <v>190</v>
      </c>
      <c r="H13" s="10" t="s">
        <v>40</v>
      </c>
      <c r="I13" s="68">
        <v>1.0144006927079787</v>
      </c>
      <c r="J13" s="104">
        <v>105.91154479980469</v>
      </c>
    </row>
    <row r="14" spans="1:10" ht="15" customHeight="1" thickBot="1">
      <c r="A14" s="134" t="s">
        <v>41</v>
      </c>
      <c r="B14" s="135">
        <v>511.5</v>
      </c>
      <c r="C14" s="136">
        <v>511.5</v>
      </c>
      <c r="D14" s="6" t="s">
        <v>42</v>
      </c>
      <c r="E14" s="51" t="s">
        <v>184</v>
      </c>
      <c r="F14" s="51"/>
      <c r="G14" s="116" t="s">
        <v>191</v>
      </c>
      <c r="H14" s="49" t="s">
        <v>43</v>
      </c>
      <c r="I14" s="68">
        <v>1.4059899721842706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174</v>
      </c>
      <c r="F15" s="51"/>
      <c r="G15" s="116"/>
      <c r="H15" s="10" t="s">
        <v>47</v>
      </c>
      <c r="I15" s="68">
        <v>0.83543300071747506</v>
      </c>
      <c r="J15" s="104">
        <v>23.327967171717173</v>
      </c>
    </row>
    <row r="16" spans="1:10" ht="15" customHeight="1">
      <c r="A16" s="6" t="s">
        <v>48</v>
      </c>
      <c r="B16" s="51">
        <v>54</v>
      </c>
      <c r="C16" s="52">
        <v>46</v>
      </c>
      <c r="D16" s="6" t="s">
        <v>49</v>
      </c>
      <c r="E16" s="51">
        <v>2</v>
      </c>
      <c r="F16" s="51"/>
      <c r="G16" s="116"/>
      <c r="H16" s="10" t="s">
        <v>50</v>
      </c>
      <c r="I16" s="68">
        <v>0.95529270900034158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185</v>
      </c>
      <c r="F17" s="51"/>
      <c r="G17" s="116"/>
      <c r="H17" s="10" t="s">
        <v>54</v>
      </c>
      <c r="I17" s="68">
        <v>0.79808305444368111</v>
      </c>
      <c r="J17" s="104">
        <v>482.53869461530041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1320</v>
      </c>
      <c r="F18" s="70">
        <v>735</v>
      </c>
      <c r="G18" s="74"/>
      <c r="H18" s="13" t="s">
        <v>57</v>
      </c>
      <c r="I18" s="132" t="s">
        <v>197</v>
      </c>
      <c r="J18" s="133"/>
    </row>
    <row r="19" spans="1:10" ht="15" customHeight="1">
      <c r="A19" s="6" t="s">
        <v>58</v>
      </c>
      <c r="B19" s="69">
        <v>65</v>
      </c>
      <c r="C19" s="73">
        <v>41.409999847412109</v>
      </c>
      <c r="D19" s="6" t="s">
        <v>59</v>
      </c>
      <c r="E19" s="70">
        <v>198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/>
      <c r="D20" s="6" t="s">
        <v>166</v>
      </c>
      <c r="E20" s="67">
        <v>0.10995625710529262</v>
      </c>
      <c r="F20" s="51"/>
      <c r="G20" s="52"/>
      <c r="H20" s="10" t="s">
        <v>63</v>
      </c>
      <c r="I20" s="68">
        <v>12.936479568481445</v>
      </c>
      <c r="J20" s="72">
        <v>12.936479568481445</v>
      </c>
    </row>
    <row r="21" spans="1:10" ht="15" customHeight="1">
      <c r="A21" s="6" t="s">
        <v>64</v>
      </c>
      <c r="B21" s="69">
        <v>14.300000190734863</v>
      </c>
      <c r="C21" s="73">
        <v>3</v>
      </c>
      <c r="D21" s="10" t="s">
        <v>186</v>
      </c>
      <c r="E21" s="67">
        <v>0.14668035083397582</v>
      </c>
      <c r="F21" s="67">
        <v>8.8074356317520142E-2</v>
      </c>
      <c r="G21" s="71">
        <v>3.4822314940007627E-2</v>
      </c>
      <c r="H21" s="10" t="s">
        <v>65</v>
      </c>
      <c r="I21" s="68">
        <v>25.592065811157227</v>
      </c>
      <c r="J21" s="72">
        <v>23.07170295715332</v>
      </c>
    </row>
    <row r="22" spans="1:10" ht="15" customHeight="1">
      <c r="A22" s="6" t="s">
        <v>66</v>
      </c>
      <c r="B22" s="69">
        <v>3.6500000953674316</v>
      </c>
      <c r="C22" s="73">
        <v>6</v>
      </c>
      <c r="D22" s="6" t="s">
        <v>67</v>
      </c>
      <c r="E22" s="51" t="s">
        <v>187</v>
      </c>
      <c r="F22" s="51" t="s">
        <v>187</v>
      </c>
      <c r="G22" s="52" t="s">
        <v>187</v>
      </c>
      <c r="H22" s="10" t="s">
        <v>68</v>
      </c>
      <c r="I22" s="68">
        <v>5.1524181365966797</v>
      </c>
      <c r="J22" s="72">
        <v>5.1524181365966797</v>
      </c>
    </row>
    <row r="23" spans="1:10" ht="15" customHeight="1">
      <c r="A23" s="6" t="s">
        <v>69</v>
      </c>
      <c r="B23" s="69">
        <v>9.8437004089355469</v>
      </c>
      <c r="C23" s="73">
        <v>8.0883092880249023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23.655226780757403</v>
      </c>
      <c r="J23" s="16" t="s">
        <v>198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6.8935024020808395</v>
      </c>
      <c r="J24" s="72">
        <v>6.8935024020808395</v>
      </c>
    </row>
    <row r="25" spans="1:10" ht="15" customHeight="1">
      <c r="A25" s="6" t="s">
        <v>75</v>
      </c>
      <c r="B25" s="51" t="s">
        <v>174</v>
      </c>
      <c r="C25" s="73">
        <v>5.7199997901916504</v>
      </c>
      <c r="D25" s="109" t="s">
        <v>76</v>
      </c>
      <c r="E25" s="53"/>
      <c r="F25" s="53"/>
      <c r="G25" s="60"/>
      <c r="H25" s="10" t="s">
        <v>77</v>
      </c>
      <c r="I25" s="68">
        <v>0.2695770263671875</v>
      </c>
      <c r="J25" s="72">
        <v>0.63074082136154175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288.62202799599493</v>
      </c>
      <c r="F26" s="69">
        <v>104.71706735836391</v>
      </c>
      <c r="G26" s="73">
        <v>53.173945349688275</v>
      </c>
      <c r="H26" s="10" t="s">
        <v>80</v>
      </c>
      <c r="I26" s="68">
        <v>3.7044856548309326</v>
      </c>
      <c r="J26" s="72">
        <v>3.5787053108215332</v>
      </c>
    </row>
    <row r="27" spans="1:10" ht="15" customHeight="1" thickBot="1">
      <c r="A27" s="6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3.7142813205718994</v>
      </c>
      <c r="J27" s="81">
        <v>3.6338636875152588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35.359193128881586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35.395463326989393</v>
      </c>
      <c r="D30" s="10" t="s">
        <v>95</v>
      </c>
      <c r="E30" s="69">
        <v>60.475607500000002</v>
      </c>
      <c r="F30" s="69">
        <v>1150.875</v>
      </c>
      <c r="G30" s="69">
        <v>9.533808608667389</v>
      </c>
      <c r="H30" s="74">
        <v>125.52284690585512</v>
      </c>
      <c r="I30" s="70">
        <v>118862.10673734375</v>
      </c>
      <c r="J30" s="74">
        <v>3903.1835672644233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6.5</v>
      </c>
      <c r="F31" s="69">
        <v>1359.4642449760438</v>
      </c>
      <c r="G31" s="69">
        <v>8.0709897469156537</v>
      </c>
      <c r="H31" s="74">
        <v>8.0212281584199818</v>
      </c>
      <c r="I31" s="70">
        <v>17673.035184688568</v>
      </c>
      <c r="J31" s="74">
        <v>443.09463212591589</v>
      </c>
    </row>
    <row r="32" spans="1:10" ht="15" customHeight="1">
      <c r="A32" s="6" t="s">
        <v>98</v>
      </c>
      <c r="B32" s="68" t="s">
        <v>241</v>
      </c>
      <c r="C32" s="110"/>
      <c r="D32" s="10" t="s">
        <v>99</v>
      </c>
      <c r="E32" s="69">
        <v>25.539555928968429</v>
      </c>
      <c r="F32" s="69">
        <v>1083.595701560974</v>
      </c>
      <c r="G32" s="69">
        <v>10.125752590836271</v>
      </c>
      <c r="H32" s="74">
        <v>63.648633793743656</v>
      </c>
      <c r="I32" s="9" t="s">
        <v>100</v>
      </c>
      <c r="J32" s="74">
        <v>4346.2781993903391</v>
      </c>
    </row>
    <row r="33" spans="1:10" ht="15" customHeight="1">
      <c r="A33" s="6" t="s">
        <v>101</v>
      </c>
      <c r="B33" s="68" t="s">
        <v>242</v>
      </c>
      <c r="C33" s="111" t="s">
        <v>102</v>
      </c>
      <c r="D33" s="10" t="s">
        <v>97</v>
      </c>
      <c r="E33" s="69">
        <v>4.1409999847412111</v>
      </c>
      <c r="F33" s="69">
        <v>951.54914618968962</v>
      </c>
      <c r="G33" s="69">
        <v>11.530904132946159</v>
      </c>
      <c r="H33" s="74">
        <v>15.141089040339079</v>
      </c>
      <c r="I33" s="9" t="s">
        <v>103</v>
      </c>
      <c r="J33" s="73" t="s">
        <v>209</v>
      </c>
    </row>
    <row r="34" spans="1:10" ht="15" customHeight="1" thickBot="1">
      <c r="A34" s="17" t="s">
        <v>104</v>
      </c>
      <c r="B34" s="79" t="s">
        <v>243</v>
      </c>
      <c r="C34" s="112">
        <v>10.972221982500079</v>
      </c>
      <c r="D34" s="11" t="s">
        <v>20</v>
      </c>
      <c r="E34" s="79">
        <v>0.35000000000000003</v>
      </c>
      <c r="F34" s="80">
        <v>2550.0463434529402</v>
      </c>
      <c r="G34" s="80">
        <v>4.3027539521665821</v>
      </c>
      <c r="H34" s="83">
        <v>1198.4089929448971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211</v>
      </c>
      <c r="E35" s="148" t="s">
        <v>210</v>
      </c>
      <c r="F35" s="15"/>
      <c r="G35" s="26" t="s">
        <v>107</v>
      </c>
      <c r="H35" s="85" t="s">
        <v>204</v>
      </c>
      <c r="I35" s="10" t="s">
        <v>108</v>
      </c>
      <c r="J35" s="74" t="s">
        <v>208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202</v>
      </c>
      <c r="I36" s="10" t="s">
        <v>111</v>
      </c>
      <c r="J36" s="74" t="s">
        <v>207</v>
      </c>
    </row>
    <row r="37" spans="1:10" ht="15" customHeight="1" thickBot="1">
      <c r="A37" s="6" t="s">
        <v>112</v>
      </c>
      <c r="B37" s="69" t="s">
        <v>223</v>
      </c>
      <c r="C37" s="69" t="s">
        <v>224</v>
      </c>
      <c r="D37" s="69" t="s">
        <v>225</v>
      </c>
      <c r="E37" s="69" t="s">
        <v>226</v>
      </c>
      <c r="F37" s="73" t="s">
        <v>227</v>
      </c>
      <c r="G37" s="10" t="s">
        <v>113</v>
      </c>
      <c r="H37" s="74" t="s">
        <v>203</v>
      </c>
      <c r="I37" s="11" t="s">
        <v>114</v>
      </c>
      <c r="J37" s="83" t="s">
        <v>206</v>
      </c>
    </row>
    <row r="38" spans="1:10" ht="15" customHeight="1" thickBot="1">
      <c r="A38" s="6" t="s">
        <v>115</v>
      </c>
      <c r="B38" s="68" t="s">
        <v>213</v>
      </c>
      <c r="C38" s="68" t="s">
        <v>214</v>
      </c>
      <c r="D38" s="68" t="s">
        <v>215</v>
      </c>
      <c r="E38" s="68" t="s">
        <v>216</v>
      </c>
      <c r="F38" s="72" t="s">
        <v>217</v>
      </c>
      <c r="G38" s="17" t="s">
        <v>116</v>
      </c>
      <c r="H38" s="83" t="s">
        <v>205</v>
      </c>
      <c r="I38" s="139" t="s">
        <v>212</v>
      </c>
      <c r="J38" s="84">
        <v>9451.0234375</v>
      </c>
    </row>
    <row r="39" spans="1:10" ht="15" customHeight="1">
      <c r="A39" s="6" t="s">
        <v>117</v>
      </c>
      <c r="B39" s="68" t="s">
        <v>218</v>
      </c>
      <c r="C39" s="68" t="s">
        <v>219</v>
      </c>
      <c r="D39" s="68" t="s">
        <v>220</v>
      </c>
      <c r="E39" s="68" t="s">
        <v>221</v>
      </c>
      <c r="F39" s="72" t="s">
        <v>222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236</v>
      </c>
      <c r="C40" s="67" t="s">
        <v>237</v>
      </c>
      <c r="D40" s="67" t="s">
        <v>238</v>
      </c>
      <c r="E40" s="67" t="s">
        <v>239</v>
      </c>
      <c r="F40" s="71" t="s">
        <v>240</v>
      </c>
      <c r="G40" s="36" t="s">
        <v>121</v>
      </c>
      <c r="H40" s="91" t="s">
        <v>244</v>
      </c>
      <c r="I40" s="55"/>
      <c r="J40" s="56"/>
    </row>
    <row r="41" spans="1:10" ht="15" customHeight="1">
      <c r="A41" s="6" t="s">
        <v>5</v>
      </c>
      <c r="B41" s="70" t="s">
        <v>231</v>
      </c>
      <c r="C41" s="70" t="s">
        <v>232</v>
      </c>
      <c r="D41" s="70" t="s">
        <v>233</v>
      </c>
      <c r="E41" s="70" t="s">
        <v>234</v>
      </c>
      <c r="F41" s="74" t="s">
        <v>235</v>
      </c>
      <c r="G41" s="37" t="s">
        <v>122</v>
      </c>
      <c r="H41" s="92" t="s">
        <v>245</v>
      </c>
      <c r="I41" s="57"/>
      <c r="J41" s="58"/>
    </row>
    <row r="42" spans="1:10" ht="15" customHeight="1">
      <c r="A42" s="6" t="s">
        <v>123</v>
      </c>
      <c r="B42" s="68">
        <v>8.7380498373923139</v>
      </c>
      <c r="C42" s="68">
        <v>8.7380498373923139</v>
      </c>
      <c r="D42" s="68">
        <v>8.7380498373923139</v>
      </c>
      <c r="E42" s="68">
        <v>8.7380498373923139</v>
      </c>
      <c r="F42" s="72">
        <v>8.7380498373923139</v>
      </c>
      <c r="G42" s="36" t="s">
        <v>124</v>
      </c>
      <c r="H42" s="91" t="s">
        <v>246</v>
      </c>
      <c r="I42" s="55"/>
      <c r="J42" s="97">
        <v>0.1735782275392545</v>
      </c>
    </row>
    <row r="43" spans="1:10" ht="15" customHeight="1" thickBot="1">
      <c r="A43" s="17" t="s">
        <v>125</v>
      </c>
      <c r="B43" s="79">
        <v>8.7380498373923139</v>
      </c>
      <c r="C43" s="79"/>
      <c r="D43" s="79" t="s">
        <v>249</v>
      </c>
      <c r="E43" s="79"/>
      <c r="F43" s="81"/>
      <c r="G43" s="37" t="s">
        <v>122</v>
      </c>
      <c r="H43" s="92" t="s">
        <v>247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2020.3400149163988</v>
      </c>
      <c r="I44" s="90">
        <v>3.3149120733893769E-2</v>
      </c>
      <c r="J44" s="97">
        <v>0.65260037231927992</v>
      </c>
    </row>
    <row r="45" spans="1:10" ht="15" customHeight="1">
      <c r="A45" s="6" t="s">
        <v>129</v>
      </c>
      <c r="B45" s="68">
        <v>0.16693617403507233</v>
      </c>
      <c r="C45" s="4" t="s">
        <v>130</v>
      </c>
      <c r="D45" s="72">
        <v>6.728228647261858E-3</v>
      </c>
      <c r="E45" s="6" t="s">
        <v>131</v>
      </c>
      <c r="F45" s="74">
        <v>295.01368869736615</v>
      </c>
      <c r="G45" s="38" t="s">
        <v>122</v>
      </c>
      <c r="H45" s="86" t="s">
        <v>248</v>
      </c>
      <c r="I45" s="59"/>
      <c r="J45" s="60"/>
    </row>
    <row r="46" spans="1:10" ht="15" customHeight="1">
      <c r="A46" s="6" t="s">
        <v>132</v>
      </c>
      <c r="B46" s="68">
        <v>0.16127155721187592</v>
      </c>
      <c r="C46" s="4" t="s">
        <v>133</v>
      </c>
      <c r="D46" s="72">
        <v>5.3501990623772144E-3</v>
      </c>
      <c r="E46" s="6" t="s">
        <v>134</v>
      </c>
      <c r="F46" s="74">
        <v>465.46698850512286</v>
      </c>
      <c r="G46" s="37" t="s">
        <v>135</v>
      </c>
      <c r="H46" s="94">
        <v>432.01945039024832</v>
      </c>
      <c r="I46" s="57"/>
      <c r="J46" s="58"/>
    </row>
    <row r="47" spans="1:10" ht="15" customHeight="1">
      <c r="A47" s="6" t="s">
        <v>136</v>
      </c>
      <c r="B47" s="68">
        <v>0.32820773124694824</v>
      </c>
      <c r="C47" s="4" t="s">
        <v>137</v>
      </c>
      <c r="D47" s="72">
        <v>1.2436699122190475E-2</v>
      </c>
      <c r="E47" s="6" t="s">
        <v>138</v>
      </c>
      <c r="F47" s="74">
        <v>167.891565492132</v>
      </c>
      <c r="G47" s="64" t="s">
        <v>139</v>
      </c>
      <c r="H47" s="93">
        <v>1954.5196509200266</v>
      </c>
      <c r="I47" s="90">
        <v>3.202787766869037E-2</v>
      </c>
      <c r="J47" s="95">
        <v>0.66450608177042292</v>
      </c>
    </row>
    <row r="48" spans="1:10" ht="15" customHeight="1">
      <c r="A48" s="6" t="s">
        <v>140</v>
      </c>
      <c r="B48" s="68">
        <v>1.1021962389349937E-2</v>
      </c>
      <c r="C48" s="4" t="s">
        <v>100</v>
      </c>
      <c r="D48" s="72">
        <v>3.553709015250206E-2</v>
      </c>
      <c r="E48" s="6" t="s">
        <v>141</v>
      </c>
      <c r="F48" s="74">
        <v>5.2482837338857244</v>
      </c>
      <c r="G48" s="65" t="s">
        <v>122</v>
      </c>
      <c r="H48" s="86">
        <v>291.11104853261742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0.96446293592453003</v>
      </c>
      <c r="E49" s="17" t="s">
        <v>143</v>
      </c>
      <c r="F49" s="83">
        <v>13.395196951789783</v>
      </c>
      <c r="G49" s="66" t="s">
        <v>135</v>
      </c>
      <c r="H49" s="94">
        <v>424.52936524958847</v>
      </c>
      <c r="I49" s="57"/>
      <c r="J49" s="61"/>
    </row>
    <row r="50" spans="1:10" ht="15" customHeight="1">
      <c r="A50" s="13" t="s">
        <v>194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46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4.2651532817163093E-2</v>
      </c>
      <c r="I51" s="45" t="s">
        <v>149</v>
      </c>
      <c r="J51" s="39"/>
    </row>
    <row r="52" spans="1:10" ht="15" customHeight="1">
      <c r="A52" s="10" t="s">
        <v>58</v>
      </c>
      <c r="B52" s="69">
        <v>41.409999847412109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91555.199999999997</v>
      </c>
      <c r="I52" s="98" t="s">
        <v>228</v>
      </c>
      <c r="J52" s="62"/>
    </row>
    <row r="53" spans="1:10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60.962579251199998</v>
      </c>
      <c r="I53" s="44" t="s">
        <v>154</v>
      </c>
      <c r="J53" s="39"/>
    </row>
    <row r="54" spans="1:10" ht="15" customHeight="1">
      <c r="A54" s="10" t="s">
        <v>66</v>
      </c>
      <c r="B54" s="69">
        <v>6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326095</v>
      </c>
      <c r="I54" s="99" t="s">
        <v>229</v>
      </c>
      <c r="J54" s="100" t="s">
        <v>192</v>
      </c>
    </row>
    <row r="55" spans="1:10" ht="15" customHeight="1">
      <c r="A55" s="10" t="s">
        <v>156</v>
      </c>
      <c r="B55" s="69">
        <v>14.119999885559082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0.69434999999999991</v>
      </c>
      <c r="I56" s="101" t="s">
        <v>230</v>
      </c>
      <c r="J56" s="61" t="s">
        <v>193</v>
      </c>
    </row>
    <row r="57" spans="1:10" ht="15" customHeight="1">
      <c r="A57" s="23" t="s">
        <v>390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391</v>
      </c>
      <c r="D58" s="3" t="s">
        <v>119</v>
      </c>
      <c r="E58" s="3" t="s">
        <v>165</v>
      </c>
      <c r="F58" s="16" t="s">
        <v>392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0.15435272455215454</v>
      </c>
      <c r="D59" s="128">
        <v>0.69999998807907104</v>
      </c>
      <c r="E59" s="86">
        <v>78.003522531916872</v>
      </c>
      <c r="F59" s="87">
        <v>627.80487060546875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166.78825586515063</v>
      </c>
      <c r="C60" s="87">
        <v>180.35881042480469</v>
      </c>
      <c r="D60" s="128">
        <v>0.80000001192092896</v>
      </c>
      <c r="E60" s="86">
        <v>78.004772604800678</v>
      </c>
      <c r="F60" s="87">
        <v>630.538330078125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276</v>
      </c>
      <c r="C61" s="87">
        <v>505.795166015625</v>
      </c>
      <c r="D61" s="128">
        <v>0.89999997615814209</v>
      </c>
      <c r="E61" s="86">
        <v>78.00647134022023</v>
      </c>
      <c r="F61" s="87">
        <v>632.86175537109375</v>
      </c>
      <c r="G61" s="122"/>
      <c r="H61" s="32"/>
      <c r="I61" s="32"/>
      <c r="J61" s="46"/>
    </row>
    <row r="62" spans="1:10" ht="15" customHeight="1">
      <c r="A62" s="126">
        <v>6.4444445073604584E-2</v>
      </c>
      <c r="B62" s="86">
        <v>141.42678496293067</v>
      </c>
      <c r="C62" s="87">
        <v>576.56549072265625</v>
      </c>
      <c r="D62" s="129">
        <v>1</v>
      </c>
      <c r="E62" s="86">
        <v>78</v>
      </c>
      <c r="F62" s="87">
        <v>634.86236572265625</v>
      </c>
      <c r="G62" s="122"/>
      <c r="H62" s="32"/>
      <c r="I62" s="32"/>
      <c r="J62" s="46"/>
    </row>
    <row r="63" spans="1:10" ht="15" customHeight="1" thickBot="1">
      <c r="A63" s="126">
        <v>0.11888889968395233</v>
      </c>
      <c r="B63" s="86">
        <v>108.02772352423641</v>
      </c>
      <c r="C63" s="87">
        <v>594.632080078125</v>
      </c>
      <c r="D63" s="378"/>
      <c r="E63" s="88"/>
      <c r="F63" s="379"/>
      <c r="G63" s="122"/>
      <c r="H63" s="32"/>
      <c r="I63" s="32"/>
      <c r="J63" s="46"/>
    </row>
    <row r="64" spans="1:10" ht="15" customHeight="1">
      <c r="A64" s="126">
        <v>0.17333333194255829</v>
      </c>
      <c r="B64" s="86">
        <v>93.722333620927529</v>
      </c>
      <c r="C64" s="87">
        <v>602.36859130859375</v>
      </c>
      <c r="D64" s="380" t="s">
        <v>424</v>
      </c>
      <c r="E64" s="381"/>
      <c r="F64" s="381"/>
      <c r="G64" s="122"/>
      <c r="H64" s="32"/>
      <c r="I64" s="32"/>
      <c r="J64" s="46"/>
    </row>
    <row r="65" spans="1:10" ht="15" customHeight="1">
      <c r="A65" s="126">
        <v>0.28222224116325378</v>
      </c>
      <c r="B65" s="86">
        <v>84.38480959966995</v>
      </c>
      <c r="C65" s="87">
        <v>610.49298095703125</v>
      </c>
      <c r="D65" s="382" t="s">
        <v>409</v>
      </c>
      <c r="E65" s="384" t="s">
        <v>422</v>
      </c>
      <c r="F65" s="384"/>
      <c r="G65" s="122"/>
      <c r="H65" s="32"/>
      <c r="I65" s="32"/>
      <c r="J65" s="46"/>
    </row>
    <row r="66" spans="1:10" ht="15" customHeight="1">
      <c r="A66" s="126">
        <v>0.3911111056804657</v>
      </c>
      <c r="B66" s="86">
        <v>80.163222461269328</v>
      </c>
      <c r="C66" s="87">
        <v>616.0750732421875</v>
      </c>
      <c r="D66" s="382" t="s">
        <v>406</v>
      </c>
      <c r="E66" s="384" t="s">
        <v>423</v>
      </c>
      <c r="F66" s="384"/>
      <c r="G66" s="122"/>
      <c r="H66" s="32"/>
      <c r="I66" s="32"/>
      <c r="J66" s="46"/>
    </row>
    <row r="67" spans="1:10" ht="15" customHeight="1">
      <c r="A67" s="126">
        <v>0.5</v>
      </c>
      <c r="B67" s="86">
        <v>78</v>
      </c>
      <c r="C67" s="87">
        <v>620.6842041015625</v>
      </c>
      <c r="D67" s="382" t="s">
        <v>413</v>
      </c>
      <c r="E67" s="384" t="s">
        <v>425</v>
      </c>
      <c r="F67" s="384"/>
      <c r="G67" s="122"/>
      <c r="H67" s="32"/>
      <c r="I67" s="32"/>
      <c r="J67" s="46"/>
    </row>
    <row r="68" spans="1:10" ht="15" customHeight="1" thickBot="1">
      <c r="A68" s="127">
        <v>0.60000002384185791</v>
      </c>
      <c r="B68" s="88">
        <v>78.001745341767332</v>
      </c>
      <c r="C68" s="89">
        <v>624.55718994140625</v>
      </c>
      <c r="D68" s="383" t="s">
        <v>414</v>
      </c>
      <c r="E68" s="385" t="s">
        <v>426</v>
      </c>
      <c r="F68" s="385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53" t="s">
        <v>421</v>
      </c>
      <c r="B99" s="353"/>
      <c r="C99" s="353"/>
      <c r="D99" s="353"/>
      <c r="E99" s="353"/>
      <c r="F99" s="353"/>
      <c r="G99" s="353"/>
      <c r="H99" s="353"/>
      <c r="I99" s="353"/>
    </row>
    <row r="100" spans="1:9">
      <c r="A100" s="353">
        <v>100</v>
      </c>
      <c r="B100" s="353"/>
      <c r="C100" s="353"/>
      <c r="D100" s="353"/>
      <c r="E100" s="353"/>
      <c r="F100" s="353"/>
      <c r="G100" s="353"/>
      <c r="H100" s="353"/>
      <c r="I100" s="353"/>
    </row>
    <row r="101" spans="1:9">
      <c r="A101" s="353">
        <v>99.599998474121094</v>
      </c>
      <c r="B101" s="353"/>
      <c r="C101" s="353"/>
      <c r="D101" s="353"/>
      <c r="E101" s="353"/>
      <c r="F101" s="353"/>
      <c r="G101" s="353"/>
      <c r="H101" s="353"/>
      <c r="I101" s="353"/>
    </row>
    <row r="102" spans="1:9">
      <c r="A102" s="353">
        <v>98</v>
      </c>
      <c r="B102" s="353"/>
      <c r="C102" s="353"/>
      <c r="D102" s="353"/>
      <c r="E102" s="353"/>
      <c r="F102" s="353"/>
      <c r="G102" s="353"/>
      <c r="H102" s="353"/>
      <c r="I102" s="353"/>
    </row>
    <row r="103" spans="1:9">
      <c r="A103" s="353">
        <v>83.24444580078125</v>
      </c>
      <c r="B103" s="353"/>
      <c r="C103" s="353"/>
      <c r="D103" s="353"/>
      <c r="E103" s="353"/>
      <c r="F103" s="353"/>
      <c r="G103" s="353"/>
      <c r="H103" s="353"/>
      <c r="I103" s="353"/>
    </row>
    <row r="104" spans="1:9">
      <c r="A104" s="353">
        <v>69.088882446289063</v>
      </c>
      <c r="B104" s="353"/>
      <c r="C104" s="353"/>
      <c r="D104" s="353"/>
      <c r="E104" s="353"/>
      <c r="F104" s="353"/>
      <c r="G104" s="353"/>
      <c r="H104" s="353"/>
      <c r="I104" s="353"/>
    </row>
    <row r="105" spans="1:9">
      <c r="A105" s="353">
        <v>55.866668701171875</v>
      </c>
      <c r="B105" s="353"/>
      <c r="C105" s="353"/>
      <c r="D105" s="353"/>
      <c r="E105" s="353"/>
      <c r="F105" s="353"/>
      <c r="G105" s="353"/>
      <c r="H105" s="353"/>
      <c r="I105" s="353"/>
    </row>
    <row r="106" spans="1:9">
      <c r="A106" s="353">
        <v>36.022220611572266</v>
      </c>
      <c r="B106" s="353"/>
      <c r="C106" s="353"/>
      <c r="D106" s="353"/>
      <c r="E106" s="353"/>
      <c r="F106" s="353"/>
      <c r="G106" s="353"/>
      <c r="H106" s="353"/>
      <c r="I106" s="353"/>
    </row>
    <row r="107" spans="1:9">
      <c r="A107" s="353">
        <v>22.977777481079102</v>
      </c>
      <c r="B107" s="353"/>
      <c r="C107" s="353"/>
      <c r="D107" s="353"/>
      <c r="E107" s="353"/>
      <c r="F107" s="353"/>
      <c r="G107" s="353"/>
      <c r="H107" s="353"/>
      <c r="I107" s="353"/>
    </row>
    <row r="108" spans="1:9">
      <c r="A108" s="353">
        <v>14</v>
      </c>
      <c r="B108" s="353"/>
      <c r="C108" s="353"/>
      <c r="D108" s="353"/>
      <c r="E108" s="353"/>
      <c r="F108" s="353"/>
      <c r="G108" s="353"/>
      <c r="H108" s="353"/>
      <c r="I108" s="353"/>
    </row>
    <row r="109" spans="1:9">
      <c r="A109" s="353">
        <v>7.9999995231628418</v>
      </c>
      <c r="B109" s="353"/>
      <c r="C109" s="353"/>
      <c r="D109" s="353"/>
      <c r="E109" s="353"/>
      <c r="F109" s="353"/>
      <c r="G109" s="353"/>
      <c r="H109" s="353"/>
      <c r="I109" s="353"/>
    </row>
    <row r="110" spans="1:9">
      <c r="A110" s="353">
        <v>5.9999995231628418</v>
      </c>
      <c r="B110" s="353"/>
      <c r="C110" s="353"/>
      <c r="D110" s="353"/>
      <c r="E110" s="353"/>
      <c r="F110" s="353"/>
      <c r="G110" s="353"/>
      <c r="H110" s="353"/>
      <c r="I110" s="353"/>
    </row>
    <row r="111" spans="1:9">
      <c r="A111" s="353">
        <v>8.0000009536743164</v>
      </c>
      <c r="B111" s="353"/>
      <c r="C111" s="353"/>
      <c r="D111" s="353"/>
      <c r="E111" s="353"/>
      <c r="F111" s="353"/>
      <c r="G111" s="353"/>
      <c r="H111" s="353"/>
      <c r="I111" s="353"/>
    </row>
    <row r="112" spans="1:9">
      <c r="A112" s="353">
        <v>14.999996185302734</v>
      </c>
      <c r="B112" s="353"/>
      <c r="C112" s="353"/>
      <c r="D112" s="353"/>
      <c r="E112" s="353"/>
      <c r="F112" s="353"/>
      <c r="G112" s="353"/>
      <c r="H112" s="353"/>
      <c r="I112" s="353"/>
    </row>
    <row r="113" spans="1:9">
      <c r="A113" s="353">
        <v>30</v>
      </c>
      <c r="B113" s="353"/>
      <c r="C113" s="353"/>
      <c r="D113" s="353"/>
      <c r="E113" s="353"/>
      <c r="F113" s="353"/>
      <c r="G113" s="353"/>
      <c r="H113" s="353"/>
      <c r="I113" s="353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19" workbookViewId="0">
      <selection activeCell="M33" sqref="M33"/>
    </sheetView>
  </sheetViews>
  <sheetFormatPr defaultColWidth="9.140625" defaultRowHeight="15.75"/>
  <cols>
    <col min="1" max="1" width="11.85546875" style="297" customWidth="1"/>
    <col min="2" max="2" width="6.140625" style="297" customWidth="1"/>
    <col min="3" max="3" width="7.42578125" style="297" customWidth="1"/>
    <col min="4" max="5" width="12.5703125" style="297" customWidth="1"/>
    <col min="6" max="6" width="9.42578125" style="297" customWidth="1"/>
    <col min="7" max="7" width="5.7109375" style="297" customWidth="1"/>
    <col min="8" max="8" width="7.85546875" style="297" customWidth="1"/>
    <col min="9" max="9" width="6.5703125" style="297" customWidth="1"/>
    <col min="10" max="11" width="12" style="297" customWidth="1"/>
    <col min="12" max="26" width="9.140625" style="151"/>
    <col min="27" max="16384" width="9.140625" style="152"/>
  </cols>
  <sheetData>
    <row r="1" spans="1:26" ht="20.25" customHeight="1">
      <c r="A1" s="606" t="s">
        <v>250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</row>
    <row r="2" spans="1:26" ht="20.25" customHeight="1">
      <c r="A2" s="607" t="s">
        <v>251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</row>
    <row r="3" spans="1:26" ht="18.75" customHeight="1" thickBot="1">
      <c r="A3" s="153" t="s">
        <v>1</v>
      </c>
      <c r="B3" s="154" t="s">
        <v>360</v>
      </c>
      <c r="C3" s="155"/>
      <c r="D3" s="155"/>
      <c r="E3" s="155"/>
      <c r="F3" s="156"/>
      <c r="G3" s="155"/>
      <c r="H3" s="155"/>
      <c r="I3" s="153" t="s">
        <v>252</v>
      </c>
      <c r="J3" s="608" t="s">
        <v>630</v>
      </c>
      <c r="K3" s="608"/>
    </row>
    <row r="4" spans="1:26" s="165" customFormat="1" ht="18.399999999999999" customHeight="1" thickBot="1">
      <c r="A4" s="157" t="s">
        <v>361</v>
      </c>
      <c r="B4" s="158"/>
      <c r="C4" s="159"/>
      <c r="D4" s="159"/>
      <c r="E4" s="159"/>
      <c r="F4" s="159"/>
      <c r="G4" s="159"/>
      <c r="H4" s="159"/>
      <c r="I4" s="159"/>
      <c r="J4" s="159"/>
      <c r="K4" s="160"/>
      <c r="L4" s="161"/>
      <c r="M4" s="161"/>
      <c r="N4" s="161"/>
      <c r="O4" s="161"/>
      <c r="P4" s="161"/>
      <c r="Q4" s="162" t="s">
        <v>253</v>
      </c>
      <c r="R4" s="163"/>
      <c r="S4" s="161"/>
      <c r="T4" s="162" t="s">
        <v>254</v>
      </c>
      <c r="U4" s="164"/>
      <c r="V4" s="161"/>
      <c r="W4" s="161"/>
      <c r="X4" s="161"/>
      <c r="Y4" s="161"/>
      <c r="Z4" s="161"/>
    </row>
    <row r="5" spans="1:26" s="165" customFormat="1" ht="18.399999999999999" customHeight="1">
      <c r="A5" s="609" t="s">
        <v>255</v>
      </c>
      <c r="B5" s="610"/>
      <c r="C5" s="610"/>
      <c r="D5" s="166"/>
      <c r="E5" s="167"/>
      <c r="F5" s="168" t="s">
        <v>256</v>
      </c>
      <c r="G5" s="155"/>
      <c r="H5" s="155"/>
      <c r="I5" s="169"/>
      <c r="J5" s="170" t="s">
        <v>257</v>
      </c>
      <c r="K5" s="171" t="s">
        <v>258</v>
      </c>
      <c r="L5" s="161"/>
      <c r="M5" s="161"/>
      <c r="N5" s="161"/>
      <c r="O5" s="161"/>
      <c r="P5" s="161"/>
      <c r="Q5" s="172" t="s">
        <v>259</v>
      </c>
      <c r="R5" s="173"/>
      <c r="S5" s="161"/>
      <c r="T5" s="172" t="s">
        <v>260</v>
      </c>
      <c r="U5" s="174"/>
      <c r="V5" s="161"/>
      <c r="W5" s="161"/>
      <c r="X5" s="161"/>
      <c r="Y5" s="161"/>
      <c r="Z5" s="161"/>
    </row>
    <row r="6" spans="1:26" s="165" customFormat="1" ht="18.399999999999999" customHeight="1">
      <c r="A6" s="611" t="s">
        <v>67</v>
      </c>
      <c r="B6" s="612"/>
      <c r="C6" s="612"/>
      <c r="D6" s="613" t="s">
        <v>264</v>
      </c>
      <c r="E6" s="614"/>
      <c r="F6" s="541" t="s">
        <v>262</v>
      </c>
      <c r="G6" s="542"/>
      <c r="H6" s="542"/>
      <c r="I6" s="542"/>
      <c r="J6" s="542"/>
      <c r="K6" s="543"/>
      <c r="L6" s="161"/>
      <c r="M6" s="161"/>
      <c r="N6" s="161"/>
      <c r="O6" s="161"/>
      <c r="P6" s="161"/>
      <c r="Q6" s="172" t="s">
        <v>263</v>
      </c>
      <c r="R6" s="173"/>
      <c r="S6" s="161"/>
      <c r="T6" s="172" t="s">
        <v>264</v>
      </c>
      <c r="U6" s="174"/>
      <c r="V6" s="161"/>
      <c r="W6" s="161"/>
      <c r="X6" s="161"/>
      <c r="Y6" s="161"/>
      <c r="Z6" s="161"/>
    </row>
    <row r="7" spans="1:26" s="165" customFormat="1" ht="18.399999999999999" customHeight="1">
      <c r="A7" s="602" t="s">
        <v>20</v>
      </c>
      <c r="B7" s="603"/>
      <c r="C7" s="603"/>
      <c r="D7" s="604">
        <v>3.5</v>
      </c>
      <c r="E7" s="605"/>
      <c r="F7" s="175" t="s">
        <v>265</v>
      </c>
      <c r="G7" s="176"/>
      <c r="H7" s="177"/>
      <c r="I7" s="178"/>
      <c r="J7" s="179">
        <v>19.100000000000001</v>
      </c>
      <c r="K7" s="180" t="s">
        <v>174</v>
      </c>
      <c r="L7" s="161"/>
      <c r="M7" s="161"/>
      <c r="N7" s="161"/>
      <c r="O7" s="161"/>
      <c r="P7" s="161"/>
      <c r="Q7" s="172" t="s">
        <v>266</v>
      </c>
      <c r="R7" s="173"/>
      <c r="S7" s="161"/>
      <c r="T7" s="172" t="s">
        <v>261</v>
      </c>
      <c r="U7" s="174"/>
      <c r="V7" s="161"/>
      <c r="W7" s="161"/>
      <c r="X7" s="161"/>
      <c r="Y7" s="161"/>
      <c r="Z7" s="161"/>
    </row>
    <row r="8" spans="1:26" s="165" customFormat="1" ht="18.399999999999999" customHeight="1">
      <c r="A8" s="602" t="s">
        <v>267</v>
      </c>
      <c r="B8" s="603"/>
      <c r="C8" s="603"/>
      <c r="D8" s="588">
        <v>550</v>
      </c>
      <c r="E8" s="584"/>
      <c r="F8" s="181" t="s">
        <v>268</v>
      </c>
      <c r="G8" s="182"/>
      <c r="H8" s="183"/>
      <c r="I8" s="184"/>
      <c r="J8" s="185">
        <v>14421</v>
      </c>
      <c r="K8" s="186" t="s">
        <v>174</v>
      </c>
      <c r="L8" s="161"/>
      <c r="M8" s="161"/>
      <c r="N8" s="161"/>
      <c r="O8" s="161"/>
      <c r="P8" s="161"/>
      <c r="Q8" s="172" t="s">
        <v>269</v>
      </c>
      <c r="R8" s="173"/>
      <c r="S8" s="161"/>
      <c r="T8" s="172" t="s">
        <v>270</v>
      </c>
      <c r="U8" s="174"/>
      <c r="V8" s="161"/>
      <c r="W8" s="161"/>
      <c r="X8" s="161"/>
      <c r="Y8" s="161"/>
      <c r="Z8" s="161"/>
    </row>
    <row r="9" spans="1:26" s="165" customFormat="1" ht="18.399999999999999" customHeight="1">
      <c r="A9" s="597" t="s">
        <v>271</v>
      </c>
      <c r="B9" s="598"/>
      <c r="C9" s="599"/>
      <c r="D9" s="588">
        <v>11</v>
      </c>
      <c r="E9" s="584"/>
      <c r="F9" s="175" t="s">
        <v>272</v>
      </c>
      <c r="G9" s="176"/>
      <c r="H9" s="187">
        <v>3</v>
      </c>
      <c r="I9" s="188" t="s">
        <v>273</v>
      </c>
      <c r="J9" s="189">
        <v>183</v>
      </c>
      <c r="K9" s="186" t="s">
        <v>174</v>
      </c>
      <c r="L9" s="161"/>
      <c r="M9" s="161"/>
      <c r="N9" s="161"/>
      <c r="O9" s="161"/>
      <c r="P9" s="161"/>
      <c r="Q9" s="172" t="s">
        <v>274</v>
      </c>
      <c r="R9" s="173"/>
      <c r="S9" s="161"/>
      <c r="T9" s="172" t="s">
        <v>275</v>
      </c>
      <c r="U9" s="174"/>
      <c r="V9" s="161"/>
      <c r="W9" s="161"/>
      <c r="X9" s="161"/>
      <c r="Y9" s="161"/>
      <c r="Z9" s="161"/>
    </row>
    <row r="10" spans="1:26" s="165" customFormat="1" ht="18.399999999999999" customHeight="1" thickBot="1">
      <c r="A10" s="597" t="s">
        <v>276</v>
      </c>
      <c r="B10" s="598"/>
      <c r="C10" s="599"/>
      <c r="D10" s="571" t="s">
        <v>184</v>
      </c>
      <c r="E10" s="572"/>
      <c r="F10" s="175" t="s">
        <v>277</v>
      </c>
      <c r="G10" s="176"/>
      <c r="H10" s="187">
        <v>3</v>
      </c>
      <c r="I10" s="188" t="s">
        <v>273</v>
      </c>
      <c r="J10" s="189">
        <v>1150</v>
      </c>
      <c r="K10" s="186" t="s">
        <v>174</v>
      </c>
      <c r="L10" s="161"/>
      <c r="M10" s="161"/>
      <c r="N10" s="161"/>
      <c r="O10" s="161"/>
      <c r="P10" s="161"/>
      <c r="Q10" s="172" t="s">
        <v>278</v>
      </c>
      <c r="R10" s="173"/>
      <c r="S10" s="161"/>
      <c r="T10" s="190" t="s">
        <v>279</v>
      </c>
      <c r="U10" s="191"/>
      <c r="V10" s="161"/>
      <c r="W10" s="161"/>
      <c r="X10" s="161"/>
      <c r="Y10" s="161"/>
      <c r="Z10" s="161"/>
    </row>
    <row r="11" spans="1:26" s="165" customFormat="1" ht="18.399999999999999" customHeight="1" thickBot="1">
      <c r="A11" s="597" t="s">
        <v>280</v>
      </c>
      <c r="B11" s="598"/>
      <c r="C11" s="599"/>
      <c r="D11" s="566" t="s">
        <v>174</v>
      </c>
      <c r="E11" s="567"/>
      <c r="F11" s="192" t="s">
        <v>281</v>
      </c>
      <c r="G11" s="193"/>
      <c r="H11" s="194">
        <v>3</v>
      </c>
      <c r="I11" s="188" t="s">
        <v>273</v>
      </c>
      <c r="J11" s="195">
        <v>21226</v>
      </c>
      <c r="K11" s="196" t="s">
        <v>174</v>
      </c>
      <c r="L11" s="161"/>
      <c r="M11" s="161"/>
      <c r="N11" s="161"/>
      <c r="O11" s="161"/>
      <c r="P11" s="161"/>
      <c r="Q11" s="190" t="s">
        <v>282</v>
      </c>
      <c r="R11" s="197"/>
      <c r="S11" s="161"/>
      <c r="T11" s="161"/>
      <c r="U11" s="161"/>
      <c r="V11" s="161"/>
      <c r="W11" s="161"/>
      <c r="X11" s="161"/>
      <c r="Y11" s="161"/>
      <c r="Z11" s="161"/>
    </row>
    <row r="12" spans="1:26" s="165" customFormat="1" ht="18.399999999999999" customHeight="1">
      <c r="A12" s="198" t="s">
        <v>283</v>
      </c>
      <c r="C12" s="199"/>
      <c r="D12" s="600" t="s">
        <v>174</v>
      </c>
      <c r="E12" s="601"/>
      <c r="F12" s="568" t="s">
        <v>284</v>
      </c>
      <c r="G12" s="569"/>
      <c r="H12" s="569"/>
      <c r="I12" s="569"/>
      <c r="J12" s="569"/>
      <c r="K12" s="570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s="165" customFormat="1" ht="18.399999999999999" customHeight="1">
      <c r="A13" s="597" t="s">
        <v>53</v>
      </c>
      <c r="B13" s="598"/>
      <c r="C13" s="599"/>
      <c r="D13" s="591" t="s">
        <v>363</v>
      </c>
      <c r="E13" s="592"/>
      <c r="F13" s="200"/>
      <c r="G13" s="201" t="s">
        <v>285</v>
      </c>
      <c r="H13" s="202"/>
      <c r="I13" s="203" t="s">
        <v>286</v>
      </c>
      <c r="J13" s="204" t="s">
        <v>365</v>
      </c>
      <c r="K13" s="205" t="s">
        <v>174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s="165" customFormat="1" ht="18.399999999999999" customHeight="1">
      <c r="A14" s="597" t="s">
        <v>56</v>
      </c>
      <c r="B14" s="598"/>
      <c r="C14" s="599"/>
      <c r="D14" s="600">
        <v>1320</v>
      </c>
      <c r="E14" s="601"/>
      <c r="F14" s="200"/>
      <c r="G14" s="206" t="s">
        <v>10</v>
      </c>
      <c r="H14" s="207"/>
      <c r="I14" s="207"/>
      <c r="J14" s="189" t="s">
        <v>174</v>
      </c>
      <c r="K14" s="186" t="s">
        <v>174</v>
      </c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s="165" customFormat="1" ht="18.399999999999999" customHeight="1">
      <c r="A15" s="585" t="s">
        <v>287</v>
      </c>
      <c r="B15" s="586"/>
      <c r="C15" s="587"/>
      <c r="D15" s="564">
        <v>7.49</v>
      </c>
      <c r="E15" s="565"/>
      <c r="F15" s="200"/>
      <c r="G15" s="206" t="s">
        <v>288</v>
      </c>
      <c r="H15" s="207"/>
      <c r="I15" s="207"/>
      <c r="J15" s="189" t="s">
        <v>174</v>
      </c>
      <c r="K15" s="186" t="s">
        <v>174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s="165" customFormat="1" ht="18.399999999999999" customHeight="1">
      <c r="A16" s="561" t="s">
        <v>289</v>
      </c>
      <c r="B16" s="562"/>
      <c r="C16" s="563"/>
      <c r="D16" s="564">
        <v>3.34</v>
      </c>
      <c r="E16" s="565"/>
      <c r="F16" s="208"/>
      <c r="G16" s="209" t="s">
        <v>17</v>
      </c>
      <c r="H16" s="210"/>
      <c r="I16" s="210"/>
      <c r="J16" s="195" t="s">
        <v>174</v>
      </c>
      <c r="K16" s="196" t="s">
        <v>174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s="165" customFormat="1" ht="18.399999999999999" customHeight="1">
      <c r="A17" s="211" t="s">
        <v>290</v>
      </c>
      <c r="B17" s="212"/>
      <c r="C17" s="213"/>
      <c r="D17" s="566" t="s">
        <v>362</v>
      </c>
      <c r="E17" s="567"/>
      <c r="F17" s="568" t="s">
        <v>291</v>
      </c>
      <c r="G17" s="569"/>
      <c r="H17" s="569"/>
      <c r="I17" s="569"/>
      <c r="J17" s="569"/>
      <c r="K17" s="570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s="165" customFormat="1" ht="18.399999999999999" customHeight="1">
      <c r="A18" s="214" t="s">
        <v>292</v>
      </c>
      <c r="B18" s="215"/>
      <c r="C18" s="213"/>
      <c r="D18" s="571" t="s">
        <v>174</v>
      </c>
      <c r="E18" s="572"/>
      <c r="F18" s="573"/>
      <c r="G18" s="574"/>
      <c r="H18" s="216" t="s">
        <v>293</v>
      </c>
      <c r="I18" s="217"/>
      <c r="J18" s="185">
        <v>109</v>
      </c>
      <c r="K18" s="186"/>
      <c r="L18" s="161"/>
      <c r="M18" s="161">
        <f>J18*6.5</f>
        <v>708.5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s="165" customFormat="1" ht="18.399999999999999" customHeight="1">
      <c r="A19" s="579" t="s">
        <v>294</v>
      </c>
      <c r="B19" s="580"/>
      <c r="C19" s="581"/>
      <c r="D19" s="582" t="s">
        <v>626</v>
      </c>
      <c r="E19" s="567"/>
      <c r="F19" s="575"/>
      <c r="G19" s="576"/>
      <c r="H19" s="216" t="s">
        <v>5</v>
      </c>
      <c r="I19" s="178"/>
      <c r="J19" s="185">
        <v>3580</v>
      </c>
      <c r="K19" s="186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s="165" customFormat="1" ht="18.399999999999999" customHeight="1" thickBot="1">
      <c r="A20" s="218" t="s">
        <v>295</v>
      </c>
      <c r="C20" s="219"/>
      <c r="D20" s="583" t="s">
        <v>183</v>
      </c>
      <c r="E20" s="584"/>
      <c r="F20" s="575"/>
      <c r="G20" s="576"/>
      <c r="H20" s="216" t="s">
        <v>296</v>
      </c>
      <c r="I20" s="178"/>
      <c r="J20" s="189" t="s">
        <v>343</v>
      </c>
      <c r="K20" s="186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65" customFormat="1" ht="18.399999999999999" customHeight="1" thickBot="1">
      <c r="A21" s="585" t="s">
        <v>297</v>
      </c>
      <c r="B21" s="586"/>
      <c r="C21" s="587"/>
      <c r="D21" s="588" t="s">
        <v>174</v>
      </c>
      <c r="E21" s="584"/>
      <c r="F21" s="575"/>
      <c r="G21" s="576"/>
      <c r="H21" s="220" t="s">
        <v>298</v>
      </c>
      <c r="I21" s="178"/>
      <c r="J21" s="189">
        <v>1.1499999999999999</v>
      </c>
      <c r="K21" s="186"/>
      <c r="L21" s="161"/>
      <c r="M21" s="161"/>
      <c r="N21" s="161"/>
      <c r="O21" s="161"/>
      <c r="P21" s="161"/>
      <c r="Q21" s="162" t="s">
        <v>299</v>
      </c>
      <c r="R21" s="164"/>
      <c r="S21" s="161"/>
      <c r="T21" s="161"/>
      <c r="U21" s="161"/>
      <c r="V21" s="161"/>
      <c r="W21" s="161"/>
      <c r="X21" s="161"/>
      <c r="Y21" s="161"/>
      <c r="Z21" s="161"/>
    </row>
    <row r="22" spans="1:26" s="165" customFormat="1" ht="18.399999999999999" customHeight="1">
      <c r="A22" s="214" t="s">
        <v>300</v>
      </c>
      <c r="B22" s="221"/>
      <c r="C22" s="221"/>
      <c r="D22" s="589">
        <v>0.1125</v>
      </c>
      <c r="E22" s="590"/>
      <c r="F22" s="575"/>
      <c r="G22" s="576"/>
      <c r="H22" s="216" t="s">
        <v>257</v>
      </c>
      <c r="I22" s="178"/>
      <c r="J22" s="189"/>
      <c r="K22" s="186"/>
      <c r="L22" s="161"/>
      <c r="M22" s="161"/>
      <c r="N22" s="161"/>
      <c r="O22" s="161"/>
      <c r="P22" s="161"/>
      <c r="Q22" s="172" t="s">
        <v>301</v>
      </c>
      <c r="R22" s="174"/>
      <c r="S22" s="161"/>
      <c r="T22" s="161"/>
      <c r="U22" s="161"/>
      <c r="V22" s="161"/>
      <c r="W22" s="161"/>
      <c r="X22" s="161"/>
      <c r="Y22" s="161"/>
      <c r="Z22" s="161"/>
    </row>
    <row r="23" spans="1:26" s="165" customFormat="1" ht="18.399999999999999" customHeight="1">
      <c r="A23" s="222" t="s">
        <v>302</v>
      </c>
      <c r="B23" s="223" t="s">
        <v>303</v>
      </c>
      <c r="C23" s="224"/>
      <c r="D23" s="591">
        <v>655</v>
      </c>
      <c r="E23" s="592"/>
      <c r="F23" s="575"/>
      <c r="G23" s="576"/>
      <c r="H23" s="225" t="s">
        <v>304</v>
      </c>
      <c r="I23" s="226"/>
      <c r="J23" s="227"/>
      <c r="K23" s="228"/>
      <c r="L23" s="161"/>
      <c r="Q23" s="172" t="s">
        <v>305</v>
      </c>
      <c r="R23" s="174"/>
      <c r="S23" s="161"/>
      <c r="T23" s="161"/>
      <c r="U23" s="161"/>
      <c r="V23" s="161"/>
      <c r="W23" s="161"/>
      <c r="X23" s="161"/>
      <c r="Y23" s="161"/>
      <c r="Z23" s="161"/>
    </row>
    <row r="24" spans="1:26" s="165" customFormat="1" ht="18.399999999999999" customHeight="1" thickBot="1">
      <c r="A24" s="229" t="s">
        <v>306</v>
      </c>
      <c r="B24" s="230" t="s">
        <v>307</v>
      </c>
      <c r="C24" s="231"/>
      <c r="D24" s="593" t="s">
        <v>174</v>
      </c>
      <c r="E24" s="594"/>
      <c r="F24" s="575"/>
      <c r="G24" s="576"/>
      <c r="H24" s="216" t="s">
        <v>308</v>
      </c>
      <c r="I24" s="199"/>
      <c r="J24" s="232"/>
      <c r="K24" s="233"/>
      <c r="Q24" s="234" t="s">
        <v>174</v>
      </c>
      <c r="R24" s="235"/>
      <c r="S24" s="161"/>
      <c r="T24" s="161"/>
      <c r="U24" s="161"/>
      <c r="V24" s="161"/>
      <c r="W24" s="161"/>
      <c r="X24" s="161"/>
      <c r="Y24" s="161"/>
      <c r="Z24" s="161"/>
    </row>
    <row r="25" spans="1:26" s="165" customFormat="1" ht="18.399999999999999" customHeight="1">
      <c r="A25" s="236" t="s">
        <v>309</v>
      </c>
      <c r="B25" s="237"/>
      <c r="C25" s="237"/>
      <c r="D25" s="238"/>
      <c r="E25" s="238" t="s">
        <v>310</v>
      </c>
      <c r="F25" s="575"/>
      <c r="G25" s="576"/>
      <c r="H25" s="216" t="s">
        <v>311</v>
      </c>
      <c r="I25" s="199"/>
      <c r="J25" s="239"/>
      <c r="K25" s="233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s="165" customFormat="1" ht="18.399999999999999" customHeight="1">
      <c r="A26" s="240" t="s">
        <v>312</v>
      </c>
      <c r="B26" s="241"/>
      <c r="C26" s="242"/>
      <c r="D26" s="243" t="s">
        <v>366</v>
      </c>
      <c r="E26" s="243" t="s">
        <v>367</v>
      </c>
      <c r="F26" s="577"/>
      <c r="G26" s="578"/>
      <c r="H26" s="595"/>
      <c r="I26" s="596"/>
      <c r="J26" s="244"/>
      <c r="K26" s="245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s="165" customFormat="1" ht="18.399999999999999" customHeight="1">
      <c r="A27" s="539" t="s">
        <v>313</v>
      </c>
      <c r="B27" s="540"/>
      <c r="C27" s="540"/>
      <c r="D27" s="540"/>
      <c r="E27" s="540"/>
      <c r="F27" s="541" t="s">
        <v>314</v>
      </c>
      <c r="G27" s="542"/>
      <c r="H27" s="542"/>
      <c r="I27" s="542"/>
      <c r="J27" s="542"/>
      <c r="K27" s="543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s="165" customFormat="1" ht="18.399999999999999" customHeight="1">
      <c r="A28" s="546"/>
      <c r="B28" s="547"/>
      <c r="C28" s="547"/>
      <c r="D28" s="547"/>
      <c r="E28" s="548"/>
      <c r="F28" s="246"/>
      <c r="G28" s="247"/>
      <c r="H28" s="206" t="s">
        <v>315</v>
      </c>
      <c r="I28" s="248" t="s">
        <v>364</v>
      </c>
      <c r="J28" s="185">
        <v>692</v>
      </c>
      <c r="K28" s="249" t="s">
        <v>174</v>
      </c>
      <c r="M28" s="165">
        <f>(J28/J18)*100</f>
        <v>634.86238532110087</v>
      </c>
      <c r="N28" s="250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s="165" customFormat="1" ht="18.399999999999999" customHeight="1">
      <c r="A29" s="546"/>
      <c r="B29" s="547"/>
      <c r="C29" s="547"/>
      <c r="D29" s="547"/>
      <c r="E29" s="548"/>
      <c r="F29" s="251"/>
      <c r="G29" s="252"/>
      <c r="H29" s="206" t="s">
        <v>316</v>
      </c>
      <c r="I29" s="253">
        <v>60</v>
      </c>
      <c r="J29" s="185">
        <v>77</v>
      </c>
      <c r="K29" s="180" t="s">
        <v>174</v>
      </c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s="165" customFormat="1" ht="18.399999999999999" customHeight="1">
      <c r="A30" s="546"/>
      <c r="B30" s="547"/>
      <c r="C30" s="547"/>
      <c r="D30" s="547"/>
      <c r="E30" s="548"/>
      <c r="F30" s="251"/>
      <c r="G30" s="252"/>
      <c r="H30" s="206" t="s">
        <v>317</v>
      </c>
      <c r="I30" s="253">
        <v>175</v>
      </c>
      <c r="J30" s="185">
        <v>276</v>
      </c>
      <c r="K30" s="180" t="s">
        <v>174</v>
      </c>
      <c r="L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s="165" customFormat="1" ht="18.399999999999999" customHeight="1">
      <c r="A31" s="546"/>
      <c r="B31" s="547"/>
      <c r="C31" s="547"/>
      <c r="D31" s="547"/>
      <c r="E31" s="548"/>
      <c r="F31" s="251"/>
      <c r="G31" s="252"/>
      <c r="H31" s="206" t="s">
        <v>318</v>
      </c>
      <c r="I31" s="207"/>
      <c r="J31" s="254">
        <v>0.56999999999999995</v>
      </c>
      <c r="K31" s="180" t="s">
        <v>174</v>
      </c>
      <c r="L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s="165" customFormat="1" ht="18.399999999999999" customHeight="1">
      <c r="A32" s="549"/>
      <c r="B32" s="550"/>
      <c r="C32" s="550"/>
      <c r="D32" s="550"/>
      <c r="E32" s="551"/>
      <c r="F32" s="251"/>
      <c r="G32" s="255" t="s">
        <v>319</v>
      </c>
      <c r="H32" s="206" t="s">
        <v>320</v>
      </c>
      <c r="I32" s="256"/>
      <c r="J32" s="179">
        <v>95.3</v>
      </c>
      <c r="K32" s="180" t="s">
        <v>174</v>
      </c>
      <c r="L32" s="161"/>
      <c r="N32" s="257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s="165" customFormat="1" ht="18.399999999999999" customHeight="1">
      <c r="A33" s="539" t="s">
        <v>321</v>
      </c>
      <c r="B33" s="540"/>
      <c r="C33" s="540"/>
      <c r="D33" s="540"/>
      <c r="E33" s="552"/>
      <c r="F33" s="258"/>
      <c r="G33" s="259"/>
      <c r="H33" s="260" t="s">
        <v>322</v>
      </c>
      <c r="I33" s="261"/>
      <c r="J33" s="262">
        <v>93.3</v>
      </c>
      <c r="K33" s="249" t="s">
        <v>174</v>
      </c>
      <c r="L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s="165" customFormat="1" ht="18.399999999999999" customHeight="1">
      <c r="A34" s="546"/>
      <c r="B34" s="547"/>
      <c r="C34" s="547"/>
      <c r="D34" s="547"/>
      <c r="E34" s="548"/>
      <c r="F34" s="181" t="s">
        <v>323</v>
      </c>
      <c r="G34" s="263"/>
      <c r="H34" s="264" t="s">
        <v>14</v>
      </c>
      <c r="I34" s="265"/>
      <c r="J34" s="266">
        <v>5401</v>
      </c>
      <c r="K34" s="249" t="s">
        <v>174</v>
      </c>
      <c r="L34" s="267"/>
      <c r="M34" s="268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s="165" customFormat="1" ht="18.399999999999999" customHeight="1">
      <c r="A35" s="546"/>
      <c r="B35" s="547"/>
      <c r="C35" s="547"/>
      <c r="D35" s="547"/>
      <c r="E35" s="548"/>
      <c r="F35" s="200"/>
      <c r="G35" s="269"/>
      <c r="H35" s="270" t="s">
        <v>15</v>
      </c>
      <c r="I35" s="271"/>
      <c r="J35" s="185">
        <v>3948</v>
      </c>
      <c r="K35" s="249" t="s">
        <v>174</v>
      </c>
      <c r="M35" s="268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s="165" customFormat="1" ht="18.399999999999999" customHeight="1">
      <c r="A36" s="546"/>
      <c r="B36" s="547"/>
      <c r="C36" s="547"/>
      <c r="D36" s="547"/>
      <c r="E36" s="548"/>
      <c r="F36" s="200"/>
      <c r="G36" s="269"/>
      <c r="H36" s="270" t="s">
        <v>324</v>
      </c>
      <c r="I36" s="271"/>
      <c r="J36" s="185">
        <v>3337</v>
      </c>
      <c r="K36" s="249" t="s">
        <v>174</v>
      </c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s="165" customFormat="1" ht="18.399999999999999" customHeight="1">
      <c r="A37" s="546"/>
      <c r="B37" s="547"/>
      <c r="C37" s="547"/>
      <c r="D37" s="547"/>
      <c r="E37" s="548"/>
      <c r="F37" s="251"/>
      <c r="G37" s="269"/>
      <c r="H37" s="270" t="s">
        <v>325</v>
      </c>
      <c r="I37" s="271"/>
      <c r="J37" s="185">
        <v>10961</v>
      </c>
      <c r="K37" s="272" t="s">
        <v>174</v>
      </c>
      <c r="M37" s="273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s="165" customFormat="1" ht="18.399999999999999" customHeight="1">
      <c r="A38" s="549"/>
      <c r="B38" s="550"/>
      <c r="C38" s="550"/>
      <c r="D38" s="550"/>
      <c r="E38" s="551"/>
      <c r="F38" s="208"/>
      <c r="G38" s="274"/>
      <c r="H38" s="275" t="s">
        <v>326</v>
      </c>
      <c r="I38" s="276"/>
      <c r="J38" s="277">
        <v>9451</v>
      </c>
      <c r="K38" s="249" t="s">
        <v>174</v>
      </c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s="165" customFormat="1" ht="18.399999999999999" customHeight="1">
      <c r="A39" s="539" t="s">
        <v>327</v>
      </c>
      <c r="B39" s="540"/>
      <c r="C39" s="540"/>
      <c r="D39" s="540"/>
      <c r="E39" s="540"/>
      <c r="F39" s="278" t="s">
        <v>328</v>
      </c>
      <c r="G39" s="279"/>
      <c r="H39" s="279"/>
      <c r="I39" s="279"/>
      <c r="J39" s="279"/>
      <c r="K39" s="280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s="165" customFormat="1" ht="18.399999999999999" customHeight="1">
      <c r="A40" s="553"/>
      <c r="B40" s="554"/>
      <c r="C40" s="554"/>
      <c r="D40" s="554"/>
      <c r="E40" s="555"/>
      <c r="F40" s="281" t="s">
        <v>748</v>
      </c>
      <c r="G40" s="282" t="s">
        <v>749</v>
      </c>
      <c r="H40" s="282"/>
      <c r="I40" s="282"/>
      <c r="J40" s="282"/>
      <c r="K40" s="283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s="165" customFormat="1" ht="18.399999999999999" customHeight="1">
      <c r="A41" s="553"/>
      <c r="B41" s="554"/>
      <c r="C41" s="554"/>
      <c r="D41" s="554"/>
      <c r="E41" s="555"/>
      <c r="F41" s="281"/>
      <c r="G41" s="699" t="s">
        <v>750</v>
      </c>
      <c r="H41" s="284"/>
      <c r="I41" s="284"/>
      <c r="J41" s="284"/>
      <c r="K41" s="285"/>
      <c r="L41" s="286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s="165" customFormat="1" ht="18.399999999999999" customHeight="1">
      <c r="A42" s="553"/>
      <c r="B42" s="554"/>
      <c r="C42" s="554"/>
      <c r="D42" s="554"/>
      <c r="E42" s="555"/>
      <c r="F42" s="281"/>
      <c r="G42" s="282"/>
      <c r="H42" s="282" t="s">
        <v>628</v>
      </c>
      <c r="I42" s="284"/>
      <c r="J42" s="284"/>
      <c r="K42" s="285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s="165" customFormat="1" ht="18.399999999999999" customHeight="1">
      <c r="A43" s="553"/>
      <c r="B43" s="554"/>
      <c r="C43" s="554"/>
      <c r="D43" s="554"/>
      <c r="E43" s="555"/>
      <c r="F43" s="281"/>
      <c r="G43" s="284"/>
      <c r="H43" s="284" t="s">
        <v>629</v>
      </c>
      <c r="I43" s="284"/>
      <c r="J43" s="284"/>
      <c r="K43" s="285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s="165" customFormat="1" ht="17.100000000000001" customHeight="1" thickBot="1">
      <c r="A44" s="556"/>
      <c r="B44" s="557"/>
      <c r="C44" s="557"/>
      <c r="D44" s="557"/>
      <c r="E44" s="558"/>
      <c r="F44" s="281"/>
      <c r="G44" s="284" t="s">
        <v>746</v>
      </c>
      <c r="H44" s="284"/>
      <c r="I44" s="284"/>
      <c r="J44" s="284"/>
      <c r="K44" s="285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s="165" customFormat="1" ht="17.100000000000001" customHeight="1">
      <c r="A45" s="287" t="s">
        <v>329</v>
      </c>
      <c r="B45" s="559" t="s">
        <v>634</v>
      </c>
      <c r="C45" s="560"/>
      <c r="D45" s="288" t="s">
        <v>330</v>
      </c>
      <c r="E45" s="289" t="s">
        <v>627</v>
      </c>
      <c r="F45" s="290"/>
      <c r="G45" s="165" t="s">
        <v>747</v>
      </c>
      <c r="H45" s="284"/>
      <c r="I45" s="284"/>
      <c r="J45" s="284"/>
      <c r="K45" s="285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s="165" customFormat="1" ht="17.100000000000001" customHeight="1" thickBot="1">
      <c r="A46" s="291" t="s">
        <v>331</v>
      </c>
      <c r="B46" s="544">
        <v>41670</v>
      </c>
      <c r="C46" s="545"/>
      <c r="D46" s="292" t="s">
        <v>331</v>
      </c>
      <c r="E46" s="293">
        <v>41654</v>
      </c>
      <c r="F46" s="294"/>
      <c r="G46" s="295"/>
      <c r="H46" s="295"/>
      <c r="I46" s="295"/>
      <c r="J46" s="295"/>
      <c r="K46" s="296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s="165" customFormat="1" ht="17.100000000000001" customHeight="1">
      <c r="F47" s="297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6" s="165" customFormat="1" ht="17.100000000000001" customHeight="1">
      <c r="F48" s="161"/>
      <c r="G48" s="161"/>
      <c r="H48" s="161"/>
      <c r="I48" s="161"/>
      <c r="J48" s="161"/>
      <c r="K48" s="161"/>
    </row>
    <row r="49" spans="2:26" ht="17.100000000000001" customHeight="1">
      <c r="F49" s="151"/>
      <c r="G49" s="151"/>
      <c r="H49" s="151"/>
      <c r="I49" s="151"/>
      <c r="J49" s="151"/>
      <c r="K49" s="151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spans="2:26">
      <c r="F50" s="151"/>
      <c r="G50" s="151"/>
      <c r="H50" s="151"/>
      <c r="I50" s="151"/>
      <c r="J50" s="151"/>
      <c r="K50" s="151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2:26">
      <c r="F51" s="151"/>
      <c r="G51" s="151"/>
      <c r="H51" s="151"/>
      <c r="I51" s="151"/>
      <c r="J51" s="151"/>
      <c r="K51" s="151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2:26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2:26">
      <c r="F53" s="151"/>
      <c r="G53" s="151"/>
      <c r="H53" s="151"/>
      <c r="I53" s="151"/>
      <c r="J53" s="151"/>
      <c r="K53" s="151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/>
  </sheetViews>
  <sheetFormatPr defaultColWidth="9.140625" defaultRowHeight="12.75"/>
  <cols>
    <col min="1" max="1" width="9.140625" style="303" customWidth="1"/>
    <col min="2" max="2" width="18.140625" style="303" customWidth="1"/>
    <col min="3" max="3" width="21.5703125" style="303" customWidth="1"/>
    <col min="4" max="4" width="21.28515625" style="303" bestFit="1" customWidth="1"/>
    <col min="5" max="5" width="6.85546875" style="303" bestFit="1" customWidth="1"/>
    <col min="6" max="6" width="29.85546875" style="303" customWidth="1"/>
    <col min="7" max="7" width="43.7109375" style="303" customWidth="1"/>
    <col min="8" max="8" width="17.140625" style="303" customWidth="1"/>
    <col min="9" max="9" width="7.85546875" style="303" customWidth="1"/>
    <col min="10" max="10" width="2.28515625" style="303" bestFit="1" customWidth="1"/>
    <col min="11" max="12" width="2.28515625" style="303" customWidth="1"/>
    <col min="13" max="13" width="2.5703125" style="303" bestFit="1" customWidth="1"/>
    <col min="14" max="14" width="2.28515625" style="303" bestFit="1" customWidth="1"/>
    <col min="15" max="16384" width="9.140625" style="303"/>
  </cols>
  <sheetData>
    <row r="1" spans="2:14" ht="12.75" customHeight="1">
      <c r="B1" s="298"/>
      <c r="C1" s="299"/>
      <c r="D1" s="299"/>
      <c r="E1" s="299"/>
      <c r="F1" s="299"/>
      <c r="G1" s="299"/>
      <c r="H1" s="300"/>
      <c r="I1" s="301"/>
      <c r="J1" s="302" t="s">
        <v>332</v>
      </c>
      <c r="K1" s="302" t="s">
        <v>333</v>
      </c>
      <c r="L1" s="302" t="s">
        <v>334</v>
      </c>
      <c r="M1" s="302" t="s">
        <v>333</v>
      </c>
      <c r="N1" s="302"/>
    </row>
    <row r="2" spans="2:14" ht="12.75" customHeight="1">
      <c r="B2" s="639" t="s">
        <v>335</v>
      </c>
      <c r="C2" s="640"/>
      <c r="D2" s="640"/>
      <c r="E2" s="640"/>
      <c r="F2" s="640"/>
      <c r="G2" s="640"/>
      <c r="H2" s="304"/>
      <c r="I2" s="305"/>
      <c r="J2" s="306" t="s">
        <v>336</v>
      </c>
      <c r="K2" s="306" t="s">
        <v>337</v>
      </c>
      <c r="L2" s="306" t="s">
        <v>338</v>
      </c>
      <c r="M2" s="306" t="s">
        <v>339</v>
      </c>
      <c r="N2" s="306" t="s">
        <v>340</v>
      </c>
    </row>
    <row r="3" spans="2:14" ht="12.75" customHeight="1">
      <c r="B3" s="639"/>
      <c r="C3" s="640"/>
      <c r="D3" s="640"/>
      <c r="E3" s="640"/>
      <c r="F3" s="640"/>
      <c r="G3" s="640"/>
      <c r="H3" s="304"/>
      <c r="I3" s="305"/>
      <c r="J3" s="306" t="s">
        <v>341</v>
      </c>
      <c r="K3" s="306"/>
      <c r="L3" s="306" t="s">
        <v>342</v>
      </c>
      <c r="M3" s="306" t="s">
        <v>332</v>
      </c>
      <c r="N3" s="306"/>
    </row>
    <row r="4" spans="2:14" ht="12.75" customHeight="1">
      <c r="B4" s="639"/>
      <c r="C4" s="640"/>
      <c r="D4" s="640"/>
      <c r="E4" s="640"/>
      <c r="F4" s="640"/>
      <c r="G4" s="640"/>
      <c r="H4" s="304"/>
      <c r="I4" s="305"/>
      <c r="J4" s="306" t="s">
        <v>343</v>
      </c>
      <c r="K4" s="306"/>
      <c r="L4" s="306" t="s">
        <v>338</v>
      </c>
      <c r="M4" s="306" t="s">
        <v>336</v>
      </c>
      <c r="N4" s="306"/>
    </row>
    <row r="5" spans="2:14" ht="12.75" customHeight="1">
      <c r="B5" s="307"/>
      <c r="C5" s="308"/>
      <c r="D5" s="308"/>
      <c r="E5" s="308"/>
      <c r="F5" s="308"/>
      <c r="G5" s="308"/>
      <c r="H5" s="304"/>
      <c r="I5" s="305"/>
      <c r="J5" s="306"/>
      <c r="K5" s="306" t="s">
        <v>344</v>
      </c>
      <c r="L5" s="306" t="s">
        <v>333</v>
      </c>
      <c r="M5" s="306"/>
      <c r="N5" s="306" t="s">
        <v>338</v>
      </c>
    </row>
    <row r="6" spans="2:14" ht="12" customHeight="1">
      <c r="B6" s="309"/>
      <c r="C6" s="310"/>
      <c r="D6" s="310"/>
      <c r="F6" s="310"/>
      <c r="H6" s="311"/>
      <c r="I6" s="305"/>
      <c r="J6" s="306" t="s">
        <v>337</v>
      </c>
      <c r="K6" s="306" t="s">
        <v>345</v>
      </c>
      <c r="L6" s="306"/>
      <c r="M6" s="306" t="s">
        <v>333</v>
      </c>
      <c r="N6" s="306" t="s">
        <v>346</v>
      </c>
    </row>
    <row r="7" spans="2:14" ht="12.75" customHeight="1">
      <c r="B7" s="309"/>
      <c r="D7" s="312"/>
      <c r="H7" s="311"/>
      <c r="I7" s="305"/>
      <c r="J7" s="306" t="s">
        <v>347</v>
      </c>
      <c r="K7" s="306" t="s">
        <v>341</v>
      </c>
      <c r="L7" s="306" t="s">
        <v>341</v>
      </c>
      <c r="M7" s="306" t="s">
        <v>336</v>
      </c>
      <c r="N7" s="306" t="s">
        <v>348</v>
      </c>
    </row>
    <row r="8" spans="2:14" ht="12.75" customHeight="1">
      <c r="B8" s="309"/>
      <c r="G8" s="312"/>
      <c r="H8" s="313"/>
      <c r="I8" s="306" t="s">
        <v>348</v>
      </c>
      <c r="J8" s="306" t="s">
        <v>333</v>
      </c>
      <c r="K8" s="306" t="s">
        <v>349</v>
      </c>
      <c r="L8" s="306" t="s">
        <v>336</v>
      </c>
      <c r="M8" s="306" t="s">
        <v>348</v>
      </c>
      <c r="N8" s="306" t="s">
        <v>345</v>
      </c>
    </row>
    <row r="9" spans="2:14">
      <c r="B9" s="306" t="s">
        <v>350</v>
      </c>
      <c r="C9" s="313" t="s">
        <v>351</v>
      </c>
      <c r="D9" s="313" t="s">
        <v>352</v>
      </c>
      <c r="E9" s="313" t="s">
        <v>353</v>
      </c>
      <c r="F9" s="306" t="s">
        <v>354</v>
      </c>
      <c r="G9" s="306" t="s">
        <v>355</v>
      </c>
      <c r="H9" s="306" t="s">
        <v>356</v>
      </c>
      <c r="I9" s="306" t="s">
        <v>343</v>
      </c>
      <c r="J9" s="306" t="s">
        <v>347</v>
      </c>
      <c r="K9" s="306" t="s">
        <v>336</v>
      </c>
      <c r="L9" s="306" t="s">
        <v>349</v>
      </c>
      <c r="M9" s="306" t="s">
        <v>333</v>
      </c>
      <c r="N9" s="306" t="s">
        <v>334</v>
      </c>
    </row>
    <row r="10" spans="2:14" ht="15" customHeight="1">
      <c r="B10" s="314"/>
      <c r="C10" s="315"/>
      <c r="D10" s="315"/>
      <c r="E10" s="315"/>
      <c r="F10" s="316"/>
      <c r="G10" s="317"/>
      <c r="H10" s="317"/>
      <c r="I10" s="318"/>
      <c r="J10" s="319"/>
      <c r="K10" s="319"/>
      <c r="L10" s="319"/>
      <c r="M10" s="319"/>
      <c r="N10" s="320"/>
    </row>
    <row r="11" spans="2:14" ht="15" customHeight="1">
      <c r="B11" s="314"/>
      <c r="C11" s="316"/>
      <c r="D11" s="316"/>
      <c r="E11" s="316"/>
      <c r="F11" s="316"/>
      <c r="G11" s="316"/>
      <c r="H11" s="316"/>
      <c r="I11" s="321"/>
      <c r="J11" s="319"/>
      <c r="K11" s="319"/>
      <c r="L11" s="319"/>
      <c r="M11" s="319"/>
      <c r="N11" s="320"/>
    </row>
    <row r="12" spans="2:14" ht="15" customHeight="1">
      <c r="B12" s="314"/>
      <c r="C12" s="316"/>
      <c r="D12" s="316"/>
      <c r="E12" s="316"/>
      <c r="F12" s="316"/>
      <c r="G12" s="316"/>
      <c r="H12" s="316"/>
      <c r="I12" s="321"/>
      <c r="J12" s="322"/>
      <c r="K12" s="319"/>
      <c r="L12" s="319"/>
      <c r="M12" s="319"/>
      <c r="N12" s="320"/>
    </row>
    <row r="13" spans="2:14" ht="15" customHeight="1">
      <c r="B13" s="314"/>
      <c r="C13" s="316"/>
      <c r="D13" s="316"/>
      <c r="E13" s="316"/>
      <c r="F13" s="316"/>
      <c r="G13" s="316"/>
      <c r="H13" s="316"/>
      <c r="I13" s="321"/>
      <c r="J13" s="319"/>
      <c r="K13" s="319"/>
      <c r="L13" s="319"/>
      <c r="M13" s="319"/>
      <c r="N13" s="320"/>
    </row>
    <row r="14" spans="2:14" ht="15" customHeight="1">
      <c r="B14" s="314"/>
      <c r="C14" s="316"/>
      <c r="D14" s="316"/>
      <c r="E14" s="316"/>
      <c r="F14" s="316"/>
      <c r="G14" s="316"/>
      <c r="H14" s="316"/>
      <c r="I14" s="321"/>
      <c r="J14" s="319"/>
      <c r="K14" s="319"/>
      <c r="L14" s="319"/>
      <c r="M14" s="319"/>
      <c r="N14" s="320"/>
    </row>
    <row r="15" spans="2:14" ht="15" customHeight="1">
      <c r="B15" s="314"/>
      <c r="C15" s="316"/>
      <c r="D15" s="316"/>
      <c r="E15" s="316"/>
      <c r="F15" s="316"/>
      <c r="G15" s="316"/>
      <c r="H15" s="316"/>
      <c r="I15" s="321"/>
      <c r="J15" s="319"/>
      <c r="K15" s="319"/>
      <c r="L15" s="319"/>
      <c r="M15" s="319"/>
      <c r="N15" s="320"/>
    </row>
    <row r="16" spans="2:14" ht="15" customHeight="1">
      <c r="B16" s="314"/>
      <c r="C16" s="316"/>
      <c r="D16" s="316"/>
      <c r="E16" s="316"/>
      <c r="F16" s="316"/>
      <c r="G16" s="316"/>
      <c r="H16" s="316"/>
      <c r="I16" s="321"/>
      <c r="J16" s="319"/>
      <c r="K16" s="319"/>
      <c r="L16" s="319"/>
      <c r="M16" s="319"/>
      <c r="N16" s="320"/>
    </row>
    <row r="17" spans="2:14" ht="15" customHeight="1">
      <c r="B17" s="314"/>
      <c r="C17" s="316"/>
      <c r="D17" s="316"/>
      <c r="E17" s="316"/>
      <c r="F17" s="316"/>
      <c r="G17" s="316"/>
      <c r="H17" s="316"/>
      <c r="I17" s="321"/>
      <c r="J17" s="319"/>
      <c r="K17" s="319"/>
      <c r="L17" s="319"/>
      <c r="M17" s="319"/>
      <c r="N17" s="320"/>
    </row>
    <row r="18" spans="2:14" ht="15" customHeight="1">
      <c r="B18" s="314"/>
      <c r="C18" s="316"/>
      <c r="D18" s="316"/>
      <c r="E18" s="316"/>
      <c r="F18" s="316"/>
      <c r="G18" s="316"/>
      <c r="H18" s="316"/>
      <c r="I18" s="321"/>
      <c r="J18" s="319"/>
      <c r="K18" s="319"/>
      <c r="L18" s="319"/>
      <c r="M18" s="319"/>
      <c r="N18" s="320"/>
    </row>
    <row r="19" spans="2:14" ht="15" customHeight="1">
      <c r="B19" s="314"/>
      <c r="C19" s="316"/>
      <c r="D19" s="316"/>
      <c r="E19" s="316"/>
      <c r="F19" s="316"/>
      <c r="G19" s="316"/>
      <c r="H19" s="316"/>
      <c r="I19" s="321"/>
      <c r="J19" s="319"/>
      <c r="K19" s="319"/>
      <c r="L19" s="319"/>
      <c r="M19" s="319"/>
      <c r="N19" s="320"/>
    </row>
    <row r="20" spans="2:14" ht="15" customHeight="1">
      <c r="B20" s="314"/>
      <c r="C20" s="316"/>
      <c r="D20" s="316"/>
      <c r="E20" s="316"/>
      <c r="F20" s="316"/>
      <c r="G20" s="316"/>
      <c r="H20" s="316"/>
      <c r="I20" s="321"/>
      <c r="J20" s="319"/>
      <c r="K20" s="319"/>
      <c r="L20" s="319"/>
      <c r="M20" s="319"/>
      <c r="N20" s="320"/>
    </row>
    <row r="21" spans="2:14" ht="15" customHeight="1">
      <c r="B21" s="314"/>
      <c r="C21" s="316"/>
      <c r="D21" s="316"/>
      <c r="E21" s="316"/>
      <c r="F21" s="316"/>
      <c r="G21" s="316"/>
      <c r="H21" s="316"/>
      <c r="I21" s="321"/>
      <c r="J21" s="319"/>
      <c r="K21" s="319"/>
      <c r="L21" s="319"/>
      <c r="M21" s="319"/>
      <c r="N21" s="320"/>
    </row>
    <row r="22" spans="2:14" ht="15" customHeight="1">
      <c r="B22" s="314"/>
      <c r="C22" s="316"/>
      <c r="D22" s="316"/>
      <c r="E22" s="316"/>
      <c r="F22" s="316"/>
      <c r="G22" s="316"/>
      <c r="H22" s="316"/>
      <c r="I22" s="321"/>
      <c r="J22" s="319"/>
      <c r="K22" s="319"/>
      <c r="L22" s="319"/>
      <c r="M22" s="319"/>
      <c r="N22" s="320"/>
    </row>
    <row r="23" spans="2:14" ht="15" customHeight="1">
      <c r="B23" s="314"/>
      <c r="C23" s="316"/>
      <c r="D23" s="316"/>
      <c r="E23" s="316"/>
      <c r="F23" s="316"/>
      <c r="G23" s="316"/>
      <c r="H23" s="316"/>
      <c r="I23" s="321"/>
      <c r="J23" s="319"/>
      <c r="K23" s="319"/>
      <c r="L23" s="319"/>
      <c r="M23" s="319"/>
      <c r="N23" s="320"/>
    </row>
    <row r="24" spans="2:14" ht="15" customHeight="1">
      <c r="B24" s="314"/>
      <c r="C24" s="316"/>
      <c r="D24" s="316"/>
      <c r="E24" s="316"/>
      <c r="F24" s="316"/>
      <c r="G24" s="316"/>
      <c r="H24" s="316"/>
      <c r="I24" s="321"/>
      <c r="J24" s="319"/>
      <c r="K24" s="319"/>
      <c r="L24" s="319"/>
      <c r="M24" s="319"/>
      <c r="N24" s="320"/>
    </row>
    <row r="25" spans="2:14" ht="15" customHeight="1">
      <c r="B25" s="314"/>
      <c r="C25" s="316"/>
      <c r="D25" s="316"/>
      <c r="E25" s="316"/>
      <c r="F25" s="316"/>
      <c r="G25" s="316"/>
      <c r="H25" s="316"/>
      <c r="I25" s="321"/>
      <c r="J25" s="319"/>
      <c r="K25" s="319"/>
      <c r="L25" s="319"/>
      <c r="M25" s="319"/>
      <c r="N25" s="320"/>
    </row>
    <row r="26" spans="2:14" ht="15" customHeight="1">
      <c r="B26" s="314"/>
      <c r="C26" s="316"/>
      <c r="D26" s="316"/>
      <c r="E26" s="316"/>
      <c r="F26" s="316"/>
      <c r="G26" s="316"/>
      <c r="H26" s="316"/>
      <c r="I26" s="321"/>
      <c r="J26" s="319"/>
      <c r="K26" s="319"/>
      <c r="L26" s="319"/>
      <c r="M26" s="319"/>
      <c r="N26" s="320"/>
    </row>
    <row r="27" spans="2:14" ht="15" customHeight="1">
      <c r="B27" s="314"/>
      <c r="C27" s="316"/>
      <c r="D27" s="316"/>
      <c r="E27" s="316"/>
      <c r="F27" s="316"/>
      <c r="G27" s="316"/>
      <c r="H27" s="316"/>
      <c r="I27" s="321"/>
      <c r="J27" s="319"/>
      <c r="K27" s="319"/>
      <c r="L27" s="319"/>
      <c r="M27" s="319"/>
      <c r="N27" s="320"/>
    </row>
    <row r="28" spans="2:14" ht="15" customHeight="1">
      <c r="B28" s="314"/>
      <c r="C28" s="316"/>
      <c r="D28" s="316"/>
      <c r="E28" s="316"/>
      <c r="F28" s="316"/>
      <c r="G28" s="316"/>
      <c r="H28" s="316"/>
      <c r="I28" s="321"/>
      <c r="J28" s="319"/>
      <c r="K28" s="319"/>
      <c r="L28" s="319"/>
      <c r="M28" s="319"/>
      <c r="N28" s="320"/>
    </row>
    <row r="29" spans="2:14" ht="15" customHeight="1">
      <c r="B29" s="314"/>
      <c r="C29" s="316"/>
      <c r="D29" s="316"/>
      <c r="E29" s="316"/>
      <c r="F29" s="316"/>
      <c r="G29" s="316"/>
      <c r="H29" s="316"/>
      <c r="I29" s="321"/>
      <c r="J29" s="319"/>
      <c r="K29" s="319"/>
      <c r="L29" s="319"/>
      <c r="M29" s="319"/>
      <c r="N29" s="320"/>
    </row>
    <row r="30" spans="2:14" ht="15" customHeight="1">
      <c r="B30" s="314"/>
      <c r="C30" s="316"/>
      <c r="D30" s="316"/>
      <c r="E30" s="316"/>
      <c r="F30" s="316"/>
      <c r="G30" s="316"/>
      <c r="H30" s="316"/>
      <c r="I30" s="321"/>
      <c r="J30" s="319"/>
      <c r="K30" s="319"/>
      <c r="L30" s="319"/>
      <c r="M30" s="319"/>
      <c r="N30" s="320"/>
    </row>
    <row r="31" spans="2:14" ht="15" customHeight="1">
      <c r="B31" s="314"/>
      <c r="C31" s="316"/>
      <c r="D31" s="316"/>
      <c r="E31" s="316"/>
      <c r="F31" s="316"/>
      <c r="G31" s="316"/>
      <c r="H31" s="316"/>
      <c r="I31" s="321"/>
      <c r="J31" s="319"/>
      <c r="K31" s="319"/>
      <c r="L31" s="319"/>
      <c r="M31" s="319"/>
      <c r="N31" s="320"/>
    </row>
    <row r="32" spans="2:14" ht="15" customHeight="1">
      <c r="B32" s="314"/>
      <c r="C32" s="316"/>
      <c r="D32" s="316"/>
      <c r="E32" s="316"/>
      <c r="F32" s="316"/>
      <c r="G32" s="316"/>
      <c r="H32" s="316"/>
      <c r="I32" s="321"/>
      <c r="J32" s="319"/>
      <c r="K32" s="319"/>
      <c r="L32" s="319"/>
      <c r="M32" s="319"/>
      <c r="N32" s="320"/>
    </row>
    <row r="33" spans="2:14" ht="15" customHeight="1">
      <c r="B33" s="314"/>
      <c r="C33" s="316"/>
      <c r="D33" s="316"/>
      <c r="E33" s="316"/>
      <c r="F33" s="316"/>
      <c r="G33" s="316"/>
      <c r="H33" s="316"/>
      <c r="I33" s="321"/>
      <c r="J33" s="319"/>
      <c r="K33" s="319"/>
      <c r="L33" s="319"/>
      <c r="M33" s="319"/>
      <c r="N33" s="320"/>
    </row>
    <row r="34" spans="2:14" ht="15" customHeight="1">
      <c r="B34" s="314"/>
      <c r="C34" s="316"/>
      <c r="D34" s="316"/>
      <c r="E34" s="316"/>
      <c r="F34" s="316"/>
      <c r="G34" s="316"/>
      <c r="H34" s="316"/>
      <c r="I34" s="321"/>
      <c r="J34" s="319"/>
      <c r="K34" s="319"/>
      <c r="L34" s="319"/>
      <c r="M34" s="319"/>
      <c r="N34" s="320"/>
    </row>
    <row r="35" spans="2:14" ht="15" customHeight="1">
      <c r="B35" s="314"/>
      <c r="C35" s="316"/>
      <c r="D35" s="316"/>
      <c r="E35" s="316"/>
      <c r="F35" s="316"/>
      <c r="G35" s="316"/>
      <c r="H35" s="316"/>
      <c r="I35" s="321"/>
      <c r="J35" s="319"/>
      <c r="K35" s="319"/>
      <c r="L35" s="319"/>
      <c r="M35" s="319"/>
      <c r="N35" s="320"/>
    </row>
    <row r="36" spans="2:14" ht="15" customHeight="1">
      <c r="B36" s="314"/>
      <c r="C36" s="316"/>
      <c r="D36" s="316"/>
      <c r="E36" s="316"/>
      <c r="F36" s="316"/>
      <c r="G36" s="316"/>
      <c r="H36" s="316"/>
      <c r="I36" s="321"/>
      <c r="J36" s="319"/>
      <c r="K36" s="319"/>
      <c r="L36" s="319"/>
      <c r="M36" s="319"/>
      <c r="N36" s="320"/>
    </row>
    <row r="37" spans="2:14" ht="15" customHeight="1">
      <c r="B37" s="314"/>
      <c r="C37" s="316"/>
      <c r="D37" s="316"/>
      <c r="E37" s="316"/>
      <c r="F37" s="316"/>
      <c r="G37" s="316"/>
      <c r="H37" s="316"/>
      <c r="I37" s="321"/>
      <c r="J37" s="319"/>
      <c r="K37" s="319"/>
      <c r="L37" s="319"/>
      <c r="M37" s="319"/>
      <c r="N37" s="320"/>
    </row>
    <row r="38" spans="2:14" ht="15" customHeight="1">
      <c r="B38" s="314"/>
      <c r="C38" s="316"/>
      <c r="D38" s="316"/>
      <c r="E38" s="316"/>
      <c r="F38" s="316"/>
      <c r="G38" s="316"/>
      <c r="H38" s="316"/>
      <c r="I38" s="321"/>
      <c r="J38" s="319"/>
      <c r="K38" s="319"/>
      <c r="L38" s="319"/>
      <c r="M38" s="319"/>
      <c r="N38" s="320"/>
    </row>
    <row r="39" spans="2:14" ht="15" customHeight="1">
      <c r="B39" s="314"/>
      <c r="C39" s="316"/>
      <c r="D39" s="316"/>
      <c r="E39" s="316"/>
      <c r="F39" s="316"/>
      <c r="G39" s="316"/>
      <c r="H39" s="316"/>
      <c r="I39" s="321"/>
      <c r="J39" s="319"/>
      <c r="K39" s="319"/>
      <c r="L39" s="319"/>
      <c r="M39" s="319"/>
      <c r="N39" s="320"/>
    </row>
    <row r="40" spans="2:14" ht="15" customHeight="1">
      <c r="B40" s="314"/>
      <c r="C40" s="316"/>
      <c r="D40" s="316"/>
      <c r="E40" s="316"/>
      <c r="F40" s="316"/>
      <c r="G40" s="316"/>
      <c r="H40" s="316"/>
      <c r="I40" s="321"/>
      <c r="J40" s="319"/>
      <c r="K40" s="319"/>
      <c r="L40" s="319"/>
      <c r="M40" s="319"/>
      <c r="N40" s="320"/>
    </row>
    <row r="41" spans="2:14" ht="15" customHeight="1">
      <c r="B41" s="314"/>
      <c r="C41" s="316"/>
      <c r="D41" s="316"/>
      <c r="E41" s="316"/>
      <c r="F41" s="316"/>
      <c r="G41" s="316"/>
      <c r="H41" s="316"/>
      <c r="I41" s="321"/>
      <c r="J41" s="319"/>
      <c r="K41" s="319"/>
      <c r="L41" s="319"/>
      <c r="M41" s="319"/>
      <c r="N41" s="320"/>
    </row>
    <row r="42" spans="2:14" ht="15" customHeight="1">
      <c r="B42" s="314"/>
      <c r="C42" s="316"/>
      <c r="D42" s="316"/>
      <c r="E42" s="316"/>
      <c r="F42" s="316"/>
      <c r="G42" s="316"/>
      <c r="H42" s="316"/>
      <c r="I42" s="321"/>
      <c r="J42" s="319"/>
      <c r="K42" s="319"/>
      <c r="L42" s="319"/>
      <c r="M42" s="319"/>
      <c r="N42" s="320"/>
    </row>
    <row r="43" spans="2:14" ht="15" customHeight="1">
      <c r="B43" s="314"/>
      <c r="C43" s="316"/>
      <c r="D43" s="316"/>
      <c r="E43" s="316"/>
      <c r="F43" s="316"/>
      <c r="G43" s="316"/>
      <c r="H43" s="316"/>
      <c r="I43" s="321"/>
      <c r="J43" s="319"/>
      <c r="K43" s="319"/>
      <c r="L43" s="319"/>
      <c r="M43" s="319"/>
      <c r="N43" s="320"/>
    </row>
    <row r="44" spans="2:14" ht="15" customHeight="1">
      <c r="B44" s="314"/>
      <c r="C44" s="316"/>
      <c r="D44" s="316"/>
      <c r="E44" s="316"/>
      <c r="F44" s="316"/>
      <c r="G44" s="316"/>
      <c r="H44" s="316"/>
      <c r="I44" s="321"/>
      <c r="J44" s="319"/>
      <c r="K44" s="319"/>
      <c r="L44" s="319"/>
      <c r="M44" s="319"/>
      <c r="N44" s="320"/>
    </row>
    <row r="45" spans="2:14" ht="15" customHeight="1">
      <c r="B45" s="314"/>
      <c r="C45" s="316"/>
      <c r="D45" s="316"/>
      <c r="E45" s="316"/>
      <c r="F45" s="316"/>
      <c r="G45" s="316"/>
      <c r="H45" s="316"/>
      <c r="I45" s="321"/>
      <c r="J45" s="319"/>
      <c r="K45" s="319"/>
      <c r="L45" s="319"/>
      <c r="M45" s="319"/>
      <c r="N45" s="320"/>
    </row>
    <row r="46" spans="2:14" ht="15" customHeight="1">
      <c r="B46" s="314"/>
      <c r="C46" s="316"/>
      <c r="D46" s="316"/>
      <c r="E46" s="316"/>
      <c r="F46" s="316"/>
      <c r="G46" s="316"/>
      <c r="H46" s="316"/>
      <c r="I46" s="321"/>
      <c r="J46" s="319"/>
      <c r="K46" s="319"/>
      <c r="L46" s="319"/>
      <c r="M46" s="319"/>
      <c r="N46" s="320"/>
    </row>
    <row r="47" spans="2:14" ht="15" customHeight="1">
      <c r="B47" s="314"/>
      <c r="C47" s="316"/>
      <c r="D47" s="316"/>
      <c r="E47" s="316"/>
      <c r="F47" s="316"/>
      <c r="G47" s="316"/>
      <c r="H47" s="316"/>
      <c r="I47" s="321"/>
      <c r="J47" s="319"/>
      <c r="K47" s="319"/>
      <c r="L47" s="319"/>
      <c r="M47" s="319"/>
      <c r="N47" s="320"/>
    </row>
    <row r="48" spans="2:14" ht="15" customHeight="1">
      <c r="B48" s="314"/>
      <c r="C48" s="316"/>
      <c r="D48" s="316"/>
      <c r="E48" s="316"/>
      <c r="F48" s="316"/>
      <c r="G48" s="316"/>
      <c r="H48" s="316"/>
      <c r="I48" s="321"/>
      <c r="J48" s="319"/>
      <c r="K48" s="319"/>
      <c r="L48" s="319"/>
      <c r="M48" s="319"/>
      <c r="N48" s="320"/>
    </row>
    <row r="49" spans="2:14" ht="15" customHeight="1">
      <c r="B49" s="314"/>
      <c r="C49" s="316"/>
      <c r="D49" s="316"/>
      <c r="E49" s="316"/>
      <c r="F49" s="316"/>
      <c r="G49" s="316"/>
      <c r="H49" s="316"/>
      <c r="I49" s="321"/>
      <c r="J49" s="319"/>
      <c r="K49" s="319"/>
      <c r="L49" s="319"/>
      <c r="M49" s="319"/>
      <c r="N49" s="320"/>
    </row>
    <row r="50" spans="2:14" ht="15" customHeight="1">
      <c r="B50" s="314"/>
      <c r="C50" s="316"/>
      <c r="D50" s="316"/>
      <c r="E50" s="316"/>
      <c r="F50" s="316"/>
      <c r="G50" s="316"/>
      <c r="H50" s="316"/>
      <c r="I50" s="321"/>
      <c r="J50" s="319"/>
      <c r="K50" s="319"/>
      <c r="L50" s="319"/>
      <c r="M50" s="319"/>
      <c r="N50" s="320"/>
    </row>
    <row r="51" spans="2:14" ht="15" customHeight="1">
      <c r="B51" s="314"/>
      <c r="C51" s="316"/>
      <c r="D51" s="316"/>
      <c r="E51" s="316"/>
      <c r="F51" s="316"/>
      <c r="G51" s="316"/>
      <c r="H51" s="316"/>
      <c r="I51" s="321"/>
      <c r="J51" s="319"/>
      <c r="K51" s="319"/>
      <c r="L51" s="319"/>
      <c r="M51" s="319"/>
      <c r="N51" s="320"/>
    </row>
    <row r="52" spans="2:14" ht="15" customHeight="1" thickBot="1">
      <c r="B52" s="323"/>
      <c r="C52" s="324"/>
      <c r="D52" s="324"/>
      <c r="E52" s="324"/>
      <c r="F52" s="324"/>
      <c r="G52" s="324"/>
      <c r="H52" s="324"/>
      <c r="I52" s="325"/>
      <c r="J52" s="326"/>
      <c r="K52" s="326"/>
      <c r="L52" s="326"/>
      <c r="M52" s="326"/>
      <c r="N52" s="327"/>
    </row>
    <row r="53" spans="2:14" ht="20.25" customHeight="1" thickBot="1">
      <c r="B53" s="641" t="s">
        <v>357</v>
      </c>
      <c r="C53" s="641"/>
      <c r="D53" s="641"/>
      <c r="E53" s="641"/>
      <c r="F53" s="641"/>
      <c r="G53" s="641"/>
      <c r="H53" s="641"/>
      <c r="I53" s="641"/>
      <c r="J53" s="641"/>
      <c r="K53" s="641"/>
      <c r="L53" s="641"/>
      <c r="M53" s="641"/>
      <c r="N53" s="641"/>
    </row>
    <row r="54" spans="2:14" ht="15" customHeight="1" thickBot="1">
      <c r="B54" s="328" t="s">
        <v>358</v>
      </c>
      <c r="C54" s="642" t="s">
        <v>355</v>
      </c>
      <c r="D54" s="643"/>
      <c r="E54" s="643"/>
      <c r="F54" s="643"/>
      <c r="G54" s="643"/>
      <c r="H54" s="329"/>
      <c r="I54" s="642" t="s">
        <v>350</v>
      </c>
      <c r="J54" s="643"/>
      <c r="K54" s="644"/>
      <c r="L54" s="642" t="s">
        <v>359</v>
      </c>
      <c r="M54" s="643"/>
      <c r="N54" s="645"/>
    </row>
    <row r="55" spans="2:14" ht="15" customHeight="1">
      <c r="B55" s="330"/>
      <c r="C55" s="631"/>
      <c r="D55" s="632"/>
      <c r="E55" s="632"/>
      <c r="F55" s="632"/>
      <c r="G55" s="632"/>
      <c r="H55" s="331"/>
      <c r="I55" s="633"/>
      <c r="J55" s="634"/>
      <c r="K55" s="635"/>
      <c r="L55" s="636"/>
      <c r="M55" s="637"/>
      <c r="N55" s="638"/>
    </row>
    <row r="56" spans="2:14" ht="15" customHeight="1">
      <c r="B56" s="332"/>
      <c r="C56" s="615"/>
      <c r="D56" s="616"/>
      <c r="E56" s="616"/>
      <c r="F56" s="616"/>
      <c r="G56" s="616"/>
      <c r="H56" s="333"/>
      <c r="I56" s="617"/>
      <c r="J56" s="618"/>
      <c r="K56" s="619"/>
      <c r="L56" s="620"/>
      <c r="M56" s="621"/>
      <c r="N56" s="622"/>
    </row>
    <row r="57" spans="2:14" ht="15" customHeight="1">
      <c r="B57" s="332"/>
      <c r="C57" s="615"/>
      <c r="D57" s="616"/>
      <c r="E57" s="616"/>
      <c r="F57" s="616"/>
      <c r="G57" s="616"/>
      <c r="H57" s="333"/>
      <c r="I57" s="617"/>
      <c r="J57" s="618"/>
      <c r="K57" s="619"/>
      <c r="L57" s="620"/>
      <c r="M57" s="621"/>
      <c r="N57" s="622"/>
    </row>
    <row r="58" spans="2:14" ht="15" customHeight="1">
      <c r="B58" s="332"/>
      <c r="C58" s="615"/>
      <c r="D58" s="616"/>
      <c r="E58" s="616"/>
      <c r="F58" s="616"/>
      <c r="G58" s="616"/>
      <c r="H58" s="333"/>
      <c r="I58" s="617"/>
      <c r="J58" s="618"/>
      <c r="K58" s="619"/>
      <c r="L58" s="620"/>
      <c r="M58" s="621"/>
      <c r="N58" s="622"/>
    </row>
    <row r="59" spans="2:14" ht="15" customHeight="1">
      <c r="B59" s="332"/>
      <c r="C59" s="615"/>
      <c r="D59" s="616"/>
      <c r="E59" s="616"/>
      <c r="F59" s="616"/>
      <c r="G59" s="616"/>
      <c r="H59" s="333"/>
      <c r="I59" s="617"/>
      <c r="J59" s="618"/>
      <c r="K59" s="619"/>
      <c r="L59" s="620"/>
      <c r="M59" s="621"/>
      <c r="N59" s="622"/>
    </row>
    <row r="60" spans="2:14" ht="15" customHeight="1">
      <c r="B60" s="332"/>
      <c r="C60" s="615"/>
      <c r="D60" s="616"/>
      <c r="E60" s="616"/>
      <c r="F60" s="616"/>
      <c r="G60" s="616"/>
      <c r="H60" s="333"/>
      <c r="I60" s="617"/>
      <c r="J60" s="618"/>
      <c r="K60" s="619"/>
      <c r="L60" s="620"/>
      <c r="M60" s="621"/>
      <c r="N60" s="622"/>
    </row>
    <row r="61" spans="2:14" ht="15" customHeight="1">
      <c r="B61" s="332"/>
      <c r="C61" s="615"/>
      <c r="D61" s="616"/>
      <c r="E61" s="616"/>
      <c r="F61" s="616"/>
      <c r="G61" s="616"/>
      <c r="H61" s="333"/>
      <c r="I61" s="617"/>
      <c r="J61" s="618"/>
      <c r="K61" s="619"/>
      <c r="L61" s="620"/>
      <c r="M61" s="621"/>
      <c r="N61" s="622"/>
    </row>
    <row r="62" spans="2:14" ht="15" customHeight="1">
      <c r="B62" s="332"/>
      <c r="C62" s="615"/>
      <c r="D62" s="616"/>
      <c r="E62" s="616"/>
      <c r="F62" s="616"/>
      <c r="G62" s="616"/>
      <c r="H62" s="333"/>
      <c r="I62" s="617"/>
      <c r="J62" s="618"/>
      <c r="K62" s="619"/>
      <c r="L62" s="620"/>
      <c r="M62" s="621"/>
      <c r="N62" s="622"/>
    </row>
    <row r="63" spans="2:14" ht="15" customHeight="1">
      <c r="B63" s="332"/>
      <c r="C63" s="615"/>
      <c r="D63" s="616"/>
      <c r="E63" s="616"/>
      <c r="F63" s="616"/>
      <c r="G63" s="616"/>
      <c r="H63" s="333"/>
      <c r="I63" s="617"/>
      <c r="J63" s="618"/>
      <c r="K63" s="619"/>
      <c r="L63" s="620"/>
      <c r="M63" s="621"/>
      <c r="N63" s="622"/>
    </row>
    <row r="64" spans="2:14" ht="15" customHeight="1">
      <c r="B64" s="332"/>
      <c r="C64" s="615"/>
      <c r="D64" s="616"/>
      <c r="E64" s="616"/>
      <c r="F64" s="616"/>
      <c r="G64" s="616"/>
      <c r="H64" s="333"/>
      <c r="I64" s="617"/>
      <c r="J64" s="618"/>
      <c r="K64" s="619"/>
      <c r="L64" s="620"/>
      <c r="M64" s="621"/>
      <c r="N64" s="622"/>
    </row>
    <row r="65" spans="2:14" ht="15" customHeight="1">
      <c r="B65" s="332"/>
      <c r="C65" s="615"/>
      <c r="D65" s="616"/>
      <c r="E65" s="616"/>
      <c r="F65" s="616"/>
      <c r="G65" s="616"/>
      <c r="H65" s="333"/>
      <c r="I65" s="617"/>
      <c r="J65" s="618"/>
      <c r="K65" s="619"/>
      <c r="L65" s="620"/>
      <c r="M65" s="621"/>
      <c r="N65" s="622"/>
    </row>
    <row r="66" spans="2:14" ht="15" customHeight="1">
      <c r="B66" s="332"/>
      <c r="C66" s="615"/>
      <c r="D66" s="616"/>
      <c r="E66" s="616"/>
      <c r="F66" s="616"/>
      <c r="G66" s="616"/>
      <c r="H66" s="333"/>
      <c r="I66" s="617"/>
      <c r="J66" s="618"/>
      <c r="K66" s="619"/>
      <c r="L66" s="620"/>
      <c r="M66" s="621"/>
      <c r="N66" s="622"/>
    </row>
    <row r="67" spans="2:14" ht="15" customHeight="1">
      <c r="B67" s="332"/>
      <c r="C67" s="615"/>
      <c r="D67" s="616"/>
      <c r="E67" s="616"/>
      <c r="F67" s="616"/>
      <c r="G67" s="616"/>
      <c r="H67" s="333"/>
      <c r="I67" s="617"/>
      <c r="J67" s="618"/>
      <c r="K67" s="619"/>
      <c r="L67" s="620"/>
      <c r="M67" s="621"/>
      <c r="N67" s="622"/>
    </row>
    <row r="68" spans="2:14" ht="15" customHeight="1">
      <c r="B68" s="332"/>
      <c r="C68" s="615"/>
      <c r="D68" s="616"/>
      <c r="E68" s="616"/>
      <c r="F68" s="616"/>
      <c r="G68" s="616"/>
      <c r="H68" s="333"/>
      <c r="I68" s="617"/>
      <c r="J68" s="618"/>
      <c r="K68" s="619"/>
      <c r="L68" s="620"/>
      <c r="M68" s="621"/>
      <c r="N68" s="622"/>
    </row>
    <row r="69" spans="2:14" ht="15" customHeight="1">
      <c r="B69" s="332"/>
      <c r="C69" s="615"/>
      <c r="D69" s="616"/>
      <c r="E69" s="616"/>
      <c r="F69" s="616"/>
      <c r="G69" s="616"/>
      <c r="H69" s="333"/>
      <c r="I69" s="617"/>
      <c r="J69" s="618"/>
      <c r="K69" s="619"/>
      <c r="L69" s="620"/>
      <c r="M69" s="621"/>
      <c r="N69" s="622"/>
    </row>
    <row r="70" spans="2:14" ht="15" customHeight="1">
      <c r="B70" s="332"/>
      <c r="C70" s="615"/>
      <c r="D70" s="616"/>
      <c r="E70" s="616"/>
      <c r="F70" s="616"/>
      <c r="G70" s="616"/>
      <c r="H70" s="333"/>
      <c r="I70" s="617"/>
      <c r="J70" s="618"/>
      <c r="K70" s="619"/>
      <c r="L70" s="620"/>
      <c r="M70" s="621"/>
      <c r="N70" s="622"/>
    </row>
    <row r="71" spans="2:14" ht="15" customHeight="1">
      <c r="B71" s="332"/>
      <c r="C71" s="615"/>
      <c r="D71" s="616"/>
      <c r="E71" s="616"/>
      <c r="F71" s="616"/>
      <c r="G71" s="616"/>
      <c r="H71" s="333"/>
      <c r="I71" s="617"/>
      <c r="J71" s="618"/>
      <c r="K71" s="619"/>
      <c r="L71" s="620"/>
      <c r="M71" s="621"/>
      <c r="N71" s="622"/>
    </row>
    <row r="72" spans="2:14">
      <c r="B72" s="332"/>
      <c r="C72" s="615"/>
      <c r="D72" s="616"/>
      <c r="E72" s="616"/>
      <c r="F72" s="616"/>
      <c r="G72" s="616"/>
      <c r="H72" s="333"/>
      <c r="I72" s="617"/>
      <c r="J72" s="618"/>
      <c r="K72" s="619"/>
      <c r="L72" s="620"/>
      <c r="M72" s="621"/>
      <c r="N72" s="622"/>
    </row>
    <row r="73" spans="2:14">
      <c r="B73" s="332"/>
      <c r="C73" s="615"/>
      <c r="D73" s="616"/>
      <c r="E73" s="616"/>
      <c r="F73" s="616"/>
      <c r="G73" s="616"/>
      <c r="H73" s="333"/>
      <c r="I73" s="617"/>
      <c r="J73" s="618"/>
      <c r="K73" s="619"/>
      <c r="L73" s="620"/>
      <c r="M73" s="621"/>
      <c r="N73" s="622"/>
    </row>
    <row r="74" spans="2:14">
      <c r="B74" s="332"/>
      <c r="C74" s="615"/>
      <c r="D74" s="616"/>
      <c r="E74" s="616"/>
      <c r="F74" s="616"/>
      <c r="G74" s="616"/>
      <c r="H74" s="333"/>
      <c r="I74" s="617"/>
      <c r="J74" s="618"/>
      <c r="K74" s="619"/>
      <c r="L74" s="620"/>
      <c r="M74" s="621"/>
      <c r="N74" s="622"/>
    </row>
    <row r="75" spans="2:14">
      <c r="B75" s="332"/>
      <c r="C75" s="615"/>
      <c r="D75" s="616"/>
      <c r="E75" s="616"/>
      <c r="F75" s="616"/>
      <c r="G75" s="616"/>
      <c r="H75" s="333"/>
      <c r="I75" s="617"/>
      <c r="J75" s="618"/>
      <c r="K75" s="619"/>
      <c r="L75" s="620"/>
      <c r="M75" s="621"/>
      <c r="N75" s="622"/>
    </row>
    <row r="76" spans="2:14">
      <c r="B76" s="332"/>
      <c r="C76" s="615"/>
      <c r="D76" s="616"/>
      <c r="E76" s="616"/>
      <c r="F76" s="616"/>
      <c r="G76" s="616"/>
      <c r="H76" s="333"/>
      <c r="I76" s="617"/>
      <c r="J76" s="618"/>
      <c r="K76" s="619"/>
      <c r="L76" s="620"/>
      <c r="M76" s="621"/>
      <c r="N76" s="622"/>
    </row>
    <row r="77" spans="2:14">
      <c r="B77" s="332"/>
      <c r="C77" s="615"/>
      <c r="D77" s="616"/>
      <c r="E77" s="616"/>
      <c r="F77" s="616"/>
      <c r="G77" s="616"/>
      <c r="H77" s="333"/>
      <c r="I77" s="617"/>
      <c r="J77" s="618"/>
      <c r="K77" s="619"/>
      <c r="L77" s="620"/>
      <c r="M77" s="621"/>
      <c r="N77" s="622"/>
    </row>
    <row r="78" spans="2:14">
      <c r="B78" s="332"/>
      <c r="C78" s="615"/>
      <c r="D78" s="616"/>
      <c r="E78" s="616"/>
      <c r="F78" s="616"/>
      <c r="G78" s="616"/>
      <c r="H78" s="333"/>
      <c r="I78" s="617"/>
      <c r="J78" s="618"/>
      <c r="K78" s="619"/>
      <c r="L78" s="620"/>
      <c r="M78" s="621"/>
      <c r="N78" s="622"/>
    </row>
    <row r="79" spans="2:14" ht="13.5" thickBot="1">
      <c r="B79" s="334"/>
      <c r="C79" s="623"/>
      <c r="D79" s="624"/>
      <c r="E79" s="624"/>
      <c r="F79" s="624"/>
      <c r="G79" s="624"/>
      <c r="H79" s="335"/>
      <c r="I79" s="625"/>
      <c r="J79" s="626"/>
      <c r="K79" s="627"/>
      <c r="L79" s="628"/>
      <c r="M79" s="629"/>
      <c r="N79" s="630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11" transitionEvaluation="1"/>
  <dimension ref="A1:Y121"/>
  <sheetViews>
    <sheetView showGridLines="0" topLeftCell="A11" zoomScale="90" workbookViewId="0">
      <selection activeCell="C18" sqref="C18"/>
    </sheetView>
  </sheetViews>
  <sheetFormatPr defaultColWidth="10.85546875" defaultRowHeight="15.75"/>
  <cols>
    <col min="1" max="2" width="6" style="429" customWidth="1"/>
    <col min="3" max="3" width="7.5703125" style="429" customWidth="1"/>
    <col min="4" max="13" width="6" style="429" customWidth="1"/>
    <col min="14" max="14" width="6.28515625" style="429" customWidth="1"/>
    <col min="15" max="256" width="10.85546875" style="429"/>
    <col min="257" max="258" width="6" style="429" customWidth="1"/>
    <col min="259" max="259" width="7.5703125" style="429" customWidth="1"/>
    <col min="260" max="269" width="6" style="429" customWidth="1"/>
    <col min="270" max="270" width="6.28515625" style="429" customWidth="1"/>
    <col min="271" max="512" width="10.85546875" style="429"/>
    <col min="513" max="514" width="6" style="429" customWidth="1"/>
    <col min="515" max="515" width="7.5703125" style="429" customWidth="1"/>
    <col min="516" max="525" width="6" style="429" customWidth="1"/>
    <col min="526" max="526" width="6.28515625" style="429" customWidth="1"/>
    <col min="527" max="768" width="10.85546875" style="429"/>
    <col min="769" max="770" width="6" style="429" customWidth="1"/>
    <col min="771" max="771" width="7.5703125" style="429" customWidth="1"/>
    <col min="772" max="781" width="6" style="429" customWidth="1"/>
    <col min="782" max="782" width="6.28515625" style="429" customWidth="1"/>
    <col min="783" max="1024" width="10.85546875" style="429"/>
    <col min="1025" max="1026" width="6" style="429" customWidth="1"/>
    <col min="1027" max="1027" width="7.5703125" style="429" customWidth="1"/>
    <col min="1028" max="1037" width="6" style="429" customWidth="1"/>
    <col min="1038" max="1038" width="6.28515625" style="429" customWidth="1"/>
    <col min="1039" max="1280" width="10.85546875" style="429"/>
    <col min="1281" max="1282" width="6" style="429" customWidth="1"/>
    <col min="1283" max="1283" width="7.5703125" style="429" customWidth="1"/>
    <col min="1284" max="1293" width="6" style="429" customWidth="1"/>
    <col min="1294" max="1294" width="6.28515625" style="429" customWidth="1"/>
    <col min="1295" max="1536" width="10.85546875" style="429"/>
    <col min="1537" max="1538" width="6" style="429" customWidth="1"/>
    <col min="1539" max="1539" width="7.5703125" style="429" customWidth="1"/>
    <col min="1540" max="1549" width="6" style="429" customWidth="1"/>
    <col min="1550" max="1550" width="6.28515625" style="429" customWidth="1"/>
    <col min="1551" max="1792" width="10.85546875" style="429"/>
    <col min="1793" max="1794" width="6" style="429" customWidth="1"/>
    <col min="1795" max="1795" width="7.5703125" style="429" customWidth="1"/>
    <col min="1796" max="1805" width="6" style="429" customWidth="1"/>
    <col min="1806" max="1806" width="6.28515625" style="429" customWidth="1"/>
    <col min="1807" max="2048" width="10.85546875" style="429"/>
    <col min="2049" max="2050" width="6" style="429" customWidth="1"/>
    <col min="2051" max="2051" width="7.5703125" style="429" customWidth="1"/>
    <col min="2052" max="2061" width="6" style="429" customWidth="1"/>
    <col min="2062" max="2062" width="6.28515625" style="429" customWidth="1"/>
    <col min="2063" max="2304" width="10.85546875" style="429"/>
    <col min="2305" max="2306" width="6" style="429" customWidth="1"/>
    <col min="2307" max="2307" width="7.5703125" style="429" customWidth="1"/>
    <col min="2308" max="2317" width="6" style="429" customWidth="1"/>
    <col min="2318" max="2318" width="6.28515625" style="429" customWidth="1"/>
    <col min="2319" max="2560" width="10.85546875" style="429"/>
    <col min="2561" max="2562" width="6" style="429" customWidth="1"/>
    <col min="2563" max="2563" width="7.5703125" style="429" customWidth="1"/>
    <col min="2564" max="2573" width="6" style="429" customWidth="1"/>
    <col min="2574" max="2574" width="6.28515625" style="429" customWidth="1"/>
    <col min="2575" max="2816" width="10.85546875" style="429"/>
    <col min="2817" max="2818" width="6" style="429" customWidth="1"/>
    <col min="2819" max="2819" width="7.5703125" style="429" customWidth="1"/>
    <col min="2820" max="2829" width="6" style="429" customWidth="1"/>
    <col min="2830" max="2830" width="6.28515625" style="429" customWidth="1"/>
    <col min="2831" max="3072" width="10.85546875" style="429"/>
    <col min="3073" max="3074" width="6" style="429" customWidth="1"/>
    <col min="3075" max="3075" width="7.5703125" style="429" customWidth="1"/>
    <col min="3076" max="3085" width="6" style="429" customWidth="1"/>
    <col min="3086" max="3086" width="6.28515625" style="429" customWidth="1"/>
    <col min="3087" max="3328" width="10.85546875" style="429"/>
    <col min="3329" max="3330" width="6" style="429" customWidth="1"/>
    <col min="3331" max="3331" width="7.5703125" style="429" customWidth="1"/>
    <col min="3332" max="3341" width="6" style="429" customWidth="1"/>
    <col min="3342" max="3342" width="6.28515625" style="429" customWidth="1"/>
    <col min="3343" max="3584" width="10.85546875" style="429"/>
    <col min="3585" max="3586" width="6" style="429" customWidth="1"/>
    <col min="3587" max="3587" width="7.5703125" style="429" customWidth="1"/>
    <col min="3588" max="3597" width="6" style="429" customWidth="1"/>
    <col min="3598" max="3598" width="6.28515625" style="429" customWidth="1"/>
    <col min="3599" max="3840" width="10.85546875" style="429"/>
    <col min="3841" max="3842" width="6" style="429" customWidth="1"/>
    <col min="3843" max="3843" width="7.5703125" style="429" customWidth="1"/>
    <col min="3844" max="3853" width="6" style="429" customWidth="1"/>
    <col min="3854" max="3854" width="6.28515625" style="429" customWidth="1"/>
    <col min="3855" max="4096" width="10.85546875" style="429"/>
    <col min="4097" max="4098" width="6" style="429" customWidth="1"/>
    <col min="4099" max="4099" width="7.5703125" style="429" customWidth="1"/>
    <col min="4100" max="4109" width="6" style="429" customWidth="1"/>
    <col min="4110" max="4110" width="6.28515625" style="429" customWidth="1"/>
    <col min="4111" max="4352" width="10.85546875" style="429"/>
    <col min="4353" max="4354" width="6" style="429" customWidth="1"/>
    <col min="4355" max="4355" width="7.5703125" style="429" customWidth="1"/>
    <col min="4356" max="4365" width="6" style="429" customWidth="1"/>
    <col min="4366" max="4366" width="6.28515625" style="429" customWidth="1"/>
    <col min="4367" max="4608" width="10.85546875" style="429"/>
    <col min="4609" max="4610" width="6" style="429" customWidth="1"/>
    <col min="4611" max="4611" width="7.5703125" style="429" customWidth="1"/>
    <col min="4612" max="4621" width="6" style="429" customWidth="1"/>
    <col min="4622" max="4622" width="6.28515625" style="429" customWidth="1"/>
    <col min="4623" max="4864" width="10.85546875" style="429"/>
    <col min="4865" max="4866" width="6" style="429" customWidth="1"/>
    <col min="4867" max="4867" width="7.5703125" style="429" customWidth="1"/>
    <col min="4868" max="4877" width="6" style="429" customWidth="1"/>
    <col min="4878" max="4878" width="6.28515625" style="429" customWidth="1"/>
    <col min="4879" max="5120" width="10.85546875" style="429"/>
    <col min="5121" max="5122" width="6" style="429" customWidth="1"/>
    <col min="5123" max="5123" width="7.5703125" style="429" customWidth="1"/>
    <col min="5124" max="5133" width="6" style="429" customWidth="1"/>
    <col min="5134" max="5134" width="6.28515625" style="429" customWidth="1"/>
    <col min="5135" max="5376" width="10.85546875" style="429"/>
    <col min="5377" max="5378" width="6" style="429" customWidth="1"/>
    <col min="5379" max="5379" width="7.5703125" style="429" customWidth="1"/>
    <col min="5380" max="5389" width="6" style="429" customWidth="1"/>
    <col min="5390" max="5390" width="6.28515625" style="429" customWidth="1"/>
    <col min="5391" max="5632" width="10.85546875" style="429"/>
    <col min="5633" max="5634" width="6" style="429" customWidth="1"/>
    <col min="5635" max="5635" width="7.5703125" style="429" customWidth="1"/>
    <col min="5636" max="5645" width="6" style="429" customWidth="1"/>
    <col min="5646" max="5646" width="6.28515625" style="429" customWidth="1"/>
    <col min="5647" max="5888" width="10.85546875" style="429"/>
    <col min="5889" max="5890" width="6" style="429" customWidth="1"/>
    <col min="5891" max="5891" width="7.5703125" style="429" customWidth="1"/>
    <col min="5892" max="5901" width="6" style="429" customWidth="1"/>
    <col min="5902" max="5902" width="6.28515625" style="429" customWidth="1"/>
    <col min="5903" max="6144" width="10.85546875" style="429"/>
    <col min="6145" max="6146" width="6" style="429" customWidth="1"/>
    <col min="6147" max="6147" width="7.5703125" style="429" customWidth="1"/>
    <col min="6148" max="6157" width="6" style="429" customWidth="1"/>
    <col min="6158" max="6158" width="6.28515625" style="429" customWidth="1"/>
    <col min="6159" max="6400" width="10.85546875" style="429"/>
    <col min="6401" max="6402" width="6" style="429" customWidth="1"/>
    <col min="6403" max="6403" width="7.5703125" style="429" customWidth="1"/>
    <col min="6404" max="6413" width="6" style="429" customWidth="1"/>
    <col min="6414" max="6414" width="6.28515625" style="429" customWidth="1"/>
    <col min="6415" max="6656" width="10.85546875" style="429"/>
    <col min="6657" max="6658" width="6" style="429" customWidth="1"/>
    <col min="6659" max="6659" width="7.5703125" style="429" customWidth="1"/>
    <col min="6660" max="6669" width="6" style="429" customWidth="1"/>
    <col min="6670" max="6670" width="6.28515625" style="429" customWidth="1"/>
    <col min="6671" max="6912" width="10.85546875" style="429"/>
    <col min="6913" max="6914" width="6" style="429" customWidth="1"/>
    <col min="6915" max="6915" width="7.5703125" style="429" customWidth="1"/>
    <col min="6916" max="6925" width="6" style="429" customWidth="1"/>
    <col min="6926" max="6926" width="6.28515625" style="429" customWidth="1"/>
    <col min="6927" max="7168" width="10.85546875" style="429"/>
    <col min="7169" max="7170" width="6" style="429" customWidth="1"/>
    <col min="7171" max="7171" width="7.5703125" style="429" customWidth="1"/>
    <col min="7172" max="7181" width="6" style="429" customWidth="1"/>
    <col min="7182" max="7182" width="6.28515625" style="429" customWidth="1"/>
    <col min="7183" max="7424" width="10.85546875" style="429"/>
    <col min="7425" max="7426" width="6" style="429" customWidth="1"/>
    <col min="7427" max="7427" width="7.5703125" style="429" customWidth="1"/>
    <col min="7428" max="7437" width="6" style="429" customWidth="1"/>
    <col min="7438" max="7438" width="6.28515625" style="429" customWidth="1"/>
    <col min="7439" max="7680" width="10.85546875" style="429"/>
    <col min="7681" max="7682" width="6" style="429" customWidth="1"/>
    <col min="7683" max="7683" width="7.5703125" style="429" customWidth="1"/>
    <col min="7684" max="7693" width="6" style="429" customWidth="1"/>
    <col min="7694" max="7694" width="6.28515625" style="429" customWidth="1"/>
    <col min="7695" max="7936" width="10.85546875" style="429"/>
    <col min="7937" max="7938" width="6" style="429" customWidth="1"/>
    <col min="7939" max="7939" width="7.5703125" style="429" customWidth="1"/>
    <col min="7940" max="7949" width="6" style="429" customWidth="1"/>
    <col min="7950" max="7950" width="6.28515625" style="429" customWidth="1"/>
    <col min="7951" max="8192" width="10.85546875" style="429"/>
    <col min="8193" max="8194" width="6" style="429" customWidth="1"/>
    <col min="8195" max="8195" width="7.5703125" style="429" customWidth="1"/>
    <col min="8196" max="8205" width="6" style="429" customWidth="1"/>
    <col min="8206" max="8206" width="6.28515625" style="429" customWidth="1"/>
    <col min="8207" max="8448" width="10.85546875" style="429"/>
    <col min="8449" max="8450" width="6" style="429" customWidth="1"/>
    <col min="8451" max="8451" width="7.5703125" style="429" customWidth="1"/>
    <col min="8452" max="8461" width="6" style="429" customWidth="1"/>
    <col min="8462" max="8462" width="6.28515625" style="429" customWidth="1"/>
    <col min="8463" max="8704" width="10.85546875" style="429"/>
    <col min="8705" max="8706" width="6" style="429" customWidth="1"/>
    <col min="8707" max="8707" width="7.5703125" style="429" customWidth="1"/>
    <col min="8708" max="8717" width="6" style="429" customWidth="1"/>
    <col min="8718" max="8718" width="6.28515625" style="429" customWidth="1"/>
    <col min="8719" max="8960" width="10.85546875" style="429"/>
    <col min="8961" max="8962" width="6" style="429" customWidth="1"/>
    <col min="8963" max="8963" width="7.5703125" style="429" customWidth="1"/>
    <col min="8964" max="8973" width="6" style="429" customWidth="1"/>
    <col min="8974" max="8974" width="6.28515625" style="429" customWidth="1"/>
    <col min="8975" max="9216" width="10.85546875" style="429"/>
    <col min="9217" max="9218" width="6" style="429" customWidth="1"/>
    <col min="9219" max="9219" width="7.5703125" style="429" customWidth="1"/>
    <col min="9220" max="9229" width="6" style="429" customWidth="1"/>
    <col min="9230" max="9230" width="6.28515625" style="429" customWidth="1"/>
    <col min="9231" max="9472" width="10.85546875" style="429"/>
    <col min="9473" max="9474" width="6" style="429" customWidth="1"/>
    <col min="9475" max="9475" width="7.5703125" style="429" customWidth="1"/>
    <col min="9476" max="9485" width="6" style="429" customWidth="1"/>
    <col min="9486" max="9486" width="6.28515625" style="429" customWidth="1"/>
    <col min="9487" max="9728" width="10.85546875" style="429"/>
    <col min="9729" max="9730" width="6" style="429" customWidth="1"/>
    <col min="9731" max="9731" width="7.5703125" style="429" customWidth="1"/>
    <col min="9732" max="9741" width="6" style="429" customWidth="1"/>
    <col min="9742" max="9742" width="6.28515625" style="429" customWidth="1"/>
    <col min="9743" max="9984" width="10.85546875" style="429"/>
    <col min="9985" max="9986" width="6" style="429" customWidth="1"/>
    <col min="9987" max="9987" width="7.5703125" style="429" customWidth="1"/>
    <col min="9988" max="9997" width="6" style="429" customWidth="1"/>
    <col min="9998" max="9998" width="6.28515625" style="429" customWidth="1"/>
    <col min="9999" max="10240" width="10.85546875" style="429"/>
    <col min="10241" max="10242" width="6" style="429" customWidth="1"/>
    <col min="10243" max="10243" width="7.5703125" style="429" customWidth="1"/>
    <col min="10244" max="10253" width="6" style="429" customWidth="1"/>
    <col min="10254" max="10254" width="6.28515625" style="429" customWidth="1"/>
    <col min="10255" max="10496" width="10.85546875" style="429"/>
    <col min="10497" max="10498" width="6" style="429" customWidth="1"/>
    <col min="10499" max="10499" width="7.5703125" style="429" customWidth="1"/>
    <col min="10500" max="10509" width="6" style="429" customWidth="1"/>
    <col min="10510" max="10510" width="6.28515625" style="429" customWidth="1"/>
    <col min="10511" max="10752" width="10.85546875" style="429"/>
    <col min="10753" max="10754" width="6" style="429" customWidth="1"/>
    <col min="10755" max="10755" width="7.5703125" style="429" customWidth="1"/>
    <col min="10756" max="10765" width="6" style="429" customWidth="1"/>
    <col min="10766" max="10766" width="6.28515625" style="429" customWidth="1"/>
    <col min="10767" max="11008" width="10.85546875" style="429"/>
    <col min="11009" max="11010" width="6" style="429" customWidth="1"/>
    <col min="11011" max="11011" width="7.5703125" style="429" customWidth="1"/>
    <col min="11012" max="11021" width="6" style="429" customWidth="1"/>
    <col min="11022" max="11022" width="6.28515625" style="429" customWidth="1"/>
    <col min="11023" max="11264" width="10.85546875" style="429"/>
    <col min="11265" max="11266" width="6" style="429" customWidth="1"/>
    <col min="11267" max="11267" width="7.5703125" style="429" customWidth="1"/>
    <col min="11268" max="11277" width="6" style="429" customWidth="1"/>
    <col min="11278" max="11278" width="6.28515625" style="429" customWidth="1"/>
    <col min="11279" max="11520" width="10.85546875" style="429"/>
    <col min="11521" max="11522" width="6" style="429" customWidth="1"/>
    <col min="11523" max="11523" width="7.5703125" style="429" customWidth="1"/>
    <col min="11524" max="11533" width="6" style="429" customWidth="1"/>
    <col min="11534" max="11534" width="6.28515625" style="429" customWidth="1"/>
    <col min="11535" max="11776" width="10.85546875" style="429"/>
    <col min="11777" max="11778" width="6" style="429" customWidth="1"/>
    <col min="11779" max="11779" width="7.5703125" style="429" customWidth="1"/>
    <col min="11780" max="11789" width="6" style="429" customWidth="1"/>
    <col min="11790" max="11790" width="6.28515625" style="429" customWidth="1"/>
    <col min="11791" max="12032" width="10.85546875" style="429"/>
    <col min="12033" max="12034" width="6" style="429" customWidth="1"/>
    <col min="12035" max="12035" width="7.5703125" style="429" customWidth="1"/>
    <col min="12036" max="12045" width="6" style="429" customWidth="1"/>
    <col min="12046" max="12046" width="6.28515625" style="429" customWidth="1"/>
    <col min="12047" max="12288" width="10.85546875" style="429"/>
    <col min="12289" max="12290" width="6" style="429" customWidth="1"/>
    <col min="12291" max="12291" width="7.5703125" style="429" customWidth="1"/>
    <col min="12292" max="12301" width="6" style="429" customWidth="1"/>
    <col min="12302" max="12302" width="6.28515625" style="429" customWidth="1"/>
    <col min="12303" max="12544" width="10.85546875" style="429"/>
    <col min="12545" max="12546" width="6" style="429" customWidth="1"/>
    <col min="12547" max="12547" width="7.5703125" style="429" customWidth="1"/>
    <col min="12548" max="12557" width="6" style="429" customWidth="1"/>
    <col min="12558" max="12558" width="6.28515625" style="429" customWidth="1"/>
    <col min="12559" max="12800" width="10.85546875" style="429"/>
    <col min="12801" max="12802" width="6" style="429" customWidth="1"/>
    <col min="12803" max="12803" width="7.5703125" style="429" customWidth="1"/>
    <col min="12804" max="12813" width="6" style="429" customWidth="1"/>
    <col min="12814" max="12814" width="6.28515625" style="429" customWidth="1"/>
    <col min="12815" max="13056" width="10.85546875" style="429"/>
    <col min="13057" max="13058" width="6" style="429" customWidth="1"/>
    <col min="13059" max="13059" width="7.5703125" style="429" customWidth="1"/>
    <col min="13060" max="13069" width="6" style="429" customWidth="1"/>
    <col min="13070" max="13070" width="6.28515625" style="429" customWidth="1"/>
    <col min="13071" max="13312" width="10.85546875" style="429"/>
    <col min="13313" max="13314" width="6" style="429" customWidth="1"/>
    <col min="13315" max="13315" width="7.5703125" style="429" customWidth="1"/>
    <col min="13316" max="13325" width="6" style="429" customWidth="1"/>
    <col min="13326" max="13326" width="6.28515625" style="429" customWidth="1"/>
    <col min="13327" max="13568" width="10.85546875" style="429"/>
    <col min="13569" max="13570" width="6" style="429" customWidth="1"/>
    <col min="13571" max="13571" width="7.5703125" style="429" customWidth="1"/>
    <col min="13572" max="13581" width="6" style="429" customWidth="1"/>
    <col min="13582" max="13582" width="6.28515625" style="429" customWidth="1"/>
    <col min="13583" max="13824" width="10.85546875" style="429"/>
    <col min="13825" max="13826" width="6" style="429" customWidth="1"/>
    <col min="13827" max="13827" width="7.5703125" style="429" customWidth="1"/>
    <col min="13828" max="13837" width="6" style="429" customWidth="1"/>
    <col min="13838" max="13838" width="6.28515625" style="429" customWidth="1"/>
    <col min="13839" max="14080" width="10.85546875" style="429"/>
    <col min="14081" max="14082" width="6" style="429" customWidth="1"/>
    <col min="14083" max="14083" width="7.5703125" style="429" customWidth="1"/>
    <col min="14084" max="14093" width="6" style="429" customWidth="1"/>
    <col min="14094" max="14094" width="6.28515625" style="429" customWidth="1"/>
    <col min="14095" max="14336" width="10.85546875" style="429"/>
    <col min="14337" max="14338" width="6" style="429" customWidth="1"/>
    <col min="14339" max="14339" width="7.5703125" style="429" customWidth="1"/>
    <col min="14340" max="14349" width="6" style="429" customWidth="1"/>
    <col min="14350" max="14350" width="6.28515625" style="429" customWidth="1"/>
    <col min="14351" max="14592" width="10.85546875" style="429"/>
    <col min="14593" max="14594" width="6" style="429" customWidth="1"/>
    <col min="14595" max="14595" width="7.5703125" style="429" customWidth="1"/>
    <col min="14596" max="14605" width="6" style="429" customWidth="1"/>
    <col min="14606" max="14606" width="6.28515625" style="429" customWidth="1"/>
    <col min="14607" max="14848" width="10.85546875" style="429"/>
    <col min="14849" max="14850" width="6" style="429" customWidth="1"/>
    <col min="14851" max="14851" width="7.5703125" style="429" customWidth="1"/>
    <col min="14852" max="14861" width="6" style="429" customWidth="1"/>
    <col min="14862" max="14862" width="6.28515625" style="429" customWidth="1"/>
    <col min="14863" max="15104" width="10.85546875" style="429"/>
    <col min="15105" max="15106" width="6" style="429" customWidth="1"/>
    <col min="15107" max="15107" width="7.5703125" style="429" customWidth="1"/>
    <col min="15108" max="15117" width="6" style="429" customWidth="1"/>
    <col min="15118" max="15118" width="6.28515625" style="429" customWidth="1"/>
    <col min="15119" max="15360" width="10.85546875" style="429"/>
    <col min="15361" max="15362" width="6" style="429" customWidth="1"/>
    <col min="15363" max="15363" width="7.5703125" style="429" customWidth="1"/>
    <col min="15364" max="15373" width="6" style="429" customWidth="1"/>
    <col min="15374" max="15374" width="6.28515625" style="429" customWidth="1"/>
    <col min="15375" max="15616" width="10.85546875" style="429"/>
    <col min="15617" max="15618" width="6" style="429" customWidth="1"/>
    <col min="15619" max="15619" width="7.5703125" style="429" customWidth="1"/>
    <col min="15620" max="15629" width="6" style="429" customWidth="1"/>
    <col min="15630" max="15630" width="6.28515625" style="429" customWidth="1"/>
    <col min="15631" max="15872" width="10.85546875" style="429"/>
    <col min="15873" max="15874" width="6" style="429" customWidth="1"/>
    <col min="15875" max="15875" width="7.5703125" style="429" customWidth="1"/>
    <col min="15876" max="15885" width="6" style="429" customWidth="1"/>
    <col min="15886" max="15886" width="6.28515625" style="429" customWidth="1"/>
    <col min="15887" max="16128" width="10.85546875" style="429"/>
    <col min="16129" max="16130" width="6" style="429" customWidth="1"/>
    <col min="16131" max="16131" width="7.5703125" style="429" customWidth="1"/>
    <col min="16132" max="16141" width="6" style="429" customWidth="1"/>
    <col min="16142" max="16142" width="6.28515625" style="429" customWidth="1"/>
    <col min="16143" max="16384" width="10.85546875" style="429"/>
  </cols>
  <sheetData>
    <row r="1" spans="1:25" ht="17.100000000000001" customHeight="1">
      <c r="A1" s="422" t="s">
        <v>250</v>
      </c>
      <c r="B1" s="423"/>
      <c r="C1" s="423"/>
      <c r="D1" s="423"/>
      <c r="E1" s="423"/>
      <c r="F1" s="423"/>
      <c r="G1" s="423"/>
      <c r="H1" s="423"/>
      <c r="I1" s="423"/>
      <c r="J1" s="424" t="s">
        <v>636</v>
      </c>
      <c r="K1" s="425"/>
      <c r="L1" s="426" t="s">
        <v>637</v>
      </c>
      <c r="M1" s="427"/>
      <c r="N1" s="428"/>
    </row>
    <row r="2" spans="1:25" ht="17.100000000000001" customHeight="1">
      <c r="A2" s="430" t="s">
        <v>638</v>
      </c>
      <c r="B2" s="431"/>
      <c r="C2" s="431"/>
      <c r="D2" s="431"/>
      <c r="E2" s="431"/>
      <c r="F2" s="431"/>
      <c r="G2" s="431"/>
      <c r="H2" s="431"/>
      <c r="I2" s="431"/>
      <c r="J2" s="432" t="s">
        <v>639</v>
      </c>
      <c r="K2" s="433"/>
      <c r="L2" s="434" t="s">
        <v>640</v>
      </c>
      <c r="M2" s="435"/>
      <c r="N2" s="428"/>
    </row>
    <row r="3" spans="1:25" ht="15.95" customHeight="1">
      <c r="A3" s="436"/>
      <c r="B3" s="437"/>
      <c r="C3" s="437"/>
      <c r="D3" s="437"/>
      <c r="E3" s="437"/>
      <c r="F3" s="437"/>
      <c r="G3" s="437"/>
      <c r="H3" s="437"/>
      <c r="I3" s="437"/>
      <c r="J3" s="432" t="s">
        <v>641</v>
      </c>
      <c r="K3" s="433"/>
      <c r="L3" s="438" t="s">
        <v>642</v>
      </c>
      <c r="M3" s="435"/>
      <c r="N3" s="428"/>
    </row>
    <row r="4" spans="1:25" ht="15.95" customHeight="1">
      <c r="A4" s="439"/>
      <c r="B4" s="437"/>
      <c r="C4" s="437"/>
      <c r="D4" s="437"/>
      <c r="E4" s="437"/>
      <c r="F4" s="437"/>
      <c r="G4" s="437"/>
      <c r="H4" s="437"/>
      <c r="I4" s="437"/>
      <c r="J4" s="432" t="s">
        <v>643</v>
      </c>
      <c r="K4" s="433"/>
      <c r="L4" s="438" t="s">
        <v>644</v>
      </c>
      <c r="M4" s="435"/>
      <c r="N4" s="428"/>
    </row>
    <row r="5" spans="1:25" ht="15.95" customHeight="1">
      <c r="A5" s="436"/>
      <c r="B5" s="437"/>
      <c r="C5" s="437"/>
      <c r="D5" s="437"/>
      <c r="E5" s="437"/>
      <c r="F5" s="437"/>
      <c r="G5" s="437"/>
      <c r="H5" s="437"/>
      <c r="I5" s="437"/>
      <c r="J5" s="432" t="s">
        <v>645</v>
      </c>
      <c r="K5" s="433"/>
      <c r="L5" s="434">
        <v>2</v>
      </c>
      <c r="M5" s="435"/>
      <c r="N5" s="428"/>
    </row>
    <row r="6" spans="1:25" ht="15.95" customHeight="1">
      <c r="A6" s="440" t="s">
        <v>646</v>
      </c>
      <c r="B6" s="437"/>
      <c r="C6" s="437"/>
      <c r="D6" s="437"/>
      <c r="E6" s="437"/>
      <c r="F6" s="437"/>
      <c r="G6" s="437"/>
      <c r="H6" s="437"/>
      <c r="I6" s="437"/>
      <c r="J6" s="432" t="s">
        <v>647</v>
      </c>
      <c r="K6" s="433"/>
      <c r="L6" s="434" t="s">
        <v>648</v>
      </c>
      <c r="M6" s="435"/>
      <c r="N6" s="428"/>
    </row>
    <row r="7" spans="1:25" ht="15.95" customHeight="1" thickBot="1">
      <c r="A7" s="441" t="s">
        <v>649</v>
      </c>
      <c r="B7" s="442"/>
      <c r="C7" s="442"/>
      <c r="D7" s="442"/>
      <c r="E7" s="442"/>
      <c r="F7" s="442"/>
      <c r="G7" s="442"/>
      <c r="H7" s="442"/>
      <c r="I7" s="442"/>
      <c r="J7" s="443" t="s">
        <v>650</v>
      </c>
      <c r="K7" s="444"/>
      <c r="L7" s="445" t="s">
        <v>651</v>
      </c>
      <c r="M7" s="446"/>
      <c r="N7" s="428"/>
    </row>
    <row r="8" spans="1:25" ht="15.95" customHeight="1">
      <c r="A8" s="447"/>
      <c r="B8" s="437"/>
      <c r="C8" s="437"/>
      <c r="D8" s="437"/>
      <c r="E8" s="437"/>
      <c r="F8" s="437"/>
      <c r="G8" s="437"/>
      <c r="H8" s="437"/>
      <c r="I8" s="437"/>
      <c r="J8" s="437"/>
      <c r="K8" s="448"/>
      <c r="L8" s="449"/>
      <c r="M8" s="450"/>
      <c r="N8" s="437"/>
    </row>
    <row r="9" spans="1:25" ht="12" customHeight="1">
      <c r="A9" s="451"/>
      <c r="B9" s="452" t="s">
        <v>652</v>
      </c>
      <c r="C9" s="453"/>
      <c r="D9" s="454"/>
      <c r="E9" s="454"/>
      <c r="F9" s="454"/>
      <c r="G9" s="454"/>
      <c r="H9" s="454"/>
      <c r="I9" s="454"/>
      <c r="J9" s="454"/>
      <c r="K9" s="455"/>
      <c r="L9" s="451"/>
      <c r="M9" s="454"/>
      <c r="N9" s="437"/>
    </row>
    <row r="10" spans="1:25" ht="12" customHeight="1">
      <c r="A10" s="451"/>
      <c r="B10" s="452" t="s">
        <v>653</v>
      </c>
      <c r="C10" s="456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49"/>
      <c r="Q10"/>
      <c r="R10"/>
      <c r="S10"/>
      <c r="T10"/>
      <c r="U10"/>
      <c r="V10"/>
      <c r="W10"/>
      <c r="X10"/>
      <c r="Y10"/>
    </row>
    <row r="11" spans="1:25" ht="16.5" thickBot="1">
      <c r="A11" s="449"/>
      <c r="B11" s="449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49"/>
      <c r="N11" s="449"/>
      <c r="Q11"/>
      <c r="R11"/>
      <c r="S11"/>
      <c r="T11"/>
      <c r="U11"/>
      <c r="V11"/>
      <c r="W11"/>
      <c r="X11"/>
      <c r="Y11"/>
    </row>
    <row r="12" spans="1:25" ht="20.100000000000001" customHeight="1" thickBot="1">
      <c r="A12" s="457" t="s">
        <v>654</v>
      </c>
      <c r="B12" s="458"/>
      <c r="C12" s="458"/>
      <c r="D12" s="458"/>
      <c r="E12" s="458"/>
      <c r="F12" s="458"/>
      <c r="G12" s="458"/>
      <c r="H12" s="458"/>
      <c r="I12" s="458"/>
      <c r="J12" s="458"/>
      <c r="K12" s="458"/>
      <c r="L12" s="458"/>
      <c r="M12" s="459"/>
      <c r="N12" s="428"/>
      <c r="Q12"/>
      <c r="R12"/>
      <c r="S12"/>
      <c r="T12"/>
      <c r="U12"/>
      <c r="V12"/>
      <c r="W12"/>
      <c r="X12"/>
      <c r="Y12"/>
    </row>
    <row r="13" spans="1:25" ht="12.95" customHeight="1" thickTop="1">
      <c r="A13" s="460"/>
      <c r="B13" s="452" t="s">
        <v>655</v>
      </c>
      <c r="C13" s="461">
        <v>900</v>
      </c>
      <c r="D13" s="451"/>
      <c r="E13" s="452" t="s">
        <v>656</v>
      </c>
      <c r="F13" s="461">
        <v>4000</v>
      </c>
      <c r="G13" s="451"/>
      <c r="H13" s="452" t="s">
        <v>657</v>
      </c>
      <c r="I13" s="461" t="s">
        <v>658</v>
      </c>
      <c r="J13" s="451"/>
      <c r="K13" s="451"/>
      <c r="L13" s="452" t="s">
        <v>659</v>
      </c>
      <c r="M13" s="462">
        <v>3600</v>
      </c>
      <c r="N13" s="428"/>
      <c r="Q13"/>
      <c r="R13"/>
      <c r="S13"/>
      <c r="T13"/>
      <c r="U13"/>
      <c r="V13"/>
      <c r="W13"/>
      <c r="X13"/>
      <c r="Y13"/>
    </row>
    <row r="14" spans="1:25" ht="12.95" customHeight="1">
      <c r="A14" s="460"/>
      <c r="B14" s="452" t="s">
        <v>660</v>
      </c>
      <c r="C14" s="461" t="s">
        <v>177</v>
      </c>
      <c r="D14" s="451"/>
      <c r="E14" s="452" t="s">
        <v>661</v>
      </c>
      <c r="F14" s="461" t="s">
        <v>662</v>
      </c>
      <c r="G14" s="451"/>
      <c r="H14" s="452" t="s">
        <v>663</v>
      </c>
      <c r="I14" s="461">
        <v>109</v>
      </c>
      <c r="J14" s="451"/>
      <c r="K14" s="451"/>
      <c r="L14" s="452" t="s">
        <v>405</v>
      </c>
      <c r="M14" s="462">
        <v>3580</v>
      </c>
      <c r="N14" s="428"/>
      <c r="Q14"/>
      <c r="R14"/>
      <c r="S14"/>
      <c r="T14"/>
      <c r="U14"/>
      <c r="V14"/>
      <c r="W14"/>
      <c r="X14"/>
      <c r="Y14"/>
    </row>
    <row r="15" spans="1:25" ht="12.95" customHeight="1">
      <c r="A15" s="460"/>
      <c r="B15" s="452" t="s">
        <v>664</v>
      </c>
      <c r="C15" s="461" t="s">
        <v>176</v>
      </c>
      <c r="D15" s="451"/>
      <c r="E15" s="452" t="s">
        <v>665</v>
      </c>
      <c r="F15" s="461">
        <v>1.1499999999999999</v>
      </c>
      <c r="G15" s="451"/>
      <c r="H15" s="463" t="s">
        <v>666</v>
      </c>
      <c r="I15" s="461" t="s">
        <v>174</v>
      </c>
      <c r="J15" s="451"/>
      <c r="K15" s="451"/>
      <c r="L15" s="452" t="s">
        <v>667</v>
      </c>
      <c r="M15" s="462" t="s">
        <v>343</v>
      </c>
      <c r="N15" s="428"/>
      <c r="Q15"/>
      <c r="R15"/>
      <c r="S15"/>
      <c r="T15"/>
      <c r="U15"/>
      <c r="V15"/>
      <c r="W15"/>
      <c r="X15"/>
      <c r="Y15"/>
    </row>
    <row r="16" spans="1:25" ht="12.95" customHeight="1">
      <c r="A16" s="460"/>
      <c r="B16" s="452" t="s">
        <v>668</v>
      </c>
      <c r="C16" s="461" t="s">
        <v>669</v>
      </c>
      <c r="D16" s="451"/>
      <c r="E16" s="452" t="s">
        <v>670</v>
      </c>
      <c r="F16" s="461" t="s">
        <v>460</v>
      </c>
      <c r="G16" s="451"/>
      <c r="H16" s="464" t="s">
        <v>671</v>
      </c>
      <c r="I16" s="465" t="s">
        <v>343</v>
      </c>
      <c r="J16" s="451"/>
      <c r="K16" s="451"/>
      <c r="L16" s="452" t="s">
        <v>672</v>
      </c>
      <c r="M16" s="462" t="s">
        <v>673</v>
      </c>
      <c r="N16" s="428"/>
      <c r="Q16"/>
      <c r="R16"/>
      <c r="S16"/>
      <c r="T16"/>
      <c r="U16"/>
      <c r="V16"/>
      <c r="W16"/>
      <c r="X16"/>
      <c r="Y16"/>
    </row>
    <row r="17" spans="1:25" ht="12.95" customHeight="1">
      <c r="A17" s="460"/>
      <c r="B17" s="452" t="s">
        <v>674</v>
      </c>
      <c r="C17" s="453" t="s">
        <v>745</v>
      </c>
      <c r="D17" s="451"/>
      <c r="E17" s="452"/>
      <c r="F17" s="466"/>
      <c r="G17" s="451"/>
      <c r="H17" s="452" t="s">
        <v>675</v>
      </c>
      <c r="I17" s="465" t="s">
        <v>174</v>
      </c>
      <c r="J17" s="451"/>
      <c r="K17" s="451"/>
      <c r="L17" s="452"/>
      <c r="M17" s="467"/>
      <c r="N17" s="428"/>
      <c r="Q17"/>
      <c r="R17"/>
      <c r="S17"/>
      <c r="T17"/>
      <c r="U17"/>
      <c r="V17"/>
      <c r="W17"/>
      <c r="X17"/>
      <c r="Y17"/>
    </row>
    <row r="18" spans="1:25" ht="12.95" customHeight="1" thickBot="1">
      <c r="A18" s="468"/>
      <c r="B18" s="469" t="s">
        <v>676</v>
      </c>
      <c r="C18" s="470" t="s">
        <v>174</v>
      </c>
      <c r="D18" s="471"/>
      <c r="E18" s="469" t="s">
        <v>677</v>
      </c>
      <c r="F18" s="470" t="s">
        <v>174</v>
      </c>
      <c r="G18" s="472"/>
      <c r="H18" s="469" t="s">
        <v>678</v>
      </c>
      <c r="I18" s="470" t="s">
        <v>174</v>
      </c>
      <c r="J18" s="471"/>
      <c r="K18" s="471"/>
      <c r="L18" s="471"/>
      <c r="M18" s="473"/>
      <c r="N18" s="428"/>
      <c r="Q18"/>
      <c r="R18"/>
      <c r="S18"/>
      <c r="T18"/>
      <c r="U18"/>
      <c r="V18"/>
      <c r="W18"/>
      <c r="X18"/>
      <c r="Y18"/>
    </row>
    <row r="19" spans="1:25" ht="16.5" thickBot="1">
      <c r="A19" s="428"/>
      <c r="B19" s="428"/>
      <c r="C19" s="428"/>
      <c r="D19" s="428"/>
      <c r="E19" s="428"/>
      <c r="F19" s="428"/>
      <c r="G19" s="428"/>
      <c r="H19" s="428"/>
      <c r="I19" s="428"/>
      <c r="J19" s="428"/>
      <c r="K19" s="428"/>
      <c r="L19" s="428"/>
      <c r="M19" s="428"/>
      <c r="N19" s="428"/>
      <c r="Q19"/>
      <c r="R19"/>
      <c r="S19"/>
      <c r="T19"/>
      <c r="U19"/>
      <c r="V19"/>
      <c r="W19"/>
      <c r="X19"/>
      <c r="Y19"/>
    </row>
    <row r="20" spans="1:25" ht="20.100000000000001" customHeight="1" thickBot="1">
      <c r="A20" s="457"/>
      <c r="B20" s="458"/>
      <c r="C20" s="458"/>
      <c r="D20" s="458"/>
      <c r="E20" s="458"/>
      <c r="F20" s="458"/>
      <c r="G20" s="458"/>
      <c r="H20" s="458"/>
      <c r="I20" s="458"/>
      <c r="J20" s="458"/>
      <c r="K20" s="458"/>
      <c r="L20" s="458"/>
      <c r="M20" s="459"/>
      <c r="Q20"/>
      <c r="R20"/>
      <c r="S20"/>
      <c r="T20"/>
      <c r="U20"/>
      <c r="V20"/>
      <c r="W20"/>
      <c r="X20"/>
      <c r="Y20"/>
    </row>
    <row r="21" spans="1:25" ht="15.95" customHeight="1" thickTop="1">
      <c r="A21" s="474" t="s">
        <v>679</v>
      </c>
      <c r="B21" s="475"/>
      <c r="C21" s="449"/>
      <c r="D21" s="476"/>
      <c r="E21" s="477" t="s">
        <v>680</v>
      </c>
      <c r="F21" s="478"/>
      <c r="G21" s="478"/>
      <c r="H21" s="479"/>
      <c r="I21" s="480" t="s">
        <v>681</v>
      </c>
      <c r="J21" s="478"/>
      <c r="K21" s="478"/>
      <c r="L21" s="449"/>
      <c r="M21" s="481"/>
      <c r="Q21"/>
      <c r="R21"/>
      <c r="S21"/>
      <c r="T21"/>
      <c r="U21"/>
      <c r="V21"/>
      <c r="W21"/>
      <c r="X21"/>
      <c r="Y21"/>
    </row>
    <row r="22" spans="1:25" ht="15.95" customHeight="1">
      <c r="A22" s="482"/>
      <c r="B22" s="451"/>
      <c r="C22" s="452" t="s">
        <v>682</v>
      </c>
      <c r="D22" s="483">
        <v>692</v>
      </c>
      <c r="E22" s="452"/>
      <c r="G22" s="464" t="s">
        <v>683</v>
      </c>
      <c r="H22" s="484">
        <v>1322</v>
      </c>
      <c r="I22" s="452"/>
      <c r="J22" s="451"/>
      <c r="K22" s="452" t="s">
        <v>684</v>
      </c>
      <c r="L22" s="646"/>
      <c r="M22" s="647"/>
      <c r="Q22"/>
      <c r="R22"/>
      <c r="S22"/>
      <c r="T22"/>
      <c r="U22"/>
      <c r="V22"/>
      <c r="W22"/>
      <c r="X22"/>
      <c r="Y22"/>
    </row>
    <row r="23" spans="1:25" ht="15.95" customHeight="1">
      <c r="A23" s="482"/>
      <c r="B23" s="452"/>
      <c r="C23" s="455"/>
      <c r="D23" s="485"/>
      <c r="E23" s="452"/>
      <c r="G23" s="452" t="s">
        <v>685</v>
      </c>
      <c r="H23" s="483">
        <v>75</v>
      </c>
      <c r="I23" s="451"/>
      <c r="J23" s="451"/>
      <c r="K23" s="452" t="s">
        <v>686</v>
      </c>
      <c r="L23" s="646"/>
      <c r="M23" s="647"/>
      <c r="Q23"/>
      <c r="R23"/>
      <c r="S23"/>
      <c r="T23"/>
      <c r="U23"/>
      <c r="V23"/>
      <c r="W23"/>
      <c r="X23"/>
      <c r="Y23"/>
    </row>
    <row r="24" spans="1:25" ht="15.95" customHeight="1">
      <c r="A24" s="460"/>
      <c r="B24" s="452"/>
      <c r="C24" s="451"/>
      <c r="D24" s="485"/>
      <c r="E24" s="452"/>
      <c r="G24" s="464" t="s">
        <v>687</v>
      </c>
      <c r="H24" s="483">
        <v>275</v>
      </c>
      <c r="I24" s="451"/>
      <c r="J24" s="452"/>
      <c r="K24" s="451"/>
      <c r="L24" s="451"/>
      <c r="M24" s="467"/>
      <c r="Q24"/>
      <c r="R24"/>
      <c r="S24"/>
      <c r="T24"/>
      <c r="U24"/>
      <c r="V24"/>
      <c r="W24"/>
      <c r="X24"/>
      <c r="Y24"/>
    </row>
    <row r="25" spans="1:25" ht="15.95" customHeight="1" thickBot="1">
      <c r="A25" s="468"/>
      <c r="B25" s="469"/>
      <c r="C25" s="471"/>
      <c r="D25" s="486"/>
      <c r="E25" s="469"/>
      <c r="F25" s="469"/>
      <c r="G25" s="469"/>
      <c r="H25" s="487"/>
      <c r="I25" s="471"/>
      <c r="J25" s="469"/>
      <c r="K25" s="471"/>
      <c r="L25" s="471"/>
      <c r="M25" s="473"/>
      <c r="Q25"/>
      <c r="R25"/>
      <c r="S25"/>
      <c r="T25"/>
      <c r="U25"/>
      <c r="V25"/>
      <c r="W25"/>
      <c r="X25"/>
      <c r="Y25"/>
    </row>
    <row r="26" spans="1:25" ht="18.95" customHeight="1" thickBot="1">
      <c r="A26" s="447"/>
      <c r="B26" s="447"/>
      <c r="C26" s="447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Q26"/>
      <c r="R26"/>
      <c r="S26"/>
      <c r="T26"/>
      <c r="U26"/>
      <c r="V26"/>
      <c r="W26"/>
      <c r="X26"/>
      <c r="Y26"/>
    </row>
    <row r="27" spans="1:25" ht="20.100000000000001" customHeight="1" thickBot="1">
      <c r="A27" s="488"/>
      <c r="B27" s="489"/>
      <c r="C27" s="489"/>
      <c r="D27" s="489"/>
      <c r="E27" s="489"/>
      <c r="F27" s="489"/>
      <c r="G27" s="490"/>
      <c r="H27" s="489"/>
      <c r="I27" s="489"/>
      <c r="J27" s="489"/>
      <c r="K27" s="489"/>
      <c r="L27" s="489"/>
      <c r="M27" s="491"/>
    </row>
    <row r="28" spans="1:25" ht="15.95" customHeight="1" thickTop="1">
      <c r="A28" s="492" t="s">
        <v>688</v>
      </c>
      <c r="B28" s="475"/>
      <c r="C28" s="449"/>
      <c r="D28" s="449"/>
      <c r="E28" s="478"/>
      <c r="F28" s="478"/>
      <c r="G28" s="493"/>
      <c r="H28" s="477" t="s">
        <v>689</v>
      </c>
      <c r="I28" s="478"/>
      <c r="J28" s="478"/>
      <c r="K28" s="477"/>
      <c r="L28" s="478"/>
      <c r="M28" s="481"/>
    </row>
    <row r="29" spans="1:25" ht="15.95" customHeight="1">
      <c r="A29" s="460"/>
      <c r="B29" s="452"/>
      <c r="C29" s="452" t="s">
        <v>690</v>
      </c>
      <c r="D29" s="494">
        <v>95.3</v>
      </c>
      <c r="E29" s="452"/>
      <c r="F29" s="452"/>
      <c r="G29" s="493"/>
      <c r="H29" s="464"/>
      <c r="I29" s="452"/>
      <c r="J29" s="452" t="s">
        <v>690</v>
      </c>
      <c r="K29" s="494">
        <v>93.3</v>
      </c>
      <c r="L29" s="451"/>
      <c r="M29" s="467"/>
    </row>
    <row r="30" spans="1:25" ht="15.95" customHeight="1">
      <c r="A30" s="495"/>
      <c r="B30" s="451"/>
      <c r="C30" s="452" t="s">
        <v>691</v>
      </c>
      <c r="D30" s="494">
        <v>94.8</v>
      </c>
      <c r="E30" s="452"/>
      <c r="F30" s="452"/>
      <c r="G30" s="493"/>
      <c r="H30" s="452"/>
      <c r="I30" s="451"/>
      <c r="J30" s="452" t="s">
        <v>691</v>
      </c>
      <c r="K30" s="494">
        <v>92.9</v>
      </c>
      <c r="L30" s="451"/>
      <c r="M30" s="467"/>
    </row>
    <row r="31" spans="1:25" ht="15.95" customHeight="1">
      <c r="A31" s="460"/>
      <c r="B31" s="452"/>
      <c r="C31" s="452" t="s">
        <v>692</v>
      </c>
      <c r="D31" s="494">
        <v>93.6</v>
      </c>
      <c r="E31" s="452"/>
      <c r="F31" s="452"/>
      <c r="G31" s="493"/>
      <c r="H31" s="452"/>
      <c r="I31" s="451"/>
      <c r="J31" s="452" t="s">
        <v>692</v>
      </c>
      <c r="K31" s="494">
        <v>90.7</v>
      </c>
      <c r="L31" s="452"/>
      <c r="M31" s="467"/>
    </row>
    <row r="32" spans="1:25" ht="15.95" customHeight="1" thickBot="1">
      <c r="A32" s="468"/>
      <c r="B32" s="469"/>
      <c r="C32" s="471"/>
      <c r="D32" s="471"/>
      <c r="E32" s="469"/>
      <c r="F32" s="469"/>
      <c r="G32" s="496"/>
      <c r="H32" s="469"/>
      <c r="I32" s="471"/>
      <c r="J32" s="469"/>
      <c r="K32" s="471"/>
      <c r="L32" s="469"/>
      <c r="M32" s="473"/>
    </row>
    <row r="33" spans="1:14" ht="20.100000000000001" customHeight="1" thickBot="1">
      <c r="A33" s="497"/>
      <c r="B33" s="497"/>
      <c r="C33" s="497"/>
      <c r="D33" s="497"/>
      <c r="E33" s="497"/>
      <c r="F33" s="497"/>
      <c r="G33" s="497"/>
      <c r="H33" s="497"/>
      <c r="I33" s="497"/>
      <c r="J33" s="497"/>
      <c r="K33" s="497"/>
      <c r="L33" s="497"/>
      <c r="M33" s="497"/>
      <c r="N33" s="497"/>
    </row>
    <row r="34" spans="1:14" ht="20.100000000000001" customHeight="1" thickBot="1">
      <c r="A34" s="498"/>
      <c r="B34" s="499"/>
      <c r="C34" s="499"/>
      <c r="D34" s="499"/>
      <c r="E34" s="499"/>
      <c r="F34" s="499"/>
      <c r="G34" s="499"/>
      <c r="H34" s="499"/>
      <c r="I34" s="499"/>
      <c r="J34" s="499"/>
      <c r="K34" s="499"/>
      <c r="L34" s="499"/>
      <c r="M34" s="500"/>
    </row>
    <row r="35" spans="1:14" ht="15.95" customHeight="1" thickTop="1">
      <c r="A35" s="501" t="s">
        <v>693</v>
      </c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502"/>
    </row>
    <row r="36" spans="1:14" ht="15.95" customHeight="1">
      <c r="A36" s="495" t="s">
        <v>694</v>
      </c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M36" s="502"/>
    </row>
    <row r="37" spans="1:14" ht="15.95" customHeight="1">
      <c r="A37" s="503" t="s">
        <v>695</v>
      </c>
      <c r="B37" s="504"/>
      <c r="C37" s="504"/>
      <c r="D37" s="504"/>
      <c r="E37" s="504"/>
      <c r="F37" s="504"/>
      <c r="G37" s="504"/>
      <c r="H37" s="504"/>
      <c r="I37" s="504"/>
      <c r="J37" s="504"/>
      <c r="K37" s="504"/>
      <c r="L37" s="504"/>
      <c r="M37" s="505"/>
    </row>
    <row r="38" spans="1:14" ht="15.95" customHeight="1">
      <c r="A38" s="506" t="s">
        <v>696</v>
      </c>
      <c r="B38" s="507"/>
      <c r="C38" s="507"/>
      <c r="D38" s="507"/>
      <c r="E38" s="508"/>
      <c r="F38" s="507"/>
      <c r="G38" s="507"/>
      <c r="H38" s="507"/>
      <c r="I38" s="507"/>
      <c r="J38" s="507"/>
      <c r="K38" s="507"/>
      <c r="L38" s="507"/>
      <c r="M38" s="509"/>
    </row>
    <row r="39" spans="1:14" ht="15.95" customHeight="1">
      <c r="A39" s="510" t="s">
        <v>697</v>
      </c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2"/>
    </row>
    <row r="40" spans="1:14" ht="15.95" customHeight="1" thickBot="1">
      <c r="A40" s="513" t="s">
        <v>698</v>
      </c>
      <c r="B40" s="514"/>
      <c r="C40" s="514"/>
      <c r="D40" s="514"/>
      <c r="E40" s="514"/>
      <c r="F40" s="514"/>
      <c r="G40" s="514"/>
      <c r="H40" s="514"/>
      <c r="I40" s="514"/>
      <c r="J40" s="514"/>
      <c r="K40" s="514"/>
      <c r="L40" s="514"/>
      <c r="M40" s="515"/>
    </row>
    <row r="41" spans="1:14" ht="15.95" customHeight="1">
      <c r="A41" s="516"/>
    </row>
    <row r="42" spans="1:14" ht="15.95" customHeight="1"/>
    <row r="43" spans="1:14" ht="22.5">
      <c r="A43" s="517"/>
      <c r="B43" s="517"/>
      <c r="C43" s="517"/>
      <c r="D43" s="517"/>
      <c r="E43" s="517"/>
      <c r="F43" s="517"/>
      <c r="G43" s="517"/>
      <c r="H43" s="428"/>
      <c r="I43" s="428"/>
      <c r="J43" s="518" t="s">
        <v>699</v>
      </c>
      <c r="K43" s="648" t="s">
        <v>700</v>
      </c>
      <c r="L43" s="648"/>
      <c r="M43" s="648"/>
      <c r="N43" s="517"/>
    </row>
    <row r="44" spans="1:14" ht="7.5" customHeight="1">
      <c r="H44" s="428"/>
      <c r="I44" s="428"/>
      <c r="J44" s="428"/>
      <c r="K44" s="428"/>
      <c r="L44" s="428"/>
      <c r="M44" s="428"/>
    </row>
    <row r="45" spans="1:14" ht="16.5">
      <c r="H45" s="428"/>
      <c r="I45" s="428"/>
      <c r="J45" s="518" t="s">
        <v>701</v>
      </c>
      <c r="K45" s="649">
        <v>43273</v>
      </c>
      <c r="L45" s="649"/>
      <c r="M45" s="649"/>
    </row>
    <row r="60" spans="1:5">
      <c r="A60" s="429" t="s">
        <v>174</v>
      </c>
      <c r="B60" s="429" t="s">
        <v>702</v>
      </c>
      <c r="D60" s="429">
        <v>1</v>
      </c>
      <c r="E60" s="519" t="s">
        <v>174</v>
      </c>
    </row>
    <row r="61" spans="1:5">
      <c r="A61" s="429" t="s">
        <v>662</v>
      </c>
      <c r="B61" s="429" t="s">
        <v>703</v>
      </c>
      <c r="D61" s="429">
        <v>1.1499999999999999</v>
      </c>
      <c r="E61" s="519" t="s">
        <v>347</v>
      </c>
    </row>
    <row r="62" spans="1:5">
      <c r="A62" s="429" t="s">
        <v>704</v>
      </c>
      <c r="B62" s="429" t="s">
        <v>705</v>
      </c>
      <c r="E62" s="519" t="s">
        <v>706</v>
      </c>
    </row>
    <row r="63" spans="1:5">
      <c r="B63" s="429" t="s">
        <v>707</v>
      </c>
    </row>
    <row r="64" spans="1:5">
      <c r="B64" s="429" t="s">
        <v>708</v>
      </c>
    </row>
    <row r="65" spans="2:2">
      <c r="B65" s="429" t="s">
        <v>709</v>
      </c>
    </row>
    <row r="66" spans="2:2">
      <c r="B66" s="429" t="s">
        <v>710</v>
      </c>
    </row>
    <row r="67" spans="2:2">
      <c r="B67" s="429" t="s">
        <v>711</v>
      </c>
    </row>
    <row r="68" spans="2:2">
      <c r="B68" s="429" t="s">
        <v>712</v>
      </c>
    </row>
    <row r="69" spans="2:2">
      <c r="B69" s="429" t="s">
        <v>713</v>
      </c>
    </row>
    <row r="70" spans="2:2">
      <c r="B70" s="429" t="s">
        <v>714</v>
      </c>
    </row>
    <row r="71" spans="2:2">
      <c r="B71" s="429" t="s">
        <v>715</v>
      </c>
    </row>
    <row r="72" spans="2:2">
      <c r="B72" s="429" t="s">
        <v>716</v>
      </c>
    </row>
    <row r="73" spans="2:2">
      <c r="B73" s="429" t="s">
        <v>717</v>
      </c>
    </row>
    <row r="74" spans="2:2">
      <c r="B74" s="429" t="s">
        <v>718</v>
      </c>
    </row>
    <row r="75" spans="2:2">
      <c r="B75" s="429" t="s">
        <v>719</v>
      </c>
    </row>
    <row r="76" spans="2:2">
      <c r="B76" s="429" t="s">
        <v>720</v>
      </c>
    </row>
    <row r="77" spans="2:2">
      <c r="B77" s="429" t="s">
        <v>721</v>
      </c>
    </row>
    <row r="78" spans="2:2">
      <c r="B78" s="429" t="s">
        <v>722</v>
      </c>
    </row>
    <row r="79" spans="2:2">
      <c r="B79" s="429" t="s">
        <v>723</v>
      </c>
    </row>
    <row r="80" spans="2:2">
      <c r="B80" s="429" t="s">
        <v>724</v>
      </c>
    </row>
    <row r="81" spans="2:2">
      <c r="B81" s="429">
        <v>6312</v>
      </c>
    </row>
    <row r="82" spans="2:2">
      <c r="B82" s="429" t="s">
        <v>725</v>
      </c>
    </row>
    <row r="83" spans="2:2">
      <c r="B83" s="429" t="s">
        <v>726</v>
      </c>
    </row>
    <row r="84" spans="2:2">
      <c r="B84" s="429" t="s">
        <v>727</v>
      </c>
    </row>
    <row r="85" spans="2:2">
      <c r="B85" s="429" t="s">
        <v>728</v>
      </c>
    </row>
    <row r="86" spans="2:2">
      <c r="B86" s="429">
        <v>6313</v>
      </c>
    </row>
    <row r="87" spans="2:2">
      <c r="B87" s="429" t="s">
        <v>729</v>
      </c>
    </row>
    <row r="88" spans="2:2">
      <c r="B88" s="429" t="s">
        <v>730</v>
      </c>
    </row>
    <row r="89" spans="2:2">
      <c r="B89" s="429" t="s">
        <v>731</v>
      </c>
    </row>
    <row r="90" spans="2:2">
      <c r="B90" s="429">
        <v>6314</v>
      </c>
    </row>
    <row r="91" spans="2:2">
      <c r="B91" s="429" t="s">
        <v>732</v>
      </c>
    </row>
    <row r="92" spans="2:2">
      <c r="B92" s="429">
        <v>6317</v>
      </c>
    </row>
    <row r="93" spans="2:2">
      <c r="B93" s="429" t="s">
        <v>733</v>
      </c>
    </row>
    <row r="94" spans="2:2">
      <c r="B94" s="429">
        <v>6318</v>
      </c>
    </row>
    <row r="95" spans="2:2">
      <c r="B95" s="429" t="s">
        <v>734</v>
      </c>
    </row>
    <row r="96" spans="2:2">
      <c r="B96" s="429" t="s">
        <v>735</v>
      </c>
    </row>
    <row r="97" spans="2:2">
      <c r="B97" s="429" t="s">
        <v>736</v>
      </c>
    </row>
    <row r="98" spans="2:2">
      <c r="B98" s="429">
        <v>6320</v>
      </c>
    </row>
    <row r="99" spans="2:2">
      <c r="B99" s="429" t="s">
        <v>737</v>
      </c>
    </row>
    <row r="100" spans="2:2">
      <c r="B100" s="429" t="s">
        <v>738</v>
      </c>
    </row>
    <row r="101" spans="2:2">
      <c r="B101" s="429" t="s">
        <v>739</v>
      </c>
    </row>
    <row r="102" spans="2:2">
      <c r="B102" s="429" t="s">
        <v>740</v>
      </c>
    </row>
    <row r="103" spans="2:2">
      <c r="B103" s="429" t="s">
        <v>740</v>
      </c>
    </row>
    <row r="119" spans="2:2">
      <c r="B119" s="429" t="s">
        <v>741</v>
      </c>
    </row>
    <row r="121" spans="2:2">
      <c r="B121" s="429" t="s">
        <v>742</v>
      </c>
    </row>
  </sheetData>
  <mergeCells count="4">
    <mergeCell ref="L22:M22"/>
    <mergeCell ref="L23:M23"/>
    <mergeCell ref="K43:M43"/>
    <mergeCell ref="K45:M45"/>
  </mergeCells>
  <dataValidations count="1">
    <dataValidation type="list" allowBlank="1" showInputMessage="1" showErrorMessage="1" prompt="Choose from list" sqref="L22:L23 JH22:JH23 TD22:TD23 ACZ22:ACZ23 AMV22:AMV23 AWR22:AWR23 BGN22:BGN23 BQJ22:BQJ23 CAF22:CAF23 CKB22:CKB23 CTX22:CTX23 DDT22:DDT23 DNP22:DNP23 DXL22:DXL23 EHH22:EHH23 ERD22:ERD23 FAZ22:FAZ23 FKV22:FKV23 FUR22:FUR23 GEN22:GEN23 GOJ22:GOJ23 GYF22:GYF23 HIB22:HIB23 HRX22:HRX23 IBT22:IBT23 ILP22:ILP23 IVL22:IVL23 JFH22:JFH23 JPD22:JPD23 JYZ22:JYZ23 KIV22:KIV23 KSR22:KSR23 LCN22:LCN23 LMJ22:LMJ23 LWF22:LWF23 MGB22:MGB23 MPX22:MPX23 MZT22:MZT23 NJP22:NJP23 NTL22:NTL23 ODH22:ODH23 OND22:OND23 OWZ22:OWZ23 PGV22:PGV23 PQR22:PQR23 QAN22:QAN23 QKJ22:QKJ23 QUF22:QUF23 REB22:REB23 RNX22:RNX23 RXT22:RXT23 SHP22:SHP23 SRL22:SRL23 TBH22:TBH23 TLD22:TLD23 TUZ22:TUZ23 UEV22:UEV23 UOR22:UOR23 UYN22:UYN23 VIJ22:VIJ23 VSF22:VSF23 WCB22:WCB23 WLX22:WLX23 WVT22:WVT23 L65558:L65559 JH65558:JH65559 TD65558:TD65559 ACZ65558:ACZ65559 AMV65558:AMV65559 AWR65558:AWR65559 BGN65558:BGN65559 BQJ65558:BQJ65559 CAF65558:CAF65559 CKB65558:CKB65559 CTX65558:CTX65559 DDT65558:DDT65559 DNP65558:DNP65559 DXL65558:DXL65559 EHH65558:EHH65559 ERD65558:ERD65559 FAZ65558:FAZ65559 FKV65558:FKV65559 FUR65558:FUR65559 GEN65558:GEN65559 GOJ65558:GOJ65559 GYF65558:GYF65559 HIB65558:HIB65559 HRX65558:HRX65559 IBT65558:IBT65559 ILP65558:ILP65559 IVL65558:IVL65559 JFH65558:JFH65559 JPD65558:JPD65559 JYZ65558:JYZ65559 KIV65558:KIV65559 KSR65558:KSR65559 LCN65558:LCN65559 LMJ65558:LMJ65559 LWF65558:LWF65559 MGB65558:MGB65559 MPX65558:MPX65559 MZT65558:MZT65559 NJP65558:NJP65559 NTL65558:NTL65559 ODH65558:ODH65559 OND65558:OND65559 OWZ65558:OWZ65559 PGV65558:PGV65559 PQR65558:PQR65559 QAN65558:QAN65559 QKJ65558:QKJ65559 QUF65558:QUF65559 REB65558:REB65559 RNX65558:RNX65559 RXT65558:RXT65559 SHP65558:SHP65559 SRL65558:SRL65559 TBH65558:TBH65559 TLD65558:TLD65559 TUZ65558:TUZ65559 UEV65558:UEV65559 UOR65558:UOR65559 UYN65558:UYN65559 VIJ65558:VIJ65559 VSF65558:VSF65559 WCB65558:WCB65559 WLX65558:WLX65559 WVT65558:WVT65559 L131094:L131095 JH131094:JH131095 TD131094:TD131095 ACZ131094:ACZ131095 AMV131094:AMV131095 AWR131094:AWR131095 BGN131094:BGN131095 BQJ131094:BQJ131095 CAF131094:CAF131095 CKB131094:CKB131095 CTX131094:CTX131095 DDT131094:DDT131095 DNP131094:DNP131095 DXL131094:DXL131095 EHH131094:EHH131095 ERD131094:ERD131095 FAZ131094:FAZ131095 FKV131094:FKV131095 FUR131094:FUR131095 GEN131094:GEN131095 GOJ131094:GOJ131095 GYF131094:GYF131095 HIB131094:HIB131095 HRX131094:HRX131095 IBT131094:IBT131095 ILP131094:ILP131095 IVL131094:IVL131095 JFH131094:JFH131095 JPD131094:JPD131095 JYZ131094:JYZ131095 KIV131094:KIV131095 KSR131094:KSR131095 LCN131094:LCN131095 LMJ131094:LMJ131095 LWF131094:LWF131095 MGB131094:MGB131095 MPX131094:MPX131095 MZT131094:MZT131095 NJP131094:NJP131095 NTL131094:NTL131095 ODH131094:ODH131095 OND131094:OND131095 OWZ131094:OWZ131095 PGV131094:PGV131095 PQR131094:PQR131095 QAN131094:QAN131095 QKJ131094:QKJ131095 QUF131094:QUF131095 REB131094:REB131095 RNX131094:RNX131095 RXT131094:RXT131095 SHP131094:SHP131095 SRL131094:SRL131095 TBH131094:TBH131095 TLD131094:TLD131095 TUZ131094:TUZ131095 UEV131094:UEV131095 UOR131094:UOR131095 UYN131094:UYN131095 VIJ131094:VIJ131095 VSF131094:VSF131095 WCB131094:WCB131095 WLX131094:WLX131095 WVT131094:WVT131095 L196630:L196631 JH196630:JH196631 TD196630:TD196631 ACZ196630:ACZ196631 AMV196630:AMV196631 AWR196630:AWR196631 BGN196630:BGN196631 BQJ196630:BQJ196631 CAF196630:CAF196631 CKB196630:CKB196631 CTX196630:CTX196631 DDT196630:DDT196631 DNP196630:DNP196631 DXL196630:DXL196631 EHH196630:EHH196631 ERD196630:ERD196631 FAZ196630:FAZ196631 FKV196630:FKV196631 FUR196630:FUR196631 GEN196630:GEN196631 GOJ196630:GOJ196631 GYF196630:GYF196631 HIB196630:HIB196631 HRX196630:HRX196631 IBT196630:IBT196631 ILP196630:ILP196631 IVL196630:IVL196631 JFH196630:JFH196631 JPD196630:JPD196631 JYZ196630:JYZ196631 KIV196630:KIV196631 KSR196630:KSR196631 LCN196630:LCN196631 LMJ196630:LMJ196631 LWF196630:LWF196631 MGB196630:MGB196631 MPX196630:MPX196631 MZT196630:MZT196631 NJP196630:NJP196631 NTL196630:NTL196631 ODH196630:ODH196631 OND196630:OND196631 OWZ196630:OWZ196631 PGV196630:PGV196631 PQR196630:PQR196631 QAN196630:QAN196631 QKJ196630:QKJ196631 QUF196630:QUF196631 REB196630:REB196631 RNX196630:RNX196631 RXT196630:RXT196631 SHP196630:SHP196631 SRL196630:SRL196631 TBH196630:TBH196631 TLD196630:TLD196631 TUZ196630:TUZ196631 UEV196630:UEV196631 UOR196630:UOR196631 UYN196630:UYN196631 VIJ196630:VIJ196631 VSF196630:VSF196631 WCB196630:WCB196631 WLX196630:WLX196631 WVT196630:WVT196631 L262166:L262167 JH262166:JH262167 TD262166:TD262167 ACZ262166:ACZ262167 AMV262166:AMV262167 AWR262166:AWR262167 BGN262166:BGN262167 BQJ262166:BQJ262167 CAF262166:CAF262167 CKB262166:CKB262167 CTX262166:CTX262167 DDT262166:DDT262167 DNP262166:DNP262167 DXL262166:DXL262167 EHH262166:EHH262167 ERD262166:ERD262167 FAZ262166:FAZ262167 FKV262166:FKV262167 FUR262166:FUR262167 GEN262166:GEN262167 GOJ262166:GOJ262167 GYF262166:GYF262167 HIB262166:HIB262167 HRX262166:HRX262167 IBT262166:IBT262167 ILP262166:ILP262167 IVL262166:IVL262167 JFH262166:JFH262167 JPD262166:JPD262167 JYZ262166:JYZ262167 KIV262166:KIV262167 KSR262166:KSR262167 LCN262166:LCN262167 LMJ262166:LMJ262167 LWF262166:LWF262167 MGB262166:MGB262167 MPX262166:MPX262167 MZT262166:MZT262167 NJP262166:NJP262167 NTL262166:NTL262167 ODH262166:ODH262167 OND262166:OND262167 OWZ262166:OWZ262167 PGV262166:PGV262167 PQR262166:PQR262167 QAN262166:QAN262167 QKJ262166:QKJ262167 QUF262166:QUF262167 REB262166:REB262167 RNX262166:RNX262167 RXT262166:RXT262167 SHP262166:SHP262167 SRL262166:SRL262167 TBH262166:TBH262167 TLD262166:TLD262167 TUZ262166:TUZ262167 UEV262166:UEV262167 UOR262166:UOR262167 UYN262166:UYN262167 VIJ262166:VIJ262167 VSF262166:VSF262167 WCB262166:WCB262167 WLX262166:WLX262167 WVT262166:WVT262167 L327702:L327703 JH327702:JH327703 TD327702:TD327703 ACZ327702:ACZ327703 AMV327702:AMV327703 AWR327702:AWR327703 BGN327702:BGN327703 BQJ327702:BQJ327703 CAF327702:CAF327703 CKB327702:CKB327703 CTX327702:CTX327703 DDT327702:DDT327703 DNP327702:DNP327703 DXL327702:DXL327703 EHH327702:EHH327703 ERD327702:ERD327703 FAZ327702:FAZ327703 FKV327702:FKV327703 FUR327702:FUR327703 GEN327702:GEN327703 GOJ327702:GOJ327703 GYF327702:GYF327703 HIB327702:HIB327703 HRX327702:HRX327703 IBT327702:IBT327703 ILP327702:ILP327703 IVL327702:IVL327703 JFH327702:JFH327703 JPD327702:JPD327703 JYZ327702:JYZ327703 KIV327702:KIV327703 KSR327702:KSR327703 LCN327702:LCN327703 LMJ327702:LMJ327703 LWF327702:LWF327703 MGB327702:MGB327703 MPX327702:MPX327703 MZT327702:MZT327703 NJP327702:NJP327703 NTL327702:NTL327703 ODH327702:ODH327703 OND327702:OND327703 OWZ327702:OWZ327703 PGV327702:PGV327703 PQR327702:PQR327703 QAN327702:QAN327703 QKJ327702:QKJ327703 QUF327702:QUF327703 REB327702:REB327703 RNX327702:RNX327703 RXT327702:RXT327703 SHP327702:SHP327703 SRL327702:SRL327703 TBH327702:TBH327703 TLD327702:TLD327703 TUZ327702:TUZ327703 UEV327702:UEV327703 UOR327702:UOR327703 UYN327702:UYN327703 VIJ327702:VIJ327703 VSF327702:VSF327703 WCB327702:WCB327703 WLX327702:WLX327703 WVT327702:WVT327703 L393238:L393239 JH393238:JH393239 TD393238:TD393239 ACZ393238:ACZ393239 AMV393238:AMV393239 AWR393238:AWR393239 BGN393238:BGN393239 BQJ393238:BQJ393239 CAF393238:CAF393239 CKB393238:CKB393239 CTX393238:CTX393239 DDT393238:DDT393239 DNP393238:DNP393239 DXL393238:DXL393239 EHH393238:EHH393239 ERD393238:ERD393239 FAZ393238:FAZ393239 FKV393238:FKV393239 FUR393238:FUR393239 GEN393238:GEN393239 GOJ393238:GOJ393239 GYF393238:GYF393239 HIB393238:HIB393239 HRX393238:HRX393239 IBT393238:IBT393239 ILP393238:ILP393239 IVL393238:IVL393239 JFH393238:JFH393239 JPD393238:JPD393239 JYZ393238:JYZ393239 KIV393238:KIV393239 KSR393238:KSR393239 LCN393238:LCN393239 LMJ393238:LMJ393239 LWF393238:LWF393239 MGB393238:MGB393239 MPX393238:MPX393239 MZT393238:MZT393239 NJP393238:NJP393239 NTL393238:NTL393239 ODH393238:ODH393239 OND393238:OND393239 OWZ393238:OWZ393239 PGV393238:PGV393239 PQR393238:PQR393239 QAN393238:QAN393239 QKJ393238:QKJ393239 QUF393238:QUF393239 REB393238:REB393239 RNX393238:RNX393239 RXT393238:RXT393239 SHP393238:SHP393239 SRL393238:SRL393239 TBH393238:TBH393239 TLD393238:TLD393239 TUZ393238:TUZ393239 UEV393238:UEV393239 UOR393238:UOR393239 UYN393238:UYN393239 VIJ393238:VIJ393239 VSF393238:VSF393239 WCB393238:WCB393239 WLX393238:WLX393239 WVT393238:WVT393239 L458774:L458775 JH458774:JH458775 TD458774:TD458775 ACZ458774:ACZ458775 AMV458774:AMV458775 AWR458774:AWR458775 BGN458774:BGN458775 BQJ458774:BQJ458775 CAF458774:CAF458775 CKB458774:CKB458775 CTX458774:CTX458775 DDT458774:DDT458775 DNP458774:DNP458775 DXL458774:DXL458775 EHH458774:EHH458775 ERD458774:ERD458775 FAZ458774:FAZ458775 FKV458774:FKV458775 FUR458774:FUR458775 GEN458774:GEN458775 GOJ458774:GOJ458775 GYF458774:GYF458775 HIB458774:HIB458775 HRX458774:HRX458775 IBT458774:IBT458775 ILP458774:ILP458775 IVL458774:IVL458775 JFH458774:JFH458775 JPD458774:JPD458775 JYZ458774:JYZ458775 KIV458774:KIV458775 KSR458774:KSR458775 LCN458774:LCN458775 LMJ458774:LMJ458775 LWF458774:LWF458775 MGB458774:MGB458775 MPX458774:MPX458775 MZT458774:MZT458775 NJP458774:NJP458775 NTL458774:NTL458775 ODH458774:ODH458775 OND458774:OND458775 OWZ458774:OWZ458775 PGV458774:PGV458775 PQR458774:PQR458775 QAN458774:QAN458775 QKJ458774:QKJ458775 QUF458774:QUF458775 REB458774:REB458775 RNX458774:RNX458775 RXT458774:RXT458775 SHP458774:SHP458775 SRL458774:SRL458775 TBH458774:TBH458775 TLD458774:TLD458775 TUZ458774:TUZ458775 UEV458774:UEV458775 UOR458774:UOR458775 UYN458774:UYN458775 VIJ458774:VIJ458775 VSF458774:VSF458775 WCB458774:WCB458775 WLX458774:WLX458775 WVT458774:WVT458775 L524310:L524311 JH524310:JH524311 TD524310:TD524311 ACZ524310:ACZ524311 AMV524310:AMV524311 AWR524310:AWR524311 BGN524310:BGN524311 BQJ524310:BQJ524311 CAF524310:CAF524311 CKB524310:CKB524311 CTX524310:CTX524311 DDT524310:DDT524311 DNP524310:DNP524311 DXL524310:DXL524311 EHH524310:EHH524311 ERD524310:ERD524311 FAZ524310:FAZ524311 FKV524310:FKV524311 FUR524310:FUR524311 GEN524310:GEN524311 GOJ524310:GOJ524311 GYF524310:GYF524311 HIB524310:HIB524311 HRX524310:HRX524311 IBT524310:IBT524311 ILP524310:ILP524311 IVL524310:IVL524311 JFH524310:JFH524311 JPD524310:JPD524311 JYZ524310:JYZ524311 KIV524310:KIV524311 KSR524310:KSR524311 LCN524310:LCN524311 LMJ524310:LMJ524311 LWF524310:LWF524311 MGB524310:MGB524311 MPX524310:MPX524311 MZT524310:MZT524311 NJP524310:NJP524311 NTL524310:NTL524311 ODH524310:ODH524311 OND524310:OND524311 OWZ524310:OWZ524311 PGV524310:PGV524311 PQR524310:PQR524311 QAN524310:QAN524311 QKJ524310:QKJ524311 QUF524310:QUF524311 REB524310:REB524311 RNX524310:RNX524311 RXT524310:RXT524311 SHP524310:SHP524311 SRL524310:SRL524311 TBH524310:TBH524311 TLD524310:TLD524311 TUZ524310:TUZ524311 UEV524310:UEV524311 UOR524310:UOR524311 UYN524310:UYN524311 VIJ524310:VIJ524311 VSF524310:VSF524311 WCB524310:WCB524311 WLX524310:WLX524311 WVT524310:WVT524311 L589846:L589847 JH589846:JH589847 TD589846:TD589847 ACZ589846:ACZ589847 AMV589846:AMV589847 AWR589846:AWR589847 BGN589846:BGN589847 BQJ589846:BQJ589847 CAF589846:CAF589847 CKB589846:CKB589847 CTX589846:CTX589847 DDT589846:DDT589847 DNP589846:DNP589847 DXL589846:DXL589847 EHH589846:EHH589847 ERD589846:ERD589847 FAZ589846:FAZ589847 FKV589846:FKV589847 FUR589846:FUR589847 GEN589846:GEN589847 GOJ589846:GOJ589847 GYF589846:GYF589847 HIB589846:HIB589847 HRX589846:HRX589847 IBT589846:IBT589847 ILP589846:ILP589847 IVL589846:IVL589847 JFH589846:JFH589847 JPD589846:JPD589847 JYZ589846:JYZ589847 KIV589846:KIV589847 KSR589846:KSR589847 LCN589846:LCN589847 LMJ589846:LMJ589847 LWF589846:LWF589847 MGB589846:MGB589847 MPX589846:MPX589847 MZT589846:MZT589847 NJP589846:NJP589847 NTL589846:NTL589847 ODH589846:ODH589847 OND589846:OND589847 OWZ589846:OWZ589847 PGV589846:PGV589847 PQR589846:PQR589847 QAN589846:QAN589847 QKJ589846:QKJ589847 QUF589846:QUF589847 REB589846:REB589847 RNX589846:RNX589847 RXT589846:RXT589847 SHP589846:SHP589847 SRL589846:SRL589847 TBH589846:TBH589847 TLD589846:TLD589847 TUZ589846:TUZ589847 UEV589846:UEV589847 UOR589846:UOR589847 UYN589846:UYN589847 VIJ589846:VIJ589847 VSF589846:VSF589847 WCB589846:WCB589847 WLX589846:WLX589847 WVT589846:WVT589847 L655382:L655383 JH655382:JH655383 TD655382:TD655383 ACZ655382:ACZ655383 AMV655382:AMV655383 AWR655382:AWR655383 BGN655382:BGN655383 BQJ655382:BQJ655383 CAF655382:CAF655383 CKB655382:CKB655383 CTX655382:CTX655383 DDT655382:DDT655383 DNP655382:DNP655383 DXL655382:DXL655383 EHH655382:EHH655383 ERD655382:ERD655383 FAZ655382:FAZ655383 FKV655382:FKV655383 FUR655382:FUR655383 GEN655382:GEN655383 GOJ655382:GOJ655383 GYF655382:GYF655383 HIB655382:HIB655383 HRX655382:HRX655383 IBT655382:IBT655383 ILP655382:ILP655383 IVL655382:IVL655383 JFH655382:JFH655383 JPD655382:JPD655383 JYZ655382:JYZ655383 KIV655382:KIV655383 KSR655382:KSR655383 LCN655382:LCN655383 LMJ655382:LMJ655383 LWF655382:LWF655383 MGB655382:MGB655383 MPX655382:MPX655383 MZT655382:MZT655383 NJP655382:NJP655383 NTL655382:NTL655383 ODH655382:ODH655383 OND655382:OND655383 OWZ655382:OWZ655383 PGV655382:PGV655383 PQR655382:PQR655383 QAN655382:QAN655383 QKJ655382:QKJ655383 QUF655382:QUF655383 REB655382:REB655383 RNX655382:RNX655383 RXT655382:RXT655383 SHP655382:SHP655383 SRL655382:SRL655383 TBH655382:TBH655383 TLD655382:TLD655383 TUZ655382:TUZ655383 UEV655382:UEV655383 UOR655382:UOR655383 UYN655382:UYN655383 VIJ655382:VIJ655383 VSF655382:VSF655383 WCB655382:WCB655383 WLX655382:WLX655383 WVT655382:WVT655383 L720918:L720919 JH720918:JH720919 TD720918:TD720919 ACZ720918:ACZ720919 AMV720918:AMV720919 AWR720918:AWR720919 BGN720918:BGN720919 BQJ720918:BQJ720919 CAF720918:CAF720919 CKB720918:CKB720919 CTX720918:CTX720919 DDT720918:DDT720919 DNP720918:DNP720919 DXL720918:DXL720919 EHH720918:EHH720919 ERD720918:ERD720919 FAZ720918:FAZ720919 FKV720918:FKV720919 FUR720918:FUR720919 GEN720918:GEN720919 GOJ720918:GOJ720919 GYF720918:GYF720919 HIB720918:HIB720919 HRX720918:HRX720919 IBT720918:IBT720919 ILP720918:ILP720919 IVL720918:IVL720919 JFH720918:JFH720919 JPD720918:JPD720919 JYZ720918:JYZ720919 KIV720918:KIV720919 KSR720918:KSR720919 LCN720918:LCN720919 LMJ720918:LMJ720919 LWF720918:LWF720919 MGB720918:MGB720919 MPX720918:MPX720919 MZT720918:MZT720919 NJP720918:NJP720919 NTL720918:NTL720919 ODH720918:ODH720919 OND720918:OND720919 OWZ720918:OWZ720919 PGV720918:PGV720919 PQR720918:PQR720919 QAN720918:QAN720919 QKJ720918:QKJ720919 QUF720918:QUF720919 REB720918:REB720919 RNX720918:RNX720919 RXT720918:RXT720919 SHP720918:SHP720919 SRL720918:SRL720919 TBH720918:TBH720919 TLD720918:TLD720919 TUZ720918:TUZ720919 UEV720918:UEV720919 UOR720918:UOR720919 UYN720918:UYN720919 VIJ720918:VIJ720919 VSF720918:VSF720919 WCB720918:WCB720919 WLX720918:WLX720919 WVT720918:WVT720919 L786454:L786455 JH786454:JH786455 TD786454:TD786455 ACZ786454:ACZ786455 AMV786454:AMV786455 AWR786454:AWR786455 BGN786454:BGN786455 BQJ786454:BQJ786455 CAF786454:CAF786455 CKB786454:CKB786455 CTX786454:CTX786455 DDT786454:DDT786455 DNP786454:DNP786455 DXL786454:DXL786455 EHH786454:EHH786455 ERD786454:ERD786455 FAZ786454:FAZ786455 FKV786454:FKV786455 FUR786454:FUR786455 GEN786454:GEN786455 GOJ786454:GOJ786455 GYF786454:GYF786455 HIB786454:HIB786455 HRX786454:HRX786455 IBT786454:IBT786455 ILP786454:ILP786455 IVL786454:IVL786455 JFH786454:JFH786455 JPD786454:JPD786455 JYZ786454:JYZ786455 KIV786454:KIV786455 KSR786454:KSR786455 LCN786454:LCN786455 LMJ786454:LMJ786455 LWF786454:LWF786455 MGB786454:MGB786455 MPX786454:MPX786455 MZT786454:MZT786455 NJP786454:NJP786455 NTL786454:NTL786455 ODH786454:ODH786455 OND786454:OND786455 OWZ786454:OWZ786455 PGV786454:PGV786455 PQR786454:PQR786455 QAN786454:QAN786455 QKJ786454:QKJ786455 QUF786454:QUF786455 REB786454:REB786455 RNX786454:RNX786455 RXT786454:RXT786455 SHP786454:SHP786455 SRL786454:SRL786455 TBH786454:TBH786455 TLD786454:TLD786455 TUZ786454:TUZ786455 UEV786454:UEV786455 UOR786454:UOR786455 UYN786454:UYN786455 VIJ786454:VIJ786455 VSF786454:VSF786455 WCB786454:WCB786455 WLX786454:WLX786455 WVT786454:WVT786455 L851990:L851991 JH851990:JH851991 TD851990:TD851991 ACZ851990:ACZ851991 AMV851990:AMV851991 AWR851990:AWR851991 BGN851990:BGN851991 BQJ851990:BQJ851991 CAF851990:CAF851991 CKB851990:CKB851991 CTX851990:CTX851991 DDT851990:DDT851991 DNP851990:DNP851991 DXL851990:DXL851991 EHH851990:EHH851991 ERD851990:ERD851991 FAZ851990:FAZ851991 FKV851990:FKV851991 FUR851990:FUR851991 GEN851990:GEN851991 GOJ851990:GOJ851991 GYF851990:GYF851991 HIB851990:HIB851991 HRX851990:HRX851991 IBT851990:IBT851991 ILP851990:ILP851991 IVL851990:IVL851991 JFH851990:JFH851991 JPD851990:JPD851991 JYZ851990:JYZ851991 KIV851990:KIV851991 KSR851990:KSR851991 LCN851990:LCN851991 LMJ851990:LMJ851991 LWF851990:LWF851991 MGB851990:MGB851991 MPX851990:MPX851991 MZT851990:MZT851991 NJP851990:NJP851991 NTL851990:NTL851991 ODH851990:ODH851991 OND851990:OND851991 OWZ851990:OWZ851991 PGV851990:PGV851991 PQR851990:PQR851991 QAN851990:QAN851991 QKJ851990:QKJ851991 QUF851990:QUF851991 REB851990:REB851991 RNX851990:RNX851991 RXT851990:RXT851991 SHP851990:SHP851991 SRL851990:SRL851991 TBH851990:TBH851991 TLD851990:TLD851991 TUZ851990:TUZ851991 UEV851990:UEV851991 UOR851990:UOR851991 UYN851990:UYN851991 VIJ851990:VIJ851991 VSF851990:VSF851991 WCB851990:WCB851991 WLX851990:WLX851991 WVT851990:WVT851991 L917526:L917527 JH917526:JH917527 TD917526:TD917527 ACZ917526:ACZ917527 AMV917526:AMV917527 AWR917526:AWR917527 BGN917526:BGN917527 BQJ917526:BQJ917527 CAF917526:CAF917527 CKB917526:CKB917527 CTX917526:CTX917527 DDT917526:DDT917527 DNP917526:DNP917527 DXL917526:DXL917527 EHH917526:EHH917527 ERD917526:ERD917527 FAZ917526:FAZ917527 FKV917526:FKV917527 FUR917526:FUR917527 GEN917526:GEN917527 GOJ917526:GOJ917527 GYF917526:GYF917527 HIB917526:HIB917527 HRX917526:HRX917527 IBT917526:IBT917527 ILP917526:ILP917527 IVL917526:IVL917527 JFH917526:JFH917527 JPD917526:JPD917527 JYZ917526:JYZ917527 KIV917526:KIV917527 KSR917526:KSR917527 LCN917526:LCN917527 LMJ917526:LMJ917527 LWF917526:LWF917527 MGB917526:MGB917527 MPX917526:MPX917527 MZT917526:MZT917527 NJP917526:NJP917527 NTL917526:NTL917527 ODH917526:ODH917527 OND917526:OND917527 OWZ917526:OWZ917527 PGV917526:PGV917527 PQR917526:PQR917527 QAN917526:QAN917527 QKJ917526:QKJ917527 QUF917526:QUF917527 REB917526:REB917527 RNX917526:RNX917527 RXT917526:RXT917527 SHP917526:SHP917527 SRL917526:SRL917527 TBH917526:TBH917527 TLD917526:TLD917527 TUZ917526:TUZ917527 UEV917526:UEV917527 UOR917526:UOR917527 UYN917526:UYN917527 VIJ917526:VIJ917527 VSF917526:VSF917527 WCB917526:WCB917527 WLX917526:WLX917527 WVT917526:WVT917527 L983062:L983063 JH983062:JH983063 TD983062:TD983063 ACZ983062:ACZ983063 AMV983062:AMV983063 AWR983062:AWR983063 BGN983062:BGN983063 BQJ983062:BQJ983063 CAF983062:CAF983063 CKB983062:CKB983063 CTX983062:CTX983063 DDT983062:DDT983063 DNP983062:DNP983063 DXL983062:DXL983063 EHH983062:EHH983063 ERD983062:ERD983063 FAZ983062:FAZ983063 FKV983062:FKV983063 FUR983062:FUR983063 GEN983062:GEN983063 GOJ983062:GOJ983063 GYF983062:GYF983063 HIB983062:HIB983063 HRX983062:HRX983063 IBT983062:IBT983063 ILP983062:ILP983063 IVL983062:IVL983063 JFH983062:JFH983063 JPD983062:JPD983063 JYZ983062:JYZ983063 KIV983062:KIV983063 KSR983062:KSR983063 LCN983062:LCN983063 LMJ983062:LMJ983063 LWF983062:LWF983063 MGB983062:MGB983063 MPX983062:MPX983063 MZT983062:MZT983063 NJP983062:NJP983063 NTL983062:NTL983063 ODH983062:ODH983063 OND983062:OND983063 OWZ983062:OWZ983063 PGV983062:PGV983063 PQR983062:PQR983063 QAN983062:QAN983063 QKJ983062:QKJ983063 QUF983062:QUF983063 REB983062:REB983063 RNX983062:RNX983063 RXT983062:RXT983063 SHP983062:SHP983063 SRL983062:SRL983063 TBH983062:TBH983063 TLD983062:TLD983063 TUZ983062:TUZ983063 UEV983062:UEV983063 UOR983062:UOR983063 UYN983062:UYN983063 VIJ983062:VIJ983063 VSF983062:VSF983063 WCB983062:WCB983063 WLX983062:WLX983063 WVT983062:WVT983063" xr:uid="{00000000-0002-0000-0300-000000000000}">
      <formula1>$B$60:$B$103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7"/>
  <sheetViews>
    <sheetView topLeftCell="A10" workbookViewId="0">
      <selection activeCell="A6" sqref="A6:F15"/>
    </sheetView>
  </sheetViews>
  <sheetFormatPr defaultRowHeight="12.75"/>
  <cols>
    <col min="1" max="6" width="16.7109375" customWidth="1"/>
  </cols>
  <sheetData>
    <row r="1" spans="1:6" ht="18.95" customHeight="1">
      <c r="A1" s="354"/>
      <c r="B1" s="355"/>
      <c r="C1" s="355"/>
      <c r="D1" s="355"/>
      <c r="E1" s="355"/>
      <c r="F1" s="356"/>
    </row>
    <row r="2" spans="1:6" ht="26.1" customHeight="1">
      <c r="A2" s="357" t="s">
        <v>250</v>
      </c>
      <c r="B2" s="358"/>
      <c r="C2" s="358"/>
      <c r="D2" s="358"/>
      <c r="E2" s="358"/>
      <c r="F2" s="359"/>
    </row>
    <row r="3" spans="1:6" ht="18.95" customHeight="1">
      <c r="A3" s="360" t="s">
        <v>393</v>
      </c>
      <c r="B3" s="358"/>
      <c r="C3" s="358"/>
      <c r="D3" s="358"/>
      <c r="E3" s="358"/>
      <c r="F3" s="359"/>
    </row>
    <row r="4" spans="1:6" ht="18.95" customHeight="1">
      <c r="A4" s="361"/>
      <c r="B4" s="362"/>
      <c r="C4" s="362"/>
      <c r="D4" s="362"/>
      <c r="E4" s="362"/>
      <c r="F4" s="363"/>
    </row>
    <row r="5" spans="1:6" ht="18.95" customHeight="1">
      <c r="A5" s="361"/>
      <c r="B5" s="362"/>
      <c r="C5" s="362"/>
      <c r="D5" s="362"/>
      <c r="E5" s="362"/>
      <c r="F5" s="363"/>
    </row>
    <row r="6" spans="1:6" ht="18.95" customHeight="1">
      <c r="A6" s="364" t="s">
        <v>394</v>
      </c>
      <c r="B6" s="650" t="str">
        <f>'Performance Data Sheet'!C17</f>
        <v>9003FTQL11E-C</v>
      </c>
      <c r="C6" s="651"/>
      <c r="D6" s="652"/>
      <c r="E6" s="364" t="s">
        <v>395</v>
      </c>
      <c r="F6" s="365" t="str">
        <f>'Performance Data Sheet'!I14 &amp; " A"</f>
        <v>109 A</v>
      </c>
    </row>
    <row r="7" spans="1:6" ht="18.95" customHeight="1">
      <c r="A7" s="364" t="s">
        <v>396</v>
      </c>
      <c r="B7" s="365" t="str">
        <f>'Performance Data Sheet'!F14</f>
        <v>TEFC</v>
      </c>
      <c r="C7" s="364" t="s">
        <v>397</v>
      </c>
      <c r="D7" s="365" t="str">
        <f>'Performance Data Sheet'!F13 &amp; " V"</f>
        <v>4000 V</v>
      </c>
      <c r="E7" s="364" t="s">
        <v>398</v>
      </c>
      <c r="F7" s="365" t="str">
        <f>'Performance Data Sheet'!C14</f>
        <v>6811USS</v>
      </c>
    </row>
    <row r="8" spans="1:6" ht="18.95" customHeight="1">
      <c r="A8" s="364" t="s">
        <v>399</v>
      </c>
      <c r="B8" s="365">
        <v>2</v>
      </c>
      <c r="C8" s="364" t="s">
        <v>400</v>
      </c>
      <c r="D8" s="365" t="s">
        <v>401</v>
      </c>
      <c r="E8" s="364" t="s">
        <v>402</v>
      </c>
      <c r="F8" s="365" t="s">
        <v>343</v>
      </c>
    </row>
    <row r="9" spans="1:6" ht="18.95" customHeight="1">
      <c r="A9" s="364" t="s">
        <v>403</v>
      </c>
      <c r="B9" s="365">
        <v>900</v>
      </c>
      <c r="C9" s="364" t="s">
        <v>404</v>
      </c>
      <c r="D9" s="365" t="s">
        <v>419</v>
      </c>
      <c r="E9" s="364" t="s">
        <v>2</v>
      </c>
      <c r="F9" s="366">
        <f>'Performance Data Sheet'!K44</f>
        <v>0</v>
      </c>
    </row>
    <row r="10" spans="1:6" ht="18.95" customHeight="1">
      <c r="A10" s="364" t="s">
        <v>405</v>
      </c>
      <c r="B10" s="365">
        <v>3580</v>
      </c>
      <c r="C10" s="364" t="s">
        <v>406</v>
      </c>
      <c r="D10" s="365" t="s">
        <v>407</v>
      </c>
      <c r="E10" s="364" t="s">
        <v>1</v>
      </c>
      <c r="F10" s="365" t="s">
        <v>360</v>
      </c>
    </row>
    <row r="11" spans="1:6" ht="18.95" customHeight="1">
      <c r="A11" s="361"/>
      <c r="B11" s="362"/>
      <c r="C11" s="362"/>
      <c r="D11" s="362"/>
      <c r="E11" s="362"/>
      <c r="F11" s="363"/>
    </row>
    <row r="12" spans="1:6" ht="18.95" customHeight="1">
      <c r="A12" s="361"/>
      <c r="B12" s="367" t="s">
        <v>408</v>
      </c>
      <c r="C12" s="368" t="str">
        <f>'Performance Data Sheet'!D22 &amp; " A"</f>
        <v>692 A</v>
      </c>
      <c r="D12" s="367" t="s">
        <v>409</v>
      </c>
      <c r="E12" s="368" t="s">
        <v>407</v>
      </c>
      <c r="F12" s="363"/>
    </row>
    <row r="13" spans="1:6" ht="18.95" customHeight="1">
      <c r="A13" s="361"/>
      <c r="B13" s="367" t="s">
        <v>410</v>
      </c>
      <c r="C13" s="369">
        <v>0.75</v>
      </c>
      <c r="D13" s="367" t="s">
        <v>411</v>
      </c>
      <c r="E13" s="368" t="s">
        <v>407</v>
      </c>
      <c r="F13" s="363"/>
    </row>
    <row r="14" spans="1:6" ht="18.95" customHeight="1">
      <c r="A14" s="361"/>
      <c r="B14" s="367" t="s">
        <v>412</v>
      </c>
      <c r="C14" s="369">
        <v>2.75</v>
      </c>
      <c r="D14" s="367" t="s">
        <v>413</v>
      </c>
      <c r="E14" s="368" t="s">
        <v>407</v>
      </c>
      <c r="F14" s="363"/>
    </row>
    <row r="15" spans="1:6" ht="18.95" customHeight="1">
      <c r="A15" s="361"/>
      <c r="B15" s="367" t="s">
        <v>414</v>
      </c>
      <c r="C15" s="368" t="s">
        <v>420</v>
      </c>
      <c r="D15" s="362"/>
      <c r="E15" s="362"/>
      <c r="F15" s="363"/>
    </row>
    <row r="16" spans="1:6" ht="18.95" customHeight="1">
      <c r="A16" s="361"/>
      <c r="B16" s="362"/>
      <c r="C16" s="362"/>
      <c r="D16" s="362"/>
      <c r="E16" s="362"/>
      <c r="F16" s="363"/>
    </row>
    <row r="17" spans="1:6" ht="18.95" customHeight="1">
      <c r="A17" s="361"/>
      <c r="B17" s="362"/>
      <c r="C17" s="362"/>
      <c r="D17" s="362"/>
      <c r="E17" s="362"/>
      <c r="F17" s="363"/>
    </row>
    <row r="18" spans="1:6" ht="18.95" customHeight="1">
      <c r="A18" s="361"/>
      <c r="B18" s="362"/>
      <c r="C18" s="362"/>
      <c r="D18" s="362"/>
      <c r="E18" s="362"/>
      <c r="F18" s="363"/>
    </row>
    <row r="19" spans="1:6" ht="18.95" customHeight="1">
      <c r="A19" s="361"/>
      <c r="B19" s="362"/>
      <c r="C19" s="362"/>
      <c r="D19" s="362"/>
      <c r="E19" s="362"/>
      <c r="F19" s="363"/>
    </row>
    <row r="20" spans="1:6" ht="18.95" customHeight="1">
      <c r="A20" s="361"/>
      <c r="B20" s="362"/>
      <c r="C20" s="362"/>
      <c r="D20" s="362"/>
      <c r="E20" s="362"/>
      <c r="F20" s="363"/>
    </row>
    <row r="21" spans="1:6" ht="18.95" customHeight="1">
      <c r="A21" s="361"/>
      <c r="B21" s="362"/>
      <c r="C21" s="362"/>
      <c r="D21" s="362"/>
      <c r="E21" s="362"/>
      <c r="F21" s="363"/>
    </row>
    <row r="22" spans="1:6" ht="18.95" customHeight="1">
      <c r="A22" s="361"/>
      <c r="B22" s="362"/>
      <c r="C22" s="362"/>
      <c r="D22" s="362"/>
      <c r="E22" s="362"/>
      <c r="F22" s="363"/>
    </row>
    <row r="23" spans="1:6" ht="18.95" customHeight="1">
      <c r="A23" s="361"/>
      <c r="B23" s="362"/>
      <c r="C23" s="362"/>
      <c r="D23" s="362"/>
      <c r="E23" s="362"/>
      <c r="F23" s="363"/>
    </row>
    <row r="24" spans="1:6" ht="18.95" customHeight="1">
      <c r="A24" s="361"/>
      <c r="B24" s="362"/>
      <c r="C24" s="362"/>
      <c r="D24" s="362"/>
      <c r="E24" s="362"/>
      <c r="F24" s="363"/>
    </row>
    <row r="25" spans="1:6" ht="18.95" customHeight="1">
      <c r="A25" s="361"/>
      <c r="B25" s="362"/>
      <c r="C25" s="362"/>
      <c r="D25" s="362"/>
      <c r="E25" s="362"/>
      <c r="F25" s="363"/>
    </row>
    <row r="26" spans="1:6" ht="18.95" customHeight="1">
      <c r="A26" s="361"/>
      <c r="B26" s="362"/>
      <c r="C26" s="362"/>
      <c r="D26" s="362"/>
      <c r="E26" s="362"/>
      <c r="F26" s="363"/>
    </row>
    <row r="27" spans="1:6" ht="18.95" customHeight="1">
      <c r="A27" s="361"/>
      <c r="B27" s="362"/>
      <c r="C27" s="362"/>
      <c r="D27" s="362"/>
      <c r="E27" s="362"/>
      <c r="F27" s="363"/>
    </row>
    <row r="28" spans="1:6" ht="18.95" customHeight="1">
      <c r="A28" s="361"/>
      <c r="B28" s="362"/>
      <c r="C28" s="362"/>
      <c r="D28" s="362"/>
      <c r="E28" s="362"/>
      <c r="F28" s="363"/>
    </row>
    <row r="29" spans="1:6" ht="18.95" customHeight="1">
      <c r="A29" s="361"/>
      <c r="B29" s="362"/>
      <c r="C29" s="362"/>
      <c r="D29" s="362"/>
      <c r="E29" s="362"/>
      <c r="F29" s="363"/>
    </row>
    <row r="30" spans="1:6" ht="18.95" customHeight="1">
      <c r="A30" s="361"/>
      <c r="B30" s="362"/>
      <c r="C30" s="362"/>
      <c r="D30" s="362"/>
      <c r="E30" s="362"/>
      <c r="F30" s="363"/>
    </row>
    <row r="31" spans="1:6" ht="18.95" customHeight="1">
      <c r="A31" s="361"/>
      <c r="B31" s="362"/>
      <c r="C31" s="362"/>
      <c r="D31" s="362"/>
      <c r="E31" s="362"/>
      <c r="F31" s="363"/>
    </row>
    <row r="32" spans="1:6" ht="18.95" customHeight="1">
      <c r="A32" s="361"/>
      <c r="B32" s="362"/>
      <c r="C32" s="362"/>
      <c r="D32" s="362"/>
      <c r="E32" s="362"/>
      <c r="F32" s="363"/>
    </row>
    <row r="33" spans="1:6" ht="18.95" customHeight="1">
      <c r="A33" s="361"/>
      <c r="B33" s="362"/>
      <c r="C33" s="362"/>
      <c r="D33" s="362"/>
      <c r="E33" s="362"/>
      <c r="F33" s="363"/>
    </row>
    <row r="34" spans="1:6" ht="18.95" customHeight="1">
      <c r="A34" s="361"/>
      <c r="B34" s="362"/>
      <c r="C34" s="362"/>
      <c r="D34" s="362"/>
      <c r="E34" s="362"/>
      <c r="F34" s="363"/>
    </row>
    <row r="35" spans="1:6" ht="18.95" customHeight="1">
      <c r="A35" s="361"/>
      <c r="B35" s="362"/>
      <c r="C35" s="362"/>
      <c r="D35" s="362"/>
      <c r="E35" s="362"/>
      <c r="F35" s="363"/>
    </row>
    <row r="36" spans="1:6" ht="18.95" customHeight="1">
      <c r="A36" s="361"/>
      <c r="B36" s="362"/>
      <c r="C36" s="362"/>
      <c r="D36" s="362"/>
      <c r="E36" s="362"/>
      <c r="F36" s="363"/>
    </row>
    <row r="37" spans="1:6" ht="18.95" customHeight="1">
      <c r="A37" s="361"/>
      <c r="B37" s="362"/>
      <c r="C37" s="362"/>
      <c r="D37" s="362"/>
      <c r="E37" s="362"/>
      <c r="F37" s="363"/>
    </row>
    <row r="38" spans="1:6" ht="18.95" customHeight="1">
      <c r="A38" s="361"/>
      <c r="B38" s="362"/>
      <c r="C38" s="362"/>
      <c r="D38" s="362"/>
      <c r="E38" s="362"/>
      <c r="F38" s="363"/>
    </row>
    <row r="39" spans="1:6" ht="18.95" customHeight="1">
      <c r="A39" s="370" t="s">
        <v>415</v>
      </c>
      <c r="B39" s="371" t="s">
        <v>351</v>
      </c>
      <c r="C39" s="371">
        <f>'Performance Data Sheet'!C10</f>
        <v>0</v>
      </c>
      <c r="D39" s="362"/>
      <c r="E39" s="367" t="s">
        <v>416</v>
      </c>
      <c r="F39" s="372" t="str">
        <f>F10</f>
        <v>CS2900U</v>
      </c>
    </row>
    <row r="40" spans="1:6" ht="18.95" customHeight="1">
      <c r="A40" s="361"/>
      <c r="B40" s="371"/>
      <c r="C40" s="371"/>
      <c r="D40" s="362"/>
      <c r="E40" s="362"/>
      <c r="F40" s="363"/>
    </row>
    <row r="41" spans="1:6" ht="18.95" customHeight="1">
      <c r="A41" s="361"/>
      <c r="B41" s="371"/>
      <c r="C41" s="371"/>
      <c r="D41" s="362"/>
      <c r="E41" s="362"/>
      <c r="F41" s="363"/>
    </row>
    <row r="42" spans="1:6" ht="18.95" customHeight="1">
      <c r="A42" s="361"/>
      <c r="B42" s="362"/>
      <c r="C42" s="362"/>
      <c r="D42" s="362"/>
      <c r="E42" s="362"/>
      <c r="F42" s="363"/>
    </row>
    <row r="43" spans="1:6" ht="18.95" customHeight="1">
      <c r="A43" s="373"/>
      <c r="B43" s="371"/>
      <c r="C43" s="374" t="s">
        <v>417</v>
      </c>
      <c r="D43" s="375">
        <f>'Performance Data Sheet'!K42</f>
        <v>0</v>
      </c>
      <c r="E43" s="374" t="s">
        <v>418</v>
      </c>
      <c r="F43" s="375" t="s">
        <v>635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76">
        <v>100</v>
      </c>
      <c r="B54" s="353">
        <v>0</v>
      </c>
      <c r="C54" s="353">
        <v>0.15435272455215454</v>
      </c>
    </row>
    <row r="55" spans="1:3" ht="15" customHeight="1">
      <c r="A55" s="376">
        <v>99.799999967217445</v>
      </c>
      <c r="B55" s="353">
        <v>166.78825586515063</v>
      </c>
      <c r="C55" s="353">
        <v>180.35881042480469</v>
      </c>
    </row>
    <row r="56" spans="1:3" ht="15" customHeight="1">
      <c r="A56" s="376">
        <v>98.999999836087227</v>
      </c>
      <c r="B56" s="353">
        <v>276</v>
      </c>
      <c r="C56" s="353">
        <v>505.795166015625</v>
      </c>
    </row>
    <row r="57" spans="1:3">
      <c r="A57" s="376">
        <v>93.555555492639542</v>
      </c>
      <c r="B57" s="353">
        <v>141.42678496293067</v>
      </c>
      <c r="C57" s="353">
        <v>576.56549072265625</v>
      </c>
    </row>
    <row r="58" spans="1:3">
      <c r="A58" s="376">
        <v>88.111110031604767</v>
      </c>
      <c r="B58" s="353">
        <v>108.02772352423641</v>
      </c>
      <c r="C58" s="353">
        <v>594.632080078125</v>
      </c>
    </row>
    <row r="59" spans="1:3">
      <c r="A59" s="376">
        <v>82.666666805744171</v>
      </c>
      <c r="B59" s="353">
        <v>93.722333620927529</v>
      </c>
      <c r="C59" s="353">
        <v>602.36859130859375</v>
      </c>
    </row>
    <row r="60" spans="1:3">
      <c r="A60" s="376">
        <v>71.777775883674622</v>
      </c>
      <c r="B60" s="353">
        <v>84.38480959966995</v>
      </c>
      <c r="C60" s="353">
        <v>610.49298095703125</v>
      </c>
    </row>
    <row r="61" spans="1:3">
      <c r="A61" s="376">
        <v>60.88888943195343</v>
      </c>
      <c r="B61" s="353">
        <v>80.163222461269328</v>
      </c>
      <c r="C61" s="353">
        <v>616.0750732421875</v>
      </c>
    </row>
    <row r="62" spans="1:3">
      <c r="A62" s="376">
        <v>50</v>
      </c>
      <c r="B62" s="353">
        <v>78</v>
      </c>
      <c r="C62" s="353">
        <v>620.6842041015625</v>
      </c>
    </row>
    <row r="63" spans="1:3">
      <c r="A63" s="376">
        <v>39.999997615814209</v>
      </c>
      <c r="B63" s="353">
        <v>78.001745341767332</v>
      </c>
      <c r="C63" s="353">
        <v>624.55718994140625</v>
      </c>
    </row>
    <row r="64" spans="1:3">
      <c r="A64" s="376">
        <v>30.000001192092896</v>
      </c>
      <c r="B64" s="353">
        <v>78.003522531916872</v>
      </c>
      <c r="C64" s="353">
        <v>627.80487060546875</v>
      </c>
    </row>
    <row r="65" spans="1:3">
      <c r="A65" s="376">
        <v>19.999998807907104</v>
      </c>
      <c r="B65" s="353">
        <v>78.004772604800678</v>
      </c>
      <c r="C65" s="353">
        <v>630.538330078125</v>
      </c>
    </row>
    <row r="66" spans="1:3">
      <c r="A66" s="376">
        <v>10.000002384185791</v>
      </c>
      <c r="B66" s="353">
        <v>78.00647134022023</v>
      </c>
      <c r="C66" s="353">
        <v>632.86175537109375</v>
      </c>
    </row>
    <row r="67" spans="1:3">
      <c r="A67" s="377">
        <v>0</v>
      </c>
      <c r="B67" s="353">
        <v>78</v>
      </c>
      <c r="C67" s="353">
        <v>634.86236572265625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1"/>
  <sheetViews>
    <sheetView workbookViewId="0">
      <selection activeCell="A6" sqref="A6:F10"/>
    </sheetView>
  </sheetViews>
  <sheetFormatPr defaultColWidth="9.140625" defaultRowHeight="12.75"/>
  <cols>
    <col min="1" max="6" width="16.7109375" style="387" customWidth="1"/>
    <col min="7" max="16384" width="9.140625" style="387"/>
  </cols>
  <sheetData>
    <row r="1" spans="1:6" ht="18.95" customHeight="1">
      <c r="A1" s="399"/>
      <c r="B1" s="400"/>
      <c r="C1" s="400"/>
      <c r="D1" s="400"/>
      <c r="E1" s="400"/>
      <c r="F1" s="401"/>
    </row>
    <row r="2" spans="1:6" ht="26.1" customHeight="1">
      <c r="A2" s="402" t="s">
        <v>250</v>
      </c>
      <c r="B2" s="403"/>
      <c r="C2" s="403"/>
      <c r="D2" s="403"/>
      <c r="E2" s="403"/>
      <c r="F2" s="404"/>
    </row>
    <row r="3" spans="1:6" ht="18.95" customHeight="1">
      <c r="A3" s="653" t="s">
        <v>582</v>
      </c>
      <c r="B3" s="654"/>
      <c r="C3" s="654"/>
      <c r="D3" s="654"/>
      <c r="E3" s="654"/>
      <c r="F3" s="655"/>
    </row>
    <row r="4" spans="1:6" ht="18.95" customHeight="1">
      <c r="A4" s="656" t="s">
        <v>583</v>
      </c>
      <c r="B4" s="657"/>
      <c r="C4" s="657"/>
      <c r="D4" s="657"/>
      <c r="E4" s="657"/>
      <c r="F4" s="658"/>
    </row>
    <row r="5" spans="1:6" ht="18.95" customHeight="1">
      <c r="A5" s="405"/>
      <c r="B5" s="406"/>
      <c r="C5" s="406"/>
      <c r="D5" s="406"/>
      <c r="E5" s="406"/>
      <c r="F5" s="407"/>
    </row>
    <row r="6" spans="1:6" ht="18.95" customHeight="1">
      <c r="A6" s="364" t="s">
        <v>394</v>
      </c>
      <c r="B6" s="650" t="str">
        <f>'Performance Data Sheet'!C17</f>
        <v>9003FTQL11E-C</v>
      </c>
      <c r="C6" s="651"/>
      <c r="D6" s="652"/>
      <c r="E6" s="364" t="s">
        <v>395</v>
      </c>
      <c r="F6" s="365" t="str">
        <f>'Performance Data Sheet'!I14 &amp; " A"</f>
        <v>109 A</v>
      </c>
    </row>
    <row r="7" spans="1:6" ht="18.95" customHeight="1">
      <c r="A7" s="364" t="s">
        <v>396</v>
      </c>
      <c r="B7" s="365" t="str">
        <f>'Performance Data Sheet'!F14</f>
        <v>TEFC</v>
      </c>
      <c r="C7" s="364" t="s">
        <v>397</v>
      </c>
      <c r="D7" s="365" t="str">
        <f>'Performance Data Sheet'!F13 &amp; " V"</f>
        <v>4000 V</v>
      </c>
      <c r="E7" s="364" t="s">
        <v>398</v>
      </c>
      <c r="F7" s="365" t="str">
        <f>'Performance Data Sheet'!C14</f>
        <v>6811USS</v>
      </c>
    </row>
    <row r="8" spans="1:6" ht="18.95" customHeight="1">
      <c r="A8" s="364" t="s">
        <v>399</v>
      </c>
      <c r="B8" s="365">
        <v>2</v>
      </c>
      <c r="C8" s="364" t="s">
        <v>400</v>
      </c>
      <c r="D8" s="365" t="s">
        <v>401</v>
      </c>
      <c r="E8" s="364" t="s">
        <v>402</v>
      </c>
      <c r="F8" s="365" t="s">
        <v>343</v>
      </c>
    </row>
    <row r="9" spans="1:6" ht="18.95" customHeight="1">
      <c r="A9" s="364" t="s">
        <v>403</v>
      </c>
      <c r="B9" s="365">
        <v>900</v>
      </c>
      <c r="C9" s="364" t="s">
        <v>404</v>
      </c>
      <c r="D9" s="365" t="s">
        <v>419</v>
      </c>
      <c r="E9" s="364" t="s">
        <v>2</v>
      </c>
      <c r="F9" s="366">
        <f>'Performance Data Sheet'!K44</f>
        <v>0</v>
      </c>
    </row>
    <row r="10" spans="1:6" ht="18.95" customHeight="1">
      <c r="A10" s="364" t="s">
        <v>405</v>
      </c>
      <c r="B10" s="365">
        <v>3580</v>
      </c>
      <c r="C10" s="364" t="s">
        <v>406</v>
      </c>
      <c r="D10" s="365" t="s">
        <v>407</v>
      </c>
      <c r="E10" s="364" t="s">
        <v>1</v>
      </c>
      <c r="F10" s="365" t="s">
        <v>360</v>
      </c>
    </row>
    <row r="11" spans="1:6" ht="18.95" customHeight="1">
      <c r="A11" s="405"/>
      <c r="B11" s="406"/>
      <c r="C11" s="406"/>
      <c r="D11" s="406"/>
      <c r="E11" s="406"/>
      <c r="F11" s="407"/>
    </row>
    <row r="12" spans="1:6" ht="18.95" customHeight="1">
      <c r="A12" s="405"/>
      <c r="B12" s="408"/>
      <c r="C12" s="409"/>
      <c r="D12" s="408"/>
      <c r="E12" s="409"/>
      <c r="F12" s="407"/>
    </row>
    <row r="13" spans="1:6" ht="18.95" customHeight="1">
      <c r="A13" s="405"/>
      <c r="B13" s="408"/>
      <c r="C13" s="410"/>
      <c r="D13" s="408"/>
      <c r="E13" s="409"/>
      <c r="F13" s="407"/>
    </row>
    <row r="14" spans="1:6" ht="18.95" customHeight="1">
      <c r="A14" s="405"/>
      <c r="B14" s="408"/>
      <c r="C14" s="410"/>
      <c r="D14" s="408"/>
      <c r="E14" s="409"/>
      <c r="F14" s="407"/>
    </row>
    <row r="15" spans="1:6" ht="18.95" customHeight="1">
      <c r="A15" s="405"/>
      <c r="B15" s="408"/>
      <c r="C15" s="409"/>
      <c r="D15" s="406"/>
      <c r="E15" s="406"/>
      <c r="F15" s="407"/>
    </row>
    <row r="16" spans="1:6" ht="18.95" customHeight="1">
      <c r="A16" s="405"/>
      <c r="B16" s="406"/>
      <c r="C16" s="406"/>
      <c r="D16" s="406"/>
      <c r="E16" s="406"/>
      <c r="F16" s="407"/>
    </row>
    <row r="17" spans="1:6" ht="18.95" customHeight="1">
      <c r="A17" s="405"/>
      <c r="B17" s="406"/>
      <c r="C17" s="406"/>
      <c r="D17" s="406"/>
      <c r="E17" s="406"/>
      <c r="F17" s="407"/>
    </row>
    <row r="18" spans="1:6" ht="18.95" customHeight="1">
      <c r="A18" s="405"/>
      <c r="B18" s="406"/>
      <c r="C18" s="406"/>
      <c r="D18" s="406"/>
      <c r="E18" s="406"/>
      <c r="F18" s="407"/>
    </row>
    <row r="19" spans="1:6" ht="18.95" customHeight="1">
      <c r="A19" s="405"/>
      <c r="B19" s="406"/>
      <c r="C19" s="406"/>
      <c r="D19" s="406"/>
      <c r="E19" s="406"/>
      <c r="F19" s="407"/>
    </row>
    <row r="20" spans="1:6" ht="18.95" customHeight="1">
      <c r="A20" s="405"/>
      <c r="B20" s="406"/>
      <c r="C20" s="406"/>
      <c r="D20" s="406"/>
      <c r="E20" s="406"/>
      <c r="F20" s="407"/>
    </row>
    <row r="21" spans="1:6" ht="18.95" customHeight="1">
      <c r="A21" s="405"/>
      <c r="B21" s="406"/>
      <c r="C21" s="406"/>
      <c r="D21" s="406"/>
      <c r="E21" s="406"/>
      <c r="F21" s="407"/>
    </row>
    <row r="22" spans="1:6" ht="18.95" customHeight="1">
      <c r="A22" s="405"/>
      <c r="B22" s="406"/>
      <c r="C22" s="406"/>
      <c r="D22" s="406"/>
      <c r="E22" s="406"/>
      <c r="F22" s="407"/>
    </row>
    <row r="23" spans="1:6" ht="18.95" customHeight="1">
      <c r="A23" s="405"/>
      <c r="B23" s="406"/>
      <c r="C23" s="406"/>
      <c r="D23" s="406"/>
      <c r="E23" s="406"/>
      <c r="F23" s="407"/>
    </row>
    <row r="24" spans="1:6" ht="18.95" customHeight="1">
      <c r="A24" s="405"/>
      <c r="B24" s="406"/>
      <c r="C24" s="406"/>
      <c r="D24" s="406"/>
      <c r="E24" s="406"/>
      <c r="F24" s="407"/>
    </row>
    <row r="25" spans="1:6" ht="18.95" customHeight="1">
      <c r="A25" s="405"/>
      <c r="B25" s="406"/>
      <c r="C25" s="406"/>
      <c r="D25" s="406"/>
      <c r="E25" s="406"/>
      <c r="F25" s="407"/>
    </row>
    <row r="26" spans="1:6" ht="18.95" customHeight="1">
      <c r="A26" s="405"/>
      <c r="B26" s="406"/>
      <c r="C26" s="406"/>
      <c r="D26" s="406"/>
      <c r="E26" s="406"/>
      <c r="F26" s="407"/>
    </row>
    <row r="27" spans="1:6" ht="18.95" customHeight="1">
      <c r="A27" s="405"/>
      <c r="B27" s="406"/>
      <c r="C27" s="406"/>
      <c r="D27" s="406"/>
      <c r="E27" s="406"/>
      <c r="F27" s="407"/>
    </row>
    <row r="28" spans="1:6" ht="18.95" customHeight="1">
      <c r="A28" s="405"/>
      <c r="B28" s="406"/>
      <c r="C28" s="406"/>
      <c r="D28" s="406"/>
      <c r="E28" s="406"/>
      <c r="F28" s="407"/>
    </row>
    <row r="29" spans="1:6" ht="18.95" customHeight="1">
      <c r="A29" s="405"/>
      <c r="B29" s="406"/>
      <c r="C29" s="406"/>
      <c r="D29" s="406"/>
      <c r="E29" s="406"/>
      <c r="F29" s="407"/>
    </row>
    <row r="30" spans="1:6" ht="18.95" customHeight="1">
      <c r="A30" s="405"/>
      <c r="B30" s="406"/>
      <c r="C30" s="406"/>
      <c r="D30" s="406"/>
      <c r="E30" s="406"/>
      <c r="F30" s="407"/>
    </row>
    <row r="31" spans="1:6" ht="18.95" customHeight="1">
      <c r="A31" s="405"/>
      <c r="B31" s="406"/>
      <c r="C31" s="406"/>
      <c r="D31" s="406"/>
      <c r="E31" s="406"/>
      <c r="F31" s="407"/>
    </row>
    <row r="32" spans="1:6" ht="18.95" customHeight="1">
      <c r="A32" s="405"/>
      <c r="B32" s="406"/>
      <c r="C32" s="406"/>
      <c r="D32" s="406"/>
      <c r="E32" s="406"/>
      <c r="F32" s="407"/>
    </row>
    <row r="33" spans="1:6" ht="18.95" customHeight="1">
      <c r="A33" s="405"/>
      <c r="B33" s="406"/>
      <c r="C33" s="406"/>
      <c r="D33" s="406"/>
      <c r="E33" s="406"/>
      <c r="F33" s="407"/>
    </row>
    <row r="34" spans="1:6" ht="18.95" customHeight="1">
      <c r="A34" s="405"/>
      <c r="B34" s="406"/>
      <c r="C34" s="406"/>
      <c r="D34" s="406"/>
      <c r="E34" s="406"/>
      <c r="F34" s="407"/>
    </row>
    <row r="35" spans="1:6" ht="18.95" customHeight="1">
      <c r="A35" s="405"/>
      <c r="B35" s="406"/>
      <c r="C35" s="406"/>
      <c r="D35" s="406"/>
      <c r="E35" s="406"/>
      <c r="F35" s="407"/>
    </row>
    <row r="36" spans="1:6" ht="18.95" customHeight="1">
      <c r="A36" s="405"/>
      <c r="B36" s="406"/>
      <c r="C36" s="406"/>
      <c r="D36" s="406"/>
      <c r="E36" s="406"/>
      <c r="F36" s="407"/>
    </row>
    <row r="37" spans="1:6" ht="18.95" customHeight="1">
      <c r="A37" s="405"/>
      <c r="B37" s="406"/>
      <c r="C37" s="406"/>
      <c r="D37" s="406"/>
      <c r="E37" s="406"/>
      <c r="F37" s="407"/>
    </row>
    <row r="38" spans="1:6" ht="18.95" customHeight="1">
      <c r="A38" s="405"/>
      <c r="B38" s="406"/>
      <c r="C38" s="406"/>
      <c r="D38" s="406"/>
      <c r="E38" s="406"/>
      <c r="F38" s="407"/>
    </row>
    <row r="39" spans="1:6" ht="18.95" customHeight="1">
      <c r="A39" s="370" t="s">
        <v>415</v>
      </c>
      <c r="B39" s="371" t="s">
        <v>351</v>
      </c>
      <c r="C39" s="371">
        <f>'Performance Data Sheet'!C10</f>
        <v>0</v>
      </c>
      <c r="D39" s="362"/>
      <c r="E39" s="367" t="s">
        <v>416</v>
      </c>
      <c r="F39" s="372" t="str">
        <f>F10</f>
        <v>CS2900U</v>
      </c>
    </row>
    <row r="40" spans="1:6" ht="18.95" customHeight="1">
      <c r="A40" s="361"/>
      <c r="B40" s="371"/>
      <c r="C40" s="371"/>
      <c r="D40" s="362"/>
      <c r="E40" s="362"/>
      <c r="F40" s="363"/>
    </row>
    <row r="41" spans="1:6" ht="18.95" customHeight="1">
      <c r="A41" s="361"/>
      <c r="B41" s="371"/>
      <c r="C41" s="371"/>
      <c r="D41" s="362"/>
      <c r="E41" s="362"/>
      <c r="F41" s="363"/>
    </row>
    <row r="42" spans="1:6" ht="18.95" customHeight="1">
      <c r="A42" s="361"/>
      <c r="B42" s="362"/>
      <c r="C42" s="362"/>
      <c r="D42" s="362"/>
      <c r="E42" s="362"/>
      <c r="F42" s="363"/>
    </row>
    <row r="43" spans="1:6" ht="18.95" customHeight="1">
      <c r="A43" s="373"/>
      <c r="B43" s="371"/>
      <c r="C43" s="374" t="s">
        <v>417</v>
      </c>
      <c r="D43" s="375">
        <f>'Performance Data Sheet'!K42</f>
        <v>0</v>
      </c>
      <c r="E43" s="374" t="s">
        <v>418</v>
      </c>
      <c r="F43" s="375" t="s">
        <v>635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1" t="e">
        <f>5252.1*B50/D53</f>
        <v>#DIV/0!</v>
      </c>
      <c r="G50" s="41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2"/>
    </row>
    <row r="63" spans="6:9">
      <c r="I63" s="387" t="s">
        <v>39</v>
      </c>
    </row>
    <row r="66" spans="1:6">
      <c r="D66" s="411" t="e">
        <f>D65/D64</f>
        <v>#DIV/0!</v>
      </c>
    </row>
    <row r="67" spans="1:6">
      <c r="A67" s="413" t="s">
        <v>391</v>
      </c>
      <c r="B67" s="413" t="s">
        <v>584</v>
      </c>
      <c r="C67" s="413" t="s">
        <v>585</v>
      </c>
      <c r="E67" s="413" t="s">
        <v>586</v>
      </c>
      <c r="F67" s="413" t="s">
        <v>587</v>
      </c>
    </row>
    <row r="68" spans="1:6">
      <c r="A68" s="414">
        <v>634.86238532110087</v>
      </c>
      <c r="B68" s="415">
        <v>35</v>
      </c>
      <c r="C68" s="415">
        <v>15</v>
      </c>
      <c r="E68" s="414">
        <f>A68</f>
        <v>634.86238532110087</v>
      </c>
      <c r="F68" s="415">
        <v>1E-4</v>
      </c>
    </row>
    <row r="69" spans="1:6">
      <c r="A69" s="414">
        <v>563.91535229357794</v>
      </c>
      <c r="B69" s="415">
        <f>((A68/A69)^2)*B68</f>
        <v>44.360803210001812</v>
      </c>
      <c r="C69" s="415">
        <f>((A68/A69)^2)*C68</f>
        <v>19.01177280428649</v>
      </c>
      <c r="E69" s="414">
        <v>633.85321100917429</v>
      </c>
      <c r="F69" s="415">
        <v>1.0679999589920044</v>
      </c>
    </row>
    <row r="70" spans="1:6">
      <c r="A70" s="414">
        <v>492.94703302752293</v>
      </c>
      <c r="B70" s="415">
        <f>((A68/A70)^2)*B68</f>
        <v>58.053274792320366</v>
      </c>
      <c r="C70" s="415">
        <f>((A68/A70)^2)*C68</f>
        <v>24.879974910994441</v>
      </c>
      <c r="E70" s="414">
        <v>631.74311926605503</v>
      </c>
      <c r="F70" s="415">
        <v>1.9599999189376831</v>
      </c>
    </row>
    <row r="71" spans="1:6">
      <c r="A71" s="414">
        <v>422</v>
      </c>
      <c r="B71" s="415">
        <f>((A68/A71)^2)*B68</f>
        <v>79.214071395217601</v>
      </c>
      <c r="C71" s="415">
        <f>((A68/A71)^2)*C68</f>
        <v>33.948887740807542</v>
      </c>
      <c r="E71" s="414">
        <v>629.17431192660547</v>
      </c>
      <c r="F71" s="415">
        <v>2.7949998378753662</v>
      </c>
    </row>
    <row r="72" spans="1:6">
      <c r="A72" s="414">
        <f>A71-100</f>
        <v>322</v>
      </c>
      <c r="B72" s="415">
        <f>((A68/A72)^2)*B68</f>
        <v>136.05530930853294</v>
      </c>
      <c r="C72" s="415"/>
      <c r="E72" s="414">
        <v>626.14678899082571</v>
      </c>
      <c r="F72" s="415">
        <v>3.6299998760223389</v>
      </c>
    </row>
    <row r="73" spans="1:6">
      <c r="A73" s="414">
        <f>A72-100</f>
        <v>222</v>
      </c>
      <c r="B73" s="415">
        <f>((A68/A73)^2)*B68</f>
        <v>286.23404533613206</v>
      </c>
      <c r="C73" s="415"/>
      <c r="E73" s="414">
        <v>622.66055045871565</v>
      </c>
      <c r="F73" s="415">
        <v>4.5149998664855957</v>
      </c>
    </row>
    <row r="74" spans="1:6">
      <c r="A74" s="414">
        <v>276</v>
      </c>
      <c r="B74" s="415">
        <f>((A68/A74)^2)*B68</f>
        <v>185.18639322550314</v>
      </c>
      <c r="C74" s="415">
        <f>((A68/A74)^2)*C68</f>
        <v>79.365597096644194</v>
      </c>
      <c r="E74" s="414">
        <v>618.34862385321105</v>
      </c>
      <c r="F74" s="415">
        <v>5.5799999237060547</v>
      </c>
    </row>
    <row r="75" spans="1:6">
      <c r="A75" s="416">
        <v>180</v>
      </c>
      <c r="B75" s="415">
        <f>((A68/A75)^2)*B69</f>
        <v>551.84051692541334</v>
      </c>
      <c r="C75" s="415">
        <f>((A68/A75)^2)*C68</f>
        <v>186.59733717388795</v>
      </c>
      <c r="E75" s="414">
        <v>613.30275229357801</v>
      </c>
      <c r="F75" s="415">
        <v>6.8029999732971191</v>
      </c>
    </row>
    <row r="76" spans="1:6">
      <c r="A76" s="416">
        <v>120</v>
      </c>
      <c r="B76" s="415">
        <f>((A68/A76)^2)*B68</f>
        <v>979.63602016291156</v>
      </c>
      <c r="C76" s="415">
        <f>((A68/A76)^2)*C68</f>
        <v>419.8440086412478</v>
      </c>
      <c r="E76" s="414">
        <v>606.42201834862385</v>
      </c>
      <c r="F76" s="415">
        <v>8.300999641418457</v>
      </c>
    </row>
    <row r="77" spans="1:6">
      <c r="A77" s="416">
        <v>110</v>
      </c>
      <c r="B77" s="415"/>
      <c r="C77" s="414">
        <f>CEILING(C76*2,100)</f>
        <v>900</v>
      </c>
      <c r="E77" s="414">
        <v>598.53211009174311</v>
      </c>
      <c r="F77" s="415">
        <v>9.1419992446899414</v>
      </c>
    </row>
    <row r="78" spans="1:6">
      <c r="A78" s="416">
        <v>110</v>
      </c>
      <c r="B78" s="415"/>
      <c r="C78" s="414">
        <f>2*C77</f>
        <v>1800</v>
      </c>
      <c r="E78" s="414">
        <v>585.59633027522932</v>
      </c>
      <c r="F78" s="415">
        <v>9.8059988021850586</v>
      </c>
    </row>
    <row r="79" spans="1:6">
      <c r="A79" s="416">
        <v>110</v>
      </c>
      <c r="B79" s="416"/>
      <c r="C79" s="416">
        <v>10000</v>
      </c>
      <c r="E79" s="414">
        <v>541.19266055045875</v>
      </c>
      <c r="F79" s="415">
        <v>10.078998565673828</v>
      </c>
    </row>
    <row r="80" spans="1:6">
      <c r="E80" s="414">
        <v>343.1192660550459</v>
      </c>
      <c r="F80" s="415">
        <v>10.117998123168945</v>
      </c>
    </row>
    <row r="81" spans="5:6">
      <c r="E81" s="414">
        <v>0</v>
      </c>
      <c r="F81" s="415">
        <v>10.152997970581055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67"/>
  <sheetViews>
    <sheetView workbookViewId="0">
      <selection activeCell="A6" sqref="A6:F10"/>
    </sheetView>
  </sheetViews>
  <sheetFormatPr defaultColWidth="8.85546875" defaultRowHeight="12.75"/>
  <cols>
    <col min="1" max="6" width="16.7109375" style="387" customWidth="1"/>
    <col min="7" max="256" width="8.85546875" style="387"/>
    <col min="257" max="262" width="16.7109375" style="387" customWidth="1"/>
    <col min="263" max="512" width="8.85546875" style="387"/>
    <col min="513" max="518" width="16.7109375" style="387" customWidth="1"/>
    <col min="519" max="768" width="8.85546875" style="387"/>
    <col min="769" max="774" width="16.7109375" style="387" customWidth="1"/>
    <col min="775" max="1024" width="8.85546875" style="387"/>
    <col min="1025" max="1030" width="16.7109375" style="387" customWidth="1"/>
    <col min="1031" max="1280" width="8.85546875" style="387"/>
    <col min="1281" max="1286" width="16.7109375" style="387" customWidth="1"/>
    <col min="1287" max="1536" width="8.85546875" style="387"/>
    <col min="1537" max="1542" width="16.7109375" style="387" customWidth="1"/>
    <col min="1543" max="1792" width="8.85546875" style="387"/>
    <col min="1793" max="1798" width="16.7109375" style="387" customWidth="1"/>
    <col min="1799" max="2048" width="8.85546875" style="387"/>
    <col min="2049" max="2054" width="16.7109375" style="387" customWidth="1"/>
    <col min="2055" max="2304" width="8.85546875" style="387"/>
    <col min="2305" max="2310" width="16.7109375" style="387" customWidth="1"/>
    <col min="2311" max="2560" width="8.85546875" style="387"/>
    <col min="2561" max="2566" width="16.7109375" style="387" customWidth="1"/>
    <col min="2567" max="2816" width="8.85546875" style="387"/>
    <col min="2817" max="2822" width="16.7109375" style="387" customWidth="1"/>
    <col min="2823" max="3072" width="8.85546875" style="387"/>
    <col min="3073" max="3078" width="16.7109375" style="387" customWidth="1"/>
    <col min="3079" max="3328" width="8.85546875" style="387"/>
    <col min="3329" max="3334" width="16.7109375" style="387" customWidth="1"/>
    <col min="3335" max="3584" width="8.85546875" style="387"/>
    <col min="3585" max="3590" width="16.7109375" style="387" customWidth="1"/>
    <col min="3591" max="3840" width="8.85546875" style="387"/>
    <col min="3841" max="3846" width="16.7109375" style="387" customWidth="1"/>
    <col min="3847" max="4096" width="8.85546875" style="387"/>
    <col min="4097" max="4102" width="16.7109375" style="387" customWidth="1"/>
    <col min="4103" max="4352" width="8.85546875" style="387"/>
    <col min="4353" max="4358" width="16.7109375" style="387" customWidth="1"/>
    <col min="4359" max="4608" width="8.85546875" style="387"/>
    <col min="4609" max="4614" width="16.7109375" style="387" customWidth="1"/>
    <col min="4615" max="4864" width="8.85546875" style="387"/>
    <col min="4865" max="4870" width="16.7109375" style="387" customWidth="1"/>
    <col min="4871" max="5120" width="8.85546875" style="387"/>
    <col min="5121" max="5126" width="16.7109375" style="387" customWidth="1"/>
    <col min="5127" max="5376" width="8.85546875" style="387"/>
    <col min="5377" max="5382" width="16.7109375" style="387" customWidth="1"/>
    <col min="5383" max="5632" width="8.85546875" style="387"/>
    <col min="5633" max="5638" width="16.7109375" style="387" customWidth="1"/>
    <col min="5639" max="5888" width="8.85546875" style="387"/>
    <col min="5889" max="5894" width="16.7109375" style="387" customWidth="1"/>
    <col min="5895" max="6144" width="8.85546875" style="387"/>
    <col min="6145" max="6150" width="16.7109375" style="387" customWidth="1"/>
    <col min="6151" max="6400" width="8.85546875" style="387"/>
    <col min="6401" max="6406" width="16.7109375" style="387" customWidth="1"/>
    <col min="6407" max="6656" width="8.85546875" style="387"/>
    <col min="6657" max="6662" width="16.7109375" style="387" customWidth="1"/>
    <col min="6663" max="6912" width="8.85546875" style="387"/>
    <col min="6913" max="6918" width="16.7109375" style="387" customWidth="1"/>
    <col min="6919" max="7168" width="8.85546875" style="387"/>
    <col min="7169" max="7174" width="16.7109375" style="387" customWidth="1"/>
    <col min="7175" max="7424" width="8.85546875" style="387"/>
    <col min="7425" max="7430" width="16.7109375" style="387" customWidth="1"/>
    <col min="7431" max="7680" width="8.85546875" style="387"/>
    <col min="7681" max="7686" width="16.7109375" style="387" customWidth="1"/>
    <col min="7687" max="7936" width="8.85546875" style="387"/>
    <col min="7937" max="7942" width="16.7109375" style="387" customWidth="1"/>
    <col min="7943" max="8192" width="8.85546875" style="387"/>
    <col min="8193" max="8198" width="16.7109375" style="387" customWidth="1"/>
    <col min="8199" max="8448" width="8.85546875" style="387"/>
    <col min="8449" max="8454" width="16.7109375" style="387" customWidth="1"/>
    <col min="8455" max="8704" width="8.85546875" style="387"/>
    <col min="8705" max="8710" width="16.7109375" style="387" customWidth="1"/>
    <col min="8711" max="8960" width="8.85546875" style="387"/>
    <col min="8961" max="8966" width="16.7109375" style="387" customWidth="1"/>
    <col min="8967" max="9216" width="8.85546875" style="387"/>
    <col min="9217" max="9222" width="16.7109375" style="387" customWidth="1"/>
    <col min="9223" max="9472" width="8.85546875" style="387"/>
    <col min="9473" max="9478" width="16.7109375" style="387" customWidth="1"/>
    <col min="9479" max="9728" width="8.85546875" style="387"/>
    <col min="9729" max="9734" width="16.7109375" style="387" customWidth="1"/>
    <col min="9735" max="9984" width="8.85546875" style="387"/>
    <col min="9985" max="9990" width="16.7109375" style="387" customWidth="1"/>
    <col min="9991" max="10240" width="8.85546875" style="387"/>
    <col min="10241" max="10246" width="16.7109375" style="387" customWidth="1"/>
    <col min="10247" max="10496" width="8.85546875" style="387"/>
    <col min="10497" max="10502" width="16.7109375" style="387" customWidth="1"/>
    <col min="10503" max="10752" width="8.85546875" style="387"/>
    <col min="10753" max="10758" width="16.7109375" style="387" customWidth="1"/>
    <col min="10759" max="11008" width="8.85546875" style="387"/>
    <col min="11009" max="11014" width="16.7109375" style="387" customWidth="1"/>
    <col min="11015" max="11264" width="8.85546875" style="387"/>
    <col min="11265" max="11270" width="16.7109375" style="387" customWidth="1"/>
    <col min="11271" max="11520" width="8.85546875" style="387"/>
    <col min="11521" max="11526" width="16.7109375" style="387" customWidth="1"/>
    <col min="11527" max="11776" width="8.85546875" style="387"/>
    <col min="11777" max="11782" width="16.7109375" style="387" customWidth="1"/>
    <col min="11783" max="12032" width="8.85546875" style="387"/>
    <col min="12033" max="12038" width="16.7109375" style="387" customWidth="1"/>
    <col min="12039" max="12288" width="8.85546875" style="387"/>
    <col min="12289" max="12294" width="16.7109375" style="387" customWidth="1"/>
    <col min="12295" max="12544" width="8.85546875" style="387"/>
    <col min="12545" max="12550" width="16.7109375" style="387" customWidth="1"/>
    <col min="12551" max="12800" width="8.85546875" style="387"/>
    <col min="12801" max="12806" width="16.7109375" style="387" customWidth="1"/>
    <col min="12807" max="13056" width="8.85546875" style="387"/>
    <col min="13057" max="13062" width="16.7109375" style="387" customWidth="1"/>
    <col min="13063" max="13312" width="8.85546875" style="387"/>
    <col min="13313" max="13318" width="16.7109375" style="387" customWidth="1"/>
    <col min="13319" max="13568" width="8.85546875" style="387"/>
    <col min="13569" max="13574" width="16.7109375" style="387" customWidth="1"/>
    <col min="13575" max="13824" width="8.85546875" style="387"/>
    <col min="13825" max="13830" width="16.7109375" style="387" customWidth="1"/>
    <col min="13831" max="14080" width="8.85546875" style="387"/>
    <col min="14081" max="14086" width="16.7109375" style="387" customWidth="1"/>
    <col min="14087" max="14336" width="8.85546875" style="387"/>
    <col min="14337" max="14342" width="16.7109375" style="387" customWidth="1"/>
    <col min="14343" max="14592" width="8.85546875" style="387"/>
    <col min="14593" max="14598" width="16.7109375" style="387" customWidth="1"/>
    <col min="14599" max="14848" width="8.85546875" style="387"/>
    <col min="14849" max="14854" width="16.7109375" style="387" customWidth="1"/>
    <col min="14855" max="15104" width="8.85546875" style="387"/>
    <col min="15105" max="15110" width="16.7109375" style="387" customWidth="1"/>
    <col min="15111" max="15360" width="8.85546875" style="387"/>
    <col min="15361" max="15366" width="16.7109375" style="387" customWidth="1"/>
    <col min="15367" max="15616" width="8.85546875" style="387"/>
    <col min="15617" max="15622" width="16.7109375" style="387" customWidth="1"/>
    <col min="15623" max="15872" width="8.85546875" style="387"/>
    <col min="15873" max="15878" width="16.7109375" style="387" customWidth="1"/>
    <col min="15879" max="16128" width="8.85546875" style="387"/>
    <col min="16129" max="16134" width="16.7109375" style="387" customWidth="1"/>
    <col min="16135" max="16384" width="8.85546875" style="387"/>
  </cols>
  <sheetData>
    <row r="1" spans="1:6" ht="18.95" customHeight="1">
      <c r="A1" s="399"/>
      <c r="B1" s="400"/>
      <c r="C1" s="400"/>
      <c r="D1" s="400"/>
      <c r="E1" s="400"/>
      <c r="F1" s="401"/>
    </row>
    <row r="2" spans="1:6" ht="26.1" customHeight="1">
      <c r="A2" s="402" t="s">
        <v>250</v>
      </c>
      <c r="B2" s="403"/>
      <c r="C2" s="403"/>
      <c r="D2" s="403"/>
      <c r="E2" s="403"/>
      <c r="F2" s="404"/>
    </row>
    <row r="3" spans="1:6" ht="18.95" customHeight="1">
      <c r="A3" s="520" t="s">
        <v>743</v>
      </c>
      <c r="B3" s="403"/>
      <c r="C3" s="403"/>
      <c r="D3" s="403"/>
      <c r="E3" s="403"/>
      <c r="F3" s="404"/>
    </row>
    <row r="4" spans="1:6" ht="18.95" customHeight="1">
      <c r="A4" s="656" t="s">
        <v>583</v>
      </c>
      <c r="B4" s="657"/>
      <c r="C4" s="657"/>
      <c r="D4" s="657"/>
      <c r="E4" s="657"/>
      <c r="F4" s="658"/>
    </row>
    <row r="5" spans="1:6" ht="18.95" customHeight="1">
      <c r="A5" s="405"/>
      <c r="B5" s="406"/>
      <c r="C5" s="406"/>
      <c r="D5" s="406"/>
      <c r="E5" s="406"/>
      <c r="F5" s="407"/>
    </row>
    <row r="6" spans="1:6" ht="18.95" customHeight="1">
      <c r="A6" s="364" t="s">
        <v>394</v>
      </c>
      <c r="B6" s="650" t="str">
        <f>'Performance Data Sheet'!C17</f>
        <v>9003FTQL11E-C</v>
      </c>
      <c r="C6" s="651"/>
      <c r="D6" s="652"/>
      <c r="E6" s="364" t="s">
        <v>395</v>
      </c>
      <c r="F6" s="365" t="str">
        <f>'Performance Data Sheet'!I14 &amp; " A"</f>
        <v>109 A</v>
      </c>
    </row>
    <row r="7" spans="1:6" ht="18.95" customHeight="1">
      <c r="A7" s="364" t="s">
        <v>396</v>
      </c>
      <c r="B7" s="365" t="str">
        <f>'Performance Data Sheet'!F14</f>
        <v>TEFC</v>
      </c>
      <c r="C7" s="364" t="s">
        <v>397</v>
      </c>
      <c r="D7" s="365" t="str">
        <f>'Performance Data Sheet'!F13 &amp; " V"</f>
        <v>4000 V</v>
      </c>
      <c r="E7" s="364" t="s">
        <v>398</v>
      </c>
      <c r="F7" s="365" t="str">
        <f>'Performance Data Sheet'!C14</f>
        <v>6811USS</v>
      </c>
    </row>
    <row r="8" spans="1:6" ht="18.95" customHeight="1">
      <c r="A8" s="364" t="s">
        <v>399</v>
      </c>
      <c r="B8" s="365">
        <v>2</v>
      </c>
      <c r="C8" s="364" t="s">
        <v>400</v>
      </c>
      <c r="D8" s="365" t="s">
        <v>401</v>
      </c>
      <c r="E8" s="364" t="s">
        <v>402</v>
      </c>
      <c r="F8" s="365" t="s">
        <v>343</v>
      </c>
    </row>
    <row r="9" spans="1:6" ht="18.95" customHeight="1">
      <c r="A9" s="364" t="s">
        <v>403</v>
      </c>
      <c r="B9" s="365">
        <v>900</v>
      </c>
      <c r="C9" s="364" t="s">
        <v>404</v>
      </c>
      <c r="D9" s="365" t="s">
        <v>419</v>
      </c>
      <c r="E9" s="364" t="s">
        <v>2</v>
      </c>
      <c r="F9" s="366">
        <f>'Performance Data Sheet'!K44</f>
        <v>0</v>
      </c>
    </row>
    <row r="10" spans="1:6" ht="18.95" customHeight="1">
      <c r="A10" s="364" t="s">
        <v>405</v>
      </c>
      <c r="B10" s="365">
        <v>3580</v>
      </c>
      <c r="C10" s="364" t="s">
        <v>406</v>
      </c>
      <c r="D10" s="365" t="s">
        <v>407</v>
      </c>
      <c r="E10" s="364" t="s">
        <v>1</v>
      </c>
      <c r="F10" s="365" t="s">
        <v>360</v>
      </c>
    </row>
    <row r="11" spans="1:6" ht="18.95" customHeight="1">
      <c r="A11" s="361"/>
      <c r="B11" s="362"/>
      <c r="C11" s="362"/>
      <c r="D11" s="362"/>
      <c r="E11" s="362"/>
      <c r="F11" s="363"/>
    </row>
    <row r="12" spans="1:6" ht="18.95" customHeight="1">
      <c r="A12" s="361"/>
      <c r="B12" s="367" t="s">
        <v>408</v>
      </c>
      <c r="C12" s="368" t="str">
        <f>'Performance Data Sheet'!D22 &amp; " A"</f>
        <v>692 A</v>
      </c>
      <c r="D12" s="367" t="s">
        <v>409</v>
      </c>
      <c r="E12" s="368" t="s">
        <v>407</v>
      </c>
      <c r="F12" s="363"/>
    </row>
    <row r="13" spans="1:6" ht="18.95" customHeight="1">
      <c r="A13" s="361"/>
      <c r="B13" s="367" t="s">
        <v>410</v>
      </c>
      <c r="C13" s="369">
        <v>0.75</v>
      </c>
      <c r="D13" s="367" t="s">
        <v>411</v>
      </c>
      <c r="E13" s="368" t="s">
        <v>407</v>
      </c>
      <c r="F13" s="363"/>
    </row>
    <row r="14" spans="1:6" ht="18.95" customHeight="1">
      <c r="A14" s="361"/>
      <c r="B14" s="367" t="s">
        <v>412</v>
      </c>
      <c r="C14" s="369">
        <v>2.75</v>
      </c>
      <c r="D14" s="367" t="s">
        <v>413</v>
      </c>
      <c r="E14" s="368" t="s">
        <v>407</v>
      </c>
      <c r="F14" s="363"/>
    </row>
    <row r="15" spans="1:6" ht="18.95" customHeight="1">
      <c r="A15" s="361"/>
      <c r="B15" s="367" t="s">
        <v>414</v>
      </c>
      <c r="C15" s="368" t="s">
        <v>420</v>
      </c>
      <c r="D15" s="362"/>
      <c r="E15" s="362"/>
      <c r="F15" s="363"/>
    </row>
    <row r="16" spans="1:6" ht="18.95" customHeight="1">
      <c r="A16" s="405"/>
      <c r="B16" s="406"/>
      <c r="C16" s="406"/>
      <c r="D16" s="406"/>
      <c r="E16" s="406"/>
      <c r="F16" s="407"/>
    </row>
    <row r="17" spans="1:8" ht="18.95" customHeight="1">
      <c r="A17" s="405"/>
      <c r="B17" s="406"/>
      <c r="C17" s="406"/>
      <c r="D17" s="406"/>
      <c r="E17" s="406"/>
      <c r="F17" s="407"/>
    </row>
    <row r="18" spans="1:8" ht="18.95" customHeight="1">
      <c r="A18" s="405"/>
      <c r="B18" s="406"/>
      <c r="C18" s="406"/>
      <c r="D18" s="406"/>
      <c r="E18" s="406"/>
      <c r="F18" s="407"/>
    </row>
    <row r="19" spans="1:8" ht="18.95" customHeight="1">
      <c r="A19" s="405"/>
      <c r="B19" s="406"/>
      <c r="C19" s="406"/>
      <c r="D19" s="406"/>
      <c r="E19" s="406"/>
      <c r="F19" s="407"/>
    </row>
    <row r="20" spans="1:8" ht="18.95" customHeight="1">
      <c r="A20" s="405"/>
      <c r="B20" s="406"/>
      <c r="C20" s="406"/>
      <c r="D20" s="406"/>
      <c r="E20" s="406"/>
      <c r="F20" s="407"/>
    </row>
    <row r="21" spans="1:8" ht="18.95" customHeight="1">
      <c r="A21" s="405"/>
      <c r="B21" s="406"/>
      <c r="C21" s="406"/>
      <c r="D21" s="406"/>
      <c r="E21" s="406"/>
      <c r="F21" s="407"/>
    </row>
    <row r="22" spans="1:8" ht="18.95" customHeight="1">
      <c r="A22" s="405"/>
      <c r="B22" s="406"/>
      <c r="C22" s="406"/>
      <c r="D22" s="406"/>
      <c r="E22" s="406"/>
      <c r="F22" s="407"/>
    </row>
    <row r="23" spans="1:8" ht="18.95" customHeight="1">
      <c r="A23" s="405"/>
      <c r="B23" s="406"/>
      <c r="C23" s="406"/>
      <c r="D23" s="406"/>
      <c r="E23" s="406"/>
      <c r="F23" s="407"/>
    </row>
    <row r="24" spans="1:8" ht="18.95" customHeight="1">
      <c r="A24" s="405"/>
      <c r="B24" s="406"/>
      <c r="C24" s="406"/>
      <c r="D24" s="406"/>
      <c r="E24" s="406"/>
      <c r="F24" s="407"/>
      <c r="H24" s="521"/>
    </row>
    <row r="25" spans="1:8" ht="18.95" customHeight="1">
      <c r="A25" s="405"/>
      <c r="B25" s="406"/>
      <c r="C25" s="406"/>
      <c r="D25" s="406"/>
      <c r="E25" s="406"/>
      <c r="F25" s="407"/>
    </row>
    <row r="26" spans="1:8" ht="18.95" customHeight="1">
      <c r="A26" s="405"/>
      <c r="B26" s="406"/>
      <c r="C26" s="406"/>
      <c r="D26" s="406"/>
      <c r="E26" s="406"/>
      <c r="F26" s="407"/>
    </row>
    <row r="27" spans="1:8" ht="18.95" customHeight="1">
      <c r="A27" s="405"/>
      <c r="B27" s="406"/>
      <c r="C27" s="406"/>
      <c r="D27" s="406"/>
      <c r="E27" s="406"/>
      <c r="F27" s="407"/>
    </row>
    <row r="28" spans="1:8" ht="18.95" customHeight="1">
      <c r="A28" s="405"/>
      <c r="B28" s="406"/>
      <c r="C28" s="406"/>
      <c r="D28" s="406"/>
      <c r="E28" s="406"/>
      <c r="F28" s="407"/>
    </row>
    <row r="29" spans="1:8" ht="18.95" customHeight="1">
      <c r="A29" s="405"/>
      <c r="B29" s="406"/>
      <c r="C29" s="406"/>
      <c r="D29" s="406"/>
      <c r="E29" s="406"/>
      <c r="F29" s="407"/>
    </row>
    <row r="30" spans="1:8" ht="18.95" customHeight="1">
      <c r="A30" s="405"/>
      <c r="B30" s="406"/>
      <c r="C30" s="406"/>
      <c r="D30" s="406"/>
      <c r="E30" s="406"/>
      <c r="F30" s="407"/>
    </row>
    <row r="31" spans="1:8" ht="18.95" customHeight="1">
      <c r="A31" s="405"/>
      <c r="B31" s="406"/>
      <c r="C31" s="406"/>
      <c r="D31" s="406"/>
      <c r="E31" s="406"/>
      <c r="F31" s="407"/>
    </row>
    <row r="32" spans="1:8" ht="18.95" customHeight="1">
      <c r="A32" s="405"/>
      <c r="B32" s="406"/>
      <c r="C32" s="406"/>
      <c r="D32" s="406"/>
      <c r="E32" s="406"/>
      <c r="F32" s="407"/>
    </row>
    <row r="33" spans="1:6" ht="18.95" customHeight="1">
      <c r="A33" s="405"/>
      <c r="B33" s="406"/>
      <c r="C33" s="406"/>
      <c r="D33" s="406"/>
      <c r="E33" s="406"/>
      <c r="F33" s="407"/>
    </row>
    <row r="34" spans="1:6" ht="18.95" customHeight="1">
      <c r="A34" s="405"/>
      <c r="B34" s="406"/>
      <c r="C34" s="406"/>
      <c r="D34" s="406"/>
      <c r="E34" s="406"/>
      <c r="F34" s="407"/>
    </row>
    <row r="35" spans="1:6" ht="18.95" customHeight="1">
      <c r="A35" s="405"/>
      <c r="B35" s="406"/>
      <c r="C35" s="406"/>
      <c r="D35" s="406"/>
      <c r="E35" s="406"/>
      <c r="F35" s="407"/>
    </row>
    <row r="36" spans="1:6" ht="18.95" customHeight="1">
      <c r="A36" s="405"/>
      <c r="B36" s="406"/>
      <c r="C36" s="406"/>
      <c r="D36" s="406"/>
      <c r="E36" s="406"/>
      <c r="F36" s="407"/>
    </row>
    <row r="37" spans="1:6" ht="18.95" customHeight="1">
      <c r="A37" s="405"/>
      <c r="B37" s="406"/>
      <c r="C37" s="406"/>
      <c r="D37" s="406"/>
      <c r="E37" s="406"/>
      <c r="F37" s="407"/>
    </row>
    <row r="38" spans="1:6" ht="18.95" customHeight="1">
      <c r="A38" s="405"/>
      <c r="B38" s="406"/>
      <c r="C38" s="406"/>
      <c r="D38" s="406"/>
      <c r="E38" s="406"/>
      <c r="F38" s="407"/>
    </row>
    <row r="39" spans="1:6" ht="18.95" customHeight="1">
      <c r="A39" s="370" t="s">
        <v>415</v>
      </c>
      <c r="B39" s="371" t="s">
        <v>351</v>
      </c>
      <c r="C39" s="371">
        <f>'Performance Data Sheet'!C10</f>
        <v>0</v>
      </c>
      <c r="D39" s="362"/>
      <c r="E39" s="367" t="s">
        <v>416</v>
      </c>
      <c r="F39" s="372" t="str">
        <f>F10</f>
        <v>CS2900U</v>
      </c>
    </row>
    <row r="40" spans="1:6" ht="18.95" customHeight="1">
      <c r="A40" s="361"/>
      <c r="B40" s="371"/>
      <c r="C40" s="371"/>
      <c r="D40" s="362"/>
      <c r="E40" s="362"/>
      <c r="F40" s="363"/>
    </row>
    <row r="41" spans="1:6" ht="18.95" customHeight="1">
      <c r="A41" s="361"/>
      <c r="B41" s="371"/>
      <c r="C41" s="371"/>
      <c r="D41" s="362"/>
      <c r="E41" s="362"/>
      <c r="F41" s="363"/>
    </row>
    <row r="42" spans="1:6" ht="18.95" customHeight="1">
      <c r="A42" s="361"/>
      <c r="B42" s="362"/>
      <c r="C42" s="362"/>
      <c r="D42" s="362"/>
      <c r="E42" s="362"/>
      <c r="F42" s="363"/>
    </row>
    <row r="43" spans="1:6" ht="18.95" customHeight="1">
      <c r="A43" s="373"/>
      <c r="B43" s="371"/>
      <c r="C43" s="374" t="s">
        <v>417</v>
      </c>
      <c r="D43" s="375">
        <f>'Performance Data Sheet'!K42</f>
        <v>0</v>
      </c>
      <c r="E43" s="374" t="s">
        <v>418</v>
      </c>
      <c r="F43" s="375" t="s">
        <v>635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3" ht="15" customHeight="1"/>
    <row r="50" spans="1:13" ht="15" customHeight="1"/>
    <row r="51" spans="1:13" ht="15" customHeight="1"/>
    <row r="52" spans="1:13" ht="15" customHeight="1" thickBot="1">
      <c r="I52" s="3">
        <v>25</v>
      </c>
      <c r="J52" s="3">
        <v>50</v>
      </c>
      <c r="K52" s="3">
        <v>75</v>
      </c>
      <c r="L52" s="3">
        <v>100</v>
      </c>
      <c r="M52" s="16">
        <v>125</v>
      </c>
    </row>
    <row r="53" spans="1:13" ht="15" customHeight="1" thickBot="1">
      <c r="A53" s="522" t="s">
        <v>421</v>
      </c>
      <c r="B53" s="522" t="s">
        <v>142</v>
      </c>
      <c r="C53" s="522" t="s">
        <v>120</v>
      </c>
      <c r="D53" s="522" t="s">
        <v>135</v>
      </c>
      <c r="E53" s="522" t="s">
        <v>5</v>
      </c>
      <c r="F53" s="523" t="s">
        <v>744</v>
      </c>
      <c r="I53" s="69" t="s">
        <v>223</v>
      </c>
      <c r="J53" s="69" t="s">
        <v>224</v>
      </c>
      <c r="K53" s="69" t="s">
        <v>225</v>
      </c>
      <c r="L53" s="69" t="s">
        <v>226</v>
      </c>
      <c r="M53" s="73" t="s">
        <v>227</v>
      </c>
    </row>
    <row r="54" spans="1:13" ht="15" customHeight="1">
      <c r="A54" s="524">
        <v>0</v>
      </c>
      <c r="B54" s="525"/>
      <c r="C54" s="526"/>
      <c r="D54" s="526">
        <v>19.100000000000001</v>
      </c>
      <c r="E54" s="526">
        <v>100</v>
      </c>
      <c r="F54" s="527">
        <v>2</v>
      </c>
      <c r="I54" s="68" t="s">
        <v>213</v>
      </c>
      <c r="J54" s="68" t="s">
        <v>214</v>
      </c>
      <c r="K54" s="68" t="s">
        <v>215</v>
      </c>
      <c r="L54" s="68" t="s">
        <v>216</v>
      </c>
      <c r="M54" s="72" t="s">
        <v>217</v>
      </c>
    </row>
    <row r="55" spans="1:13" ht="15" customHeight="1">
      <c r="A55" s="528">
        <v>25</v>
      </c>
      <c r="B55" s="529">
        <v>89.7</v>
      </c>
      <c r="C55" s="530">
        <v>80.840988159179688</v>
      </c>
      <c r="D55" s="530">
        <v>33.5</v>
      </c>
      <c r="E55" s="530">
        <v>84.953780856173907</v>
      </c>
      <c r="F55" s="531">
        <v>10.400190859054634</v>
      </c>
      <c r="I55" s="68" t="s">
        <v>218</v>
      </c>
      <c r="J55" s="68" t="s">
        <v>219</v>
      </c>
      <c r="K55" s="68" t="s">
        <v>220</v>
      </c>
      <c r="L55" s="68" t="s">
        <v>221</v>
      </c>
      <c r="M55" s="72" t="s">
        <v>222</v>
      </c>
    </row>
    <row r="56" spans="1:13" ht="15" customHeight="1">
      <c r="A56" s="528">
        <v>50</v>
      </c>
      <c r="B56" s="529">
        <v>93.6</v>
      </c>
      <c r="C56" s="530">
        <v>90.806556701660156</v>
      </c>
      <c r="D56" s="530">
        <v>57</v>
      </c>
      <c r="E56" s="530">
        <v>73.173274768775613</v>
      </c>
      <c r="F56" s="531">
        <v>19.926360662294872</v>
      </c>
      <c r="I56" s="67" t="s">
        <v>236</v>
      </c>
      <c r="J56" s="67" t="s">
        <v>237</v>
      </c>
      <c r="K56" s="67" t="s">
        <v>238</v>
      </c>
      <c r="L56" s="67" t="s">
        <v>239</v>
      </c>
      <c r="M56" s="71" t="s">
        <v>240</v>
      </c>
    </row>
    <row r="57" spans="1:13">
      <c r="A57" s="528">
        <v>75</v>
      </c>
      <c r="B57" s="529">
        <v>94.8</v>
      </c>
      <c r="C57" s="530">
        <v>92.914451599121094</v>
      </c>
      <c r="D57" s="530">
        <v>82.5</v>
      </c>
      <c r="E57" s="530">
        <v>61.163878347538223</v>
      </c>
      <c r="F57" s="531">
        <v>29.509159353353628</v>
      </c>
      <c r="I57" s="70" t="s">
        <v>231</v>
      </c>
      <c r="J57" s="70" t="s">
        <v>232</v>
      </c>
      <c r="K57" s="70" t="s">
        <v>233</v>
      </c>
      <c r="L57" s="70" t="s">
        <v>234</v>
      </c>
      <c r="M57" s="74" t="s">
        <v>235</v>
      </c>
    </row>
    <row r="58" spans="1:13">
      <c r="A58" s="528">
        <v>100</v>
      </c>
      <c r="B58" s="529">
        <v>95.3</v>
      </c>
      <c r="C58" s="530">
        <v>93.291389465332031</v>
      </c>
      <c r="D58" s="530">
        <v>109</v>
      </c>
      <c r="E58" s="530">
        <v>48.739247604660136</v>
      </c>
      <c r="F58" s="531">
        <v>39.153877549558594</v>
      </c>
    </row>
    <row r="59" spans="1:13" ht="13.5" thickBot="1">
      <c r="A59" s="532">
        <v>125</v>
      </c>
      <c r="B59" s="533">
        <v>95.5</v>
      </c>
      <c r="C59" s="534">
        <v>93.000137329101563</v>
      </c>
      <c r="D59" s="534">
        <v>136</v>
      </c>
      <c r="E59" s="534">
        <v>36.621943510811242</v>
      </c>
      <c r="F59" s="535">
        <v>48.862133606524857</v>
      </c>
    </row>
    <row r="60" spans="1:13">
      <c r="A60" s="536"/>
      <c r="B60" s="537"/>
      <c r="C60" s="537"/>
    </row>
    <row r="61" spans="1:13">
      <c r="A61" s="536"/>
      <c r="B61" s="537"/>
      <c r="C61" s="537"/>
    </row>
    <row r="62" spans="1:13">
      <c r="A62" s="536"/>
      <c r="B62" s="537"/>
      <c r="C62" s="537"/>
    </row>
    <row r="63" spans="1:13">
      <c r="A63" s="536"/>
      <c r="B63" s="537"/>
      <c r="C63" s="537"/>
    </row>
    <row r="64" spans="1:13">
      <c r="A64" s="536"/>
      <c r="B64" s="537"/>
      <c r="C64" s="537"/>
    </row>
    <row r="65" spans="1:3">
      <c r="A65" s="536"/>
      <c r="B65" s="537"/>
      <c r="C65" s="537"/>
    </row>
    <row r="66" spans="1:3">
      <c r="A66" s="536"/>
      <c r="B66" s="537"/>
      <c r="C66" s="537"/>
    </row>
    <row r="67" spans="1:3">
      <c r="A67" s="538"/>
      <c r="B67" s="537"/>
      <c r="C67" s="53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1"/>
  <sheetViews>
    <sheetView workbookViewId="0">
      <selection activeCell="A12" sqref="A12:F12"/>
    </sheetView>
  </sheetViews>
  <sheetFormatPr defaultRowHeight="12.75"/>
  <cols>
    <col min="1" max="6" width="14.7109375" customWidth="1"/>
  </cols>
  <sheetData>
    <row r="1" spans="1:7" ht="20.25">
      <c r="A1" s="679" t="s">
        <v>368</v>
      </c>
      <c r="B1" s="679"/>
      <c r="C1" s="679"/>
      <c r="D1" s="679"/>
      <c r="E1" s="679"/>
      <c r="F1" s="679"/>
    </row>
    <row r="2" spans="1:7" ht="19.5" thickBot="1">
      <c r="A2" s="336"/>
      <c r="B2" s="336"/>
      <c r="C2" s="680" t="s">
        <v>380</v>
      </c>
      <c r="D2" s="680"/>
      <c r="E2" s="336"/>
      <c r="F2" s="336"/>
      <c r="G2" s="336"/>
    </row>
    <row r="3" spans="1:7" ht="19.5">
      <c r="A3" s="667" t="s">
        <v>369</v>
      </c>
      <c r="B3" s="668"/>
      <c r="C3" s="669"/>
      <c r="D3" s="667" t="s">
        <v>370</v>
      </c>
      <c r="E3" s="668"/>
      <c r="F3" s="669"/>
      <c r="G3" s="336"/>
    </row>
    <row r="4" spans="1:7" ht="15.75">
      <c r="A4" s="337" t="s">
        <v>381</v>
      </c>
      <c r="B4" s="681" t="s">
        <v>383</v>
      </c>
      <c r="C4" s="674"/>
      <c r="D4" s="682" t="s">
        <v>384</v>
      </c>
      <c r="E4" s="683"/>
      <c r="F4" s="684"/>
      <c r="G4" s="336"/>
    </row>
    <row r="5" spans="1:7" ht="16.5" thickBot="1">
      <c r="A5" s="338" t="s">
        <v>382</v>
      </c>
      <c r="B5" s="662" t="s">
        <v>382</v>
      </c>
      <c r="C5" s="663"/>
      <c r="D5" s="664" t="s">
        <v>385</v>
      </c>
      <c r="E5" s="665"/>
      <c r="F5" s="666"/>
      <c r="G5" s="336"/>
    </row>
    <row r="6" spans="1:7" ht="19.5">
      <c r="A6" s="667" t="s">
        <v>371</v>
      </c>
      <c r="B6" s="668"/>
      <c r="C6" s="668"/>
      <c r="D6" s="668"/>
      <c r="E6" s="668"/>
      <c r="F6" s="669"/>
      <c r="G6" s="336"/>
    </row>
    <row r="7" spans="1:7" ht="15.75">
      <c r="A7" s="339" t="s">
        <v>372</v>
      </c>
      <c r="B7" s="340" t="s">
        <v>631</v>
      </c>
      <c r="C7" s="341" t="s">
        <v>373</v>
      </c>
      <c r="D7" s="342" t="s">
        <v>632</v>
      </c>
      <c r="E7" s="670" t="s">
        <v>374</v>
      </c>
      <c r="F7" s="671"/>
      <c r="G7" s="336"/>
    </row>
    <row r="8" spans="1:7" ht="16.5" thickBot="1">
      <c r="A8" s="343"/>
      <c r="B8" s="344" t="s">
        <v>382</v>
      </c>
      <c r="C8" s="345"/>
      <c r="D8" s="346" t="s">
        <v>382</v>
      </c>
      <c r="E8" s="672" t="s">
        <v>633</v>
      </c>
      <c r="F8" s="666"/>
      <c r="G8" s="336"/>
    </row>
    <row r="9" spans="1:7" ht="19.5">
      <c r="A9" s="667" t="s">
        <v>375</v>
      </c>
      <c r="B9" s="668"/>
      <c r="C9" s="669"/>
      <c r="D9" s="667" t="s">
        <v>376</v>
      </c>
      <c r="E9" s="668"/>
      <c r="F9" s="669"/>
      <c r="G9" s="336"/>
    </row>
    <row r="10" spans="1:7" ht="15.75">
      <c r="A10" s="347" t="s">
        <v>377</v>
      </c>
      <c r="B10" s="673">
        <v>7.49</v>
      </c>
      <c r="C10" s="674"/>
      <c r="D10" s="675" t="s">
        <v>386</v>
      </c>
      <c r="E10" s="676"/>
      <c r="F10" s="348" t="s">
        <v>387</v>
      </c>
      <c r="G10" s="336"/>
    </row>
    <row r="11" spans="1:7" ht="16.5" thickBot="1">
      <c r="A11" s="349" t="s">
        <v>378</v>
      </c>
      <c r="B11" s="665">
        <v>3.34</v>
      </c>
      <c r="C11" s="666"/>
      <c r="D11" s="677"/>
      <c r="E11" s="678"/>
      <c r="F11" s="350" t="s">
        <v>382</v>
      </c>
      <c r="G11" s="336"/>
    </row>
    <row r="12" spans="1:7" ht="19.5">
      <c r="A12" s="667" t="s">
        <v>379</v>
      </c>
      <c r="B12" s="668"/>
      <c r="C12" s="668"/>
      <c r="D12" s="668"/>
      <c r="E12" s="668"/>
      <c r="F12" s="669"/>
      <c r="G12" s="336"/>
    </row>
    <row r="13" spans="1:7" ht="16.5" thickBot="1">
      <c r="A13" s="659" t="s">
        <v>388</v>
      </c>
      <c r="B13" s="660"/>
      <c r="C13" s="661" t="s">
        <v>389</v>
      </c>
      <c r="D13" s="661"/>
      <c r="E13" s="661"/>
      <c r="F13" s="351"/>
      <c r="G13" s="336"/>
    </row>
    <row r="14" spans="1:7" ht="18.95" customHeight="1">
      <c r="A14" s="352"/>
      <c r="B14" s="352"/>
      <c r="C14" s="352"/>
      <c r="D14" s="352"/>
      <c r="E14" s="352"/>
      <c r="F14" s="352"/>
      <c r="G14" s="336"/>
    </row>
    <row r="15" spans="1:7" ht="15.75">
      <c r="G15" s="336"/>
    </row>
    <row r="16" spans="1:7" ht="15.75">
      <c r="G16" s="336"/>
    </row>
    <row r="17" spans="7:7" ht="15.75">
      <c r="G17" s="336"/>
    </row>
    <row r="18" spans="7:7" ht="15.75">
      <c r="G18" s="336"/>
    </row>
    <row r="19" spans="7:7" ht="15.75">
      <c r="G19" s="336"/>
    </row>
    <row r="20" spans="7:7" ht="15.75">
      <c r="G20" s="336"/>
    </row>
    <row r="21" spans="7:7" ht="15.75">
      <c r="G21" s="336"/>
    </row>
    <row r="22" spans="7:7" ht="15.75">
      <c r="G22" s="336"/>
    </row>
    <row r="23" spans="7:7" ht="15.75">
      <c r="G23" s="336"/>
    </row>
    <row r="24" spans="7:7" ht="15.75">
      <c r="G24" s="336"/>
    </row>
    <row r="25" spans="7:7" ht="15.75">
      <c r="G25" s="336"/>
    </row>
    <row r="26" spans="7:7" ht="15.75">
      <c r="G26" s="336"/>
    </row>
    <row r="27" spans="7:7" ht="18.95" customHeight="1">
      <c r="G27" s="336"/>
    </row>
    <row r="28" spans="7:7" ht="15.75">
      <c r="G28" s="336"/>
    </row>
    <row r="29" spans="7:7" ht="15.75">
      <c r="G29" s="336"/>
    </row>
    <row r="30" spans="7:7" ht="15.75">
      <c r="G30" s="336"/>
    </row>
    <row r="31" spans="7:7" ht="15.75">
      <c r="G31" s="336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61"/>
  <sheetViews>
    <sheetView topLeftCell="A4" workbookViewId="0"/>
  </sheetViews>
  <sheetFormatPr defaultColWidth="9.140625" defaultRowHeight="12.75"/>
  <cols>
    <col min="1" max="1" width="19.7109375" style="387" customWidth="1"/>
    <col min="2" max="7" width="10.7109375" style="387" customWidth="1"/>
    <col min="8" max="16384" width="9.140625" style="387"/>
  </cols>
  <sheetData>
    <row r="1" spans="1:12" ht="21" customHeight="1">
      <c r="A1" s="386" t="s">
        <v>427</v>
      </c>
      <c r="B1" s="694" t="s">
        <v>466</v>
      </c>
      <c r="C1" s="694"/>
      <c r="D1" s="694"/>
      <c r="E1" s="694"/>
      <c r="F1" s="694"/>
      <c r="G1" s="694"/>
    </row>
    <row r="2" spans="1:12" ht="15" customHeight="1"/>
    <row r="3" spans="1:12" ht="20.25">
      <c r="A3" s="388" t="s">
        <v>428</v>
      </c>
    </row>
    <row r="4" spans="1:12" ht="12" customHeight="1">
      <c r="A4" s="389"/>
      <c r="B4" s="389"/>
      <c r="C4" s="389"/>
      <c r="D4" s="389" t="s">
        <v>480</v>
      </c>
      <c r="E4" s="389"/>
      <c r="F4" s="389"/>
      <c r="G4" s="389"/>
      <c r="H4" s="389"/>
      <c r="I4" s="389"/>
      <c r="J4" s="389"/>
      <c r="K4" s="389"/>
      <c r="L4" s="389"/>
    </row>
    <row r="5" spans="1:12" ht="15.6" customHeight="1">
      <c r="A5" s="390" t="s">
        <v>5</v>
      </c>
      <c r="B5" s="390" t="s">
        <v>429</v>
      </c>
      <c r="C5" s="390" t="s">
        <v>430</v>
      </c>
      <c r="D5" s="390" t="s">
        <v>431</v>
      </c>
      <c r="E5" s="390" t="s">
        <v>432</v>
      </c>
      <c r="F5" s="390" t="s">
        <v>433</v>
      </c>
      <c r="G5" s="390" t="s">
        <v>434</v>
      </c>
      <c r="H5" s="389"/>
      <c r="I5" s="389"/>
      <c r="J5" s="389"/>
      <c r="K5" s="389"/>
      <c r="L5" s="389"/>
    </row>
    <row r="6" spans="1:12" ht="15.6" customHeight="1">
      <c r="A6" s="391" t="s">
        <v>435</v>
      </c>
      <c r="B6" s="391" t="s">
        <v>165</v>
      </c>
      <c r="C6" s="391" t="s">
        <v>165</v>
      </c>
      <c r="D6" s="391" t="s">
        <v>436</v>
      </c>
      <c r="E6" s="391" t="s">
        <v>135</v>
      </c>
      <c r="F6" s="391" t="s">
        <v>437</v>
      </c>
      <c r="G6" s="391" t="s">
        <v>437</v>
      </c>
      <c r="H6" s="389"/>
      <c r="I6" s="389"/>
      <c r="J6" s="389"/>
      <c r="K6" s="389"/>
      <c r="L6" s="389"/>
    </row>
    <row r="7" spans="1:12" ht="15.95" customHeight="1">
      <c r="A7" s="392" t="s">
        <v>467</v>
      </c>
      <c r="B7" s="392" t="s">
        <v>481</v>
      </c>
      <c r="C7" s="392" t="s">
        <v>490</v>
      </c>
      <c r="D7" s="392" t="s">
        <v>502</v>
      </c>
      <c r="E7" s="392" t="s">
        <v>514</v>
      </c>
      <c r="F7" s="392" t="s">
        <v>527</v>
      </c>
      <c r="G7" s="392" t="s">
        <v>540</v>
      </c>
      <c r="H7" s="389"/>
      <c r="I7" s="389"/>
      <c r="J7" s="389"/>
      <c r="K7" s="389"/>
      <c r="L7" s="389"/>
    </row>
    <row r="8" spans="1:12" ht="15.95" customHeight="1">
      <c r="A8" s="392" t="s">
        <v>468</v>
      </c>
      <c r="B8" s="392" t="s">
        <v>481</v>
      </c>
      <c r="C8" s="392" t="s">
        <v>491</v>
      </c>
      <c r="D8" s="392" t="s">
        <v>503</v>
      </c>
      <c r="E8" s="392" t="s">
        <v>515</v>
      </c>
      <c r="F8" s="392" t="s">
        <v>528</v>
      </c>
      <c r="G8" s="392" t="s">
        <v>541</v>
      </c>
      <c r="H8" s="389"/>
      <c r="I8" s="389"/>
      <c r="J8" s="389"/>
      <c r="K8" s="389"/>
      <c r="L8" s="389"/>
    </row>
    <row r="9" spans="1:12" ht="15.95" customHeight="1">
      <c r="A9" s="392" t="s">
        <v>469</v>
      </c>
      <c r="B9" s="392" t="s">
        <v>481</v>
      </c>
      <c r="C9" s="392" t="s">
        <v>492</v>
      </c>
      <c r="D9" s="392" t="s">
        <v>504</v>
      </c>
      <c r="E9" s="392" t="s">
        <v>516</v>
      </c>
      <c r="F9" s="392" t="s">
        <v>529</v>
      </c>
      <c r="G9" s="392" t="s">
        <v>542</v>
      </c>
      <c r="H9" s="389"/>
      <c r="I9" s="389"/>
      <c r="J9" s="389"/>
      <c r="K9" s="389"/>
      <c r="L9" s="389"/>
    </row>
    <row r="10" spans="1:12" ht="15.95" customHeight="1">
      <c r="A10" s="392" t="s">
        <v>470</v>
      </c>
      <c r="B10" s="392" t="s">
        <v>481</v>
      </c>
      <c r="C10" s="392" t="s">
        <v>492</v>
      </c>
      <c r="D10" s="392" t="s">
        <v>504</v>
      </c>
      <c r="E10" s="392" t="s">
        <v>517</v>
      </c>
      <c r="F10" s="392" t="s">
        <v>530</v>
      </c>
      <c r="G10" s="392" t="s">
        <v>543</v>
      </c>
      <c r="H10" s="389"/>
      <c r="I10" s="389"/>
      <c r="J10" s="389"/>
      <c r="K10" s="389"/>
      <c r="L10" s="389"/>
    </row>
    <row r="11" spans="1:12" ht="15.95" customHeight="1">
      <c r="A11" s="392" t="s">
        <v>471</v>
      </c>
      <c r="B11" s="392" t="s">
        <v>481</v>
      </c>
      <c r="C11" s="392" t="s">
        <v>493</v>
      </c>
      <c r="D11" s="392" t="s">
        <v>505</v>
      </c>
      <c r="E11" s="392" t="s">
        <v>518</v>
      </c>
      <c r="F11" s="392" t="s">
        <v>531</v>
      </c>
      <c r="G11" s="392" t="s">
        <v>544</v>
      </c>
      <c r="H11" s="389"/>
      <c r="I11" s="389"/>
      <c r="J11" s="389"/>
      <c r="K11" s="389"/>
      <c r="L11" s="389"/>
    </row>
    <row r="12" spans="1:12" ht="15.95" customHeight="1">
      <c r="A12" s="392" t="s">
        <v>472</v>
      </c>
      <c r="B12" s="392" t="s">
        <v>482</v>
      </c>
      <c r="C12" s="392" t="s">
        <v>494</v>
      </c>
      <c r="D12" s="392" t="s">
        <v>506</v>
      </c>
      <c r="E12" s="392" t="s">
        <v>519</v>
      </c>
      <c r="F12" s="392" t="s">
        <v>532</v>
      </c>
      <c r="G12" s="392" t="s">
        <v>545</v>
      </c>
      <c r="H12" s="389"/>
      <c r="I12" s="389"/>
      <c r="J12" s="389"/>
      <c r="K12" s="389"/>
      <c r="L12" s="389"/>
    </row>
    <row r="13" spans="1:12" ht="15.95" customHeight="1">
      <c r="A13" s="392" t="s">
        <v>473</v>
      </c>
      <c r="B13" s="392" t="s">
        <v>483</v>
      </c>
      <c r="C13" s="392" t="s">
        <v>495</v>
      </c>
      <c r="D13" s="392" t="s">
        <v>507</v>
      </c>
      <c r="E13" s="392" t="s">
        <v>520</v>
      </c>
      <c r="F13" s="392" t="s">
        <v>533</v>
      </c>
      <c r="G13" s="392" t="s">
        <v>546</v>
      </c>
      <c r="H13" s="389"/>
      <c r="I13" s="389"/>
      <c r="J13" s="389"/>
      <c r="K13" s="389"/>
      <c r="L13" s="389"/>
    </row>
    <row r="14" spans="1:12" ht="15.95" customHeight="1">
      <c r="A14" s="392" t="s">
        <v>474</v>
      </c>
      <c r="B14" s="392" t="s">
        <v>484</v>
      </c>
      <c r="C14" s="392" t="s">
        <v>496</v>
      </c>
      <c r="D14" s="392" t="s">
        <v>508</v>
      </c>
      <c r="E14" s="392" t="s">
        <v>521</v>
      </c>
      <c r="F14" s="392" t="s">
        <v>534</v>
      </c>
      <c r="G14" s="392" t="s">
        <v>547</v>
      </c>
      <c r="H14" s="389"/>
      <c r="I14" s="389"/>
      <c r="J14" s="389"/>
      <c r="K14" s="389"/>
      <c r="L14" s="389"/>
    </row>
    <row r="15" spans="1:12" ht="15.95" customHeight="1">
      <c r="A15" s="392" t="s">
        <v>475</v>
      </c>
      <c r="B15" s="392" t="s">
        <v>485</v>
      </c>
      <c r="C15" s="392" t="s">
        <v>497</v>
      </c>
      <c r="D15" s="392" t="s">
        <v>509</v>
      </c>
      <c r="E15" s="392" t="s">
        <v>522</v>
      </c>
      <c r="F15" s="392" t="s">
        <v>535</v>
      </c>
      <c r="G15" s="392" t="s">
        <v>548</v>
      </c>
      <c r="H15" s="389"/>
      <c r="I15" s="389"/>
      <c r="J15" s="389"/>
      <c r="K15" s="389"/>
      <c r="L15" s="389"/>
    </row>
    <row r="16" spans="1:12" ht="15.95" customHeight="1">
      <c r="A16" s="392" t="s">
        <v>476</v>
      </c>
      <c r="B16" s="392" t="s">
        <v>486</v>
      </c>
      <c r="C16" s="392" t="s">
        <v>498</v>
      </c>
      <c r="D16" s="392" t="s">
        <v>510</v>
      </c>
      <c r="E16" s="392" t="s">
        <v>523</v>
      </c>
      <c r="F16" s="392" t="s">
        <v>536</v>
      </c>
      <c r="G16" s="392" t="s">
        <v>549</v>
      </c>
      <c r="H16" s="389"/>
      <c r="I16" s="389"/>
      <c r="J16" s="389"/>
      <c r="K16" s="389"/>
      <c r="L16" s="389"/>
    </row>
    <row r="17" spans="1:12" ht="15.95" customHeight="1">
      <c r="A17" s="392" t="s">
        <v>477</v>
      </c>
      <c r="B17" s="392" t="s">
        <v>487</v>
      </c>
      <c r="C17" s="392" t="s">
        <v>499</v>
      </c>
      <c r="D17" s="392" t="s">
        <v>511</v>
      </c>
      <c r="E17" s="392" t="s">
        <v>524</v>
      </c>
      <c r="F17" s="392" t="s">
        <v>537</v>
      </c>
      <c r="G17" s="392" t="s">
        <v>550</v>
      </c>
      <c r="H17" s="389"/>
      <c r="I17" s="389"/>
      <c r="J17" s="389"/>
      <c r="K17" s="389"/>
      <c r="L17" s="389"/>
    </row>
    <row r="18" spans="1:12" ht="15.95" customHeight="1">
      <c r="A18" s="392" t="s">
        <v>478</v>
      </c>
      <c r="B18" s="392" t="s">
        <v>488</v>
      </c>
      <c r="C18" s="392" t="s">
        <v>500</v>
      </c>
      <c r="D18" s="392" t="s">
        <v>512</v>
      </c>
      <c r="E18" s="392" t="s">
        <v>525</v>
      </c>
      <c r="F18" s="392" t="s">
        <v>538</v>
      </c>
      <c r="G18" s="392" t="s">
        <v>551</v>
      </c>
      <c r="H18" s="389"/>
      <c r="I18" s="389"/>
      <c r="J18" s="389"/>
      <c r="K18" s="389"/>
      <c r="L18" s="389"/>
    </row>
    <row r="19" spans="1:12" ht="15.95" customHeight="1">
      <c r="A19" s="392" t="s">
        <v>479</v>
      </c>
      <c r="B19" s="392" t="s">
        <v>489</v>
      </c>
      <c r="C19" s="392" t="s">
        <v>501</v>
      </c>
      <c r="D19" s="392" t="s">
        <v>513</v>
      </c>
      <c r="E19" s="392" t="s">
        <v>526</v>
      </c>
      <c r="F19" s="392" t="s">
        <v>539</v>
      </c>
      <c r="G19" s="392" t="s">
        <v>552</v>
      </c>
      <c r="H19" s="389"/>
      <c r="I19" s="389"/>
      <c r="J19" s="389"/>
      <c r="K19" s="389"/>
      <c r="L19" s="389"/>
    </row>
    <row r="20" spans="1:12" ht="15.75">
      <c r="A20" s="389"/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695" t="s">
        <v>562</v>
      </c>
      <c r="E21" s="691"/>
      <c r="F21" s="691"/>
      <c r="G21" s="692"/>
      <c r="H21" s="389"/>
      <c r="I21" s="389"/>
      <c r="J21" s="389"/>
      <c r="K21" s="389"/>
      <c r="L21" s="389"/>
    </row>
    <row r="22" spans="1:12" ht="17.25" customHeight="1">
      <c r="A22" s="389"/>
      <c r="B22" s="693" t="s">
        <v>438</v>
      </c>
      <c r="C22" s="693"/>
      <c r="D22" s="693" t="s">
        <v>439</v>
      </c>
      <c r="E22" s="693"/>
      <c r="F22" s="693" t="s">
        <v>440</v>
      </c>
      <c r="G22" s="693"/>
      <c r="H22" s="389"/>
      <c r="I22" s="389"/>
      <c r="J22" s="389"/>
      <c r="K22" s="389"/>
      <c r="L22" s="389"/>
    </row>
    <row r="23" spans="1:12" ht="15.75">
      <c r="A23" s="393" t="s">
        <v>441</v>
      </c>
      <c r="B23" s="689" t="s">
        <v>553</v>
      </c>
      <c r="C23" s="689"/>
      <c r="D23" s="689" t="s">
        <v>556</v>
      </c>
      <c r="E23" s="689"/>
      <c r="F23" s="689" t="s">
        <v>559</v>
      </c>
      <c r="G23" s="689"/>
      <c r="H23" s="389"/>
      <c r="I23" s="389"/>
      <c r="J23" s="389"/>
      <c r="K23" s="389"/>
      <c r="L23" s="389"/>
    </row>
    <row r="24" spans="1:12" ht="18" customHeight="1">
      <c r="A24" s="393" t="s">
        <v>442</v>
      </c>
      <c r="B24" s="689" t="s">
        <v>554</v>
      </c>
      <c r="C24" s="689"/>
      <c r="D24" s="689" t="s">
        <v>557</v>
      </c>
      <c r="E24" s="689"/>
      <c r="F24" s="689" t="s">
        <v>560</v>
      </c>
      <c r="G24" s="689"/>
      <c r="H24" s="389"/>
      <c r="I24" s="389"/>
      <c r="J24" s="389"/>
      <c r="K24" s="389"/>
      <c r="L24" s="389"/>
    </row>
    <row r="25" spans="1:12" ht="15.75">
      <c r="A25" s="393" t="s">
        <v>443</v>
      </c>
      <c r="B25" s="689" t="s">
        <v>555</v>
      </c>
      <c r="C25" s="689"/>
      <c r="D25" s="689" t="s">
        <v>558</v>
      </c>
      <c r="E25" s="689"/>
      <c r="F25" s="689" t="s">
        <v>561</v>
      </c>
      <c r="G25" s="689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20.25">
      <c r="A27" s="388" t="s">
        <v>444</v>
      </c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690" t="s">
        <v>445</v>
      </c>
      <c r="F28" s="691"/>
      <c r="G28" s="692"/>
      <c r="H28" s="389"/>
      <c r="I28" s="389"/>
      <c r="J28" s="389"/>
      <c r="K28" s="389"/>
      <c r="L28" s="389"/>
    </row>
    <row r="29" spans="1:12" ht="15.75">
      <c r="A29" s="389"/>
      <c r="B29" s="693" t="s">
        <v>446</v>
      </c>
      <c r="C29" s="693"/>
      <c r="D29" s="394" t="s">
        <v>447</v>
      </c>
      <c r="E29" s="394" t="s">
        <v>448</v>
      </c>
      <c r="F29" s="693" t="s">
        <v>449</v>
      </c>
      <c r="G29" s="693"/>
      <c r="H29" s="389"/>
      <c r="I29" s="389"/>
      <c r="J29" s="389"/>
      <c r="K29" s="389"/>
      <c r="L29" s="389"/>
    </row>
    <row r="30" spans="1:12" ht="15.75">
      <c r="A30" s="393" t="s">
        <v>450</v>
      </c>
      <c r="B30" s="689" t="s">
        <v>563</v>
      </c>
      <c r="C30" s="689"/>
      <c r="D30" s="392" t="s">
        <v>566</v>
      </c>
      <c r="E30" s="392" t="s">
        <v>451</v>
      </c>
      <c r="F30" s="689" t="s">
        <v>569</v>
      </c>
      <c r="G30" s="689"/>
      <c r="H30" s="389"/>
      <c r="I30" s="389"/>
      <c r="J30" s="389"/>
      <c r="K30" s="389"/>
      <c r="L30" s="389"/>
    </row>
    <row r="31" spans="1:12" ht="15.75">
      <c r="A31" s="393" t="s">
        <v>452</v>
      </c>
      <c r="B31" s="689" t="s">
        <v>564</v>
      </c>
      <c r="C31" s="689"/>
      <c r="D31" s="392" t="s">
        <v>567</v>
      </c>
      <c r="E31" s="392" t="s">
        <v>453</v>
      </c>
      <c r="F31" s="689" t="s">
        <v>570</v>
      </c>
      <c r="G31" s="689"/>
      <c r="H31" s="389"/>
      <c r="I31" s="389"/>
      <c r="J31" s="389"/>
      <c r="K31" s="389"/>
      <c r="L31" s="389"/>
    </row>
    <row r="32" spans="1:12" ht="15.75">
      <c r="A32" s="393" t="s">
        <v>454</v>
      </c>
      <c r="B32" s="689" t="s">
        <v>565</v>
      </c>
      <c r="C32" s="689"/>
      <c r="D32" s="392" t="s">
        <v>568</v>
      </c>
      <c r="E32" s="392" t="s">
        <v>455</v>
      </c>
      <c r="F32" s="689" t="s">
        <v>571</v>
      </c>
      <c r="G32" s="689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  <row r="34" spans="1:12" ht="15.75">
      <c r="A34" s="389"/>
      <c r="B34" s="389"/>
      <c r="C34" s="389"/>
      <c r="D34" s="389"/>
      <c r="E34" s="690" t="s">
        <v>456</v>
      </c>
      <c r="F34" s="691"/>
      <c r="G34" s="692"/>
      <c r="H34" s="389"/>
      <c r="I34" s="389"/>
      <c r="J34" s="389"/>
      <c r="K34" s="389"/>
      <c r="L34" s="389"/>
    </row>
    <row r="35" spans="1:12" ht="15.75">
      <c r="A35" s="389"/>
      <c r="B35" s="693" t="s">
        <v>457</v>
      </c>
      <c r="C35" s="693"/>
      <c r="D35" s="394" t="s">
        <v>448</v>
      </c>
      <c r="E35" s="394" t="s">
        <v>458</v>
      </c>
      <c r="F35" s="394" t="s">
        <v>100</v>
      </c>
      <c r="G35" s="394" t="s">
        <v>459</v>
      </c>
      <c r="H35" s="389"/>
      <c r="I35" s="389"/>
      <c r="J35" s="389"/>
      <c r="K35" s="389"/>
      <c r="L35" s="389"/>
    </row>
    <row r="36" spans="1:12" ht="15.75">
      <c r="A36" s="393" t="s">
        <v>450</v>
      </c>
      <c r="B36" s="685" t="s">
        <v>572</v>
      </c>
      <c r="C36" s="686"/>
      <c r="D36" s="395" t="s">
        <v>574</v>
      </c>
      <c r="E36" s="395" t="s">
        <v>460</v>
      </c>
      <c r="F36" s="396" t="s">
        <v>461</v>
      </c>
      <c r="G36" s="392" t="s">
        <v>577</v>
      </c>
      <c r="H36" s="389"/>
      <c r="I36" s="389"/>
      <c r="J36" s="389"/>
      <c r="K36" s="389"/>
      <c r="L36" s="389"/>
    </row>
    <row r="37" spans="1:12" ht="15.75">
      <c r="A37" s="393" t="s">
        <v>452</v>
      </c>
      <c r="B37" s="685" t="s">
        <v>573</v>
      </c>
      <c r="C37" s="686"/>
      <c r="D37" s="395" t="s">
        <v>575</v>
      </c>
      <c r="E37" s="395" t="s">
        <v>460</v>
      </c>
      <c r="F37" s="396" t="s">
        <v>462</v>
      </c>
      <c r="G37" s="397" t="s">
        <v>578</v>
      </c>
      <c r="H37" s="389"/>
      <c r="I37" s="389"/>
      <c r="J37" s="389"/>
      <c r="K37" s="389"/>
      <c r="L37" s="389"/>
    </row>
    <row r="38" spans="1:12" ht="15.75">
      <c r="A38" s="393" t="s">
        <v>454</v>
      </c>
      <c r="B38" s="685" t="s">
        <v>573</v>
      </c>
      <c r="C38" s="686"/>
      <c r="D38" s="395" t="s">
        <v>576</v>
      </c>
      <c r="E38" s="395" t="s">
        <v>460</v>
      </c>
      <c r="F38" s="396" t="s">
        <v>463</v>
      </c>
      <c r="G38" s="392" t="s">
        <v>579</v>
      </c>
      <c r="H38" s="389"/>
      <c r="I38" s="389"/>
      <c r="J38" s="389"/>
      <c r="K38" s="389"/>
      <c r="L38" s="389"/>
    </row>
    <row r="39" spans="1:12" ht="15.75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</row>
    <row r="40" spans="1:12" ht="15.75">
      <c r="A40" s="398" t="s">
        <v>464</v>
      </c>
      <c r="B40" s="687" t="s">
        <v>580</v>
      </c>
      <c r="C40" s="687"/>
      <c r="D40" s="688" t="s">
        <v>465</v>
      </c>
      <c r="E40" s="688"/>
      <c r="F40" s="687" t="s">
        <v>581</v>
      </c>
      <c r="G40" s="687"/>
      <c r="H40" s="389"/>
      <c r="I40" s="389"/>
      <c r="J40" s="389"/>
      <c r="K40" s="389"/>
      <c r="L40" s="389"/>
    </row>
    <row r="41" spans="1:12" ht="15.7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5.75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</row>
    <row r="43" spans="1:12" ht="15.75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</row>
    <row r="44" spans="1:12" ht="15.75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</row>
    <row r="45" spans="1:12" ht="15.7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</row>
    <row r="46" spans="1:12" ht="15.75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</row>
    <row r="47" spans="1:12" ht="15.75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.75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2" ht="15.75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</row>
    <row r="50" spans="1:12" ht="15.75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</row>
    <row r="51" spans="1:12" ht="15.75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</row>
    <row r="52" spans="1:12" ht="15.75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</row>
    <row r="53" spans="1:12" ht="15.75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</row>
    <row r="54" spans="1:12" ht="15.75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</row>
    <row r="55" spans="1:12" ht="15.7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</row>
    <row r="56" spans="1:12" ht="15.75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</row>
    <row r="57" spans="1:12" ht="15.75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</row>
    <row r="60" spans="1:12" ht="15.75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</row>
    <row r="61" spans="1:12" ht="15.75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workbookViewId="0">
      <selection sqref="A1:K1"/>
    </sheetView>
  </sheetViews>
  <sheetFormatPr defaultColWidth="9.140625" defaultRowHeight="12.75"/>
  <cols>
    <col min="1" max="1" width="9.5703125" style="387" customWidth="1"/>
    <col min="2" max="11" width="7.7109375" style="387" customWidth="1"/>
    <col min="12" max="16384" width="9.140625" style="387"/>
  </cols>
  <sheetData>
    <row r="1" spans="1:12" ht="20.25">
      <c r="A1" s="698" t="s">
        <v>588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389"/>
    </row>
    <row r="2" spans="1:12" ht="30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2" ht="19.5">
      <c r="A3" s="408" t="s">
        <v>427</v>
      </c>
      <c r="B3" s="417" t="s">
        <v>466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</row>
    <row r="4" spans="1:12" ht="12" customHeight="1">
      <c r="A4" s="389"/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</row>
    <row r="5" spans="1:12" ht="19.5">
      <c r="A5" s="418" t="s">
        <v>589</v>
      </c>
      <c r="B5" s="406"/>
      <c r="C5" s="406"/>
      <c r="D5" s="406"/>
      <c r="E5" s="406"/>
      <c r="F5" s="389"/>
      <c r="G5" s="389"/>
      <c r="H5" s="389"/>
      <c r="I5" s="389"/>
      <c r="J5" s="389"/>
      <c r="K5" s="389"/>
      <c r="L5" s="389"/>
    </row>
    <row r="6" spans="1:12" ht="17.25" customHeight="1">
      <c r="A6" s="389"/>
      <c r="B6" s="389"/>
      <c r="C6" s="389"/>
      <c r="D6" s="389"/>
      <c r="E6" s="389"/>
      <c r="F6" s="389"/>
      <c r="G6" s="389"/>
      <c r="H6" s="389"/>
      <c r="I6" s="389"/>
      <c r="J6" s="389"/>
      <c r="K6" s="389"/>
      <c r="L6" s="389"/>
    </row>
    <row r="7" spans="1:12" ht="15.75">
      <c r="A7" s="389"/>
      <c r="B7" s="419" t="s">
        <v>590</v>
      </c>
      <c r="C7" s="420">
        <v>0</v>
      </c>
      <c r="D7" s="419" t="s">
        <v>590</v>
      </c>
      <c r="E7" s="421" t="s">
        <v>591</v>
      </c>
      <c r="F7" s="419" t="s">
        <v>590</v>
      </c>
      <c r="G7" s="421" t="s">
        <v>592</v>
      </c>
      <c r="H7" s="419" t="s">
        <v>593</v>
      </c>
      <c r="I7" s="421">
        <v>0</v>
      </c>
      <c r="J7" s="419" t="s">
        <v>593</v>
      </c>
      <c r="K7" s="421">
        <v>5.0000000000000001E-3</v>
      </c>
      <c r="L7" s="389"/>
    </row>
    <row r="8" spans="1:12" ht="15.75">
      <c r="A8" s="392" t="s">
        <v>594</v>
      </c>
      <c r="B8" s="689">
        <v>6</v>
      </c>
      <c r="C8" s="689"/>
      <c r="D8" s="689">
        <v>12</v>
      </c>
      <c r="E8" s="689"/>
      <c r="F8" s="689">
        <v>0</v>
      </c>
      <c r="G8" s="689"/>
      <c r="H8" s="689" t="s">
        <v>609</v>
      </c>
      <c r="I8" s="689"/>
      <c r="J8" s="689" t="s">
        <v>610</v>
      </c>
      <c r="K8" s="689"/>
      <c r="L8" s="389"/>
    </row>
    <row r="9" spans="1:12" ht="15.75">
      <c r="A9" s="392" t="s">
        <v>595</v>
      </c>
      <c r="B9" s="689">
        <v>10</v>
      </c>
      <c r="C9" s="689"/>
      <c r="D9" s="689">
        <v>16</v>
      </c>
      <c r="E9" s="689"/>
      <c r="F9" s="689">
        <v>4</v>
      </c>
      <c r="G9" s="689"/>
      <c r="H9" s="689" t="s">
        <v>611</v>
      </c>
      <c r="I9" s="689"/>
      <c r="J9" s="689" t="s">
        <v>612</v>
      </c>
      <c r="K9" s="689"/>
      <c r="L9" s="389"/>
    </row>
    <row r="10" spans="1:12" ht="15.75">
      <c r="A10" s="392" t="s">
        <v>596</v>
      </c>
      <c r="B10" s="689">
        <v>8</v>
      </c>
      <c r="C10" s="689"/>
      <c r="D10" s="689">
        <v>14</v>
      </c>
      <c r="E10" s="689"/>
      <c r="F10" s="689">
        <v>2</v>
      </c>
      <c r="G10" s="689"/>
      <c r="H10" s="689" t="s">
        <v>613</v>
      </c>
      <c r="I10" s="689"/>
      <c r="J10" s="689" t="s">
        <v>614</v>
      </c>
      <c r="K10" s="689"/>
      <c r="L10" s="389"/>
    </row>
    <row r="11" spans="1:12" ht="26.25" customHeight="1">
      <c r="A11" s="389"/>
      <c r="B11" s="389"/>
      <c r="C11" s="389"/>
      <c r="D11" s="389"/>
      <c r="E11" s="389"/>
      <c r="F11" s="389"/>
      <c r="G11" s="389"/>
      <c r="H11" s="389"/>
      <c r="I11" s="389"/>
      <c r="J11" s="389"/>
      <c r="K11" s="389"/>
      <c r="L11" s="389"/>
    </row>
    <row r="12" spans="1:12" ht="19.5">
      <c r="A12" s="418" t="s">
        <v>597</v>
      </c>
      <c r="B12" s="389"/>
      <c r="C12" s="389"/>
      <c r="D12" s="389"/>
      <c r="E12" s="389"/>
      <c r="F12" s="389"/>
      <c r="G12" s="389"/>
      <c r="H12" s="389"/>
      <c r="I12" s="389"/>
      <c r="J12" s="389"/>
      <c r="K12" s="389"/>
      <c r="L12" s="389"/>
    </row>
    <row r="13" spans="1:12" ht="15.75">
      <c r="A13" s="389"/>
      <c r="B13" s="389"/>
      <c r="C13" s="389"/>
      <c r="D13" s="389"/>
      <c r="E13" s="389"/>
      <c r="F13" s="389"/>
      <c r="G13" s="389"/>
      <c r="H13" s="389"/>
      <c r="I13" s="389"/>
      <c r="J13" s="389"/>
      <c r="K13" s="389"/>
      <c r="L13" s="389"/>
    </row>
    <row r="14" spans="1:12" ht="15.75">
      <c r="A14" s="389"/>
      <c r="B14" s="696" t="s">
        <v>598</v>
      </c>
      <c r="C14" s="685"/>
      <c r="D14" s="697" t="s">
        <v>615</v>
      </c>
      <c r="E14" s="689"/>
      <c r="F14" s="696" t="s">
        <v>599</v>
      </c>
      <c r="G14" s="685"/>
      <c r="H14" s="697" t="s">
        <v>620</v>
      </c>
      <c r="I14" s="689"/>
      <c r="J14" s="389"/>
      <c r="K14" s="389"/>
      <c r="L14" s="389"/>
    </row>
    <row r="15" spans="1:12" ht="15.75">
      <c r="A15" s="389"/>
      <c r="B15" s="696" t="s">
        <v>600</v>
      </c>
      <c r="C15" s="685"/>
      <c r="D15" s="697" t="s">
        <v>616</v>
      </c>
      <c r="E15" s="689"/>
      <c r="F15" s="696" t="s">
        <v>601</v>
      </c>
      <c r="G15" s="685"/>
      <c r="H15" s="697" t="s">
        <v>621</v>
      </c>
      <c r="I15" s="689"/>
      <c r="J15" s="389"/>
      <c r="K15" s="389"/>
      <c r="L15" s="389"/>
    </row>
    <row r="16" spans="1:12" ht="15.75">
      <c r="A16" s="389"/>
      <c r="B16" s="696" t="s">
        <v>602</v>
      </c>
      <c r="C16" s="685"/>
      <c r="D16" s="697" t="s">
        <v>617</v>
      </c>
      <c r="E16" s="689"/>
      <c r="F16" s="696" t="s">
        <v>603</v>
      </c>
      <c r="G16" s="685"/>
      <c r="H16" s="697" t="s">
        <v>622</v>
      </c>
      <c r="I16" s="689"/>
      <c r="J16" s="389"/>
      <c r="K16" s="389"/>
      <c r="L16" s="389"/>
    </row>
    <row r="17" spans="1:12" ht="15.75">
      <c r="A17" s="389"/>
      <c r="B17" s="696" t="s">
        <v>604</v>
      </c>
      <c r="C17" s="685"/>
      <c r="D17" s="697" t="s">
        <v>618</v>
      </c>
      <c r="E17" s="689"/>
      <c r="F17" s="696" t="s">
        <v>605</v>
      </c>
      <c r="G17" s="685"/>
      <c r="H17" s="697" t="s">
        <v>623</v>
      </c>
      <c r="I17" s="689"/>
      <c r="J17" s="389"/>
      <c r="K17" s="389"/>
      <c r="L17" s="389"/>
    </row>
    <row r="18" spans="1:12" ht="15.75">
      <c r="A18" s="389"/>
      <c r="B18" s="696" t="s">
        <v>606</v>
      </c>
      <c r="C18" s="685"/>
      <c r="D18" s="697" t="s">
        <v>619</v>
      </c>
      <c r="E18" s="689"/>
      <c r="F18" s="696" t="s">
        <v>607</v>
      </c>
      <c r="G18" s="685"/>
      <c r="H18" s="697" t="s">
        <v>624</v>
      </c>
      <c r="I18" s="689"/>
      <c r="J18" s="389"/>
      <c r="K18" s="389"/>
      <c r="L18" s="389"/>
    </row>
    <row r="19" spans="1:12" ht="27" customHeight="1">
      <c r="A19" s="389"/>
      <c r="B19" s="389"/>
      <c r="C19" s="389"/>
      <c r="D19" s="389"/>
      <c r="E19" s="389"/>
      <c r="F19" s="389"/>
      <c r="G19" s="389"/>
      <c r="H19" s="389"/>
      <c r="I19" s="389"/>
      <c r="J19" s="389"/>
      <c r="K19" s="389"/>
      <c r="L19" s="389"/>
    </row>
    <row r="20" spans="1:12" ht="19.5">
      <c r="A20" s="418" t="s">
        <v>608</v>
      </c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389"/>
      <c r="E21" s="389"/>
      <c r="F21" s="389"/>
      <c r="G21" s="389"/>
      <c r="H21" s="389"/>
      <c r="I21" s="389"/>
      <c r="J21" s="389"/>
      <c r="K21" s="389"/>
      <c r="L21" s="389"/>
    </row>
    <row r="22" spans="1:12" ht="19.5">
      <c r="A22" s="389"/>
      <c r="B22" s="418" t="s">
        <v>625</v>
      </c>
      <c r="C22" s="389"/>
      <c r="D22" s="389"/>
      <c r="E22" s="389"/>
      <c r="F22" s="389"/>
      <c r="G22" s="389"/>
      <c r="H22" s="389"/>
      <c r="I22" s="389"/>
      <c r="J22" s="389"/>
      <c r="K22" s="389"/>
      <c r="L22" s="389"/>
    </row>
    <row r="23" spans="1:12" ht="15.75">
      <c r="A23" s="389"/>
      <c r="B23" s="389"/>
      <c r="C23" s="389"/>
      <c r="D23" s="389"/>
      <c r="E23" s="389"/>
      <c r="F23" s="389"/>
      <c r="G23" s="389"/>
      <c r="H23" s="389"/>
      <c r="I23" s="389"/>
      <c r="J23" s="389"/>
      <c r="K23" s="389"/>
      <c r="L23" s="389"/>
    </row>
    <row r="24" spans="1:12" ht="15.75">
      <c r="A24" s="389"/>
      <c r="B24" s="389"/>
      <c r="C24" s="389"/>
      <c r="D24" s="389"/>
      <c r="E24" s="389"/>
      <c r="F24" s="389"/>
      <c r="G24" s="389"/>
      <c r="H24" s="389"/>
      <c r="I24" s="389"/>
      <c r="J24" s="389"/>
      <c r="K24" s="389"/>
      <c r="L24" s="389"/>
    </row>
    <row r="25" spans="1:12" ht="15.75">
      <c r="A25" s="389"/>
      <c r="B25" s="389"/>
      <c r="C25" s="389"/>
      <c r="D25" s="389"/>
      <c r="E25" s="389"/>
      <c r="F25" s="389"/>
      <c r="G25" s="389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15.75">
      <c r="A27" s="389"/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389"/>
      <c r="F28" s="389"/>
      <c r="G28" s="389"/>
      <c r="H28" s="389"/>
      <c r="I28" s="389"/>
      <c r="J28" s="389"/>
      <c r="K28" s="389"/>
      <c r="L28" s="389"/>
    </row>
    <row r="29" spans="1:12" ht="15.75">
      <c r="A29" s="389"/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2" ht="15.75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2" ht="15.75">
      <c r="A31" s="389"/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</row>
    <row r="32" spans="1:12" ht="15.75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Performance Data Sheet</vt:lpstr>
      <vt:lpstr>STCurve</vt:lpstr>
      <vt:lpstr>Thermdam</vt:lpstr>
      <vt:lpstr>Performance</vt:lpstr>
      <vt:lpstr>Form</vt:lpstr>
      <vt:lpstr>StallTime</vt:lpstr>
      <vt:lpstr>MagNoise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'Performance Data Sheet'!Print_Area_MI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 (TIC)</cp:lastModifiedBy>
  <cp:lastPrinted>1997-10-31T21:44:37Z</cp:lastPrinted>
  <dcterms:created xsi:type="dcterms:W3CDTF">1997-10-03T20:37:30Z</dcterms:created>
  <dcterms:modified xsi:type="dcterms:W3CDTF">2025-03-07T17:14:28Z</dcterms:modified>
</cp:coreProperties>
</file>