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 TEFC\2P\SERIES\"/>
    </mc:Choice>
  </mc:AlternateContent>
  <bookViews>
    <workbookView xWindow="3168" yWindow="1140" windowWidth="4800" windowHeight="5136" tabRatio="794"/>
  </bookViews>
  <sheets>
    <sheet name="DesignSheet" sheetId="2" r:id="rId1"/>
    <sheet name="Data Sheet" sheetId="3" r:id="rId2"/>
    <sheet name="LoginSheet" sheetId="4" r:id="rId3"/>
    <sheet name="Form" sheetId="5" r:id="rId4"/>
    <sheet name="MagNoise" sheetId="9" r:id="rId5"/>
    <sheet name="StallTime" sheetId="7" r:id="rId6"/>
    <sheet name="Performance Data Sheet" sheetId="10" r:id="rId7"/>
    <sheet name="STCurve" sheetId="11" r:id="rId8"/>
    <sheet name="Thermdam" sheetId="12" r:id="rId9"/>
    <sheet name="Performance 4000V" sheetId="13" r:id="rId10"/>
    <sheet name="Performance 2300V" sheetId="14" r:id="rId11"/>
  </sheets>
  <definedNames>
    <definedName name="_Regression_Int" localSheetId="6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10">'Performance 2300V'!$A$1:$F$43</definedName>
    <definedName name="_xlnm.Print_Area" localSheetId="9">'Performance 4000V'!$A$1:$F$43</definedName>
    <definedName name="_xlnm.Print_Area" localSheetId="6">'Performance Data Sheet'!$A$1:$M$44</definedName>
    <definedName name="_xlnm.Print_Area" localSheetId="5">StallTime!$A$1:$G$40</definedName>
    <definedName name="_xlnm.Print_Area" localSheetId="7">STCurve!$A$1:$F$43</definedName>
    <definedName name="_xlnm.Print_Area" localSheetId="8">Thermdam!$A$1:$F$43</definedName>
    <definedName name="Print_Area_MI">'Performance Data Sheet'!$A$10:$N$42</definedName>
    <definedName name="Z_852987ED_B4F5_11D1_ABEC_0000832EB49E_.wvu.PrintArea" localSheetId="10" hidden="1">'Performance 2300V'!$A$1:$F$43</definedName>
    <definedName name="Z_852987ED_B4F5_11D1_ABEC_0000832EB49E_.wvu.PrintArea" localSheetId="9" hidden="1">'Performance 4000V'!$A$1:$F$43</definedName>
    <definedName name="Z_852987ED_B4F5_11D1_ABEC_0000832EB49E_.wvu.PrintArea" localSheetId="7" hidden="1">STCurve!$A$1:$F$43</definedName>
  </definedNames>
  <calcPr calcId="162913"/>
</workbook>
</file>

<file path=xl/calcChain.xml><?xml version="1.0" encoding="utf-8"?>
<calcChain xmlns="http://schemas.openxmlformats.org/spreadsheetml/2006/main">
  <c r="D43" i="14" l="1"/>
  <c r="F39" i="14"/>
  <c r="C39" i="14"/>
  <c r="F9" i="14"/>
  <c r="F7" i="14"/>
  <c r="B7" i="14"/>
  <c r="B6" i="14"/>
  <c r="D43" i="13" l="1"/>
  <c r="F39" i="13"/>
  <c r="C39" i="13"/>
  <c r="F9" i="13"/>
  <c r="F7" i="13"/>
  <c r="B7" i="13"/>
  <c r="B6" i="13"/>
  <c r="C77" i="12"/>
  <c r="C78" i="12" s="1"/>
  <c r="C76" i="12"/>
  <c r="B76" i="12"/>
  <c r="C75" i="12"/>
  <c r="C74" i="12"/>
  <c r="B74" i="12"/>
  <c r="A72" i="12"/>
  <c r="A73" i="12" s="1"/>
  <c r="B73" i="12" s="1"/>
  <c r="C71" i="12"/>
  <c r="B71" i="12"/>
  <c r="C70" i="12"/>
  <c r="B70" i="12"/>
  <c r="C69" i="12"/>
  <c r="B69" i="12"/>
  <c r="B75" i="12" s="1"/>
  <c r="E68" i="12"/>
  <c r="D66" i="12"/>
  <c r="F50" i="12"/>
  <c r="D43" i="12"/>
  <c r="F39" i="12"/>
  <c r="C39" i="12"/>
  <c r="F9" i="12"/>
  <c r="F7" i="12"/>
  <c r="D7" i="12"/>
  <c r="B7" i="12"/>
  <c r="F6" i="12"/>
  <c r="B6" i="12"/>
  <c r="D43" i="11"/>
  <c r="F39" i="11"/>
  <c r="C39" i="11"/>
  <c r="C12" i="11"/>
  <c r="F9" i="11"/>
  <c r="F7" i="11"/>
  <c r="D7" i="11"/>
  <c r="B7" i="11"/>
  <c r="F6" i="11"/>
  <c r="B6" i="11"/>
  <c r="B72" i="12" l="1"/>
  <c r="M28" i="3"/>
  <c r="M18" i="3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<sst xmlns="http://schemas.openxmlformats.org/spreadsheetml/2006/main" count="1038" uniqueCount="752">
  <si>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</si>
  <si>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</si>
  <si>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</si>
  <si>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</si>
  <si>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</si>
  <si>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</si>
  <si>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</si>
  <si>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</si>
  <si>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</si>
  <si>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</si>
  <si>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</si>
  <si>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</si>
  <si>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</si>
  <si>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</si>
  <si>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</si>
  <si>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</si>
  <si>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</si>
  <si>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</si>
  <si>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</si>
  <si>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</si>
  <si>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</si>
  <si>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</si>
  <si>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</si>
  <si>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</si>
  <si>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</si>
  <si>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</si>
  <si>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</si>
  <si>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</si>
  <si>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</si>
  <si>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</si>
  <si>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</si>
  <si>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</si>
  <si>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</si>
  <si>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</si>
  <si>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</si>
  <si>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</si>
  <si>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</si>
  <si>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</si>
  <si>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</si>
  <si>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</si>
  <si>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</si>
  <si>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</si>
  <si>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</si>
  <si>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</si>
  <si>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</si>
  <si>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</si>
  <si>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</si>
  <si>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</si>
  <si>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</si>
  <si>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</si>
  <si>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</si>
  <si>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</si>
  <si>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</si>
  <si>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</si>
  <si>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</si>
  <si>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</si>
  <si>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</si>
  <si>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</si>
  <si>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</si>
  <si>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</si>
  <si>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</si>
  <si>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</si>
  <si>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</si>
  <si>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</si>
  <si>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</si>
  <si>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</si>
  <si>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</si>
  <si>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</si>
  <si>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</si>
  <si>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</si>
  <si>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</si>
  <si>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</si>
  <si>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</si>
  <si>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</si>
  <si>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</si>
  <si>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</si>
  <si>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</si>
  <si>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</si>
  <si>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</si>
  <si>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</si>
  <si>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</si>
  <si>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</si>
  <si>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</si>
  <si>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</si>
  <si>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</si>
  <si>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</si>
  <si>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</si>
  <si>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</si>
  <si>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</si>
  <si>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</si>
  <si>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</si>
  <si>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</si>
  <si>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</si>
  <si>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</si>
  <si>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</si>
  <si>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</si>
  <si>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</si>
  <si>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</si>
  <si>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</si>
  <si>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</si>
  <si>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</si>
  <si>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</si>
  <si>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</si>
  <si>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</si>
  <si>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</si>
  <si>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</si>
  <si>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</si>
  <si>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</si>
  <si>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</si>
  <si>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</si>
  <si>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</si>
  <si>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</si>
  <si>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</si>
  <si>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</si>
  <si>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</si>
  <si>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</si>
  <si>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</si>
  <si>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</si>
  <si>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</si>
  <si>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</si>
  <si>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</si>
  <si>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</si>
  <si>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</si>
  <si>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</si>
  <si>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</si>
  <si>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</si>
  <si>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</si>
  <si>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</si>
  <si>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</si>
  <si>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</si>
  <si>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</si>
  <si>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</si>
  <si>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</si>
  <si>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</si>
  <si>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</si>
  <si>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</si>
  <si>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</si>
  <si>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</si>
  <si>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</si>
  <si>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</si>
  <si>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</si>
  <si>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</si>
  <si>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</si>
  <si>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</si>
  <si>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</si>
  <si>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</si>
  <si>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</si>
  <si>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</si>
  <si>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</si>
  <si>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</si>
  <si>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</si>
  <si>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</si>
  <si>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</si>
  <si>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</si>
  <si>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</si>
  <si>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</si>
  <si>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</si>
  <si>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</si>
  <si>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</si>
  <si>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</si>
  <si>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</si>
  <si>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</si>
  <si>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</si>
  <si>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</si>
  <si>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</si>
  <si>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</si>
  <si>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</si>
  <si>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</si>
  <si>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</si>
  <si>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</si>
  <si>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</si>
  <si>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</si>
  <si>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</si>
  <si>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</si>
  <si>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</si>
  <si>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</si>
  <si>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</si>
  <si>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6811USS</t>
  </si>
  <si>
    <t>Open</t>
  </si>
  <si>
    <t>Trapeze</t>
  </si>
  <si>
    <t>14.30 - 14.30</t>
  </si>
  <si>
    <t>0.80 - 3.65</t>
  </si>
  <si>
    <t>Normal</t>
  </si>
  <si>
    <t>1 ~ 18</t>
  </si>
  <si>
    <t>(.064"x.204")x2</t>
  </si>
  <si>
    <t>Wye</t>
  </si>
  <si>
    <t>(105°C)</t>
  </si>
  <si>
    <t>CU</t>
  </si>
  <si>
    <t>ERD1: 318.0</t>
  </si>
  <si>
    <t>EBL: 62.5</t>
  </si>
  <si>
    <t>ERT: 60.00</t>
  </si>
  <si>
    <t>ERH: 44.00</t>
  </si>
  <si>
    <t>LB:  -</t>
  </si>
  <si>
    <t>LER:  -</t>
  </si>
  <si>
    <t>Single Cage Data</t>
  </si>
  <si>
    <t>UB: 322.1</t>
  </si>
  <si>
    <t>UER: 2640.0</t>
  </si>
  <si>
    <t>(Coeff.: 0.0596)</t>
  </si>
  <si>
    <t>Skew R.: 0.00</t>
  </si>
  <si>
    <t>M:\Active Projects\6800 Frame TEFC\Electrical Design\2P\SERIES\CS2700U.rat</t>
  </si>
  <si>
    <t>2-2-2-0-1-2</t>
  </si>
  <si>
    <t>B.L.-1  P.F.-1</t>
  </si>
  <si>
    <t>4296.4 / 4700.9</t>
  </si>
  <si>
    <t>2918.5 / 3091.9</t>
  </si>
  <si>
    <t>15243.2 / 13067.6</t>
  </si>
  <si>
    <t>8350.0 / 10961.2</t>
  </si>
  <si>
    <t>6801.3 / 2802.5</t>
  </si>
  <si>
    <t>1318.5 / 543.3</t>
  </si>
  <si>
    <t>5482.8 / 2259.2</t>
  </si>
  <si>
    <t>1.50 / 0.62</t>
  </si>
  <si>
    <t>70 / 67</t>
  </si>
  <si>
    <t>Temp. Rise @ 100%:</t>
  </si>
  <si>
    <t>Stray Loss</t>
  </si>
  <si>
    <t>0.892 / 0.881</t>
  </si>
  <si>
    <t>0.939 / 0.927</t>
  </si>
  <si>
    <t>0.953 / 0.942</t>
  </si>
  <si>
    <t>0.959 / 0.947</t>
  </si>
  <si>
    <t>0.961 / 0.950</t>
  </si>
  <si>
    <t>0.805 / 0.791</t>
  </si>
  <si>
    <t>0.916 / 0.900</t>
  </si>
  <si>
    <t>0.941 / 0.925</t>
  </si>
  <si>
    <t>0.946 / 0.930</t>
  </si>
  <si>
    <t>0.945 / 0.928</t>
  </si>
  <si>
    <t>26.23 / 27.02</t>
  </si>
  <si>
    <t>43.84 / 45.16</t>
  </si>
  <si>
    <t>63.03 / 64.93</t>
  </si>
  <si>
    <t>83.03 / 85.53</t>
  </si>
  <si>
    <t>103.74 / 106.87</t>
  </si>
  <si>
    <t>2.56 / 2.64</t>
  </si>
  <si>
    <t>UB: 2.96 / 3.05</t>
  </si>
  <si>
    <t>UER: 2.65 / 2.73</t>
  </si>
  <si>
    <t>3595.0 / 3593.9</t>
  </si>
  <si>
    <t>3590.3 / 3589.2</t>
  </si>
  <si>
    <t>3585.6 / 3584.5</t>
  </si>
  <si>
    <t>3580.7 / 3579.6</t>
  </si>
  <si>
    <t>3575.8 / 3574.7</t>
  </si>
  <si>
    <t>0.0014 / 0.0017</t>
  </si>
  <si>
    <t>0.0027 / 0.0030</t>
  </si>
  <si>
    <t>0.0040 / 0.0043</t>
  </si>
  <si>
    <t>0.0054 / 0.0057</t>
  </si>
  <si>
    <t>0.0067 / 0.0070</t>
  </si>
  <si>
    <t>14.020 / 15.872</t>
  </si>
  <si>
    <t>0.981 / 1.110</t>
  </si>
  <si>
    <t>14.05 / 15.91</t>
  </si>
  <si>
    <t>503.8 / 548.2</t>
  </si>
  <si>
    <t>606.8 / 660.2</t>
  </si>
  <si>
    <t>125.5 / 111.9</t>
  </si>
  <si>
    <t>88.3 / 78.7</t>
  </si>
  <si>
    <t>303.9 / 280.2</t>
  </si>
  <si>
    <t>Correlated to: FW2M20U_Lab1329A.dat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</si>
  <si>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</si>
  <si>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</si>
  <si>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</si>
  <si>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</si>
  <si>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</si>
  <si>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</si>
  <si>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</si>
  <si>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</si>
  <si>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</si>
  <si>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</si>
  <si>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</si>
  <si>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</si>
  <si>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</si>
  <si>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</si>
  <si>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</si>
  <si>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</si>
  <si>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</si>
  <si>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</si>
  <si>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</si>
  <si>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</si>
  <si>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</si>
  <si>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</si>
  <si>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</si>
  <si>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</si>
  <si>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</si>
  <si>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</si>
  <si>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</si>
  <si>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</si>
  <si>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</si>
  <si>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</si>
  <si>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</si>
  <si>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</si>
  <si>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</si>
  <si>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</si>
  <si>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</si>
  <si>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</si>
  <si>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</si>
  <si>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</si>
  <si>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</si>
  <si>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</si>
  <si>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</si>
  <si>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</si>
  <si>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</si>
  <si>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</si>
  <si>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</si>
  <si>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</si>
  <si>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</si>
  <si>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</si>
  <si>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</si>
  <si>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</si>
  <si>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</si>
  <si>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</si>
  <si>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</si>
  <si>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</si>
  <si>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</si>
  <si>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</si>
  <si>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</si>
  <si>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</si>
  <si>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</si>
  <si>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</si>
  <si>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</si>
  <si>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</si>
  <si>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</si>
  <si>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</si>
  <si>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</si>
  <si>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</si>
  <si>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</si>
  <si>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</si>
  <si>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</si>
  <si>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</si>
  <si>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</si>
  <si>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</si>
  <si>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</si>
  <si>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</si>
  <si>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</si>
  <si>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</si>
  <si>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</si>
  <si>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</si>
  <si>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</si>
  <si>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</si>
  <si>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</si>
  <si>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</si>
  <si>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</si>
  <si>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</si>
  <si>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</si>
  <si>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</si>
  <si>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</si>
  <si>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</si>
  <si>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</si>
  <si>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</si>
  <si>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</si>
  <si>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</si>
  <si>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</si>
  <si>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</si>
  <si>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</si>
  <si>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</si>
  <si>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</si>
  <si>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</si>
  <si>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</si>
  <si>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</si>
  <si>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</si>
  <si>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</si>
  <si>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</si>
  <si>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</si>
  <si>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</si>
  <si>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</si>
  <si>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</si>
  <si>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</si>
  <si>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</si>
  <si>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</si>
  <si>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CS2700U</t>
  </si>
  <si>
    <t>26 x 2</t>
  </si>
  <si>
    <t xml:space="preserve"> - </t>
  </si>
  <si>
    <t>70 / 92</t>
  </si>
  <si>
    <t>264 / 1682</t>
  </si>
  <si>
    <t>305 / 273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</si>
  <si>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</si>
  <si>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</si>
  <si>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</si>
  <si>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</si>
  <si>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</si>
  <si>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</si>
  <si>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</si>
  <si>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</si>
  <si>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</si>
  <si>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</si>
  <si>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</si>
  <si>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</si>
  <si>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1240.0</t>
  </si>
  <si>
    <t xml:space="preserve">13T: </t>
  </si>
  <si>
    <t/>
  </si>
  <si>
    <t>0.0360 ~ 0.0346</t>
  </si>
  <si>
    <t>AWG. 02 x 3</t>
  </si>
  <si>
    <t xml:space="preserve"> (.064"x.204")x 2: </t>
  </si>
  <si>
    <t>575 lbs.</t>
  </si>
  <si>
    <t xml:space="preserve">1-2, 2-3, 3-1: 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</si>
  <si>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</si>
  <si>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</si>
  <si>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</si>
  <si>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</si>
  <si>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</si>
  <si>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</si>
  <si>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</si>
  <si>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</si>
  <si>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</si>
  <si>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</si>
  <si>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</si>
  <si>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</si>
  <si>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</si>
  <si>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</si>
  <si>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</si>
  <si>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</si>
  <si>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</si>
  <si>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</si>
  <si>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</si>
  <si>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</si>
  <si>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</si>
  <si>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</si>
  <si>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</si>
  <si>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</si>
  <si>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</si>
  <si>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</si>
  <si>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</si>
  <si>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</si>
  <si>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</si>
  <si>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309.1 lb-ft²</t>
  </si>
  <si>
    <t>1028 lb-ft</t>
  </si>
  <si>
    <t>Load</t>
  </si>
  <si>
    <t>Fan / Pump</t>
  </si>
  <si>
    <t>42.4 kg.m²</t>
  </si>
  <si>
    <t>Acceleration Data (FV V)</t>
  </si>
  <si>
    <t>10.7 (s)</t>
  </si>
  <si>
    <t>142.0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</si>
  <si>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</si>
  <si>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</si>
  <si>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</si>
  <si>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</si>
  <si>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</si>
  <si>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</si>
  <si>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</si>
  <si>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</si>
  <si>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</si>
  <si>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</si>
  <si>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</si>
  <si>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</si>
  <si>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</si>
  <si>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</si>
  <si>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</si>
  <si>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</si>
  <si>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</si>
  <si>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</si>
  <si>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</si>
  <si>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</si>
  <si>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</si>
  <si>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</si>
  <si>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</si>
  <si>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</si>
  <si>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</si>
  <si>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</si>
  <si>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</si>
  <si>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</si>
  <si>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</si>
  <si>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</si>
  <si>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</si>
  <si>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</si>
  <si>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</si>
  <si>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</si>
  <si>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</si>
  <si>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</si>
  <si>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</si>
  <si>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</si>
  <si>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</si>
  <si>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- 700.0 HP - 3600 RPM - 4000 V - 60 Hz</t>
  </si>
  <si>
    <t>0~360</t>
  </si>
  <si>
    <t>360~720</t>
  </si>
  <si>
    <t>720~1080</t>
  </si>
  <si>
    <t>1080~1440</t>
  </si>
  <si>
    <t>1440~1800</t>
  </si>
  <si>
    <t>1800~2192</t>
  </si>
  <si>
    <t>2192~2584</t>
  </si>
  <si>
    <t>2584~2976</t>
  </si>
  <si>
    <t>2976~3172</t>
  </si>
  <si>
    <t>3172~3368</t>
  </si>
  <si>
    <t>3368~3564</t>
  </si>
  <si>
    <t>3564~3593</t>
  </si>
  <si>
    <t>3593~3600</t>
  </si>
  <si>
    <t>Load Type: Fan / Pump - 251.5 lb-ft²</t>
  </si>
  <si>
    <t>79.0</t>
  </si>
  <si>
    <t>80.1</t>
  </si>
  <si>
    <t>83.4</t>
  </si>
  <si>
    <t>90.4</t>
  </si>
  <si>
    <t>102.6</t>
  </si>
  <si>
    <t>127.2</t>
  </si>
  <si>
    <t>212.2</t>
  </si>
  <si>
    <t>222.6</t>
  </si>
  <si>
    <t>132.6</t>
  </si>
  <si>
    <t>22.5</t>
  </si>
  <si>
    <t>11.5</t>
  </si>
  <si>
    <t>7.0</t>
  </si>
  <si>
    <t>11.0</t>
  </si>
  <si>
    <t>18.5</t>
  </si>
  <si>
    <t>29.5</t>
  </si>
  <si>
    <t>45.9</t>
  </si>
  <si>
    <t>62.5</t>
  </si>
  <si>
    <t>76.2</t>
  </si>
  <si>
    <t>90.6</t>
  </si>
  <si>
    <t>98.8</t>
  </si>
  <si>
    <t>99.8</t>
  </si>
  <si>
    <t>1.130</t>
  </si>
  <si>
    <t>0.946</t>
  </si>
  <si>
    <t>0.887</t>
  </si>
  <si>
    <t>0.939</t>
  </si>
  <si>
    <t>1.129</t>
  </si>
  <si>
    <t>1.290</t>
  </si>
  <si>
    <t>1.563</t>
  </si>
  <si>
    <t>0.865</t>
  </si>
  <si>
    <t>0.682</t>
  </si>
  <si>
    <t>0.286</t>
  </si>
  <si>
    <t>0.041</t>
  </si>
  <si>
    <t>0.039</t>
  </si>
  <si>
    <t>547.2</t>
  </si>
  <si>
    <t>545.3</t>
  </si>
  <si>
    <t>543.2</t>
  </si>
  <si>
    <t>540.7</t>
  </si>
  <si>
    <t>537.6</t>
  </si>
  <si>
    <t>534.0</t>
  </si>
  <si>
    <t>529.7</t>
  </si>
  <si>
    <t>523.6</t>
  </si>
  <si>
    <t>516.6</t>
  </si>
  <si>
    <t>504.9</t>
  </si>
  <si>
    <t>465.2</t>
  </si>
  <si>
    <t>293.2</t>
  </si>
  <si>
    <t>82.4</t>
  </si>
  <si>
    <t>211.5</t>
  </si>
  <si>
    <t>176.0</t>
  </si>
  <si>
    <t>163.8</t>
  </si>
  <si>
    <t>162.4</t>
  </si>
  <si>
    <t>170.2</t>
  </si>
  <si>
    <t>202.1</t>
  </si>
  <si>
    <t>227.6</t>
  </si>
  <si>
    <t>270.7</t>
  </si>
  <si>
    <t>145.8</t>
  </si>
  <si>
    <t>111.9</t>
  </si>
  <si>
    <t>44.0</t>
  </si>
  <si>
    <t>4.8</t>
  </si>
  <si>
    <t>0.2</t>
  </si>
  <si>
    <t>616.3</t>
  </si>
  <si>
    <t>464.3</t>
  </si>
  <si>
    <t>386.9</t>
  </si>
  <si>
    <t>338.5</t>
  </si>
  <si>
    <t>307.2</t>
  </si>
  <si>
    <t>282.6</t>
  </si>
  <si>
    <t>259.7</t>
  </si>
  <si>
    <t>239.2</t>
  </si>
  <si>
    <t>181.0</t>
  </si>
  <si>
    <t>113.0</t>
  </si>
  <si>
    <t>33.7</t>
  </si>
  <si>
    <t>10.0</t>
  </si>
  <si>
    <t>11.9</t>
  </si>
  <si>
    <t>1891 kW / s</t>
  </si>
  <si>
    <t>2247 kW / s</t>
  </si>
  <si>
    <t>997 kW / s</t>
  </si>
  <si>
    <t>20°C</t>
  </si>
  <si>
    <t>62°C</t>
  </si>
  <si>
    <t>49°C</t>
  </si>
  <si>
    <t>39°C</t>
  </si>
  <si>
    <t>124°C</t>
  </si>
  <si>
    <t>97°C</t>
  </si>
  <si>
    <t>Acceleration Time:  10.7 s</t>
  </si>
  <si>
    <t>2.2°C / s</t>
  </si>
  <si>
    <t>7.9°C / s</t>
  </si>
  <si>
    <t>6.2°C / s</t>
  </si>
  <si>
    <t>217.5 kW</t>
  </si>
  <si>
    <t>285.8 kW</t>
  </si>
  <si>
    <t>126.8 kW</t>
  </si>
  <si>
    <t>71.2 s</t>
  </si>
  <si>
    <t>33.0 s</t>
  </si>
  <si>
    <t>29.1 s</t>
  </si>
  <si>
    <t>67°C    +</t>
  </si>
  <si>
    <t>89°C    +</t>
  </si>
  <si>
    <t>93°C    +</t>
  </si>
  <si>
    <t>171°C   +</t>
  </si>
  <si>
    <t>91°C   +</t>
  </si>
  <si>
    <t>41.4 s</t>
  </si>
  <si>
    <t>21.7 s</t>
  </si>
  <si>
    <t>14.7 s</t>
  </si>
  <si>
    <t>46.2 s</t>
  </si>
  <si>
    <t>23.3 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</si>
  <si>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</si>
  <si>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</si>
  <si>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</si>
  <si>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</si>
  <si>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</si>
  <si>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</si>
  <si>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</si>
  <si>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</si>
  <si>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</si>
  <si>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</si>
  <si>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</si>
  <si>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</si>
  <si>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</si>
  <si>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</si>
  <si>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</si>
  <si>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</si>
  <si>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</si>
  <si>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</si>
  <si>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</si>
  <si>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</si>
  <si>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</si>
  <si>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</si>
  <si>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</si>
  <si>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</si>
  <si>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</si>
  <si>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</si>
  <si>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</si>
  <si>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2865.2 Hz</t>
  </si>
  <si>
    <t>2640.0 Hz</t>
  </si>
  <si>
    <t>2625.2 Hz</t>
  </si>
  <si>
    <t>2760.0 Hz</t>
  </si>
  <si>
    <t>2745.2 Hz</t>
  </si>
  <si>
    <t>2288.2 Hz</t>
  </si>
  <si>
    <t>602.1 Hz</t>
  </si>
  <si>
    <t>1703.1 Hz</t>
  </si>
  <si>
    <t>3265.4 Hz</t>
  </si>
  <si>
    <t>5280.9 Hz</t>
  </si>
  <si>
    <t>7747.0 Hz</t>
  </si>
  <si>
    <t>10662.8 Hz</t>
  </si>
  <si>
    <t>14027.8 Hz</t>
  </si>
  <si>
    <t>17841.9 Hz</t>
  </si>
  <si>
    <t>22105.0 Hz</t>
  </si>
  <si>
    <t>No matching frequencies detected.</t>
  </si>
  <si>
    <t>7003FTQL11F-C</t>
  </si>
  <si>
    <t>Interspersed</t>
  </si>
  <si>
    <t>J. Dougherty</t>
  </si>
  <si>
    <t>QC Limits: CS2700U</t>
  </si>
  <si>
    <t>13T: 24.84</t>
  </si>
  <si>
    <t>13T: 10.93</t>
  </si>
  <si>
    <t>13.79 ~ 13.59</t>
  </si>
  <si>
    <t>A. Gracia</t>
  </si>
  <si>
    <t>0.331 ~ 0.311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</si>
  <si>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</si>
  <si>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</si>
  <si>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</si>
  <si>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</si>
  <si>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</si>
  <si>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</si>
  <si>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</si>
  <si>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</si>
  <si>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</si>
  <si>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</si>
  <si>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</si>
  <si>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</si>
  <si>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</si>
  <si>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</si>
  <si>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</si>
  <si>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</si>
  <si>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</si>
  <si>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</si>
  <si>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QUOTE 33791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</si>
  <si>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</si>
  <si>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</si>
  <si>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</si>
  <si>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</si>
  <si>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</si>
  <si>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</si>
  <si>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</si>
  <si>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</si>
  <si>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TEFC</t>
  </si>
  <si>
    <t>FLAMPS:</t>
  </si>
  <si>
    <t>FORM:</t>
  </si>
  <si>
    <t>S.F.:</t>
  </si>
  <si>
    <t>1.0</t>
  </si>
  <si>
    <t>NEMA DESIGN:</t>
  </si>
  <si>
    <t>INSUL CLASS:</t>
  </si>
  <si>
    <t>TYPE:</t>
  </si>
  <si>
    <t>TIKE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</si>
  <si>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</si>
  <si>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</si>
  <si>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</si>
  <si>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</si>
  <si>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</si>
  <si>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</si>
  <si>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</si>
  <si>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</si>
  <si>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</si>
  <si>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</si>
  <si>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</si>
  <si>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</si>
  <si>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</si>
  <si>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</si>
  <si>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</si>
  <si>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</si>
  <si>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</si>
  <si>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</si>
  <si>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</si>
  <si>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</si>
  <si>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</si>
  <si>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</si>
  <si>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</si>
  <si>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</si>
  <si>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</si>
  <si>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</si>
  <si>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</si>
  <si>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</si>
  <si>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</si>
  <si>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</si>
  <si>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</si>
  <si>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</si>
  <si>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</si>
  <si>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</si>
  <si>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</si>
  <si>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</si>
  <si>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</si>
  <si>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</si>
  <si>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</si>
  <si>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</si>
  <si>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</si>
  <si>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</si>
  <si>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</si>
  <si>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</si>
  <si>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</si>
  <si>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</si>
  <si>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</si>
  <si>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</si>
  <si>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</si>
  <si>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</si>
  <si>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</si>
  <si>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</si>
  <si>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</si>
  <si>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</si>
  <si>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</si>
  <si>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</si>
  <si>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</si>
  <si>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</si>
  <si>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</si>
  <si>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</si>
  <si>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</si>
  <si>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</si>
  <si>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</si>
  <si>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</si>
  <si>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</si>
  <si>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</si>
  <si>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</si>
  <si>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</si>
  <si>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</si>
  <si>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</si>
  <si>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</si>
  <si>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</si>
  <si>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</si>
  <si>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Thermal Limit Curve</t>
  </si>
  <si>
    <t>Performance Curve</t>
  </si>
  <si>
    <t>Input Watts</t>
  </si>
  <si>
    <t>Type: TIKE - Form: FCW4 - 2 Pole - 700 HP - 2300 / 4000 V - 60 Hz - 6811USS - Class F</t>
  </si>
  <si>
    <t>2D / 2Y</t>
  </si>
  <si>
    <t>149 / 86</t>
  </si>
  <si>
    <t>946 / 548</t>
  </si>
  <si>
    <t>149 A</t>
  </si>
  <si>
    <t>2300V</t>
  </si>
  <si>
    <t>946 A</t>
  </si>
  <si>
    <t>4000V</t>
  </si>
  <si>
    <t>86 A</t>
  </si>
  <si>
    <t>548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</si>
</sst>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  <numFmt numFmtId="172" formatCode="General&quot;°C&quot;"/>
  </numFmts>
  <fonts count="76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indexed="10"/>
      <name val="Arial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1" fillId="0" borderId="0"/>
    <xf numFmtId="171" fontId="61" fillId="0" borderId="0"/>
    <xf numFmtId="0" fontId="1" fillId="0" borderId="0"/>
  </cellStyleXfs>
  <cellXfs count="71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Fill="1" applyAlignment="1">
      <alignment horizontal="left"/>
    </xf>
    <xf numFmtId="0" fontId="26" fillId="0" borderId="0" xfId="2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 applyFill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3" xfId="1" applyFont="1" applyFill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2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55" fillId="0" borderId="0" xfId="4"/>
    <xf numFmtId="0" fontId="16" fillId="0" borderId="0" xfId="4" applyFont="1"/>
    <xf numFmtId="0" fontId="49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49" fillId="0" borderId="128" xfId="4" applyFont="1" applyBorder="1" applyAlignment="1">
      <alignment horizontal="center"/>
    </xf>
    <xf numFmtId="0" fontId="49" fillId="0" borderId="129" xfId="4" quotePrefix="1" applyFont="1" applyBorder="1" applyAlignment="1">
      <alignment horizontal="center"/>
    </xf>
    <xf numFmtId="0" fontId="49" fillId="0" borderId="129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171" fontId="62" fillId="0" borderId="6" xfId="5" applyFont="1" applyBorder="1" applyAlignment="1" applyProtection="1">
      <alignment horizontal="centerContinuous"/>
    </xf>
    <xf numFmtId="171" fontId="62" fillId="0" borderId="7" xfId="5" applyFont="1" applyBorder="1" applyAlignment="1">
      <alignment horizontal="centerContinuous"/>
    </xf>
    <xf numFmtId="171" fontId="63" fillId="0" borderId="12" xfId="5" applyFont="1" applyBorder="1" applyAlignment="1" applyProtection="1">
      <alignment horizontal="left"/>
    </xf>
    <xf numFmtId="171" fontId="64" fillId="0" borderId="54" xfId="5" applyFont="1" applyBorder="1"/>
    <xf numFmtId="171" fontId="63" fillId="0" borderId="13" xfId="5" applyFont="1" applyBorder="1" applyAlignment="1">
      <alignment horizontal="centerContinuous"/>
    </xf>
    <xf numFmtId="171" fontId="64" fillId="0" borderId="14" xfId="5" applyFont="1" applyBorder="1" applyAlignment="1">
      <alignment horizontal="centerContinuous"/>
    </xf>
    <xf numFmtId="171" fontId="65" fillId="0" borderId="0" xfId="5" applyFont="1"/>
    <xf numFmtId="171" fontId="61" fillId="0" borderId="0" xfId="5"/>
    <xf numFmtId="171" fontId="62" fillId="0" borderId="45" xfId="5" applyFont="1" applyBorder="1" applyAlignment="1" applyProtection="1">
      <alignment horizontal="centerContinuous"/>
    </xf>
    <xf numFmtId="171" fontId="62" fillId="0" borderId="0" xfId="5" applyFont="1" applyBorder="1" applyAlignment="1">
      <alignment horizontal="centerContinuous"/>
    </xf>
    <xf numFmtId="171" fontId="63" fillId="0" borderId="109" xfId="5" applyFont="1" applyBorder="1" applyAlignment="1" applyProtection="1">
      <alignment horizontal="left"/>
    </xf>
    <xf numFmtId="171" fontId="64" fillId="0" borderId="39" xfId="5" applyFont="1" applyBorder="1"/>
    <xf numFmtId="171" fontId="63" fillId="0" borderId="40" xfId="5" applyFont="1" applyBorder="1" applyAlignment="1" applyProtection="1">
      <alignment horizontal="centerContinuous"/>
    </xf>
    <xf numFmtId="171" fontId="64" fillId="0" borderId="29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0" xfId="5" applyFont="1" applyBorder="1" applyAlignment="1">
      <alignment horizontal="centerContinuous"/>
    </xf>
    <xf numFmtId="171" fontId="63" fillId="0" borderId="40" xfId="5" quotePrefix="1" applyFont="1" applyBorder="1" applyAlignment="1">
      <alignment horizontal="centerContinuous"/>
    </xf>
    <xf numFmtId="171" fontId="66" fillId="0" borderId="45" xfId="5" applyFont="1" applyBorder="1" applyAlignment="1" applyProtection="1">
      <alignment horizontal="centerContinuous"/>
    </xf>
    <xf numFmtId="171" fontId="63" fillId="0" borderId="40" xfId="5" quotePrefix="1" applyFont="1" applyBorder="1" applyAlignment="1" applyProtection="1">
      <alignment horizontal="centerContinuous"/>
    </xf>
    <xf numFmtId="171" fontId="65" fillId="0" borderId="45" xfId="5" applyFont="1" applyBorder="1" applyAlignment="1">
      <alignment horizontal="centerContinuous"/>
    </xf>
    <xf numFmtId="171" fontId="63" fillId="0" borderId="40" xfId="5" applyFont="1" applyBorder="1" applyAlignment="1">
      <alignment horizontal="centerContinuous"/>
    </xf>
    <xf numFmtId="171" fontId="65" fillId="0" borderId="46" xfId="5" applyFont="1" applyBorder="1" applyAlignment="1" applyProtection="1">
      <alignment horizontal="centerContinuous"/>
    </xf>
    <xf numFmtId="171" fontId="64" fillId="0" borderId="23" xfId="5" applyFont="1" applyBorder="1" applyAlignment="1">
      <alignment horizontal="centerContinuous"/>
    </xf>
    <xf numFmtId="171" fontId="63" fillId="0" borderId="46" xfId="5" applyFont="1" applyBorder="1" applyAlignment="1" applyProtection="1">
      <alignment horizontal="left"/>
    </xf>
    <xf numFmtId="171" fontId="64" fillId="0" borderId="48" xfId="5" applyFont="1" applyBorder="1"/>
    <xf numFmtId="171" fontId="67" fillId="0" borderId="23" xfId="5" applyFont="1" applyBorder="1" applyAlignment="1">
      <alignment horizontal="centerContinuous"/>
    </xf>
    <xf numFmtId="171" fontId="64" fillId="0" borderId="24" xfId="5" applyFont="1" applyBorder="1" applyAlignment="1">
      <alignment horizontal="centerContinuous"/>
    </xf>
    <xf numFmtId="171" fontId="65" fillId="0" borderId="0" xfId="5" applyFont="1" applyBorder="1" applyAlignment="1" applyProtection="1">
      <alignment horizontal="centerContinuous"/>
    </xf>
    <xf numFmtId="171" fontId="63" fillId="0" borderId="0" xfId="5" applyFont="1" applyBorder="1" applyAlignment="1" applyProtection="1">
      <alignment horizontal="left"/>
    </xf>
    <xf numFmtId="171" fontId="64" fillId="0" borderId="0" xfId="5" applyFont="1" applyBorder="1"/>
    <xf numFmtId="171" fontId="63" fillId="0" borderId="0" xfId="5" applyFont="1" applyBorder="1" applyAlignment="1">
      <alignment horizontal="centerContinuous"/>
    </xf>
    <xf numFmtId="171" fontId="68" fillId="0" borderId="0" xfId="5" applyFont="1"/>
    <xf numFmtId="171" fontId="68" fillId="0" borderId="0" xfId="5" applyFont="1" applyAlignment="1" applyProtection="1">
      <alignment horizontal="right"/>
    </xf>
    <xf numFmtId="171" fontId="68" fillId="0" borderId="0" xfId="5" applyFont="1" applyAlignment="1" applyProtection="1">
      <alignment horizontal="left"/>
      <protection locked="0"/>
    </xf>
    <xf numFmtId="171" fontId="68" fillId="0" borderId="0" xfId="5" applyFont="1" applyBorder="1" applyAlignment="1">
      <alignment horizontal="centerContinuous"/>
    </xf>
    <xf numFmtId="171" fontId="68" fillId="0" borderId="0" xfId="5" applyFont="1" applyBorder="1" applyAlignment="1" applyProtection="1">
      <alignment horizontal="left"/>
    </xf>
    <xf numFmtId="171" fontId="68" fillId="0" borderId="0" xfId="5" applyFont="1" applyBorder="1"/>
    <xf numFmtId="49" fontId="68" fillId="0" borderId="0" xfId="5" quotePrefix="1" applyNumberFormat="1" applyFont="1" applyAlignment="1" applyProtection="1">
      <alignment horizontal="left"/>
      <protection locked="0"/>
    </xf>
    <xf numFmtId="171" fontId="64" fillId="0" borderId="0" xfId="5" applyFont="1"/>
    <xf numFmtId="171" fontId="69" fillId="0" borderId="134" xfId="5" applyFont="1" applyBorder="1" applyAlignment="1" applyProtection="1">
      <alignment horizontal="centerContinuous"/>
    </xf>
    <xf numFmtId="171" fontId="65" fillId="0" borderId="135" xfId="5" applyFont="1" applyBorder="1" applyAlignment="1">
      <alignment horizontal="centerContinuous"/>
    </xf>
    <xf numFmtId="171" fontId="65" fillId="0" borderId="136" xfId="5" applyFont="1" applyBorder="1" applyAlignment="1">
      <alignment horizontal="centerContinuous"/>
    </xf>
    <xf numFmtId="171" fontId="68" fillId="0" borderId="45" xfId="5" applyFont="1" applyBorder="1"/>
    <xf numFmtId="171" fontId="68" fillId="0" borderId="0" xfId="5" applyFont="1" applyBorder="1" applyAlignment="1" applyProtection="1">
      <alignment horizontal="right"/>
    </xf>
    <xf numFmtId="171" fontId="68" fillId="0" borderId="0" xfId="5" applyFont="1" applyBorder="1" applyAlignment="1" applyProtection="1">
      <alignment horizontal="center"/>
      <protection locked="0"/>
    </xf>
    <xf numFmtId="171" fontId="68" fillId="0" borderId="21" xfId="5" applyFont="1" applyBorder="1" applyAlignment="1" applyProtection="1">
      <alignment horizontal="center"/>
      <protection locked="0"/>
    </xf>
    <xf numFmtId="171" fontId="68" fillId="0" borderId="0" xfId="5" applyFont="1" applyBorder="1" applyAlignment="1">
      <alignment horizontal="center"/>
    </xf>
    <xf numFmtId="49" fontId="68" fillId="0" borderId="0" xfId="5" applyNumberFormat="1" applyFont="1" applyBorder="1" applyAlignment="1">
      <alignment horizontal="center"/>
    </xf>
    <xf numFmtId="172" fontId="68" fillId="0" borderId="0" xfId="5" applyNumberFormat="1" applyFont="1" applyBorder="1" applyAlignment="1" applyProtection="1">
      <alignment horizontal="center"/>
      <protection locked="0"/>
    </xf>
    <xf numFmtId="171" fontId="68" fillId="0" borderId="0" xfId="5" quotePrefix="1" applyFont="1" applyBorder="1" applyAlignment="1" applyProtection="1">
      <alignment horizontal="right"/>
    </xf>
    <xf numFmtId="171" fontId="68" fillId="0" borderId="0" xfId="5" quotePrefix="1" applyFont="1" applyBorder="1" applyAlignment="1" applyProtection="1">
      <alignment horizontal="center"/>
      <protection locked="0"/>
    </xf>
    <xf numFmtId="171" fontId="68" fillId="0" borderId="0" xfId="5" applyFont="1" applyBorder="1" applyAlignment="1" applyProtection="1">
      <alignment horizontal="left"/>
      <protection locked="0"/>
    </xf>
    <xf numFmtId="171" fontId="68" fillId="0" borderId="21" xfId="5" applyFont="1" applyBorder="1"/>
    <xf numFmtId="171" fontId="68" fillId="0" borderId="46" xfId="5" applyFont="1" applyBorder="1"/>
    <xf numFmtId="171" fontId="68" fillId="0" borderId="23" xfId="5" applyFont="1" applyBorder="1" applyAlignment="1" applyProtection="1">
      <alignment horizontal="right"/>
    </xf>
    <xf numFmtId="166" fontId="68" fillId="0" borderId="23" xfId="5" quotePrefix="1" applyNumberFormat="1" applyFont="1" applyBorder="1" applyAlignment="1" applyProtection="1">
      <alignment horizontal="center"/>
      <protection locked="0"/>
    </xf>
    <xf numFmtId="171" fontId="68" fillId="0" borderId="23" xfId="5" applyFont="1" applyBorder="1"/>
    <xf numFmtId="171" fontId="68" fillId="0" borderId="23" xfId="5" applyFont="1" applyBorder="1" applyAlignment="1">
      <alignment horizontal="right"/>
    </xf>
    <xf numFmtId="166" fontId="68" fillId="0" borderId="23" xfId="5" applyNumberFormat="1" applyFont="1" applyBorder="1" applyProtection="1"/>
    <xf numFmtId="171" fontId="68" fillId="0" borderId="24" xfId="5" applyFont="1" applyBorder="1"/>
    <xf numFmtId="171" fontId="70" fillId="0" borderId="45" xfId="5" quotePrefix="1" applyFont="1" applyBorder="1" applyAlignment="1">
      <alignment horizontal="left"/>
    </xf>
    <xf numFmtId="171" fontId="64" fillId="0" borderId="0" xfId="5" quotePrefix="1" applyFont="1" applyBorder="1" applyAlignment="1" applyProtection="1">
      <alignment horizontal="right"/>
    </xf>
    <xf numFmtId="171" fontId="64" fillId="0" borderId="107" xfId="5" applyFont="1" applyBorder="1"/>
    <xf numFmtId="171" fontId="70" fillId="0" borderId="0" xfId="5" applyFont="1" applyBorder="1" applyAlignment="1" applyProtection="1">
      <alignment horizontal="left"/>
    </xf>
    <xf numFmtId="171" fontId="64" fillId="0" borderId="0" xfId="5" applyFont="1" applyBorder="1" applyAlignment="1" applyProtection="1">
      <alignment horizontal="right"/>
    </xf>
    <xf numFmtId="171" fontId="64" fillId="0" borderId="107" xfId="5" applyFont="1" applyBorder="1" applyAlignment="1" applyProtection="1">
      <alignment horizontal="right"/>
    </xf>
    <xf numFmtId="171" fontId="70" fillId="0" borderId="0" xfId="5" quotePrefix="1" applyFont="1" applyBorder="1" applyAlignment="1" applyProtection="1">
      <alignment horizontal="left"/>
    </xf>
    <xf numFmtId="171" fontId="64" fillId="0" borderId="0" xfId="5" applyFont="1" applyBorder="1" applyAlignment="1">
      <alignment horizontal="right"/>
    </xf>
    <xf numFmtId="171" fontId="64" fillId="0" borderId="21" xfId="5" applyFont="1" applyBorder="1"/>
    <xf numFmtId="171" fontId="61" fillId="0" borderId="45" xfId="5" applyBorder="1"/>
    <xf numFmtId="171" fontId="68" fillId="0" borderId="0" xfId="5" applyFont="1" applyBorder="1" applyAlignment="1">
      <alignment horizontal="right"/>
    </xf>
    <xf numFmtId="171" fontId="68" fillId="0" borderId="107" xfId="5" applyFont="1" applyBorder="1" applyAlignment="1" applyProtection="1">
      <alignment horizontal="center"/>
      <protection locked="0"/>
    </xf>
    <xf numFmtId="1" fontId="68" fillId="0" borderId="107" xfId="5" applyNumberFormat="1" applyFont="1" applyBorder="1" applyAlignment="1">
      <alignment horizontal="center"/>
    </xf>
    <xf numFmtId="171" fontId="68" fillId="0" borderId="0" xfId="5" applyFont="1" applyBorder="1" applyAlignment="1">
      <alignment horizontal="left"/>
    </xf>
    <xf numFmtId="171" fontId="68" fillId="0" borderId="107" xfId="5" applyFont="1" applyBorder="1"/>
    <xf numFmtId="171" fontId="68" fillId="0" borderId="48" xfId="5" applyFont="1" applyBorder="1"/>
    <xf numFmtId="171" fontId="68" fillId="0" borderId="48" xfId="5" applyFont="1" applyBorder="1" applyAlignment="1">
      <alignment horizontal="left"/>
    </xf>
    <xf numFmtId="171" fontId="65" fillId="0" borderId="0" xfId="5" applyFont="1" applyBorder="1" applyAlignment="1">
      <alignment horizontal="centerContinuous"/>
    </xf>
    <xf numFmtId="171" fontId="65" fillId="0" borderId="0" xfId="5" applyFont="1" applyBorder="1"/>
    <xf numFmtId="171" fontId="69" fillId="0" borderId="137" xfId="5" applyFont="1" applyBorder="1" applyAlignment="1" applyProtection="1">
      <alignment horizontal="centerContinuous"/>
    </xf>
    <xf numFmtId="171" fontId="65" fillId="0" borderId="138" xfId="5" applyFont="1" applyBorder="1" applyAlignment="1">
      <alignment horizontal="centerContinuous"/>
    </xf>
    <xf numFmtId="171" fontId="61" fillId="0" borderId="139" xfId="5" applyBorder="1"/>
    <xf numFmtId="171" fontId="65" fillId="0" borderId="140" xfId="5" applyFont="1" applyBorder="1" applyAlignment="1">
      <alignment horizontal="centerContinuous"/>
    </xf>
    <xf numFmtId="171" fontId="70" fillId="0" borderId="45" xfId="5" applyFont="1" applyBorder="1" applyAlignment="1">
      <alignment horizontal="left"/>
    </xf>
    <xf numFmtId="171" fontId="61" fillId="0" borderId="107" xfId="5" applyBorder="1"/>
    <xf numFmtId="166" fontId="68" fillId="0" borderId="0" xfId="5" applyNumberFormat="1" applyFont="1" applyBorder="1" applyAlignment="1" applyProtection="1">
      <alignment horizontal="center"/>
      <protection locked="0"/>
    </xf>
    <xf numFmtId="171" fontId="68" fillId="0" borderId="45" xfId="5" applyFont="1" applyBorder="1" applyAlignment="1">
      <alignment horizontal="left"/>
    </xf>
    <xf numFmtId="171" fontId="61" fillId="0" borderId="48" xfId="5" applyBorder="1"/>
    <xf numFmtId="171" fontId="65" fillId="0" borderId="0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65" fillId="0" borderId="137" xfId="5" applyFont="1" applyBorder="1"/>
    <xf numFmtId="171" fontId="64" fillId="0" borderId="138" xfId="5" applyFont="1" applyBorder="1" applyAlignment="1">
      <alignment horizontal="left"/>
    </xf>
    <xf numFmtId="171" fontId="64" fillId="0" borderId="140" xfId="5" applyFont="1" applyBorder="1" applyAlignment="1">
      <alignment horizontal="left"/>
    </xf>
    <xf numFmtId="171" fontId="68" fillId="0" borderId="45" xfId="6" quotePrefix="1" applyFont="1" applyBorder="1" applyAlignment="1">
      <alignment horizontal="left"/>
    </xf>
    <xf numFmtId="171" fontId="68" fillId="0" borderId="21" xfId="5" applyFont="1" applyBorder="1" applyAlignment="1">
      <alignment horizontal="left"/>
    </xf>
    <xf numFmtId="171" fontId="68" fillId="0" borderId="45" xfId="6" applyFont="1" applyBorder="1" applyAlignment="1">
      <alignment horizontal="left"/>
    </xf>
    <xf numFmtId="171" fontId="71" fillId="0" borderId="141" xfId="6" applyFont="1" applyBorder="1"/>
    <xf numFmtId="171" fontId="68" fillId="0" borderId="0" xfId="5" quotePrefix="1" applyFont="1" applyBorder="1" applyAlignment="1" applyProtection="1">
      <alignment horizontal="left"/>
    </xf>
    <xf numFmtId="171" fontId="68" fillId="0" borderId="142" xfId="6" quotePrefix="1" applyFont="1" applyBorder="1" applyAlignment="1" applyProtection="1">
      <alignment horizontal="left"/>
    </xf>
    <xf numFmtId="171" fontId="68" fillId="0" borderId="143" xfId="6" quotePrefix="1" applyFont="1" applyBorder="1" applyAlignment="1">
      <alignment horizontal="left"/>
    </xf>
    <xf numFmtId="171" fontId="68" fillId="0" borderId="46" xfId="6" applyFont="1" applyBorder="1" applyAlignment="1">
      <alignment horizontal="left"/>
    </xf>
    <xf numFmtId="171" fontId="68" fillId="0" borderId="23" xfId="5" applyFont="1" applyBorder="1" applyAlignment="1">
      <alignment horizontal="left"/>
    </xf>
    <xf numFmtId="171" fontId="68" fillId="0" borderId="24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72" fillId="0" borderId="0" xfId="5" applyFont="1" applyAlignment="1" applyProtection="1">
      <alignment horizontal="right"/>
    </xf>
    <xf numFmtId="171" fontId="61" fillId="0" borderId="0" xfId="5" applyAlignment="1">
      <alignment horizontal="right"/>
    </xf>
    <xf numFmtId="49" fontId="52" fillId="0" borderId="40" xfId="0" applyNumberFormat="1" applyFont="1" applyBorder="1"/>
    <xf numFmtId="0" fontId="52" fillId="0" borderId="60" xfId="7" applyFont="1" applyBorder="1"/>
    <xf numFmtId="0" fontId="52" fillId="0" borderId="61" xfId="7" applyFont="1" applyBorder="1"/>
    <xf numFmtId="0" fontId="52" fillId="0" borderId="38" xfId="7" applyFont="1" applyBorder="1"/>
    <xf numFmtId="0" fontId="1" fillId="0" borderId="0" xfId="7"/>
    <xf numFmtId="0" fontId="53" fillId="0" borderId="82" xfId="7" applyFont="1" applyBorder="1" applyAlignment="1">
      <alignment horizontal="centerContinuous"/>
    </xf>
    <xf numFmtId="0" fontId="52" fillId="0" borderId="0" xfId="7" applyFont="1" applyBorder="1" applyAlignment="1">
      <alignment horizontal="centerContinuous"/>
    </xf>
    <xf numFmtId="0" fontId="52" fillId="0" borderId="107" xfId="7" applyFont="1" applyBorder="1" applyAlignment="1">
      <alignment horizontal="centerContinuous"/>
    </xf>
    <xf numFmtId="0" fontId="52" fillId="0" borderId="82" xfId="7" applyFont="1" applyBorder="1"/>
    <xf numFmtId="0" fontId="52" fillId="0" borderId="0" xfId="7" applyFont="1" applyBorder="1"/>
    <xf numFmtId="0" fontId="52" fillId="0" borderId="107" xfId="7" applyFont="1" applyBorder="1"/>
    <xf numFmtId="0" fontId="50" fillId="0" borderId="0" xfId="7" applyFont="1" applyBorder="1" applyAlignment="1">
      <alignment horizontal="right"/>
    </xf>
    <xf numFmtId="0" fontId="52" fillId="0" borderId="0" xfId="7" applyFont="1" applyBorder="1" applyAlignment="1">
      <alignment horizontal="center"/>
    </xf>
    <xf numFmtId="9" fontId="52" fillId="0" borderId="0" xfId="7" applyNumberFormat="1" applyFont="1" applyBorder="1" applyAlignment="1">
      <alignment horizontal="center"/>
    </xf>
    <xf numFmtId="0" fontId="58" fillId="0" borderId="0" xfId="7" applyFont="1"/>
    <xf numFmtId="0" fontId="1" fillId="0" borderId="0" xfId="7" applyBorder="1"/>
    <xf numFmtId="0" fontId="59" fillId="0" borderId="0" xfId="7" applyFont="1" applyFill="1" applyBorder="1"/>
    <xf numFmtId="0" fontId="1" fillId="0" borderId="0" xfId="7" applyFont="1" applyFill="1" applyBorder="1"/>
    <xf numFmtId="0" fontId="2" fillId="0" borderId="1" xfId="7" applyFont="1" applyBorder="1" applyAlignment="1">
      <alignment horizontal="center"/>
    </xf>
    <xf numFmtId="1" fontId="2" fillId="2" borderId="1" xfId="7" applyNumberFormat="1" applyFont="1" applyFill="1" applyBorder="1" applyAlignment="1">
      <alignment horizontal="center"/>
    </xf>
    <xf numFmtId="2" fontId="2" fillId="2" borderId="1" xfId="7" applyNumberFormat="1" applyFont="1" applyFill="1" applyBorder="1" applyAlignment="1">
      <alignment horizontal="center"/>
    </xf>
    <xf numFmtId="0" fontId="2" fillId="2" borderId="1" xfId="7" applyFont="1" applyFill="1" applyBorder="1" applyAlignment="1">
      <alignment horizontal="center"/>
    </xf>
    <xf numFmtId="0" fontId="74" fillId="0" borderId="0" xfId="0" applyFont="1"/>
    <xf numFmtId="0" fontId="2" fillId="0" borderId="44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6" fontId="75" fillId="0" borderId="145" xfId="0" quotePrefix="1" applyNumberFormat="1" applyFont="1" applyBorder="1" applyAlignment="1">
      <alignment horizontal="center"/>
    </xf>
    <xf numFmtId="166" fontId="2" fillId="0" borderId="28" xfId="0" applyNumberFormat="1" applyFont="1" applyBorder="1" applyAlignment="1">
      <alignment horizontal="center"/>
    </xf>
    <xf numFmtId="166" fontId="2" fillId="0" borderId="146" xfId="0" applyNumberFormat="1" applyFont="1" applyBorder="1" applyAlignment="1">
      <alignment horizontal="center"/>
    </xf>
    <xf numFmtId="166" fontId="75" fillId="0" borderId="147" xfId="0" quotePrefix="1" applyNumberFormat="1" applyFont="1" applyBorder="1" applyAlignment="1">
      <alignment horizontal="center"/>
    </xf>
    <xf numFmtId="166" fontId="2" fillId="0" borderId="129" xfId="0" applyNumberFormat="1" applyFont="1" applyBorder="1" applyAlignment="1">
      <alignment horizontal="center"/>
    </xf>
    <xf numFmtId="166" fontId="75" fillId="0" borderId="25" xfId="0" quotePrefix="1" applyNumberFormat="1" applyFont="1" applyBorder="1" applyAlignment="1">
      <alignment horizontal="center"/>
    </xf>
    <xf numFmtId="166" fontId="2" fillId="0" borderId="13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75" fillId="0" borderId="0" xfId="0" quotePrefix="1" applyNumberFormat="1" applyFont="1" applyBorder="1" applyAlignment="1">
      <alignment horizontal="center"/>
    </xf>
    <xf numFmtId="166" fontId="75" fillId="0" borderId="0" xfId="0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31" fillId="0" borderId="64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0" borderId="38" xfId="1" applyFont="1" applyFill="1" applyBorder="1" applyAlignment="1">
      <alignment horizontal="left"/>
    </xf>
    <xf numFmtId="0" fontId="26" fillId="0" borderId="45" xfId="2" applyFont="1" applyFill="1" applyBorder="1" applyAlignment="1">
      <alignment horizontal="center"/>
    </xf>
    <xf numFmtId="0" fontId="26" fillId="0" borderId="0" xfId="2" applyFont="1" applyFill="1" applyBorder="1" applyAlignment="1">
      <alignment horizontal="center"/>
    </xf>
    <xf numFmtId="0" fontId="26" fillId="0" borderId="107" xfId="2" applyFont="1" applyFill="1" applyBorder="1" applyAlignment="1">
      <alignment horizontal="center"/>
    </xf>
    <xf numFmtId="0" fontId="26" fillId="0" borderId="46" xfId="2" applyFont="1" applyFill="1" applyBorder="1" applyAlignment="1">
      <alignment horizontal="center"/>
    </xf>
    <xf numFmtId="0" fontId="26" fillId="0" borderId="23" xfId="2" applyFont="1" applyFill="1" applyBorder="1" applyAlignment="1">
      <alignment horizontal="center"/>
    </xf>
    <xf numFmtId="0" fontId="26" fillId="0" borderId="48" xfId="2" applyFont="1" applyFill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23" fillId="0" borderId="6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60" fillId="0" borderId="0" xfId="4" applyFont="1" applyAlignment="1">
      <alignment horizontal="center"/>
    </xf>
    <xf numFmtId="0" fontId="49" fillId="0" borderId="1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7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1" fillId="0" borderId="17" xfId="4" applyFont="1" applyBorder="1" applyAlignment="1">
      <alignment horizontal="center"/>
    </xf>
    <xf numFmtId="0" fontId="23" fillId="0" borderId="128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49" fillId="0" borderId="128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171" fontId="73" fillId="0" borderId="144" xfId="5" applyFont="1" applyBorder="1" applyAlignment="1" applyProtection="1">
      <alignment horizontal="center"/>
      <protection locked="0"/>
    </xf>
    <xf numFmtId="14" fontId="15" fillId="0" borderId="144" xfId="5" quotePrefix="1" applyNumberFormat="1" applyFont="1" applyBorder="1" applyAlignment="1" applyProtection="1">
      <alignment horizontal="center"/>
      <protection locked="0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54" fillId="0" borderId="82" xfId="7" applyFont="1" applyBorder="1" applyAlignment="1">
      <alignment horizontal="center"/>
    </xf>
    <xf numFmtId="0" fontId="54" fillId="0" borderId="0" xfId="7" applyFont="1" applyBorder="1" applyAlignment="1">
      <alignment horizontal="center"/>
    </xf>
    <xf numFmtId="0" fontId="54" fillId="0" borderId="107" xfId="7" applyFont="1" applyBorder="1" applyAlignment="1">
      <alignment horizontal="center"/>
    </xf>
    <xf numFmtId="0" fontId="57" fillId="0" borderId="82" xfId="7" applyFont="1" applyBorder="1" applyAlignment="1">
      <alignment horizontal="center"/>
    </xf>
    <xf numFmtId="0" fontId="57" fillId="0" borderId="0" xfId="7" applyFont="1" applyBorder="1" applyAlignment="1">
      <alignment horizontal="center"/>
    </xf>
    <xf numFmtId="0" fontId="57" fillId="0" borderId="107" xfId="7" applyFont="1" applyBorder="1" applyAlignment="1">
      <alignment horizontal="center"/>
    </xf>
    <xf numFmtId="0" fontId="57" fillId="0" borderId="82" xfId="0" applyFont="1" applyBorder="1" applyAlignment="1">
      <alignment horizontal="center"/>
    </xf>
    <xf numFmtId="0" fontId="57" fillId="0" borderId="0" xfId="0" applyFont="1" applyBorder="1" applyAlignment="1">
      <alignment horizontal="center"/>
    </xf>
    <xf numFmtId="0" fontId="57" fillId="0" borderId="107" xfId="0" applyFont="1" applyBorder="1" applyAlignment="1">
      <alignment horizontal="center"/>
    </xf>
  </cellXfs>
  <cellStyles count="8">
    <cellStyle name="Normal" xfId="0" builtinId="0"/>
    <cellStyle name="Normal 2" xfId="1"/>
    <cellStyle name="Normal 2 2" xfId="7"/>
    <cellStyle name="Normal 3" xfId="4"/>
    <cellStyle name="Normal 3 2" xfId="5"/>
    <cellStyle name="Normal 4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165.11164501729579</c:v>
                </c:pt>
                <c:pt idx="2">
                  <c:v>280</c:v>
                </c:pt>
                <c:pt idx="3">
                  <c:v>144.31832501735795</c:v>
                </c:pt>
                <c:pt idx="4">
                  <c:v>110.02558216817431</c:v>
                </c:pt>
                <c:pt idx="5">
                  <c:v>95.237387120168108</c:v>
                </c:pt>
                <c:pt idx="6">
                  <c:v>85.56490652503382</c:v>
                </c:pt>
                <c:pt idx="7">
                  <c:v>81.214700756686142</c:v>
                </c:pt>
                <c:pt idx="8">
                  <c:v>79</c:v>
                </c:pt>
                <c:pt idx="9">
                  <c:v>79.00229590394504</c:v>
                </c:pt>
                <c:pt idx="10">
                  <c:v>79.004468844024828</c:v>
                </c:pt>
                <c:pt idx="11">
                  <c:v>79.006040919716227</c:v>
                </c:pt>
                <c:pt idx="12">
                  <c:v>79.008149528734251</c:v>
                </c:pt>
                <c:pt idx="13">
                  <c:v>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A2-4683-A198-36BE9E66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11680"/>
        <c:axId val="14111398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0.16342222690582275</c:v>
                </c:pt>
                <c:pt idx="1">
                  <c:v>177.64208984375</c:v>
                </c:pt>
                <c:pt idx="2">
                  <c:v>504.12835693359375</c:v>
                </c:pt>
                <c:pt idx="3">
                  <c:v>577.63909912109375</c:v>
                </c:pt>
                <c:pt idx="4">
                  <c:v>596.61541748046875</c:v>
                </c:pt>
                <c:pt idx="5">
                  <c:v>604.71429443359375</c:v>
                </c:pt>
                <c:pt idx="6">
                  <c:v>613.06976318359375</c:v>
                </c:pt>
                <c:pt idx="7">
                  <c:v>618.67913818359375</c:v>
                </c:pt>
                <c:pt idx="8">
                  <c:v>623.2581787109375</c:v>
                </c:pt>
                <c:pt idx="9">
                  <c:v>627.08502197265625</c:v>
                </c:pt>
                <c:pt idx="10">
                  <c:v>630.28387451171875</c:v>
                </c:pt>
                <c:pt idx="11">
                  <c:v>632.97039794921875</c:v>
                </c:pt>
                <c:pt idx="12">
                  <c:v>635.24981689453125</c:v>
                </c:pt>
                <c:pt idx="13">
                  <c:v>637.20928955078125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A2-4683-A198-36BE9E66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54176"/>
        <c:axId val="141155712"/>
      </c:scatterChart>
      <c:valAx>
        <c:axId val="14111168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1113984"/>
        <c:crossesAt val="0"/>
        <c:crossBetween val="midCat"/>
        <c:majorUnit val="0.2"/>
        <c:minorUnit val="0.2"/>
      </c:valAx>
      <c:valAx>
        <c:axId val="14111398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1111680"/>
        <c:crosses val="max"/>
        <c:crossBetween val="midCat"/>
        <c:majorUnit val="50"/>
        <c:minorUnit val="50"/>
      </c:valAx>
      <c:valAx>
        <c:axId val="14115417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41155712"/>
        <c:crosses val="autoZero"/>
        <c:crossBetween val="midCat"/>
      </c:valAx>
      <c:valAx>
        <c:axId val="1411557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115417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165.11164501729579</c:v>
                </c:pt>
                <c:pt idx="2">
                  <c:v>280</c:v>
                </c:pt>
                <c:pt idx="3">
                  <c:v>161.57880386895408</c:v>
                </c:pt>
                <c:pt idx="4">
                  <c:v>114.61271288342388</c:v>
                </c:pt>
                <c:pt idx="5">
                  <c:v>94.461174016128737</c:v>
                </c:pt>
                <c:pt idx="6">
                  <c:v>80.898237284345612</c:v>
                </c:pt>
                <c:pt idx="7">
                  <c:v>75</c:v>
                </c:pt>
                <c:pt idx="8">
                  <c:v>75.000014440469513</c:v>
                </c:pt>
                <c:pt idx="9">
                  <c:v>75.000022273300857</c:v>
                </c:pt>
                <c:pt idx="10">
                  <c:v>75.001535687673169</c:v>
                </c:pt>
                <c:pt idx="11">
                  <c:v>75.003141873249078</c:v>
                </c:pt>
                <c:pt idx="12">
                  <c:v>75.004516063297118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58-432E-AD9E-EA7BB8080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86128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0.16342222690582275</c:v>
                </c:pt>
                <c:pt idx="1">
                  <c:v>177.64208984375</c:v>
                </c:pt>
                <c:pt idx="2">
                  <c:v>504.12835693359375</c:v>
                </c:pt>
                <c:pt idx="3">
                  <c:v>577.63909912109375</c:v>
                </c:pt>
                <c:pt idx="4">
                  <c:v>596.61541748046875</c:v>
                </c:pt>
                <c:pt idx="5">
                  <c:v>604.71429443359375</c:v>
                </c:pt>
                <c:pt idx="6">
                  <c:v>613.06976318359375</c:v>
                </c:pt>
                <c:pt idx="7">
                  <c:v>618.67913818359375</c:v>
                </c:pt>
                <c:pt idx="8">
                  <c:v>623.2581787109375</c:v>
                </c:pt>
                <c:pt idx="9">
                  <c:v>627.08502197265625</c:v>
                </c:pt>
                <c:pt idx="10">
                  <c:v>630.28387451171875</c:v>
                </c:pt>
                <c:pt idx="11">
                  <c:v>632.97039794921875</c:v>
                </c:pt>
                <c:pt idx="12">
                  <c:v>635.24981689453125</c:v>
                </c:pt>
                <c:pt idx="13">
                  <c:v>637.20928955078125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58-432E-AD9E-EA7BB8080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2098612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098612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4814557418"/>
          <c:y val="0.94018422510518729"/>
          <c:w val="0.19237496853989142"/>
          <c:h val="5.981574964172423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637.20930232558135</c:v>
                </c:pt>
                <c:pt idx="1">
                  <c:v>567.47984186046506</c:v>
                </c:pt>
                <c:pt idx="2">
                  <c:v>497.72946046511629</c:v>
                </c:pt>
                <c:pt idx="3">
                  <c:v>428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44.129741223553147</c:v>
                </c:pt>
                <c:pt idx="2">
                  <c:v>57.364810635011793</c:v>
                </c:pt>
                <c:pt idx="3">
                  <c:v>77.579097104326223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3-4E31-8C98-7408C518B823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637.20930232558135</c:v>
                </c:pt>
                <c:pt idx="1">
                  <c:v>567.47984186046506</c:v>
                </c:pt>
                <c:pt idx="2">
                  <c:v>497.72946046511629</c:v>
                </c:pt>
                <c:pt idx="3">
                  <c:v>428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18.912746238665633</c:v>
                </c:pt>
                <c:pt idx="2">
                  <c:v>24.584918843576482</c:v>
                </c:pt>
                <c:pt idx="3">
                  <c:v>33.248184473282663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13-4E31-8C98-7408C518B823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328</c:v>
                </c:pt>
                <c:pt idx="1">
                  <c:v>228</c:v>
                </c:pt>
                <c:pt idx="2">
                  <c:v>280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77.685400823390466</c:v>
                </c:pt>
                <c:pt idx="3">
                  <c:v>187.97948841215469</c:v>
                </c:pt>
                <c:pt idx="4">
                  <c:v>289.68063850434294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13-4E31-8C98-7408C518B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232696"/>
        <c:axId val="1"/>
      </c:scatterChart>
      <c:valAx>
        <c:axId val="83823269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23269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88.098823547363281</c:v>
                </c:pt>
                <c:pt idx="2">
                  <c:v>92.686630249023438</c:v>
                </c:pt>
                <c:pt idx="3">
                  <c:v>94.1358642578125</c:v>
                </c:pt>
                <c:pt idx="4">
                  <c:v>94.720893859863281</c:v>
                </c:pt>
                <c:pt idx="5">
                  <c:v>94.944618225097656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18-4A2C-BE28-27F829BAAE99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79.168525695800781</c:v>
                </c:pt>
                <c:pt idx="1">
                  <c:v>90.03173828125</c:v>
                </c:pt>
                <c:pt idx="2">
                  <c:v>92.489166259765625</c:v>
                </c:pt>
                <c:pt idx="3">
                  <c:v>93.0384521484375</c:v>
                </c:pt>
                <c:pt idx="4">
                  <c:v>92.855339050292969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18-4A2C-BE28-27F829BAAE99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81.012545934503038</c:v>
                </c:pt>
                <c:pt idx="2">
                  <c:v>65.422077750310422</c:v>
                </c:pt>
                <c:pt idx="3">
                  <c:v>49.532887994036344</c:v>
                </c:pt>
                <c:pt idx="4">
                  <c:v>33.141108089742929</c:v>
                </c:pt>
                <c:pt idx="5">
                  <c:v>16.991326794293514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18-4A2C-BE28-27F829BAAE99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0.93340000000000012</c:v>
                </c:pt>
                <c:pt idx="1">
                  <c:v>10.642893608387638</c:v>
                </c:pt>
                <c:pt idx="2">
                  <c:v>20.232179610919086</c:v>
                </c:pt>
                <c:pt idx="3">
                  <c:v>29.881054402718373</c:v>
                </c:pt>
                <c:pt idx="4">
                  <c:v>39.595326323071461</c:v>
                </c:pt>
                <c:pt idx="5">
                  <c:v>49.377533401417537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18-4A2C-BE28-27F829BAA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9006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14.557454967555277</c:v>
                </c:pt>
                <c:pt idx="1">
                  <c:v>27.166101455688477</c:v>
                </c:pt>
                <c:pt idx="2">
                  <c:v>45.411640167236328</c:v>
                </c:pt>
                <c:pt idx="3">
                  <c:v>65.286773681640625</c:v>
                </c:pt>
                <c:pt idx="4">
                  <c:v>86.000625610351563</c:v>
                </c:pt>
                <c:pt idx="5">
                  <c:v>107.45896911621094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18-4A2C-BE28-27F829BAA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209900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99006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88.098823547363281</c:v>
                </c:pt>
                <c:pt idx="2">
                  <c:v>92.686630249023438</c:v>
                </c:pt>
                <c:pt idx="3">
                  <c:v>94.1358642578125</c:v>
                </c:pt>
                <c:pt idx="4">
                  <c:v>94.720893859863281</c:v>
                </c:pt>
                <c:pt idx="5">
                  <c:v>94.944618225097656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52-4CEF-B699-92F31E4F3BB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79.168525695800781</c:v>
                </c:pt>
                <c:pt idx="1">
                  <c:v>90.03173828125</c:v>
                </c:pt>
                <c:pt idx="2">
                  <c:v>92.489166259765625</c:v>
                </c:pt>
                <c:pt idx="3">
                  <c:v>93.0384521484375</c:v>
                </c:pt>
                <c:pt idx="4">
                  <c:v>92.855339050292969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52-4CEF-B699-92F31E4F3BBE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81.012545934503038</c:v>
                </c:pt>
                <c:pt idx="2">
                  <c:v>65.422077750310422</c:v>
                </c:pt>
                <c:pt idx="3">
                  <c:v>49.532887994036344</c:v>
                </c:pt>
                <c:pt idx="4">
                  <c:v>33.141108089742929</c:v>
                </c:pt>
                <c:pt idx="5">
                  <c:v>16.991326794293514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52-4CEF-B699-92F31E4F3BBE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0.93340000000000012</c:v>
                </c:pt>
                <c:pt idx="1">
                  <c:v>10.642893608387638</c:v>
                </c:pt>
                <c:pt idx="2">
                  <c:v>20.232179610919086</c:v>
                </c:pt>
                <c:pt idx="3">
                  <c:v>29.881054402718373</c:v>
                </c:pt>
                <c:pt idx="4">
                  <c:v>39.595326323071461</c:v>
                </c:pt>
                <c:pt idx="5">
                  <c:v>49.377533401417537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52-4CEF-B699-92F31E4F3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9006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25</c:v>
                </c:pt>
                <c:pt idx="1">
                  <c:v>47</c:v>
                </c:pt>
                <c:pt idx="2">
                  <c:v>78.599999999999994</c:v>
                </c:pt>
                <c:pt idx="3">
                  <c:v>113</c:v>
                </c:pt>
                <c:pt idx="4">
                  <c:v>149</c:v>
                </c:pt>
                <c:pt idx="5">
                  <c:v>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52-4CEF-B699-92F31E4F3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209900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99006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205865" y="7768590"/>
          <a:ext cx="891540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48715" y="6282690"/>
          <a:ext cx="967740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0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0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0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0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8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9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1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7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19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20" name="Radius"/>
        <xdr:cNvSpPr txBox="1">
          <a:spLocks noChangeArrowheads="1"/>
        </xdr:cNvSpPr>
      </xdr:nvSpPr>
      <xdr:spPr bwMode="auto">
        <a:xfrm>
          <a:off x="2247900" y="97821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85725</xdr:rowOff>
    </xdr:to>
    <xdr:sp macro="" textlink="">
      <xdr:nvSpPr>
        <xdr:cNvPr id="121" name="Height"/>
        <xdr:cNvSpPr txBox="1">
          <a:spLocks noChangeArrowheads="1"/>
        </xdr:cNvSpPr>
      </xdr:nvSpPr>
      <xdr:spPr bwMode="auto">
        <a:xfrm>
          <a:off x="1743075" y="9439275"/>
          <a:ext cx="266700" cy="85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42</xdr:row>
      <xdr:rowOff>0</xdr:rowOff>
    </xdr:from>
    <xdr:to>
      <xdr:col>3</xdr:col>
      <xdr:colOff>323850</xdr:colOff>
      <xdr:row>42</xdr:row>
      <xdr:rowOff>104775</xdr:rowOff>
    </xdr:to>
    <xdr:sp macro="" textlink="">
      <xdr:nvSpPr>
        <xdr:cNvPr id="122" name="Thickness"/>
        <xdr:cNvSpPr txBox="1">
          <a:spLocks noChangeArrowheads="1"/>
        </xdr:cNvSpPr>
      </xdr:nvSpPr>
      <xdr:spPr bwMode="auto">
        <a:xfrm>
          <a:off x="1609725" y="9667875"/>
          <a:ext cx="4095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2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590550</xdr:colOff>
      <xdr:row>41</xdr:row>
      <xdr:rowOff>9525</xdr:rowOff>
    </xdr:to>
    <xdr:sp macro="" textlink="">
      <xdr:nvSpPr>
        <xdr:cNvPr id="124" name="Thickness"/>
        <xdr:cNvSpPr txBox="1">
          <a:spLocks noChangeArrowheads="1"/>
        </xdr:cNvSpPr>
      </xdr:nvSpPr>
      <xdr:spPr bwMode="auto">
        <a:xfrm>
          <a:off x="1990725" y="934402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2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2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2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41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42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43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4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4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4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4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9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50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51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52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3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8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0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62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63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64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276225</xdr:colOff>
      <xdr:row>40</xdr:row>
      <xdr:rowOff>171450</xdr:rowOff>
    </xdr:to>
    <xdr:sp macro="" textlink="">
      <xdr:nvSpPr>
        <xdr:cNvPr id="165" name="Height"/>
        <xdr:cNvSpPr txBox="1">
          <a:spLocks noChangeArrowheads="1"/>
        </xdr:cNvSpPr>
      </xdr:nvSpPr>
      <xdr:spPr bwMode="auto">
        <a:xfrm>
          <a:off x="1543050" y="9039225"/>
          <a:ext cx="428625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66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67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68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69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70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71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72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73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74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75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76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77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78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79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80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81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82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83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84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85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86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87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88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89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90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91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92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93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94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95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9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9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9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9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00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01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02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03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0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0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8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9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10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11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4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7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8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19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2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21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22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23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24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25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26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27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28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29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30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31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32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233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234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235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236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237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238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239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240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241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242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243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244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245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246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247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248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249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250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251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252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253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254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5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5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5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7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1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2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3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4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79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0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2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4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5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86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7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88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89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90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91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92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93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94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95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96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97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98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99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00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01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02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03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04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05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06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07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08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09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10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11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12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13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14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381000</xdr:colOff>
      <xdr:row>40</xdr:row>
      <xdr:rowOff>180975</xdr:rowOff>
    </xdr:to>
    <xdr:sp macro="" textlink="">
      <xdr:nvSpPr>
        <xdr:cNvPr id="315" name="Thickness"/>
        <xdr:cNvSpPr txBox="1">
          <a:spLocks noChangeArrowheads="1"/>
        </xdr:cNvSpPr>
      </xdr:nvSpPr>
      <xdr:spPr bwMode="auto">
        <a:xfrm>
          <a:off x="1752600" y="9286875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316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17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18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19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20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21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2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3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4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5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0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1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2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3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3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3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1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2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345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6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347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348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051-FA11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349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318.0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350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351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352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35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354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355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356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357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358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59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60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61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62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63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64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65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66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67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68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69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70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71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72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73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142876</xdr:colOff>
      <xdr:row>40</xdr:row>
      <xdr:rowOff>88107</xdr:rowOff>
    </xdr:from>
    <xdr:to>
      <xdr:col>3</xdr:col>
      <xdr:colOff>371476</xdr:colOff>
      <xdr:row>40</xdr:row>
      <xdr:rowOff>164307</xdr:rowOff>
    </xdr:to>
    <xdr:sp macro="" textlink="">
      <xdr:nvSpPr>
        <xdr:cNvPr id="374" name="Thickness"/>
        <xdr:cNvSpPr txBox="1">
          <a:spLocks noChangeArrowheads="1"/>
        </xdr:cNvSpPr>
      </xdr:nvSpPr>
      <xdr:spPr bwMode="auto">
        <a:xfrm>
          <a:off x="1838326" y="9298782"/>
          <a:ext cx="22860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b" anchorCtr="0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75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76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77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78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79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704850</xdr:colOff>
      <xdr:row>33</xdr:row>
      <xdr:rowOff>180975</xdr:rowOff>
    </xdr:from>
    <xdr:to>
      <xdr:col>4</xdr:col>
      <xdr:colOff>714375</xdr:colOff>
      <xdr:row>34</xdr:row>
      <xdr:rowOff>106940</xdr:rowOff>
    </xdr:to>
    <xdr:sp macro="" textlink="">
      <xdr:nvSpPr>
        <xdr:cNvPr id="380" name="Text 219"/>
        <xdr:cNvSpPr txBox="1">
          <a:spLocks noChangeArrowheads="1"/>
        </xdr:cNvSpPr>
      </xdr:nvSpPr>
      <xdr:spPr bwMode="auto">
        <a:xfrm>
          <a:off x="2400300" y="779145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411-FA11</a:t>
          </a:r>
        </a:p>
      </xdr:txBody>
    </xdr:sp>
    <xdr:clientData/>
  </xdr:twoCellAnchor>
  <xdr:twoCellAnchor>
    <xdr:from>
      <xdr:col>3</xdr:col>
      <xdr:colOff>704850</xdr:colOff>
      <xdr:row>27</xdr:row>
      <xdr:rowOff>171450</xdr:rowOff>
    </xdr:from>
    <xdr:to>
      <xdr:col>4</xdr:col>
      <xdr:colOff>714375</xdr:colOff>
      <xdr:row>28</xdr:row>
      <xdr:rowOff>97415</xdr:rowOff>
    </xdr:to>
    <xdr:sp macro="" textlink="">
      <xdr:nvSpPr>
        <xdr:cNvPr id="381" name="Text 219"/>
        <xdr:cNvSpPr txBox="1">
          <a:spLocks noChangeArrowheads="1"/>
        </xdr:cNvSpPr>
      </xdr:nvSpPr>
      <xdr:spPr bwMode="auto">
        <a:xfrm>
          <a:off x="2400300" y="641032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0.63871</cdr:x>
      <cdr:y>0.65025</cdr:y>
    </cdr:from>
    <cdr:to>
      <cdr:x>0.878</cdr:x>
      <cdr:y>0.67094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0.63871</cdr:x>
      <cdr:y>0.54409</cdr:y>
    </cdr:from>
    <cdr:to>
      <cdr:x>0.92546</cdr:x>
      <cdr:y>0.56946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980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980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abSelected="1" topLeftCell="A21" zoomScaleNormal="100" workbookViewId="0">
      <selection activeCell="C45" sqref="C45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200</v>
      </c>
    </row>
    <row r="2" spans="1:10" ht="17.399999999999999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201</v>
      </c>
    </row>
    <row r="3" spans="1:10" ht="15" customHeight="1" thickBot="1">
      <c r="A3" s="51" t="s">
        <v>1</v>
      </c>
      <c r="B3" s="98" t="s">
        <v>199</v>
      </c>
      <c r="C3" s="1"/>
      <c r="D3" s="51"/>
      <c r="E3" s="1"/>
      <c r="F3" s="1"/>
      <c r="G3" s="51" t="s">
        <v>2</v>
      </c>
      <c r="H3" s="151">
        <v>41655</v>
      </c>
      <c r="I3" s="51" t="s">
        <v>3</v>
      </c>
      <c r="J3" s="152">
        <v>0.60755787037037035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2</v>
      </c>
      <c r="B5" s="115">
        <v>700.00001636331262</v>
      </c>
      <c r="C5" s="145">
        <v>3600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234</v>
      </c>
      <c r="I5" s="79" t="s">
        <v>239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24.143700925925923</v>
      </c>
      <c r="J7" s="108" t="s">
        <v>19</v>
      </c>
    </row>
    <row r="8" spans="1:10" ht="15" customHeight="1">
      <c r="A8" s="7" t="s">
        <v>20</v>
      </c>
      <c r="B8" s="71">
        <v>3.5</v>
      </c>
      <c r="C8" s="54"/>
      <c r="D8" s="7"/>
      <c r="E8" s="53"/>
      <c r="F8" s="4"/>
      <c r="G8" s="17"/>
      <c r="H8" s="11" t="s">
        <v>21</v>
      </c>
      <c r="I8" s="70">
        <v>27.864537391304346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26.004119158615133</v>
      </c>
      <c r="J9" s="106">
        <v>659.24163499059887</v>
      </c>
    </row>
    <row r="10" spans="1:10" ht="15" customHeight="1">
      <c r="A10" s="7" t="s">
        <v>27</v>
      </c>
      <c r="B10" s="71">
        <v>470</v>
      </c>
      <c r="C10" s="75">
        <v>470</v>
      </c>
      <c r="D10" s="7"/>
      <c r="E10" s="53"/>
      <c r="F10" s="119" t="s">
        <v>195</v>
      </c>
      <c r="G10" s="117" t="s">
        <v>196</v>
      </c>
      <c r="H10" s="11" t="s">
        <v>28</v>
      </c>
      <c r="I10" s="70">
        <v>17.419318365226331</v>
      </c>
      <c r="J10" s="105" t="s">
        <v>29</v>
      </c>
    </row>
    <row r="11" spans="1:10" ht="15" customHeight="1" thickBot="1">
      <c r="A11" s="7" t="s">
        <v>30</v>
      </c>
      <c r="B11" s="71">
        <v>770</v>
      </c>
      <c r="C11" s="75">
        <v>408</v>
      </c>
      <c r="D11" s="7" t="s">
        <v>31</v>
      </c>
      <c r="E11" s="70">
        <v>0.62956666666666661</v>
      </c>
      <c r="F11" s="120"/>
      <c r="G11" s="116"/>
      <c r="H11" s="11" t="s">
        <v>32</v>
      </c>
      <c r="I11" s="70">
        <v>27.468965263537992</v>
      </c>
      <c r="J11" s="106">
        <v>16866.161953256338</v>
      </c>
    </row>
    <row r="12" spans="1:10" ht="15" customHeight="1">
      <c r="A12" s="7" t="s">
        <v>33</v>
      </c>
      <c r="B12" s="71">
        <v>415</v>
      </c>
      <c r="C12" s="75">
        <v>170</v>
      </c>
      <c r="D12" s="7" t="s">
        <v>34</v>
      </c>
      <c r="E12" s="140" t="s">
        <v>174</v>
      </c>
      <c r="F12" s="126" t="s">
        <v>189</v>
      </c>
      <c r="G12" s="118" t="s">
        <v>188</v>
      </c>
      <c r="H12" s="11" t="s">
        <v>35</v>
      </c>
      <c r="I12" s="70">
        <v>1.3860301775139077</v>
      </c>
      <c r="J12" s="105" t="s">
        <v>36</v>
      </c>
    </row>
    <row r="13" spans="1:10" ht="15" customHeight="1" thickBot="1">
      <c r="A13" s="7" t="s">
        <v>37</v>
      </c>
      <c r="B13" s="71">
        <v>112.5</v>
      </c>
      <c r="C13" s="75">
        <v>77.590000152587891</v>
      </c>
      <c r="D13" s="7" t="s">
        <v>38</v>
      </c>
      <c r="E13" s="72">
        <v>26</v>
      </c>
      <c r="F13" s="126"/>
      <c r="G13" s="118" t="s">
        <v>190</v>
      </c>
      <c r="H13" s="11" t="s">
        <v>40</v>
      </c>
      <c r="I13" s="70">
        <v>1.0144006927079787</v>
      </c>
      <c r="J13" s="106">
        <v>83.028213500976563</v>
      </c>
    </row>
    <row r="14" spans="1:10" ht="15" customHeight="1" thickBot="1">
      <c r="A14" s="136" t="s">
        <v>41</v>
      </c>
      <c r="B14" s="137">
        <v>437.10000610351563</v>
      </c>
      <c r="C14" s="138">
        <v>437.10000610351563</v>
      </c>
      <c r="D14" s="7" t="s">
        <v>42</v>
      </c>
      <c r="E14" s="53" t="s">
        <v>184</v>
      </c>
      <c r="F14" s="53"/>
      <c r="G14" s="118" t="s">
        <v>191</v>
      </c>
      <c r="H14" s="51" t="s">
        <v>43</v>
      </c>
      <c r="I14" s="70">
        <v>1.4059899721842706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0.83543300071747506</v>
      </c>
      <c r="J15" s="106">
        <v>19.739049145299145</v>
      </c>
    </row>
    <row r="16" spans="1:10" ht="15" customHeight="1">
      <c r="A16" s="7" t="s">
        <v>48</v>
      </c>
      <c r="B16" s="53">
        <v>54</v>
      </c>
      <c r="C16" s="54">
        <v>46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0.95529270900034158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185</v>
      </c>
      <c r="F17" s="53"/>
      <c r="G17" s="118"/>
      <c r="H17" s="11" t="s">
        <v>54</v>
      </c>
      <c r="I17" s="70">
        <v>0.79808305444368111</v>
      </c>
      <c r="J17" s="106">
        <v>447.05937123071823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1240</v>
      </c>
      <c r="F18" s="72">
        <v>655</v>
      </c>
      <c r="G18" s="76"/>
      <c r="H18" s="14" t="s">
        <v>57</v>
      </c>
      <c r="I18" s="134" t="s">
        <v>197</v>
      </c>
      <c r="J18" s="135"/>
    </row>
    <row r="19" spans="1:10" ht="15" customHeight="1">
      <c r="A19" s="7" t="s">
        <v>58</v>
      </c>
      <c r="B19" s="71">
        <v>65</v>
      </c>
      <c r="C19" s="75">
        <v>41.409999847412109</v>
      </c>
      <c r="D19" s="7" t="s">
        <v>59</v>
      </c>
      <c r="E19" s="72">
        <v>234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/>
      <c r="D20" s="7" t="s">
        <v>166</v>
      </c>
      <c r="E20" s="69">
        <v>0.15573310872666479</v>
      </c>
      <c r="F20" s="53"/>
      <c r="G20" s="54"/>
      <c r="H20" s="11" t="s">
        <v>63</v>
      </c>
      <c r="I20" s="70">
        <v>12.936479568481445</v>
      </c>
      <c r="J20" s="74">
        <v>12.936479568481445</v>
      </c>
    </row>
    <row r="21" spans="1:10" ht="15" customHeight="1">
      <c r="A21" s="7" t="s">
        <v>64</v>
      </c>
      <c r="B21" s="71">
        <v>14.300000190734863</v>
      </c>
      <c r="C21" s="75">
        <v>3</v>
      </c>
      <c r="D21" s="11" t="s">
        <v>186</v>
      </c>
      <c r="E21" s="69">
        <v>0.20774613128763336</v>
      </c>
      <c r="F21" s="69">
        <v>0.10962377488613129</v>
      </c>
      <c r="G21" s="73">
        <v>4.8636125825299907E-2</v>
      </c>
      <c r="H21" s="11" t="s">
        <v>65</v>
      </c>
      <c r="I21" s="70">
        <v>25.592065811157227</v>
      </c>
      <c r="J21" s="74">
        <v>23.07170295715332</v>
      </c>
    </row>
    <row r="22" spans="1:10" ht="15" customHeight="1">
      <c r="A22" s="7" t="s">
        <v>66</v>
      </c>
      <c r="B22" s="71">
        <v>3.6500000953674316</v>
      </c>
      <c r="C22" s="75">
        <v>6</v>
      </c>
      <c r="D22" s="7" t="s">
        <v>67</v>
      </c>
      <c r="E22" s="53" t="s">
        <v>187</v>
      </c>
      <c r="F22" s="53" t="s">
        <v>187</v>
      </c>
      <c r="G22" s="54" t="s">
        <v>187</v>
      </c>
      <c r="H22" s="11" t="s">
        <v>68</v>
      </c>
      <c r="I22" s="70">
        <v>5.1524181365966797</v>
      </c>
      <c r="J22" s="74">
        <v>5.1524181365966797</v>
      </c>
    </row>
    <row r="23" spans="1:10" ht="15" customHeight="1">
      <c r="A23" s="7" t="s">
        <v>69</v>
      </c>
      <c r="B23" s="71">
        <v>9.8437004089355469</v>
      </c>
      <c r="C23" s="75">
        <v>8.0883092880249023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27.681648360460791</v>
      </c>
      <c r="J23" s="17" t="s">
        <v>198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6.8935024020808395</v>
      </c>
      <c r="J24" s="74">
        <v>6.8935024020808395</v>
      </c>
    </row>
    <row r="25" spans="1:10" ht="15" customHeight="1">
      <c r="A25" s="7" t="s">
        <v>75</v>
      </c>
      <c r="B25" s="53" t="s">
        <v>174</v>
      </c>
      <c r="C25" s="75">
        <v>5.7199997901916504</v>
      </c>
      <c r="D25" s="111" t="s">
        <v>76</v>
      </c>
      <c r="E25" s="55"/>
      <c r="F25" s="55"/>
      <c r="G25" s="62"/>
      <c r="H25" s="11" t="s">
        <v>77</v>
      </c>
      <c r="I25" s="70">
        <v>0.36600604653358459</v>
      </c>
      <c r="J25" s="74">
        <v>0.81553691625595093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251.16858054035487</v>
      </c>
      <c r="F26" s="71">
        <v>94.179500831736092</v>
      </c>
      <c r="G26" s="75">
        <v>53.173945349688275</v>
      </c>
      <c r="H26" s="11" t="s">
        <v>80</v>
      </c>
      <c r="I26" s="70">
        <v>4.661278247833252</v>
      </c>
      <c r="J26" s="74">
        <v>4.5111546516418457</v>
      </c>
    </row>
    <row r="27" spans="1:10" ht="15" customHeight="1" thickBot="1">
      <c r="A27" s="7" t="s">
        <v>81</v>
      </c>
      <c r="B27" s="53" t="s">
        <v>174</v>
      </c>
      <c r="C27" s="54" t="s">
        <v>174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4.6756258010864258</v>
      </c>
      <c r="J27" s="83">
        <v>4.5842790603637695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35.359193128881586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35.395463326989393</v>
      </c>
      <c r="D30" s="11" t="s">
        <v>95</v>
      </c>
      <c r="E30" s="71">
        <v>60.475607500000002</v>
      </c>
      <c r="F30" s="71">
        <v>983.47501373291016</v>
      </c>
      <c r="G30" s="71">
        <v>9.4401867883830128</v>
      </c>
      <c r="H30" s="76">
        <v>121.78108236618775</v>
      </c>
      <c r="I30" s="72">
        <v>101573.07444842557</v>
      </c>
      <c r="J30" s="76">
        <v>3282.548017484603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6.5</v>
      </c>
      <c r="F31" s="71">
        <v>1161.724007383265</v>
      </c>
      <c r="G31" s="71">
        <v>7.9917327801966218</v>
      </c>
      <c r="H31" s="76">
        <v>7.7745027247946501</v>
      </c>
      <c r="I31" s="72">
        <v>15102.412095982445</v>
      </c>
      <c r="J31" s="76">
        <v>372.6392523379007</v>
      </c>
    </row>
    <row r="32" spans="1:10" ht="15" customHeight="1">
      <c r="A32" s="7" t="s">
        <v>98</v>
      </c>
      <c r="B32" s="70" t="s">
        <v>241</v>
      </c>
      <c r="C32" s="112"/>
      <c r="D32" s="11" t="s">
        <v>99</v>
      </c>
      <c r="E32" s="71">
        <v>25.539555928968429</v>
      </c>
      <c r="F32" s="71">
        <v>925.98179426401782</v>
      </c>
      <c r="G32" s="71">
        <v>10.026317891838696</v>
      </c>
      <c r="H32" s="76">
        <v>61.783346594368595</v>
      </c>
      <c r="I32" s="10" t="s">
        <v>100</v>
      </c>
      <c r="J32" s="76">
        <v>3655.1872698225038</v>
      </c>
    </row>
    <row r="33" spans="1:10" ht="15" customHeight="1">
      <c r="A33" s="7" t="s">
        <v>101</v>
      </c>
      <c r="B33" s="70" t="s">
        <v>242</v>
      </c>
      <c r="C33" s="113" t="s">
        <v>102</v>
      </c>
      <c r="D33" s="11" t="s">
        <v>97</v>
      </c>
      <c r="E33" s="71">
        <v>4.1409999847412111</v>
      </c>
      <c r="F33" s="71">
        <v>813.14200900744561</v>
      </c>
      <c r="G33" s="71">
        <v>11.417670872371827</v>
      </c>
      <c r="H33" s="76">
        <v>14.714725836743098</v>
      </c>
      <c r="I33" s="10" t="s">
        <v>103</v>
      </c>
      <c r="J33" s="75" t="s">
        <v>209</v>
      </c>
    </row>
    <row r="34" spans="1:10" ht="15" customHeight="1" thickBot="1">
      <c r="A34" s="18" t="s">
        <v>104</v>
      </c>
      <c r="B34" s="81" t="s">
        <v>243</v>
      </c>
      <c r="C34" s="114">
        <v>9.2841878313462214</v>
      </c>
      <c r="D34" s="12" t="s">
        <v>20</v>
      </c>
      <c r="E34" s="81">
        <v>0.35000000000000003</v>
      </c>
      <c r="F34" s="82">
        <v>2179.1305116779668</v>
      </c>
      <c r="G34" s="82">
        <v>4.2605010491993172</v>
      </c>
      <c r="H34" s="85">
        <v>1186.640655861969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211</v>
      </c>
      <c r="E35" s="150" t="s">
        <v>210</v>
      </c>
      <c r="F35" s="16"/>
      <c r="G35" s="27" t="s">
        <v>107</v>
      </c>
      <c r="H35" s="87" t="s">
        <v>204</v>
      </c>
      <c r="I35" s="11" t="s">
        <v>108</v>
      </c>
      <c r="J35" s="76" t="s">
        <v>208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202</v>
      </c>
      <c r="I36" s="11" t="s">
        <v>111</v>
      </c>
      <c r="J36" s="76" t="s">
        <v>207</v>
      </c>
    </row>
    <row r="37" spans="1:10" ht="15" customHeight="1" thickBot="1">
      <c r="A37" s="7" t="s">
        <v>112</v>
      </c>
      <c r="B37" s="71" t="s">
        <v>223</v>
      </c>
      <c r="C37" s="71" t="s">
        <v>224</v>
      </c>
      <c r="D37" s="71" t="s">
        <v>225</v>
      </c>
      <c r="E37" s="71" t="s">
        <v>226</v>
      </c>
      <c r="F37" s="75" t="s">
        <v>227</v>
      </c>
      <c r="G37" s="11" t="s">
        <v>113</v>
      </c>
      <c r="H37" s="76" t="s">
        <v>203</v>
      </c>
      <c r="I37" s="12" t="s">
        <v>114</v>
      </c>
      <c r="J37" s="85" t="s">
        <v>206</v>
      </c>
    </row>
    <row r="38" spans="1:10" ht="15" customHeight="1" thickBot="1">
      <c r="A38" s="7" t="s">
        <v>115</v>
      </c>
      <c r="B38" s="70" t="s">
        <v>213</v>
      </c>
      <c r="C38" s="70" t="s">
        <v>214</v>
      </c>
      <c r="D38" s="70" t="s">
        <v>215</v>
      </c>
      <c r="E38" s="70" t="s">
        <v>216</v>
      </c>
      <c r="F38" s="74" t="s">
        <v>217</v>
      </c>
      <c r="G38" s="18" t="s">
        <v>116</v>
      </c>
      <c r="H38" s="85" t="s">
        <v>205</v>
      </c>
      <c r="I38" s="141" t="s">
        <v>212</v>
      </c>
      <c r="J38" s="86">
        <v>7400.98046875</v>
      </c>
    </row>
    <row r="39" spans="1:10" ht="15" customHeight="1">
      <c r="A39" s="7" t="s">
        <v>117</v>
      </c>
      <c r="B39" s="70" t="s">
        <v>218</v>
      </c>
      <c r="C39" s="70" t="s">
        <v>219</v>
      </c>
      <c r="D39" s="70" t="s">
        <v>220</v>
      </c>
      <c r="E39" s="70" t="s">
        <v>221</v>
      </c>
      <c r="F39" s="74" t="s">
        <v>222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236</v>
      </c>
      <c r="C40" s="69" t="s">
        <v>237</v>
      </c>
      <c r="D40" s="69" t="s">
        <v>238</v>
      </c>
      <c r="E40" s="69" t="s">
        <v>239</v>
      </c>
      <c r="F40" s="73" t="s">
        <v>240</v>
      </c>
      <c r="G40" s="37" t="s">
        <v>121</v>
      </c>
      <c r="H40" s="93" t="s">
        <v>244</v>
      </c>
      <c r="I40" s="57"/>
      <c r="J40" s="58"/>
    </row>
    <row r="41" spans="1:10" ht="15" customHeight="1">
      <c r="A41" s="7" t="s">
        <v>5</v>
      </c>
      <c r="B41" s="72" t="s">
        <v>231</v>
      </c>
      <c r="C41" s="72" t="s">
        <v>232</v>
      </c>
      <c r="D41" s="72" t="s">
        <v>233</v>
      </c>
      <c r="E41" s="72" t="s">
        <v>234</v>
      </c>
      <c r="F41" s="76" t="s">
        <v>235</v>
      </c>
      <c r="G41" s="38" t="s">
        <v>122</v>
      </c>
      <c r="H41" s="94" t="s">
        <v>245</v>
      </c>
      <c r="I41" s="59"/>
      <c r="J41" s="60"/>
    </row>
    <row r="42" spans="1:10" ht="15" customHeight="1">
      <c r="A42" s="7" t="s">
        <v>123</v>
      </c>
      <c r="B42" s="70">
        <v>11.005172725982705</v>
      </c>
      <c r="C42" s="70">
        <v>11.005172725982705</v>
      </c>
      <c r="D42" s="70">
        <v>11.005172725982705</v>
      </c>
      <c r="E42" s="70">
        <v>11.005172725982705</v>
      </c>
      <c r="F42" s="74">
        <v>11.005172725982705</v>
      </c>
      <c r="G42" s="37" t="s">
        <v>124</v>
      </c>
      <c r="H42" s="93" t="s">
        <v>246</v>
      </c>
      <c r="I42" s="57"/>
      <c r="J42" s="99">
        <v>0.17790392104000541</v>
      </c>
    </row>
    <row r="43" spans="1:10" ht="15" customHeight="1" thickBot="1">
      <c r="A43" s="18" t="s">
        <v>125</v>
      </c>
      <c r="B43" s="81">
        <v>11.005172725982705</v>
      </c>
      <c r="C43" s="81"/>
      <c r="D43" s="81" t="s">
        <v>249</v>
      </c>
      <c r="E43" s="81"/>
      <c r="F43" s="83"/>
      <c r="G43" s="38" t="s">
        <v>122</v>
      </c>
      <c r="H43" s="94" t="s">
        <v>247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1595.4525450953779</v>
      </c>
      <c r="I44" s="92">
        <v>3.3918368121154098E-2</v>
      </c>
      <c r="J44" s="99">
        <v>0.64962466572657795</v>
      </c>
    </row>
    <row r="45" spans="1:10" ht="15" customHeight="1">
      <c r="A45" s="7" t="s">
        <v>129</v>
      </c>
      <c r="B45" s="70">
        <v>0.17882075905799866</v>
      </c>
      <c r="C45" s="5" t="s">
        <v>130</v>
      </c>
      <c r="D45" s="74">
        <v>7.4584302492439747E-3</v>
      </c>
      <c r="E45" s="7" t="s">
        <v>131</v>
      </c>
      <c r="F45" s="76">
        <v>247.17563871093708</v>
      </c>
      <c r="G45" s="39" t="s">
        <v>122</v>
      </c>
      <c r="H45" s="88" t="s">
        <v>248</v>
      </c>
      <c r="I45" s="61"/>
      <c r="J45" s="62"/>
    </row>
    <row r="46" spans="1:10" ht="15" customHeight="1">
      <c r="A46" s="7" t="s">
        <v>132</v>
      </c>
      <c r="B46" s="70">
        <v>0.15824307501316071</v>
      </c>
      <c r="C46" s="5" t="s">
        <v>133</v>
      </c>
      <c r="D46" s="74">
        <v>5.3726751357316971E-3</v>
      </c>
      <c r="E46" s="7" t="s">
        <v>134</v>
      </c>
      <c r="F46" s="76">
        <v>389.98902285050912</v>
      </c>
      <c r="G46" s="38" t="s">
        <v>135</v>
      </c>
      <c r="H46" s="96">
        <v>342.45370162874366</v>
      </c>
      <c r="I46" s="59"/>
      <c r="J46" s="60"/>
    </row>
    <row r="47" spans="1:10" ht="15" customHeight="1">
      <c r="A47" s="7" t="s">
        <v>136</v>
      </c>
      <c r="B47" s="70">
        <v>0.33706384897232056</v>
      </c>
      <c r="C47" s="5" t="s">
        <v>137</v>
      </c>
      <c r="D47" s="74">
        <v>1.5990041196346283E-2</v>
      </c>
      <c r="E47" s="7" t="s">
        <v>138</v>
      </c>
      <c r="F47" s="76">
        <v>140.66704876622671</v>
      </c>
      <c r="G47" s="66" t="s">
        <v>139</v>
      </c>
      <c r="H47" s="95">
        <v>1542.294289929423</v>
      </c>
      <c r="I47" s="92">
        <v>3.2739686459918961E-2</v>
      </c>
      <c r="J47" s="97">
        <v>0.66182362079514656</v>
      </c>
    </row>
    <row r="48" spans="1:10" ht="15" customHeight="1">
      <c r="A48" s="7" t="s">
        <v>140</v>
      </c>
      <c r="B48" s="70">
        <v>1.1827658861875534E-2</v>
      </c>
      <c r="C48" s="5" t="s">
        <v>100</v>
      </c>
      <c r="D48" s="74">
        <v>4.0648806840181351E-2</v>
      </c>
      <c r="E48" s="7" t="s">
        <v>141</v>
      </c>
      <c r="F48" s="76">
        <v>5.1459997864369242</v>
      </c>
      <c r="G48" s="67" t="s">
        <v>122</v>
      </c>
      <c r="H48" s="88">
        <v>295.34551012571893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0.95935118198394775</v>
      </c>
      <c r="E49" s="18" t="s">
        <v>143</v>
      </c>
      <c r="F49" s="85">
        <v>13.139431108882533</v>
      </c>
      <c r="G49" s="68" t="s">
        <v>135</v>
      </c>
      <c r="H49" s="96">
        <v>336.35016310753986</v>
      </c>
      <c r="I49" s="59"/>
      <c r="J49" s="63"/>
    </row>
    <row r="50" spans="1:10" ht="15" customHeight="1">
      <c r="A50" s="14" t="s">
        <v>194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46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3.9519612367601556E-2</v>
      </c>
      <c r="I51" s="46" t="s">
        <v>149</v>
      </c>
      <c r="J51" s="40"/>
    </row>
    <row r="52" spans="1:10" ht="15" customHeight="1">
      <c r="A52" s="11" t="s">
        <v>58</v>
      </c>
      <c r="B52" s="71">
        <v>41.409999847412109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78238.080000000002</v>
      </c>
      <c r="I52" s="100" t="s">
        <v>228</v>
      </c>
      <c r="J52" s="64"/>
    </row>
    <row r="53" spans="1:10" ht="15" customHeight="1">
      <c r="A53" s="11" t="s">
        <v>64</v>
      </c>
      <c r="B53" s="71">
        <v>3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52.09529499648</v>
      </c>
      <c r="I53" s="45" t="s">
        <v>154</v>
      </c>
      <c r="J53" s="40"/>
    </row>
    <row r="54" spans="1:10" ht="15" customHeight="1">
      <c r="A54" s="11" t="s">
        <v>66</v>
      </c>
      <c r="B54" s="71">
        <v>6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278663</v>
      </c>
      <c r="I54" s="101" t="s">
        <v>229</v>
      </c>
      <c r="J54" s="102" t="s">
        <v>192</v>
      </c>
    </row>
    <row r="55" spans="1:10" ht="15" customHeight="1">
      <c r="A55" s="11" t="s">
        <v>156</v>
      </c>
      <c r="B55" s="71">
        <v>14.119999885559082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0.69434999999999991</v>
      </c>
      <c r="I56" s="103" t="s">
        <v>230</v>
      </c>
      <c r="J56" s="63" t="s">
        <v>193</v>
      </c>
    </row>
    <row r="57" spans="1:10" ht="15" customHeight="1">
      <c r="A57" s="24" t="s">
        <v>386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387</v>
      </c>
      <c r="D58" s="4" t="s">
        <v>119</v>
      </c>
      <c r="E58" s="4" t="s">
        <v>165</v>
      </c>
      <c r="F58" s="17" t="s">
        <v>388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0.16342222690582275</v>
      </c>
      <c r="D59" s="130">
        <v>0.69999998807907104</v>
      </c>
      <c r="E59" s="88">
        <v>79.004468844024828</v>
      </c>
      <c r="F59" s="89">
        <v>630.28387451171875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165.11164501729579</v>
      </c>
      <c r="C60" s="89">
        <v>177.64208984375</v>
      </c>
      <c r="D60" s="130">
        <v>0.80000001192092896</v>
      </c>
      <c r="E60" s="88">
        <v>79.006040919716227</v>
      </c>
      <c r="F60" s="89">
        <v>632.97039794921875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280</v>
      </c>
      <c r="C61" s="89">
        <v>504.12835693359375</v>
      </c>
      <c r="D61" s="130">
        <v>0.89999997615814209</v>
      </c>
      <c r="E61" s="88">
        <v>79.008149528734251</v>
      </c>
      <c r="F61" s="89">
        <v>635.24981689453125</v>
      </c>
      <c r="G61" s="124"/>
      <c r="H61" s="47"/>
      <c r="I61" s="47"/>
      <c r="J61" s="48"/>
    </row>
    <row r="62" spans="1:10" ht="15" customHeight="1">
      <c r="A62" s="128">
        <v>6.4444445073604584E-2</v>
      </c>
      <c r="B62" s="88">
        <v>144.31832501735795</v>
      </c>
      <c r="C62" s="89">
        <v>577.63909912109375</v>
      </c>
      <c r="D62" s="131">
        <v>1</v>
      </c>
      <c r="E62" s="88">
        <v>79</v>
      </c>
      <c r="F62" s="89">
        <v>637.20928955078125</v>
      </c>
      <c r="G62" s="124"/>
      <c r="H62" s="47"/>
      <c r="I62" s="47"/>
      <c r="J62" s="48"/>
    </row>
    <row r="63" spans="1:10" ht="15" customHeight="1" thickBot="1">
      <c r="A63" s="128">
        <v>0.11888889968395233</v>
      </c>
      <c r="B63" s="88">
        <v>110.02558216817431</v>
      </c>
      <c r="C63" s="89">
        <v>596.61541748046875</v>
      </c>
      <c r="D63" s="383"/>
      <c r="E63" s="384"/>
      <c r="F63" s="385"/>
      <c r="G63" s="124"/>
      <c r="H63" s="47"/>
      <c r="I63" s="47"/>
      <c r="J63" s="48"/>
    </row>
    <row r="64" spans="1:10" ht="15" customHeight="1">
      <c r="A64" s="128">
        <v>0.17333333194255829</v>
      </c>
      <c r="B64" s="88">
        <v>95.237387120168108</v>
      </c>
      <c r="C64" s="89">
        <v>604.71429443359375</v>
      </c>
      <c r="D64" s="386" t="s">
        <v>420</v>
      </c>
      <c r="E64" s="387"/>
      <c r="F64" s="387"/>
      <c r="G64" s="124"/>
      <c r="H64" s="47"/>
      <c r="I64" s="47"/>
      <c r="J64" s="48"/>
    </row>
    <row r="65" spans="1:10" ht="15" customHeight="1">
      <c r="A65" s="128">
        <v>0.28222224116325378</v>
      </c>
      <c r="B65" s="88">
        <v>85.56490652503382</v>
      </c>
      <c r="C65" s="89">
        <v>613.06976318359375</v>
      </c>
      <c r="D65" s="388" t="s">
        <v>405</v>
      </c>
      <c r="E65" s="390" t="s">
        <v>418</v>
      </c>
      <c r="F65" s="391"/>
      <c r="G65" s="124"/>
      <c r="H65" s="47"/>
      <c r="I65" s="47"/>
      <c r="J65" s="48"/>
    </row>
    <row r="66" spans="1:10" ht="15" customHeight="1">
      <c r="A66" s="128">
        <v>0.3911111056804657</v>
      </c>
      <c r="B66" s="88">
        <v>81.214700756686142</v>
      </c>
      <c r="C66" s="89">
        <v>618.67913818359375</v>
      </c>
      <c r="D66" s="388" t="s">
        <v>402</v>
      </c>
      <c r="E66" s="390" t="s">
        <v>419</v>
      </c>
      <c r="F66" s="391"/>
      <c r="G66" s="124"/>
      <c r="H66" s="47"/>
      <c r="I66" s="47"/>
      <c r="J66" s="48"/>
    </row>
    <row r="67" spans="1:10" ht="15" customHeight="1">
      <c r="A67" s="128">
        <v>0.5</v>
      </c>
      <c r="B67" s="88">
        <v>79</v>
      </c>
      <c r="C67" s="89">
        <v>623.2581787109375</v>
      </c>
      <c r="D67" s="388" t="s">
        <v>409</v>
      </c>
      <c r="E67" s="390" t="s">
        <v>421</v>
      </c>
      <c r="F67" s="391"/>
      <c r="G67" s="124"/>
      <c r="H67" s="47"/>
      <c r="I67" s="47"/>
      <c r="J67" s="48"/>
    </row>
    <row r="68" spans="1:10" ht="15" customHeight="1" thickBot="1">
      <c r="A68" s="129">
        <v>0.60000002384185791</v>
      </c>
      <c r="B68" s="90">
        <v>79.00229590394504</v>
      </c>
      <c r="C68" s="91">
        <v>627.08502197265625</v>
      </c>
      <c r="D68" s="389" t="s">
        <v>410</v>
      </c>
      <c r="E68" s="392" t="s">
        <v>422</v>
      </c>
      <c r="F68" s="392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2" t="s">
        <v>417</v>
      </c>
      <c r="B99" s="382"/>
      <c r="C99" s="382"/>
      <c r="D99" s="382"/>
      <c r="E99" s="382"/>
      <c r="F99" s="382"/>
      <c r="G99" s="382"/>
      <c r="H99" s="382"/>
      <c r="I99" s="382"/>
    </row>
    <row r="100" spans="1:9">
      <c r="A100" s="382">
        <v>100</v>
      </c>
      <c r="B100" s="382"/>
      <c r="C100" s="382"/>
      <c r="D100" s="382"/>
      <c r="E100" s="382"/>
      <c r="F100" s="382"/>
      <c r="G100" s="382"/>
      <c r="H100" s="382"/>
      <c r="I100" s="382"/>
    </row>
    <row r="101" spans="1:9">
      <c r="A101" s="382">
        <v>99.599998474121094</v>
      </c>
      <c r="B101" s="382"/>
      <c r="C101" s="382"/>
      <c r="D101" s="382"/>
      <c r="E101" s="382"/>
      <c r="F101" s="382"/>
      <c r="G101" s="382"/>
      <c r="H101" s="382"/>
      <c r="I101" s="382"/>
    </row>
    <row r="102" spans="1:9">
      <c r="A102" s="382">
        <v>98</v>
      </c>
      <c r="B102" s="382"/>
      <c r="C102" s="382"/>
      <c r="D102" s="382"/>
      <c r="E102" s="382"/>
      <c r="F102" s="382"/>
      <c r="G102" s="382"/>
      <c r="H102" s="382"/>
      <c r="I102" s="382"/>
    </row>
    <row r="103" spans="1:9">
      <c r="A103" s="382">
        <v>83.24444580078125</v>
      </c>
      <c r="B103" s="382"/>
      <c r="C103" s="382"/>
      <c r="D103" s="382"/>
      <c r="E103" s="382"/>
      <c r="F103" s="382"/>
      <c r="G103" s="382"/>
      <c r="H103" s="382"/>
      <c r="I103" s="382"/>
    </row>
    <row r="104" spans="1:9">
      <c r="A104" s="382">
        <v>69.088882446289063</v>
      </c>
      <c r="B104" s="382"/>
      <c r="C104" s="382"/>
      <c r="D104" s="382"/>
      <c r="E104" s="382"/>
      <c r="F104" s="382"/>
      <c r="G104" s="382"/>
      <c r="H104" s="382"/>
      <c r="I104" s="382"/>
    </row>
    <row r="105" spans="1:9">
      <c r="A105" s="382">
        <v>55.866668701171875</v>
      </c>
      <c r="B105" s="382"/>
      <c r="C105" s="382"/>
      <c r="D105" s="382"/>
      <c r="E105" s="382"/>
      <c r="F105" s="382"/>
      <c r="G105" s="382"/>
      <c r="H105" s="382"/>
      <c r="I105" s="382"/>
    </row>
    <row r="106" spans="1:9">
      <c r="A106" s="382">
        <v>36.022220611572266</v>
      </c>
      <c r="B106" s="382"/>
      <c r="C106" s="382"/>
      <c r="D106" s="382"/>
      <c r="E106" s="382"/>
      <c r="F106" s="382"/>
      <c r="G106" s="382"/>
      <c r="H106" s="382"/>
      <c r="I106" s="382"/>
    </row>
    <row r="107" spans="1:9">
      <c r="A107" s="382">
        <v>22.977777481079102</v>
      </c>
      <c r="B107" s="382"/>
      <c r="C107" s="382"/>
      <c r="D107" s="382"/>
      <c r="E107" s="382"/>
      <c r="F107" s="382"/>
      <c r="G107" s="382"/>
      <c r="H107" s="382"/>
      <c r="I107" s="382"/>
    </row>
    <row r="108" spans="1:9">
      <c r="A108" s="382">
        <v>14</v>
      </c>
      <c r="B108" s="382"/>
      <c r="C108" s="382"/>
      <c r="D108" s="382"/>
      <c r="E108" s="382"/>
      <c r="F108" s="382"/>
      <c r="G108" s="382"/>
      <c r="H108" s="382"/>
      <c r="I108" s="382"/>
    </row>
    <row r="109" spans="1:9">
      <c r="A109" s="382">
        <v>7.9999995231628418</v>
      </c>
      <c r="B109" s="382"/>
      <c r="C109" s="382"/>
      <c r="D109" s="382"/>
      <c r="E109" s="382"/>
      <c r="F109" s="382"/>
      <c r="G109" s="382"/>
      <c r="H109" s="382"/>
      <c r="I109" s="382"/>
    </row>
    <row r="110" spans="1:9">
      <c r="A110" s="382">
        <v>5.9999995231628418</v>
      </c>
      <c r="B110" s="382"/>
      <c r="C110" s="382"/>
      <c r="D110" s="382"/>
      <c r="E110" s="382"/>
      <c r="F110" s="382"/>
      <c r="G110" s="382"/>
      <c r="H110" s="382"/>
      <c r="I110" s="382"/>
    </row>
    <row r="111" spans="1:9">
      <c r="A111" s="382">
        <v>8.0000009536743164</v>
      </c>
      <c r="B111" s="382"/>
      <c r="C111" s="382"/>
      <c r="D111" s="382"/>
      <c r="E111" s="382"/>
      <c r="F111" s="382"/>
      <c r="G111" s="382"/>
      <c r="H111" s="382"/>
      <c r="I111" s="382"/>
    </row>
    <row r="112" spans="1:9">
      <c r="A112" s="382">
        <v>14.999996185302734</v>
      </c>
      <c r="B112" s="382"/>
      <c r="C112" s="382"/>
      <c r="D112" s="382"/>
      <c r="E112" s="382"/>
      <c r="F112" s="382"/>
      <c r="G112" s="382"/>
      <c r="H112" s="382"/>
      <c r="I112" s="382"/>
    </row>
    <row r="113" spans="1:9">
      <c r="A113" s="382">
        <v>30</v>
      </c>
      <c r="B113" s="382"/>
      <c r="C113" s="382"/>
      <c r="D113" s="382"/>
      <c r="E113" s="382"/>
      <c r="F113" s="382"/>
      <c r="G113" s="382"/>
      <c r="H113" s="382"/>
      <c r="I113" s="382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1" zoomScaleNormal="100" workbookViewId="0">
      <selection activeCell="C45" sqref="C45"/>
    </sheetView>
  </sheetViews>
  <sheetFormatPr defaultColWidth="9.109375" defaultRowHeight="15"/>
  <cols>
    <col min="1" max="1" width="11.88671875" style="300" customWidth="1"/>
    <col min="2" max="2" width="6.109375" style="300" customWidth="1"/>
    <col min="3" max="3" width="7.44140625" style="300" customWidth="1"/>
    <col min="4" max="5" width="12.5546875" style="300" customWidth="1"/>
    <col min="6" max="6" width="9.44140625" style="300" customWidth="1"/>
    <col min="7" max="7" width="5.6640625" style="300" customWidth="1"/>
    <col min="8" max="8" width="7.88671875" style="300" customWidth="1"/>
    <col min="9" max="9" width="6.5546875" style="300" customWidth="1"/>
    <col min="10" max="10" width="12" style="301" customWidth="1"/>
    <col min="11" max="11" width="12" style="300" customWidth="1"/>
    <col min="12" max="26" width="9.109375" style="153"/>
    <col min="27" max="16384" width="9.109375" style="154"/>
  </cols>
  <sheetData>
    <row r="1" spans="1:26" ht="20.25" customHeight="1">
      <c r="A1" s="554" t="s">
        <v>250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</row>
    <row r="2" spans="1:26" ht="20.25" customHeight="1">
      <c r="A2" s="555" t="s">
        <v>251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</row>
    <row r="3" spans="1:26" ht="18.75" customHeight="1" thickBot="1">
      <c r="A3" s="155" t="s">
        <v>1</v>
      </c>
      <c r="B3" s="156" t="s">
        <v>360</v>
      </c>
      <c r="C3" s="157"/>
      <c r="D3" s="157"/>
      <c r="E3" s="157"/>
      <c r="F3" s="158"/>
      <c r="G3" s="157"/>
      <c r="H3" s="157"/>
      <c r="I3" s="155" t="s">
        <v>252</v>
      </c>
      <c r="J3" s="556" t="s">
        <v>621</v>
      </c>
      <c r="K3" s="556"/>
    </row>
    <row r="4" spans="1:26" s="167" customFormat="1" ht="18.45" customHeight="1" thickBot="1">
      <c r="A4" s="159" t="s">
        <v>742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253</v>
      </c>
      <c r="R4" s="165"/>
      <c r="S4" s="163"/>
      <c r="T4" s="164" t="s">
        <v>254</v>
      </c>
      <c r="U4" s="166"/>
      <c r="V4" s="163"/>
      <c r="W4" s="163"/>
      <c r="X4" s="163"/>
      <c r="Y4" s="163"/>
      <c r="Z4" s="163"/>
    </row>
    <row r="5" spans="1:26" s="167" customFormat="1" ht="18.45" customHeight="1">
      <c r="A5" s="557" t="s">
        <v>255</v>
      </c>
      <c r="B5" s="558"/>
      <c r="C5" s="558"/>
      <c r="D5" s="168"/>
      <c r="E5" s="169"/>
      <c r="F5" s="170" t="s">
        <v>256</v>
      </c>
      <c r="G5" s="171"/>
      <c r="H5" s="171"/>
      <c r="I5" s="172"/>
      <c r="J5" s="173" t="s">
        <v>257</v>
      </c>
      <c r="K5" s="174" t="s">
        <v>258</v>
      </c>
      <c r="L5" s="163"/>
      <c r="M5" s="163"/>
      <c r="N5" s="163"/>
      <c r="O5" s="163"/>
      <c r="P5" s="163"/>
      <c r="Q5" s="175" t="s">
        <v>259</v>
      </c>
      <c r="R5" s="176"/>
      <c r="S5" s="163"/>
      <c r="T5" s="175" t="s">
        <v>260</v>
      </c>
      <c r="U5" s="177"/>
      <c r="V5" s="163"/>
      <c r="W5" s="163"/>
      <c r="X5" s="163"/>
      <c r="Y5" s="163"/>
      <c r="Z5" s="163"/>
    </row>
    <row r="6" spans="1:26" s="167" customFormat="1" ht="18.45" customHeight="1">
      <c r="A6" s="559" t="s">
        <v>67</v>
      </c>
      <c r="B6" s="560"/>
      <c r="C6" s="560"/>
      <c r="D6" s="561" t="s">
        <v>264</v>
      </c>
      <c r="E6" s="562"/>
      <c r="F6" s="563" t="s">
        <v>262</v>
      </c>
      <c r="G6" s="564"/>
      <c r="H6" s="564"/>
      <c r="I6" s="564"/>
      <c r="J6" s="564"/>
      <c r="K6" s="565"/>
      <c r="L6" s="163"/>
      <c r="M6" s="163"/>
      <c r="N6" s="163"/>
      <c r="O6" s="163"/>
      <c r="P6" s="163"/>
      <c r="Q6" s="175" t="s">
        <v>263</v>
      </c>
      <c r="R6" s="176"/>
      <c r="S6" s="163"/>
      <c r="T6" s="175" t="s">
        <v>264</v>
      </c>
      <c r="U6" s="177"/>
      <c r="V6" s="163"/>
      <c r="W6" s="163"/>
      <c r="X6" s="163"/>
      <c r="Y6" s="163"/>
      <c r="Z6" s="163"/>
    </row>
    <row r="7" spans="1:26" s="167" customFormat="1" ht="18.45" customHeight="1">
      <c r="A7" s="569" t="s">
        <v>20</v>
      </c>
      <c r="B7" s="570"/>
      <c r="C7" s="570"/>
      <c r="D7" s="571">
        <v>3.5</v>
      </c>
      <c r="E7" s="572"/>
      <c r="F7" s="178" t="s">
        <v>265</v>
      </c>
      <c r="G7" s="179"/>
      <c r="H7" s="180"/>
      <c r="I7" s="181"/>
      <c r="J7" s="182">
        <v>15.9</v>
      </c>
      <c r="K7" s="183" t="s">
        <v>174</v>
      </c>
      <c r="L7" s="163"/>
      <c r="M7" s="163"/>
      <c r="N7" s="163"/>
      <c r="O7" s="163"/>
      <c r="P7" s="163"/>
      <c r="Q7" s="175" t="s">
        <v>266</v>
      </c>
      <c r="R7" s="176"/>
      <c r="S7" s="163"/>
      <c r="T7" s="175" t="s">
        <v>261</v>
      </c>
      <c r="U7" s="177"/>
      <c r="V7" s="163"/>
      <c r="W7" s="163"/>
      <c r="X7" s="163"/>
      <c r="Y7" s="163"/>
      <c r="Z7" s="163"/>
    </row>
    <row r="8" spans="1:26" s="167" customFormat="1" ht="18.45" customHeight="1">
      <c r="A8" s="569" t="s">
        <v>267</v>
      </c>
      <c r="B8" s="570"/>
      <c r="C8" s="570"/>
      <c r="D8" s="573">
        <v>470</v>
      </c>
      <c r="E8" s="574"/>
      <c r="F8" s="184" t="s">
        <v>268</v>
      </c>
      <c r="G8" s="185"/>
      <c r="H8" s="186"/>
      <c r="I8" s="187"/>
      <c r="J8" s="188">
        <v>13886</v>
      </c>
      <c r="K8" s="189" t="s">
        <v>174</v>
      </c>
      <c r="L8" s="163"/>
      <c r="M8" s="163"/>
      <c r="N8" s="163"/>
      <c r="O8" s="163"/>
      <c r="P8" s="163"/>
      <c r="Q8" s="175" t="s">
        <v>269</v>
      </c>
      <c r="R8" s="176"/>
      <c r="S8" s="163"/>
      <c r="T8" s="175" t="s">
        <v>270</v>
      </c>
      <c r="U8" s="177"/>
      <c r="V8" s="163"/>
      <c r="W8" s="163"/>
      <c r="X8" s="163"/>
      <c r="Y8" s="163"/>
      <c r="Z8" s="163"/>
    </row>
    <row r="9" spans="1:26" s="167" customFormat="1" ht="18.45" customHeight="1">
      <c r="A9" s="575" t="s">
        <v>271</v>
      </c>
      <c r="B9" s="576"/>
      <c r="C9" s="577"/>
      <c r="D9" s="573">
        <v>13</v>
      </c>
      <c r="E9" s="574"/>
      <c r="F9" s="178" t="s">
        <v>272</v>
      </c>
      <c r="G9" s="179"/>
      <c r="H9" s="190">
        <v>3</v>
      </c>
      <c r="I9" s="191" t="s">
        <v>273</v>
      </c>
      <c r="J9" s="192">
        <v>145</v>
      </c>
      <c r="K9" s="189" t="s">
        <v>174</v>
      </c>
      <c r="L9" s="163"/>
      <c r="M9" s="163"/>
      <c r="N9" s="163"/>
      <c r="O9" s="163"/>
      <c r="P9" s="163"/>
      <c r="Q9" s="175" t="s">
        <v>274</v>
      </c>
      <c r="R9" s="176"/>
      <c r="S9" s="163"/>
      <c r="T9" s="175" t="s">
        <v>275</v>
      </c>
      <c r="U9" s="177"/>
      <c r="V9" s="163"/>
      <c r="W9" s="163"/>
      <c r="X9" s="163"/>
      <c r="Y9" s="163"/>
      <c r="Z9" s="163"/>
    </row>
    <row r="10" spans="1:26" s="167" customFormat="1" ht="18.45" customHeight="1" thickBot="1">
      <c r="A10" s="575" t="s">
        <v>276</v>
      </c>
      <c r="B10" s="576"/>
      <c r="C10" s="577"/>
      <c r="D10" s="578" t="s">
        <v>184</v>
      </c>
      <c r="E10" s="579"/>
      <c r="F10" s="178" t="s">
        <v>277</v>
      </c>
      <c r="G10" s="179"/>
      <c r="H10" s="190">
        <v>3</v>
      </c>
      <c r="I10" s="191" t="s">
        <v>273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278</v>
      </c>
      <c r="R10" s="176"/>
      <c r="S10" s="163"/>
      <c r="T10" s="193" t="s">
        <v>279</v>
      </c>
      <c r="U10" s="194"/>
      <c r="V10" s="163"/>
      <c r="W10" s="163"/>
      <c r="X10" s="163"/>
      <c r="Y10" s="163"/>
      <c r="Z10" s="163"/>
    </row>
    <row r="11" spans="1:26" s="167" customFormat="1" ht="18.45" customHeight="1" thickBot="1">
      <c r="A11" s="575" t="s">
        <v>280</v>
      </c>
      <c r="B11" s="576"/>
      <c r="C11" s="577"/>
      <c r="D11" s="580" t="s">
        <v>174</v>
      </c>
      <c r="E11" s="581"/>
      <c r="F11" s="195" t="s">
        <v>281</v>
      </c>
      <c r="G11" s="196"/>
      <c r="H11" s="197">
        <v>3</v>
      </c>
      <c r="I11" s="191" t="s">
        <v>273</v>
      </c>
      <c r="J11" s="198">
        <v>16866</v>
      </c>
      <c r="K11" s="199" t="s">
        <v>174</v>
      </c>
      <c r="L11" s="163"/>
      <c r="M11" s="163"/>
      <c r="N11" s="163"/>
      <c r="O11" s="163"/>
      <c r="P11" s="163"/>
      <c r="Q11" s="193" t="s">
        <v>282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45" customHeight="1">
      <c r="A12" s="201" t="s">
        <v>283</v>
      </c>
      <c r="C12" s="202"/>
      <c r="D12" s="582" t="s">
        <v>174</v>
      </c>
      <c r="E12" s="583"/>
      <c r="F12" s="566" t="s">
        <v>284</v>
      </c>
      <c r="G12" s="567"/>
      <c r="H12" s="567"/>
      <c r="I12" s="567"/>
      <c r="J12" s="567"/>
      <c r="K12" s="568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45" customHeight="1">
      <c r="A13" s="575" t="s">
        <v>53</v>
      </c>
      <c r="B13" s="576"/>
      <c r="C13" s="577"/>
      <c r="D13" s="584" t="s">
        <v>743</v>
      </c>
      <c r="E13" s="585"/>
      <c r="F13" s="203"/>
      <c r="G13" s="204" t="s">
        <v>285</v>
      </c>
      <c r="H13" s="205"/>
      <c r="I13" s="206" t="s">
        <v>286</v>
      </c>
      <c r="J13" s="207" t="s">
        <v>363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45" customHeight="1">
      <c r="A14" s="575" t="s">
        <v>56</v>
      </c>
      <c r="B14" s="576"/>
      <c r="C14" s="577"/>
      <c r="D14" s="582">
        <v>1240</v>
      </c>
      <c r="E14" s="583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45" customHeight="1">
      <c r="A15" s="586" t="s">
        <v>287</v>
      </c>
      <c r="B15" s="587"/>
      <c r="C15" s="588"/>
      <c r="D15" s="589">
        <v>13.884400367736816</v>
      </c>
      <c r="E15" s="590"/>
      <c r="F15" s="203"/>
      <c r="G15" s="209" t="s">
        <v>288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45" customHeight="1">
      <c r="A16" s="591" t="s">
        <v>289</v>
      </c>
      <c r="B16" s="592"/>
      <c r="C16" s="593"/>
      <c r="D16" s="589">
        <v>3.5368001461029053</v>
      </c>
      <c r="E16" s="590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45" customHeight="1">
      <c r="A17" s="214" t="s">
        <v>290</v>
      </c>
      <c r="B17" s="215"/>
      <c r="C17" s="216"/>
      <c r="D17" s="580" t="s">
        <v>361</v>
      </c>
      <c r="E17" s="581"/>
      <c r="F17" s="566" t="s">
        <v>291</v>
      </c>
      <c r="G17" s="567"/>
      <c r="H17" s="567"/>
      <c r="I17" s="567"/>
      <c r="J17" s="567"/>
      <c r="K17" s="568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45" customHeight="1">
      <c r="A18" s="217" t="s">
        <v>292</v>
      </c>
      <c r="B18" s="218"/>
      <c r="C18" s="216"/>
      <c r="D18" s="578" t="s">
        <v>174</v>
      </c>
      <c r="E18" s="579"/>
      <c r="F18" s="594"/>
      <c r="G18" s="595"/>
      <c r="H18" s="219" t="s">
        <v>293</v>
      </c>
      <c r="I18" s="220"/>
      <c r="J18" s="188" t="s">
        <v>744</v>
      </c>
      <c r="K18" s="189"/>
      <c r="L18" s="163"/>
      <c r="M18" s="163" t="e">
        <f>J18*6.5</f>
        <v>#VALUE!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45" customHeight="1">
      <c r="A19" s="600" t="s">
        <v>294</v>
      </c>
      <c r="B19" s="601"/>
      <c r="C19" s="602"/>
      <c r="D19" s="603" t="s">
        <v>622</v>
      </c>
      <c r="E19" s="581"/>
      <c r="F19" s="596"/>
      <c r="G19" s="597"/>
      <c r="H19" s="219" t="s">
        <v>5</v>
      </c>
      <c r="I19" s="181"/>
      <c r="J19" s="188">
        <v>3580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45" customHeight="1" thickBot="1">
      <c r="A20" s="221" t="s">
        <v>295</v>
      </c>
      <c r="C20" s="222"/>
      <c r="D20" s="604" t="s">
        <v>183</v>
      </c>
      <c r="E20" s="574"/>
      <c r="F20" s="596"/>
      <c r="G20" s="597"/>
      <c r="H20" s="219" t="s">
        <v>296</v>
      </c>
      <c r="I20" s="181"/>
      <c r="J20" s="192" t="s">
        <v>343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45" customHeight="1" thickBot="1">
      <c r="A21" s="586" t="s">
        <v>297</v>
      </c>
      <c r="B21" s="587"/>
      <c r="C21" s="588"/>
      <c r="D21" s="573" t="s">
        <v>174</v>
      </c>
      <c r="E21" s="574"/>
      <c r="F21" s="596"/>
      <c r="G21" s="597"/>
      <c r="H21" s="223" t="s">
        <v>298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299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45" customHeight="1">
      <c r="A22" s="217" t="s">
        <v>300</v>
      </c>
      <c r="B22" s="224"/>
      <c r="C22" s="224"/>
      <c r="D22" s="605">
        <v>0.16025</v>
      </c>
      <c r="E22" s="606"/>
      <c r="F22" s="596"/>
      <c r="G22" s="597"/>
      <c r="H22" s="219" t="s">
        <v>257</v>
      </c>
      <c r="I22" s="181"/>
      <c r="J22" s="192"/>
      <c r="K22" s="189"/>
      <c r="L22" s="163"/>
      <c r="M22" s="163"/>
      <c r="N22" s="163"/>
      <c r="O22" s="163"/>
      <c r="P22" s="163"/>
      <c r="Q22" s="175" t="s">
        <v>301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45" customHeight="1">
      <c r="A23" s="225" t="s">
        <v>302</v>
      </c>
      <c r="B23" s="226" t="s">
        <v>303</v>
      </c>
      <c r="C23" s="227"/>
      <c r="D23" s="584">
        <v>575</v>
      </c>
      <c r="E23" s="585"/>
      <c r="F23" s="596"/>
      <c r="G23" s="597"/>
      <c r="H23" s="228" t="s">
        <v>304</v>
      </c>
      <c r="I23" s="229"/>
      <c r="J23" s="230"/>
      <c r="K23" s="231"/>
      <c r="L23" s="163"/>
      <c r="Q23" s="175" t="s">
        <v>305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45" customHeight="1" thickBot="1">
      <c r="A24" s="232" t="s">
        <v>306</v>
      </c>
      <c r="B24" s="233" t="s">
        <v>307</v>
      </c>
      <c r="C24" s="234"/>
      <c r="D24" s="607" t="s">
        <v>174</v>
      </c>
      <c r="E24" s="608"/>
      <c r="F24" s="596"/>
      <c r="G24" s="597"/>
      <c r="H24" s="219" t="s">
        <v>308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45" customHeight="1">
      <c r="A25" s="239" t="s">
        <v>309</v>
      </c>
      <c r="B25" s="240"/>
      <c r="C25" s="240"/>
      <c r="D25" s="241"/>
      <c r="E25" s="241" t="s">
        <v>310</v>
      </c>
      <c r="F25" s="596"/>
      <c r="G25" s="597"/>
      <c r="H25" s="219" t="s">
        <v>311</v>
      </c>
      <c r="I25" s="202"/>
      <c r="J25" s="242"/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45" customHeight="1">
      <c r="A26" s="243" t="s">
        <v>312</v>
      </c>
      <c r="B26" s="244"/>
      <c r="C26" s="245"/>
      <c r="D26" s="246" t="s">
        <v>364</v>
      </c>
      <c r="E26" s="246" t="s">
        <v>365</v>
      </c>
      <c r="F26" s="598"/>
      <c r="G26" s="599"/>
      <c r="H26" s="609"/>
      <c r="I26" s="610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45" customHeight="1">
      <c r="A27" s="619" t="s">
        <v>313</v>
      </c>
      <c r="B27" s="620"/>
      <c r="C27" s="620"/>
      <c r="D27" s="620"/>
      <c r="E27" s="620"/>
      <c r="F27" s="563" t="s">
        <v>314</v>
      </c>
      <c r="G27" s="564"/>
      <c r="H27" s="564"/>
      <c r="I27" s="564"/>
      <c r="J27" s="564"/>
      <c r="K27" s="565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45" customHeight="1">
      <c r="A28" s="613"/>
      <c r="B28" s="614"/>
      <c r="C28" s="614"/>
      <c r="D28" s="614"/>
      <c r="E28" s="615"/>
      <c r="F28" s="249"/>
      <c r="G28" s="250"/>
      <c r="H28" s="209" t="s">
        <v>315</v>
      </c>
      <c r="I28" s="251" t="s">
        <v>362</v>
      </c>
      <c r="J28" s="188" t="s">
        <v>745</v>
      </c>
      <c r="K28" s="252" t="s">
        <v>174</v>
      </c>
      <c r="M28" s="167" t="e">
        <f>(J28/J18)*100</f>
        <v>#VALUE!</v>
      </c>
      <c r="N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45" customHeight="1">
      <c r="A29" s="613"/>
      <c r="B29" s="614"/>
      <c r="C29" s="614"/>
      <c r="D29" s="614"/>
      <c r="E29" s="615"/>
      <c r="F29" s="254"/>
      <c r="G29" s="255"/>
      <c r="H29" s="209" t="s">
        <v>316</v>
      </c>
      <c r="I29" s="256">
        <v>60</v>
      </c>
      <c r="J29" s="188">
        <v>78</v>
      </c>
      <c r="K29" s="183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45" customHeight="1">
      <c r="A30" s="613"/>
      <c r="B30" s="614"/>
      <c r="C30" s="614"/>
      <c r="D30" s="614"/>
      <c r="E30" s="615"/>
      <c r="F30" s="254"/>
      <c r="G30" s="255"/>
      <c r="H30" s="209" t="s">
        <v>317</v>
      </c>
      <c r="I30" s="256">
        <v>175</v>
      </c>
      <c r="J30" s="188">
        <v>280</v>
      </c>
      <c r="K30" s="183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45" customHeight="1">
      <c r="A31" s="613"/>
      <c r="B31" s="614"/>
      <c r="C31" s="614"/>
      <c r="D31" s="614"/>
      <c r="E31" s="615"/>
      <c r="F31" s="254"/>
      <c r="G31" s="255"/>
      <c r="H31" s="209" t="s">
        <v>318</v>
      </c>
      <c r="I31" s="210"/>
      <c r="J31" s="257">
        <v>0.56999999999999995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45" customHeight="1">
      <c r="A32" s="616"/>
      <c r="B32" s="617"/>
      <c r="C32" s="617"/>
      <c r="D32" s="617"/>
      <c r="E32" s="618"/>
      <c r="F32" s="254"/>
      <c r="G32" s="258" t="s">
        <v>319</v>
      </c>
      <c r="H32" s="209" t="s">
        <v>320</v>
      </c>
      <c r="I32" s="259"/>
      <c r="J32" s="182">
        <v>94.7</v>
      </c>
      <c r="K32" s="183" t="s">
        <v>174</v>
      </c>
      <c r="L32" s="163"/>
      <c r="N32" s="260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45" customHeight="1">
      <c r="A33" s="619" t="s">
        <v>321</v>
      </c>
      <c r="B33" s="620"/>
      <c r="C33" s="620"/>
      <c r="D33" s="620"/>
      <c r="E33" s="621"/>
      <c r="F33" s="261"/>
      <c r="G33" s="262"/>
      <c r="H33" s="263" t="s">
        <v>322</v>
      </c>
      <c r="I33" s="264"/>
      <c r="J33" s="265">
        <v>93</v>
      </c>
      <c r="K33" s="252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45" customHeight="1">
      <c r="A34" s="613"/>
      <c r="B34" s="614"/>
      <c r="C34" s="614"/>
      <c r="D34" s="614"/>
      <c r="E34" s="615"/>
      <c r="F34" s="184" t="s">
        <v>323</v>
      </c>
      <c r="G34" s="266"/>
      <c r="H34" s="267" t="s">
        <v>14</v>
      </c>
      <c r="I34" s="268"/>
      <c r="J34" s="269">
        <v>4701</v>
      </c>
      <c r="K34" s="252" t="s">
        <v>174</v>
      </c>
      <c r="L34" s="270"/>
      <c r="M34" s="271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45" customHeight="1">
      <c r="A35" s="613"/>
      <c r="B35" s="614"/>
      <c r="C35" s="614"/>
      <c r="D35" s="614"/>
      <c r="E35" s="615"/>
      <c r="F35" s="203"/>
      <c r="G35" s="272"/>
      <c r="H35" s="273" t="s">
        <v>15</v>
      </c>
      <c r="I35" s="274"/>
      <c r="J35" s="188">
        <v>3092</v>
      </c>
      <c r="K35" s="252" t="s">
        <v>174</v>
      </c>
      <c r="M35" s="271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45" customHeight="1">
      <c r="A36" s="613"/>
      <c r="B36" s="614"/>
      <c r="C36" s="614"/>
      <c r="D36" s="614"/>
      <c r="E36" s="615"/>
      <c r="F36" s="203"/>
      <c r="G36" s="272"/>
      <c r="H36" s="273" t="s">
        <v>324</v>
      </c>
      <c r="I36" s="274"/>
      <c r="J36" s="188">
        <v>2803</v>
      </c>
      <c r="K36" s="252" t="s">
        <v>174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45" customHeight="1">
      <c r="A37" s="613"/>
      <c r="B37" s="614"/>
      <c r="C37" s="614"/>
      <c r="D37" s="614"/>
      <c r="E37" s="615"/>
      <c r="F37" s="254"/>
      <c r="G37" s="272"/>
      <c r="H37" s="273" t="s">
        <v>325</v>
      </c>
      <c r="I37" s="274"/>
      <c r="J37" s="188">
        <v>10961</v>
      </c>
      <c r="K37" s="275" t="s">
        <v>174</v>
      </c>
      <c r="M37" s="276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45" customHeight="1">
      <c r="A38" s="616"/>
      <c r="B38" s="617"/>
      <c r="C38" s="617"/>
      <c r="D38" s="617"/>
      <c r="E38" s="618"/>
      <c r="F38" s="211"/>
      <c r="G38" s="277"/>
      <c r="H38" s="278" t="s">
        <v>326</v>
      </c>
      <c r="I38" s="279"/>
      <c r="J38" s="280">
        <v>7401</v>
      </c>
      <c r="K38" s="252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45" customHeight="1">
      <c r="A39" s="619" t="s">
        <v>327</v>
      </c>
      <c r="B39" s="620"/>
      <c r="C39" s="620"/>
      <c r="D39" s="620"/>
      <c r="E39" s="620"/>
      <c r="F39" s="281" t="s">
        <v>328</v>
      </c>
      <c r="G39" s="282"/>
      <c r="H39" s="282"/>
      <c r="I39" s="282"/>
      <c r="J39" s="282"/>
      <c r="K39" s="283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45" customHeight="1">
      <c r="A40" s="622"/>
      <c r="B40" s="623"/>
      <c r="C40" s="623"/>
      <c r="D40" s="623"/>
      <c r="E40" s="624"/>
      <c r="F40" s="284"/>
      <c r="G40" s="285"/>
      <c r="H40" s="285" t="s">
        <v>624</v>
      </c>
      <c r="I40" s="285"/>
      <c r="J40" s="285"/>
      <c r="K40" s="286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45" customHeight="1">
      <c r="A41" s="622"/>
      <c r="B41" s="623"/>
      <c r="C41" s="623"/>
      <c r="D41" s="623"/>
      <c r="E41" s="624"/>
      <c r="F41" s="284"/>
      <c r="G41" s="287"/>
      <c r="H41" s="287"/>
      <c r="I41" s="287"/>
      <c r="J41" s="287"/>
      <c r="K41" s="288"/>
      <c r="L41" s="289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45" customHeight="1">
      <c r="A42" s="622"/>
      <c r="B42" s="623"/>
      <c r="C42" s="623"/>
      <c r="D42" s="623"/>
      <c r="E42" s="624"/>
      <c r="F42" s="284"/>
      <c r="G42" s="287"/>
      <c r="H42" s="287"/>
      <c r="I42" s="287"/>
      <c r="J42" s="287"/>
      <c r="K42" s="288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45" customHeight="1">
      <c r="A43" s="622"/>
      <c r="B43" s="623"/>
      <c r="C43" s="623"/>
      <c r="D43" s="623"/>
      <c r="E43" s="624"/>
      <c r="F43" s="284"/>
      <c r="G43" s="287"/>
      <c r="H43" s="287"/>
      <c r="I43" s="287"/>
      <c r="J43" s="287"/>
      <c r="K43" s="288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25"/>
      <c r="B44" s="626"/>
      <c r="C44" s="626"/>
      <c r="D44" s="626"/>
      <c r="E44" s="627"/>
      <c r="F44" s="284"/>
      <c r="G44" s="287"/>
      <c r="H44" s="287"/>
      <c r="I44" s="287"/>
      <c r="J44" s="287"/>
      <c r="K44" s="288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0" t="s">
        <v>329</v>
      </c>
      <c r="B45" s="628" t="s">
        <v>628</v>
      </c>
      <c r="C45" s="629"/>
      <c r="D45" s="291" t="s">
        <v>330</v>
      </c>
      <c r="E45" s="292" t="s">
        <v>623</v>
      </c>
      <c r="F45" s="293"/>
      <c r="G45" s="287"/>
      <c r="H45" s="287"/>
      <c r="I45" s="287"/>
      <c r="J45" s="287"/>
      <c r="K45" s="288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4" t="s">
        <v>331</v>
      </c>
      <c r="B46" s="611">
        <v>41670</v>
      </c>
      <c r="C46" s="612"/>
      <c r="D46" s="295" t="s">
        <v>331</v>
      </c>
      <c r="E46" s="296">
        <v>41655</v>
      </c>
      <c r="F46" s="297"/>
      <c r="G46" s="298"/>
      <c r="H46" s="298"/>
      <c r="I46" s="298"/>
      <c r="J46" s="298"/>
      <c r="K46" s="299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0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abSelected="1" zoomScale="75" zoomScaleNormal="75" workbookViewId="0">
      <selection activeCell="C45" sqref="C45"/>
    </sheetView>
  </sheetViews>
  <sheetFormatPr defaultColWidth="9.109375" defaultRowHeight="13.2"/>
  <cols>
    <col min="1" max="1" width="9.109375" style="307" customWidth="1"/>
    <col min="2" max="2" width="18.109375" style="307" customWidth="1"/>
    <col min="3" max="3" width="21.5546875" style="307" customWidth="1"/>
    <col min="4" max="4" width="21.33203125" style="307" bestFit="1" customWidth="1"/>
    <col min="5" max="5" width="6.88671875" style="307" bestFit="1" customWidth="1"/>
    <col min="6" max="6" width="29.88671875" style="307" customWidth="1"/>
    <col min="7" max="7" width="43.6640625" style="307" customWidth="1"/>
    <col min="8" max="8" width="17.109375" style="307" customWidth="1"/>
    <col min="9" max="9" width="7.88671875" style="307" customWidth="1"/>
    <col min="10" max="10" width="2.33203125" style="307" bestFit="1" customWidth="1"/>
    <col min="11" max="12" width="2.33203125" style="307" customWidth="1"/>
    <col min="13" max="13" width="2.5546875" style="307" bestFit="1" customWidth="1"/>
    <col min="14" max="14" width="2.33203125" style="307" bestFit="1" customWidth="1"/>
    <col min="15" max="16384" width="9.10937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332</v>
      </c>
      <c r="K1" s="306" t="s">
        <v>333</v>
      </c>
      <c r="L1" s="306" t="s">
        <v>334</v>
      </c>
      <c r="M1" s="306" t="s">
        <v>333</v>
      </c>
      <c r="N1" s="306"/>
    </row>
    <row r="2" spans="2:14" ht="12.75" customHeight="1">
      <c r="B2" s="638" t="s">
        <v>335</v>
      </c>
      <c r="C2" s="639"/>
      <c r="D2" s="639"/>
      <c r="E2" s="639"/>
      <c r="F2" s="639"/>
      <c r="G2" s="639"/>
      <c r="H2" s="308"/>
      <c r="I2" s="309"/>
      <c r="J2" s="310" t="s">
        <v>336</v>
      </c>
      <c r="K2" s="310" t="s">
        <v>337</v>
      </c>
      <c r="L2" s="310" t="s">
        <v>338</v>
      </c>
      <c r="M2" s="310" t="s">
        <v>339</v>
      </c>
      <c r="N2" s="310" t="s">
        <v>340</v>
      </c>
    </row>
    <row r="3" spans="2:14" ht="12.75" customHeight="1">
      <c r="B3" s="638"/>
      <c r="C3" s="639"/>
      <c r="D3" s="639"/>
      <c r="E3" s="639"/>
      <c r="F3" s="639"/>
      <c r="G3" s="639"/>
      <c r="H3" s="308"/>
      <c r="I3" s="309"/>
      <c r="J3" s="310" t="s">
        <v>341</v>
      </c>
      <c r="K3" s="310"/>
      <c r="L3" s="310" t="s">
        <v>342</v>
      </c>
      <c r="M3" s="310" t="s">
        <v>332</v>
      </c>
      <c r="N3" s="310"/>
    </row>
    <row r="4" spans="2:14" ht="12.75" customHeight="1">
      <c r="B4" s="638"/>
      <c r="C4" s="639"/>
      <c r="D4" s="639"/>
      <c r="E4" s="639"/>
      <c r="F4" s="639"/>
      <c r="G4" s="639"/>
      <c r="H4" s="308"/>
      <c r="I4" s="309"/>
      <c r="J4" s="310" t="s">
        <v>343</v>
      </c>
      <c r="K4" s="310"/>
      <c r="L4" s="310" t="s">
        <v>338</v>
      </c>
      <c r="M4" s="310" t="s">
        <v>336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344</v>
      </c>
      <c r="L5" s="310" t="s">
        <v>333</v>
      </c>
      <c r="M5" s="310"/>
      <c r="N5" s="310" t="s">
        <v>338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337</v>
      </c>
      <c r="K6" s="310" t="s">
        <v>345</v>
      </c>
      <c r="L6" s="310"/>
      <c r="M6" s="310" t="s">
        <v>333</v>
      </c>
      <c r="N6" s="310" t="s">
        <v>346</v>
      </c>
    </row>
    <row r="7" spans="2:14" ht="12.75" customHeight="1">
      <c r="B7" s="313"/>
      <c r="D7" s="316"/>
      <c r="H7" s="315"/>
      <c r="I7" s="309"/>
      <c r="J7" s="310" t="s">
        <v>347</v>
      </c>
      <c r="K7" s="310" t="s">
        <v>341</v>
      </c>
      <c r="L7" s="310" t="s">
        <v>341</v>
      </c>
      <c r="M7" s="310" t="s">
        <v>336</v>
      </c>
      <c r="N7" s="310" t="s">
        <v>348</v>
      </c>
    </row>
    <row r="8" spans="2:14" ht="12.75" customHeight="1">
      <c r="B8" s="313"/>
      <c r="G8" s="316"/>
      <c r="H8" s="317"/>
      <c r="I8" s="310" t="s">
        <v>348</v>
      </c>
      <c r="J8" s="310" t="s">
        <v>333</v>
      </c>
      <c r="K8" s="310" t="s">
        <v>349</v>
      </c>
      <c r="L8" s="310" t="s">
        <v>336</v>
      </c>
      <c r="M8" s="310" t="s">
        <v>348</v>
      </c>
      <c r="N8" s="310" t="s">
        <v>345</v>
      </c>
    </row>
    <row r="9" spans="2:14">
      <c r="B9" s="310" t="s">
        <v>350</v>
      </c>
      <c r="C9" s="317" t="s">
        <v>351</v>
      </c>
      <c r="D9" s="317" t="s">
        <v>352</v>
      </c>
      <c r="E9" s="317" t="s">
        <v>353</v>
      </c>
      <c r="F9" s="310" t="s">
        <v>354</v>
      </c>
      <c r="G9" s="310" t="s">
        <v>355</v>
      </c>
      <c r="H9" s="310" t="s">
        <v>356</v>
      </c>
      <c r="I9" s="310" t="s">
        <v>343</v>
      </c>
      <c r="J9" s="310" t="s">
        <v>347</v>
      </c>
      <c r="K9" s="310" t="s">
        <v>336</v>
      </c>
      <c r="L9" s="310" t="s">
        <v>349</v>
      </c>
      <c r="M9" s="310" t="s">
        <v>333</v>
      </c>
      <c r="N9" s="310" t="s">
        <v>334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40" t="s">
        <v>357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</row>
    <row r="54" spans="2:14" ht="15" customHeight="1" thickBot="1">
      <c r="B54" s="332" t="s">
        <v>358</v>
      </c>
      <c r="C54" s="641" t="s">
        <v>355</v>
      </c>
      <c r="D54" s="642"/>
      <c r="E54" s="642"/>
      <c r="F54" s="642"/>
      <c r="G54" s="642"/>
      <c r="H54" s="333"/>
      <c r="I54" s="641" t="s">
        <v>350</v>
      </c>
      <c r="J54" s="642"/>
      <c r="K54" s="643"/>
      <c r="L54" s="641" t="s">
        <v>359</v>
      </c>
      <c r="M54" s="642"/>
      <c r="N54" s="644"/>
    </row>
    <row r="55" spans="2:14" ht="15" customHeight="1">
      <c r="B55" s="334"/>
      <c r="C55" s="630"/>
      <c r="D55" s="631"/>
      <c r="E55" s="631"/>
      <c r="F55" s="631"/>
      <c r="G55" s="631"/>
      <c r="H55" s="335"/>
      <c r="I55" s="632"/>
      <c r="J55" s="633"/>
      <c r="K55" s="634"/>
      <c r="L55" s="635"/>
      <c r="M55" s="636"/>
      <c r="N55" s="637"/>
    </row>
    <row r="56" spans="2:14" ht="15" customHeight="1">
      <c r="B56" s="336"/>
      <c r="C56" s="645"/>
      <c r="D56" s="646"/>
      <c r="E56" s="646"/>
      <c r="F56" s="646"/>
      <c r="G56" s="646"/>
      <c r="H56" s="337"/>
      <c r="I56" s="647"/>
      <c r="J56" s="648"/>
      <c r="K56" s="649"/>
      <c r="L56" s="650"/>
      <c r="M56" s="651"/>
      <c r="N56" s="652"/>
    </row>
    <row r="57" spans="2:14" ht="15" customHeight="1">
      <c r="B57" s="336"/>
      <c r="C57" s="645"/>
      <c r="D57" s="646"/>
      <c r="E57" s="646"/>
      <c r="F57" s="646"/>
      <c r="G57" s="646"/>
      <c r="H57" s="337"/>
      <c r="I57" s="647"/>
      <c r="J57" s="648"/>
      <c r="K57" s="649"/>
      <c r="L57" s="650"/>
      <c r="M57" s="651"/>
      <c r="N57" s="652"/>
    </row>
    <row r="58" spans="2:14" ht="15" customHeight="1">
      <c r="B58" s="336"/>
      <c r="C58" s="645"/>
      <c r="D58" s="646"/>
      <c r="E58" s="646"/>
      <c r="F58" s="646"/>
      <c r="G58" s="646"/>
      <c r="H58" s="337"/>
      <c r="I58" s="647"/>
      <c r="J58" s="648"/>
      <c r="K58" s="649"/>
      <c r="L58" s="650"/>
      <c r="M58" s="651"/>
      <c r="N58" s="652"/>
    </row>
    <row r="59" spans="2:14" ht="15" customHeight="1">
      <c r="B59" s="336"/>
      <c r="C59" s="645"/>
      <c r="D59" s="646"/>
      <c r="E59" s="646"/>
      <c r="F59" s="646"/>
      <c r="G59" s="646"/>
      <c r="H59" s="337"/>
      <c r="I59" s="647"/>
      <c r="J59" s="648"/>
      <c r="K59" s="649"/>
      <c r="L59" s="650"/>
      <c r="M59" s="651"/>
      <c r="N59" s="652"/>
    </row>
    <row r="60" spans="2:14" ht="15" customHeight="1">
      <c r="B60" s="336"/>
      <c r="C60" s="645"/>
      <c r="D60" s="646"/>
      <c r="E60" s="646"/>
      <c r="F60" s="646"/>
      <c r="G60" s="646"/>
      <c r="H60" s="337"/>
      <c r="I60" s="647"/>
      <c r="J60" s="648"/>
      <c r="K60" s="649"/>
      <c r="L60" s="650"/>
      <c r="M60" s="651"/>
      <c r="N60" s="652"/>
    </row>
    <row r="61" spans="2:14" ht="15" customHeight="1">
      <c r="B61" s="336"/>
      <c r="C61" s="645"/>
      <c r="D61" s="646"/>
      <c r="E61" s="646"/>
      <c r="F61" s="646"/>
      <c r="G61" s="646"/>
      <c r="H61" s="337"/>
      <c r="I61" s="647"/>
      <c r="J61" s="648"/>
      <c r="K61" s="649"/>
      <c r="L61" s="650"/>
      <c r="M61" s="651"/>
      <c r="N61" s="652"/>
    </row>
    <row r="62" spans="2:14" ht="15" customHeight="1">
      <c r="B62" s="336"/>
      <c r="C62" s="645"/>
      <c r="D62" s="646"/>
      <c r="E62" s="646"/>
      <c r="F62" s="646"/>
      <c r="G62" s="646"/>
      <c r="H62" s="337"/>
      <c r="I62" s="647"/>
      <c r="J62" s="648"/>
      <c r="K62" s="649"/>
      <c r="L62" s="650"/>
      <c r="M62" s="651"/>
      <c r="N62" s="652"/>
    </row>
    <row r="63" spans="2:14" ht="15" customHeight="1">
      <c r="B63" s="336"/>
      <c r="C63" s="645"/>
      <c r="D63" s="646"/>
      <c r="E63" s="646"/>
      <c r="F63" s="646"/>
      <c r="G63" s="646"/>
      <c r="H63" s="337"/>
      <c r="I63" s="647"/>
      <c r="J63" s="648"/>
      <c r="K63" s="649"/>
      <c r="L63" s="650"/>
      <c r="M63" s="651"/>
      <c r="N63" s="652"/>
    </row>
    <row r="64" spans="2:14" ht="15" customHeight="1">
      <c r="B64" s="336"/>
      <c r="C64" s="645"/>
      <c r="D64" s="646"/>
      <c r="E64" s="646"/>
      <c r="F64" s="646"/>
      <c r="G64" s="646"/>
      <c r="H64" s="337"/>
      <c r="I64" s="647"/>
      <c r="J64" s="648"/>
      <c r="K64" s="649"/>
      <c r="L64" s="650"/>
      <c r="M64" s="651"/>
      <c r="N64" s="652"/>
    </row>
    <row r="65" spans="2:14" ht="15" customHeight="1">
      <c r="B65" s="336"/>
      <c r="C65" s="645"/>
      <c r="D65" s="646"/>
      <c r="E65" s="646"/>
      <c r="F65" s="646"/>
      <c r="G65" s="646"/>
      <c r="H65" s="337"/>
      <c r="I65" s="647"/>
      <c r="J65" s="648"/>
      <c r="K65" s="649"/>
      <c r="L65" s="650"/>
      <c r="M65" s="651"/>
      <c r="N65" s="652"/>
    </row>
    <row r="66" spans="2:14" ht="15" customHeight="1">
      <c r="B66" s="336"/>
      <c r="C66" s="645"/>
      <c r="D66" s="646"/>
      <c r="E66" s="646"/>
      <c r="F66" s="646"/>
      <c r="G66" s="646"/>
      <c r="H66" s="337"/>
      <c r="I66" s="647"/>
      <c r="J66" s="648"/>
      <c r="K66" s="649"/>
      <c r="L66" s="650"/>
      <c r="M66" s="651"/>
      <c r="N66" s="652"/>
    </row>
    <row r="67" spans="2:14" ht="15" customHeight="1">
      <c r="B67" s="336"/>
      <c r="C67" s="645"/>
      <c r="D67" s="646"/>
      <c r="E67" s="646"/>
      <c r="F67" s="646"/>
      <c r="G67" s="646"/>
      <c r="H67" s="337"/>
      <c r="I67" s="647"/>
      <c r="J67" s="648"/>
      <c r="K67" s="649"/>
      <c r="L67" s="650"/>
      <c r="M67" s="651"/>
      <c r="N67" s="652"/>
    </row>
    <row r="68" spans="2:14" ht="15" customHeight="1">
      <c r="B68" s="336"/>
      <c r="C68" s="645"/>
      <c r="D68" s="646"/>
      <c r="E68" s="646"/>
      <c r="F68" s="646"/>
      <c r="G68" s="646"/>
      <c r="H68" s="337"/>
      <c r="I68" s="647"/>
      <c r="J68" s="648"/>
      <c r="K68" s="649"/>
      <c r="L68" s="650"/>
      <c r="M68" s="651"/>
      <c r="N68" s="652"/>
    </row>
    <row r="69" spans="2:14" ht="15" customHeight="1">
      <c r="B69" s="336"/>
      <c r="C69" s="645"/>
      <c r="D69" s="646"/>
      <c r="E69" s="646"/>
      <c r="F69" s="646"/>
      <c r="G69" s="646"/>
      <c r="H69" s="337"/>
      <c r="I69" s="647"/>
      <c r="J69" s="648"/>
      <c r="K69" s="649"/>
      <c r="L69" s="650"/>
      <c r="M69" s="651"/>
      <c r="N69" s="652"/>
    </row>
    <row r="70" spans="2:14" ht="15" customHeight="1">
      <c r="B70" s="336"/>
      <c r="C70" s="645"/>
      <c r="D70" s="646"/>
      <c r="E70" s="646"/>
      <c r="F70" s="646"/>
      <c r="G70" s="646"/>
      <c r="H70" s="337"/>
      <c r="I70" s="647"/>
      <c r="J70" s="648"/>
      <c r="K70" s="649"/>
      <c r="L70" s="650"/>
      <c r="M70" s="651"/>
      <c r="N70" s="652"/>
    </row>
    <row r="71" spans="2:14" ht="15" customHeight="1">
      <c r="B71" s="336"/>
      <c r="C71" s="645"/>
      <c r="D71" s="646"/>
      <c r="E71" s="646"/>
      <c r="F71" s="646"/>
      <c r="G71" s="646"/>
      <c r="H71" s="337"/>
      <c r="I71" s="647"/>
      <c r="J71" s="648"/>
      <c r="K71" s="649"/>
      <c r="L71" s="650"/>
      <c r="M71" s="651"/>
      <c r="N71" s="652"/>
    </row>
    <row r="72" spans="2:14">
      <c r="B72" s="336"/>
      <c r="C72" s="645"/>
      <c r="D72" s="646"/>
      <c r="E72" s="646"/>
      <c r="F72" s="646"/>
      <c r="G72" s="646"/>
      <c r="H72" s="337"/>
      <c r="I72" s="647"/>
      <c r="J72" s="648"/>
      <c r="K72" s="649"/>
      <c r="L72" s="650"/>
      <c r="M72" s="651"/>
      <c r="N72" s="652"/>
    </row>
    <row r="73" spans="2:14">
      <c r="B73" s="336"/>
      <c r="C73" s="645"/>
      <c r="D73" s="646"/>
      <c r="E73" s="646"/>
      <c r="F73" s="646"/>
      <c r="G73" s="646"/>
      <c r="H73" s="337"/>
      <c r="I73" s="647"/>
      <c r="J73" s="648"/>
      <c r="K73" s="649"/>
      <c r="L73" s="650"/>
      <c r="M73" s="651"/>
      <c r="N73" s="652"/>
    </row>
    <row r="74" spans="2:14">
      <c r="B74" s="336"/>
      <c r="C74" s="645"/>
      <c r="D74" s="646"/>
      <c r="E74" s="646"/>
      <c r="F74" s="646"/>
      <c r="G74" s="646"/>
      <c r="H74" s="337"/>
      <c r="I74" s="647"/>
      <c r="J74" s="648"/>
      <c r="K74" s="649"/>
      <c r="L74" s="650"/>
      <c r="M74" s="651"/>
      <c r="N74" s="652"/>
    </row>
    <row r="75" spans="2:14">
      <c r="B75" s="336"/>
      <c r="C75" s="645"/>
      <c r="D75" s="646"/>
      <c r="E75" s="646"/>
      <c r="F75" s="646"/>
      <c r="G75" s="646"/>
      <c r="H75" s="337"/>
      <c r="I75" s="647"/>
      <c r="J75" s="648"/>
      <c r="K75" s="649"/>
      <c r="L75" s="650"/>
      <c r="M75" s="651"/>
      <c r="N75" s="652"/>
    </row>
    <row r="76" spans="2:14">
      <c r="B76" s="336"/>
      <c r="C76" s="645"/>
      <c r="D76" s="646"/>
      <c r="E76" s="646"/>
      <c r="F76" s="646"/>
      <c r="G76" s="646"/>
      <c r="H76" s="337"/>
      <c r="I76" s="647"/>
      <c r="J76" s="648"/>
      <c r="K76" s="649"/>
      <c r="L76" s="650"/>
      <c r="M76" s="651"/>
      <c r="N76" s="652"/>
    </row>
    <row r="77" spans="2:14">
      <c r="B77" s="336"/>
      <c r="C77" s="645"/>
      <c r="D77" s="646"/>
      <c r="E77" s="646"/>
      <c r="F77" s="646"/>
      <c r="G77" s="646"/>
      <c r="H77" s="337"/>
      <c r="I77" s="647"/>
      <c r="J77" s="648"/>
      <c r="K77" s="649"/>
      <c r="L77" s="650"/>
      <c r="M77" s="651"/>
      <c r="N77" s="652"/>
    </row>
    <row r="78" spans="2:14">
      <c r="B78" s="336"/>
      <c r="C78" s="645"/>
      <c r="D78" s="646"/>
      <c r="E78" s="646"/>
      <c r="F78" s="646"/>
      <c r="G78" s="646"/>
      <c r="H78" s="337"/>
      <c r="I78" s="647"/>
      <c r="J78" s="648"/>
      <c r="K78" s="649"/>
      <c r="L78" s="650"/>
      <c r="M78" s="651"/>
      <c r="N78" s="652"/>
    </row>
    <row r="79" spans="2:14" ht="13.8" thickBot="1">
      <c r="B79" s="338"/>
      <c r="C79" s="653"/>
      <c r="D79" s="654"/>
      <c r="E79" s="654"/>
      <c r="F79" s="654"/>
      <c r="G79" s="654"/>
      <c r="H79" s="339"/>
      <c r="I79" s="655"/>
      <c r="J79" s="656"/>
      <c r="K79" s="657"/>
      <c r="L79" s="658"/>
      <c r="M79" s="659"/>
      <c r="N79" s="66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abSelected="1" workbookViewId="0">
      <selection activeCell="C45" sqref="C45"/>
    </sheetView>
  </sheetViews>
  <sheetFormatPr defaultRowHeight="13.2"/>
  <cols>
    <col min="1" max="6" width="14.6640625" customWidth="1"/>
  </cols>
  <sheetData>
    <row r="1" spans="1:7" ht="20.399999999999999">
      <c r="A1" s="661" t="s">
        <v>366</v>
      </c>
      <c r="B1" s="661"/>
      <c r="C1" s="661"/>
      <c r="D1" s="661"/>
      <c r="E1" s="661"/>
      <c r="F1" s="661"/>
    </row>
    <row r="2" spans="1:7" ht="18" thickBot="1">
      <c r="A2" s="340"/>
      <c r="B2" s="340"/>
      <c r="C2" s="662" t="s">
        <v>378</v>
      </c>
      <c r="D2" s="662"/>
      <c r="E2" s="340"/>
      <c r="F2" s="340"/>
      <c r="G2" s="340"/>
    </row>
    <row r="3" spans="1:7" ht="18">
      <c r="A3" s="663" t="s">
        <v>367</v>
      </c>
      <c r="B3" s="664"/>
      <c r="C3" s="665"/>
      <c r="D3" s="663" t="s">
        <v>368</v>
      </c>
      <c r="E3" s="664"/>
      <c r="F3" s="665"/>
      <c r="G3" s="340"/>
    </row>
    <row r="4" spans="1:7" ht="16.2">
      <c r="A4" s="341" t="s">
        <v>379</v>
      </c>
      <c r="B4" s="666" t="s">
        <v>381</v>
      </c>
      <c r="C4" s="667"/>
      <c r="D4" s="668" t="s">
        <v>382</v>
      </c>
      <c r="E4" s="669"/>
      <c r="F4" s="670"/>
      <c r="G4" s="340"/>
    </row>
    <row r="5" spans="1:7" ht="16.8" thickBot="1">
      <c r="A5" s="342" t="s">
        <v>380</v>
      </c>
      <c r="B5" s="674" t="s">
        <v>380</v>
      </c>
      <c r="C5" s="675"/>
      <c r="D5" s="676">
        <v>1.73E-3</v>
      </c>
      <c r="E5" s="677"/>
      <c r="F5" s="678"/>
      <c r="G5" s="340"/>
    </row>
    <row r="6" spans="1:7" ht="18">
      <c r="A6" s="663" t="s">
        <v>369</v>
      </c>
      <c r="B6" s="664"/>
      <c r="C6" s="664"/>
      <c r="D6" s="664"/>
      <c r="E6" s="664"/>
      <c r="F6" s="665"/>
      <c r="G6" s="340"/>
    </row>
    <row r="7" spans="1:7" ht="16.2">
      <c r="A7" s="343" t="s">
        <v>370</v>
      </c>
      <c r="B7" s="344" t="s">
        <v>625</v>
      </c>
      <c r="C7" s="345" t="s">
        <v>371</v>
      </c>
      <c r="D7" s="346" t="s">
        <v>626</v>
      </c>
      <c r="E7" s="679" t="s">
        <v>372</v>
      </c>
      <c r="F7" s="680"/>
      <c r="G7" s="340"/>
    </row>
    <row r="8" spans="1:7" ht="16.2" thickBot="1">
      <c r="A8" s="347"/>
      <c r="B8" s="348" t="s">
        <v>380</v>
      </c>
      <c r="C8" s="349"/>
      <c r="D8" s="350" t="s">
        <v>380</v>
      </c>
      <c r="E8" s="681" t="s">
        <v>627</v>
      </c>
      <c r="F8" s="678"/>
      <c r="G8" s="340"/>
    </row>
    <row r="9" spans="1:7" ht="18">
      <c r="A9" s="663" t="s">
        <v>373</v>
      </c>
      <c r="B9" s="664"/>
      <c r="C9" s="665"/>
      <c r="D9" s="663" t="s">
        <v>374</v>
      </c>
      <c r="E9" s="664"/>
      <c r="F9" s="665"/>
      <c r="G9" s="340"/>
    </row>
    <row r="10" spans="1:7" ht="16.2">
      <c r="A10" s="351" t="s">
        <v>375</v>
      </c>
      <c r="B10" s="682">
        <v>7.27</v>
      </c>
      <c r="C10" s="667"/>
      <c r="D10" s="683" t="s">
        <v>383</v>
      </c>
      <c r="E10" s="684"/>
      <c r="F10" s="352" t="s">
        <v>384</v>
      </c>
      <c r="G10" s="340"/>
    </row>
    <row r="11" spans="1:7" ht="16.8" thickBot="1">
      <c r="A11" s="353" t="s">
        <v>376</v>
      </c>
      <c r="B11" s="677">
        <v>3.37</v>
      </c>
      <c r="C11" s="678"/>
      <c r="D11" s="685"/>
      <c r="E11" s="686"/>
      <c r="F11" s="354" t="s">
        <v>380</v>
      </c>
      <c r="G11" s="340"/>
    </row>
    <row r="12" spans="1:7" ht="18">
      <c r="A12" s="663" t="s">
        <v>377</v>
      </c>
      <c r="B12" s="664"/>
      <c r="C12" s="664"/>
      <c r="D12" s="664"/>
      <c r="E12" s="664"/>
      <c r="F12" s="665"/>
      <c r="G12" s="340"/>
    </row>
    <row r="13" spans="1:7" ht="16.2" thickBot="1">
      <c r="A13" s="671" t="s">
        <v>385</v>
      </c>
      <c r="B13" s="672"/>
      <c r="C13" s="673" t="s">
        <v>629</v>
      </c>
      <c r="D13" s="673"/>
      <c r="E13" s="673"/>
      <c r="F13" s="355"/>
      <c r="G13" s="340"/>
    </row>
    <row r="14" spans="1:7" ht="18.899999999999999" customHeight="1">
      <c r="A14" s="356"/>
      <c r="B14" s="356"/>
      <c r="C14" s="356"/>
      <c r="D14" s="356"/>
      <c r="E14" s="356"/>
      <c r="F14" s="356"/>
      <c r="G14" s="340"/>
    </row>
    <row r="15" spans="1:7" ht="15.6">
      <c r="G15" s="340"/>
    </row>
    <row r="16" spans="1:7" ht="15.6">
      <c r="G16" s="340"/>
    </row>
    <row r="17" spans="7:7" ht="15.6">
      <c r="G17" s="340"/>
    </row>
    <row r="18" spans="7:7" ht="15.6">
      <c r="G18" s="340"/>
    </row>
    <row r="19" spans="7:7" ht="15.6">
      <c r="G19" s="340"/>
    </row>
    <row r="20" spans="7:7" ht="15.6">
      <c r="G20" s="340"/>
    </row>
    <row r="21" spans="7:7" ht="15.6">
      <c r="G21" s="340"/>
    </row>
    <row r="22" spans="7:7" ht="15.6">
      <c r="G22" s="340"/>
    </row>
    <row r="23" spans="7:7" ht="15.6">
      <c r="G23" s="340"/>
    </row>
    <row r="24" spans="7:7" ht="15.6">
      <c r="G24" s="340"/>
    </row>
    <row r="25" spans="7:7" ht="15.6">
      <c r="G25" s="340"/>
    </row>
    <row r="26" spans="7:7" ht="15.6">
      <c r="G26" s="340"/>
    </row>
    <row r="27" spans="7:7" ht="18.899999999999999" customHeight="1">
      <c r="G27" s="340"/>
    </row>
    <row r="28" spans="7:7" ht="15.6">
      <c r="G28" s="340"/>
    </row>
    <row r="29" spans="7:7" ht="15.6">
      <c r="G29" s="340"/>
    </row>
    <row r="30" spans="7:7" ht="15.6">
      <c r="G30" s="340"/>
    </row>
    <row r="31" spans="7:7" ht="15.6">
      <c r="G31" s="340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C45" sqref="C45"/>
    </sheetView>
  </sheetViews>
  <sheetFormatPr defaultColWidth="9.109375" defaultRowHeight="13.2"/>
  <cols>
    <col min="1" max="1" width="9.5546875" style="394" customWidth="1"/>
    <col min="2" max="11" width="7.6640625" style="394" customWidth="1"/>
    <col min="12" max="16384" width="9.109375" style="394"/>
  </cols>
  <sheetData>
    <row r="1" spans="1:12" ht="20.399999999999999">
      <c r="A1" s="687" t="s">
        <v>583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396"/>
    </row>
    <row r="2" spans="1:12" ht="30" customHeight="1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</row>
    <row r="3" spans="1:12" ht="18">
      <c r="A3" s="406" t="s">
        <v>423</v>
      </c>
      <c r="B3" s="407" t="s">
        <v>462</v>
      </c>
      <c r="C3" s="396"/>
      <c r="D3" s="396"/>
      <c r="E3" s="396"/>
      <c r="F3" s="396"/>
      <c r="G3" s="396"/>
      <c r="H3" s="396"/>
      <c r="I3" s="396"/>
      <c r="J3" s="396"/>
      <c r="K3" s="396"/>
      <c r="L3" s="396"/>
    </row>
    <row r="4" spans="1:12" ht="12" customHeight="1">
      <c r="A4" s="396"/>
      <c r="B4" s="396"/>
      <c r="C4" s="396"/>
      <c r="D4" s="396"/>
      <c r="E4" s="396"/>
      <c r="F4" s="396"/>
      <c r="G4" s="396"/>
      <c r="H4" s="396"/>
      <c r="I4" s="396"/>
      <c r="J4" s="396"/>
      <c r="K4" s="396"/>
      <c r="L4" s="396"/>
    </row>
    <row r="5" spans="1:12" ht="18">
      <c r="A5" s="408" t="s">
        <v>584</v>
      </c>
      <c r="B5" s="409"/>
      <c r="C5" s="409"/>
      <c r="D5" s="409"/>
      <c r="E5" s="409"/>
      <c r="F5" s="396"/>
      <c r="G5" s="396"/>
      <c r="H5" s="396"/>
      <c r="I5" s="396"/>
      <c r="J5" s="396"/>
      <c r="K5" s="396"/>
      <c r="L5" s="396"/>
    </row>
    <row r="6" spans="1:12" ht="17.25" customHeight="1">
      <c r="A6" s="396"/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</row>
    <row r="7" spans="1:12" ht="15.6">
      <c r="A7" s="396"/>
      <c r="B7" s="410" t="s">
        <v>585</v>
      </c>
      <c r="C7" s="411">
        <v>0</v>
      </c>
      <c r="D7" s="410" t="s">
        <v>585</v>
      </c>
      <c r="E7" s="412" t="s">
        <v>586</v>
      </c>
      <c r="F7" s="410" t="s">
        <v>585</v>
      </c>
      <c r="G7" s="412" t="s">
        <v>587</v>
      </c>
      <c r="H7" s="410" t="s">
        <v>588</v>
      </c>
      <c r="I7" s="412">
        <v>0</v>
      </c>
      <c r="J7" s="410" t="s">
        <v>588</v>
      </c>
      <c r="K7" s="412">
        <v>5.0000000000000001E-3</v>
      </c>
      <c r="L7" s="396"/>
    </row>
    <row r="8" spans="1:12" ht="15.6">
      <c r="A8" s="399" t="s">
        <v>589</v>
      </c>
      <c r="B8" s="688">
        <v>6</v>
      </c>
      <c r="C8" s="688"/>
      <c r="D8" s="688">
        <v>12</v>
      </c>
      <c r="E8" s="688"/>
      <c r="F8" s="688">
        <v>0</v>
      </c>
      <c r="G8" s="688"/>
      <c r="H8" s="688" t="s">
        <v>604</v>
      </c>
      <c r="I8" s="688"/>
      <c r="J8" s="688" t="s">
        <v>605</v>
      </c>
      <c r="K8" s="688"/>
      <c r="L8" s="396"/>
    </row>
    <row r="9" spans="1:12" ht="15.6">
      <c r="A9" s="399" t="s">
        <v>590</v>
      </c>
      <c r="B9" s="688">
        <v>10</v>
      </c>
      <c r="C9" s="688"/>
      <c r="D9" s="688">
        <v>16</v>
      </c>
      <c r="E9" s="688"/>
      <c r="F9" s="688">
        <v>4</v>
      </c>
      <c r="G9" s="688"/>
      <c r="H9" s="688" t="s">
        <v>606</v>
      </c>
      <c r="I9" s="688"/>
      <c r="J9" s="688" t="s">
        <v>607</v>
      </c>
      <c r="K9" s="688"/>
      <c r="L9" s="396"/>
    </row>
    <row r="10" spans="1:12" ht="15.6">
      <c r="A10" s="399" t="s">
        <v>591</v>
      </c>
      <c r="B10" s="688">
        <v>8</v>
      </c>
      <c r="C10" s="688"/>
      <c r="D10" s="688">
        <v>14</v>
      </c>
      <c r="E10" s="688"/>
      <c r="F10" s="688">
        <v>2</v>
      </c>
      <c r="G10" s="688"/>
      <c r="H10" s="688" t="s">
        <v>608</v>
      </c>
      <c r="I10" s="688"/>
      <c r="J10" s="688" t="s">
        <v>609</v>
      </c>
      <c r="K10" s="688"/>
      <c r="L10" s="396"/>
    </row>
    <row r="11" spans="1:12" ht="26.25" customHeight="1">
      <c r="A11" s="396"/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</row>
    <row r="12" spans="1:12" ht="18">
      <c r="A12" s="408" t="s">
        <v>592</v>
      </c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</row>
    <row r="13" spans="1:12" ht="15.6">
      <c r="A13" s="396"/>
      <c r="B13" s="396"/>
      <c r="C13" s="396"/>
      <c r="D13" s="396"/>
      <c r="E13" s="396"/>
      <c r="F13" s="396"/>
      <c r="G13" s="396"/>
      <c r="H13" s="396"/>
      <c r="I13" s="396"/>
      <c r="J13" s="396"/>
      <c r="K13" s="396"/>
      <c r="L13" s="396"/>
    </row>
    <row r="14" spans="1:12" ht="15.6">
      <c r="A14" s="396"/>
      <c r="B14" s="689" t="s">
        <v>593</v>
      </c>
      <c r="C14" s="690"/>
      <c r="D14" s="691" t="s">
        <v>610</v>
      </c>
      <c r="E14" s="688"/>
      <c r="F14" s="689" t="s">
        <v>594</v>
      </c>
      <c r="G14" s="690"/>
      <c r="H14" s="691" t="s">
        <v>615</v>
      </c>
      <c r="I14" s="688"/>
      <c r="J14" s="396"/>
      <c r="K14" s="396"/>
      <c r="L14" s="396"/>
    </row>
    <row r="15" spans="1:12" ht="15.6">
      <c r="A15" s="396"/>
      <c r="B15" s="689" t="s">
        <v>595</v>
      </c>
      <c r="C15" s="690"/>
      <c r="D15" s="691" t="s">
        <v>611</v>
      </c>
      <c r="E15" s="688"/>
      <c r="F15" s="689" t="s">
        <v>596</v>
      </c>
      <c r="G15" s="690"/>
      <c r="H15" s="691" t="s">
        <v>616</v>
      </c>
      <c r="I15" s="688"/>
      <c r="J15" s="396"/>
      <c r="K15" s="396"/>
      <c r="L15" s="396"/>
    </row>
    <row r="16" spans="1:12" ht="15.6">
      <c r="A16" s="396"/>
      <c r="B16" s="689" t="s">
        <v>597</v>
      </c>
      <c r="C16" s="690"/>
      <c r="D16" s="691" t="s">
        <v>612</v>
      </c>
      <c r="E16" s="688"/>
      <c r="F16" s="689" t="s">
        <v>598</v>
      </c>
      <c r="G16" s="690"/>
      <c r="H16" s="691" t="s">
        <v>617</v>
      </c>
      <c r="I16" s="688"/>
      <c r="J16" s="396"/>
      <c r="K16" s="396"/>
      <c r="L16" s="396"/>
    </row>
    <row r="17" spans="1:12" ht="15.6">
      <c r="A17" s="396"/>
      <c r="B17" s="689" t="s">
        <v>599</v>
      </c>
      <c r="C17" s="690"/>
      <c r="D17" s="691" t="s">
        <v>613</v>
      </c>
      <c r="E17" s="688"/>
      <c r="F17" s="689" t="s">
        <v>600</v>
      </c>
      <c r="G17" s="690"/>
      <c r="H17" s="691" t="s">
        <v>618</v>
      </c>
      <c r="I17" s="688"/>
      <c r="J17" s="396"/>
      <c r="K17" s="396"/>
      <c r="L17" s="396"/>
    </row>
    <row r="18" spans="1:12" ht="15.6">
      <c r="A18" s="396"/>
      <c r="B18" s="689" t="s">
        <v>601</v>
      </c>
      <c r="C18" s="690"/>
      <c r="D18" s="691" t="s">
        <v>614</v>
      </c>
      <c r="E18" s="688"/>
      <c r="F18" s="689" t="s">
        <v>602</v>
      </c>
      <c r="G18" s="690"/>
      <c r="H18" s="691" t="s">
        <v>619</v>
      </c>
      <c r="I18" s="688"/>
      <c r="J18" s="396"/>
      <c r="K18" s="396"/>
      <c r="L18" s="396"/>
    </row>
    <row r="19" spans="1:12" ht="27" customHeight="1">
      <c r="A19" s="396"/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</row>
    <row r="20" spans="1:12" ht="18">
      <c r="A20" s="408" t="s">
        <v>603</v>
      </c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</row>
    <row r="21" spans="1:12" ht="15.6">
      <c r="A21" s="396"/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</row>
    <row r="22" spans="1:12" ht="18">
      <c r="A22" s="396"/>
      <c r="B22" s="408" t="s">
        <v>620</v>
      </c>
      <c r="C22" s="396"/>
      <c r="D22" s="396"/>
      <c r="E22" s="396"/>
      <c r="F22" s="396"/>
      <c r="G22" s="396"/>
      <c r="H22" s="396"/>
      <c r="I22" s="396"/>
      <c r="J22" s="396"/>
      <c r="K22" s="396"/>
      <c r="L22" s="396"/>
    </row>
    <row r="23" spans="1:12" ht="15.6">
      <c r="A23" s="396"/>
      <c r="B23" s="396"/>
      <c r="C23" s="396"/>
      <c r="D23" s="396"/>
      <c r="E23" s="396"/>
      <c r="F23" s="396"/>
      <c r="G23" s="396"/>
      <c r="H23" s="396"/>
      <c r="I23" s="396"/>
      <c r="J23" s="396"/>
      <c r="K23" s="396"/>
      <c r="L23" s="396"/>
    </row>
    <row r="24" spans="1:12" ht="15.6">
      <c r="A24" s="396"/>
      <c r="B24" s="396"/>
      <c r="C24" s="396"/>
      <c r="D24" s="396"/>
      <c r="E24" s="396"/>
      <c r="F24" s="396"/>
      <c r="G24" s="396"/>
      <c r="H24" s="396"/>
      <c r="I24" s="396"/>
      <c r="J24" s="396"/>
      <c r="K24" s="396"/>
      <c r="L24" s="396"/>
    </row>
    <row r="25" spans="1:12" ht="15.6">
      <c r="A25" s="396"/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</row>
    <row r="26" spans="1:12" ht="15.6">
      <c r="A26" s="396"/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</row>
    <row r="27" spans="1:12" ht="15.6">
      <c r="A27" s="396"/>
      <c r="B27" s="396"/>
      <c r="C27" s="396"/>
      <c r="D27" s="396"/>
      <c r="E27" s="396"/>
      <c r="F27" s="396"/>
      <c r="G27" s="396"/>
      <c r="H27" s="396"/>
      <c r="I27" s="396"/>
      <c r="J27" s="396"/>
      <c r="K27" s="396"/>
      <c r="L27" s="396"/>
    </row>
    <row r="28" spans="1:12" ht="15.6">
      <c r="A28" s="396"/>
      <c r="B28" s="396"/>
      <c r="C28" s="396"/>
      <c r="D28" s="396"/>
      <c r="E28" s="396"/>
      <c r="F28" s="396"/>
      <c r="G28" s="396"/>
      <c r="H28" s="396"/>
      <c r="I28" s="396"/>
      <c r="J28" s="396"/>
      <c r="K28" s="396"/>
      <c r="L28" s="396"/>
    </row>
    <row r="29" spans="1:12" ht="15.6">
      <c r="A29" s="396"/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</row>
    <row r="30" spans="1:12" ht="15.6">
      <c r="A30" s="396"/>
      <c r="B30" s="396"/>
      <c r="C30" s="396"/>
      <c r="D30" s="396"/>
      <c r="E30" s="396"/>
      <c r="F30" s="396"/>
      <c r="G30" s="396"/>
      <c r="H30" s="396"/>
      <c r="I30" s="396"/>
      <c r="J30" s="396"/>
      <c r="K30" s="396"/>
      <c r="L30" s="396"/>
    </row>
    <row r="31" spans="1:12" ht="15.6">
      <c r="A31" s="396"/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</row>
    <row r="32" spans="1:12" ht="15.6">
      <c r="A32" s="396"/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</row>
    <row r="33" spans="1:12" ht="15.6">
      <c r="A33" s="396"/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94" customWidth="1"/>
    <col min="2" max="7" width="10.6640625" style="394" customWidth="1"/>
    <col min="8" max="16384" width="9.109375" style="394"/>
  </cols>
  <sheetData>
    <row r="1" spans="1:12" ht="21" customHeight="1">
      <c r="A1" s="393" t="s">
        <v>423</v>
      </c>
      <c r="B1" s="692" t="s">
        <v>462</v>
      </c>
      <c r="C1" s="692"/>
      <c r="D1" s="692"/>
      <c r="E1" s="692"/>
      <c r="F1" s="692"/>
      <c r="G1" s="692"/>
    </row>
    <row r="2" spans="1:12" ht="15" customHeight="1"/>
    <row r="3" spans="1:12" ht="20.399999999999999">
      <c r="A3" s="395" t="s">
        <v>424</v>
      </c>
    </row>
    <row r="4" spans="1:12" ht="12" customHeight="1">
      <c r="A4" s="396"/>
      <c r="B4" s="396"/>
      <c r="C4" s="396"/>
      <c r="D4" s="396" t="s">
        <v>476</v>
      </c>
      <c r="E4" s="396"/>
      <c r="F4" s="396"/>
      <c r="G4" s="396"/>
      <c r="H4" s="396"/>
      <c r="I4" s="396"/>
      <c r="J4" s="396"/>
      <c r="K4" s="396"/>
      <c r="L4" s="396"/>
    </row>
    <row r="5" spans="1:12" ht="15.6" customHeight="1">
      <c r="A5" s="397" t="s">
        <v>5</v>
      </c>
      <c r="B5" s="397" t="s">
        <v>425</v>
      </c>
      <c r="C5" s="397" t="s">
        <v>426</v>
      </c>
      <c r="D5" s="397" t="s">
        <v>427</v>
      </c>
      <c r="E5" s="397" t="s">
        <v>428</v>
      </c>
      <c r="F5" s="397" t="s">
        <v>429</v>
      </c>
      <c r="G5" s="397" t="s">
        <v>430</v>
      </c>
      <c r="H5" s="396"/>
      <c r="I5" s="396"/>
      <c r="J5" s="396"/>
      <c r="K5" s="396"/>
      <c r="L5" s="396"/>
    </row>
    <row r="6" spans="1:12" ht="15.6" customHeight="1">
      <c r="A6" s="398" t="s">
        <v>431</v>
      </c>
      <c r="B6" s="398" t="s">
        <v>165</v>
      </c>
      <c r="C6" s="398" t="s">
        <v>165</v>
      </c>
      <c r="D6" s="398" t="s">
        <v>432</v>
      </c>
      <c r="E6" s="398" t="s">
        <v>135</v>
      </c>
      <c r="F6" s="398" t="s">
        <v>433</v>
      </c>
      <c r="G6" s="398" t="s">
        <v>433</v>
      </c>
      <c r="H6" s="396"/>
      <c r="I6" s="396"/>
      <c r="J6" s="396"/>
      <c r="K6" s="396"/>
      <c r="L6" s="396"/>
    </row>
    <row r="7" spans="1:12" ht="15.9" customHeight="1">
      <c r="A7" s="399" t="s">
        <v>463</v>
      </c>
      <c r="B7" s="399" t="s">
        <v>477</v>
      </c>
      <c r="C7" s="399" t="s">
        <v>486</v>
      </c>
      <c r="D7" s="399" t="s">
        <v>498</v>
      </c>
      <c r="E7" s="399" t="s">
        <v>510</v>
      </c>
      <c r="F7" s="399" t="s">
        <v>523</v>
      </c>
      <c r="G7" s="399" t="s">
        <v>536</v>
      </c>
      <c r="H7" s="396"/>
      <c r="I7" s="396"/>
      <c r="J7" s="396"/>
      <c r="K7" s="396"/>
      <c r="L7" s="396"/>
    </row>
    <row r="8" spans="1:12" ht="15.9" customHeight="1">
      <c r="A8" s="399" t="s">
        <v>464</v>
      </c>
      <c r="B8" s="399" t="s">
        <v>477</v>
      </c>
      <c r="C8" s="399" t="s">
        <v>487</v>
      </c>
      <c r="D8" s="399" t="s">
        <v>499</v>
      </c>
      <c r="E8" s="399" t="s">
        <v>511</v>
      </c>
      <c r="F8" s="399" t="s">
        <v>524</v>
      </c>
      <c r="G8" s="399" t="s">
        <v>537</v>
      </c>
      <c r="H8" s="396"/>
      <c r="I8" s="396"/>
      <c r="J8" s="396"/>
      <c r="K8" s="396"/>
      <c r="L8" s="396"/>
    </row>
    <row r="9" spans="1:12" ht="15.9" customHeight="1">
      <c r="A9" s="399" t="s">
        <v>465</v>
      </c>
      <c r="B9" s="399" t="s">
        <v>477</v>
      </c>
      <c r="C9" s="399" t="s">
        <v>488</v>
      </c>
      <c r="D9" s="399" t="s">
        <v>500</v>
      </c>
      <c r="E9" s="399" t="s">
        <v>512</v>
      </c>
      <c r="F9" s="399" t="s">
        <v>525</v>
      </c>
      <c r="G9" s="399" t="s">
        <v>538</v>
      </c>
      <c r="H9" s="396"/>
      <c r="I9" s="396"/>
      <c r="J9" s="396"/>
      <c r="K9" s="396"/>
      <c r="L9" s="396"/>
    </row>
    <row r="10" spans="1:12" ht="15.9" customHeight="1">
      <c r="A10" s="399" t="s">
        <v>466</v>
      </c>
      <c r="B10" s="399" t="s">
        <v>477</v>
      </c>
      <c r="C10" s="399" t="s">
        <v>488</v>
      </c>
      <c r="D10" s="399" t="s">
        <v>500</v>
      </c>
      <c r="E10" s="399" t="s">
        <v>513</v>
      </c>
      <c r="F10" s="399" t="s">
        <v>526</v>
      </c>
      <c r="G10" s="399" t="s">
        <v>539</v>
      </c>
      <c r="H10" s="396"/>
      <c r="I10" s="396"/>
      <c r="J10" s="396"/>
      <c r="K10" s="396"/>
      <c r="L10" s="396"/>
    </row>
    <row r="11" spans="1:12" ht="15.9" customHeight="1">
      <c r="A11" s="399" t="s">
        <v>467</v>
      </c>
      <c r="B11" s="399" t="s">
        <v>477</v>
      </c>
      <c r="C11" s="399" t="s">
        <v>489</v>
      </c>
      <c r="D11" s="399" t="s">
        <v>501</v>
      </c>
      <c r="E11" s="399" t="s">
        <v>514</v>
      </c>
      <c r="F11" s="399" t="s">
        <v>527</v>
      </c>
      <c r="G11" s="399" t="s">
        <v>540</v>
      </c>
      <c r="H11" s="396"/>
      <c r="I11" s="396"/>
      <c r="J11" s="396"/>
      <c r="K11" s="396"/>
      <c r="L11" s="396"/>
    </row>
    <row r="12" spans="1:12" ht="15.9" customHeight="1">
      <c r="A12" s="399" t="s">
        <v>468</v>
      </c>
      <c r="B12" s="399" t="s">
        <v>478</v>
      </c>
      <c r="C12" s="399" t="s">
        <v>490</v>
      </c>
      <c r="D12" s="399" t="s">
        <v>502</v>
      </c>
      <c r="E12" s="399" t="s">
        <v>515</v>
      </c>
      <c r="F12" s="399" t="s">
        <v>528</v>
      </c>
      <c r="G12" s="399" t="s">
        <v>541</v>
      </c>
      <c r="H12" s="396"/>
      <c r="I12" s="396"/>
      <c r="J12" s="396"/>
      <c r="K12" s="396"/>
      <c r="L12" s="396"/>
    </row>
    <row r="13" spans="1:12" ht="15.9" customHeight="1">
      <c r="A13" s="399" t="s">
        <v>469</v>
      </c>
      <c r="B13" s="399" t="s">
        <v>479</v>
      </c>
      <c r="C13" s="399" t="s">
        <v>491</v>
      </c>
      <c r="D13" s="399" t="s">
        <v>503</v>
      </c>
      <c r="E13" s="399" t="s">
        <v>516</v>
      </c>
      <c r="F13" s="399" t="s">
        <v>529</v>
      </c>
      <c r="G13" s="399" t="s">
        <v>542</v>
      </c>
      <c r="H13" s="396"/>
      <c r="I13" s="396"/>
      <c r="J13" s="396"/>
      <c r="K13" s="396"/>
      <c r="L13" s="396"/>
    </row>
    <row r="14" spans="1:12" ht="15.9" customHeight="1">
      <c r="A14" s="399" t="s">
        <v>470</v>
      </c>
      <c r="B14" s="399" t="s">
        <v>480</v>
      </c>
      <c r="C14" s="399" t="s">
        <v>492</v>
      </c>
      <c r="D14" s="399" t="s">
        <v>504</v>
      </c>
      <c r="E14" s="399" t="s">
        <v>517</v>
      </c>
      <c r="F14" s="399" t="s">
        <v>530</v>
      </c>
      <c r="G14" s="399" t="s">
        <v>543</v>
      </c>
      <c r="H14" s="396"/>
      <c r="I14" s="396"/>
      <c r="J14" s="396"/>
      <c r="K14" s="396"/>
      <c r="L14" s="396"/>
    </row>
    <row r="15" spans="1:12" ht="15.9" customHeight="1">
      <c r="A15" s="399" t="s">
        <v>471</v>
      </c>
      <c r="B15" s="399" t="s">
        <v>481</v>
      </c>
      <c r="C15" s="399" t="s">
        <v>493</v>
      </c>
      <c r="D15" s="399" t="s">
        <v>505</v>
      </c>
      <c r="E15" s="399" t="s">
        <v>518</v>
      </c>
      <c r="F15" s="399" t="s">
        <v>531</v>
      </c>
      <c r="G15" s="399" t="s">
        <v>544</v>
      </c>
      <c r="H15" s="396"/>
      <c r="I15" s="396"/>
      <c r="J15" s="396"/>
      <c r="K15" s="396"/>
      <c r="L15" s="396"/>
    </row>
    <row r="16" spans="1:12" ht="15.9" customHeight="1">
      <c r="A16" s="399" t="s">
        <v>472</v>
      </c>
      <c r="B16" s="399" t="s">
        <v>482</v>
      </c>
      <c r="C16" s="399" t="s">
        <v>494</v>
      </c>
      <c r="D16" s="399" t="s">
        <v>506</v>
      </c>
      <c r="E16" s="399" t="s">
        <v>519</v>
      </c>
      <c r="F16" s="399" t="s">
        <v>532</v>
      </c>
      <c r="G16" s="399" t="s">
        <v>545</v>
      </c>
      <c r="H16" s="396"/>
      <c r="I16" s="396"/>
      <c r="J16" s="396"/>
      <c r="K16" s="396"/>
      <c r="L16" s="396"/>
    </row>
    <row r="17" spans="1:12" ht="15.9" customHeight="1">
      <c r="A17" s="399" t="s">
        <v>473</v>
      </c>
      <c r="B17" s="399" t="s">
        <v>483</v>
      </c>
      <c r="C17" s="399" t="s">
        <v>495</v>
      </c>
      <c r="D17" s="399" t="s">
        <v>507</v>
      </c>
      <c r="E17" s="399" t="s">
        <v>520</v>
      </c>
      <c r="F17" s="399" t="s">
        <v>533</v>
      </c>
      <c r="G17" s="399" t="s">
        <v>546</v>
      </c>
      <c r="H17" s="396"/>
      <c r="I17" s="396"/>
      <c r="J17" s="396"/>
      <c r="K17" s="396"/>
      <c r="L17" s="396"/>
    </row>
    <row r="18" spans="1:12" ht="15.9" customHeight="1">
      <c r="A18" s="399" t="s">
        <v>474</v>
      </c>
      <c r="B18" s="399" t="s">
        <v>484</v>
      </c>
      <c r="C18" s="399" t="s">
        <v>496</v>
      </c>
      <c r="D18" s="399" t="s">
        <v>508</v>
      </c>
      <c r="E18" s="399" t="s">
        <v>521</v>
      </c>
      <c r="F18" s="399" t="s">
        <v>534</v>
      </c>
      <c r="G18" s="399" t="s">
        <v>547</v>
      </c>
      <c r="H18" s="396"/>
      <c r="I18" s="396"/>
      <c r="J18" s="396"/>
      <c r="K18" s="396"/>
      <c r="L18" s="396"/>
    </row>
    <row r="19" spans="1:12" ht="15.9" customHeight="1">
      <c r="A19" s="399" t="s">
        <v>475</v>
      </c>
      <c r="B19" s="399" t="s">
        <v>485</v>
      </c>
      <c r="C19" s="399" t="s">
        <v>497</v>
      </c>
      <c r="D19" s="399" t="s">
        <v>509</v>
      </c>
      <c r="E19" s="399" t="s">
        <v>522</v>
      </c>
      <c r="F19" s="399" t="s">
        <v>535</v>
      </c>
      <c r="G19" s="399" t="s">
        <v>548</v>
      </c>
      <c r="H19" s="396"/>
      <c r="I19" s="396"/>
      <c r="J19" s="396"/>
      <c r="K19" s="396"/>
      <c r="L19" s="396"/>
    </row>
    <row r="20" spans="1:12" ht="15.6">
      <c r="A20" s="396"/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</row>
    <row r="21" spans="1:12" ht="16.2">
      <c r="A21" s="396"/>
      <c r="B21" s="396"/>
      <c r="C21" s="396"/>
      <c r="D21" s="693" t="s">
        <v>558</v>
      </c>
      <c r="E21" s="694"/>
      <c r="F21" s="694"/>
      <c r="G21" s="695"/>
      <c r="H21" s="396"/>
      <c r="I21" s="396"/>
      <c r="J21" s="396"/>
      <c r="K21" s="396"/>
      <c r="L21" s="396"/>
    </row>
    <row r="22" spans="1:12" ht="17.25" customHeight="1">
      <c r="A22" s="396"/>
      <c r="B22" s="696" t="s">
        <v>434</v>
      </c>
      <c r="C22" s="696"/>
      <c r="D22" s="696" t="s">
        <v>435</v>
      </c>
      <c r="E22" s="696"/>
      <c r="F22" s="696" t="s">
        <v>436</v>
      </c>
      <c r="G22" s="696"/>
      <c r="H22" s="396"/>
      <c r="I22" s="396"/>
      <c r="J22" s="396"/>
      <c r="K22" s="396"/>
      <c r="L22" s="396"/>
    </row>
    <row r="23" spans="1:12" ht="15.6">
      <c r="A23" s="400" t="s">
        <v>437</v>
      </c>
      <c r="B23" s="688" t="s">
        <v>549</v>
      </c>
      <c r="C23" s="688"/>
      <c r="D23" s="688" t="s">
        <v>552</v>
      </c>
      <c r="E23" s="688"/>
      <c r="F23" s="688" t="s">
        <v>555</v>
      </c>
      <c r="G23" s="688"/>
      <c r="H23" s="396"/>
      <c r="I23" s="396"/>
      <c r="J23" s="396"/>
      <c r="K23" s="396"/>
      <c r="L23" s="396"/>
    </row>
    <row r="24" spans="1:12" ht="18" customHeight="1">
      <c r="A24" s="400" t="s">
        <v>438</v>
      </c>
      <c r="B24" s="688" t="s">
        <v>550</v>
      </c>
      <c r="C24" s="688"/>
      <c r="D24" s="688" t="s">
        <v>553</v>
      </c>
      <c r="E24" s="688"/>
      <c r="F24" s="688" t="s">
        <v>556</v>
      </c>
      <c r="G24" s="688"/>
      <c r="H24" s="396"/>
      <c r="I24" s="396"/>
      <c r="J24" s="396"/>
      <c r="K24" s="396"/>
      <c r="L24" s="396"/>
    </row>
    <row r="25" spans="1:12" ht="15.6">
      <c r="A25" s="400" t="s">
        <v>439</v>
      </c>
      <c r="B25" s="688" t="s">
        <v>551</v>
      </c>
      <c r="C25" s="688"/>
      <c r="D25" s="688" t="s">
        <v>554</v>
      </c>
      <c r="E25" s="688"/>
      <c r="F25" s="688" t="s">
        <v>557</v>
      </c>
      <c r="G25" s="688"/>
      <c r="H25" s="396"/>
      <c r="I25" s="396"/>
      <c r="J25" s="396"/>
      <c r="K25" s="396"/>
      <c r="L25" s="396"/>
    </row>
    <row r="26" spans="1:12" ht="15.6">
      <c r="A26" s="396"/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</row>
    <row r="27" spans="1:12" ht="20.399999999999999">
      <c r="A27" s="395" t="s">
        <v>440</v>
      </c>
      <c r="B27" s="396"/>
      <c r="C27" s="396"/>
      <c r="D27" s="396"/>
      <c r="E27" s="396"/>
      <c r="F27" s="396"/>
      <c r="G27" s="396"/>
      <c r="H27" s="396"/>
      <c r="I27" s="396"/>
      <c r="J27" s="396"/>
      <c r="K27" s="396"/>
      <c r="L27" s="396"/>
    </row>
    <row r="28" spans="1:12" ht="15.6">
      <c r="A28" s="396"/>
      <c r="B28" s="396"/>
      <c r="C28" s="396"/>
      <c r="D28" s="396"/>
      <c r="E28" s="697" t="s">
        <v>441</v>
      </c>
      <c r="F28" s="694"/>
      <c r="G28" s="695"/>
      <c r="H28" s="396"/>
      <c r="I28" s="396"/>
      <c r="J28" s="396"/>
      <c r="K28" s="396"/>
      <c r="L28" s="396"/>
    </row>
    <row r="29" spans="1:12" ht="15.6">
      <c r="A29" s="396"/>
      <c r="B29" s="696" t="s">
        <v>442</v>
      </c>
      <c r="C29" s="696"/>
      <c r="D29" s="401" t="s">
        <v>443</v>
      </c>
      <c r="E29" s="401" t="s">
        <v>444</v>
      </c>
      <c r="F29" s="696" t="s">
        <v>445</v>
      </c>
      <c r="G29" s="696"/>
      <c r="H29" s="396"/>
      <c r="I29" s="396"/>
      <c r="J29" s="396"/>
      <c r="K29" s="396"/>
      <c r="L29" s="396"/>
    </row>
    <row r="30" spans="1:12" ht="15.6">
      <c r="A30" s="400" t="s">
        <v>446</v>
      </c>
      <c r="B30" s="688" t="s">
        <v>559</v>
      </c>
      <c r="C30" s="688"/>
      <c r="D30" s="399" t="s">
        <v>562</v>
      </c>
      <c r="E30" s="399" t="s">
        <v>447</v>
      </c>
      <c r="F30" s="688" t="s">
        <v>565</v>
      </c>
      <c r="G30" s="688"/>
      <c r="H30" s="396"/>
      <c r="I30" s="396"/>
      <c r="J30" s="396"/>
      <c r="K30" s="396"/>
      <c r="L30" s="396"/>
    </row>
    <row r="31" spans="1:12" ht="15.6">
      <c r="A31" s="400" t="s">
        <v>448</v>
      </c>
      <c r="B31" s="688" t="s">
        <v>560</v>
      </c>
      <c r="C31" s="688"/>
      <c r="D31" s="399" t="s">
        <v>563</v>
      </c>
      <c r="E31" s="399" t="s">
        <v>449</v>
      </c>
      <c r="F31" s="688" t="s">
        <v>566</v>
      </c>
      <c r="G31" s="688"/>
      <c r="H31" s="396"/>
      <c r="I31" s="396"/>
      <c r="J31" s="396"/>
      <c r="K31" s="396"/>
      <c r="L31" s="396"/>
    </row>
    <row r="32" spans="1:12" ht="15.6">
      <c r="A32" s="400" t="s">
        <v>450</v>
      </c>
      <c r="B32" s="688" t="s">
        <v>561</v>
      </c>
      <c r="C32" s="688"/>
      <c r="D32" s="399" t="s">
        <v>564</v>
      </c>
      <c r="E32" s="399" t="s">
        <v>451</v>
      </c>
      <c r="F32" s="688" t="s">
        <v>567</v>
      </c>
      <c r="G32" s="688"/>
      <c r="H32" s="396"/>
      <c r="I32" s="396"/>
      <c r="J32" s="396"/>
      <c r="K32" s="396"/>
      <c r="L32" s="396"/>
    </row>
    <row r="33" spans="1:12" ht="15.6">
      <c r="A33" s="396"/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</row>
    <row r="34" spans="1:12" ht="15.6">
      <c r="A34" s="396"/>
      <c r="B34" s="396"/>
      <c r="C34" s="396"/>
      <c r="D34" s="396"/>
      <c r="E34" s="697" t="s">
        <v>452</v>
      </c>
      <c r="F34" s="694"/>
      <c r="G34" s="695"/>
      <c r="H34" s="396"/>
      <c r="I34" s="396"/>
      <c r="J34" s="396"/>
      <c r="K34" s="396"/>
      <c r="L34" s="396"/>
    </row>
    <row r="35" spans="1:12" ht="15.6">
      <c r="A35" s="396"/>
      <c r="B35" s="696" t="s">
        <v>453</v>
      </c>
      <c r="C35" s="696"/>
      <c r="D35" s="401" t="s">
        <v>444</v>
      </c>
      <c r="E35" s="401" t="s">
        <v>454</v>
      </c>
      <c r="F35" s="401" t="s">
        <v>100</v>
      </c>
      <c r="G35" s="401" t="s">
        <v>455</v>
      </c>
      <c r="H35" s="396"/>
      <c r="I35" s="396"/>
      <c r="J35" s="396"/>
      <c r="K35" s="396"/>
      <c r="L35" s="396"/>
    </row>
    <row r="36" spans="1:12" ht="15.6">
      <c r="A36" s="400" t="s">
        <v>446</v>
      </c>
      <c r="B36" s="690" t="s">
        <v>568</v>
      </c>
      <c r="C36" s="698"/>
      <c r="D36" s="402" t="s">
        <v>570</v>
      </c>
      <c r="E36" s="402" t="s">
        <v>456</v>
      </c>
      <c r="F36" s="403" t="s">
        <v>457</v>
      </c>
      <c r="G36" s="399" t="s">
        <v>573</v>
      </c>
      <c r="H36" s="396"/>
      <c r="I36" s="396"/>
      <c r="J36" s="396"/>
      <c r="K36" s="396"/>
      <c r="L36" s="396"/>
    </row>
    <row r="37" spans="1:12" ht="15.6">
      <c r="A37" s="400" t="s">
        <v>448</v>
      </c>
      <c r="B37" s="690" t="s">
        <v>569</v>
      </c>
      <c r="C37" s="698"/>
      <c r="D37" s="402" t="s">
        <v>571</v>
      </c>
      <c r="E37" s="402" t="s">
        <v>456</v>
      </c>
      <c r="F37" s="403" t="s">
        <v>458</v>
      </c>
      <c r="G37" s="404" t="s">
        <v>574</v>
      </c>
      <c r="H37" s="396"/>
      <c r="I37" s="396"/>
      <c r="J37" s="396"/>
      <c r="K37" s="396"/>
      <c r="L37" s="396"/>
    </row>
    <row r="38" spans="1:12" ht="15.6">
      <c r="A38" s="400" t="s">
        <v>450</v>
      </c>
      <c r="B38" s="690" t="s">
        <v>569</v>
      </c>
      <c r="C38" s="698"/>
      <c r="D38" s="402" t="s">
        <v>572</v>
      </c>
      <c r="E38" s="402" t="s">
        <v>456</v>
      </c>
      <c r="F38" s="403" t="s">
        <v>459</v>
      </c>
      <c r="G38" s="399" t="s">
        <v>575</v>
      </c>
      <c r="H38" s="396"/>
      <c r="I38" s="396"/>
      <c r="J38" s="396"/>
      <c r="K38" s="396"/>
      <c r="L38" s="396"/>
    </row>
    <row r="39" spans="1:12" ht="15.6">
      <c r="A39" s="396"/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</row>
    <row r="40" spans="1:12" ht="15.6">
      <c r="A40" s="405" t="s">
        <v>460</v>
      </c>
      <c r="B40" s="699" t="s">
        <v>576</v>
      </c>
      <c r="C40" s="699"/>
      <c r="D40" s="700" t="s">
        <v>461</v>
      </c>
      <c r="E40" s="700"/>
      <c r="F40" s="699" t="s">
        <v>577</v>
      </c>
      <c r="G40" s="699"/>
      <c r="H40" s="396"/>
      <c r="I40" s="396"/>
      <c r="J40" s="396"/>
      <c r="K40" s="396"/>
      <c r="L40" s="396"/>
    </row>
    <row r="41" spans="1:12" ht="15.6">
      <c r="A41" s="396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</row>
    <row r="42" spans="1:12" ht="15.6">
      <c r="A42" s="396"/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</row>
    <row r="43" spans="1:12" ht="15.6">
      <c r="A43" s="396"/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</row>
    <row r="44" spans="1:12" ht="15.6">
      <c r="A44" s="396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</row>
    <row r="45" spans="1:12" ht="15.6">
      <c r="A45" s="396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</row>
    <row r="46" spans="1:12" ht="15.6">
      <c r="A46" s="396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</row>
    <row r="47" spans="1:12" ht="15.6">
      <c r="A47" s="396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</row>
    <row r="48" spans="1:12" ht="15.6">
      <c r="A48" s="396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</row>
    <row r="49" spans="1:12" ht="15.6">
      <c r="A49" s="396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</row>
    <row r="50" spans="1:12" ht="15.6">
      <c r="A50" s="396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</row>
    <row r="51" spans="1:12" ht="15.6">
      <c r="A51" s="396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</row>
    <row r="52" spans="1:12" ht="15.6">
      <c r="A52" s="396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</row>
    <row r="53" spans="1:12" ht="15.6">
      <c r="A53" s="396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</row>
    <row r="54" spans="1:12" ht="15.6">
      <c r="A54" s="396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</row>
    <row r="55" spans="1:12" ht="15.6">
      <c r="A55" s="396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</row>
    <row r="56" spans="1:12" ht="15.6">
      <c r="A56" s="396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</row>
    <row r="57" spans="1:12" ht="15.6">
      <c r="A57" s="396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</row>
    <row r="58" spans="1:12" ht="15.6">
      <c r="A58" s="396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</row>
    <row r="59" spans="1:12" ht="15.6">
      <c r="A59" s="396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</row>
    <row r="60" spans="1:12" ht="15.6">
      <c r="A60" s="396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</row>
    <row r="61" spans="1:12" ht="15.6">
      <c r="A61" s="396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zoomScaleNormal="100" workbookViewId="0">
      <selection activeCell="D23" sqref="D23"/>
    </sheetView>
  </sheetViews>
  <sheetFormatPr defaultColWidth="12" defaultRowHeight="15.6"/>
  <cols>
    <col min="1" max="13" width="6.6640625" style="420" customWidth="1"/>
    <col min="14" max="14" width="6.77734375" style="420" customWidth="1"/>
    <col min="15" max="256" width="12" style="420"/>
    <col min="257" max="269" width="6.6640625" style="420" customWidth="1"/>
    <col min="270" max="270" width="6.77734375" style="420" customWidth="1"/>
    <col min="271" max="512" width="12" style="420"/>
    <col min="513" max="525" width="6.6640625" style="420" customWidth="1"/>
    <col min="526" max="526" width="6.77734375" style="420" customWidth="1"/>
    <col min="527" max="768" width="12" style="420"/>
    <col min="769" max="781" width="6.6640625" style="420" customWidth="1"/>
    <col min="782" max="782" width="6.77734375" style="420" customWidth="1"/>
    <col min="783" max="1024" width="12" style="420"/>
    <col min="1025" max="1037" width="6.6640625" style="420" customWidth="1"/>
    <col min="1038" max="1038" width="6.77734375" style="420" customWidth="1"/>
    <col min="1039" max="1280" width="12" style="420"/>
    <col min="1281" max="1293" width="6.6640625" style="420" customWidth="1"/>
    <col min="1294" max="1294" width="6.77734375" style="420" customWidth="1"/>
    <col min="1295" max="1536" width="12" style="420"/>
    <col min="1537" max="1549" width="6.6640625" style="420" customWidth="1"/>
    <col min="1550" max="1550" width="6.77734375" style="420" customWidth="1"/>
    <col min="1551" max="1792" width="12" style="420"/>
    <col min="1793" max="1805" width="6.6640625" style="420" customWidth="1"/>
    <col min="1806" max="1806" width="6.77734375" style="420" customWidth="1"/>
    <col min="1807" max="2048" width="12" style="420"/>
    <col min="2049" max="2061" width="6.6640625" style="420" customWidth="1"/>
    <col min="2062" max="2062" width="6.77734375" style="420" customWidth="1"/>
    <col min="2063" max="2304" width="12" style="420"/>
    <col min="2305" max="2317" width="6.6640625" style="420" customWidth="1"/>
    <col min="2318" max="2318" width="6.77734375" style="420" customWidth="1"/>
    <col min="2319" max="2560" width="12" style="420"/>
    <col min="2561" max="2573" width="6.6640625" style="420" customWidth="1"/>
    <col min="2574" max="2574" width="6.77734375" style="420" customWidth="1"/>
    <col min="2575" max="2816" width="12" style="420"/>
    <col min="2817" max="2829" width="6.6640625" style="420" customWidth="1"/>
    <col min="2830" max="2830" width="6.77734375" style="420" customWidth="1"/>
    <col min="2831" max="3072" width="12" style="420"/>
    <col min="3073" max="3085" width="6.6640625" style="420" customWidth="1"/>
    <col min="3086" max="3086" width="6.77734375" style="420" customWidth="1"/>
    <col min="3087" max="3328" width="12" style="420"/>
    <col min="3329" max="3341" width="6.6640625" style="420" customWidth="1"/>
    <col min="3342" max="3342" width="6.77734375" style="420" customWidth="1"/>
    <col min="3343" max="3584" width="12" style="420"/>
    <col min="3585" max="3597" width="6.6640625" style="420" customWidth="1"/>
    <col min="3598" max="3598" width="6.77734375" style="420" customWidth="1"/>
    <col min="3599" max="3840" width="12" style="420"/>
    <col min="3841" max="3853" width="6.6640625" style="420" customWidth="1"/>
    <col min="3854" max="3854" width="6.77734375" style="420" customWidth="1"/>
    <col min="3855" max="4096" width="12" style="420"/>
    <col min="4097" max="4109" width="6.6640625" style="420" customWidth="1"/>
    <col min="4110" max="4110" width="6.77734375" style="420" customWidth="1"/>
    <col min="4111" max="4352" width="12" style="420"/>
    <col min="4353" max="4365" width="6.6640625" style="420" customWidth="1"/>
    <col min="4366" max="4366" width="6.77734375" style="420" customWidth="1"/>
    <col min="4367" max="4608" width="12" style="420"/>
    <col min="4609" max="4621" width="6.6640625" style="420" customWidth="1"/>
    <col min="4622" max="4622" width="6.77734375" style="420" customWidth="1"/>
    <col min="4623" max="4864" width="12" style="420"/>
    <col min="4865" max="4877" width="6.6640625" style="420" customWidth="1"/>
    <col min="4878" max="4878" width="6.77734375" style="420" customWidth="1"/>
    <col min="4879" max="5120" width="12" style="420"/>
    <col min="5121" max="5133" width="6.6640625" style="420" customWidth="1"/>
    <col min="5134" max="5134" width="6.77734375" style="420" customWidth="1"/>
    <col min="5135" max="5376" width="12" style="420"/>
    <col min="5377" max="5389" width="6.6640625" style="420" customWidth="1"/>
    <col min="5390" max="5390" width="6.77734375" style="420" customWidth="1"/>
    <col min="5391" max="5632" width="12" style="420"/>
    <col min="5633" max="5645" width="6.6640625" style="420" customWidth="1"/>
    <col min="5646" max="5646" width="6.77734375" style="420" customWidth="1"/>
    <col min="5647" max="5888" width="12" style="420"/>
    <col min="5889" max="5901" width="6.6640625" style="420" customWidth="1"/>
    <col min="5902" max="5902" width="6.77734375" style="420" customWidth="1"/>
    <col min="5903" max="6144" width="12" style="420"/>
    <col min="6145" max="6157" width="6.6640625" style="420" customWidth="1"/>
    <col min="6158" max="6158" width="6.77734375" style="420" customWidth="1"/>
    <col min="6159" max="6400" width="12" style="420"/>
    <col min="6401" max="6413" width="6.6640625" style="420" customWidth="1"/>
    <col min="6414" max="6414" width="6.77734375" style="420" customWidth="1"/>
    <col min="6415" max="6656" width="12" style="420"/>
    <col min="6657" max="6669" width="6.6640625" style="420" customWidth="1"/>
    <col min="6670" max="6670" width="6.77734375" style="420" customWidth="1"/>
    <col min="6671" max="6912" width="12" style="420"/>
    <col min="6913" max="6925" width="6.6640625" style="420" customWidth="1"/>
    <col min="6926" max="6926" width="6.77734375" style="420" customWidth="1"/>
    <col min="6927" max="7168" width="12" style="420"/>
    <col min="7169" max="7181" width="6.6640625" style="420" customWidth="1"/>
    <col min="7182" max="7182" width="6.77734375" style="420" customWidth="1"/>
    <col min="7183" max="7424" width="12" style="420"/>
    <col min="7425" max="7437" width="6.6640625" style="420" customWidth="1"/>
    <col min="7438" max="7438" width="6.77734375" style="420" customWidth="1"/>
    <col min="7439" max="7680" width="12" style="420"/>
    <col min="7681" max="7693" width="6.6640625" style="420" customWidth="1"/>
    <col min="7694" max="7694" width="6.77734375" style="420" customWidth="1"/>
    <col min="7695" max="7936" width="12" style="420"/>
    <col min="7937" max="7949" width="6.6640625" style="420" customWidth="1"/>
    <col min="7950" max="7950" width="6.77734375" style="420" customWidth="1"/>
    <col min="7951" max="8192" width="12" style="420"/>
    <col min="8193" max="8205" width="6.6640625" style="420" customWidth="1"/>
    <col min="8206" max="8206" width="6.77734375" style="420" customWidth="1"/>
    <col min="8207" max="8448" width="12" style="420"/>
    <col min="8449" max="8461" width="6.6640625" style="420" customWidth="1"/>
    <col min="8462" max="8462" width="6.77734375" style="420" customWidth="1"/>
    <col min="8463" max="8704" width="12" style="420"/>
    <col min="8705" max="8717" width="6.6640625" style="420" customWidth="1"/>
    <col min="8718" max="8718" width="6.77734375" style="420" customWidth="1"/>
    <col min="8719" max="8960" width="12" style="420"/>
    <col min="8961" max="8973" width="6.6640625" style="420" customWidth="1"/>
    <col min="8974" max="8974" width="6.77734375" style="420" customWidth="1"/>
    <col min="8975" max="9216" width="12" style="420"/>
    <col min="9217" max="9229" width="6.6640625" style="420" customWidth="1"/>
    <col min="9230" max="9230" width="6.77734375" style="420" customWidth="1"/>
    <col min="9231" max="9472" width="12" style="420"/>
    <col min="9473" max="9485" width="6.6640625" style="420" customWidth="1"/>
    <col min="9486" max="9486" width="6.77734375" style="420" customWidth="1"/>
    <col min="9487" max="9728" width="12" style="420"/>
    <col min="9729" max="9741" width="6.6640625" style="420" customWidth="1"/>
    <col min="9742" max="9742" width="6.77734375" style="420" customWidth="1"/>
    <col min="9743" max="9984" width="12" style="420"/>
    <col min="9985" max="9997" width="6.6640625" style="420" customWidth="1"/>
    <col min="9998" max="9998" width="6.77734375" style="420" customWidth="1"/>
    <col min="9999" max="10240" width="12" style="420"/>
    <col min="10241" max="10253" width="6.6640625" style="420" customWidth="1"/>
    <col min="10254" max="10254" width="6.77734375" style="420" customWidth="1"/>
    <col min="10255" max="10496" width="12" style="420"/>
    <col min="10497" max="10509" width="6.6640625" style="420" customWidth="1"/>
    <col min="10510" max="10510" width="6.77734375" style="420" customWidth="1"/>
    <col min="10511" max="10752" width="12" style="420"/>
    <col min="10753" max="10765" width="6.6640625" style="420" customWidth="1"/>
    <col min="10766" max="10766" width="6.77734375" style="420" customWidth="1"/>
    <col min="10767" max="11008" width="12" style="420"/>
    <col min="11009" max="11021" width="6.6640625" style="420" customWidth="1"/>
    <col min="11022" max="11022" width="6.77734375" style="420" customWidth="1"/>
    <col min="11023" max="11264" width="12" style="420"/>
    <col min="11265" max="11277" width="6.6640625" style="420" customWidth="1"/>
    <col min="11278" max="11278" width="6.77734375" style="420" customWidth="1"/>
    <col min="11279" max="11520" width="12" style="420"/>
    <col min="11521" max="11533" width="6.6640625" style="420" customWidth="1"/>
    <col min="11534" max="11534" width="6.77734375" style="420" customWidth="1"/>
    <col min="11535" max="11776" width="12" style="420"/>
    <col min="11777" max="11789" width="6.6640625" style="420" customWidth="1"/>
    <col min="11790" max="11790" width="6.77734375" style="420" customWidth="1"/>
    <col min="11791" max="12032" width="12" style="420"/>
    <col min="12033" max="12045" width="6.6640625" style="420" customWidth="1"/>
    <col min="12046" max="12046" width="6.77734375" style="420" customWidth="1"/>
    <col min="12047" max="12288" width="12" style="420"/>
    <col min="12289" max="12301" width="6.6640625" style="420" customWidth="1"/>
    <col min="12302" max="12302" width="6.77734375" style="420" customWidth="1"/>
    <col min="12303" max="12544" width="12" style="420"/>
    <col min="12545" max="12557" width="6.6640625" style="420" customWidth="1"/>
    <col min="12558" max="12558" width="6.77734375" style="420" customWidth="1"/>
    <col min="12559" max="12800" width="12" style="420"/>
    <col min="12801" max="12813" width="6.6640625" style="420" customWidth="1"/>
    <col min="12814" max="12814" width="6.77734375" style="420" customWidth="1"/>
    <col min="12815" max="13056" width="12" style="420"/>
    <col min="13057" max="13069" width="6.6640625" style="420" customWidth="1"/>
    <col min="13070" max="13070" width="6.77734375" style="420" customWidth="1"/>
    <col min="13071" max="13312" width="12" style="420"/>
    <col min="13313" max="13325" width="6.6640625" style="420" customWidth="1"/>
    <col min="13326" max="13326" width="6.77734375" style="420" customWidth="1"/>
    <col min="13327" max="13568" width="12" style="420"/>
    <col min="13569" max="13581" width="6.6640625" style="420" customWidth="1"/>
    <col min="13582" max="13582" width="6.77734375" style="420" customWidth="1"/>
    <col min="13583" max="13824" width="12" style="420"/>
    <col min="13825" max="13837" width="6.6640625" style="420" customWidth="1"/>
    <col min="13838" max="13838" width="6.77734375" style="420" customWidth="1"/>
    <col min="13839" max="14080" width="12" style="420"/>
    <col min="14081" max="14093" width="6.6640625" style="420" customWidth="1"/>
    <col min="14094" max="14094" width="6.77734375" style="420" customWidth="1"/>
    <col min="14095" max="14336" width="12" style="420"/>
    <col min="14337" max="14349" width="6.6640625" style="420" customWidth="1"/>
    <col min="14350" max="14350" width="6.77734375" style="420" customWidth="1"/>
    <col min="14351" max="14592" width="12" style="420"/>
    <col min="14593" max="14605" width="6.6640625" style="420" customWidth="1"/>
    <col min="14606" max="14606" width="6.77734375" style="420" customWidth="1"/>
    <col min="14607" max="14848" width="12" style="420"/>
    <col min="14849" max="14861" width="6.6640625" style="420" customWidth="1"/>
    <col min="14862" max="14862" width="6.77734375" style="420" customWidth="1"/>
    <col min="14863" max="15104" width="12" style="420"/>
    <col min="15105" max="15117" width="6.6640625" style="420" customWidth="1"/>
    <col min="15118" max="15118" width="6.77734375" style="420" customWidth="1"/>
    <col min="15119" max="15360" width="12" style="420"/>
    <col min="15361" max="15373" width="6.6640625" style="420" customWidth="1"/>
    <col min="15374" max="15374" width="6.77734375" style="420" customWidth="1"/>
    <col min="15375" max="15616" width="12" style="420"/>
    <col min="15617" max="15629" width="6.6640625" style="420" customWidth="1"/>
    <col min="15630" max="15630" width="6.77734375" style="420" customWidth="1"/>
    <col min="15631" max="15872" width="12" style="420"/>
    <col min="15873" max="15885" width="6.6640625" style="420" customWidth="1"/>
    <col min="15886" max="15886" width="6.77734375" style="420" customWidth="1"/>
    <col min="15887" max="16128" width="12" style="420"/>
    <col min="16129" max="16141" width="6.6640625" style="420" customWidth="1"/>
    <col min="16142" max="16142" width="6.77734375" style="420" customWidth="1"/>
    <col min="16143" max="16384" width="12" style="420"/>
  </cols>
  <sheetData>
    <row r="1" spans="1:14" ht="17.100000000000001" customHeight="1">
      <c r="A1" s="413" t="s">
        <v>250</v>
      </c>
      <c r="B1" s="414"/>
      <c r="C1" s="414"/>
      <c r="D1" s="414"/>
      <c r="E1" s="414"/>
      <c r="F1" s="414"/>
      <c r="G1" s="414"/>
      <c r="H1" s="414"/>
      <c r="I1" s="414"/>
      <c r="J1" s="415" t="s">
        <v>630</v>
      </c>
      <c r="K1" s="416"/>
      <c r="L1" s="417" t="s">
        <v>631</v>
      </c>
      <c r="M1" s="418"/>
      <c r="N1" s="419"/>
    </row>
    <row r="2" spans="1:14" ht="17.100000000000001" customHeight="1">
      <c r="A2" s="421" t="s">
        <v>632</v>
      </c>
      <c r="B2" s="422"/>
      <c r="C2" s="422"/>
      <c r="D2" s="422"/>
      <c r="E2" s="422"/>
      <c r="F2" s="422"/>
      <c r="G2" s="422"/>
      <c r="H2" s="422"/>
      <c r="I2" s="422"/>
      <c r="J2" s="423" t="s">
        <v>633</v>
      </c>
      <c r="K2" s="424"/>
      <c r="L2" s="425" t="s">
        <v>634</v>
      </c>
      <c r="M2" s="426"/>
      <c r="N2" s="419"/>
    </row>
    <row r="3" spans="1:14" ht="15.9" customHeight="1">
      <c r="A3" s="427"/>
      <c r="B3" s="428"/>
      <c r="C3" s="428"/>
      <c r="D3" s="428"/>
      <c r="E3" s="428"/>
      <c r="F3" s="428"/>
      <c r="G3" s="428"/>
      <c r="H3" s="428"/>
      <c r="I3" s="428"/>
      <c r="J3" s="423" t="s">
        <v>635</v>
      </c>
      <c r="K3" s="424"/>
      <c r="L3" s="429" t="s">
        <v>636</v>
      </c>
      <c r="M3" s="426"/>
      <c r="N3" s="419"/>
    </row>
    <row r="4" spans="1:14" ht="15.9" customHeight="1">
      <c r="A4" s="430"/>
      <c r="B4" s="428"/>
      <c r="C4" s="428"/>
      <c r="D4" s="428"/>
      <c r="E4" s="428"/>
      <c r="F4" s="428"/>
      <c r="G4" s="428"/>
      <c r="H4" s="428"/>
      <c r="I4" s="428"/>
      <c r="J4" s="423" t="s">
        <v>637</v>
      </c>
      <c r="K4" s="424"/>
      <c r="L4" s="431" t="s">
        <v>638</v>
      </c>
      <c r="M4" s="426"/>
      <c r="N4" s="419"/>
    </row>
    <row r="5" spans="1:14" ht="15.9" customHeight="1">
      <c r="A5" s="427"/>
      <c r="B5" s="428"/>
      <c r="C5" s="428"/>
      <c r="D5" s="428"/>
      <c r="E5" s="428"/>
      <c r="F5" s="428"/>
      <c r="G5" s="428"/>
      <c r="H5" s="428"/>
      <c r="I5" s="428"/>
      <c r="J5" s="423" t="s">
        <v>639</v>
      </c>
      <c r="K5" s="424"/>
      <c r="L5" s="425">
        <v>2</v>
      </c>
      <c r="M5" s="426"/>
      <c r="N5" s="419"/>
    </row>
    <row r="6" spans="1:14" ht="15.9" customHeight="1">
      <c r="A6" s="432" t="s">
        <v>640</v>
      </c>
      <c r="B6" s="428"/>
      <c r="C6" s="428"/>
      <c r="D6" s="428"/>
      <c r="E6" s="428"/>
      <c r="F6" s="428"/>
      <c r="G6" s="428"/>
      <c r="H6" s="428"/>
      <c r="I6" s="428"/>
      <c r="J6" s="423" t="s">
        <v>641</v>
      </c>
      <c r="K6" s="424"/>
      <c r="L6" s="433" t="s">
        <v>642</v>
      </c>
      <c r="M6" s="426"/>
      <c r="N6" s="419"/>
    </row>
    <row r="7" spans="1:14" ht="15.9" customHeight="1" thickBot="1">
      <c r="A7" s="434" t="s">
        <v>643</v>
      </c>
      <c r="B7" s="435"/>
      <c r="C7" s="435"/>
      <c r="D7" s="435"/>
      <c r="E7" s="435"/>
      <c r="F7" s="435"/>
      <c r="G7" s="435"/>
      <c r="H7" s="435"/>
      <c r="I7" s="435"/>
      <c r="J7" s="436" t="s">
        <v>644</v>
      </c>
      <c r="K7" s="437"/>
      <c r="L7" s="438" t="s">
        <v>645</v>
      </c>
      <c r="M7" s="439"/>
      <c r="N7" s="419"/>
    </row>
    <row r="8" spans="1:14" ht="15.9" customHeight="1">
      <c r="A8" s="440"/>
      <c r="B8" s="428"/>
      <c r="C8" s="428"/>
      <c r="D8" s="428"/>
      <c r="E8" s="428"/>
      <c r="F8" s="428"/>
      <c r="G8" s="428"/>
      <c r="H8" s="428"/>
      <c r="I8" s="428"/>
      <c r="J8" s="428"/>
      <c r="K8" s="441"/>
      <c r="L8" s="442"/>
      <c r="M8" s="443"/>
      <c r="N8" s="428"/>
    </row>
    <row r="9" spans="1:14" ht="12" customHeight="1">
      <c r="A9" s="444"/>
      <c r="B9" s="445" t="s">
        <v>646</v>
      </c>
      <c r="C9" s="446"/>
      <c r="D9" s="447"/>
      <c r="E9" s="447"/>
      <c r="F9" s="447"/>
      <c r="G9" s="447"/>
      <c r="H9" s="447"/>
      <c r="I9" s="447"/>
      <c r="J9" s="447"/>
      <c r="K9" s="448"/>
      <c r="L9" s="449"/>
      <c r="M9" s="447"/>
      <c r="N9" s="428"/>
    </row>
    <row r="10" spans="1:14" ht="12" customHeight="1">
      <c r="A10" s="444"/>
      <c r="B10" s="445" t="s">
        <v>647</v>
      </c>
      <c r="C10" s="450" t="s">
        <v>648</v>
      </c>
      <c r="D10" s="449"/>
      <c r="E10" s="449"/>
      <c r="F10" s="449"/>
      <c r="G10" s="449"/>
      <c r="H10" s="449"/>
      <c r="I10" s="449"/>
      <c r="J10" s="449"/>
      <c r="K10" s="449"/>
      <c r="L10" s="449"/>
      <c r="M10" s="449"/>
      <c r="N10" s="442"/>
    </row>
    <row r="11" spans="1:14" ht="16.2" thickBot="1">
      <c r="A11" s="451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 ht="20.100000000000001" customHeight="1" thickBot="1">
      <c r="A12" s="452" t="s">
        <v>649</v>
      </c>
      <c r="B12" s="453"/>
      <c r="C12" s="453"/>
      <c r="D12" s="453"/>
      <c r="E12" s="453"/>
      <c r="F12" s="453"/>
      <c r="G12" s="453"/>
      <c r="H12" s="453"/>
      <c r="I12" s="453"/>
      <c r="J12" s="453"/>
      <c r="K12" s="453"/>
      <c r="L12" s="453"/>
      <c r="M12" s="454"/>
      <c r="N12" s="419"/>
    </row>
    <row r="13" spans="1:14" ht="12.9" customHeight="1" thickTop="1">
      <c r="A13" s="455"/>
      <c r="B13" s="456" t="s">
        <v>650</v>
      </c>
      <c r="C13" s="457">
        <v>700</v>
      </c>
      <c r="D13" s="449"/>
      <c r="E13" s="456" t="s">
        <v>651</v>
      </c>
      <c r="F13" s="457">
        <v>2300</v>
      </c>
      <c r="G13" s="449"/>
      <c r="H13" s="456" t="s">
        <v>652</v>
      </c>
      <c r="I13" s="457" t="s">
        <v>653</v>
      </c>
      <c r="J13" s="449"/>
      <c r="K13" s="449"/>
      <c r="L13" s="456" t="s">
        <v>654</v>
      </c>
      <c r="M13" s="458">
        <v>3600</v>
      </c>
      <c r="N13" s="419"/>
    </row>
    <row r="14" spans="1:14" ht="12.9" customHeight="1">
      <c r="A14" s="455"/>
      <c r="B14" s="456" t="s">
        <v>655</v>
      </c>
      <c r="C14" s="457" t="s">
        <v>177</v>
      </c>
      <c r="D14" s="449"/>
      <c r="E14" s="456" t="s">
        <v>656</v>
      </c>
      <c r="F14" s="459" t="s">
        <v>657</v>
      </c>
      <c r="G14" s="449"/>
      <c r="H14" s="456" t="s">
        <v>658</v>
      </c>
      <c r="I14" s="457">
        <v>149</v>
      </c>
      <c r="J14" s="449"/>
      <c r="K14" s="449"/>
      <c r="L14" s="456" t="s">
        <v>401</v>
      </c>
      <c r="M14" s="458">
        <v>3580</v>
      </c>
      <c r="N14" s="419"/>
    </row>
    <row r="15" spans="1:14" ht="12.9" customHeight="1">
      <c r="A15" s="455"/>
      <c r="B15" s="456" t="s">
        <v>659</v>
      </c>
      <c r="C15" s="457" t="s">
        <v>176</v>
      </c>
      <c r="D15" s="449"/>
      <c r="E15" s="456" t="s">
        <v>660</v>
      </c>
      <c r="F15" s="460" t="s">
        <v>661</v>
      </c>
      <c r="G15" s="449"/>
      <c r="H15" s="456" t="s">
        <v>662</v>
      </c>
      <c r="I15" s="459" t="s">
        <v>174</v>
      </c>
      <c r="J15" s="449"/>
      <c r="K15" s="449"/>
      <c r="L15" s="456" t="s">
        <v>663</v>
      </c>
      <c r="M15" s="458" t="s">
        <v>343</v>
      </c>
      <c r="N15" s="419"/>
    </row>
    <row r="16" spans="1:14" ht="12.9" customHeight="1">
      <c r="A16" s="455"/>
      <c r="B16" s="456" t="s">
        <v>664</v>
      </c>
      <c r="C16" s="457" t="s">
        <v>665</v>
      </c>
      <c r="D16" s="449"/>
      <c r="E16" s="456" t="s">
        <v>666</v>
      </c>
      <c r="F16" s="461">
        <v>40</v>
      </c>
      <c r="G16" s="449"/>
      <c r="H16" s="462" t="s">
        <v>667</v>
      </c>
      <c r="I16" s="463" t="s">
        <v>343</v>
      </c>
      <c r="J16" s="449"/>
      <c r="K16" s="449"/>
      <c r="L16" s="456" t="s">
        <v>668</v>
      </c>
      <c r="M16" s="458" t="s">
        <v>669</v>
      </c>
      <c r="N16" s="419"/>
    </row>
    <row r="17" spans="1:14" ht="12.9" customHeight="1">
      <c r="A17" s="455"/>
      <c r="B17" s="456" t="s">
        <v>670</v>
      </c>
      <c r="C17" s="464" t="s">
        <v>648</v>
      </c>
      <c r="D17" s="449"/>
      <c r="E17" s="456"/>
      <c r="F17" s="459"/>
      <c r="G17" s="449"/>
      <c r="H17" s="456" t="s">
        <v>671</v>
      </c>
      <c r="I17" s="463" t="s">
        <v>174</v>
      </c>
      <c r="J17" s="449"/>
      <c r="K17" s="449"/>
      <c r="L17" s="456"/>
      <c r="M17" s="465"/>
      <c r="N17" s="419"/>
    </row>
    <row r="18" spans="1:14" ht="12.9" customHeight="1" thickBot="1">
      <c r="A18" s="466"/>
      <c r="B18" s="467" t="s">
        <v>672</v>
      </c>
      <c r="C18" s="468" t="s">
        <v>174</v>
      </c>
      <c r="D18" s="469"/>
      <c r="E18" s="470" t="s">
        <v>673</v>
      </c>
      <c r="F18" s="468" t="s">
        <v>174</v>
      </c>
      <c r="G18" s="471"/>
      <c r="H18" s="470" t="s">
        <v>674</v>
      </c>
      <c r="I18" s="468" t="s">
        <v>174</v>
      </c>
      <c r="J18" s="469"/>
      <c r="K18" s="469"/>
      <c r="L18" s="469"/>
      <c r="M18" s="472"/>
      <c r="N18" s="419"/>
    </row>
    <row r="19" spans="1:14" ht="16.2" thickBot="1">
      <c r="A19" s="419"/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</row>
    <row r="20" spans="1:14" ht="20.100000000000001" customHeight="1" thickBot="1">
      <c r="A20" s="452"/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4"/>
    </row>
    <row r="21" spans="1:14" ht="15.9" customHeight="1" thickTop="1">
      <c r="A21" s="473" t="s">
        <v>675</v>
      </c>
      <c r="B21" s="474"/>
      <c r="C21" s="442"/>
      <c r="D21" s="475"/>
      <c r="E21" s="476" t="s">
        <v>676</v>
      </c>
      <c r="F21" s="477"/>
      <c r="G21" s="477"/>
      <c r="H21" s="478"/>
      <c r="I21" s="479" t="s">
        <v>677</v>
      </c>
      <c r="J21" s="480"/>
      <c r="K21" s="480"/>
      <c r="L21" s="442"/>
      <c r="M21" s="481"/>
    </row>
    <row r="22" spans="1:14" ht="15.9" customHeight="1">
      <c r="A22" s="482"/>
      <c r="B22" s="449"/>
      <c r="C22" s="483" t="s">
        <v>678</v>
      </c>
      <c r="D22" s="484">
        <v>946</v>
      </c>
      <c r="E22" s="456"/>
      <c r="G22" s="462" t="s">
        <v>679</v>
      </c>
      <c r="H22" s="485">
        <v>1027</v>
      </c>
      <c r="I22" s="483"/>
      <c r="J22" s="449"/>
      <c r="K22" s="483" t="s">
        <v>680</v>
      </c>
      <c r="L22" s="449"/>
      <c r="M22" s="465"/>
    </row>
    <row r="23" spans="1:14" ht="15.9" customHeight="1">
      <c r="A23" s="482"/>
      <c r="B23" s="483"/>
      <c r="C23" s="486"/>
      <c r="D23" s="487"/>
      <c r="E23" s="456"/>
      <c r="G23" s="456" t="s">
        <v>681</v>
      </c>
      <c r="H23" s="484">
        <v>75</v>
      </c>
      <c r="I23" s="449"/>
      <c r="J23" s="449"/>
      <c r="K23" s="456" t="s">
        <v>682</v>
      </c>
      <c r="L23" s="449"/>
      <c r="M23" s="465"/>
    </row>
    <row r="24" spans="1:14" ht="15.9" customHeight="1">
      <c r="A24" s="455"/>
      <c r="B24" s="456"/>
      <c r="C24" s="449"/>
      <c r="D24" s="487"/>
      <c r="E24" s="456"/>
      <c r="G24" s="462" t="s">
        <v>683</v>
      </c>
      <c r="H24" s="484">
        <v>280</v>
      </c>
      <c r="I24" s="449"/>
      <c r="J24" s="456"/>
      <c r="K24" s="449"/>
      <c r="L24" s="449"/>
      <c r="M24" s="465"/>
    </row>
    <row r="25" spans="1:14" ht="15.9" customHeight="1" thickBot="1">
      <c r="A25" s="466"/>
      <c r="B25" s="467"/>
      <c r="C25" s="469"/>
      <c r="D25" s="488"/>
      <c r="E25" s="470"/>
      <c r="F25" s="470"/>
      <c r="G25" s="470"/>
      <c r="H25" s="489"/>
      <c r="I25" s="469"/>
      <c r="J25" s="470"/>
      <c r="K25" s="469"/>
      <c r="L25" s="469"/>
      <c r="M25" s="472"/>
    </row>
    <row r="26" spans="1:14" ht="18.899999999999999" customHeight="1" thickBot="1">
      <c r="A26" s="490"/>
      <c r="B26" s="490"/>
      <c r="C26" s="490"/>
      <c r="D26" s="491"/>
      <c r="E26" s="491"/>
      <c r="F26" s="491"/>
      <c r="G26" s="491"/>
      <c r="H26" s="491"/>
      <c r="I26" s="491"/>
      <c r="J26" s="491"/>
      <c r="K26" s="491"/>
      <c r="L26" s="491"/>
      <c r="M26" s="419"/>
      <c r="N26" s="419"/>
    </row>
    <row r="27" spans="1:14" ht="20.100000000000001" customHeight="1" thickBot="1">
      <c r="A27" s="492"/>
      <c r="B27" s="493"/>
      <c r="C27" s="493"/>
      <c r="D27" s="493"/>
      <c r="E27" s="493"/>
      <c r="F27" s="493"/>
      <c r="G27" s="494"/>
      <c r="H27" s="493"/>
      <c r="I27" s="493"/>
      <c r="J27" s="493"/>
      <c r="K27" s="493"/>
      <c r="L27" s="493"/>
      <c r="M27" s="495"/>
    </row>
    <row r="28" spans="1:14" ht="15.9" customHeight="1" thickTop="1">
      <c r="A28" s="496" t="s">
        <v>684</v>
      </c>
      <c r="B28" s="474"/>
      <c r="C28" s="442"/>
      <c r="D28" s="442"/>
      <c r="E28" s="477"/>
      <c r="F28" s="477"/>
      <c r="G28" s="497"/>
      <c r="H28" s="476" t="s">
        <v>685</v>
      </c>
      <c r="I28" s="477"/>
      <c r="J28" s="480"/>
      <c r="K28" s="476"/>
      <c r="L28" s="480"/>
      <c r="M28" s="481"/>
    </row>
    <row r="29" spans="1:14" ht="15.9" customHeight="1">
      <c r="A29" s="455"/>
      <c r="B29" s="483"/>
      <c r="C29" s="483" t="s">
        <v>686</v>
      </c>
      <c r="D29" s="498">
        <v>94.7</v>
      </c>
      <c r="E29" s="456"/>
      <c r="F29" s="456"/>
      <c r="G29" s="497"/>
      <c r="H29" s="462"/>
      <c r="I29" s="483"/>
      <c r="J29" s="483" t="s">
        <v>686</v>
      </c>
      <c r="K29" s="498">
        <v>93</v>
      </c>
      <c r="L29" s="449"/>
      <c r="M29" s="465"/>
    </row>
    <row r="30" spans="1:14" ht="15.9" customHeight="1">
      <c r="A30" s="499"/>
      <c r="B30" s="449"/>
      <c r="C30" s="483" t="s">
        <v>687</v>
      </c>
      <c r="D30" s="498">
        <v>94.1</v>
      </c>
      <c r="E30" s="456"/>
      <c r="F30" s="456"/>
      <c r="G30" s="497"/>
      <c r="H30" s="456"/>
      <c r="I30" s="449"/>
      <c r="J30" s="483" t="s">
        <v>687</v>
      </c>
      <c r="K30" s="498">
        <v>92.5</v>
      </c>
      <c r="L30" s="449"/>
      <c r="M30" s="465"/>
    </row>
    <row r="31" spans="1:14" ht="15.9" customHeight="1">
      <c r="A31" s="455"/>
      <c r="B31" s="456"/>
      <c r="C31" s="483" t="s">
        <v>688</v>
      </c>
      <c r="D31" s="498">
        <v>92.7</v>
      </c>
      <c r="E31" s="456"/>
      <c r="F31" s="456"/>
      <c r="G31" s="497"/>
      <c r="H31" s="456"/>
      <c r="I31" s="449"/>
      <c r="J31" s="483" t="s">
        <v>688</v>
      </c>
      <c r="K31" s="498">
        <v>90</v>
      </c>
      <c r="L31" s="456"/>
      <c r="M31" s="465"/>
    </row>
    <row r="32" spans="1:14" ht="15.9" customHeight="1" thickBot="1">
      <c r="A32" s="466"/>
      <c r="B32" s="467"/>
      <c r="C32" s="469"/>
      <c r="D32" s="469"/>
      <c r="E32" s="470"/>
      <c r="F32" s="470"/>
      <c r="G32" s="500"/>
      <c r="H32" s="470"/>
      <c r="I32" s="469"/>
      <c r="J32" s="470"/>
      <c r="K32" s="469"/>
      <c r="L32" s="470"/>
      <c r="M32" s="472"/>
    </row>
    <row r="33" spans="1:14" ht="20.100000000000001" customHeight="1" thickBot="1">
      <c r="A33" s="501"/>
      <c r="B33" s="501"/>
      <c r="C33" s="501"/>
      <c r="D33" s="501"/>
      <c r="E33" s="501"/>
      <c r="F33" s="501"/>
      <c r="G33" s="501"/>
      <c r="H33" s="501"/>
      <c r="I33" s="501"/>
      <c r="J33" s="501"/>
      <c r="K33" s="501"/>
      <c r="L33" s="501"/>
      <c r="M33" s="502"/>
      <c r="N33" s="502"/>
    </row>
    <row r="34" spans="1:14" ht="20.100000000000001" customHeight="1" thickBot="1">
      <c r="A34" s="503"/>
      <c r="B34" s="504"/>
      <c r="C34" s="504"/>
      <c r="D34" s="504"/>
      <c r="E34" s="504"/>
      <c r="F34" s="504"/>
      <c r="G34" s="504"/>
      <c r="H34" s="504"/>
      <c r="I34" s="504"/>
      <c r="J34" s="504"/>
      <c r="K34" s="504"/>
      <c r="L34" s="504"/>
      <c r="M34" s="505"/>
    </row>
    <row r="35" spans="1:14" ht="15.9" customHeight="1" thickTop="1">
      <c r="A35" s="506" t="s">
        <v>689</v>
      </c>
      <c r="B35" s="486"/>
      <c r="C35" s="486"/>
      <c r="D35" s="486"/>
      <c r="E35" s="486"/>
      <c r="F35" s="486"/>
      <c r="G35" s="486"/>
      <c r="H35" s="486"/>
      <c r="I35" s="486"/>
      <c r="J35" s="486"/>
      <c r="K35" s="486"/>
      <c r="L35" s="486"/>
      <c r="M35" s="507"/>
    </row>
    <row r="36" spans="1:14" ht="15.9" customHeight="1">
      <c r="A36" s="508" t="s">
        <v>690</v>
      </c>
      <c r="B36" s="486"/>
      <c r="C36" s="486"/>
      <c r="D36" s="486"/>
      <c r="E36" s="486"/>
      <c r="F36" s="486"/>
      <c r="G36" s="486"/>
      <c r="H36" s="486"/>
      <c r="I36" s="486"/>
      <c r="J36" s="486"/>
      <c r="K36" s="486"/>
      <c r="L36" s="486"/>
      <c r="M36" s="507"/>
    </row>
    <row r="37" spans="1:14" ht="15.9" customHeight="1">
      <c r="A37" s="509" t="s">
        <v>691</v>
      </c>
      <c r="B37" s="486"/>
      <c r="C37" s="486"/>
      <c r="D37" s="486"/>
      <c r="E37" s="510"/>
      <c r="F37" s="486"/>
      <c r="G37" s="486"/>
      <c r="H37" s="486"/>
      <c r="I37" s="486"/>
      <c r="J37" s="486"/>
      <c r="K37" s="486"/>
      <c r="L37" s="486"/>
      <c r="M37" s="507"/>
    </row>
    <row r="38" spans="1:14" ht="15.9" customHeight="1">
      <c r="A38" s="511" t="s">
        <v>692</v>
      </c>
      <c r="B38" s="486"/>
      <c r="C38" s="486"/>
      <c r="D38" s="486"/>
      <c r="E38" s="486"/>
      <c r="F38" s="486"/>
      <c r="G38" s="486"/>
      <c r="H38" s="486"/>
      <c r="I38" s="486"/>
      <c r="J38" s="486"/>
      <c r="K38" s="486"/>
      <c r="L38" s="486"/>
      <c r="M38" s="507"/>
    </row>
    <row r="39" spans="1:14" ht="15.9" customHeight="1">
      <c r="A39" s="512" t="s">
        <v>693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507"/>
    </row>
    <row r="40" spans="1:14" ht="15.9" customHeight="1" thickBot="1">
      <c r="A40" s="513" t="s">
        <v>694</v>
      </c>
      <c r="B40" s="514"/>
      <c r="C40" s="514"/>
      <c r="D40" s="514"/>
      <c r="E40" s="514"/>
      <c r="F40" s="514"/>
      <c r="G40" s="514"/>
      <c r="H40" s="514"/>
      <c r="I40" s="514"/>
      <c r="J40" s="514"/>
      <c r="K40" s="514"/>
      <c r="L40" s="514"/>
      <c r="M40" s="515"/>
    </row>
    <row r="41" spans="1:14" ht="15.9" customHeight="1"/>
    <row r="42" spans="1:14" ht="18.600000000000001">
      <c r="A42" s="516"/>
      <c r="B42" s="516"/>
      <c r="C42" s="516"/>
      <c r="D42" s="516"/>
      <c r="E42" s="516"/>
      <c r="F42" s="516"/>
      <c r="G42" s="516"/>
      <c r="H42" s="419"/>
      <c r="I42" s="419"/>
      <c r="J42" s="517" t="s">
        <v>695</v>
      </c>
      <c r="K42" s="701" t="s">
        <v>696</v>
      </c>
      <c r="L42" s="701"/>
      <c r="M42" s="701"/>
      <c r="N42" s="516"/>
    </row>
    <row r="43" spans="1:14" ht="7.5" customHeight="1">
      <c r="H43" s="419"/>
      <c r="I43" s="419"/>
      <c r="J43" s="419"/>
      <c r="K43" s="419"/>
      <c r="L43" s="419"/>
      <c r="M43" s="419"/>
    </row>
    <row r="44" spans="1:14" ht="16.8">
      <c r="H44" s="419"/>
      <c r="I44" s="419"/>
      <c r="J44" s="517" t="s">
        <v>697</v>
      </c>
      <c r="K44" s="702">
        <v>44908</v>
      </c>
      <c r="L44" s="702"/>
      <c r="M44" s="702"/>
    </row>
    <row r="59" spans="1:5">
      <c r="A59" s="420" t="s">
        <v>174</v>
      </c>
      <c r="B59" s="420" t="s">
        <v>698</v>
      </c>
      <c r="D59" s="420">
        <v>1</v>
      </c>
      <c r="E59" s="518" t="s">
        <v>174</v>
      </c>
    </row>
    <row r="60" spans="1:5">
      <c r="A60" s="420" t="s">
        <v>657</v>
      </c>
      <c r="B60" s="420" t="s">
        <v>699</v>
      </c>
      <c r="D60" s="420">
        <v>1.1499999999999999</v>
      </c>
      <c r="E60" s="518" t="s">
        <v>347</v>
      </c>
    </row>
    <row r="61" spans="1:5">
      <c r="A61" s="420" t="s">
        <v>700</v>
      </c>
      <c r="B61" s="420" t="s">
        <v>701</v>
      </c>
      <c r="E61" s="518" t="s">
        <v>702</v>
      </c>
    </row>
    <row r="62" spans="1:5">
      <c r="B62" s="420" t="s">
        <v>703</v>
      </c>
    </row>
    <row r="63" spans="1:5">
      <c r="B63" s="420" t="s">
        <v>704</v>
      </c>
    </row>
    <row r="64" spans="1:5">
      <c r="B64" s="420" t="s">
        <v>705</v>
      </c>
    </row>
    <row r="65" spans="2:2">
      <c r="B65" s="420" t="s">
        <v>706</v>
      </c>
    </row>
    <row r="66" spans="2:2">
      <c r="B66" s="420" t="s">
        <v>707</v>
      </c>
    </row>
    <row r="67" spans="2:2">
      <c r="B67" s="420" t="s">
        <v>708</v>
      </c>
    </row>
    <row r="68" spans="2:2">
      <c r="B68" s="420" t="s">
        <v>709</v>
      </c>
    </row>
    <row r="69" spans="2:2">
      <c r="B69" s="420" t="s">
        <v>710</v>
      </c>
    </row>
    <row r="70" spans="2:2">
      <c r="B70" s="420" t="s">
        <v>711</v>
      </c>
    </row>
    <row r="71" spans="2:2">
      <c r="B71" s="420" t="s">
        <v>712</v>
      </c>
    </row>
    <row r="72" spans="2:2">
      <c r="B72" s="420" t="s">
        <v>713</v>
      </c>
    </row>
    <row r="73" spans="2:2">
      <c r="B73" s="420" t="s">
        <v>714</v>
      </c>
    </row>
    <row r="74" spans="2:2">
      <c r="B74" s="420" t="s">
        <v>715</v>
      </c>
    </row>
    <row r="75" spans="2:2">
      <c r="B75" s="420" t="s">
        <v>716</v>
      </c>
    </row>
    <row r="76" spans="2:2">
      <c r="B76" s="420" t="s">
        <v>717</v>
      </c>
    </row>
    <row r="77" spans="2:2">
      <c r="B77" s="420" t="s">
        <v>718</v>
      </c>
    </row>
    <row r="78" spans="2:2">
      <c r="B78" s="420" t="s">
        <v>719</v>
      </c>
    </row>
    <row r="79" spans="2:2">
      <c r="B79" s="420" t="s">
        <v>720</v>
      </c>
    </row>
    <row r="80" spans="2:2">
      <c r="B80" s="420">
        <v>6312</v>
      </c>
    </row>
    <row r="81" spans="2:2">
      <c r="B81" s="420" t="s">
        <v>721</v>
      </c>
    </row>
    <row r="82" spans="2:2">
      <c r="B82" s="420" t="s">
        <v>722</v>
      </c>
    </row>
    <row r="83" spans="2:2">
      <c r="B83" s="420" t="s">
        <v>723</v>
      </c>
    </row>
    <row r="84" spans="2:2">
      <c r="B84" s="420" t="s">
        <v>724</v>
      </c>
    </row>
    <row r="85" spans="2:2">
      <c r="B85" s="420">
        <v>6313</v>
      </c>
    </row>
    <row r="86" spans="2:2">
      <c r="B86" s="420" t="s">
        <v>725</v>
      </c>
    </row>
    <row r="87" spans="2:2">
      <c r="B87" s="420" t="s">
        <v>726</v>
      </c>
    </row>
    <row r="88" spans="2:2">
      <c r="B88" s="420" t="s">
        <v>727</v>
      </c>
    </row>
    <row r="89" spans="2:2">
      <c r="B89" s="420">
        <v>6314</v>
      </c>
    </row>
    <row r="90" spans="2:2">
      <c r="B90" s="420" t="s">
        <v>728</v>
      </c>
    </row>
    <row r="91" spans="2:2">
      <c r="B91" s="420">
        <v>6317</v>
      </c>
    </row>
    <row r="92" spans="2:2">
      <c r="B92" s="420" t="s">
        <v>729</v>
      </c>
    </row>
    <row r="93" spans="2:2">
      <c r="B93" s="420">
        <v>6318</v>
      </c>
    </row>
    <row r="94" spans="2:2">
      <c r="B94" s="420" t="s">
        <v>730</v>
      </c>
    </row>
    <row r="95" spans="2:2">
      <c r="B95" s="420" t="s">
        <v>731</v>
      </c>
    </row>
    <row r="96" spans="2:2">
      <c r="B96" s="420" t="s">
        <v>732</v>
      </c>
    </row>
    <row r="97" spans="2:2">
      <c r="B97" s="420">
        <v>6320</v>
      </c>
    </row>
    <row r="98" spans="2:2">
      <c r="B98" s="420" t="s">
        <v>733</v>
      </c>
    </row>
    <row r="99" spans="2:2">
      <c r="B99" s="420" t="s">
        <v>734</v>
      </c>
    </row>
    <row r="100" spans="2:2">
      <c r="B100" s="420" t="s">
        <v>735</v>
      </c>
    </row>
    <row r="101" spans="2:2">
      <c r="B101" s="420" t="s">
        <v>736</v>
      </c>
    </row>
    <row r="102" spans="2:2">
      <c r="B102" s="420" t="s">
        <v>736</v>
      </c>
    </row>
    <row r="118" spans="2:2">
      <c r="B118" s="420" t="s">
        <v>737</v>
      </c>
    </row>
    <row r="120" spans="2:2">
      <c r="B120" s="420" t="s">
        <v>738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H19" sqref="H19"/>
    </sheetView>
  </sheetViews>
  <sheetFormatPr defaultRowHeight="13.2"/>
  <cols>
    <col min="1" max="6" width="16.6640625" customWidth="1"/>
    <col min="257" max="262" width="16.6640625" customWidth="1"/>
    <col min="513" max="518" width="16.6640625" customWidth="1"/>
    <col min="769" max="774" width="16.6640625" customWidth="1"/>
    <col min="1025" max="1030" width="16.6640625" customWidth="1"/>
    <col min="1281" max="1286" width="16.6640625" customWidth="1"/>
    <col min="1537" max="1542" width="16.6640625" customWidth="1"/>
    <col min="1793" max="1798" width="16.6640625" customWidth="1"/>
    <col min="2049" max="2054" width="16.6640625" customWidth="1"/>
    <col min="2305" max="2310" width="16.6640625" customWidth="1"/>
    <col min="2561" max="2566" width="16.6640625" customWidth="1"/>
    <col min="2817" max="2822" width="16.6640625" customWidth="1"/>
    <col min="3073" max="3078" width="16.6640625" customWidth="1"/>
    <col min="3329" max="3334" width="16.6640625" customWidth="1"/>
    <col min="3585" max="3590" width="16.6640625" customWidth="1"/>
    <col min="3841" max="3846" width="16.6640625" customWidth="1"/>
    <col min="4097" max="4102" width="16.6640625" customWidth="1"/>
    <col min="4353" max="4358" width="16.6640625" customWidth="1"/>
    <col min="4609" max="4614" width="16.6640625" customWidth="1"/>
    <col min="4865" max="4870" width="16.6640625" customWidth="1"/>
    <col min="5121" max="5126" width="16.6640625" customWidth="1"/>
    <col min="5377" max="5382" width="16.6640625" customWidth="1"/>
    <col min="5633" max="5638" width="16.6640625" customWidth="1"/>
    <col min="5889" max="5894" width="16.6640625" customWidth="1"/>
    <col min="6145" max="6150" width="16.6640625" customWidth="1"/>
    <col min="6401" max="6406" width="16.6640625" customWidth="1"/>
    <col min="6657" max="6662" width="16.6640625" customWidth="1"/>
    <col min="6913" max="6918" width="16.6640625" customWidth="1"/>
    <col min="7169" max="7174" width="16.6640625" customWidth="1"/>
    <col min="7425" max="7430" width="16.6640625" customWidth="1"/>
    <col min="7681" max="7686" width="16.6640625" customWidth="1"/>
    <col min="7937" max="7942" width="16.6640625" customWidth="1"/>
    <col min="8193" max="8198" width="16.6640625" customWidth="1"/>
    <col min="8449" max="8454" width="16.6640625" customWidth="1"/>
    <col min="8705" max="8710" width="16.6640625" customWidth="1"/>
    <col min="8961" max="8966" width="16.6640625" customWidth="1"/>
    <col min="9217" max="9222" width="16.6640625" customWidth="1"/>
    <col min="9473" max="9478" width="16.6640625" customWidth="1"/>
    <col min="9729" max="9734" width="16.6640625" customWidth="1"/>
    <col min="9985" max="9990" width="16.6640625" customWidth="1"/>
    <col min="10241" max="10246" width="16.6640625" customWidth="1"/>
    <col min="10497" max="10502" width="16.6640625" customWidth="1"/>
    <col min="10753" max="10758" width="16.6640625" customWidth="1"/>
    <col min="11009" max="11014" width="16.6640625" customWidth="1"/>
    <col min="11265" max="11270" width="16.6640625" customWidth="1"/>
    <col min="11521" max="11526" width="16.6640625" customWidth="1"/>
    <col min="11777" max="11782" width="16.6640625" customWidth="1"/>
    <col min="12033" max="12038" width="16.6640625" customWidth="1"/>
    <col min="12289" max="12294" width="16.6640625" customWidth="1"/>
    <col min="12545" max="12550" width="16.6640625" customWidth="1"/>
    <col min="12801" max="12806" width="16.6640625" customWidth="1"/>
    <col min="13057" max="13062" width="16.6640625" customWidth="1"/>
    <col min="13313" max="13318" width="16.6640625" customWidth="1"/>
    <col min="13569" max="13574" width="16.6640625" customWidth="1"/>
    <col min="13825" max="13830" width="16.6640625" customWidth="1"/>
    <col min="14081" max="14086" width="16.6640625" customWidth="1"/>
    <col min="14337" max="14342" width="16.6640625" customWidth="1"/>
    <col min="14593" max="14598" width="16.6640625" customWidth="1"/>
    <col min="14849" max="14854" width="16.6640625" customWidth="1"/>
    <col min="15105" max="15110" width="16.6640625" customWidth="1"/>
    <col min="15361" max="15366" width="16.6640625" customWidth="1"/>
    <col min="15617" max="15622" width="16.6640625" customWidth="1"/>
    <col min="15873" max="15878" width="16.6640625" customWidth="1"/>
    <col min="16129" max="16134" width="16.6640625" customWidth="1"/>
  </cols>
  <sheetData>
    <row r="1" spans="1:6" ht="18.899999999999999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250</v>
      </c>
      <c r="B2" s="362"/>
      <c r="C2" s="362"/>
      <c r="D2" s="362"/>
      <c r="E2" s="362"/>
      <c r="F2" s="363"/>
    </row>
    <row r="3" spans="1:6" ht="18.899999999999999" customHeight="1">
      <c r="A3" s="364" t="s">
        <v>389</v>
      </c>
      <c r="B3" s="362"/>
      <c r="C3" s="362"/>
      <c r="D3" s="362"/>
      <c r="E3" s="362"/>
      <c r="F3" s="363"/>
    </row>
    <row r="4" spans="1:6" ht="18.899999999999999" customHeight="1">
      <c r="A4" s="365"/>
      <c r="B4" s="366"/>
      <c r="C4" s="366"/>
      <c r="D4" s="366"/>
      <c r="E4" s="366"/>
      <c r="F4" s="367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390</v>
      </c>
      <c r="B6" s="703" t="str">
        <f>'Performance Data Sheet'!C17</f>
        <v>QUOTE 33791</v>
      </c>
      <c r="C6" s="704"/>
      <c r="D6" s="705"/>
      <c r="E6" s="368" t="s">
        <v>391</v>
      </c>
      <c r="F6" s="369" t="str">
        <f>'Performance Data Sheet'!I14 &amp; " A"</f>
        <v>149 A</v>
      </c>
    </row>
    <row r="7" spans="1:6" ht="18.899999999999999" customHeight="1">
      <c r="A7" s="368" t="s">
        <v>392</v>
      </c>
      <c r="B7" s="369" t="str">
        <f>'Performance Data Sheet'!F14</f>
        <v>TEFC</v>
      </c>
      <c r="C7" s="368" t="s">
        <v>393</v>
      </c>
      <c r="D7" s="369" t="str">
        <f>'Performance Data Sheet'!F13 &amp; " V"</f>
        <v>2300 V</v>
      </c>
      <c r="E7" s="368" t="s">
        <v>394</v>
      </c>
      <c r="F7" s="369" t="str">
        <f>'Performance Data Sheet'!C14</f>
        <v>6811USS</v>
      </c>
    </row>
    <row r="8" spans="1:6" ht="18.899999999999999" customHeight="1">
      <c r="A8" s="368" t="s">
        <v>395</v>
      </c>
      <c r="B8" s="369">
        <v>2</v>
      </c>
      <c r="C8" s="368" t="s">
        <v>396</v>
      </c>
      <c r="D8" s="369" t="s">
        <v>397</v>
      </c>
      <c r="E8" s="368" t="s">
        <v>398</v>
      </c>
      <c r="F8" s="369" t="s">
        <v>343</v>
      </c>
    </row>
    <row r="9" spans="1:6" ht="18.899999999999999" customHeight="1">
      <c r="A9" s="368" t="s">
        <v>399</v>
      </c>
      <c r="B9" s="369">
        <v>700</v>
      </c>
      <c r="C9" s="368" t="s">
        <v>400</v>
      </c>
      <c r="D9" s="369" t="s">
        <v>415</v>
      </c>
      <c r="E9" s="368" t="s">
        <v>2</v>
      </c>
      <c r="F9" s="370">
        <f>'Performance Data Sheet'!K44</f>
        <v>44908</v>
      </c>
    </row>
    <row r="10" spans="1:6" ht="18.899999999999999" customHeight="1">
      <c r="A10" s="368" t="s">
        <v>401</v>
      </c>
      <c r="B10" s="369">
        <v>3575</v>
      </c>
      <c r="C10" s="368" t="s">
        <v>402</v>
      </c>
      <c r="D10" s="369" t="s">
        <v>403</v>
      </c>
      <c r="E10" s="368" t="s">
        <v>1</v>
      </c>
      <c r="F10" s="369" t="s">
        <v>360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 t="s">
        <v>404</v>
      </c>
      <c r="C12" s="372" t="str">
        <f>'Performance Data Sheet'!D22 &amp; " A"</f>
        <v>946 A</v>
      </c>
      <c r="D12" s="371" t="s">
        <v>405</v>
      </c>
      <c r="E12" s="372" t="s">
        <v>403</v>
      </c>
      <c r="F12" s="367"/>
    </row>
    <row r="13" spans="1:6" ht="18.899999999999999" customHeight="1">
      <c r="A13" s="365"/>
      <c r="B13" s="371" t="s">
        <v>406</v>
      </c>
      <c r="C13" s="373">
        <v>0.75</v>
      </c>
      <c r="D13" s="371" t="s">
        <v>407</v>
      </c>
      <c r="E13" s="372" t="s">
        <v>403</v>
      </c>
      <c r="F13" s="367"/>
    </row>
    <row r="14" spans="1:6" ht="18.899999999999999" customHeight="1">
      <c r="A14" s="365"/>
      <c r="B14" s="371" t="s">
        <v>408</v>
      </c>
      <c r="C14" s="373">
        <v>2.8</v>
      </c>
      <c r="D14" s="371" t="s">
        <v>409</v>
      </c>
      <c r="E14" s="372" t="s">
        <v>403</v>
      </c>
      <c r="F14" s="367"/>
    </row>
    <row r="15" spans="1:6" ht="18.899999999999999" customHeight="1">
      <c r="A15" s="365"/>
      <c r="B15" s="371" t="s">
        <v>410</v>
      </c>
      <c r="C15" s="372" t="s">
        <v>416</v>
      </c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6" ht="18.899999999999999" customHeight="1">
      <c r="A17" s="365"/>
      <c r="B17" s="366"/>
      <c r="C17" s="366"/>
      <c r="D17" s="366"/>
      <c r="E17" s="366"/>
      <c r="F17" s="367"/>
    </row>
    <row r="18" spans="1:6" ht="18.899999999999999" customHeight="1">
      <c r="A18" s="365"/>
      <c r="B18" s="366"/>
      <c r="C18" s="366"/>
      <c r="D18" s="366"/>
      <c r="E18" s="366"/>
      <c r="F18" s="367"/>
    </row>
    <row r="19" spans="1:6" ht="18.899999999999999" customHeight="1">
      <c r="A19" s="365"/>
      <c r="B19" s="366"/>
      <c r="C19" s="366"/>
      <c r="D19" s="366"/>
      <c r="E19" s="366"/>
      <c r="F19" s="367"/>
    </row>
    <row r="20" spans="1:6" ht="18.899999999999999" customHeight="1">
      <c r="A20" s="365"/>
      <c r="B20" s="366"/>
      <c r="C20" s="366"/>
      <c r="D20" s="366"/>
      <c r="E20" s="366"/>
      <c r="F20" s="367"/>
    </row>
    <row r="21" spans="1:6" ht="18.899999999999999" customHeight="1">
      <c r="A21" s="365"/>
      <c r="B21" s="366"/>
      <c r="C21" s="366"/>
      <c r="D21" s="366"/>
      <c r="E21" s="366"/>
      <c r="F21" s="367"/>
    </row>
    <row r="22" spans="1:6" ht="18.899999999999999" customHeight="1">
      <c r="A22" s="365"/>
      <c r="B22" s="366"/>
      <c r="C22" s="366"/>
      <c r="D22" s="366"/>
      <c r="E22" s="366"/>
      <c r="F22" s="367"/>
    </row>
    <row r="23" spans="1:6" ht="18.899999999999999" customHeight="1">
      <c r="A23" s="365"/>
      <c r="B23" s="366"/>
      <c r="C23" s="366"/>
      <c r="D23" s="366"/>
      <c r="E23" s="366"/>
      <c r="F23" s="367"/>
    </row>
    <row r="24" spans="1:6" ht="18.899999999999999" customHeight="1">
      <c r="A24" s="365"/>
      <c r="B24" s="366"/>
      <c r="C24" s="366"/>
      <c r="D24" s="366"/>
      <c r="E24" s="366"/>
      <c r="F24" s="367"/>
    </row>
    <row r="25" spans="1:6" ht="18.899999999999999" customHeight="1">
      <c r="A25" s="365"/>
      <c r="B25" s="366"/>
      <c r="C25" s="366"/>
      <c r="D25" s="366"/>
      <c r="E25" s="366"/>
      <c r="F25" s="367"/>
    </row>
    <row r="26" spans="1:6" ht="18.899999999999999" customHeight="1">
      <c r="A26" s="365"/>
      <c r="B26" s="366"/>
      <c r="C26" s="366"/>
      <c r="D26" s="366"/>
      <c r="E26" s="366"/>
      <c r="F26" s="367"/>
    </row>
    <row r="27" spans="1:6" ht="18.899999999999999" customHeight="1">
      <c r="A27" s="365"/>
      <c r="B27" s="366"/>
      <c r="C27" s="366"/>
      <c r="D27" s="366"/>
      <c r="E27" s="366"/>
      <c r="F27" s="367"/>
    </row>
    <row r="28" spans="1:6" ht="18.899999999999999" customHeight="1">
      <c r="A28" s="365"/>
      <c r="B28" s="366"/>
      <c r="C28" s="366"/>
      <c r="D28" s="366"/>
      <c r="E28" s="366"/>
      <c r="F28" s="367"/>
    </row>
    <row r="29" spans="1:6" ht="18.899999999999999" customHeight="1">
      <c r="A29" s="365"/>
      <c r="B29" s="366"/>
      <c r="C29" s="366"/>
      <c r="D29" s="366"/>
      <c r="E29" s="366"/>
      <c r="F29" s="367"/>
    </row>
    <row r="30" spans="1:6" ht="18.899999999999999" customHeight="1">
      <c r="A30" s="365"/>
      <c r="B30" s="366"/>
      <c r="C30" s="366"/>
      <c r="D30" s="366"/>
      <c r="E30" s="366"/>
      <c r="F30" s="367"/>
    </row>
    <row r="31" spans="1:6" ht="18.899999999999999" customHeight="1">
      <c r="A31" s="365"/>
      <c r="B31" s="366"/>
      <c r="C31" s="366"/>
      <c r="D31" s="366"/>
      <c r="E31" s="366"/>
      <c r="F31" s="367"/>
    </row>
    <row r="32" spans="1:6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411</v>
      </c>
      <c r="B39" s="375" t="s">
        <v>351</v>
      </c>
      <c r="C39" s="519" t="str">
        <f>'Performance Data Sheet'!C10</f>
        <v>QUOTE 33791</v>
      </c>
      <c r="D39" s="366"/>
      <c r="E39" s="371" t="s">
        <v>412</v>
      </c>
      <c r="F39" s="376" t="str">
        <f>F10</f>
        <v>CS2700U</v>
      </c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413</v>
      </c>
      <c r="D43" s="379" t="str">
        <f>'Performance Data Sheet'!K42</f>
        <v>JERRY R</v>
      </c>
      <c r="E43" s="378" t="s">
        <v>414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82" t="s">
        <v>417</v>
      </c>
      <c r="E53" s="382"/>
      <c r="F53" s="382"/>
      <c r="G53" s="382"/>
      <c r="H53" s="382"/>
      <c r="I53" s="382"/>
      <c r="J53" s="382"/>
      <c r="K53" s="382"/>
      <c r="L53" s="382"/>
    </row>
    <row r="54" spans="1:12" ht="15" customHeight="1">
      <c r="A54" s="380">
        <v>100</v>
      </c>
      <c r="B54" s="357">
        <v>0</v>
      </c>
      <c r="C54" s="357">
        <v>0.16342222690582275</v>
      </c>
      <c r="D54" s="382">
        <v>100</v>
      </c>
      <c r="E54" s="382"/>
      <c r="F54" s="382"/>
      <c r="G54" s="382"/>
      <c r="H54" s="382"/>
      <c r="I54" s="382"/>
      <c r="J54" s="382"/>
      <c r="K54" s="382"/>
      <c r="L54" s="382"/>
    </row>
    <row r="55" spans="1:12" ht="15" customHeight="1">
      <c r="A55" s="380">
        <v>99.200000055134296</v>
      </c>
      <c r="B55" s="357">
        <v>165.11164501729579</v>
      </c>
      <c r="C55" s="357">
        <v>177.64208984375</v>
      </c>
      <c r="D55" s="382">
        <v>98.400001525878906</v>
      </c>
      <c r="E55" s="382"/>
      <c r="F55" s="382"/>
      <c r="G55" s="382"/>
      <c r="H55" s="382"/>
      <c r="I55" s="382"/>
      <c r="J55" s="382"/>
      <c r="K55" s="382"/>
      <c r="L55" s="382"/>
    </row>
    <row r="56" spans="1:12" ht="15" customHeight="1">
      <c r="A56" s="380">
        <v>96.000000089406967</v>
      </c>
      <c r="B56" s="357">
        <v>280</v>
      </c>
      <c r="C56" s="357">
        <v>504.12835693359375</v>
      </c>
      <c r="D56" s="382">
        <v>89.75</v>
      </c>
      <c r="E56" s="382"/>
      <c r="F56" s="382"/>
      <c r="G56" s="382"/>
      <c r="H56" s="382"/>
      <c r="I56" s="382"/>
      <c r="J56" s="382"/>
      <c r="K56" s="382"/>
      <c r="L56" s="382"/>
    </row>
    <row r="57" spans="1:12">
      <c r="A57" s="380">
        <v>90.857142955064774</v>
      </c>
      <c r="B57" s="357">
        <v>161.57880386895408</v>
      </c>
      <c r="C57" s="357">
        <v>577.63909912109375</v>
      </c>
      <c r="D57" s="382">
        <v>76.228569030761719</v>
      </c>
      <c r="E57" s="382"/>
      <c r="F57" s="382"/>
      <c r="G57" s="382"/>
      <c r="H57" s="382"/>
      <c r="I57" s="382"/>
      <c r="J57" s="382"/>
      <c r="K57" s="382"/>
      <c r="L57" s="382"/>
    </row>
    <row r="58" spans="1:12">
      <c r="A58" s="380">
        <v>85.71428507566452</v>
      </c>
      <c r="B58" s="357">
        <v>114.61271288342388</v>
      </c>
      <c r="C58" s="357">
        <v>596.61541748046875</v>
      </c>
      <c r="D58" s="382">
        <v>62.857139587402344</v>
      </c>
      <c r="E58" s="382"/>
      <c r="F58" s="382"/>
      <c r="G58" s="382"/>
      <c r="H58" s="382"/>
      <c r="I58" s="382"/>
      <c r="J58" s="382"/>
      <c r="K58" s="382"/>
      <c r="L58" s="382"/>
    </row>
    <row r="59" spans="1:12">
      <c r="A59" s="380">
        <v>80.571427941322327</v>
      </c>
      <c r="B59" s="357">
        <v>94.461174016128737</v>
      </c>
      <c r="C59" s="357">
        <v>604.71429443359375</v>
      </c>
      <c r="D59" s="382">
        <v>51.25714111328125</v>
      </c>
      <c r="E59" s="382"/>
      <c r="F59" s="382"/>
      <c r="G59" s="382"/>
      <c r="H59" s="382"/>
      <c r="I59" s="382"/>
      <c r="J59" s="382"/>
      <c r="K59" s="382"/>
      <c r="L59" s="382"/>
    </row>
    <row r="60" spans="1:12">
      <c r="A60" s="380">
        <v>70.285713672637939</v>
      </c>
      <c r="B60" s="357">
        <v>80.898237284345612</v>
      </c>
      <c r="C60" s="357">
        <v>613.06976318359375</v>
      </c>
      <c r="D60" s="382">
        <v>33.485713958740234</v>
      </c>
      <c r="E60" s="382"/>
      <c r="F60" s="382"/>
      <c r="G60" s="382"/>
      <c r="H60" s="382"/>
      <c r="I60" s="382"/>
      <c r="J60" s="382"/>
      <c r="K60" s="382"/>
      <c r="L60" s="382"/>
    </row>
    <row r="61" spans="1:12">
      <c r="A61" s="380">
        <v>59.999999403953552</v>
      </c>
      <c r="B61" s="357">
        <v>75</v>
      </c>
      <c r="C61" s="357">
        <v>618.67913818359375</v>
      </c>
      <c r="D61" s="382">
        <v>22</v>
      </c>
      <c r="E61" s="382"/>
      <c r="F61" s="382"/>
      <c r="G61" s="382"/>
      <c r="H61" s="382"/>
      <c r="I61" s="382"/>
      <c r="J61" s="382"/>
      <c r="K61" s="382"/>
      <c r="L61" s="382"/>
    </row>
    <row r="62" spans="1:12">
      <c r="A62" s="380">
        <v>50</v>
      </c>
      <c r="B62" s="357">
        <v>75.000014440469513</v>
      </c>
      <c r="C62" s="357">
        <v>623.2581787109375</v>
      </c>
      <c r="D62" s="382">
        <v>14</v>
      </c>
      <c r="E62" s="382"/>
      <c r="F62" s="382"/>
      <c r="G62" s="382"/>
      <c r="H62" s="382"/>
      <c r="I62" s="382"/>
      <c r="J62" s="382"/>
      <c r="K62" s="382"/>
      <c r="L62" s="382"/>
    </row>
    <row r="63" spans="1:12">
      <c r="A63" s="380">
        <v>39.999997615814209</v>
      </c>
      <c r="B63" s="357">
        <v>75.000022273300857</v>
      </c>
      <c r="C63" s="357">
        <v>627.08502197265625</v>
      </c>
      <c r="D63" s="382">
        <v>7.9999995231628418</v>
      </c>
      <c r="E63" s="382"/>
      <c r="F63" s="382"/>
      <c r="G63" s="382"/>
      <c r="H63" s="382"/>
      <c r="I63" s="382"/>
      <c r="J63" s="382"/>
      <c r="K63" s="382"/>
      <c r="L63" s="382"/>
    </row>
    <row r="64" spans="1:12">
      <c r="A64" s="380">
        <v>30.000001192092896</v>
      </c>
      <c r="B64" s="357">
        <v>75.001535687673169</v>
      </c>
      <c r="C64" s="357">
        <v>630.28387451171875</v>
      </c>
      <c r="D64" s="382">
        <v>5.9999995231628418</v>
      </c>
      <c r="E64" s="382"/>
      <c r="F64" s="382"/>
      <c r="G64" s="382"/>
      <c r="H64" s="382"/>
      <c r="I64" s="382"/>
      <c r="J64" s="382"/>
      <c r="K64" s="382"/>
      <c r="L64" s="382"/>
    </row>
    <row r="65" spans="1:12">
      <c r="A65" s="380">
        <v>19.999998807907104</v>
      </c>
      <c r="B65" s="357">
        <v>75.003141873249078</v>
      </c>
      <c r="C65" s="357">
        <v>632.97039794921875</v>
      </c>
      <c r="D65" s="382">
        <v>8.0000009536743164</v>
      </c>
      <c r="E65" s="382"/>
      <c r="F65" s="382"/>
      <c r="G65" s="382"/>
      <c r="H65" s="382"/>
      <c r="I65" s="382"/>
      <c r="J65" s="382"/>
      <c r="K65" s="382"/>
      <c r="L65" s="382"/>
    </row>
    <row r="66" spans="1:12">
      <c r="A66" s="380">
        <v>10.000002384185791</v>
      </c>
      <c r="B66" s="357">
        <v>75.004516063297118</v>
      </c>
      <c r="C66" s="357">
        <v>635.24981689453125</v>
      </c>
      <c r="D66" s="382">
        <v>14.999996185302734</v>
      </c>
      <c r="E66" s="382"/>
      <c r="F66" s="382"/>
      <c r="G66" s="382"/>
      <c r="H66" s="382"/>
      <c r="I66" s="382"/>
      <c r="J66" s="382"/>
      <c r="K66" s="382"/>
      <c r="L66" s="382"/>
    </row>
    <row r="67" spans="1:12">
      <c r="A67" s="381">
        <v>0</v>
      </c>
      <c r="B67" s="357">
        <v>75</v>
      </c>
      <c r="C67" s="357">
        <v>637.20928955078125</v>
      </c>
      <c r="D67" s="382">
        <v>30</v>
      </c>
      <c r="E67" s="382"/>
      <c r="F67" s="382"/>
      <c r="G67" s="382"/>
      <c r="H67" s="382"/>
      <c r="I67" s="382"/>
      <c r="J67" s="382"/>
      <c r="K67" s="382"/>
      <c r="L67" s="382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H19" sqref="H19"/>
    </sheetView>
  </sheetViews>
  <sheetFormatPr defaultRowHeight="13.2"/>
  <cols>
    <col min="1" max="6" width="16.6640625" style="523" customWidth="1"/>
    <col min="7" max="256" width="8.88671875" style="523"/>
    <col min="257" max="262" width="16.6640625" style="523" customWidth="1"/>
    <col min="263" max="512" width="8.88671875" style="523"/>
    <col min="513" max="518" width="16.6640625" style="523" customWidth="1"/>
    <col min="519" max="768" width="8.88671875" style="523"/>
    <col min="769" max="774" width="16.6640625" style="523" customWidth="1"/>
    <col min="775" max="1024" width="8.88671875" style="523"/>
    <col min="1025" max="1030" width="16.6640625" style="523" customWidth="1"/>
    <col min="1031" max="1280" width="8.88671875" style="523"/>
    <col min="1281" max="1286" width="16.6640625" style="523" customWidth="1"/>
    <col min="1287" max="1536" width="8.88671875" style="523"/>
    <col min="1537" max="1542" width="16.6640625" style="523" customWidth="1"/>
    <col min="1543" max="1792" width="8.88671875" style="523"/>
    <col min="1793" max="1798" width="16.6640625" style="523" customWidth="1"/>
    <col min="1799" max="2048" width="8.88671875" style="523"/>
    <col min="2049" max="2054" width="16.6640625" style="523" customWidth="1"/>
    <col min="2055" max="2304" width="8.88671875" style="523"/>
    <col min="2305" max="2310" width="16.6640625" style="523" customWidth="1"/>
    <col min="2311" max="2560" width="8.88671875" style="523"/>
    <col min="2561" max="2566" width="16.6640625" style="523" customWidth="1"/>
    <col min="2567" max="2816" width="8.88671875" style="523"/>
    <col min="2817" max="2822" width="16.6640625" style="523" customWidth="1"/>
    <col min="2823" max="3072" width="8.88671875" style="523"/>
    <col min="3073" max="3078" width="16.6640625" style="523" customWidth="1"/>
    <col min="3079" max="3328" width="8.88671875" style="523"/>
    <col min="3329" max="3334" width="16.6640625" style="523" customWidth="1"/>
    <col min="3335" max="3584" width="8.88671875" style="523"/>
    <col min="3585" max="3590" width="16.6640625" style="523" customWidth="1"/>
    <col min="3591" max="3840" width="8.88671875" style="523"/>
    <col min="3841" max="3846" width="16.6640625" style="523" customWidth="1"/>
    <col min="3847" max="4096" width="8.88671875" style="523"/>
    <col min="4097" max="4102" width="16.6640625" style="523" customWidth="1"/>
    <col min="4103" max="4352" width="8.88671875" style="523"/>
    <col min="4353" max="4358" width="16.6640625" style="523" customWidth="1"/>
    <col min="4359" max="4608" width="8.88671875" style="523"/>
    <col min="4609" max="4614" width="16.6640625" style="523" customWidth="1"/>
    <col min="4615" max="4864" width="8.88671875" style="523"/>
    <col min="4865" max="4870" width="16.6640625" style="523" customWidth="1"/>
    <col min="4871" max="5120" width="8.88671875" style="523"/>
    <col min="5121" max="5126" width="16.6640625" style="523" customWidth="1"/>
    <col min="5127" max="5376" width="8.88671875" style="523"/>
    <col min="5377" max="5382" width="16.6640625" style="523" customWidth="1"/>
    <col min="5383" max="5632" width="8.88671875" style="523"/>
    <col min="5633" max="5638" width="16.6640625" style="523" customWidth="1"/>
    <col min="5639" max="5888" width="8.88671875" style="523"/>
    <col min="5889" max="5894" width="16.6640625" style="523" customWidth="1"/>
    <col min="5895" max="6144" width="8.88671875" style="523"/>
    <col min="6145" max="6150" width="16.6640625" style="523" customWidth="1"/>
    <col min="6151" max="6400" width="8.88671875" style="523"/>
    <col min="6401" max="6406" width="16.6640625" style="523" customWidth="1"/>
    <col min="6407" max="6656" width="8.88671875" style="523"/>
    <col min="6657" max="6662" width="16.6640625" style="523" customWidth="1"/>
    <col min="6663" max="6912" width="8.88671875" style="523"/>
    <col min="6913" max="6918" width="16.6640625" style="523" customWidth="1"/>
    <col min="6919" max="7168" width="8.88671875" style="523"/>
    <col min="7169" max="7174" width="16.6640625" style="523" customWidth="1"/>
    <col min="7175" max="7424" width="8.88671875" style="523"/>
    <col min="7425" max="7430" width="16.6640625" style="523" customWidth="1"/>
    <col min="7431" max="7680" width="8.88671875" style="523"/>
    <col min="7681" max="7686" width="16.6640625" style="523" customWidth="1"/>
    <col min="7687" max="7936" width="8.88671875" style="523"/>
    <col min="7937" max="7942" width="16.6640625" style="523" customWidth="1"/>
    <col min="7943" max="8192" width="8.88671875" style="523"/>
    <col min="8193" max="8198" width="16.6640625" style="523" customWidth="1"/>
    <col min="8199" max="8448" width="8.88671875" style="523"/>
    <col min="8449" max="8454" width="16.6640625" style="523" customWidth="1"/>
    <col min="8455" max="8704" width="8.88671875" style="523"/>
    <col min="8705" max="8710" width="16.6640625" style="523" customWidth="1"/>
    <col min="8711" max="8960" width="8.88671875" style="523"/>
    <col min="8961" max="8966" width="16.6640625" style="523" customWidth="1"/>
    <col min="8967" max="9216" width="8.88671875" style="523"/>
    <col min="9217" max="9222" width="16.6640625" style="523" customWidth="1"/>
    <col min="9223" max="9472" width="8.88671875" style="523"/>
    <col min="9473" max="9478" width="16.6640625" style="523" customWidth="1"/>
    <col min="9479" max="9728" width="8.88671875" style="523"/>
    <col min="9729" max="9734" width="16.6640625" style="523" customWidth="1"/>
    <col min="9735" max="9984" width="8.88671875" style="523"/>
    <col min="9985" max="9990" width="16.6640625" style="523" customWidth="1"/>
    <col min="9991" max="10240" width="8.88671875" style="523"/>
    <col min="10241" max="10246" width="16.6640625" style="523" customWidth="1"/>
    <col min="10247" max="10496" width="8.88671875" style="523"/>
    <col min="10497" max="10502" width="16.6640625" style="523" customWidth="1"/>
    <col min="10503" max="10752" width="8.88671875" style="523"/>
    <col min="10753" max="10758" width="16.6640625" style="523" customWidth="1"/>
    <col min="10759" max="11008" width="8.88671875" style="523"/>
    <col min="11009" max="11014" width="16.6640625" style="523" customWidth="1"/>
    <col min="11015" max="11264" width="8.88671875" style="523"/>
    <col min="11265" max="11270" width="16.6640625" style="523" customWidth="1"/>
    <col min="11271" max="11520" width="8.88671875" style="523"/>
    <col min="11521" max="11526" width="16.6640625" style="523" customWidth="1"/>
    <col min="11527" max="11776" width="8.88671875" style="523"/>
    <col min="11777" max="11782" width="16.6640625" style="523" customWidth="1"/>
    <col min="11783" max="12032" width="8.88671875" style="523"/>
    <col min="12033" max="12038" width="16.6640625" style="523" customWidth="1"/>
    <col min="12039" max="12288" width="8.88671875" style="523"/>
    <col min="12289" max="12294" width="16.6640625" style="523" customWidth="1"/>
    <col min="12295" max="12544" width="8.88671875" style="523"/>
    <col min="12545" max="12550" width="16.6640625" style="523" customWidth="1"/>
    <col min="12551" max="12800" width="8.88671875" style="523"/>
    <col min="12801" max="12806" width="16.6640625" style="523" customWidth="1"/>
    <col min="12807" max="13056" width="8.88671875" style="523"/>
    <col min="13057" max="13062" width="16.6640625" style="523" customWidth="1"/>
    <col min="13063" max="13312" width="8.88671875" style="523"/>
    <col min="13313" max="13318" width="16.6640625" style="523" customWidth="1"/>
    <col min="13319" max="13568" width="8.88671875" style="523"/>
    <col min="13569" max="13574" width="16.6640625" style="523" customWidth="1"/>
    <col min="13575" max="13824" width="8.88671875" style="523"/>
    <col min="13825" max="13830" width="16.6640625" style="523" customWidth="1"/>
    <col min="13831" max="14080" width="8.88671875" style="523"/>
    <col min="14081" max="14086" width="16.6640625" style="523" customWidth="1"/>
    <col min="14087" max="14336" width="8.88671875" style="523"/>
    <col min="14337" max="14342" width="16.6640625" style="523" customWidth="1"/>
    <col min="14343" max="14592" width="8.88671875" style="523"/>
    <col min="14593" max="14598" width="16.6640625" style="523" customWidth="1"/>
    <col min="14599" max="14848" width="8.88671875" style="523"/>
    <col min="14849" max="14854" width="16.6640625" style="523" customWidth="1"/>
    <col min="14855" max="15104" width="8.88671875" style="523"/>
    <col min="15105" max="15110" width="16.6640625" style="523" customWidth="1"/>
    <col min="15111" max="15360" width="8.88671875" style="523"/>
    <col min="15361" max="15366" width="16.6640625" style="523" customWidth="1"/>
    <col min="15367" max="15616" width="8.88671875" style="523"/>
    <col min="15617" max="15622" width="16.6640625" style="523" customWidth="1"/>
    <col min="15623" max="15872" width="8.88671875" style="523"/>
    <col min="15873" max="15878" width="16.6640625" style="523" customWidth="1"/>
    <col min="15879" max="16128" width="8.88671875" style="523"/>
    <col min="16129" max="16134" width="16.6640625" style="523" customWidth="1"/>
    <col min="16135" max="16384" width="8.88671875" style="523"/>
  </cols>
  <sheetData>
    <row r="1" spans="1:6" ht="18.899999999999999" customHeight="1">
      <c r="A1" s="520"/>
      <c r="B1" s="521"/>
      <c r="C1" s="521"/>
      <c r="D1" s="521"/>
      <c r="E1" s="521"/>
      <c r="F1" s="522"/>
    </row>
    <row r="2" spans="1:6" ht="26.1" customHeight="1">
      <c r="A2" s="524" t="s">
        <v>250</v>
      </c>
      <c r="B2" s="525"/>
      <c r="C2" s="525"/>
      <c r="D2" s="525"/>
      <c r="E2" s="525"/>
      <c r="F2" s="526"/>
    </row>
    <row r="3" spans="1:6" ht="18.899999999999999" customHeight="1">
      <c r="A3" s="706" t="s">
        <v>739</v>
      </c>
      <c r="B3" s="707"/>
      <c r="C3" s="707"/>
      <c r="D3" s="707"/>
      <c r="E3" s="707"/>
      <c r="F3" s="708"/>
    </row>
    <row r="4" spans="1:6" ht="18.899999999999999" customHeight="1">
      <c r="A4" s="709" t="s">
        <v>578</v>
      </c>
      <c r="B4" s="710"/>
      <c r="C4" s="710"/>
      <c r="D4" s="710"/>
      <c r="E4" s="710"/>
      <c r="F4" s="711"/>
    </row>
    <row r="5" spans="1:6" ht="18.899999999999999" customHeight="1">
      <c r="A5" s="527"/>
      <c r="B5" s="528"/>
      <c r="C5" s="528"/>
      <c r="D5" s="528"/>
      <c r="E5" s="528"/>
      <c r="F5" s="529"/>
    </row>
    <row r="6" spans="1:6" ht="18.899999999999999" customHeight="1">
      <c r="A6" s="368" t="s">
        <v>390</v>
      </c>
      <c r="B6" s="703" t="str">
        <f>'Performance Data Sheet'!C17</f>
        <v>QUOTE 33791</v>
      </c>
      <c r="C6" s="704"/>
      <c r="D6" s="705"/>
      <c r="E6" s="368" t="s">
        <v>391</v>
      </c>
      <c r="F6" s="369" t="str">
        <f>'Performance Data Sheet'!I14 &amp; " A"</f>
        <v>149 A</v>
      </c>
    </row>
    <row r="7" spans="1:6" ht="18.899999999999999" customHeight="1">
      <c r="A7" s="368" t="s">
        <v>392</v>
      </c>
      <c r="B7" s="369" t="str">
        <f>'Performance Data Sheet'!F14</f>
        <v>TEFC</v>
      </c>
      <c r="C7" s="368" t="s">
        <v>393</v>
      </c>
      <c r="D7" s="369" t="str">
        <f>'Performance Data Sheet'!F13 &amp; " V"</f>
        <v>2300 V</v>
      </c>
      <c r="E7" s="368" t="s">
        <v>394</v>
      </c>
      <c r="F7" s="369" t="str">
        <f>'Performance Data Sheet'!C14</f>
        <v>6811USS</v>
      </c>
    </row>
    <row r="8" spans="1:6" ht="18.899999999999999" customHeight="1">
      <c r="A8" s="368" t="s">
        <v>395</v>
      </c>
      <c r="B8" s="369">
        <v>2</v>
      </c>
      <c r="C8" s="368" t="s">
        <v>396</v>
      </c>
      <c r="D8" s="369" t="s">
        <v>397</v>
      </c>
      <c r="E8" s="368" t="s">
        <v>398</v>
      </c>
      <c r="F8" s="369" t="s">
        <v>343</v>
      </c>
    </row>
    <row r="9" spans="1:6" ht="18.899999999999999" customHeight="1">
      <c r="A9" s="368" t="s">
        <v>399</v>
      </c>
      <c r="B9" s="369">
        <v>700</v>
      </c>
      <c r="C9" s="368" t="s">
        <v>400</v>
      </c>
      <c r="D9" s="369" t="s">
        <v>415</v>
      </c>
      <c r="E9" s="368" t="s">
        <v>2</v>
      </c>
      <c r="F9" s="370">
        <f>'Performance Data Sheet'!K44</f>
        <v>44908</v>
      </c>
    </row>
    <row r="10" spans="1:6" ht="18.899999999999999" customHeight="1">
      <c r="A10" s="368" t="s">
        <v>401</v>
      </c>
      <c r="B10" s="369">
        <v>3575</v>
      </c>
      <c r="C10" s="368" t="s">
        <v>402</v>
      </c>
      <c r="D10" s="369" t="s">
        <v>403</v>
      </c>
      <c r="E10" s="368" t="s">
        <v>1</v>
      </c>
      <c r="F10" s="369" t="s">
        <v>360</v>
      </c>
    </row>
    <row r="11" spans="1:6" ht="18.899999999999999" customHeight="1">
      <c r="A11" s="527"/>
      <c r="B11" s="528"/>
      <c r="C11" s="528"/>
      <c r="D11" s="528"/>
      <c r="E11" s="528"/>
      <c r="F11" s="529"/>
    </row>
    <row r="12" spans="1:6" ht="18.899999999999999" customHeight="1">
      <c r="A12" s="527"/>
      <c r="B12" s="530"/>
      <c r="C12" s="531"/>
      <c r="D12" s="530"/>
      <c r="E12" s="531"/>
      <c r="F12" s="529"/>
    </row>
    <row r="13" spans="1:6" ht="18.899999999999999" customHeight="1">
      <c r="A13" s="527"/>
      <c r="B13" s="530"/>
      <c r="C13" s="532"/>
      <c r="D13" s="530"/>
      <c r="E13" s="531"/>
      <c r="F13" s="529"/>
    </row>
    <row r="14" spans="1:6" ht="18.899999999999999" customHeight="1">
      <c r="A14" s="527"/>
      <c r="B14" s="530"/>
      <c r="C14" s="532"/>
      <c r="D14" s="530"/>
      <c r="E14" s="531"/>
      <c r="F14" s="529"/>
    </row>
    <row r="15" spans="1:6" ht="18.899999999999999" customHeight="1">
      <c r="A15" s="527"/>
      <c r="B15" s="530"/>
      <c r="C15" s="531"/>
      <c r="D15" s="528"/>
      <c r="E15" s="528"/>
      <c r="F15" s="529"/>
    </row>
    <row r="16" spans="1:6" ht="18.899999999999999" customHeight="1">
      <c r="A16" s="527"/>
      <c r="B16" s="528"/>
      <c r="C16" s="528"/>
      <c r="D16" s="528"/>
      <c r="E16" s="528"/>
      <c r="F16" s="529"/>
    </row>
    <row r="17" spans="1:6" ht="18.899999999999999" customHeight="1">
      <c r="A17" s="527"/>
      <c r="B17" s="528"/>
      <c r="C17" s="528"/>
      <c r="D17" s="528"/>
      <c r="E17" s="528"/>
      <c r="F17" s="529"/>
    </row>
    <row r="18" spans="1:6" ht="18.899999999999999" customHeight="1">
      <c r="A18" s="527"/>
      <c r="B18" s="528"/>
      <c r="C18" s="528"/>
      <c r="D18" s="528"/>
      <c r="E18" s="528"/>
      <c r="F18" s="529"/>
    </row>
    <row r="19" spans="1:6" ht="18.899999999999999" customHeight="1">
      <c r="A19" s="527"/>
      <c r="B19" s="528"/>
      <c r="C19" s="528"/>
      <c r="D19" s="528"/>
      <c r="E19" s="528"/>
      <c r="F19" s="529"/>
    </row>
    <row r="20" spans="1:6" ht="18.899999999999999" customHeight="1">
      <c r="A20" s="527"/>
      <c r="B20" s="528"/>
      <c r="C20" s="528"/>
      <c r="D20" s="528"/>
      <c r="E20" s="528"/>
      <c r="F20" s="529"/>
    </row>
    <row r="21" spans="1:6" ht="18.899999999999999" customHeight="1">
      <c r="A21" s="527"/>
      <c r="B21" s="528"/>
      <c r="C21" s="528"/>
      <c r="D21" s="528"/>
      <c r="E21" s="528"/>
      <c r="F21" s="529"/>
    </row>
    <row r="22" spans="1:6" ht="18.899999999999999" customHeight="1">
      <c r="A22" s="527"/>
      <c r="B22" s="528"/>
      <c r="C22" s="528"/>
      <c r="D22" s="528"/>
      <c r="E22" s="528"/>
      <c r="F22" s="529"/>
    </row>
    <row r="23" spans="1:6" ht="18.899999999999999" customHeight="1">
      <c r="A23" s="527"/>
      <c r="B23" s="528"/>
      <c r="C23" s="528"/>
      <c r="D23" s="528"/>
      <c r="E23" s="528"/>
      <c r="F23" s="529"/>
    </row>
    <row r="24" spans="1:6" ht="18.899999999999999" customHeight="1">
      <c r="A24" s="527"/>
      <c r="B24" s="528"/>
      <c r="C24" s="528"/>
      <c r="D24" s="528"/>
      <c r="E24" s="528"/>
      <c r="F24" s="529"/>
    </row>
    <row r="25" spans="1:6" ht="18.899999999999999" customHeight="1">
      <c r="A25" s="527"/>
      <c r="B25" s="528"/>
      <c r="C25" s="528"/>
      <c r="D25" s="528"/>
      <c r="E25" s="528"/>
      <c r="F25" s="529"/>
    </row>
    <row r="26" spans="1:6" ht="18.899999999999999" customHeight="1">
      <c r="A26" s="527"/>
      <c r="B26" s="528"/>
      <c r="C26" s="528"/>
      <c r="D26" s="528"/>
      <c r="E26" s="528"/>
      <c r="F26" s="529"/>
    </row>
    <row r="27" spans="1:6" ht="18.899999999999999" customHeight="1">
      <c r="A27" s="527"/>
      <c r="B27" s="528"/>
      <c r="C27" s="528"/>
      <c r="D27" s="528"/>
      <c r="E27" s="528"/>
      <c r="F27" s="529"/>
    </row>
    <row r="28" spans="1:6" ht="18.899999999999999" customHeight="1">
      <c r="A28" s="527"/>
      <c r="B28" s="528"/>
      <c r="C28" s="528"/>
      <c r="D28" s="528"/>
      <c r="E28" s="528"/>
      <c r="F28" s="529"/>
    </row>
    <row r="29" spans="1:6" ht="18.899999999999999" customHeight="1">
      <c r="A29" s="527"/>
      <c r="B29" s="528"/>
      <c r="C29" s="528"/>
      <c r="D29" s="528"/>
      <c r="E29" s="528"/>
      <c r="F29" s="529"/>
    </row>
    <row r="30" spans="1:6" ht="18.899999999999999" customHeight="1">
      <c r="A30" s="527"/>
      <c r="B30" s="528"/>
      <c r="C30" s="528"/>
      <c r="D30" s="528"/>
      <c r="E30" s="528"/>
      <c r="F30" s="529"/>
    </row>
    <row r="31" spans="1:6" ht="18.899999999999999" customHeight="1">
      <c r="A31" s="527"/>
      <c r="B31" s="528"/>
      <c r="C31" s="528"/>
      <c r="D31" s="528"/>
      <c r="E31" s="528"/>
      <c r="F31" s="529"/>
    </row>
    <row r="32" spans="1:6" ht="18.899999999999999" customHeight="1">
      <c r="A32" s="527"/>
      <c r="B32" s="528"/>
      <c r="C32" s="528"/>
      <c r="D32" s="528"/>
      <c r="E32" s="528"/>
      <c r="F32" s="529"/>
    </row>
    <row r="33" spans="1:6" ht="18.899999999999999" customHeight="1">
      <c r="A33" s="527"/>
      <c r="B33" s="528"/>
      <c r="C33" s="528"/>
      <c r="D33" s="528"/>
      <c r="E33" s="528"/>
      <c r="F33" s="529"/>
    </row>
    <row r="34" spans="1:6" ht="18.899999999999999" customHeight="1">
      <c r="A34" s="527"/>
      <c r="B34" s="528"/>
      <c r="C34" s="528"/>
      <c r="D34" s="528"/>
      <c r="E34" s="528"/>
      <c r="F34" s="529"/>
    </row>
    <row r="35" spans="1:6" ht="18.899999999999999" customHeight="1">
      <c r="A35" s="527"/>
      <c r="B35" s="528"/>
      <c r="C35" s="528"/>
      <c r="D35" s="528"/>
      <c r="E35" s="528"/>
      <c r="F35" s="529"/>
    </row>
    <row r="36" spans="1:6" ht="18.899999999999999" customHeight="1">
      <c r="A36" s="527"/>
      <c r="B36" s="528"/>
      <c r="C36" s="528"/>
      <c r="D36" s="528"/>
      <c r="E36" s="528"/>
      <c r="F36" s="529"/>
    </row>
    <row r="37" spans="1:6" ht="18.899999999999999" customHeight="1">
      <c r="A37" s="527"/>
      <c r="B37" s="528"/>
      <c r="C37" s="528"/>
      <c r="D37" s="528"/>
      <c r="E37" s="528"/>
      <c r="F37" s="529"/>
    </row>
    <row r="38" spans="1:6" ht="18.899999999999999" customHeight="1">
      <c r="A38" s="527"/>
      <c r="B38" s="528"/>
      <c r="C38" s="528"/>
      <c r="D38" s="528"/>
      <c r="E38" s="528"/>
      <c r="F38" s="529"/>
    </row>
    <row r="39" spans="1:6" ht="18.899999999999999" customHeight="1">
      <c r="A39" s="374" t="s">
        <v>411</v>
      </c>
      <c r="B39" s="375" t="s">
        <v>351</v>
      </c>
      <c r="C39" s="519" t="str">
        <f>'Performance Data Sheet'!C10</f>
        <v>QUOTE 33791</v>
      </c>
      <c r="D39" s="366"/>
      <c r="E39" s="371" t="s">
        <v>412</v>
      </c>
      <c r="F39" s="376" t="str">
        <f>F10</f>
        <v>CS2700U</v>
      </c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413</v>
      </c>
      <c r="D43" s="379" t="str">
        <f>'Performance Data Sheet'!K42</f>
        <v>JERRY R</v>
      </c>
      <c r="E43" s="378" t="s">
        <v>414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33" t="e">
        <f>5252.1*B50/D53</f>
        <v>#DIV/0!</v>
      </c>
      <c r="G50" s="533"/>
    </row>
    <row r="51" spans="6:9" ht="15" customHeight="1">
      <c r="G51" s="53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35"/>
    </row>
    <row r="63" spans="6:9">
      <c r="I63" s="536" t="s">
        <v>39</v>
      </c>
    </row>
    <row r="64" spans="6:9">
      <c r="I64" s="536"/>
    </row>
    <row r="65" spans="1:9">
      <c r="I65" s="536"/>
    </row>
    <row r="66" spans="1:9">
      <c r="D66" s="533" t="e">
        <f>D65/D64</f>
        <v>#DIV/0!</v>
      </c>
    </row>
    <row r="67" spans="1:9">
      <c r="A67" s="537" t="s">
        <v>387</v>
      </c>
      <c r="B67" s="537" t="s">
        <v>579</v>
      </c>
      <c r="C67" s="537" t="s">
        <v>580</v>
      </c>
      <c r="E67" s="537" t="s">
        <v>581</v>
      </c>
      <c r="F67" s="537" t="s">
        <v>582</v>
      </c>
    </row>
    <row r="68" spans="1:9">
      <c r="A68" s="538">
        <v>637.20930232558135</v>
      </c>
      <c r="B68" s="539">
        <v>35</v>
      </c>
      <c r="C68" s="539">
        <v>15</v>
      </c>
      <c r="E68" s="538">
        <f>A68</f>
        <v>637.20930232558135</v>
      </c>
      <c r="F68" s="539">
        <v>1E-4</v>
      </c>
    </row>
    <row r="69" spans="1:9">
      <c r="A69" s="538">
        <v>567.47984186046506</v>
      </c>
      <c r="B69" s="539">
        <f>((A68/A69)^2)*B68</f>
        <v>44.129741223553147</v>
      </c>
      <c r="C69" s="539">
        <f>((A68/A69)^2)*C68</f>
        <v>18.912746238665633</v>
      </c>
      <c r="E69" s="538">
        <v>636.27906976744191</v>
      </c>
      <c r="F69" s="539">
        <v>1.7630000114440918</v>
      </c>
    </row>
    <row r="70" spans="1:9">
      <c r="A70" s="538">
        <v>497.72946046511629</v>
      </c>
      <c r="B70" s="539">
        <f>((A68/A70)^2)*B68</f>
        <v>57.364810635011793</v>
      </c>
      <c r="C70" s="539">
        <f>((A68/A70)^2)*C68</f>
        <v>24.584918843576482</v>
      </c>
      <c r="E70" s="538">
        <v>634.06976744186034</v>
      </c>
      <c r="F70" s="539">
        <v>3.2200000286102295</v>
      </c>
    </row>
    <row r="71" spans="1:9">
      <c r="A71" s="538">
        <v>428</v>
      </c>
      <c r="B71" s="539">
        <f>((A68/A71)^2)*B68</f>
        <v>77.579097104326223</v>
      </c>
      <c r="C71" s="539">
        <f>((A68/A71)^2)*C68</f>
        <v>33.248184473282663</v>
      </c>
      <c r="E71" s="538">
        <v>631.62790697674427</v>
      </c>
      <c r="F71" s="539">
        <v>4.5809998512268066</v>
      </c>
    </row>
    <row r="72" spans="1:9">
      <c r="A72" s="538">
        <f>A71-100</f>
        <v>328</v>
      </c>
      <c r="B72" s="539">
        <f>((A68/A72)^2)*B68</f>
        <v>132.09445014090286</v>
      </c>
      <c r="C72" s="539"/>
      <c r="E72" s="538">
        <v>628.7209302325582</v>
      </c>
      <c r="F72" s="539">
        <v>5.9419999122619629</v>
      </c>
    </row>
    <row r="73" spans="1:9">
      <c r="A73" s="538">
        <f>A72-100</f>
        <v>228</v>
      </c>
      <c r="B73" s="539">
        <f>((A68/A73)^2)*B68</f>
        <v>273.37737234454625</v>
      </c>
      <c r="C73" s="539"/>
      <c r="E73" s="538">
        <v>625.11627906976742</v>
      </c>
      <c r="F73" s="539">
        <v>7.3880000114440918</v>
      </c>
    </row>
    <row r="74" spans="1:9">
      <c r="A74" s="538">
        <v>280</v>
      </c>
      <c r="B74" s="539">
        <f>((A68/A74)^2)*B68</f>
        <v>181.26593525457776</v>
      </c>
      <c r="C74" s="539">
        <f>((A68/A74)^2)*C68</f>
        <v>77.685400823390466</v>
      </c>
      <c r="E74" s="538">
        <v>620.93023255813955</v>
      </c>
      <c r="F74" s="539">
        <v>9.0109996795654297</v>
      </c>
    </row>
    <row r="75" spans="1:9">
      <c r="A75" s="540">
        <v>180</v>
      </c>
      <c r="B75" s="539">
        <f>((A68/A75)^2)*B69</f>
        <v>553.03241193095289</v>
      </c>
      <c r="C75" s="539">
        <f>((A68/A75)^2)*C68</f>
        <v>187.97948841215469</v>
      </c>
      <c r="E75" s="538">
        <v>615.93023255813966</v>
      </c>
      <c r="F75" s="539">
        <v>10.906999588012695</v>
      </c>
    </row>
    <row r="76" spans="1:9">
      <c r="A76" s="540">
        <v>145</v>
      </c>
      <c r="B76" s="539">
        <f>((A68/A76)^2)*B68</f>
        <v>675.92148984346693</v>
      </c>
      <c r="C76" s="539">
        <f>((A68/A76)^2)*C68</f>
        <v>289.68063850434294</v>
      </c>
      <c r="E76" s="538">
        <v>608.83720930232562</v>
      </c>
      <c r="F76" s="539">
        <v>13.007999420166016</v>
      </c>
    </row>
    <row r="77" spans="1:9">
      <c r="A77" s="540">
        <v>125</v>
      </c>
      <c r="B77" s="539"/>
      <c r="C77" s="538">
        <f>CEILING(C76*2,100)</f>
        <v>600</v>
      </c>
      <c r="E77" s="538">
        <v>600.69767441860461</v>
      </c>
      <c r="F77" s="539">
        <v>14.00999927520752</v>
      </c>
    </row>
    <row r="78" spans="1:9">
      <c r="A78" s="540">
        <v>125</v>
      </c>
      <c r="B78" s="539"/>
      <c r="C78" s="538">
        <f>2*C77</f>
        <v>1200</v>
      </c>
      <c r="E78" s="538">
        <v>587.09302325581393</v>
      </c>
      <c r="F78" s="539">
        <v>14.703999519348145</v>
      </c>
    </row>
    <row r="79" spans="1:9">
      <c r="A79" s="540">
        <v>125</v>
      </c>
      <c r="B79" s="540"/>
      <c r="C79" s="540">
        <v>10000</v>
      </c>
      <c r="E79" s="538">
        <v>540.93023255813955</v>
      </c>
      <c r="F79" s="539">
        <v>15.048999786376953</v>
      </c>
    </row>
    <row r="80" spans="1:9">
      <c r="E80" s="538">
        <v>340.93023255813955</v>
      </c>
      <c r="F80" s="539">
        <v>15.278999328613281</v>
      </c>
    </row>
    <row r="81" spans="5:6">
      <c r="E81" s="538">
        <v>0</v>
      </c>
      <c r="F81" s="539">
        <v>15.351999282836914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C13" sqref="C13"/>
    </sheetView>
  </sheetViews>
  <sheetFormatPr defaultRowHeight="13.2"/>
  <cols>
    <col min="1" max="6" width="16.6640625" customWidth="1"/>
    <col min="257" max="262" width="16.6640625" customWidth="1"/>
    <col min="513" max="518" width="16.6640625" customWidth="1"/>
    <col min="769" max="774" width="16.6640625" customWidth="1"/>
    <col min="1025" max="1030" width="16.6640625" customWidth="1"/>
    <col min="1281" max="1286" width="16.6640625" customWidth="1"/>
    <col min="1537" max="1542" width="16.6640625" customWidth="1"/>
    <col min="1793" max="1798" width="16.6640625" customWidth="1"/>
    <col min="2049" max="2054" width="16.6640625" customWidth="1"/>
    <col min="2305" max="2310" width="16.6640625" customWidth="1"/>
    <col min="2561" max="2566" width="16.6640625" customWidth="1"/>
    <col min="2817" max="2822" width="16.6640625" customWidth="1"/>
    <col min="3073" max="3078" width="16.6640625" customWidth="1"/>
    <col min="3329" max="3334" width="16.6640625" customWidth="1"/>
    <col min="3585" max="3590" width="16.6640625" customWidth="1"/>
    <col min="3841" max="3846" width="16.6640625" customWidth="1"/>
    <col min="4097" max="4102" width="16.6640625" customWidth="1"/>
    <col min="4353" max="4358" width="16.6640625" customWidth="1"/>
    <col min="4609" max="4614" width="16.6640625" customWidth="1"/>
    <col min="4865" max="4870" width="16.6640625" customWidth="1"/>
    <col min="5121" max="5126" width="16.6640625" customWidth="1"/>
    <col min="5377" max="5382" width="16.6640625" customWidth="1"/>
    <col min="5633" max="5638" width="16.6640625" customWidth="1"/>
    <col min="5889" max="5894" width="16.6640625" customWidth="1"/>
    <col min="6145" max="6150" width="16.6640625" customWidth="1"/>
    <col min="6401" max="6406" width="16.6640625" customWidth="1"/>
    <col min="6657" max="6662" width="16.6640625" customWidth="1"/>
    <col min="6913" max="6918" width="16.6640625" customWidth="1"/>
    <col min="7169" max="7174" width="16.6640625" customWidth="1"/>
    <col min="7425" max="7430" width="16.6640625" customWidth="1"/>
    <col min="7681" max="7686" width="16.6640625" customWidth="1"/>
    <col min="7937" max="7942" width="16.6640625" customWidth="1"/>
    <col min="8193" max="8198" width="16.6640625" customWidth="1"/>
    <col min="8449" max="8454" width="16.6640625" customWidth="1"/>
    <col min="8705" max="8710" width="16.6640625" customWidth="1"/>
    <col min="8961" max="8966" width="16.6640625" customWidth="1"/>
    <col min="9217" max="9222" width="16.6640625" customWidth="1"/>
    <col min="9473" max="9478" width="16.6640625" customWidth="1"/>
    <col min="9729" max="9734" width="16.6640625" customWidth="1"/>
    <col min="9985" max="9990" width="16.6640625" customWidth="1"/>
    <col min="10241" max="10246" width="16.6640625" customWidth="1"/>
    <col min="10497" max="10502" width="16.6640625" customWidth="1"/>
    <col min="10753" max="10758" width="16.6640625" customWidth="1"/>
    <col min="11009" max="11014" width="16.6640625" customWidth="1"/>
    <col min="11265" max="11270" width="16.6640625" customWidth="1"/>
    <col min="11521" max="11526" width="16.6640625" customWidth="1"/>
    <col min="11777" max="11782" width="16.6640625" customWidth="1"/>
    <col min="12033" max="12038" width="16.6640625" customWidth="1"/>
    <col min="12289" max="12294" width="16.6640625" customWidth="1"/>
    <col min="12545" max="12550" width="16.6640625" customWidth="1"/>
    <col min="12801" max="12806" width="16.6640625" customWidth="1"/>
    <col min="13057" max="13062" width="16.6640625" customWidth="1"/>
    <col min="13313" max="13318" width="16.6640625" customWidth="1"/>
    <col min="13569" max="13574" width="16.6640625" customWidth="1"/>
    <col min="13825" max="13830" width="16.6640625" customWidth="1"/>
    <col min="14081" max="14086" width="16.6640625" customWidth="1"/>
    <col min="14337" max="14342" width="16.6640625" customWidth="1"/>
    <col min="14593" max="14598" width="16.6640625" customWidth="1"/>
    <col min="14849" max="14854" width="16.6640625" customWidth="1"/>
    <col min="15105" max="15110" width="16.6640625" customWidth="1"/>
    <col min="15361" max="15366" width="16.6640625" customWidth="1"/>
    <col min="15617" max="15622" width="16.6640625" customWidth="1"/>
    <col min="15873" max="15878" width="16.6640625" customWidth="1"/>
    <col min="16129" max="16134" width="16.6640625" customWidth="1"/>
  </cols>
  <sheetData>
    <row r="1" spans="1:6" ht="18.899999999999999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250</v>
      </c>
      <c r="B2" s="362"/>
      <c r="C2" s="362"/>
      <c r="D2" s="362"/>
      <c r="E2" s="362"/>
      <c r="F2" s="363"/>
    </row>
    <row r="3" spans="1:6" ht="18.899999999999999" customHeight="1">
      <c r="A3" s="364" t="s">
        <v>740</v>
      </c>
      <c r="B3" s="362"/>
      <c r="C3" s="362"/>
      <c r="D3" s="362"/>
      <c r="E3" s="362"/>
      <c r="F3" s="363"/>
    </row>
    <row r="4" spans="1:6" ht="18.899999999999999" customHeight="1">
      <c r="A4" s="712" t="s">
        <v>578</v>
      </c>
      <c r="B4" s="713"/>
      <c r="C4" s="713"/>
      <c r="D4" s="713"/>
      <c r="E4" s="713"/>
      <c r="F4" s="714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390</v>
      </c>
      <c r="B6" s="703" t="str">
        <f>'Performance Data Sheet'!C17</f>
        <v>QUOTE 33791</v>
      </c>
      <c r="C6" s="704"/>
      <c r="D6" s="705"/>
      <c r="E6" s="368" t="s">
        <v>391</v>
      </c>
      <c r="F6" s="369" t="s">
        <v>750</v>
      </c>
    </row>
    <row r="7" spans="1:6" ht="18.899999999999999" customHeight="1">
      <c r="A7" s="368" t="s">
        <v>392</v>
      </c>
      <c r="B7" s="369" t="str">
        <f>'Performance Data Sheet'!F14</f>
        <v>TEFC</v>
      </c>
      <c r="C7" s="368" t="s">
        <v>393</v>
      </c>
      <c r="D7" s="369" t="s">
        <v>749</v>
      </c>
      <c r="E7" s="368" t="s">
        <v>394</v>
      </c>
      <c r="F7" s="369" t="str">
        <f>'Performance Data Sheet'!C14</f>
        <v>6811USS</v>
      </c>
    </row>
    <row r="8" spans="1:6" ht="18.899999999999999" customHeight="1">
      <c r="A8" s="368" t="s">
        <v>395</v>
      </c>
      <c r="B8" s="369">
        <v>2</v>
      </c>
      <c r="C8" s="368" t="s">
        <v>396</v>
      </c>
      <c r="D8" s="369" t="s">
        <v>397</v>
      </c>
      <c r="E8" s="368" t="s">
        <v>398</v>
      </c>
      <c r="F8" s="369" t="s">
        <v>343</v>
      </c>
    </row>
    <row r="9" spans="1:6" ht="18.899999999999999" customHeight="1">
      <c r="A9" s="368" t="s">
        <v>399</v>
      </c>
      <c r="B9" s="369">
        <v>700</v>
      </c>
      <c r="C9" s="368" t="s">
        <v>400</v>
      </c>
      <c r="D9" s="369" t="s">
        <v>415</v>
      </c>
      <c r="E9" s="368" t="s">
        <v>2</v>
      </c>
      <c r="F9" s="370">
        <f>'Performance Data Sheet'!K44</f>
        <v>44908</v>
      </c>
    </row>
    <row r="10" spans="1:6" ht="18.899999999999999" customHeight="1">
      <c r="A10" s="368" t="s">
        <v>401</v>
      </c>
      <c r="B10" s="369">
        <v>3575</v>
      </c>
      <c r="C10" s="368" t="s">
        <v>402</v>
      </c>
      <c r="D10" s="369" t="s">
        <v>403</v>
      </c>
      <c r="E10" s="368" t="s">
        <v>1</v>
      </c>
      <c r="F10" s="369" t="s">
        <v>360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 t="s">
        <v>404</v>
      </c>
      <c r="C12" s="372" t="s">
        <v>751</v>
      </c>
      <c r="D12" s="371" t="s">
        <v>405</v>
      </c>
      <c r="E12" s="372" t="s">
        <v>403</v>
      </c>
      <c r="F12" s="367"/>
    </row>
    <row r="13" spans="1:6" ht="18.899999999999999" customHeight="1">
      <c r="A13" s="365"/>
      <c r="B13" s="371" t="s">
        <v>406</v>
      </c>
      <c r="C13" s="373">
        <v>0.75</v>
      </c>
      <c r="D13" s="371" t="s">
        <v>407</v>
      </c>
      <c r="E13" s="372" t="s">
        <v>403</v>
      </c>
      <c r="F13" s="367"/>
    </row>
    <row r="14" spans="1:6" ht="18.899999999999999" customHeight="1">
      <c r="A14" s="365"/>
      <c r="B14" s="371" t="s">
        <v>408</v>
      </c>
      <c r="C14" s="373">
        <v>2.8</v>
      </c>
      <c r="D14" s="371" t="s">
        <v>409</v>
      </c>
      <c r="E14" s="372" t="s">
        <v>403</v>
      </c>
      <c r="F14" s="367"/>
    </row>
    <row r="15" spans="1:6" ht="18.899999999999999" customHeight="1">
      <c r="A15" s="365"/>
      <c r="B15" s="371" t="s">
        <v>410</v>
      </c>
      <c r="C15" s="372" t="s">
        <v>416</v>
      </c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8" ht="18.899999999999999" customHeight="1">
      <c r="A17" s="365"/>
      <c r="B17" s="366"/>
      <c r="C17" s="366"/>
      <c r="D17" s="366"/>
      <c r="E17" s="366"/>
      <c r="F17" s="367"/>
    </row>
    <row r="18" spans="1:8" ht="18.899999999999999" customHeight="1">
      <c r="A18" s="365"/>
      <c r="B18" s="366"/>
      <c r="C18" s="366"/>
      <c r="D18" s="366"/>
      <c r="E18" s="366"/>
      <c r="F18" s="367"/>
    </row>
    <row r="19" spans="1:8" ht="18.899999999999999" customHeight="1">
      <c r="A19" s="365"/>
      <c r="B19" s="366"/>
      <c r="C19" s="366"/>
      <c r="D19" s="366"/>
      <c r="E19" s="366"/>
      <c r="F19" s="367"/>
    </row>
    <row r="20" spans="1:8" ht="18.899999999999999" customHeight="1">
      <c r="A20" s="365"/>
      <c r="B20" s="366"/>
      <c r="C20" s="366"/>
      <c r="D20" s="366"/>
      <c r="E20" s="366"/>
      <c r="F20" s="367"/>
    </row>
    <row r="21" spans="1:8" ht="18.899999999999999" customHeight="1">
      <c r="A21" s="365"/>
      <c r="B21" s="366"/>
      <c r="C21" s="366"/>
      <c r="D21" s="366"/>
      <c r="E21" s="366"/>
      <c r="F21" s="367"/>
    </row>
    <row r="22" spans="1:8" ht="18.899999999999999" customHeight="1">
      <c r="A22" s="365"/>
      <c r="B22" s="366"/>
      <c r="C22" s="366"/>
      <c r="D22" s="366"/>
      <c r="E22" s="366"/>
      <c r="F22" s="367"/>
    </row>
    <row r="23" spans="1:8" ht="18.899999999999999" customHeight="1">
      <c r="A23" s="365"/>
      <c r="B23" s="366"/>
      <c r="C23" s="366"/>
      <c r="D23" s="366"/>
      <c r="E23" s="366"/>
      <c r="F23" s="367"/>
    </row>
    <row r="24" spans="1:8" ht="18.899999999999999" customHeight="1">
      <c r="A24" s="365"/>
      <c r="B24" s="366"/>
      <c r="C24" s="366"/>
      <c r="D24" s="366"/>
      <c r="E24" s="366"/>
      <c r="F24" s="367"/>
      <c r="H24" s="541"/>
    </row>
    <row r="25" spans="1:8" ht="18.899999999999999" customHeight="1">
      <c r="A25" s="365"/>
      <c r="B25" s="366"/>
      <c r="C25" s="366"/>
      <c r="D25" s="366"/>
      <c r="E25" s="366"/>
      <c r="F25" s="367"/>
    </row>
    <row r="26" spans="1:8" ht="18.899999999999999" customHeight="1">
      <c r="A26" s="365"/>
      <c r="B26" s="366"/>
      <c r="C26" s="366"/>
      <c r="D26" s="366"/>
      <c r="E26" s="366"/>
      <c r="F26" s="367"/>
    </row>
    <row r="27" spans="1:8" ht="18.899999999999999" customHeight="1">
      <c r="A27" s="365"/>
      <c r="B27" s="366"/>
      <c r="C27" s="366"/>
      <c r="D27" s="366"/>
      <c r="E27" s="366"/>
      <c r="F27" s="367"/>
    </row>
    <row r="28" spans="1:8" ht="18.899999999999999" customHeight="1">
      <c r="A28" s="365"/>
      <c r="B28" s="366"/>
      <c r="C28" s="366"/>
      <c r="D28" s="366"/>
      <c r="E28" s="366"/>
      <c r="F28" s="367"/>
    </row>
    <row r="29" spans="1:8" ht="18.899999999999999" customHeight="1">
      <c r="A29" s="365"/>
      <c r="B29" s="366"/>
      <c r="C29" s="366"/>
      <c r="D29" s="366"/>
      <c r="E29" s="366"/>
      <c r="F29" s="367"/>
    </row>
    <row r="30" spans="1:8" ht="18.899999999999999" customHeight="1">
      <c r="A30" s="365"/>
      <c r="B30" s="366"/>
      <c r="C30" s="366"/>
      <c r="D30" s="366"/>
      <c r="E30" s="366"/>
      <c r="F30" s="367"/>
    </row>
    <row r="31" spans="1:8" ht="18.899999999999999" customHeight="1">
      <c r="A31" s="365"/>
      <c r="B31" s="366"/>
      <c r="C31" s="366"/>
      <c r="D31" s="366"/>
      <c r="E31" s="366"/>
      <c r="F31" s="367"/>
    </row>
    <row r="32" spans="1:8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411</v>
      </c>
      <c r="B39" s="375" t="s">
        <v>351</v>
      </c>
      <c r="C39" s="519" t="str">
        <f>'Performance Data Sheet'!C10</f>
        <v>QUOTE 33791</v>
      </c>
      <c r="D39" s="366"/>
      <c r="E39" s="371" t="s">
        <v>412</v>
      </c>
      <c r="F39" s="376" t="str">
        <f>F10</f>
        <v>CS2700U</v>
      </c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413</v>
      </c>
      <c r="D43" s="379" t="str">
        <f>'Performance Data Sheet'!K42</f>
        <v>JERRY R</v>
      </c>
      <c r="E43" s="378" t="s">
        <v>414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42" t="s">
        <v>417</v>
      </c>
      <c r="B53" s="542" t="s">
        <v>142</v>
      </c>
      <c r="C53" s="542" t="s">
        <v>120</v>
      </c>
      <c r="D53" s="542" t="s">
        <v>135</v>
      </c>
      <c r="E53" s="542" t="s">
        <v>5</v>
      </c>
      <c r="F53" s="543" t="s">
        <v>741</v>
      </c>
    </row>
    <row r="54" spans="1:6" ht="15" customHeight="1">
      <c r="A54" s="544">
        <v>0</v>
      </c>
      <c r="B54" s="94"/>
      <c r="C54" s="545"/>
      <c r="D54" s="545">
        <v>14.557454967555277</v>
      </c>
      <c r="E54" s="545">
        <v>100</v>
      </c>
      <c r="F54" s="546">
        <v>0.93340000000000012</v>
      </c>
    </row>
    <row r="55" spans="1:6" ht="15" customHeight="1">
      <c r="A55" s="547">
        <v>25</v>
      </c>
      <c r="B55" s="548">
        <v>88.098823547363281</v>
      </c>
      <c r="C55" s="72">
        <v>79.168525695800781</v>
      </c>
      <c r="D55" s="72">
        <v>27.166101455688477</v>
      </c>
      <c r="E55" s="72">
        <v>81.012545934503038</v>
      </c>
      <c r="F55" s="76">
        <v>10.642893608387638</v>
      </c>
    </row>
    <row r="56" spans="1:6" ht="15" customHeight="1">
      <c r="A56" s="547">
        <v>50</v>
      </c>
      <c r="B56" s="548">
        <v>92.686630249023438</v>
      </c>
      <c r="C56" s="72">
        <v>90.03173828125</v>
      </c>
      <c r="D56" s="72">
        <v>45.411640167236328</v>
      </c>
      <c r="E56" s="72">
        <v>65.422077750310422</v>
      </c>
      <c r="F56" s="76">
        <v>20.232179610919086</v>
      </c>
    </row>
    <row r="57" spans="1:6">
      <c r="A57" s="547">
        <v>75</v>
      </c>
      <c r="B57" s="548">
        <v>94.1358642578125</v>
      </c>
      <c r="C57" s="72">
        <v>92.489166259765625</v>
      </c>
      <c r="D57" s="72">
        <v>65.286773681640625</v>
      </c>
      <c r="E57" s="72">
        <v>49.532887994036344</v>
      </c>
      <c r="F57" s="76">
        <v>29.881054402718373</v>
      </c>
    </row>
    <row r="58" spans="1:6">
      <c r="A58" s="547">
        <v>100</v>
      </c>
      <c r="B58" s="548">
        <v>94.720893859863281</v>
      </c>
      <c r="C58" s="72">
        <v>93.0384521484375</v>
      </c>
      <c r="D58" s="72">
        <v>86.000625610351563</v>
      </c>
      <c r="E58" s="72">
        <v>33.141108089742929</v>
      </c>
      <c r="F58" s="76">
        <v>39.595326323071461</v>
      </c>
    </row>
    <row r="59" spans="1:6" ht="13.8" thickBot="1">
      <c r="A59" s="549">
        <v>125</v>
      </c>
      <c r="B59" s="550">
        <v>94.944618225097656</v>
      </c>
      <c r="C59" s="551">
        <v>92.855339050292969</v>
      </c>
      <c r="D59" s="551">
        <v>107.45896911621094</v>
      </c>
      <c r="E59" s="551">
        <v>16.991326794293514</v>
      </c>
      <c r="F59" s="85">
        <v>49.377533401417537</v>
      </c>
    </row>
    <row r="60" spans="1:6">
      <c r="A60" s="552"/>
      <c r="B60" s="357"/>
      <c r="C60" s="357"/>
    </row>
    <row r="61" spans="1:6">
      <c r="A61" s="552"/>
      <c r="B61" s="357"/>
      <c r="C61" s="357"/>
    </row>
    <row r="62" spans="1:6">
      <c r="A62" s="552"/>
      <c r="B62" s="357"/>
      <c r="C62" s="357"/>
    </row>
    <row r="63" spans="1:6">
      <c r="A63" s="552"/>
      <c r="B63" s="357"/>
      <c r="C63" s="357"/>
    </row>
    <row r="64" spans="1:6">
      <c r="A64" s="552"/>
      <c r="B64" s="357"/>
      <c r="C64" s="357"/>
    </row>
    <row r="65" spans="1:3">
      <c r="A65" s="552"/>
      <c r="B65" s="357"/>
      <c r="C65" s="357"/>
    </row>
    <row r="66" spans="1:3">
      <c r="A66" s="552"/>
      <c r="B66" s="357"/>
      <c r="C66" s="357"/>
    </row>
    <row r="67" spans="1:3">
      <c r="A67" s="553"/>
      <c r="B67" s="357"/>
      <c r="C67" s="35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31" workbookViewId="0">
      <selection activeCell="J56" sqref="J56"/>
    </sheetView>
  </sheetViews>
  <sheetFormatPr defaultRowHeight="13.2"/>
  <cols>
    <col min="1" max="6" width="16.6640625" customWidth="1"/>
    <col min="257" max="262" width="16.6640625" customWidth="1"/>
    <col min="513" max="518" width="16.6640625" customWidth="1"/>
    <col min="769" max="774" width="16.6640625" customWidth="1"/>
    <col min="1025" max="1030" width="16.6640625" customWidth="1"/>
    <col min="1281" max="1286" width="16.6640625" customWidth="1"/>
    <col min="1537" max="1542" width="16.6640625" customWidth="1"/>
    <col min="1793" max="1798" width="16.6640625" customWidth="1"/>
    <col min="2049" max="2054" width="16.6640625" customWidth="1"/>
    <col min="2305" max="2310" width="16.6640625" customWidth="1"/>
    <col min="2561" max="2566" width="16.6640625" customWidth="1"/>
    <col min="2817" max="2822" width="16.6640625" customWidth="1"/>
    <col min="3073" max="3078" width="16.6640625" customWidth="1"/>
    <col min="3329" max="3334" width="16.6640625" customWidth="1"/>
    <col min="3585" max="3590" width="16.6640625" customWidth="1"/>
    <col min="3841" max="3846" width="16.6640625" customWidth="1"/>
    <col min="4097" max="4102" width="16.6640625" customWidth="1"/>
    <col min="4353" max="4358" width="16.6640625" customWidth="1"/>
    <col min="4609" max="4614" width="16.6640625" customWidth="1"/>
    <col min="4865" max="4870" width="16.6640625" customWidth="1"/>
    <col min="5121" max="5126" width="16.6640625" customWidth="1"/>
    <col min="5377" max="5382" width="16.6640625" customWidth="1"/>
    <col min="5633" max="5638" width="16.6640625" customWidth="1"/>
    <col min="5889" max="5894" width="16.6640625" customWidth="1"/>
    <col min="6145" max="6150" width="16.6640625" customWidth="1"/>
    <col min="6401" max="6406" width="16.6640625" customWidth="1"/>
    <col min="6657" max="6662" width="16.6640625" customWidth="1"/>
    <col min="6913" max="6918" width="16.6640625" customWidth="1"/>
    <col min="7169" max="7174" width="16.6640625" customWidth="1"/>
    <col min="7425" max="7430" width="16.6640625" customWidth="1"/>
    <col min="7681" max="7686" width="16.6640625" customWidth="1"/>
    <col min="7937" max="7942" width="16.6640625" customWidth="1"/>
    <col min="8193" max="8198" width="16.6640625" customWidth="1"/>
    <col min="8449" max="8454" width="16.6640625" customWidth="1"/>
    <col min="8705" max="8710" width="16.6640625" customWidth="1"/>
    <col min="8961" max="8966" width="16.6640625" customWidth="1"/>
    <col min="9217" max="9222" width="16.6640625" customWidth="1"/>
    <col min="9473" max="9478" width="16.6640625" customWidth="1"/>
    <col min="9729" max="9734" width="16.6640625" customWidth="1"/>
    <col min="9985" max="9990" width="16.6640625" customWidth="1"/>
    <col min="10241" max="10246" width="16.6640625" customWidth="1"/>
    <col min="10497" max="10502" width="16.6640625" customWidth="1"/>
    <col min="10753" max="10758" width="16.6640625" customWidth="1"/>
    <col min="11009" max="11014" width="16.6640625" customWidth="1"/>
    <col min="11265" max="11270" width="16.6640625" customWidth="1"/>
    <col min="11521" max="11526" width="16.6640625" customWidth="1"/>
    <col min="11777" max="11782" width="16.6640625" customWidth="1"/>
    <col min="12033" max="12038" width="16.6640625" customWidth="1"/>
    <col min="12289" max="12294" width="16.6640625" customWidth="1"/>
    <col min="12545" max="12550" width="16.6640625" customWidth="1"/>
    <col min="12801" max="12806" width="16.6640625" customWidth="1"/>
    <col min="13057" max="13062" width="16.6640625" customWidth="1"/>
    <col min="13313" max="13318" width="16.6640625" customWidth="1"/>
    <col min="13569" max="13574" width="16.6640625" customWidth="1"/>
    <col min="13825" max="13830" width="16.6640625" customWidth="1"/>
    <col min="14081" max="14086" width="16.6640625" customWidth="1"/>
    <col min="14337" max="14342" width="16.6640625" customWidth="1"/>
    <col min="14593" max="14598" width="16.6640625" customWidth="1"/>
    <col min="14849" max="14854" width="16.6640625" customWidth="1"/>
    <col min="15105" max="15110" width="16.6640625" customWidth="1"/>
    <col min="15361" max="15366" width="16.6640625" customWidth="1"/>
    <col min="15617" max="15622" width="16.6640625" customWidth="1"/>
    <col min="15873" max="15878" width="16.6640625" customWidth="1"/>
    <col min="16129" max="16134" width="16.6640625" customWidth="1"/>
  </cols>
  <sheetData>
    <row r="1" spans="1:6" ht="18.899999999999999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250</v>
      </c>
      <c r="B2" s="362"/>
      <c r="C2" s="362"/>
      <c r="D2" s="362"/>
      <c r="E2" s="362"/>
      <c r="F2" s="363"/>
    </row>
    <row r="3" spans="1:6" ht="18.899999999999999" customHeight="1">
      <c r="A3" s="364" t="s">
        <v>740</v>
      </c>
      <c r="B3" s="362"/>
      <c r="C3" s="362"/>
      <c r="D3" s="362"/>
      <c r="E3" s="362"/>
      <c r="F3" s="363"/>
    </row>
    <row r="4" spans="1:6" ht="18.899999999999999" customHeight="1">
      <c r="A4" s="712" t="s">
        <v>578</v>
      </c>
      <c r="B4" s="713"/>
      <c r="C4" s="713"/>
      <c r="D4" s="713"/>
      <c r="E4" s="713"/>
      <c r="F4" s="714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390</v>
      </c>
      <c r="B6" s="703" t="str">
        <f>'Performance Data Sheet'!C17</f>
        <v>QUOTE 33791</v>
      </c>
      <c r="C6" s="704"/>
      <c r="D6" s="705"/>
      <c r="E6" s="368" t="s">
        <v>391</v>
      </c>
      <c r="F6" s="369" t="s">
        <v>746</v>
      </c>
    </row>
    <row r="7" spans="1:6" ht="18.899999999999999" customHeight="1">
      <c r="A7" s="368" t="s">
        <v>392</v>
      </c>
      <c r="B7" s="369" t="str">
        <f>'Performance Data Sheet'!F14</f>
        <v>TEFC</v>
      </c>
      <c r="C7" s="368" t="s">
        <v>393</v>
      </c>
      <c r="D7" s="369" t="s">
        <v>747</v>
      </c>
      <c r="E7" s="368" t="s">
        <v>394</v>
      </c>
      <c r="F7" s="369" t="str">
        <f>'Performance Data Sheet'!C14</f>
        <v>6811USS</v>
      </c>
    </row>
    <row r="8" spans="1:6" ht="18.899999999999999" customHeight="1">
      <c r="A8" s="368" t="s">
        <v>395</v>
      </c>
      <c r="B8" s="369">
        <v>2</v>
      </c>
      <c r="C8" s="368" t="s">
        <v>396</v>
      </c>
      <c r="D8" s="369" t="s">
        <v>397</v>
      </c>
      <c r="E8" s="368" t="s">
        <v>398</v>
      </c>
      <c r="F8" s="369" t="s">
        <v>343</v>
      </c>
    </row>
    <row r="9" spans="1:6" ht="18.899999999999999" customHeight="1">
      <c r="A9" s="368" t="s">
        <v>399</v>
      </c>
      <c r="B9" s="369">
        <v>700</v>
      </c>
      <c r="C9" s="368" t="s">
        <v>400</v>
      </c>
      <c r="D9" s="369" t="s">
        <v>415</v>
      </c>
      <c r="E9" s="368" t="s">
        <v>2</v>
      </c>
      <c r="F9" s="370">
        <f>'Performance Data Sheet'!K44</f>
        <v>44908</v>
      </c>
    </row>
    <row r="10" spans="1:6" ht="18.899999999999999" customHeight="1">
      <c r="A10" s="368" t="s">
        <v>401</v>
      </c>
      <c r="B10" s="369">
        <v>3575</v>
      </c>
      <c r="C10" s="368" t="s">
        <v>402</v>
      </c>
      <c r="D10" s="369" t="s">
        <v>403</v>
      </c>
      <c r="E10" s="368" t="s">
        <v>1</v>
      </c>
      <c r="F10" s="369" t="s">
        <v>360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 t="s">
        <v>404</v>
      </c>
      <c r="C12" s="372" t="s">
        <v>748</v>
      </c>
      <c r="D12" s="371" t="s">
        <v>405</v>
      </c>
      <c r="E12" s="372" t="s">
        <v>403</v>
      </c>
      <c r="F12" s="367"/>
    </row>
    <row r="13" spans="1:6" ht="18.899999999999999" customHeight="1">
      <c r="A13" s="365"/>
      <c r="B13" s="371" t="s">
        <v>406</v>
      </c>
      <c r="C13" s="373">
        <v>0.75</v>
      </c>
      <c r="D13" s="371" t="s">
        <v>407</v>
      </c>
      <c r="E13" s="372" t="s">
        <v>403</v>
      </c>
      <c r="F13" s="367"/>
    </row>
    <row r="14" spans="1:6" ht="18.899999999999999" customHeight="1">
      <c r="A14" s="365"/>
      <c r="B14" s="371" t="s">
        <v>408</v>
      </c>
      <c r="C14" s="373">
        <v>2.8</v>
      </c>
      <c r="D14" s="371" t="s">
        <v>409</v>
      </c>
      <c r="E14" s="372" t="s">
        <v>403</v>
      </c>
      <c r="F14" s="367"/>
    </row>
    <row r="15" spans="1:6" ht="18.899999999999999" customHeight="1">
      <c r="A15" s="365"/>
      <c r="B15" s="371" t="s">
        <v>410</v>
      </c>
      <c r="C15" s="372" t="s">
        <v>416</v>
      </c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8" ht="18.899999999999999" customHeight="1">
      <c r="A17" s="365"/>
      <c r="B17" s="366"/>
      <c r="C17" s="366"/>
      <c r="D17" s="366"/>
      <c r="E17" s="366"/>
      <c r="F17" s="367"/>
    </row>
    <row r="18" spans="1:8" ht="18.899999999999999" customHeight="1">
      <c r="A18" s="365"/>
      <c r="B18" s="366"/>
      <c r="C18" s="366"/>
      <c r="D18" s="366"/>
      <c r="E18" s="366"/>
      <c r="F18" s="367"/>
    </row>
    <row r="19" spans="1:8" ht="18.899999999999999" customHeight="1">
      <c r="A19" s="365"/>
      <c r="B19" s="366"/>
      <c r="C19" s="366"/>
      <c r="D19" s="366"/>
      <c r="E19" s="366"/>
      <c r="F19" s="367"/>
    </row>
    <row r="20" spans="1:8" ht="18.899999999999999" customHeight="1">
      <c r="A20" s="365"/>
      <c r="B20" s="366"/>
      <c r="C20" s="366"/>
      <c r="D20" s="366"/>
      <c r="E20" s="366"/>
      <c r="F20" s="367"/>
    </row>
    <row r="21" spans="1:8" ht="18.899999999999999" customHeight="1">
      <c r="A21" s="365"/>
      <c r="B21" s="366"/>
      <c r="C21" s="366"/>
      <c r="D21" s="366"/>
      <c r="E21" s="366"/>
      <c r="F21" s="367"/>
    </row>
    <row r="22" spans="1:8" ht="18.899999999999999" customHeight="1">
      <c r="A22" s="365"/>
      <c r="B22" s="366"/>
      <c r="C22" s="366"/>
      <c r="D22" s="366"/>
      <c r="E22" s="366"/>
      <c r="F22" s="367"/>
    </row>
    <row r="23" spans="1:8" ht="18.899999999999999" customHeight="1">
      <c r="A23" s="365"/>
      <c r="B23" s="366"/>
      <c r="C23" s="366"/>
      <c r="D23" s="366"/>
      <c r="E23" s="366"/>
      <c r="F23" s="367"/>
    </row>
    <row r="24" spans="1:8" ht="18.899999999999999" customHeight="1">
      <c r="A24" s="365"/>
      <c r="B24" s="366"/>
      <c r="C24" s="366"/>
      <c r="D24" s="366"/>
      <c r="E24" s="366"/>
      <c r="F24" s="367"/>
      <c r="H24" s="541"/>
    </row>
    <row r="25" spans="1:8" ht="18.899999999999999" customHeight="1">
      <c r="A25" s="365"/>
      <c r="B25" s="366"/>
      <c r="C25" s="366"/>
      <c r="D25" s="366"/>
      <c r="E25" s="366"/>
      <c r="F25" s="367"/>
    </row>
    <row r="26" spans="1:8" ht="18.899999999999999" customHeight="1">
      <c r="A26" s="365"/>
      <c r="B26" s="366"/>
      <c r="C26" s="366"/>
      <c r="D26" s="366"/>
      <c r="E26" s="366"/>
      <c r="F26" s="367"/>
    </row>
    <row r="27" spans="1:8" ht="18.899999999999999" customHeight="1">
      <c r="A27" s="365"/>
      <c r="B27" s="366"/>
      <c r="C27" s="366"/>
      <c r="D27" s="366"/>
      <c r="E27" s="366"/>
      <c r="F27" s="367"/>
    </row>
    <row r="28" spans="1:8" ht="18.899999999999999" customHeight="1">
      <c r="A28" s="365"/>
      <c r="B28" s="366"/>
      <c r="C28" s="366"/>
      <c r="D28" s="366"/>
      <c r="E28" s="366"/>
      <c r="F28" s="367"/>
    </row>
    <row r="29" spans="1:8" ht="18.899999999999999" customHeight="1">
      <c r="A29" s="365"/>
      <c r="B29" s="366"/>
      <c r="C29" s="366"/>
      <c r="D29" s="366"/>
      <c r="E29" s="366"/>
      <c r="F29" s="367"/>
    </row>
    <row r="30" spans="1:8" ht="18.899999999999999" customHeight="1">
      <c r="A30" s="365"/>
      <c r="B30" s="366"/>
      <c r="C30" s="366"/>
      <c r="D30" s="366"/>
      <c r="E30" s="366"/>
      <c r="F30" s="367"/>
    </row>
    <row r="31" spans="1:8" ht="18.899999999999999" customHeight="1">
      <c r="A31" s="365"/>
      <c r="B31" s="366"/>
      <c r="C31" s="366"/>
      <c r="D31" s="366"/>
      <c r="E31" s="366"/>
      <c r="F31" s="367"/>
    </row>
    <row r="32" spans="1:8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411</v>
      </c>
      <c r="B39" s="375" t="s">
        <v>351</v>
      </c>
      <c r="C39" s="519" t="str">
        <f>'Performance Data Sheet'!C10</f>
        <v>QUOTE 33791</v>
      </c>
      <c r="D39" s="366"/>
      <c r="E39" s="371" t="s">
        <v>412</v>
      </c>
      <c r="F39" s="376" t="str">
        <f>F10</f>
        <v>CS2700U</v>
      </c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413</v>
      </c>
      <c r="D43" s="379" t="str">
        <f>'Performance Data Sheet'!K42</f>
        <v>JERRY R</v>
      </c>
      <c r="E43" s="378" t="s">
        <v>414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42" t="s">
        <v>417</v>
      </c>
      <c r="B53" s="542" t="s">
        <v>142</v>
      </c>
      <c r="C53" s="542" t="s">
        <v>120</v>
      </c>
      <c r="D53" s="542" t="s">
        <v>135</v>
      </c>
      <c r="E53" s="542" t="s">
        <v>5</v>
      </c>
      <c r="F53" s="543" t="s">
        <v>741</v>
      </c>
    </row>
    <row r="54" spans="1:6" ht="15" customHeight="1">
      <c r="A54" s="544">
        <v>0</v>
      </c>
      <c r="B54" s="94"/>
      <c r="C54" s="545"/>
      <c r="D54" s="545">
        <v>25</v>
      </c>
      <c r="E54" s="545">
        <v>100</v>
      </c>
      <c r="F54" s="546">
        <v>0.93340000000000012</v>
      </c>
    </row>
    <row r="55" spans="1:6" ht="15" customHeight="1">
      <c r="A55" s="547">
        <v>25</v>
      </c>
      <c r="B55" s="548">
        <v>88.098823547363281</v>
      </c>
      <c r="C55" s="72">
        <v>79.168525695800781</v>
      </c>
      <c r="D55" s="72">
        <v>47</v>
      </c>
      <c r="E55" s="72">
        <v>81.012545934503038</v>
      </c>
      <c r="F55" s="76">
        <v>10.642893608387638</v>
      </c>
    </row>
    <row r="56" spans="1:6" ht="15" customHeight="1">
      <c r="A56" s="547">
        <v>50</v>
      </c>
      <c r="B56" s="548">
        <v>92.686630249023438</v>
      </c>
      <c r="C56" s="72">
        <v>90.03173828125</v>
      </c>
      <c r="D56" s="72">
        <v>78.599999999999994</v>
      </c>
      <c r="E56" s="72">
        <v>65.422077750310422</v>
      </c>
      <c r="F56" s="76">
        <v>20.232179610919086</v>
      </c>
    </row>
    <row r="57" spans="1:6">
      <c r="A57" s="547">
        <v>75</v>
      </c>
      <c r="B57" s="548">
        <v>94.1358642578125</v>
      </c>
      <c r="C57" s="72">
        <v>92.489166259765625</v>
      </c>
      <c r="D57" s="72">
        <v>113</v>
      </c>
      <c r="E57" s="72">
        <v>49.532887994036344</v>
      </c>
      <c r="F57" s="76">
        <v>29.881054402718373</v>
      </c>
    </row>
    <row r="58" spans="1:6">
      <c r="A58" s="547">
        <v>100</v>
      </c>
      <c r="B58" s="548">
        <v>94.720893859863281</v>
      </c>
      <c r="C58" s="72">
        <v>93.0384521484375</v>
      </c>
      <c r="D58" s="72">
        <v>149</v>
      </c>
      <c r="E58" s="72">
        <v>33.141108089742929</v>
      </c>
      <c r="F58" s="76">
        <v>39.595326323071461</v>
      </c>
    </row>
    <row r="59" spans="1:6" ht="13.8" thickBot="1">
      <c r="A59" s="549">
        <v>125</v>
      </c>
      <c r="B59" s="550">
        <v>94.944618225097656</v>
      </c>
      <c r="C59" s="551">
        <v>92.855339050292969</v>
      </c>
      <c r="D59" s="551">
        <v>186</v>
      </c>
      <c r="E59" s="551">
        <v>16.991326794293514</v>
      </c>
      <c r="F59" s="85">
        <v>49.377533401417537</v>
      </c>
    </row>
    <row r="60" spans="1:6">
      <c r="A60" s="552"/>
      <c r="B60" s="357"/>
      <c r="C60" s="357"/>
    </row>
    <row r="61" spans="1:6">
      <c r="A61" s="552"/>
      <c r="B61" s="357"/>
      <c r="C61" s="357"/>
    </row>
    <row r="62" spans="1:6">
      <c r="A62" s="552"/>
      <c r="B62" s="357"/>
      <c r="C62" s="357"/>
    </row>
    <row r="63" spans="1:6">
      <c r="A63" s="552"/>
      <c r="B63" s="357"/>
      <c r="C63" s="357"/>
    </row>
    <row r="64" spans="1:6">
      <c r="A64" s="552"/>
      <c r="B64" s="357"/>
      <c r="C64" s="357"/>
    </row>
    <row r="65" spans="1:3">
      <c r="A65" s="552"/>
      <c r="B65" s="357"/>
      <c r="C65" s="357"/>
    </row>
    <row r="66" spans="1:3">
      <c r="A66" s="552"/>
      <c r="B66" s="357"/>
      <c r="C66" s="357"/>
    </row>
    <row r="67" spans="1:3">
      <c r="A67" s="553"/>
      <c r="B67" s="357"/>
      <c r="C67" s="35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DesignSheet</vt:lpstr>
      <vt:lpstr>Data Sheet</vt:lpstr>
      <vt:lpstr>LoginSheet</vt:lpstr>
      <vt:lpstr>Form</vt:lpstr>
      <vt:lpstr>MagNoise</vt:lpstr>
      <vt:lpstr>StallTime</vt:lpstr>
      <vt:lpstr>Performance Data Sheet</vt:lpstr>
      <vt:lpstr>STCurve</vt:lpstr>
      <vt:lpstr>Thermdam</vt:lpstr>
      <vt:lpstr>Performance 4000V</vt:lpstr>
      <vt:lpstr>Performance 2300V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</cp:lastModifiedBy>
  <cp:lastPrinted>1997-10-31T21:44:37Z</cp:lastPrinted>
  <dcterms:created xsi:type="dcterms:W3CDTF">1997-10-03T20:37:30Z</dcterms:created>
  <dcterms:modified xsi:type="dcterms:W3CDTF">2022-12-13T21:55:48Z</dcterms:modified>
</cp:coreProperties>
</file>