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N:\DESPRO\BASE MV DESIGNS\New 5010_5810 TEFC\"/>
    </mc:Choice>
  </mc:AlternateContent>
  <bookViews>
    <workbookView xWindow="3165" yWindow="1080" windowWidth="4800" windowHeight="5190" tabRatio="828" activeTab="1"/>
  </bookViews>
  <sheets>
    <sheet name="DesignSheet" sheetId="2" r:id="rId1"/>
    <sheet name="Data Sheet" sheetId="3" r:id="rId2"/>
    <sheet name="LoginSheet" sheetId="4" r:id="rId3"/>
    <sheet name="Performance Data Sheet" sheetId="9" r:id="rId4"/>
    <sheet name="STCurve" sheetId="8" r:id="rId5"/>
    <sheet name="Thermdam" sheetId="6" r:id="rId6"/>
    <sheet name="Performance 4000V" sheetId="7" r:id="rId7"/>
    <sheet name=" Performance 2300V" sheetId="10" r:id="rId8"/>
    <sheet name="StallTime" sheetId="5" r:id="rId9"/>
  </sheets>
  <definedNames>
    <definedName name="_Regression_Int" localSheetId="3" hidden="1">1</definedName>
    <definedName name="_xlnm.Print_Area" localSheetId="7">' Performance 2300V'!$A$1:$F$43</definedName>
    <definedName name="_xlnm.Print_Area" localSheetId="1">'Data Sheet'!$A$1:$K$46</definedName>
    <definedName name="_xlnm.Print_Area" localSheetId="0">DesignSheet!$A$1:$J$69</definedName>
    <definedName name="_xlnm.Print_Area" localSheetId="2">LoginSheet!$A$1:$N$79</definedName>
    <definedName name="_xlnm.Print_Area" localSheetId="6">'Performance 4000V'!$A$1:$F$43</definedName>
    <definedName name="_xlnm.Print_Area" localSheetId="3">'Performance Data Sheet'!$A$1:$M$44</definedName>
    <definedName name="_xlnm.Print_Area" localSheetId="8">StallTime!$A$1:$G$40</definedName>
    <definedName name="_xlnm.Print_Area" localSheetId="4">STCurve!$A$1:$F$43</definedName>
    <definedName name="_xlnm.Print_Area" localSheetId="5">Thermdam!$A$1:$F$43</definedName>
    <definedName name="Print_Area_MI">'Performance Data Sheet'!$A$10:$N$42</definedName>
    <definedName name="Z_852987ED_B4F5_11D1_ABEC_0000832EB49E_.wvu.PrintArea" localSheetId="7" hidden="1">' Performance 2300V'!$A$1:$F$43</definedName>
    <definedName name="Z_852987ED_B4F5_11D1_ABEC_0000832EB49E_.wvu.PrintArea" localSheetId="6" hidden="1">'Performance 4000V'!$A$1:$F$43</definedName>
    <definedName name="Z_852987ED_B4F5_11D1_ABEC_0000832EB49E_.wvu.PrintArea" localSheetId="4" hidden="1">STCurve!$A$1:$F$43</definedName>
  </definedNames>
  <calcPr calcId="162913"/>
</workbook>
</file>

<file path=xl/calcChain.xml><?xml version="1.0" encoding="utf-8"?>
<calcChain xmlns="http://schemas.openxmlformats.org/spreadsheetml/2006/main">
  <c r="F9" i="6" l="1"/>
  <c r="F7" i="6"/>
  <c r="D7" i="6"/>
  <c r="B7" i="6"/>
  <c r="F6" i="6"/>
  <c r="B6" i="6"/>
  <c r="F6" i="8"/>
  <c r="D7" i="8"/>
  <c r="F9" i="10"/>
  <c r="F7" i="10"/>
  <c r="B7" i="10"/>
  <c r="B6" i="10"/>
  <c r="C12" i="7" l="1"/>
  <c r="F9" i="7"/>
  <c r="F7" i="7"/>
  <c r="D7" i="7"/>
  <c r="B7" i="7"/>
  <c r="F6" i="7"/>
  <c r="B6" i="7"/>
  <c r="D43" i="7"/>
  <c r="F39" i="7"/>
  <c r="C39" i="7"/>
  <c r="D43" i="6"/>
  <c r="F39" i="6"/>
  <c r="C39" i="6"/>
  <c r="F39" i="8"/>
  <c r="D43" i="8"/>
  <c r="C39" i="8"/>
  <c r="C12" i="8"/>
  <c r="F9" i="8"/>
  <c r="F7" i="8"/>
  <c r="B7" i="8"/>
  <c r="B6" i="8"/>
  <c r="C76" i="6"/>
  <c r="C77" i="6" s="1"/>
  <c r="C78" i="6" s="1"/>
  <c r="B76" i="6"/>
  <c r="C75" i="6"/>
  <c r="C74" i="6"/>
  <c r="B74" i="6"/>
  <c r="B69" i="6"/>
  <c r="B75" i="6" s="1"/>
  <c r="E68" i="6"/>
  <c r="D66" i="6"/>
  <c r="F50" i="6"/>
  <c r="M28" i="3"/>
  <c r="M18" i="3"/>
  <c r="M52" i="2"/>
  <c r="N41" i="2"/>
  <c r="L41" i="2"/>
  <c r="L40" i="2"/>
  <c r="M39" i="2"/>
  <c r="L39" i="2"/>
  <c r="M38" i="2"/>
  <c r="N38" i="2" s="1"/>
  <c r="L38" i="2"/>
  <c r="M33" i="2"/>
  <c r="M32" i="2"/>
  <c r="M31" i="2"/>
  <c r="M30" i="2"/>
  <c r="M29" i="2"/>
  <c r="M50" i="2"/>
  <c r="M49" i="2"/>
  <c r="M48" i="2"/>
  <c r="M46" i="2"/>
  <c r="M53" i="2" s="1"/>
  <c r="M47" i="2"/>
  <c r="C69" i="6" l="1"/>
  <c r="N39" i="2"/>
  <c r="N40" i="2"/>
  <c r="B70" i="6" l="1"/>
  <c r="C70" i="6"/>
  <c r="A72" i="6" l="1"/>
  <c r="C71" i="6"/>
  <c r="B71" i="6"/>
  <c r="A73" i="6" l="1"/>
  <c r="B73" i="6" s="1"/>
  <c r="B72" i="6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 shape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Paulo Yoshiura</author>
  </authors>
  <commentList>
    <comment ref="L22" authorId="0" shapeId="0">
      <text>
        <r>
          <rPr>
            <b/>
            <sz val="8"/>
            <color indexed="81"/>
            <rFont val="Tahoma"/>
            <family val="2"/>
          </rPr>
          <t>Pick bearings from list!</t>
        </r>
      </text>
    </comment>
  </commentList>
</comments>
</file>

<file path=xl/sharedStrings.xml><?xml version="1.0" encoding="utf-8"?>
<sst xmlns="http://schemas.openxmlformats.org/spreadsheetml/2006/main" count="1001" uniqueCount="725">
  <si>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</si>
  <si>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</si>
  <si>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</si>
  <si>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</si>
  <si>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</si>
  <si>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</si>
  <si>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</si>
  <si>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</si>
  <si>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</si>
  <si>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</si>
  <si>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</si>
  <si>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</si>
  <si>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</si>
  <si>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</si>
  <si>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</si>
  <si>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</si>
  <si>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</si>
  <si>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</si>
  <si>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</si>
  <si>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</si>
  <si>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</si>
  <si>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</si>
  <si>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</si>
  <si>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</si>
  <si>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</si>
  <si>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</si>
  <si>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</si>
  <si>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</si>
  <si>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</si>
  <si>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</si>
  <si>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</si>
  <si>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</si>
  <si>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</si>
  <si>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</si>
  <si>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</si>
  <si>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</si>
  <si>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</si>
  <si>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</si>
  <si>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</si>
  <si>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</si>
  <si>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</si>
  <si>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</si>
  <si>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</si>
  <si>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</si>
  <si>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</si>
  <si>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</si>
  <si>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</si>
  <si>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</si>
  <si>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</si>
  <si>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</si>
  <si>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</si>
  <si>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</si>
  <si>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</si>
  <si>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</si>
  <si>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</si>
  <si>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</si>
  <si>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</si>
  <si>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</si>
  <si>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</si>
  <si>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</si>
  <si>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</si>
  <si>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</si>
  <si>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</si>
  <si>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</si>
  <si>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</si>
  <si>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</si>
  <si>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</si>
  <si>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</si>
  <si>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</si>
  <si>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</si>
  <si>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</si>
  <si>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</si>
  <si>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</si>
  <si>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</si>
  <si>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</si>
  <si>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</si>
  <si>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</si>
  <si>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</si>
  <si>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</si>
  <si>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</si>
  <si>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</si>
  <si>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</si>
  <si>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</si>
  <si>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</si>
  <si>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</si>
  <si>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</si>
  <si>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</si>
  <si>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</si>
  <si>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</si>
  <si>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</si>
  <si>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</si>
  <si>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</si>
  <si>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</si>
  <si>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</si>
  <si>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</si>
  <si>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</si>
  <si>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</si>
  <si>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</si>
  <si>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</si>
  <si>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</si>
  <si>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</si>
  <si>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</si>
  <si>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</si>
  <si>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</si>
  <si>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</si>
  <si>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</si>
  <si>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</si>
  <si>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</si>
  <si>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</si>
  <si>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</si>
  <si>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</si>
  <si>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</si>
  <si>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</si>
  <si>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</si>
  <si>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</si>
  <si>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</si>
  <si>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</si>
  <si>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</si>
  <si>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</si>
  <si>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</si>
  <si>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</si>
  <si>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</si>
  <si>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</si>
  <si>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</si>
  <si>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</si>
  <si>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</si>
  <si>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</si>
  <si>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</si>
  <si>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</si>
  <si>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</si>
  <si>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</si>
  <si>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</si>
  <si>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</si>
  <si>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</si>
  <si>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</si>
  <si>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</si>
  <si>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</si>
  <si>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</si>
  <si>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</si>
  <si>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</si>
  <si>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</si>
  <si>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</si>
  <si>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</si>
  <si>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</si>
  <si>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</si>
  <si>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</si>
  <si>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</si>
  <si>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</si>
  <si>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</si>
  <si>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</si>
  <si>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</si>
  <si>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</si>
  <si>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</si>
  <si>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</si>
  <si>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</si>
  <si>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</si>
  <si>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</si>
  <si>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</si>
  <si>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</si>
  <si>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</si>
  <si>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</si>
  <si>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</si>
  <si>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</si>
  <si>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</si>
  <si>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</si>
  <si>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</si>
  <si>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</si>
  <si>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</si>
  <si>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</si>
  <si>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</si>
  <si>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</si>
  <si>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</si>
  <si>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</si>
  <si>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</si>
  <si>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</si>
  <si>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</si>
  <si>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Current</t>
  </si>
  <si>
    <t>Eff.</t>
  </si>
  <si>
    <t>PF.</t>
  </si>
  <si>
    <r>
      <t>HP</t>
    </r>
    <r>
      <rPr>
        <vertAlign val="superscript"/>
        <sz val="10"/>
        <rFont val="Arial"/>
        <family val="2"/>
      </rPr>
      <t>0.95</t>
    </r>
  </si>
  <si>
    <r>
      <t>HP</t>
    </r>
    <r>
      <rPr>
        <vertAlign val="superscript"/>
        <sz val="10"/>
        <rFont val="Arial"/>
        <family val="2"/>
      </rPr>
      <t>1.5</t>
    </r>
  </si>
  <si>
    <r>
      <t>(RPM/1000)</t>
    </r>
    <r>
      <rPr>
        <vertAlign val="superscript"/>
        <sz val="10"/>
        <rFont val="Arial"/>
        <family val="2"/>
      </rPr>
      <t>2.4</t>
    </r>
  </si>
  <si>
    <r>
      <t>(RPM/1000)</t>
    </r>
    <r>
      <rPr>
        <vertAlign val="superscript"/>
        <sz val="10"/>
        <rFont val="Arial"/>
        <family val="2"/>
      </rPr>
      <t>1.8</t>
    </r>
  </si>
  <si>
    <t>A</t>
  </si>
  <si>
    <t>k</t>
  </si>
  <si>
    <t>Load Inertia</t>
  </si>
  <si>
    <t>125RPM</t>
  </si>
  <si>
    <t>100RPM</t>
  </si>
  <si>
    <t>75RPM</t>
  </si>
  <si>
    <t>50RPM</t>
  </si>
  <si>
    <t>25RPM</t>
  </si>
  <si>
    <t>Hz</t>
  </si>
  <si>
    <t>FCW4</t>
  </si>
  <si>
    <t>5811USS</t>
  </si>
  <si>
    <t>Open</t>
  </si>
  <si>
    <t>Trapeze</t>
  </si>
  <si>
    <t>14.00 - 14.00</t>
  </si>
  <si>
    <t>1.20 - 2.40</t>
  </si>
  <si>
    <t>Normal</t>
  </si>
  <si>
    <t>1 ~ 14</t>
  </si>
  <si>
    <t>(.057"x.204")x2</t>
  </si>
  <si>
    <t>Wye</t>
  </si>
  <si>
    <t>(105°C)</t>
  </si>
  <si>
    <t>CU</t>
  </si>
  <si>
    <t>Special</t>
  </si>
  <si>
    <t>ERD1: 246.0</t>
  </si>
  <si>
    <t>EBL: 70.5</t>
  </si>
  <si>
    <t>ERT: 44.50</t>
  </si>
  <si>
    <t>ERH: 44.00</t>
  </si>
  <si>
    <t>LB:  -</t>
  </si>
  <si>
    <t>LER:  -</t>
  </si>
  <si>
    <t>Single Cage Data</t>
  </si>
  <si>
    <t>UB: 304.0</t>
  </si>
  <si>
    <t>UER: 1958.0</t>
  </si>
  <si>
    <t>(Coeff.: 0.0875)</t>
  </si>
  <si>
    <t>Skew R.: 0.00</t>
  </si>
  <si>
    <t>N:\DESPRO\RAT FILES\CS2600.rat</t>
  </si>
  <si>
    <t>2-2-2-0-1-2</t>
  </si>
  <si>
    <t>B.L.-1  P.F.-1</t>
  </si>
  <si>
    <t>3484.4 / 3573.8</t>
  </si>
  <si>
    <t>2892.8 / 3196.8</t>
  </si>
  <si>
    <t>15355.7 / 10289.6</t>
  </si>
  <si>
    <t>8350.0 / 7057.6</t>
  </si>
  <si>
    <t>6908.5 / 3207.2</t>
  </si>
  <si>
    <t>1255.2 / 582.7</t>
  </si>
  <si>
    <t>5653.4 / 2624.5</t>
  </si>
  <si>
    <t>1.50 / 0.70</t>
  </si>
  <si>
    <t>76 / 76</t>
  </si>
  <si>
    <t>Temp. Rise @ 100%:</t>
  </si>
  <si>
    <t>Stray Loss</t>
  </si>
  <si>
    <t>0.876 / 0.871</t>
  </si>
  <si>
    <t>0.930 / 0.924</t>
  </si>
  <si>
    <t>0.947 / 0.941</t>
  </si>
  <si>
    <t>0.954 / 0.948</t>
  </si>
  <si>
    <t>0.957 / 0.951</t>
  </si>
  <si>
    <t>0.770 / 0.755</t>
  </si>
  <si>
    <t>0.900 / 0.884</t>
  </si>
  <si>
    <t>0.933 / 0.916</t>
  </si>
  <si>
    <t>0.943 / 0.925</t>
  </si>
  <si>
    <t>0.944 / 0.926</t>
  </si>
  <si>
    <t>23.96 / 24.56</t>
  </si>
  <si>
    <t>38.59 / 39.56</t>
  </si>
  <si>
    <t>54.84 / 56.22</t>
  </si>
  <si>
    <t>71.81 / 73.62</t>
  </si>
  <si>
    <t>89.37 / 91.62</t>
  </si>
  <si>
    <t>2.50 / 2.56</t>
  </si>
  <si>
    <t>UB: 3.44 / 3.53</t>
  </si>
  <si>
    <t>UER: 2.90 / 2.97</t>
  </si>
  <si>
    <t>3594.2 / 3592.1</t>
  </si>
  <si>
    <t>3588.7 / 3586.7</t>
  </si>
  <si>
    <t>3583.2 / 3581.2</t>
  </si>
  <si>
    <t>3577.6 / 3575.6</t>
  </si>
  <si>
    <t>3571.9 / 3569.9</t>
  </si>
  <si>
    <t>0.0016 / 0.0022</t>
  </si>
  <si>
    <t>0.0031 / 0.0037</t>
  </si>
  <si>
    <t>0.0047 / 0.0052</t>
  </si>
  <si>
    <t>0.0062 / 0.0068</t>
  </si>
  <si>
    <t>0.0078 / 0.0084</t>
  </si>
  <si>
    <t>13.847 / 13.987</t>
  </si>
  <si>
    <t>0.996 / 1.006</t>
  </si>
  <si>
    <t>13.88 / 14.02</t>
  </si>
  <si>
    <t>477.5 / 498.0</t>
  </si>
  <si>
    <t>665.0 / 693.5</t>
  </si>
  <si>
    <t>169.9 / 118.2</t>
  </si>
  <si>
    <t>139.4 / 97.0</t>
  </si>
  <si>
    <t>334.0 / 272.6</t>
  </si>
  <si>
    <t>Correlated to: CS2600_Corr from lab 9725 (H402088)_LRA 3065.dat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</si>
  <si>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</si>
  <si>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</si>
  <si>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</si>
  <si>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</si>
  <si>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</si>
  <si>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</si>
  <si>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</si>
  <si>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</si>
  <si>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</si>
  <si>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</si>
  <si>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</si>
  <si>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</si>
  <si>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</si>
  <si>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</si>
  <si>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</si>
  <si>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</si>
  <si>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</si>
  <si>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</si>
  <si>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</si>
  <si>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</si>
  <si>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</si>
  <si>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</si>
  <si>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</si>
  <si>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</si>
  <si>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</si>
  <si>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</si>
  <si>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</si>
  <si>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</si>
  <si>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Standard Eff.</t>
  </si>
  <si>
    <t>M54 - 26Ga.</t>
  </si>
  <si>
    <t>Wire 2 (size &amp; number)</t>
  </si>
  <si>
    <t>Impedance watts</t>
  </si>
  <si>
    <t>OWP</t>
  </si>
  <si>
    <t>TIPA Lam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</si>
  <si>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</si>
  <si>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</si>
  <si>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Dry Kiln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</si>
  <si>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</si>
  <si>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</si>
  <si>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</si>
  <si>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</si>
  <si>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</si>
  <si>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</si>
  <si>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</si>
  <si>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</si>
  <si>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</si>
  <si>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</si>
  <si>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</si>
  <si>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</si>
  <si>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</si>
  <si>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</si>
  <si>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</si>
  <si>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</si>
  <si>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</si>
  <si>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</si>
  <si>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</si>
  <si>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</si>
  <si>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</si>
  <si>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</si>
  <si>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</si>
  <si>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</si>
  <si>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</si>
  <si>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</si>
  <si>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</si>
  <si>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</si>
  <si>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</si>
  <si>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</si>
  <si>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</si>
  <si>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</si>
  <si>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</si>
  <si>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</si>
  <si>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</si>
  <si>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</si>
  <si>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</si>
  <si>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</si>
  <si>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</si>
  <si>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</si>
  <si>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</si>
  <si>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</si>
  <si>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</si>
  <si>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(Reference)</t>
  </si>
  <si>
    <t>Note</t>
  </si>
  <si>
    <t>Approved</t>
  </si>
  <si>
    <t>Design</t>
  </si>
  <si>
    <t>Jerry R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</si>
  <si>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</si>
  <si>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</si>
  <si>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</si>
  <si>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</si>
  <si>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</si>
  <si>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</si>
  <si>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</si>
  <si>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</si>
  <si>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</si>
  <si>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</si>
  <si>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</si>
  <si>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</si>
  <si>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</si>
  <si>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</si>
  <si>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</si>
  <si>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</si>
  <si>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</si>
  <si>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</si>
  <si>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</si>
  <si>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</si>
  <si>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</si>
  <si>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</si>
  <si>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</si>
  <si>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</si>
  <si>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</si>
  <si>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</si>
  <si>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</si>
  <si>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</si>
  <si>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CS2600</t>
  </si>
  <si>
    <t>32 x 2</t>
  </si>
  <si>
    <t xml:space="preserve"> - </t>
  </si>
  <si>
    <t>76 / 100</t>
  </si>
  <si>
    <t>256 / 1723</t>
  </si>
  <si>
    <t>G</t>
  </si>
  <si>
    <t>353 / 297</t>
  </si>
  <si>
    <t>Outer Fan OD: 360T, 140-4646-02</t>
  </si>
  <si>
    <t>LINK:</t>
  </si>
  <si>
    <t>CS2600.rat with CS2600_Corr from lab 9725 (H402088)_LRA 3065.dat</t>
  </si>
  <si>
    <t>Rev.2 Create dat file and update LRA per lab 3065, update correlation.  Z.X 08/02/19</t>
  </si>
  <si>
    <t xml:space="preserve">Rev 1. The file ID changed from CF to CS for </t>
  </si>
  <si>
    <t>sleeve bearing designs</t>
  </si>
  <si>
    <t>361-U120-013L2Y; 362-U120-01</t>
  </si>
  <si>
    <t>Rev3. chg from 15.5 Turns to 16 Turns. Jrod 04/24/2020</t>
  </si>
  <si>
    <t>6003FTQL11F-C</t>
  </si>
  <si>
    <t>S-T Curve Data (Custom Values)</t>
  </si>
  <si>
    <t>Current (%)</t>
  </si>
  <si>
    <t>Current(%)</t>
  </si>
  <si>
    <t>Load</t>
  </si>
  <si>
    <t>Load Type:</t>
  </si>
  <si>
    <t>Load Inertia:</t>
  </si>
  <si>
    <t>Accel. Time:</t>
  </si>
  <si>
    <t>Rated Torque:</t>
  </si>
  <si>
    <t>Fan / Pump</t>
  </si>
  <si>
    <t>74.7 kg.m²</t>
  </si>
  <si>
    <t>Acceleration Data (FV V)</t>
  </si>
  <si>
    <t>10.4 (s)</t>
  </si>
  <si>
    <t>121.9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</si>
  <si>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</si>
  <si>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</si>
  <si>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</si>
  <si>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</si>
  <si>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</si>
  <si>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</si>
  <si>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</si>
  <si>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</si>
  <si>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</si>
  <si>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</si>
  <si>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</si>
  <si>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</si>
  <si>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</si>
  <si>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</si>
  <si>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</si>
  <si>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</si>
  <si>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</si>
  <si>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</si>
  <si>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</si>
  <si>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</si>
  <si>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</si>
  <si>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</si>
  <si>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</si>
  <si>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</si>
  <si>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</si>
  <si>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</si>
  <si>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</si>
  <si>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</si>
  <si>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</si>
  <si>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</si>
  <si>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</si>
  <si>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</si>
  <si>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</si>
  <si>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</si>
  <si>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</si>
  <si>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</si>
  <si>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</si>
  <si>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</si>
  <si>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</si>
  <si>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2 Pole - 600.0 HP - 3600 RPM - 4000 V - 60 Hz</t>
  </si>
  <si>
    <t>0~360</t>
  </si>
  <si>
    <t>360~720</t>
  </si>
  <si>
    <t>720~1080</t>
  </si>
  <si>
    <t>1080~1440</t>
  </si>
  <si>
    <t>1440~1800</t>
  </si>
  <si>
    <t>1800~2160</t>
  </si>
  <si>
    <t>2160~2530</t>
  </si>
  <si>
    <t>2530~2901</t>
  </si>
  <si>
    <t>2901~3086</t>
  </si>
  <si>
    <t>3086~3271</t>
  </si>
  <si>
    <t>3271~3456</t>
  </si>
  <si>
    <t>3456~3571</t>
  </si>
  <si>
    <t>3571~3578</t>
  </si>
  <si>
    <t>Load Type: Fan / Pump - 443.0 lb-ft²</t>
  </si>
  <si>
    <t>95.2</t>
  </si>
  <si>
    <t>95.4</t>
  </si>
  <si>
    <t>95.3</t>
  </si>
  <si>
    <t>95.1</t>
  </si>
  <si>
    <t>95.0</t>
  </si>
  <si>
    <t>97.8</t>
  </si>
  <si>
    <t>107.3</t>
  </si>
  <si>
    <t>123.9</t>
  </si>
  <si>
    <t>156.3</t>
  </si>
  <si>
    <t>224.4</t>
  </si>
  <si>
    <t>195.4</t>
  </si>
  <si>
    <t>110.4</t>
  </si>
  <si>
    <t>22.5</t>
  </si>
  <si>
    <t>11.5</t>
  </si>
  <si>
    <t>7.0</t>
  </si>
  <si>
    <t>11.0</t>
  </si>
  <si>
    <t>18.0</t>
  </si>
  <si>
    <t>27.7</t>
  </si>
  <si>
    <t>42.4</t>
  </si>
  <si>
    <t>57.1</t>
  </si>
  <si>
    <t>69.5</t>
  </si>
  <si>
    <t>83.0</t>
  </si>
  <si>
    <t>94.1</t>
  </si>
  <si>
    <t>99.2</t>
  </si>
  <si>
    <t>1.134</t>
  </si>
  <si>
    <t>0.982</t>
  </si>
  <si>
    <t>0.933</t>
  </si>
  <si>
    <t>0.934</t>
  </si>
  <si>
    <t>0.980</t>
  </si>
  <si>
    <t>1.070</t>
  </si>
  <si>
    <t>1.209</t>
  </si>
  <si>
    <t>1.306</t>
  </si>
  <si>
    <t>0.634</t>
  </si>
  <si>
    <t>0.489</t>
  </si>
  <si>
    <t>0.300</t>
  </si>
  <si>
    <t>0.260</t>
  </si>
  <si>
    <t>0.131</t>
  </si>
  <si>
    <t>496.9</t>
  </si>
  <si>
    <t>494.6</t>
  </si>
  <si>
    <t>491.9</t>
  </si>
  <si>
    <t>488.9</t>
  </si>
  <si>
    <t>485.4</t>
  </si>
  <si>
    <t>481.4</t>
  </si>
  <si>
    <t>476.8</t>
  </si>
  <si>
    <t>470.3</t>
  </si>
  <si>
    <t>461.8</t>
  </si>
  <si>
    <t>446.7</t>
  </si>
  <si>
    <t>397.6</t>
  </si>
  <si>
    <t>235.1</t>
  </si>
  <si>
    <t>60.5</t>
  </si>
  <si>
    <t>190.0</t>
  </si>
  <si>
    <t>163.2</t>
  </si>
  <si>
    <t>153.5</t>
  </si>
  <si>
    <t>151.9</t>
  </si>
  <si>
    <t>157.2</t>
  </si>
  <si>
    <t>169.1</t>
  </si>
  <si>
    <t>187.7</t>
  </si>
  <si>
    <t>198.6</t>
  </si>
  <si>
    <t>93.2</t>
  </si>
  <si>
    <t>69.1</t>
  </si>
  <si>
    <t>38.5</t>
  </si>
  <si>
    <t>22.7</t>
  </si>
  <si>
    <t>0.5</t>
  </si>
  <si>
    <t>528.7</t>
  </si>
  <si>
    <t>414.2</t>
  </si>
  <si>
    <t>349.4</t>
  </si>
  <si>
    <t>305.8</t>
  </si>
  <si>
    <t>274.7</t>
  </si>
  <si>
    <t>249.8</t>
  </si>
  <si>
    <t>219.3</t>
  </si>
  <si>
    <t>186.5</t>
  </si>
  <si>
    <t>134.0</t>
  </si>
  <si>
    <t>89.2</t>
  </si>
  <si>
    <t>46.8</t>
  </si>
  <si>
    <t>43.1</t>
  </si>
  <si>
    <t>27.2</t>
  </si>
  <si>
    <t>1595 kW / s</t>
  </si>
  <si>
    <t>2242 kW / s</t>
  </si>
  <si>
    <t>627 kW / s</t>
  </si>
  <si>
    <t>19°C</t>
  </si>
  <si>
    <t>76°C</t>
  </si>
  <si>
    <t>50°C</t>
  </si>
  <si>
    <t>39°C</t>
  </si>
  <si>
    <t>153°C</t>
  </si>
  <si>
    <t>101°C</t>
  </si>
  <si>
    <t>Acceleration Time:  10.4 s</t>
  </si>
  <si>
    <t>2.6°C / s</t>
  </si>
  <si>
    <t>11.3°C / s</t>
  </si>
  <si>
    <t>7.5°C / s</t>
  </si>
  <si>
    <t>215.4 kW</t>
  </si>
  <si>
    <t>332.3 kW</t>
  </si>
  <si>
    <t>92.9 kW</t>
  </si>
  <si>
    <t>61.2 s</t>
  </si>
  <si>
    <t>23.0 s</t>
  </si>
  <si>
    <t>24.0 s</t>
  </si>
  <si>
    <t>99°C    +</t>
  </si>
  <si>
    <t>140°C    +</t>
  </si>
  <si>
    <t>61°C    +</t>
  </si>
  <si>
    <t>120°C   +</t>
  </si>
  <si>
    <t>40°C   +</t>
  </si>
  <si>
    <t>23.3 s</t>
  </si>
  <si>
    <t>10.6 s</t>
  </si>
  <si>
    <t>5.4 s</t>
  </si>
  <si>
    <t>28.3 s</t>
  </si>
  <si>
    <t>6.3 s</t>
  </si>
  <si>
    <t>Thermal Limit &amp; Acceleration Curves</t>
  </si>
  <si>
    <t>Design Values (For Reference Only)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</si>
  <si>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</si>
  <si>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</si>
  <si>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</si>
  <si>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</si>
  <si>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</si>
  <si>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</si>
  <si>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</si>
  <si>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</si>
  <si>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</si>
  <si>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</si>
  <si>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</si>
  <si>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</si>
  <si>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N/A</t>
  </si>
  <si>
    <t>Comments:</t>
  </si>
  <si>
    <t>D.E.Curve #:</t>
  </si>
  <si>
    <t>Prepared by:</t>
  </si>
  <si>
    <t>Checked by:</t>
  </si>
  <si>
    <t>Cold</t>
  </si>
  <si>
    <t>Hot</t>
  </si>
  <si>
    <t>CURRENT (%)</t>
  </si>
  <si>
    <t>Accel. Time</t>
  </si>
  <si>
    <t>177.6 lb-ft²</t>
  </si>
  <si>
    <t>Performance Curve</t>
  </si>
  <si>
    <t>Locked Rotor Amps:</t>
  </si>
  <si>
    <t>Locked Rotor Torque:</t>
  </si>
  <si>
    <t>Starting at:</t>
  </si>
  <si>
    <t>Breakdown Torque:</t>
  </si>
  <si>
    <t>Input Watts</t>
  </si>
  <si>
    <t>881 lb-ft</t>
  </si>
  <si>
    <t>Speed Torque/Current Curve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</si>
  <si>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</si>
  <si>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</si>
  <si>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</si>
  <si>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</si>
  <si>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</si>
  <si>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</si>
  <si>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</si>
  <si>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</si>
  <si>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</si>
  <si>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</si>
  <si>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</si>
  <si>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</si>
  <si>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</si>
  <si>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</si>
  <si>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</si>
  <si>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</si>
  <si>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</si>
  <si>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</si>
  <si>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</si>
  <si>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</si>
  <si>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</si>
  <si>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</si>
  <si>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</si>
  <si>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</si>
  <si>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</si>
  <si>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</si>
  <si>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</si>
  <si>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</si>
  <si>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</si>
  <si>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</si>
  <si>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</si>
  <si>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</si>
  <si>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</si>
  <si>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</si>
  <si>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</si>
  <si>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</si>
  <si>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</si>
  <si>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</si>
  <si>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</si>
  <si>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</si>
  <si>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</si>
  <si>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</si>
  <si>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</si>
  <si>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</si>
  <si>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</si>
  <si>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</si>
  <si>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</si>
  <si>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</si>
  <si>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</si>
  <si>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</si>
  <si>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</si>
  <si>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</si>
  <si>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</si>
  <si>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</si>
  <si>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</si>
  <si>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</si>
  <si>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>THE DECLARED LOCKED ROTOR CURRENT HAS A TOLERANCE OF 20%</t>
  </si>
  <si>
    <t>* TEMPERATURE RISE WILL BE CONSISTENT WITH INSULATION, AMBIENT AND SERVICE FACTOR AS</t>
  </si>
  <si>
    <t>DEFINED BY NEMA-MG-12 OR -20</t>
  </si>
  <si>
    <t>** BEARINGS ARE THE ONLY RECOMMENDED SPARE PART(S).</t>
  </si>
  <si>
    <t>CERTIFIED BY:</t>
  </si>
  <si>
    <t>JERRY R</t>
  </si>
  <si>
    <t>DATE:</t>
  </si>
  <si>
    <t>6205ZZ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</si>
  <si>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</si>
  <si>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</si>
  <si>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</si>
  <si>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</si>
  <si>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</si>
  <si>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</si>
  <si>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</si>
  <si>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</si>
  <si>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</si>
  <si>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</si>
  <si>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</si>
  <si>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</si>
  <si>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</si>
  <si>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</si>
  <si>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</si>
  <si>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</si>
  <si>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</si>
  <si>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</si>
  <si>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</si>
  <si>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</si>
  <si>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</si>
  <si>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</si>
  <si>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</si>
  <si>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</si>
  <si>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</si>
  <si>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</si>
  <si>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</si>
  <si>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</si>
  <si>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</si>
  <si>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</si>
  <si>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</si>
  <si>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</si>
  <si>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</si>
  <si>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</si>
  <si>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</si>
  <si>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</si>
  <si>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</si>
  <si>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</si>
  <si>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</si>
  <si>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</si>
  <si>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</si>
  <si>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</si>
  <si>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SABRE SYSTEM</t>
  </si>
  <si>
    <t>2174962.1</t>
  </si>
  <si>
    <t>1.0</t>
  </si>
  <si>
    <t>GP-10032399</t>
  </si>
  <si>
    <t>2300 V</t>
  </si>
  <si>
    <t>859 A</t>
  </si>
  <si>
    <t>FV (V)</t>
  </si>
  <si>
    <t>128 A</t>
  </si>
  <si>
    <t>6 (s)</t>
  </si>
  <si>
    <t>REV4. ADDED 2300V . JROD 07/20/2020</t>
  </si>
  <si>
    <t>859 / 498</t>
  </si>
  <si>
    <t>128 / 74</t>
  </si>
  <si>
    <t>Type: TIKE - Form: FCW4 - 2 Pole - 600 HP -2300 / 4000 V - 60 Hz - 5811USS - Class F</t>
  </si>
  <si>
    <t>2x Delta / 2 x Wye</t>
  </si>
  <si>
    <t>FOR 85 dBA</t>
  </si>
  <si>
    <t>135-0025-111SSF2 MTR COVER</t>
  </si>
  <si>
    <t>135-N212-103SS  silencer</t>
  </si>
  <si>
    <t>added 10/27/2020 jrod</t>
  </si>
  <si>
    <t>for 85 dBA use motor cover and silencer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</si>
</sst>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0000"/>
    <numFmt numFmtId="165" formatCode="0.0000"/>
    <numFmt numFmtId="166" formatCode="0.000"/>
    <numFmt numFmtId="167" formatCode="0.0"/>
    <numFmt numFmtId="168" formatCode="0.0%"/>
    <numFmt numFmtId="169" formatCode=".0000"/>
    <numFmt numFmtId="170" formatCode="mm/dd/yy"/>
    <numFmt numFmtId="171" formatCode="0.00_);\(0.00\)"/>
    <numFmt numFmtId="172" formatCode="General_)"/>
  </numFmts>
  <fonts count="8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Arial"/>
      <family val="2"/>
    </font>
    <font>
      <b/>
      <sz val="10"/>
      <color indexed="12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sz val="10"/>
      <color indexed="8"/>
      <name val="Times New Roman"/>
      <family val="1"/>
    </font>
    <font>
      <sz val="10"/>
      <color rgb="FFFF0000"/>
      <name val="Arial"/>
      <family val="2"/>
    </font>
    <font>
      <sz val="10"/>
      <color theme="1"/>
      <name val="Times New Roman"/>
      <family val="1"/>
    </font>
    <font>
      <sz val="10"/>
      <color theme="3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20"/>
      <color indexed="8"/>
      <name val="WP Greek Century"/>
      <charset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i/>
      <sz val="14"/>
      <color indexed="8"/>
      <name val="Bradley Hand ITC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b/>
      <i/>
      <u/>
      <sz val="14"/>
      <name val="Times New Roman"/>
      <family val="1"/>
    </font>
    <font>
      <b/>
      <i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b/>
      <sz val="13"/>
      <name val="Univers (W1)"/>
      <family val="2"/>
    </font>
    <font>
      <sz val="14"/>
      <name val="Bradley Hand ITC"/>
      <family val="4"/>
    </font>
    <font>
      <b/>
      <sz val="11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9"/>
        <bgColor indexed="64"/>
      </patternFill>
    </fill>
  </fills>
  <borders count="1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ashed">
        <color indexed="64"/>
      </bottom>
      <diagonal/>
    </border>
    <border>
      <left/>
      <right/>
      <top style="dotted">
        <color indexed="64"/>
      </top>
      <bottom style="dashed">
        <color indexed="64"/>
      </bottom>
      <diagonal/>
    </border>
    <border>
      <left/>
      <right style="medium">
        <color indexed="64"/>
      </right>
      <top style="dott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</borders>
  <cellStyleXfs count="6">
    <xf numFmtId="0" fontId="0" fillId="0" borderId="0"/>
    <xf numFmtId="0" fontId="23" fillId="0" borderId="0"/>
    <xf numFmtId="0" fontId="23" fillId="0" borderId="0"/>
    <xf numFmtId="0" fontId="54" fillId="0" borderId="0"/>
    <xf numFmtId="0" fontId="1" fillId="0" borderId="0"/>
    <xf numFmtId="172" fontId="68" fillId="0" borderId="0"/>
  </cellStyleXfs>
  <cellXfs count="696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7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7" fontId="2" fillId="0" borderId="25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7" fontId="2" fillId="0" borderId="33" xfId="0" applyNumberFormat="1" applyFont="1" applyBorder="1" applyAlignment="1">
      <alignment horizontal="center"/>
    </xf>
    <xf numFmtId="167" fontId="2" fillId="0" borderId="34" xfId="0" applyNumberFormat="1" applyFont="1" applyBorder="1" applyAlignment="1">
      <alignment horizontal="center"/>
    </xf>
    <xf numFmtId="167" fontId="2" fillId="0" borderId="10" xfId="0" applyNumberFormat="1" applyFont="1" applyBorder="1" applyAlignment="1">
      <alignment horizontal="center"/>
    </xf>
    <xf numFmtId="167" fontId="2" fillId="0" borderId="30" xfId="0" applyNumberFormat="1" applyFont="1" applyBorder="1" applyAlignment="1">
      <alignment horizontal="center"/>
    </xf>
    <xf numFmtId="167" fontId="2" fillId="0" borderId="35" xfId="0" applyNumberFormat="1" applyFont="1" applyBorder="1" applyAlignment="1">
      <alignment horizontal="center"/>
    </xf>
    <xf numFmtId="167" fontId="2" fillId="0" borderId="36" xfId="0" applyNumberFormat="1" applyFont="1" applyBorder="1" applyAlignment="1">
      <alignment horizontal="center"/>
    </xf>
    <xf numFmtId="167" fontId="2" fillId="0" borderId="37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67" fontId="2" fillId="0" borderId="38" xfId="0" applyNumberFormat="1" applyFont="1" applyBorder="1" applyAlignment="1">
      <alignment horizontal="center"/>
    </xf>
    <xf numFmtId="167" fontId="2" fillId="0" borderId="39" xfId="0" applyNumberFormat="1" applyFont="1" applyBorder="1" applyAlignment="1">
      <alignment horizontal="center"/>
    </xf>
    <xf numFmtId="167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7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6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3" fillId="0" borderId="49" xfId="0" applyFont="1" applyBorder="1" applyAlignment="1">
      <alignment horizontal="right"/>
    </xf>
    <xf numFmtId="167" fontId="14" fillId="0" borderId="1" xfId="0" applyNumberFormat="1" applyFont="1" applyBorder="1" applyAlignment="1">
      <alignment horizontal="center"/>
    </xf>
    <xf numFmtId="167" fontId="2" fillId="0" borderId="7" xfId="0" applyNumberFormat="1" applyFont="1" applyBorder="1" applyAlignment="1">
      <alignment horizontal="center"/>
    </xf>
    <xf numFmtId="167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/>
    <xf numFmtId="165" fontId="0" fillId="0" borderId="0" xfId="0" applyNumberFormat="1"/>
    <xf numFmtId="167" fontId="0" fillId="0" borderId="0" xfId="0" applyNumberFormat="1"/>
    <xf numFmtId="168" fontId="2" fillId="2" borderId="1" xfId="0" applyNumberFormat="1" applyFont="1" applyFill="1" applyBorder="1" applyAlignment="1">
      <alignment horizontal="center"/>
    </xf>
    <xf numFmtId="0" fontId="2" fillId="3" borderId="0" xfId="0" applyFont="1" applyFill="1" applyBorder="1"/>
    <xf numFmtId="0" fontId="17" fillId="4" borderId="0" xfId="0" applyFont="1" applyFill="1"/>
    <xf numFmtId="0" fontId="5" fillId="4" borderId="0" xfId="0" applyFont="1" applyFill="1"/>
    <xf numFmtId="0" fontId="4" fillId="0" borderId="41" xfId="0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Continuous"/>
    </xf>
    <xf numFmtId="165" fontId="2" fillId="2" borderId="0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12" fillId="0" borderId="47" xfId="0" applyFont="1" applyBorder="1" applyAlignment="1">
      <alignment horizontal="right"/>
    </xf>
    <xf numFmtId="0" fontId="3" fillId="0" borderId="1" xfId="0" applyFont="1" applyBorder="1" applyAlignment="1"/>
    <xf numFmtId="0" fontId="3" fillId="0" borderId="11" xfId="0" applyFont="1" applyBorder="1" applyAlignment="1"/>
    <xf numFmtId="2" fontId="20" fillId="0" borderId="1" xfId="0" applyNumberFormat="1" applyFont="1" applyBorder="1" applyAlignment="1">
      <alignment horizontal="center"/>
    </xf>
    <xf numFmtId="167" fontId="20" fillId="0" borderId="9" xfId="0" applyNumberFormat="1" applyFont="1" applyBorder="1" applyAlignment="1">
      <alignment horizontal="center"/>
    </xf>
    <xf numFmtId="166" fontId="20" fillId="0" borderId="11" xfId="0" applyNumberFormat="1" applyFont="1" applyBorder="1" applyAlignment="1">
      <alignment horizontal="center"/>
    </xf>
    <xf numFmtId="2" fontId="20" fillId="0" borderId="11" xfId="0" applyNumberFormat="1" applyFont="1" applyBorder="1" applyAlignment="1">
      <alignment horizontal="center"/>
    </xf>
    <xf numFmtId="167" fontId="20" fillId="0" borderId="33" xfId="0" applyNumberFormat="1" applyFont="1" applyBorder="1" applyAlignment="1">
      <alignment horizontal="center"/>
    </xf>
    <xf numFmtId="1" fontId="0" fillId="0" borderId="0" xfId="0" applyNumberFormat="1" applyAlignment="1">
      <alignment horizontal="left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2" fontId="21" fillId="0" borderId="1" xfId="0" applyNumberFormat="1" applyFont="1" applyBorder="1" applyAlignment="1">
      <alignment horizontal="center"/>
    </xf>
    <xf numFmtId="2" fontId="21" fillId="0" borderId="9" xfId="0" applyNumberFormat="1" applyFont="1" applyBorder="1" applyAlignment="1">
      <alignment horizontal="center"/>
    </xf>
    <xf numFmtId="166" fontId="21" fillId="0" borderId="1" xfId="0" applyNumberFormat="1" applyFont="1" applyBorder="1" applyAlignment="1">
      <alignment horizontal="center"/>
    </xf>
    <xf numFmtId="166" fontId="21" fillId="0" borderId="9" xfId="0" applyNumberFormat="1" applyFont="1" applyBorder="1" applyAlignment="1">
      <alignment horizontal="center"/>
    </xf>
    <xf numFmtId="165" fontId="21" fillId="0" borderId="1" xfId="0" applyNumberFormat="1" applyFont="1" applyBorder="1" applyAlignment="1">
      <alignment horizontal="center"/>
    </xf>
    <xf numFmtId="165" fontId="21" fillId="0" borderId="9" xfId="0" applyNumberFormat="1" applyFont="1" applyBorder="1" applyAlignment="1">
      <alignment horizontal="center"/>
    </xf>
    <xf numFmtId="167" fontId="21" fillId="0" borderId="1" xfId="0" applyNumberFormat="1" applyFont="1" applyBorder="1" applyAlignment="1">
      <alignment horizontal="center"/>
    </xf>
    <xf numFmtId="167" fontId="21" fillId="0" borderId="9" xfId="0" applyNumberFormat="1" applyFont="1" applyBorder="1" applyAlignment="1">
      <alignment horizontal="center"/>
    </xf>
    <xf numFmtId="166" fontId="21" fillId="0" borderId="11" xfId="0" applyNumberFormat="1" applyFont="1" applyBorder="1" applyAlignment="1">
      <alignment horizontal="center"/>
    </xf>
    <xf numFmtId="166" fontId="22" fillId="0" borderId="31" xfId="0" applyNumberFormat="1" applyFont="1" applyBorder="1" applyAlignment="1">
      <alignment horizontal="center"/>
    </xf>
    <xf numFmtId="166" fontId="22" fillId="0" borderId="51" xfId="0" applyNumberFormat="1" applyFont="1" applyBorder="1" applyAlignment="1">
      <alignment horizontal="center"/>
    </xf>
    <xf numFmtId="166" fontId="22" fillId="0" borderId="32" xfId="0" applyNumberFormat="1" applyFont="1" applyBorder="1" applyAlignment="1">
      <alignment horizontal="center"/>
    </xf>
    <xf numFmtId="0" fontId="25" fillId="0" borderId="0" xfId="1" applyFont="1" applyFill="1"/>
    <xf numFmtId="0" fontId="26" fillId="0" borderId="0" xfId="1" applyFont="1" applyFill="1"/>
    <xf numFmtId="0" fontId="28" fillId="5" borderId="0" xfId="1" applyFont="1" applyFill="1" applyAlignment="1">
      <alignment horizontal="right"/>
    </xf>
    <xf numFmtId="0" fontId="29" fillId="5" borderId="0" xfId="1" applyFont="1" applyFill="1"/>
    <xf numFmtId="0" fontId="30" fillId="5" borderId="0" xfId="1" applyFont="1" applyFill="1"/>
    <xf numFmtId="0" fontId="27" fillId="5" borderId="0" xfId="1" applyFont="1" applyFill="1" applyAlignment="1">
      <alignment horizontal="center"/>
    </xf>
    <xf numFmtId="0" fontId="31" fillId="0" borderId="52" xfId="1" applyFont="1" applyBorder="1" applyAlignment="1">
      <alignment horizontal="left" vertical="center"/>
    </xf>
    <xf numFmtId="0" fontId="31" fillId="0" borderId="53" xfId="1" applyFont="1" applyBorder="1" applyAlignment="1">
      <alignment vertical="center"/>
    </xf>
    <xf numFmtId="0" fontId="23" fillId="0" borderId="53" xfId="1" applyBorder="1"/>
    <xf numFmtId="0" fontId="31" fillId="0" borderId="54" xfId="1" applyFont="1" applyBorder="1" applyAlignment="1">
      <alignment horizontal="right" vertical="center"/>
    </xf>
    <xf numFmtId="0" fontId="19" fillId="0" borderId="0" xfId="1" applyFont="1" applyFill="1"/>
    <xf numFmtId="0" fontId="32" fillId="0" borderId="52" xfId="1" applyFont="1" applyFill="1" applyBorder="1"/>
    <xf numFmtId="0" fontId="19" fillId="0" borderId="54" xfId="1" applyFont="1" applyFill="1" applyBorder="1"/>
    <xf numFmtId="0" fontId="32" fillId="0" borderId="54" xfId="1" applyFont="1" applyFill="1" applyBorder="1"/>
    <xf numFmtId="0" fontId="33" fillId="0" borderId="0" xfId="1" applyFont="1" applyFill="1"/>
    <xf numFmtId="0" fontId="34" fillId="5" borderId="13" xfId="1" applyFont="1" applyFill="1" applyBorder="1" applyAlignment="1">
      <alignment horizontal="center"/>
    </xf>
    <xf numFmtId="0" fontId="34" fillId="5" borderId="55" xfId="1" applyFont="1" applyFill="1" applyBorder="1" applyAlignment="1">
      <alignment horizontal="center"/>
    </xf>
    <xf numFmtId="0" fontId="34" fillId="5" borderId="0" xfId="1" quotePrefix="1" applyFont="1" applyFill="1" applyBorder="1" applyAlignment="1">
      <alignment horizontal="left"/>
    </xf>
    <xf numFmtId="0" fontId="30" fillId="5" borderId="0" xfId="1" applyFont="1" applyFill="1" applyBorder="1"/>
    <xf numFmtId="0" fontId="35" fillId="5" borderId="56" xfId="1" applyFont="1" applyFill="1" applyBorder="1" applyAlignment="1">
      <alignment horizontal="right"/>
    </xf>
    <xf numFmtId="0" fontId="34" fillId="5" borderId="57" xfId="1" applyFont="1" applyFill="1" applyBorder="1" applyAlignment="1">
      <alignment horizontal="center"/>
    </xf>
    <xf numFmtId="0" fontId="34" fillId="5" borderId="21" xfId="1" applyFont="1" applyFill="1" applyBorder="1" applyAlignment="1">
      <alignment horizontal="center"/>
    </xf>
    <xf numFmtId="0" fontId="32" fillId="0" borderId="45" xfId="1" applyFont="1" applyFill="1" applyBorder="1"/>
    <xf numFmtId="0" fontId="19" fillId="0" borderId="21" xfId="1" applyFont="1" applyFill="1" applyBorder="1"/>
    <xf numFmtId="0" fontId="32" fillId="0" borderId="21" xfId="1" applyFont="1" applyFill="1" applyBorder="1"/>
    <xf numFmtId="0" fontId="36" fillId="5" borderId="67" xfId="1" applyFont="1" applyFill="1" applyBorder="1"/>
    <xf numFmtId="0" fontId="36" fillId="5" borderId="68" xfId="1" applyFont="1" applyFill="1" applyBorder="1"/>
    <xf numFmtId="0" fontId="39" fillId="5" borderId="68" xfId="1" applyFont="1" applyFill="1" applyBorder="1"/>
    <xf numFmtId="0" fontId="39" fillId="5" borderId="69" xfId="1" applyFont="1" applyFill="1" applyBorder="1"/>
    <xf numFmtId="167" fontId="38" fillId="5" borderId="64" xfId="1" applyNumberFormat="1" applyFont="1" applyFill="1" applyBorder="1" applyAlignment="1">
      <alignment horizontal="center"/>
    </xf>
    <xf numFmtId="0" fontId="38" fillId="5" borderId="70" xfId="1" applyFont="1" applyFill="1" applyBorder="1" applyAlignment="1">
      <alignment horizontal="center"/>
    </xf>
    <xf numFmtId="0" fontId="36" fillId="5" borderId="71" xfId="1" applyFont="1" applyFill="1" applyBorder="1"/>
    <xf numFmtId="0" fontId="36" fillId="5" borderId="72" xfId="1" applyFont="1" applyFill="1" applyBorder="1"/>
    <xf numFmtId="0" fontId="39" fillId="5" borderId="72" xfId="1" applyFont="1" applyFill="1" applyBorder="1"/>
    <xf numFmtId="0" fontId="39" fillId="5" borderId="73" xfId="1" applyFont="1" applyFill="1" applyBorder="1"/>
    <xf numFmtId="1" fontId="38" fillId="5" borderId="64" xfId="1" applyNumberFormat="1" applyFont="1" applyFill="1" applyBorder="1" applyAlignment="1">
      <alignment horizontal="center"/>
    </xf>
    <xf numFmtId="0" fontId="38" fillId="5" borderId="74" xfId="1" applyFont="1" applyFill="1" applyBorder="1" applyAlignment="1">
      <alignment horizontal="center"/>
    </xf>
    <xf numFmtId="0" fontId="40" fillId="5" borderId="68" xfId="1" applyFont="1" applyFill="1" applyBorder="1"/>
    <xf numFmtId="0" fontId="41" fillId="5" borderId="69" xfId="1" applyFont="1" applyFill="1" applyBorder="1" applyAlignment="1">
      <alignment horizontal="left"/>
    </xf>
    <xf numFmtId="0" fontId="38" fillId="5" borderId="64" xfId="1" applyFont="1" applyFill="1" applyBorder="1" applyAlignment="1">
      <alignment horizontal="center"/>
    </xf>
    <xf numFmtId="0" fontId="32" fillId="0" borderId="46" xfId="1" applyFont="1" applyFill="1" applyBorder="1"/>
    <xf numFmtId="0" fontId="32" fillId="0" borderId="24" xfId="1" applyFont="1" applyFill="1" applyBorder="1"/>
    <xf numFmtId="0" fontId="36" fillId="5" borderId="76" xfId="1" applyFont="1" applyFill="1" applyBorder="1"/>
    <xf numFmtId="0" fontId="36" fillId="5" borderId="77" xfId="1" applyFont="1" applyFill="1" applyBorder="1"/>
    <xf numFmtId="0" fontId="40" fillId="5" borderId="77" xfId="1" applyFont="1" applyFill="1" applyBorder="1"/>
    <xf numFmtId="0" fontId="38" fillId="5" borderId="78" xfId="1" applyFont="1" applyFill="1" applyBorder="1" applyAlignment="1">
      <alignment horizontal="center"/>
    </xf>
    <xf numFmtId="0" fontId="38" fillId="5" borderId="79" xfId="1" applyFont="1" applyFill="1" applyBorder="1" applyAlignment="1">
      <alignment horizontal="center"/>
    </xf>
    <xf numFmtId="0" fontId="36" fillId="5" borderId="63" xfId="1" quotePrefix="1" applyFont="1" applyFill="1" applyBorder="1" applyAlignment="1">
      <alignment horizontal="left"/>
    </xf>
    <xf numFmtId="0" fontId="33" fillId="0" borderId="69" xfId="1" applyFont="1" applyFill="1" applyBorder="1"/>
    <xf numFmtId="0" fontId="19" fillId="0" borderId="24" xfId="1" applyFont="1" applyFill="1" applyBorder="1"/>
    <xf numFmtId="0" fontId="36" fillId="5" borderId="83" xfId="1" quotePrefix="1" applyFont="1" applyFill="1" applyBorder="1" applyAlignment="1">
      <alignment horizontal="left"/>
    </xf>
    <xf numFmtId="0" fontId="36" fillId="5" borderId="59" xfId="1" applyFont="1" applyFill="1" applyBorder="1"/>
    <xf numFmtId="0" fontId="39" fillId="5" borderId="59" xfId="1" applyFont="1" applyFill="1" applyBorder="1"/>
    <xf numFmtId="0" fontId="43" fillId="5" borderId="59" xfId="1" applyFont="1" applyFill="1" applyBorder="1" applyAlignment="1">
      <alignment horizontal="right"/>
    </xf>
    <xf numFmtId="49" fontId="38" fillId="5" borderId="59" xfId="1" applyNumberFormat="1" applyFont="1" applyFill="1" applyBorder="1" applyAlignment="1">
      <alignment horizontal="center"/>
    </xf>
    <xf numFmtId="0" fontId="38" fillId="5" borderId="84" xfId="1" applyFont="1" applyFill="1" applyBorder="1" applyAlignment="1">
      <alignment horizontal="center"/>
    </xf>
    <xf numFmtId="0" fontId="36" fillId="5" borderId="64" xfId="1" applyFont="1" applyFill="1" applyBorder="1"/>
    <xf numFmtId="0" fontId="39" fillId="5" borderId="64" xfId="1" applyFont="1" applyFill="1" applyBorder="1"/>
    <xf numFmtId="0" fontId="36" fillId="5" borderId="85" xfId="1" quotePrefix="1" applyFont="1" applyFill="1" applyBorder="1" applyAlignment="1">
      <alignment horizontal="left"/>
    </xf>
    <xf numFmtId="0" fontId="36" fillId="5" borderId="78" xfId="1" applyFont="1" applyFill="1" applyBorder="1"/>
    <xf numFmtId="0" fontId="39" fillId="5" borderId="78" xfId="1" applyFont="1" applyFill="1" applyBorder="1"/>
    <xf numFmtId="0" fontId="36" fillId="5" borderId="63" xfId="1" applyFont="1" applyFill="1" applyBorder="1" applyAlignment="1">
      <alignment horizontal="left"/>
    </xf>
    <xf numFmtId="0" fontId="19" fillId="5" borderId="86" xfId="1" applyFont="1" applyFill="1" applyBorder="1"/>
    <xf numFmtId="0" fontId="19" fillId="5" borderId="69" xfId="1" applyFont="1" applyFill="1" applyBorder="1"/>
    <xf numFmtId="0" fontId="36" fillId="5" borderId="63" xfId="1" applyFont="1" applyFill="1" applyBorder="1"/>
    <xf numFmtId="0" fontId="19" fillId="5" borderId="68" xfId="1" applyFont="1" applyFill="1" applyBorder="1"/>
    <xf numFmtId="0" fontId="36" fillId="5" borderId="86" xfId="1" applyFont="1" applyFill="1" applyBorder="1"/>
    <xf numFmtId="0" fontId="43" fillId="5" borderId="69" xfId="1" applyFont="1" applyFill="1" applyBorder="1" applyAlignment="1">
      <alignment horizontal="right"/>
    </xf>
    <xf numFmtId="0" fontId="36" fillId="5" borderId="58" xfId="1" quotePrefix="1" applyFont="1" applyFill="1" applyBorder="1" applyAlignment="1">
      <alignment horizontal="left"/>
    </xf>
    <xf numFmtId="0" fontId="33" fillId="0" borderId="93" xfId="1" applyFont="1" applyFill="1" applyBorder="1"/>
    <xf numFmtId="0" fontId="36" fillId="5" borderId="86" xfId="1" quotePrefix="1" applyFont="1" applyFill="1" applyBorder="1" applyAlignment="1">
      <alignment horizontal="left"/>
    </xf>
    <xf numFmtId="0" fontId="19" fillId="5" borderId="64" xfId="1" applyFont="1" applyFill="1" applyBorder="1"/>
    <xf numFmtId="0" fontId="36" fillId="5" borderId="94" xfId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center"/>
    </xf>
    <xf numFmtId="0" fontId="19" fillId="5" borderId="69" xfId="1" quotePrefix="1" applyFont="1" applyFill="1" applyBorder="1" applyAlignment="1">
      <alignment horizontal="center"/>
    </xf>
    <xf numFmtId="0" fontId="36" fillId="5" borderId="95" xfId="1" applyFont="1" applyFill="1" applyBorder="1"/>
    <xf numFmtId="0" fontId="33" fillId="0" borderId="96" xfId="1" applyFont="1" applyFill="1" applyBorder="1"/>
    <xf numFmtId="0" fontId="38" fillId="0" borderId="96" xfId="1" applyNumberFormat="1" applyFont="1" applyFill="1" applyBorder="1" applyAlignment="1">
      <alignment horizontal="center"/>
    </xf>
    <xf numFmtId="0" fontId="38" fillId="0" borderId="97" xfId="1" applyFont="1" applyFill="1" applyBorder="1" applyAlignment="1">
      <alignment horizontal="center"/>
    </xf>
    <xf numFmtId="0" fontId="36" fillId="5" borderId="98" xfId="1" applyFont="1" applyFill="1" applyBorder="1" applyAlignment="1">
      <alignment horizontal="center"/>
    </xf>
    <xf numFmtId="0" fontId="36" fillId="5" borderId="77" xfId="1" quotePrefix="1" applyFont="1" applyFill="1" applyBorder="1" applyAlignment="1">
      <alignment horizontal="center"/>
    </xf>
    <xf numFmtId="0" fontId="19" fillId="5" borderId="99" xfId="1" quotePrefix="1" applyFont="1" applyFill="1" applyBorder="1" applyAlignment="1">
      <alignment horizontal="center"/>
    </xf>
    <xf numFmtId="0" fontId="38" fillId="0" borderId="69" xfId="1" applyNumberFormat="1" applyFont="1" applyFill="1" applyBorder="1" applyAlignment="1">
      <alignment horizontal="center"/>
    </xf>
    <xf numFmtId="0" fontId="38" fillId="0" borderId="74" xfId="1" applyFont="1" applyFill="1" applyBorder="1" applyAlignment="1">
      <alignment horizontal="center"/>
    </xf>
    <xf numFmtId="0" fontId="38" fillId="0" borderId="46" xfId="1" applyFont="1" applyFill="1" applyBorder="1"/>
    <xf numFmtId="0" fontId="44" fillId="0" borderId="24" xfId="1" applyFont="1" applyFill="1" applyBorder="1"/>
    <xf numFmtId="0" fontId="28" fillId="0" borderId="102" xfId="1" applyFont="1" applyFill="1" applyBorder="1" applyAlignment="1">
      <alignment horizontal="left"/>
    </xf>
    <xf numFmtId="0" fontId="28" fillId="0" borderId="62" xfId="1" applyFont="1" applyFill="1" applyBorder="1" applyAlignment="1">
      <alignment horizontal="left"/>
    </xf>
    <xf numFmtId="0" fontId="46" fillId="5" borderId="103" xfId="1" applyFont="1" applyFill="1" applyBorder="1" applyAlignment="1">
      <alignment horizontal="center"/>
    </xf>
    <xf numFmtId="167" fontId="38" fillId="0" borderId="69" xfId="1" applyNumberFormat="1" applyFont="1" applyFill="1" applyBorder="1" applyAlignment="1">
      <alignment horizontal="center"/>
    </xf>
    <xf numFmtId="0" fontId="36" fillId="5" borderId="104" xfId="1" applyFont="1" applyFill="1" applyBorder="1" applyAlignment="1">
      <alignment horizontal="left"/>
    </xf>
    <xf numFmtId="0" fontId="19" fillId="5" borderId="105" xfId="1" applyFont="1" applyFill="1" applyBorder="1"/>
    <xf numFmtId="0" fontId="19" fillId="5" borderId="106" xfId="1" applyFont="1" applyFill="1" applyBorder="1"/>
    <xf numFmtId="0" fontId="38" fillId="5" borderId="107" xfId="1" applyFont="1" applyFill="1" applyBorder="1" applyAlignment="1">
      <alignment horizontal="center"/>
    </xf>
    <xf numFmtId="0" fontId="33" fillId="0" borderId="78" xfId="1" applyFont="1" applyFill="1" applyBorder="1"/>
    <xf numFmtId="0" fontId="33" fillId="0" borderId="79" xfId="1" applyFont="1" applyFill="1" applyBorder="1"/>
    <xf numFmtId="0" fontId="33" fillId="0" borderId="87" xfId="1" applyFont="1" applyFill="1" applyBorder="1"/>
    <xf numFmtId="0" fontId="36" fillId="5" borderId="96" xfId="1" applyFont="1" applyFill="1" applyBorder="1"/>
    <xf numFmtId="0" fontId="43" fillId="5" borderId="64" xfId="1" applyFont="1" applyFill="1" applyBorder="1" applyAlignment="1">
      <alignment horizontal="right" shrinkToFit="1"/>
    </xf>
    <xf numFmtId="0" fontId="38" fillId="5" borderId="109" xfId="1" applyFont="1" applyFill="1" applyBorder="1" applyAlignment="1">
      <alignment horizontal="center"/>
    </xf>
    <xf numFmtId="2" fontId="33" fillId="0" borderId="0" xfId="1" applyNumberFormat="1" applyFont="1" applyFill="1"/>
    <xf numFmtId="0" fontId="36" fillId="5" borderId="83" xfId="1" applyFont="1" applyFill="1" applyBorder="1"/>
    <xf numFmtId="0" fontId="36" fillId="5" borderId="56" xfId="1" applyFont="1" applyFill="1" applyBorder="1"/>
    <xf numFmtId="0" fontId="43" fillId="5" borderId="64" xfId="1" applyFont="1" applyFill="1" applyBorder="1" applyAlignment="1">
      <alignment horizontal="right"/>
    </xf>
    <xf numFmtId="2" fontId="38" fillId="5" borderId="64" xfId="1" applyNumberFormat="1" applyFont="1" applyFill="1" applyBorder="1" applyAlignment="1">
      <alignment horizontal="center"/>
    </xf>
    <xf numFmtId="0" fontId="43" fillId="5" borderId="56" xfId="1" applyFont="1" applyFill="1" applyBorder="1" applyAlignment="1">
      <alignment horizontal="right"/>
    </xf>
    <xf numFmtId="0" fontId="43" fillId="5" borderId="64" xfId="1" applyFont="1" applyFill="1" applyBorder="1"/>
    <xf numFmtId="0" fontId="47" fillId="0" borderId="0" xfId="1" applyFont="1" applyFill="1"/>
    <xf numFmtId="0" fontId="36" fillId="5" borderId="111" xfId="1" applyFont="1" applyFill="1" applyBorder="1"/>
    <xf numFmtId="0" fontId="36" fillId="5" borderId="112" xfId="1" applyFont="1" applyFill="1" applyBorder="1"/>
    <xf numFmtId="0" fontId="36" fillId="5" borderId="113" xfId="1" applyFont="1" applyFill="1" applyBorder="1"/>
    <xf numFmtId="0" fontId="43" fillId="5" borderId="113" xfId="1" applyFont="1" applyFill="1" applyBorder="1"/>
    <xf numFmtId="167" fontId="38" fillId="5" borderId="113" xfId="1" applyNumberFormat="1" applyFont="1" applyFill="1" applyBorder="1" applyAlignment="1">
      <alignment horizontal="center"/>
    </xf>
    <xf numFmtId="0" fontId="36" fillId="5" borderId="73" xfId="1" applyFont="1" applyFill="1" applyBorder="1"/>
    <xf numFmtId="0" fontId="36" fillId="5" borderId="103" xfId="1" applyFont="1" applyFill="1" applyBorder="1" applyAlignment="1">
      <alignment horizontal="left"/>
    </xf>
    <xf numFmtId="0" fontId="36" fillId="5" borderId="73" xfId="1" applyFont="1" applyFill="1" applyBorder="1" applyAlignment="1">
      <alignment horizontal="left"/>
    </xf>
    <xf numFmtId="1" fontId="38" fillId="5" borderId="59" xfId="1" applyNumberFormat="1" applyFont="1" applyFill="1" applyBorder="1" applyAlignment="1">
      <alignment horizontal="center"/>
    </xf>
    <xf numFmtId="0" fontId="48" fillId="0" borderId="0" xfId="1" quotePrefix="1" applyFont="1" applyFill="1" applyAlignment="1">
      <alignment horizontal="left"/>
    </xf>
    <xf numFmtId="0" fontId="33" fillId="0" borderId="0" xfId="2" applyFont="1" applyFill="1"/>
    <xf numFmtId="0" fontId="36" fillId="5" borderId="0" xfId="1" applyFont="1" applyFill="1" applyBorder="1"/>
    <xf numFmtId="0" fontId="36" fillId="5" borderId="86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167" fontId="38" fillId="5" borderId="70" xfId="1" applyNumberFormat="1" applyFont="1" applyFill="1" applyBorder="1" applyAlignment="1">
      <alignment horizontal="center"/>
    </xf>
    <xf numFmtId="1" fontId="33" fillId="0" borderId="0" xfId="1" applyNumberFormat="1" applyFont="1" applyFill="1"/>
    <xf numFmtId="0" fontId="36" fillId="5" borderId="40" xfId="1" applyFont="1" applyFill="1" applyBorder="1"/>
    <xf numFmtId="0" fontId="36" fillId="5" borderId="107" xfId="1" applyFont="1" applyFill="1" applyBorder="1" applyAlignment="1">
      <alignment horizontal="left"/>
    </xf>
    <xf numFmtId="0" fontId="36" fillId="5" borderId="99" xfId="1" applyFont="1" applyFill="1" applyBorder="1" applyAlignment="1">
      <alignment horizontal="left"/>
    </xf>
    <xf numFmtId="1" fontId="38" fillId="5" borderId="78" xfId="1" applyNumberFormat="1" applyFont="1" applyFill="1" applyBorder="1" applyAlignment="1">
      <alignment horizontal="center"/>
    </xf>
    <xf numFmtId="0" fontId="30" fillId="5" borderId="83" xfId="1" applyFont="1" applyFill="1" applyBorder="1"/>
    <xf numFmtId="0" fontId="30" fillId="5" borderId="68" xfId="1" applyFont="1" applyFill="1" applyBorder="1" applyAlignment="1">
      <alignment horizontal="left"/>
    </xf>
    <xf numFmtId="0" fontId="30" fillId="5" borderId="74" xfId="1" applyFont="1" applyFill="1" applyBorder="1" applyAlignment="1">
      <alignment horizontal="left"/>
    </xf>
    <xf numFmtId="0" fontId="49" fillId="0" borderId="0" xfId="1" applyFont="1" applyFill="1"/>
    <xf numFmtId="0" fontId="36" fillId="0" borderId="114" xfId="1" applyFont="1" applyFill="1" applyBorder="1"/>
    <xf numFmtId="0" fontId="36" fillId="5" borderId="117" xfId="1" applyFont="1" applyFill="1" applyBorder="1"/>
    <xf numFmtId="0" fontId="51" fillId="5" borderId="118" xfId="1" applyFont="1" applyFill="1" applyBorder="1" applyAlignment="1">
      <alignment horizontal="center" shrinkToFit="1"/>
    </xf>
    <xf numFmtId="0" fontId="30" fillId="5" borderId="45" xfId="1" applyFont="1" applyFill="1" applyBorder="1"/>
    <xf numFmtId="0" fontId="36" fillId="5" borderId="119" xfId="1" applyFont="1" applyFill="1" applyBorder="1"/>
    <xf numFmtId="0" fontId="36" fillId="5" borderId="23" xfId="1" applyFont="1" applyFill="1" applyBorder="1"/>
    <xf numFmtId="14" fontId="19" fillId="5" borderId="122" xfId="1" applyNumberFormat="1" applyFont="1" applyFill="1" applyBorder="1" applyAlignment="1">
      <alignment horizontal="center"/>
    </xf>
    <xf numFmtId="0" fontId="30" fillId="0" borderId="23" xfId="1" applyFont="1" applyFill="1" applyBorder="1"/>
    <xf numFmtId="0" fontId="30" fillId="5" borderId="123" xfId="1" applyFont="1" applyFill="1" applyBorder="1" applyAlignment="1">
      <alignment horizontal="left"/>
    </xf>
    <xf numFmtId="0" fontId="30" fillId="5" borderId="124" xfId="1" applyFont="1" applyFill="1" applyBorder="1" applyAlignment="1">
      <alignment horizontal="left"/>
    </xf>
    <xf numFmtId="0" fontId="30" fillId="0" borderId="0" xfId="1" applyFont="1" applyFill="1"/>
    <xf numFmtId="0" fontId="30" fillId="0" borderId="0" xfId="1" applyFont="1" applyFill="1" applyBorder="1"/>
    <xf numFmtId="0" fontId="54" fillId="0" borderId="6" xfId="3" applyBorder="1"/>
    <xf numFmtId="0" fontId="54" fillId="0" borderId="7" xfId="3" applyBorder="1"/>
    <xf numFmtId="0" fontId="54" fillId="0" borderId="41" xfId="3" applyBorder="1"/>
    <xf numFmtId="0" fontId="54" fillId="0" borderId="41" xfId="3" applyBorder="1" applyAlignment="1">
      <alignment horizontal="center"/>
    </xf>
    <xf numFmtId="0" fontId="55" fillId="0" borderId="41" xfId="3" applyFont="1" applyBorder="1" applyAlignment="1">
      <alignment horizontal="center"/>
    </xf>
    <xf numFmtId="0" fontId="54" fillId="0" borderId="0" xfId="3"/>
    <xf numFmtId="0" fontId="56" fillId="0" borderId="125" xfId="3" applyFont="1" applyBorder="1" applyAlignment="1">
      <alignment horizontal="center"/>
    </xf>
    <xf numFmtId="0" fontId="54" fillId="0" borderId="125" xfId="3" applyBorder="1" applyAlignment="1">
      <alignment horizontal="center"/>
    </xf>
    <xf numFmtId="0" fontId="55" fillId="0" borderId="125" xfId="3" applyFont="1" applyBorder="1" applyAlignment="1">
      <alignment horizontal="center"/>
    </xf>
    <xf numFmtId="0" fontId="56" fillId="0" borderId="45" xfId="3" applyFont="1" applyBorder="1" applyAlignment="1">
      <alignment horizontal="center"/>
    </xf>
    <xf numFmtId="0" fontId="56" fillId="0" borderId="0" xfId="3" applyFont="1" applyBorder="1" applyAlignment="1">
      <alignment horizontal="center"/>
    </xf>
    <xf numFmtId="0" fontId="54" fillId="0" borderId="45" xfId="3" applyBorder="1"/>
    <xf numFmtId="0" fontId="57" fillId="0" borderId="0" xfId="3" applyFont="1"/>
    <xf numFmtId="0" fontId="54" fillId="0" borderId="125" xfId="3" applyBorder="1"/>
    <xf numFmtId="0" fontId="55" fillId="0" borderId="0" xfId="3" applyFont="1"/>
    <xf numFmtId="0" fontId="55" fillId="0" borderId="125" xfId="3" applyFont="1" applyBorder="1"/>
    <xf numFmtId="170" fontId="54" fillId="0" borderId="3" xfId="3" applyNumberFormat="1" applyBorder="1"/>
    <xf numFmtId="49" fontId="54" fillId="0" borderId="1" xfId="3" applyNumberFormat="1" applyBorder="1" applyAlignment="1">
      <alignment horizontal="center"/>
    </xf>
    <xf numFmtId="49" fontId="54" fillId="0" borderId="1" xfId="3" applyNumberFormat="1" applyBorder="1"/>
    <xf numFmtId="49" fontId="55" fillId="0" borderId="1" xfId="3" applyNumberFormat="1" applyFont="1" applyBorder="1"/>
    <xf numFmtId="171" fontId="55" fillId="0" borderId="1" xfId="3" applyNumberFormat="1" applyFont="1" applyBorder="1"/>
    <xf numFmtId="0" fontId="54" fillId="0" borderId="1" xfId="3" applyBorder="1"/>
    <xf numFmtId="0" fontId="54" fillId="0" borderId="9" xfId="3" applyBorder="1"/>
    <xf numFmtId="171" fontId="54" fillId="0" borderId="1" xfId="3" applyNumberFormat="1" applyBorder="1"/>
    <xf numFmtId="0" fontId="54" fillId="0" borderId="1" xfId="3" applyBorder="1" applyAlignment="1">
      <alignment horizontal="center"/>
    </xf>
    <xf numFmtId="170" fontId="54" fillId="0" borderId="18" xfId="3" applyNumberFormat="1" applyBorder="1"/>
    <xf numFmtId="49" fontId="54" fillId="0" borderId="26" xfId="3" applyNumberFormat="1" applyBorder="1"/>
    <xf numFmtId="171" fontId="54" fillId="0" borderId="26" xfId="3" applyNumberFormat="1" applyBorder="1"/>
    <xf numFmtId="0" fontId="54" fillId="0" borderId="26" xfId="3" applyBorder="1"/>
    <xf numFmtId="0" fontId="54" fillId="0" borderId="126" xfId="3" applyBorder="1"/>
    <xf numFmtId="0" fontId="55" fillId="0" borderId="127" xfId="3" applyFont="1" applyBorder="1" applyAlignment="1">
      <alignment horizontal="center"/>
    </xf>
    <xf numFmtId="0" fontId="55" fillId="0" borderId="128" xfId="3" applyFont="1" applyBorder="1" applyAlignment="1">
      <alignment horizontal="center"/>
    </xf>
    <xf numFmtId="49" fontId="55" fillId="0" borderId="2" xfId="3" applyNumberFormat="1" applyFont="1" applyBorder="1" applyAlignment="1">
      <alignment horizontal="center"/>
    </xf>
    <xf numFmtId="0" fontId="54" fillId="0" borderId="55" xfId="3" applyBorder="1" applyAlignment="1">
      <alignment horizontal="left"/>
    </xf>
    <xf numFmtId="49" fontId="54" fillId="0" borderId="3" xfId="3" applyNumberFormat="1" applyBorder="1"/>
    <xf numFmtId="0" fontId="54" fillId="0" borderId="130" xfId="3" applyBorder="1" applyAlignment="1">
      <alignment horizontal="left"/>
    </xf>
    <xf numFmtId="49" fontId="54" fillId="0" borderId="4" xfId="3" applyNumberFormat="1" applyBorder="1"/>
    <xf numFmtId="0" fontId="54" fillId="0" borderId="131" xfId="3" applyBorder="1" applyAlignment="1">
      <alignment horizontal="left"/>
    </xf>
    <xf numFmtId="0" fontId="28" fillId="5" borderId="80" xfId="2" applyFont="1" applyFill="1" applyBorder="1" applyAlignment="1">
      <alignment horizontal="left"/>
    </xf>
    <xf numFmtId="0" fontId="28" fillId="5" borderId="81" xfId="2" applyFont="1" applyFill="1" applyBorder="1" applyAlignment="1">
      <alignment horizontal="left"/>
    </xf>
    <xf numFmtId="0" fontId="28" fillId="5" borderId="82" xfId="2" applyFont="1" applyFill="1" applyBorder="1" applyAlignment="1">
      <alignment horizontal="left"/>
    </xf>
    <xf numFmtId="0" fontId="30" fillId="5" borderId="83" xfId="2" applyFont="1" applyFill="1" applyBorder="1"/>
    <xf numFmtId="0" fontId="33" fillId="5" borderId="72" xfId="2" applyFont="1" applyFill="1" applyBorder="1" applyAlignment="1">
      <alignment horizontal="left"/>
    </xf>
    <xf numFmtId="0" fontId="33" fillId="5" borderId="84" xfId="2" applyFont="1" applyFill="1" applyBorder="1" applyAlignment="1">
      <alignment horizontal="left"/>
    </xf>
    <xf numFmtId="0" fontId="30" fillId="5" borderId="68" xfId="2" applyFont="1" applyFill="1" applyBorder="1" applyAlignment="1">
      <alignment horizontal="left"/>
    </xf>
    <xf numFmtId="0" fontId="30" fillId="5" borderId="123" xfId="2" applyFont="1" applyFill="1" applyBorder="1" applyAlignment="1">
      <alignment horizontal="left"/>
    </xf>
    <xf numFmtId="167" fontId="2" fillId="0" borderId="0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67" fontId="2" fillId="0" borderId="36" xfId="0" applyNumberFormat="1" applyFont="1" applyFill="1" applyBorder="1" applyAlignment="1">
      <alignment horizontal="center"/>
    </xf>
    <xf numFmtId="167" fontId="2" fillId="0" borderId="132" xfId="0" applyNumberFormat="1" applyFont="1" applyFill="1" applyBorder="1" applyAlignment="1">
      <alignment horizontal="center"/>
    </xf>
    <xf numFmtId="2" fontId="4" fillId="0" borderId="40" xfId="0" applyNumberFormat="1" applyFont="1" applyFill="1" applyBorder="1" applyAlignment="1">
      <alignment horizontal="left"/>
    </xf>
    <xf numFmtId="167" fontId="14" fillId="0" borderId="4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23" xfId="0" applyNumberFormat="1" applyFont="1" applyFill="1" applyBorder="1" applyAlignment="1">
      <alignment horizontal="right"/>
    </xf>
    <xf numFmtId="167" fontId="2" fillId="0" borderId="0" xfId="0" applyNumberFormat="1" applyFont="1" applyFill="1" applyBorder="1" applyAlignment="1">
      <alignment horizontal="centerContinuous"/>
    </xf>
    <xf numFmtId="167" fontId="2" fillId="0" borderId="0" xfId="0" applyNumberFormat="1" applyFont="1" applyBorder="1" applyAlignment="1">
      <alignment horizontal="centerContinuous"/>
    </xf>
    <xf numFmtId="167" fontId="2" fillId="0" borderId="23" xfId="0" applyNumberFormat="1" applyFont="1" applyFill="1" applyBorder="1" applyAlignment="1">
      <alignment horizontal="centerContinuous"/>
    </xf>
    <xf numFmtId="0" fontId="6" fillId="0" borderId="0" xfId="4" applyFont="1" applyAlignment="1">
      <alignment horizontal="right"/>
    </xf>
    <xf numFmtId="0" fontId="1" fillId="0" borderId="0" xfId="4"/>
    <xf numFmtId="0" fontId="24" fillId="0" borderId="0" xfId="4" applyFont="1"/>
    <xf numFmtId="0" fontId="58" fillId="0" borderId="0" xfId="4" applyFont="1"/>
    <xf numFmtId="0" fontId="59" fillId="0" borderId="26" xfId="4" applyFont="1" applyBorder="1" applyAlignment="1">
      <alignment horizontal="center"/>
    </xf>
    <xf numFmtId="0" fontId="59" fillId="0" borderId="28" xfId="4" applyFont="1" applyBorder="1" applyAlignment="1">
      <alignment horizontal="center"/>
    </xf>
    <xf numFmtId="0" fontId="58" fillId="0" borderId="1" xfId="4" applyFont="1" applyBorder="1" applyAlignment="1">
      <alignment horizontal="center"/>
    </xf>
    <xf numFmtId="0" fontId="59" fillId="0" borderId="1" xfId="4" applyFont="1" applyBorder="1" applyAlignment="1">
      <alignment horizontal="right"/>
    </xf>
    <xf numFmtId="0" fontId="59" fillId="0" borderId="1" xfId="4" applyFont="1" applyBorder="1" applyAlignment="1">
      <alignment horizontal="center"/>
    </xf>
    <xf numFmtId="0" fontId="58" fillId="0" borderId="129" xfId="4" applyFont="1" applyBorder="1" applyAlignment="1">
      <alignment horizontal="center"/>
    </xf>
    <xf numFmtId="0" fontId="58" fillId="0" borderId="130" xfId="4" quotePrefix="1" applyFont="1" applyBorder="1" applyAlignment="1">
      <alignment horizontal="center"/>
    </xf>
    <xf numFmtId="0" fontId="58" fillId="0" borderId="130" xfId="4" applyFont="1" applyBorder="1" applyAlignment="1">
      <alignment horizontal="center"/>
    </xf>
    <xf numFmtId="0" fontId="59" fillId="0" borderId="0" xfId="4" applyFont="1" applyAlignment="1">
      <alignment horizontal="right"/>
    </xf>
    <xf numFmtId="0" fontId="61" fillId="0" borderId="61" xfId="4" applyFont="1" applyBorder="1"/>
    <xf numFmtId="0" fontId="61" fillId="0" borderId="62" xfId="4" applyFont="1" applyBorder="1"/>
    <xf numFmtId="0" fontId="61" fillId="0" borderId="38" xfId="4" applyFont="1" applyBorder="1"/>
    <xf numFmtId="0" fontId="62" fillId="0" borderId="83" xfId="4" applyFont="1" applyBorder="1" applyAlignment="1">
      <alignment horizontal="centerContinuous"/>
    </xf>
    <xf numFmtId="0" fontId="61" fillId="0" borderId="0" xfId="4" applyFont="1" applyBorder="1" applyAlignment="1">
      <alignment horizontal="centerContinuous"/>
    </xf>
    <xf numFmtId="0" fontId="61" fillId="0" borderId="108" xfId="4" applyFont="1" applyBorder="1" applyAlignment="1">
      <alignment horizontal="centerContinuous"/>
    </xf>
    <xf numFmtId="0" fontId="61" fillId="0" borderId="83" xfId="4" applyFont="1" applyBorder="1"/>
    <xf numFmtId="0" fontId="61" fillId="0" borderId="0" xfId="4" applyFont="1" applyBorder="1"/>
    <xf numFmtId="0" fontId="61" fillId="0" borderId="108" xfId="4" applyFont="1" applyBorder="1"/>
    <xf numFmtId="0" fontId="65" fillId="0" borderId="1" xfId="4" applyFont="1" applyBorder="1" applyAlignment="1">
      <alignment horizontal="right"/>
    </xf>
    <xf numFmtId="0" fontId="61" fillId="0" borderId="1" xfId="4" applyFont="1" applyBorder="1" applyAlignment="1">
      <alignment horizontal="center"/>
    </xf>
    <xf numFmtId="14" fontId="61" fillId="0" borderId="1" xfId="4" applyNumberFormat="1" applyFont="1" applyBorder="1" applyAlignment="1">
      <alignment horizontal="center"/>
    </xf>
    <xf numFmtId="0" fontId="65" fillId="0" borderId="0" xfId="4" applyFont="1" applyBorder="1" applyAlignment="1">
      <alignment horizontal="right"/>
    </xf>
    <xf numFmtId="0" fontId="61" fillId="0" borderId="0" xfId="4" applyFont="1" applyBorder="1" applyAlignment="1">
      <alignment horizontal="center"/>
    </xf>
    <xf numFmtId="9" fontId="61" fillId="0" borderId="0" xfId="4" applyNumberFormat="1" applyFont="1" applyBorder="1" applyAlignment="1">
      <alignment horizontal="center"/>
    </xf>
    <xf numFmtId="0" fontId="65" fillId="0" borderId="83" xfId="4" applyFont="1" applyBorder="1" applyAlignment="1">
      <alignment horizontal="right"/>
    </xf>
    <xf numFmtId="0" fontId="61" fillId="0" borderId="40" xfId="4" applyFont="1" applyBorder="1"/>
    <xf numFmtId="0" fontId="61" fillId="0" borderId="39" xfId="4" applyFont="1" applyBorder="1" applyAlignment="1">
      <alignment horizontal="center"/>
    </xf>
    <xf numFmtId="0" fontId="61" fillId="0" borderId="85" xfId="4" applyFont="1" applyBorder="1"/>
    <xf numFmtId="0" fontId="65" fillId="0" borderId="17" xfId="4" applyFont="1" applyBorder="1" applyAlignment="1">
      <alignment horizontal="right"/>
    </xf>
    <xf numFmtId="0" fontId="61" fillId="0" borderId="130" xfId="4" applyFont="1" applyBorder="1"/>
    <xf numFmtId="0" fontId="66" fillId="0" borderId="0" xfId="4" applyFont="1"/>
    <xf numFmtId="0" fontId="1" fillId="0" borderId="0" xfId="4" applyBorder="1"/>
    <xf numFmtId="0" fontId="67" fillId="0" borderId="0" xfId="4" applyFont="1" applyFill="1" applyBorder="1"/>
    <xf numFmtId="0" fontId="1" fillId="0" borderId="0" xfId="4" applyFont="1" applyFill="1" applyBorder="1"/>
    <xf numFmtId="0" fontId="2" fillId="0" borderId="1" xfId="4" applyFont="1" applyBorder="1" applyAlignment="1">
      <alignment horizontal="center"/>
    </xf>
    <xf numFmtId="1" fontId="2" fillId="5" borderId="1" xfId="4" applyNumberFormat="1" applyFont="1" applyFill="1" applyBorder="1" applyAlignment="1">
      <alignment horizontal="center"/>
    </xf>
    <xf numFmtId="2" fontId="2" fillId="5" borderId="1" xfId="4" applyNumberFormat="1" applyFont="1" applyFill="1" applyBorder="1" applyAlignment="1">
      <alignment horizontal="center"/>
    </xf>
    <xf numFmtId="0" fontId="2" fillId="5" borderId="1" xfId="4" applyFont="1" applyFill="1" applyBorder="1" applyAlignment="1">
      <alignment horizontal="center"/>
    </xf>
    <xf numFmtId="0" fontId="63" fillId="0" borderId="83" xfId="4" applyFont="1" applyBorder="1" applyAlignment="1">
      <alignment horizontal="centerContinuous"/>
    </xf>
    <xf numFmtId="0" fontId="18" fillId="0" borderId="0" xfId="4" applyFont="1"/>
    <xf numFmtId="0" fontId="2" fillId="0" borderId="44" xfId="4" applyFont="1" applyBorder="1" applyAlignment="1">
      <alignment horizontal="center"/>
    </xf>
    <xf numFmtId="0" fontId="2" fillId="0" borderId="54" xfId="4" applyFont="1" applyBorder="1" applyAlignment="1">
      <alignment horizontal="center"/>
    </xf>
    <xf numFmtId="167" fontId="3" fillId="0" borderId="133" xfId="4" quotePrefix="1" applyNumberFormat="1" applyFont="1" applyBorder="1" applyAlignment="1">
      <alignment horizontal="center"/>
    </xf>
    <xf numFmtId="167" fontId="2" fillId="0" borderId="39" xfId="4" applyNumberFormat="1" applyFont="1" applyBorder="1" applyAlignment="1">
      <alignment horizontal="center"/>
    </xf>
    <xf numFmtId="167" fontId="2" fillId="0" borderId="28" xfId="4" applyNumberFormat="1" applyFont="1" applyBorder="1" applyAlignment="1">
      <alignment horizontal="center"/>
    </xf>
    <xf numFmtId="167" fontId="2" fillId="0" borderId="134" xfId="4" applyNumberFormat="1" applyFont="1" applyBorder="1" applyAlignment="1">
      <alignment horizontal="center"/>
    </xf>
    <xf numFmtId="167" fontId="3" fillId="0" borderId="135" xfId="4" quotePrefix="1" applyNumberFormat="1" applyFont="1" applyBorder="1" applyAlignment="1">
      <alignment horizontal="center"/>
    </xf>
    <xf numFmtId="167" fontId="2" fillId="0" borderId="130" xfId="4" applyNumberFormat="1" applyFont="1" applyBorder="1" applyAlignment="1">
      <alignment horizontal="center"/>
    </xf>
    <xf numFmtId="167" fontId="2" fillId="0" borderId="1" xfId="4" applyNumberFormat="1" applyFont="1" applyBorder="1" applyAlignment="1">
      <alignment horizontal="center"/>
    </xf>
    <xf numFmtId="167" fontId="2" fillId="0" borderId="9" xfId="4" applyNumberFormat="1" applyFont="1" applyBorder="1" applyAlignment="1">
      <alignment horizontal="center"/>
    </xf>
    <xf numFmtId="167" fontId="3" fillId="0" borderId="25" xfId="4" quotePrefix="1" applyNumberFormat="1" applyFont="1" applyBorder="1" applyAlignment="1">
      <alignment horizontal="center"/>
    </xf>
    <xf numFmtId="167" fontId="2" fillId="0" borderId="131" xfId="4" applyNumberFormat="1" applyFont="1" applyBorder="1" applyAlignment="1">
      <alignment horizontal="center"/>
    </xf>
    <xf numFmtId="167" fontId="2" fillId="0" borderId="11" xfId="4" applyNumberFormat="1" applyFont="1" applyBorder="1" applyAlignment="1">
      <alignment horizontal="center"/>
    </xf>
    <xf numFmtId="167" fontId="2" fillId="0" borderId="33" xfId="4" applyNumberFormat="1" applyFont="1" applyBorder="1" applyAlignment="1">
      <alignment horizontal="center"/>
    </xf>
    <xf numFmtId="167" fontId="3" fillId="0" borderId="0" xfId="4" quotePrefix="1" applyNumberFormat="1" applyFont="1" applyBorder="1" applyAlignment="1">
      <alignment horizontal="center"/>
    </xf>
    <xf numFmtId="167" fontId="2" fillId="0" borderId="0" xfId="4" applyNumberFormat="1" applyFont="1" applyBorder="1" applyAlignment="1">
      <alignment horizontal="center"/>
    </xf>
    <xf numFmtId="167" fontId="3" fillId="0" borderId="0" xfId="4" applyNumberFormat="1" applyFont="1" applyBorder="1" applyAlignment="1">
      <alignment horizontal="center"/>
    </xf>
    <xf numFmtId="167" fontId="3" fillId="0" borderId="0" xfId="0" quotePrefix="1" applyNumberFormat="1" applyFont="1" applyBorder="1" applyAlignment="1">
      <alignment horizontal="center"/>
    </xf>
    <xf numFmtId="167" fontId="3" fillId="0" borderId="0" xfId="0" applyNumberFormat="1" applyFont="1" applyBorder="1" applyAlignment="1">
      <alignment horizontal="center"/>
    </xf>
    <xf numFmtId="172" fontId="69" fillId="0" borderId="6" xfId="5" applyFont="1" applyBorder="1" applyAlignment="1" applyProtection="1">
      <alignment horizontal="centerContinuous"/>
    </xf>
    <xf numFmtId="172" fontId="69" fillId="0" borderId="7" xfId="5" applyFont="1" applyBorder="1" applyAlignment="1">
      <alignment horizontal="centerContinuous"/>
    </xf>
    <xf numFmtId="172" fontId="70" fillId="0" borderId="12" xfId="5" applyFont="1" applyBorder="1" applyAlignment="1" applyProtection="1">
      <alignment horizontal="left"/>
    </xf>
    <xf numFmtId="172" fontId="71" fillId="0" borderId="55" xfId="5" applyFont="1" applyBorder="1"/>
    <xf numFmtId="172" fontId="70" fillId="0" borderId="13" xfId="5" applyFont="1" applyBorder="1" applyAlignment="1">
      <alignment horizontal="centerContinuous"/>
    </xf>
    <xf numFmtId="172" fontId="71" fillId="0" borderId="14" xfId="5" applyFont="1" applyBorder="1" applyAlignment="1">
      <alignment horizontal="centerContinuous"/>
    </xf>
    <xf numFmtId="172" fontId="72" fillId="0" borderId="0" xfId="5" applyFont="1"/>
    <xf numFmtId="172" fontId="68" fillId="0" borderId="0" xfId="5"/>
    <xf numFmtId="172" fontId="69" fillId="0" borderId="45" xfId="5" applyFont="1" applyBorder="1" applyAlignment="1" applyProtection="1">
      <alignment horizontal="centerContinuous"/>
    </xf>
    <xf numFmtId="172" fontId="69" fillId="0" borderId="0" xfId="5" applyFont="1" applyBorder="1" applyAlignment="1">
      <alignment horizontal="centerContinuous"/>
    </xf>
    <xf numFmtId="172" fontId="70" fillId="0" borderId="110" xfId="5" applyFont="1" applyBorder="1" applyAlignment="1" applyProtection="1">
      <alignment horizontal="left"/>
    </xf>
    <xf numFmtId="172" fontId="71" fillId="0" borderId="39" xfId="5" applyFont="1" applyBorder="1"/>
    <xf numFmtId="172" fontId="70" fillId="0" borderId="40" xfId="5" applyFont="1" applyBorder="1" applyAlignment="1" applyProtection="1">
      <alignment horizontal="centerContinuous"/>
    </xf>
    <xf numFmtId="172" fontId="71" fillId="0" borderId="29" xfId="5" applyFont="1" applyBorder="1" applyAlignment="1">
      <alignment horizontal="centerContinuous"/>
    </xf>
    <xf numFmtId="172" fontId="71" fillId="0" borderId="45" xfId="5" applyFont="1" applyBorder="1" applyAlignment="1">
      <alignment horizontal="centerContinuous"/>
    </xf>
    <xf numFmtId="172" fontId="71" fillId="0" borderId="0" xfId="5" applyFont="1" applyBorder="1" applyAlignment="1">
      <alignment horizontal="centerContinuous"/>
    </xf>
    <xf numFmtId="172" fontId="70" fillId="0" borderId="40" xfId="5" quotePrefix="1" applyFont="1" applyBorder="1" applyAlignment="1">
      <alignment horizontal="centerContinuous"/>
    </xf>
    <xf numFmtId="172" fontId="73" fillId="0" borderId="45" xfId="5" applyFont="1" applyBorder="1" applyAlignment="1" applyProtection="1">
      <alignment horizontal="centerContinuous"/>
    </xf>
    <xf numFmtId="172" fontId="70" fillId="0" borderId="40" xfId="5" quotePrefix="1" applyFont="1" applyBorder="1" applyAlignment="1" applyProtection="1">
      <alignment horizontal="centerContinuous"/>
    </xf>
    <xf numFmtId="172" fontId="72" fillId="0" borderId="45" xfId="5" applyFont="1" applyBorder="1" applyAlignment="1">
      <alignment horizontal="centerContinuous"/>
    </xf>
    <xf numFmtId="172" fontId="70" fillId="0" borderId="40" xfId="5" applyFont="1" applyBorder="1" applyAlignment="1">
      <alignment horizontal="centerContinuous"/>
    </xf>
    <xf numFmtId="172" fontId="72" fillId="0" borderId="46" xfId="5" applyFont="1" applyBorder="1" applyAlignment="1" applyProtection="1">
      <alignment horizontal="centerContinuous"/>
    </xf>
    <xf numFmtId="172" fontId="71" fillId="0" borderId="23" xfId="5" applyFont="1" applyBorder="1" applyAlignment="1">
      <alignment horizontal="centerContinuous"/>
    </xf>
    <xf numFmtId="172" fontId="70" fillId="0" borderId="46" xfId="5" applyFont="1" applyBorder="1" applyAlignment="1" applyProtection="1">
      <alignment horizontal="left"/>
    </xf>
    <xf numFmtId="172" fontId="71" fillId="0" borderId="48" xfId="5" applyFont="1" applyBorder="1"/>
    <xf numFmtId="172" fontId="74" fillId="0" borderId="23" xfId="5" applyFont="1" applyBorder="1" applyAlignment="1">
      <alignment horizontal="centerContinuous"/>
    </xf>
    <xf numFmtId="172" fontId="71" fillId="0" borderId="24" xfId="5" applyFont="1" applyBorder="1" applyAlignment="1">
      <alignment horizontal="centerContinuous"/>
    </xf>
    <xf numFmtId="172" fontId="72" fillId="0" borderId="0" xfId="5" applyFont="1" applyBorder="1" applyAlignment="1" applyProtection="1">
      <alignment horizontal="centerContinuous"/>
    </xf>
    <xf numFmtId="172" fontId="70" fillId="0" borderId="0" xfId="5" applyFont="1" applyBorder="1" applyAlignment="1" applyProtection="1">
      <alignment horizontal="left"/>
    </xf>
    <xf numFmtId="172" fontId="71" fillId="0" borderId="0" xfId="5" applyFont="1" applyBorder="1"/>
    <xf numFmtId="172" fontId="70" fillId="0" borderId="0" xfId="5" applyFont="1" applyBorder="1" applyAlignment="1">
      <alignment horizontal="centerContinuous"/>
    </xf>
    <xf numFmtId="172" fontId="75" fillId="0" borderId="0" xfId="5" applyFont="1"/>
    <xf numFmtId="172" fontId="75" fillId="0" borderId="0" xfId="5" applyFont="1" applyAlignment="1" applyProtection="1">
      <alignment horizontal="right"/>
    </xf>
    <xf numFmtId="172" fontId="75" fillId="0" borderId="0" xfId="5" applyFont="1" applyAlignment="1" applyProtection="1">
      <alignment horizontal="left"/>
      <protection locked="0"/>
    </xf>
    <xf numFmtId="172" fontId="75" fillId="0" borderId="0" xfId="5" applyFont="1" applyBorder="1" applyAlignment="1">
      <alignment horizontal="centerContinuous"/>
    </xf>
    <xf numFmtId="172" fontId="75" fillId="0" borderId="0" xfId="5" applyFont="1" applyBorder="1" applyAlignment="1" applyProtection="1">
      <alignment horizontal="left"/>
    </xf>
    <xf numFmtId="172" fontId="75" fillId="0" borderId="0" xfId="5" applyFont="1" applyBorder="1"/>
    <xf numFmtId="172" fontId="75" fillId="0" borderId="0" xfId="5" quotePrefix="1" applyFont="1" applyAlignment="1" applyProtection="1">
      <alignment horizontal="left"/>
      <protection locked="0"/>
    </xf>
    <xf numFmtId="172" fontId="71" fillId="0" borderId="0" xfId="5" applyFont="1"/>
    <xf numFmtId="172" fontId="76" fillId="0" borderId="136" xfId="5" applyFont="1" applyBorder="1" applyAlignment="1" applyProtection="1">
      <alignment horizontal="centerContinuous"/>
    </xf>
    <xf numFmtId="172" fontId="72" fillId="0" borderId="137" xfId="5" applyFont="1" applyBorder="1" applyAlignment="1">
      <alignment horizontal="centerContinuous"/>
    </xf>
    <xf numFmtId="172" fontId="72" fillId="0" borderId="138" xfId="5" applyFont="1" applyBorder="1" applyAlignment="1">
      <alignment horizontal="centerContinuous"/>
    </xf>
    <xf numFmtId="172" fontId="75" fillId="0" borderId="45" xfId="5" applyFont="1" applyBorder="1"/>
    <xf numFmtId="172" fontId="75" fillId="0" borderId="0" xfId="5" applyFont="1" applyBorder="1" applyAlignment="1" applyProtection="1">
      <alignment horizontal="right"/>
    </xf>
    <xf numFmtId="172" fontId="75" fillId="0" borderId="0" xfId="5" applyFont="1" applyBorder="1" applyAlignment="1" applyProtection="1">
      <alignment horizontal="center"/>
      <protection locked="0"/>
    </xf>
    <xf numFmtId="172" fontId="75" fillId="0" borderId="21" xfId="5" applyFont="1" applyBorder="1" applyAlignment="1" applyProtection="1">
      <alignment horizontal="center"/>
      <protection locked="0"/>
    </xf>
    <xf numFmtId="172" fontId="70" fillId="0" borderId="0" xfId="5" applyFont="1" applyBorder="1" applyAlignment="1" applyProtection="1">
      <alignment horizontal="right"/>
    </xf>
    <xf numFmtId="172" fontId="75" fillId="0" borderId="0" xfId="5" quotePrefix="1" applyFont="1" applyBorder="1" applyAlignment="1" applyProtection="1">
      <alignment horizontal="right"/>
    </xf>
    <xf numFmtId="172" fontId="75" fillId="0" borderId="0" xfId="5" quotePrefix="1" applyFont="1" applyBorder="1" applyAlignment="1" applyProtection="1">
      <alignment horizontal="center"/>
      <protection locked="0"/>
    </xf>
    <xf numFmtId="172" fontId="75" fillId="0" borderId="0" xfId="5" applyFont="1" applyBorder="1" applyAlignment="1" applyProtection="1">
      <alignment horizontal="left"/>
      <protection locked="0"/>
    </xf>
    <xf numFmtId="172" fontId="75" fillId="0" borderId="0" xfId="5" applyFont="1" applyBorder="1" applyAlignment="1">
      <alignment horizontal="center"/>
    </xf>
    <xf numFmtId="172" fontId="75" fillId="0" borderId="21" xfId="5" applyFont="1" applyBorder="1"/>
    <xf numFmtId="172" fontId="75" fillId="0" borderId="46" xfId="5" applyFont="1" applyBorder="1"/>
    <xf numFmtId="172" fontId="75" fillId="0" borderId="23" xfId="5" applyFont="1" applyBorder="1" applyAlignment="1" applyProtection="1">
      <alignment horizontal="right"/>
    </xf>
    <xf numFmtId="167" fontId="75" fillId="0" borderId="23" xfId="5" quotePrefix="1" applyNumberFormat="1" applyFont="1" applyBorder="1" applyAlignment="1" applyProtection="1">
      <alignment horizontal="center"/>
      <protection locked="0"/>
    </xf>
    <xf numFmtId="172" fontId="75" fillId="0" borderId="23" xfId="5" applyFont="1" applyBorder="1"/>
    <xf numFmtId="172" fontId="75" fillId="0" borderId="23" xfId="5" applyFont="1" applyBorder="1" applyAlignment="1">
      <alignment horizontal="right"/>
    </xf>
    <xf numFmtId="167" fontId="75" fillId="0" borderId="23" xfId="5" applyNumberFormat="1" applyFont="1" applyBorder="1" applyProtection="1"/>
    <xf numFmtId="172" fontId="75" fillId="0" borderId="24" xfId="5" applyFont="1" applyBorder="1"/>
    <xf numFmtId="172" fontId="77" fillId="0" borderId="45" xfId="5" quotePrefix="1" applyFont="1" applyBorder="1" applyAlignment="1">
      <alignment horizontal="left"/>
    </xf>
    <xf numFmtId="172" fontId="71" fillId="0" borderId="0" xfId="5" quotePrefix="1" applyFont="1" applyBorder="1" applyAlignment="1" applyProtection="1">
      <alignment horizontal="right"/>
    </xf>
    <xf numFmtId="172" fontId="71" fillId="0" borderId="108" xfId="5" applyFont="1" applyBorder="1"/>
    <xf numFmtId="172" fontId="77" fillId="0" borderId="0" xfId="5" applyFont="1" applyBorder="1" applyAlignment="1" applyProtection="1">
      <alignment horizontal="left"/>
    </xf>
    <xf numFmtId="172" fontId="71" fillId="0" borderId="0" xfId="5" applyFont="1" applyBorder="1" applyAlignment="1" applyProtection="1">
      <alignment horizontal="right"/>
    </xf>
    <xf numFmtId="172" fontId="71" fillId="0" borderId="108" xfId="5" applyFont="1" applyBorder="1" applyAlignment="1" applyProtection="1">
      <alignment horizontal="right"/>
    </xf>
    <xf numFmtId="172" fontId="77" fillId="0" borderId="0" xfId="5" quotePrefix="1" applyFont="1" applyBorder="1" applyAlignment="1" applyProtection="1">
      <alignment horizontal="left"/>
    </xf>
    <xf numFmtId="172" fontId="71" fillId="0" borderId="0" xfId="5" applyFont="1" applyBorder="1" applyAlignment="1">
      <alignment horizontal="right"/>
    </xf>
    <xf numFmtId="172" fontId="71" fillId="0" borderId="21" xfId="5" applyFont="1" applyBorder="1"/>
    <xf numFmtId="172" fontId="68" fillId="0" borderId="45" xfId="5" applyBorder="1"/>
    <xf numFmtId="172" fontId="75" fillId="0" borderId="0" xfId="5" applyFont="1" applyBorder="1" applyAlignment="1">
      <alignment horizontal="right"/>
    </xf>
    <xf numFmtId="172" fontId="75" fillId="0" borderId="108" xfId="5" applyFont="1" applyBorder="1" applyAlignment="1" applyProtection="1">
      <alignment horizontal="center"/>
      <protection locked="0"/>
    </xf>
    <xf numFmtId="1" fontId="75" fillId="0" borderId="108" xfId="5" applyNumberFormat="1" applyFont="1" applyBorder="1" applyAlignment="1">
      <alignment horizontal="center"/>
    </xf>
    <xf numFmtId="172" fontId="75" fillId="0" borderId="0" xfId="5" applyFont="1" applyBorder="1" applyAlignment="1">
      <alignment horizontal="left"/>
    </xf>
    <xf numFmtId="172" fontId="75" fillId="0" borderId="108" xfId="5" applyFont="1" applyBorder="1"/>
    <xf numFmtId="172" fontId="75" fillId="0" borderId="48" xfId="5" applyFont="1" applyBorder="1"/>
    <xf numFmtId="172" fontId="75" fillId="0" borderId="48" xfId="5" applyFont="1" applyBorder="1" applyAlignment="1">
      <alignment horizontal="left"/>
    </xf>
    <xf numFmtId="172" fontId="72" fillId="0" borderId="0" xfId="5" applyFont="1" applyBorder="1" applyAlignment="1">
      <alignment horizontal="centerContinuous"/>
    </xf>
    <xf numFmtId="172" fontId="72" fillId="0" borderId="0" xfId="5" applyFont="1" applyBorder="1"/>
    <xf numFmtId="172" fontId="76" fillId="0" borderId="139" xfId="5" applyFont="1" applyBorder="1" applyAlignment="1" applyProtection="1">
      <alignment horizontal="centerContinuous"/>
    </xf>
    <xf numFmtId="172" fontId="72" fillId="0" borderId="140" xfId="5" applyFont="1" applyBorder="1" applyAlignment="1">
      <alignment horizontal="centerContinuous"/>
    </xf>
    <xf numFmtId="172" fontId="68" fillId="0" borderId="141" xfId="5" applyBorder="1"/>
    <xf numFmtId="172" fontId="72" fillId="0" borderId="142" xfId="5" applyFont="1" applyBorder="1" applyAlignment="1">
      <alignment horizontal="centerContinuous"/>
    </xf>
    <xf numFmtId="172" fontId="77" fillId="0" borderId="45" xfId="5" applyFont="1" applyBorder="1" applyAlignment="1">
      <alignment horizontal="left"/>
    </xf>
    <xf numFmtId="172" fontId="68" fillId="0" borderId="108" xfId="5" applyBorder="1"/>
    <xf numFmtId="167" fontId="75" fillId="0" borderId="0" xfId="5" applyNumberFormat="1" applyFont="1" applyBorder="1" applyAlignment="1" applyProtection="1">
      <alignment horizontal="center"/>
      <protection locked="0"/>
    </xf>
    <xf numFmtId="172" fontId="75" fillId="0" borderId="45" xfId="5" applyFont="1" applyBorder="1" applyAlignment="1">
      <alignment horizontal="left"/>
    </xf>
    <xf numFmtId="172" fontId="68" fillId="0" borderId="48" xfId="5" applyBorder="1"/>
    <xf numFmtId="172" fontId="72" fillId="0" borderId="0" xfId="5" applyFont="1" applyBorder="1" applyAlignment="1">
      <alignment horizontal="left"/>
    </xf>
    <xf numFmtId="172" fontId="72" fillId="0" borderId="0" xfId="5" applyFont="1" applyAlignment="1">
      <alignment horizontal="left"/>
    </xf>
    <xf numFmtId="172" fontId="72" fillId="0" borderId="139" xfId="5" applyFont="1" applyBorder="1"/>
    <xf numFmtId="172" fontId="71" fillId="0" borderId="140" xfId="5" applyFont="1" applyBorder="1" applyAlignment="1">
      <alignment horizontal="left"/>
    </xf>
    <xf numFmtId="172" fontId="71" fillId="0" borderId="142" xfId="5" applyFont="1" applyBorder="1" applyAlignment="1">
      <alignment horizontal="left"/>
    </xf>
    <xf numFmtId="172" fontId="75" fillId="0" borderId="45" xfId="5" quotePrefix="1" applyFont="1" applyBorder="1" applyAlignment="1">
      <alignment horizontal="left"/>
    </xf>
    <xf numFmtId="172" fontId="75" fillId="0" borderId="21" xfId="5" applyFont="1" applyBorder="1" applyAlignment="1">
      <alignment horizontal="left"/>
    </xf>
    <xf numFmtId="172" fontId="75" fillId="0" borderId="143" xfId="5" applyFont="1" applyBorder="1" applyAlignment="1">
      <alignment horizontal="left"/>
    </xf>
    <xf numFmtId="172" fontId="75" fillId="0" borderId="144" xfId="5" applyFont="1" applyBorder="1" applyAlignment="1">
      <alignment horizontal="left"/>
    </xf>
    <xf numFmtId="172" fontId="75" fillId="0" borderId="145" xfId="5" applyFont="1" applyBorder="1" applyAlignment="1">
      <alignment horizontal="left"/>
    </xf>
    <xf numFmtId="172" fontId="75" fillId="0" borderId="146" xfId="5" applyFont="1" applyBorder="1" applyAlignment="1">
      <alignment horizontal="left"/>
    </xf>
    <xf numFmtId="172" fontId="75" fillId="0" borderId="147" xfId="5" applyFont="1" applyBorder="1" applyAlignment="1">
      <alignment horizontal="left"/>
    </xf>
    <xf numFmtId="172" fontId="75" fillId="0" borderId="148" xfId="5" applyFont="1" applyBorder="1" applyAlignment="1">
      <alignment horizontal="left"/>
    </xf>
    <xf numFmtId="172" fontId="75" fillId="0" borderId="45" xfId="5" quotePrefix="1" applyFont="1" applyBorder="1" applyAlignment="1" applyProtection="1">
      <alignment horizontal="left"/>
    </xf>
    <xf numFmtId="172" fontId="75" fillId="0" borderId="0" xfId="5" quotePrefix="1" applyFont="1" applyBorder="1" applyAlignment="1" applyProtection="1">
      <alignment horizontal="left"/>
    </xf>
    <xf numFmtId="172" fontId="75" fillId="0" borderId="149" xfId="5" applyFont="1" applyBorder="1" applyAlignment="1">
      <alignment horizontal="left"/>
    </xf>
    <xf numFmtId="172" fontId="75" fillId="0" borderId="150" xfId="5" applyFont="1" applyBorder="1" applyAlignment="1">
      <alignment horizontal="left"/>
    </xf>
    <xf numFmtId="172" fontId="75" fillId="0" borderId="151" xfId="5" applyFont="1" applyBorder="1" applyAlignment="1">
      <alignment horizontal="left"/>
    </xf>
    <xf numFmtId="172" fontId="71" fillId="0" borderId="0" xfId="5" applyFont="1" applyAlignment="1">
      <alignment horizontal="left"/>
    </xf>
    <xf numFmtId="172" fontId="78" fillId="0" borderId="0" xfId="5" applyFont="1" applyAlignment="1" applyProtection="1">
      <alignment horizontal="right"/>
    </xf>
    <xf numFmtId="172" fontId="68" fillId="0" borderId="0" xfId="5" applyAlignment="1">
      <alignment horizontal="right"/>
    </xf>
    <xf numFmtId="0" fontId="33" fillId="0" borderId="107" xfId="1" applyFont="1" applyFill="1" applyBorder="1" applyAlignment="1">
      <alignment horizontal="left"/>
    </xf>
    <xf numFmtId="0" fontId="33" fillId="0" borderId="77" xfId="1" applyFont="1" applyFill="1" applyBorder="1" applyAlignment="1">
      <alignment horizontal="left"/>
    </xf>
    <xf numFmtId="14" fontId="19" fillId="5" borderId="120" xfId="1" applyNumberFormat="1" applyFont="1" applyFill="1" applyBorder="1" applyAlignment="1">
      <alignment horizontal="center"/>
    </xf>
    <xf numFmtId="14" fontId="19" fillId="5" borderId="121" xfId="1" applyNumberFormat="1" applyFont="1" applyFill="1" applyBorder="1" applyAlignment="1">
      <alignment horizontal="center"/>
    </xf>
    <xf numFmtId="0" fontId="33" fillId="0" borderId="45" xfId="1" applyFont="1" applyFill="1" applyBorder="1" applyAlignment="1">
      <alignment horizontal="center"/>
    </xf>
    <xf numFmtId="0" fontId="33" fillId="0" borderId="0" xfId="1" applyFont="1" applyFill="1" applyBorder="1" applyAlignment="1">
      <alignment horizontal="center"/>
    </xf>
    <xf numFmtId="0" fontId="33" fillId="0" borderId="108" xfId="1" applyFont="1" applyFill="1" applyBorder="1" applyAlignment="1">
      <alignment horizontal="center"/>
    </xf>
    <xf numFmtId="0" fontId="33" fillId="0" borderId="110" xfId="1" applyFont="1" applyFill="1" applyBorder="1" applyAlignment="1">
      <alignment horizontal="center"/>
    </xf>
    <xf numFmtId="0" fontId="33" fillId="0" borderId="40" xfId="1" applyFont="1" applyFill="1" applyBorder="1" applyAlignment="1">
      <alignment horizontal="center"/>
    </xf>
    <xf numFmtId="0" fontId="33" fillId="0" borderId="39" xfId="1" applyFont="1" applyFill="1" applyBorder="1" applyAlignment="1">
      <alignment horizontal="center"/>
    </xf>
    <xf numFmtId="0" fontId="28" fillId="0" borderId="102" xfId="1" applyFont="1" applyFill="1" applyBorder="1" applyAlignment="1">
      <alignment horizontal="left"/>
    </xf>
    <xf numFmtId="0" fontId="28" fillId="0" borderId="62" xfId="1" applyFont="1" applyFill="1" applyBorder="1" applyAlignment="1">
      <alignment horizontal="left"/>
    </xf>
    <xf numFmtId="0" fontId="28" fillId="0" borderId="38" xfId="1" applyFont="1" applyFill="1" applyBorder="1" applyAlignment="1">
      <alignment horizontal="left"/>
    </xf>
    <xf numFmtId="0" fontId="33" fillId="0" borderId="46" xfId="1" applyFont="1" applyFill="1" applyBorder="1" applyAlignment="1">
      <alignment horizontal="center"/>
    </xf>
    <xf numFmtId="0" fontId="33" fillId="0" borderId="23" xfId="1" applyFont="1" applyFill="1" applyBorder="1" applyAlignment="1">
      <alignment horizontal="center"/>
    </xf>
    <xf numFmtId="0" fontId="33" fillId="0" borderId="48" xfId="1" applyFont="1" applyFill="1" applyBorder="1" applyAlignment="1">
      <alignment horizontal="center"/>
    </xf>
    <xf numFmtId="0" fontId="50" fillId="5" borderId="115" xfId="1" applyFont="1" applyFill="1" applyBorder="1" applyAlignment="1">
      <alignment horizontal="center"/>
    </xf>
    <xf numFmtId="0" fontId="50" fillId="5" borderId="116" xfId="1" applyFont="1" applyFill="1" applyBorder="1" applyAlignment="1">
      <alignment horizontal="center"/>
    </xf>
    <xf numFmtId="0" fontId="28" fillId="5" borderId="61" xfId="1" applyFont="1" applyFill="1" applyBorder="1" applyAlignment="1">
      <alignment horizontal="left"/>
    </xf>
    <xf numFmtId="0" fontId="28" fillId="5" borderId="62" xfId="1" applyFont="1" applyFill="1" applyBorder="1" applyAlignment="1">
      <alignment horizontal="left"/>
    </xf>
    <xf numFmtId="0" fontId="28" fillId="5" borderId="27" xfId="1" applyFont="1" applyFill="1" applyBorder="1" applyAlignment="1">
      <alignment horizontal="left"/>
    </xf>
    <xf numFmtId="0" fontId="36" fillId="5" borderId="75" xfId="1" quotePrefix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left"/>
    </xf>
    <xf numFmtId="0" fontId="36" fillId="5" borderId="69" xfId="1" quotePrefix="1" applyFont="1" applyFill="1" applyBorder="1" applyAlignment="1">
      <alignment horizontal="left"/>
    </xf>
    <xf numFmtId="2" fontId="38" fillId="5" borderId="65" xfId="1" applyNumberFormat="1" applyFont="1" applyFill="1" applyBorder="1" applyAlignment="1">
      <alignment horizontal="center"/>
    </xf>
    <xf numFmtId="2" fontId="38" fillId="5" borderId="66" xfId="1" applyNumberFormat="1" applyFont="1" applyFill="1" applyBorder="1" applyAlignment="1">
      <alignment horizontal="center"/>
    </xf>
    <xf numFmtId="0" fontId="38" fillId="5" borderId="65" xfId="1" applyFont="1" applyFill="1" applyBorder="1" applyAlignment="1">
      <alignment horizontal="center"/>
    </xf>
    <xf numFmtId="0" fontId="38" fillId="5" borderId="66" xfId="1" applyFont="1" applyFill="1" applyBorder="1" applyAlignment="1">
      <alignment horizontal="center"/>
    </xf>
    <xf numFmtId="0" fontId="28" fillId="0" borderId="80" xfId="1" applyFont="1" applyFill="1" applyBorder="1" applyAlignment="1">
      <alignment horizontal="left"/>
    </xf>
    <xf numFmtId="0" fontId="28" fillId="0" borderId="81" xfId="1" applyFont="1" applyFill="1" applyBorder="1" applyAlignment="1">
      <alignment horizontal="left"/>
    </xf>
    <xf numFmtId="0" fontId="28" fillId="0" borderId="82" xfId="1" applyFont="1" applyFill="1" applyBorder="1" applyAlignment="1">
      <alignment horizontal="left"/>
    </xf>
    <xf numFmtId="167" fontId="38" fillId="5" borderId="65" xfId="1" applyNumberFormat="1" applyFont="1" applyFill="1" applyBorder="1" applyAlignment="1">
      <alignment horizontal="center"/>
    </xf>
    <xf numFmtId="167" fontId="38" fillId="5" borderId="66" xfId="1" applyNumberFormat="1" applyFont="1" applyFill="1" applyBorder="1" applyAlignment="1">
      <alignment horizontal="center"/>
    </xf>
    <xf numFmtId="0" fontId="36" fillId="5" borderId="87" xfId="1" applyFont="1" applyFill="1" applyBorder="1" applyAlignment="1">
      <alignment horizontal="center"/>
    </xf>
    <xf numFmtId="0" fontId="36" fillId="5" borderId="88" xfId="1" applyFont="1" applyFill="1" applyBorder="1" applyAlignment="1">
      <alignment horizontal="center"/>
    </xf>
    <xf numFmtId="0" fontId="36" fillId="5" borderId="83" xfId="1" applyFont="1" applyFill="1" applyBorder="1" applyAlignment="1">
      <alignment horizontal="center"/>
    </xf>
    <xf numFmtId="0" fontId="36" fillId="5" borderId="0" xfId="1" applyFont="1" applyFill="1" applyBorder="1" applyAlignment="1">
      <alignment horizontal="center"/>
    </xf>
    <xf numFmtId="0" fontId="36" fillId="5" borderId="85" xfId="1" applyFont="1" applyFill="1" applyBorder="1" applyAlignment="1">
      <alignment horizontal="center"/>
    </xf>
    <xf numFmtId="0" fontId="36" fillId="5" borderId="40" xfId="1" applyFont="1" applyFill="1" applyBorder="1" applyAlignment="1">
      <alignment horizontal="center"/>
    </xf>
    <xf numFmtId="0" fontId="36" fillId="5" borderId="89" xfId="1" applyFont="1" applyFill="1" applyBorder="1" applyAlignment="1">
      <alignment horizontal="left"/>
    </xf>
    <xf numFmtId="0" fontId="36" fillId="5" borderId="90" xfId="1" applyFont="1" applyFill="1" applyBorder="1" applyAlignment="1">
      <alignment horizontal="left"/>
    </xf>
    <xf numFmtId="0" fontId="36" fillId="5" borderId="91" xfId="1" applyFont="1" applyFill="1" applyBorder="1" applyAlignment="1">
      <alignment horizontal="left"/>
    </xf>
    <xf numFmtId="0" fontId="38" fillId="5" borderId="92" xfId="1" applyFont="1" applyFill="1" applyBorder="1" applyAlignment="1">
      <alignment horizontal="center"/>
    </xf>
    <xf numFmtId="0" fontId="38" fillId="0" borderId="92" xfId="1" applyFont="1" applyFill="1" applyBorder="1" applyAlignment="1">
      <alignment horizontal="center"/>
    </xf>
    <xf numFmtId="0" fontId="38" fillId="0" borderId="66" xfId="1" applyFont="1" applyFill="1" applyBorder="1" applyAlignment="1">
      <alignment horizontal="center"/>
    </xf>
    <xf numFmtId="0" fontId="36" fillId="5" borderId="75" xfId="1" applyFont="1" applyFill="1" applyBorder="1" applyAlignment="1">
      <alignment horizontal="left"/>
    </xf>
    <xf numFmtId="0" fontId="36" fillId="5" borderId="68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0" fontId="38" fillId="0" borderId="65" xfId="1" applyFont="1" applyFill="1" applyBorder="1" applyAlignment="1">
      <alignment horizontal="center"/>
    </xf>
    <xf numFmtId="169" fontId="38" fillId="5" borderId="65" xfId="1" applyNumberFormat="1" applyFont="1" applyFill="1" applyBorder="1" applyAlignment="1">
      <alignment horizontal="center"/>
    </xf>
    <xf numFmtId="169" fontId="38" fillId="5" borderId="66" xfId="1" applyNumberFormat="1" applyFont="1" applyFill="1" applyBorder="1" applyAlignment="1">
      <alignment horizontal="center"/>
    </xf>
    <xf numFmtId="1" fontId="38" fillId="5" borderId="65" xfId="1" applyNumberFormat="1" applyFont="1" applyFill="1" applyBorder="1" applyAlignment="1">
      <alignment horizontal="center"/>
    </xf>
    <xf numFmtId="1" fontId="38" fillId="5" borderId="66" xfId="1" applyNumberFormat="1" applyFont="1" applyFill="1" applyBorder="1" applyAlignment="1">
      <alignment horizontal="center"/>
    </xf>
    <xf numFmtId="1" fontId="38" fillId="5" borderId="100" xfId="1" applyNumberFormat="1" applyFont="1" applyFill="1" applyBorder="1" applyAlignment="1">
      <alignment horizontal="center"/>
    </xf>
    <xf numFmtId="1" fontId="38" fillId="5" borderId="101" xfId="1" applyNumberFormat="1" applyFont="1" applyFill="1" applyBorder="1" applyAlignment="1">
      <alignment horizontal="center"/>
    </xf>
    <xf numFmtId="0" fontId="36" fillId="0" borderId="75" xfId="1" applyFont="1" applyFill="1" applyBorder="1" applyAlignment="1">
      <alignment horizontal="left"/>
    </xf>
    <xf numFmtId="0" fontId="36" fillId="0" borderId="68" xfId="1" applyFont="1" applyFill="1" applyBorder="1" applyAlignment="1">
      <alignment horizontal="left"/>
    </xf>
    <xf numFmtId="0" fontId="36" fillId="0" borderId="69" xfId="1" applyFont="1" applyFill="1" applyBorder="1" applyAlignment="1">
      <alignment horizontal="left"/>
    </xf>
    <xf numFmtId="167" fontId="38" fillId="0" borderId="65" xfId="1" applyNumberFormat="1" applyFont="1" applyFill="1" applyBorder="1" applyAlignment="1">
      <alignment horizontal="center"/>
    </xf>
    <xf numFmtId="167" fontId="38" fillId="0" borderId="66" xfId="1" applyNumberFormat="1" applyFont="1" applyFill="1" applyBorder="1" applyAlignment="1">
      <alignment horizontal="center"/>
    </xf>
    <xf numFmtId="0" fontId="36" fillId="0" borderId="63" xfId="1" applyFont="1" applyFill="1" applyBorder="1" applyAlignment="1">
      <alignment horizontal="left"/>
    </xf>
    <xf numFmtId="0" fontId="36" fillId="0" borderId="64" xfId="1" applyFont="1" applyFill="1" applyBorder="1" applyAlignment="1">
      <alignment horizontal="left"/>
    </xf>
    <xf numFmtId="2" fontId="38" fillId="0" borderId="65" xfId="1" applyNumberFormat="1" applyFont="1" applyFill="1" applyBorder="1" applyAlignment="1">
      <alignment horizontal="center"/>
    </xf>
    <xf numFmtId="2" fontId="38" fillId="0" borderId="66" xfId="1" applyNumberFormat="1" applyFont="1" applyFill="1" applyBorder="1" applyAlignment="1">
      <alignment horizontal="center"/>
    </xf>
    <xf numFmtId="0" fontId="24" fillId="0" borderId="0" xfId="1" applyFont="1" applyAlignment="1">
      <alignment horizontal="center"/>
    </xf>
    <xf numFmtId="0" fontId="27" fillId="5" borderId="0" xfId="1" applyFont="1" applyFill="1" applyAlignment="1">
      <alignment horizontal="center"/>
    </xf>
    <xf numFmtId="0" fontId="29" fillId="5" borderId="23" xfId="1" applyFont="1" applyFill="1" applyBorder="1" applyAlignment="1">
      <alignment horizontal="center"/>
    </xf>
    <xf numFmtId="0" fontId="34" fillId="5" borderId="12" xfId="1" applyFont="1" applyFill="1" applyBorder="1" applyAlignment="1">
      <alignment horizontal="left"/>
    </xf>
    <xf numFmtId="0" fontId="34" fillId="5" borderId="13" xfId="1" applyFont="1" applyFill="1" applyBorder="1" applyAlignment="1">
      <alignment horizontal="left"/>
    </xf>
    <xf numFmtId="0" fontId="36" fillId="0" borderId="58" xfId="1" applyFont="1" applyFill="1" applyBorder="1" applyAlignment="1">
      <alignment horizontal="left"/>
    </xf>
    <xf numFmtId="0" fontId="36" fillId="0" borderId="59" xfId="1" applyFont="1" applyFill="1" applyBorder="1" applyAlignment="1">
      <alignment horizontal="left"/>
    </xf>
    <xf numFmtId="0" fontId="37" fillId="5" borderId="60" xfId="1" applyFont="1" applyFill="1" applyBorder="1" applyAlignment="1">
      <alignment horizontal="center"/>
    </xf>
    <xf numFmtId="0" fontId="37" fillId="5" borderId="56" xfId="1" applyFont="1" applyFill="1" applyBorder="1" applyAlignment="1">
      <alignment horizontal="center"/>
    </xf>
    <xf numFmtId="0" fontId="54" fillId="0" borderId="17" xfId="3" applyBorder="1" applyAlignment="1">
      <alignment horizontal="left"/>
    </xf>
    <xf numFmtId="0" fontId="54" fillId="0" borderId="129" xfId="3" applyBorder="1" applyAlignment="1">
      <alignment horizontal="left"/>
    </xf>
    <xf numFmtId="170" fontId="54" fillId="0" borderId="17" xfId="3" applyNumberFormat="1" applyBorder="1" applyAlignment="1">
      <alignment horizontal="center"/>
    </xf>
    <xf numFmtId="170" fontId="54" fillId="0" borderId="129" xfId="3" applyNumberFormat="1" applyBorder="1" applyAlignment="1">
      <alignment horizontal="center"/>
    </xf>
    <xf numFmtId="170" fontId="54" fillId="0" borderId="130" xfId="3" applyNumberFormat="1" applyBorder="1" applyAlignment="1">
      <alignment horizontal="center"/>
    </xf>
    <xf numFmtId="49" fontId="54" fillId="0" borderId="17" xfId="3" applyNumberFormat="1" applyBorder="1" applyAlignment="1">
      <alignment horizontal="center"/>
    </xf>
    <xf numFmtId="49" fontId="54" fillId="0" borderId="129" xfId="3" applyNumberFormat="1" applyBorder="1" applyAlignment="1">
      <alignment horizontal="center"/>
    </xf>
    <xf numFmtId="49" fontId="54" fillId="0" borderId="16" xfId="3" applyNumberFormat="1" applyBorder="1" applyAlignment="1">
      <alignment horizontal="center"/>
    </xf>
    <xf numFmtId="0" fontId="54" fillId="0" borderId="31" xfId="3" applyBorder="1" applyAlignment="1">
      <alignment horizontal="left"/>
    </xf>
    <xf numFmtId="0" fontId="54" fillId="0" borderId="51" xfId="3" applyBorder="1" applyAlignment="1">
      <alignment horizontal="left"/>
    </xf>
    <xf numFmtId="170" fontId="54" fillId="0" borderId="31" xfId="3" applyNumberFormat="1" applyBorder="1" applyAlignment="1">
      <alignment horizontal="center"/>
    </xf>
    <xf numFmtId="170" fontId="54" fillId="0" borderId="51" xfId="3" applyNumberFormat="1" applyBorder="1" applyAlignment="1">
      <alignment horizontal="center"/>
    </xf>
    <xf numFmtId="170" fontId="54" fillId="0" borderId="131" xfId="3" applyNumberFormat="1" applyBorder="1" applyAlignment="1">
      <alignment horizontal="center"/>
    </xf>
    <xf numFmtId="49" fontId="54" fillId="0" borderId="31" xfId="3" applyNumberFormat="1" applyBorder="1" applyAlignment="1">
      <alignment horizontal="center"/>
    </xf>
    <xf numFmtId="49" fontId="54" fillId="0" borderId="51" xfId="3" applyNumberFormat="1" applyBorder="1" applyAlignment="1">
      <alignment horizontal="center"/>
    </xf>
    <xf numFmtId="49" fontId="54" fillId="0" borderId="32" xfId="3" applyNumberFormat="1" applyBorder="1" applyAlignment="1">
      <alignment horizontal="center"/>
    </xf>
    <xf numFmtId="0" fontId="54" fillId="0" borderId="50" xfId="3" applyBorder="1" applyAlignment="1">
      <alignment horizontal="left"/>
    </xf>
    <xf numFmtId="0" fontId="54" fillId="0" borderId="13" xfId="3" applyBorder="1" applyAlignment="1">
      <alignment horizontal="left"/>
    </xf>
    <xf numFmtId="170" fontId="54" fillId="0" borderId="50" xfId="3" applyNumberFormat="1" applyBorder="1" applyAlignment="1">
      <alignment horizontal="center"/>
    </xf>
    <xf numFmtId="170" fontId="54" fillId="0" borderId="13" xfId="3" applyNumberFormat="1" applyBorder="1" applyAlignment="1">
      <alignment horizontal="center"/>
    </xf>
    <xf numFmtId="170" fontId="54" fillId="0" borderId="55" xfId="3" applyNumberFormat="1" applyBorder="1" applyAlignment="1">
      <alignment horizontal="center"/>
    </xf>
    <xf numFmtId="49" fontId="54" fillId="0" borderId="50" xfId="3" applyNumberFormat="1" applyBorder="1" applyAlignment="1">
      <alignment horizontal="center"/>
    </xf>
    <xf numFmtId="49" fontId="54" fillId="0" borderId="13" xfId="3" applyNumberFormat="1" applyBorder="1" applyAlignment="1">
      <alignment horizontal="center"/>
    </xf>
    <xf numFmtId="49" fontId="54" fillId="0" borderId="14" xfId="3" applyNumberFormat="1" applyBorder="1" applyAlignment="1">
      <alignment horizontal="center"/>
    </xf>
    <xf numFmtId="0" fontId="56" fillId="0" borderId="45" xfId="3" applyFont="1" applyBorder="1" applyAlignment="1">
      <alignment horizontal="center"/>
    </xf>
    <xf numFmtId="0" fontId="56" fillId="0" borderId="0" xfId="3" applyFont="1" applyBorder="1" applyAlignment="1">
      <alignment horizontal="center"/>
    </xf>
    <xf numFmtId="0" fontId="56" fillId="0" borderId="53" xfId="3" applyFont="1" applyBorder="1" applyAlignment="1">
      <alignment horizontal="center"/>
    </xf>
    <xf numFmtId="0" fontId="55" fillId="0" borderId="15" xfId="3" applyFont="1" applyBorder="1" applyAlignment="1">
      <alignment horizontal="center"/>
    </xf>
    <xf numFmtId="0" fontId="55" fillId="0" borderId="7" xfId="3" applyFont="1" applyBorder="1" applyAlignment="1">
      <alignment horizontal="center"/>
    </xf>
    <xf numFmtId="0" fontId="55" fillId="0" borderId="128" xfId="3" applyFont="1" applyBorder="1" applyAlignment="1">
      <alignment horizontal="center"/>
    </xf>
    <xf numFmtId="0" fontId="55" fillId="0" borderId="8" xfId="3" applyFont="1" applyBorder="1" applyAlignment="1">
      <alignment horizontal="center"/>
    </xf>
    <xf numFmtId="172" fontId="75" fillId="0" borderId="0" xfId="5" applyFont="1" applyBorder="1" applyAlignment="1">
      <alignment horizontal="center"/>
    </xf>
    <xf numFmtId="172" fontId="75" fillId="0" borderId="21" xfId="5" applyFont="1" applyBorder="1" applyAlignment="1">
      <alignment horizontal="center"/>
    </xf>
    <xf numFmtId="172" fontId="79" fillId="0" borderId="152" xfId="5" applyFont="1" applyBorder="1" applyAlignment="1" applyProtection="1">
      <alignment horizontal="center"/>
      <protection locked="0"/>
    </xf>
    <xf numFmtId="14" fontId="23" fillId="0" borderId="152" xfId="5" quotePrefix="1" applyNumberFormat="1" applyFont="1" applyBorder="1" applyAlignment="1" applyProtection="1">
      <alignment horizontal="center"/>
      <protection locked="0"/>
    </xf>
    <xf numFmtId="0" fontId="61" fillId="0" borderId="17" xfId="4" applyFont="1" applyBorder="1" applyAlignment="1">
      <alignment horizontal="center"/>
    </xf>
    <xf numFmtId="0" fontId="61" fillId="0" borderId="129" xfId="4" applyFont="1" applyBorder="1" applyAlignment="1">
      <alignment horizontal="center"/>
    </xf>
    <xf numFmtId="0" fontId="61" fillId="0" borderId="130" xfId="4" applyFont="1" applyBorder="1" applyAlignment="1">
      <alignment horizontal="center"/>
    </xf>
    <xf numFmtId="0" fontId="63" fillId="0" borderId="83" xfId="4" applyFont="1" applyBorder="1" applyAlignment="1">
      <alignment horizontal="center"/>
    </xf>
    <xf numFmtId="0" fontId="63" fillId="0" borderId="0" xfId="4" applyFont="1" applyBorder="1" applyAlignment="1">
      <alignment horizontal="center"/>
    </xf>
    <xf numFmtId="0" fontId="63" fillId="0" borderId="108" xfId="4" applyFont="1" applyBorder="1" applyAlignment="1">
      <alignment horizontal="center"/>
    </xf>
    <xf numFmtId="0" fontId="64" fillId="0" borderId="83" xfId="4" applyFont="1" applyBorder="1" applyAlignment="1">
      <alignment horizontal="center"/>
    </xf>
    <xf numFmtId="0" fontId="64" fillId="0" borderId="0" xfId="4" applyFont="1" applyBorder="1" applyAlignment="1">
      <alignment horizontal="center"/>
    </xf>
    <xf numFmtId="0" fontId="64" fillId="0" borderId="108" xfId="4" applyFont="1" applyBorder="1" applyAlignment="1">
      <alignment horizontal="center"/>
    </xf>
    <xf numFmtId="0" fontId="58" fillId="0" borderId="17" xfId="4" applyFont="1" applyBorder="1" applyAlignment="1">
      <alignment horizontal="right"/>
    </xf>
    <xf numFmtId="0" fontId="58" fillId="0" borderId="129" xfId="4" applyFont="1" applyBorder="1" applyAlignment="1">
      <alignment horizontal="right"/>
    </xf>
    <xf numFmtId="0" fontId="31" fillId="0" borderId="0" xfId="4" applyFont="1" applyAlignment="1">
      <alignment horizontal="center"/>
    </xf>
    <xf numFmtId="0" fontId="59" fillId="0" borderId="0" xfId="4" applyFont="1" applyAlignment="1">
      <alignment horizontal="right"/>
    </xf>
    <xf numFmtId="0" fontId="58" fillId="0" borderId="1" xfId="4" applyFont="1" applyBorder="1" applyAlignment="1">
      <alignment horizontal="center"/>
    </xf>
    <xf numFmtId="0" fontId="31" fillId="0" borderId="17" xfId="4" applyFont="1" applyBorder="1" applyAlignment="1">
      <alignment horizontal="center"/>
    </xf>
    <xf numFmtId="0" fontId="31" fillId="0" borderId="129" xfId="4" applyFont="1" applyBorder="1" applyAlignment="1">
      <alignment horizontal="center"/>
    </xf>
    <xf numFmtId="0" fontId="31" fillId="0" borderId="130" xfId="4" applyFont="1" applyBorder="1" applyAlignment="1">
      <alignment horizontal="center"/>
    </xf>
    <xf numFmtId="0" fontId="59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60" fillId="0" borderId="17" xfId="4" applyFont="1" applyBorder="1" applyAlignment="1">
      <alignment horizontal="center"/>
    </xf>
    <xf numFmtId="0" fontId="38" fillId="0" borderId="6" xfId="1" applyFont="1" applyFill="1" applyBorder="1"/>
    <xf numFmtId="0" fontId="44" fillId="0" borderId="7" xfId="1" applyFont="1" applyFill="1" applyBorder="1"/>
    <xf numFmtId="0" fontId="44" fillId="0" borderId="8" xfId="1" applyFont="1" applyFill="1" applyBorder="1"/>
    <xf numFmtId="0" fontId="38" fillId="0" borderId="45" xfId="1" applyFont="1" applyFill="1" applyBorder="1"/>
    <xf numFmtId="0" fontId="44" fillId="0" borderId="0" xfId="1" applyFont="1" applyFill="1" applyBorder="1"/>
    <xf numFmtId="0" fontId="44" fillId="0" borderId="21" xfId="1" applyFont="1" applyFill="1" applyBorder="1"/>
    <xf numFmtId="0" fontId="44" fillId="0" borderId="45" xfId="1" applyFont="1" applyFill="1" applyBorder="1"/>
    <xf numFmtId="0" fontId="44" fillId="0" borderId="46" xfId="1" applyFont="1" applyFill="1" applyBorder="1"/>
    <xf numFmtId="0" fontId="44" fillId="0" borderId="23" xfId="1" applyFont="1" applyFill="1" applyBorder="1"/>
    <xf numFmtId="0" fontId="80" fillId="5" borderId="68" xfId="1" applyFont="1" applyFill="1" applyBorder="1" applyAlignment="1">
      <alignment horizontal="left"/>
    </xf>
  </cellXfs>
  <cellStyles count="6">
    <cellStyle name="Normal" xfId="0" builtinId="0"/>
    <cellStyle name="Normal 2" xfId="1"/>
    <cellStyle name="Normal 3" xfId="4"/>
    <cellStyle name="Normal 4" xfId="5"/>
    <cellStyle name="Normal_OPTEST" xfId="2"/>
    <cellStyle name="Normal_PROJ_REV_HIST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96465037246067"/>
          <c:y val="2.1013255695979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82326707498097"/>
          <c:y val="0.1134708694282645"/>
          <c:w val="0.67929306829992386"/>
          <c:h val="0.6808252165695869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7.9999994486570358E-3</c:v>
                </c:pt>
                <c:pt idx="2">
                  <c:v>3.9999999105930328E-2</c:v>
                </c:pt>
                <c:pt idx="3" formatCode="0.00">
                  <c:v>9.1428570449352264E-2</c:v>
                </c:pt>
                <c:pt idx="4" formatCode="0.00">
                  <c:v>0.1428571492433548</c:v>
                </c:pt>
                <c:pt idx="5" formatCode="0.00">
                  <c:v>0.19428572058677673</c:v>
                </c:pt>
                <c:pt idx="6" formatCode="0.00">
                  <c:v>0.29714286327362061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120.81393015085635</c:v>
                </c:pt>
                <c:pt idx="2">
                  <c:v>270</c:v>
                </c:pt>
                <c:pt idx="3">
                  <c:v>178.72770310069606</c:v>
                </c:pt>
                <c:pt idx="4">
                  <c:v>133.81422565090787</c:v>
                </c:pt>
                <c:pt idx="5">
                  <c:v>113.9177405895914</c:v>
                </c:pt>
                <c:pt idx="6">
                  <c:v>100.68842427127527</c:v>
                </c:pt>
                <c:pt idx="7">
                  <c:v>95</c:v>
                </c:pt>
                <c:pt idx="8">
                  <c:v>95.093441656388052</c:v>
                </c:pt>
                <c:pt idx="9">
                  <c:v>95.181513620225616</c:v>
                </c:pt>
                <c:pt idx="10">
                  <c:v>95.242875349839494</c:v>
                </c:pt>
                <c:pt idx="11">
                  <c:v>95.326992276483367</c:v>
                </c:pt>
                <c:pt idx="12">
                  <c:v>95.436323404740719</c:v>
                </c:pt>
                <c:pt idx="13">
                  <c:v>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9E-4B23-8F1D-29691F12986F}"/>
            </c:ext>
          </c:extLst>
        </c:ser>
        <c:ser>
          <c:idx val="2"/>
          <c:order val="2"/>
          <c:spPr>
            <a:ln w="12700">
              <a:pattFill prst="pct7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7.9999994486570358E-3</c:v>
                </c:pt>
                <c:pt idx="2">
                  <c:v>3.9999999105930328E-2</c:v>
                </c:pt>
                <c:pt idx="3" formatCode="0.00">
                  <c:v>9.1428570449352264E-2</c:v>
                </c:pt>
                <c:pt idx="4" formatCode="0.00">
                  <c:v>0.1428571492433548</c:v>
                </c:pt>
                <c:pt idx="5" formatCode="0.00">
                  <c:v>0.19428572058677673</c:v>
                </c:pt>
                <c:pt idx="6" formatCode="0.00">
                  <c:v>0.29714286327362061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DesignSheet!$A$100:$A$113</c:f>
              <c:numCache>
                <c:formatCode>0.0</c:formatCode>
                <c:ptCount val="14"/>
                <c:pt idx="0">
                  <c:v>100</c:v>
                </c:pt>
                <c:pt idx="1">
                  <c:v>98.400001525878906</c:v>
                </c:pt>
                <c:pt idx="2">
                  <c:v>89.75</c:v>
                </c:pt>
                <c:pt idx="3">
                  <c:v>76.228569030761719</c:v>
                </c:pt>
                <c:pt idx="4">
                  <c:v>62.857139587402344</c:v>
                </c:pt>
                <c:pt idx="5">
                  <c:v>51.25714111328125</c:v>
                </c:pt>
                <c:pt idx="6">
                  <c:v>33.485713958740234</c:v>
                </c:pt>
                <c:pt idx="7">
                  <c:v>22</c:v>
                </c:pt>
                <c:pt idx="8">
                  <c:v>14</c:v>
                </c:pt>
                <c:pt idx="9">
                  <c:v>7.9999995231628418</c:v>
                </c:pt>
                <c:pt idx="10">
                  <c:v>5.9999995231628418</c:v>
                </c:pt>
                <c:pt idx="11">
                  <c:v>8.0000009536743164</c:v>
                </c:pt>
                <c:pt idx="12">
                  <c:v>14.999996185302734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A9E-4B23-8F1D-29691F129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6742552"/>
        <c:axId val="1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7.9999994486570358E-3</c:v>
                </c:pt>
                <c:pt idx="2">
                  <c:v>3.9999999105930328E-2</c:v>
                </c:pt>
                <c:pt idx="3" formatCode="0.00">
                  <c:v>9.1428570449352264E-2</c:v>
                </c:pt>
                <c:pt idx="4" formatCode="0.00">
                  <c:v>0.1428571492433548</c:v>
                </c:pt>
                <c:pt idx="5" formatCode="0.00">
                  <c:v>0.19428572058677673</c:v>
                </c:pt>
                <c:pt idx="6" formatCode="0.00">
                  <c:v>0.29714286327362061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0.18759968876838684</c:v>
                </c:pt>
                <c:pt idx="1">
                  <c:v>149.72695922851563</c:v>
                </c:pt>
                <c:pt idx="2">
                  <c:v>485.600830078125</c:v>
                </c:pt>
                <c:pt idx="3">
                  <c:v>589.1134033203125</c:v>
                </c:pt>
                <c:pt idx="4">
                  <c:v>618.08624267578125</c:v>
                </c:pt>
                <c:pt idx="5">
                  <c:v>630.0281982421875</c:v>
                </c:pt>
                <c:pt idx="6">
                  <c:v>640.9903564453125</c:v>
                </c:pt>
                <c:pt idx="7">
                  <c:v>647.72216796875</c:v>
                </c:pt>
                <c:pt idx="8">
                  <c:v>653.38909912109375</c:v>
                </c:pt>
                <c:pt idx="9">
                  <c:v>658.4129638671875</c:v>
                </c:pt>
                <c:pt idx="10">
                  <c:v>662.8330078125</c:v>
                </c:pt>
                <c:pt idx="11">
                  <c:v>666.686767578125</c:v>
                </c:pt>
                <c:pt idx="12">
                  <c:v>670.0411376953125</c:v>
                </c:pt>
                <c:pt idx="13">
                  <c:v>672.97296142578125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9E-4B23-8F1D-29691F129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746742552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751065798856065"/>
              <c:y val="0.890956571605019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At val="0"/>
        <c:crossBetween val="midCat"/>
        <c:majorUnit val="0.2"/>
        <c:min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391698147558146E-2"/>
              <c:y val="0.289981252343457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46742552"/>
        <c:crosses val="max"/>
        <c:crossBetween val="midCat"/>
        <c:majorUnit val="50"/>
        <c:minorUnit val="50"/>
      </c:valAx>
      <c:valAx>
        <c:axId val="3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683203616888932"/>
              <c:y val="0.25636030790268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 (FV)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99.200000055134296</c:v>
                </c:pt>
                <c:pt idx="2">
                  <c:v>96.000000089406967</c:v>
                </c:pt>
                <c:pt idx="3">
                  <c:v>90.857142955064774</c:v>
                </c:pt>
                <c:pt idx="4">
                  <c:v>85.71428507566452</c:v>
                </c:pt>
                <c:pt idx="5">
                  <c:v>80.571427941322327</c:v>
                </c:pt>
                <c:pt idx="6">
                  <c:v>70.285713672637939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120.81393015085635</c:v>
                </c:pt>
                <c:pt idx="2">
                  <c:v>270</c:v>
                </c:pt>
                <c:pt idx="3">
                  <c:v>178.72770310069606</c:v>
                </c:pt>
                <c:pt idx="4">
                  <c:v>133.81422565090787</c:v>
                </c:pt>
                <c:pt idx="5">
                  <c:v>113.9177405895914</c:v>
                </c:pt>
                <c:pt idx="6">
                  <c:v>100.68842427127527</c:v>
                </c:pt>
                <c:pt idx="7">
                  <c:v>95</c:v>
                </c:pt>
                <c:pt idx="8">
                  <c:v>95.093441656388052</c:v>
                </c:pt>
                <c:pt idx="9">
                  <c:v>95.181513620225616</c:v>
                </c:pt>
                <c:pt idx="10">
                  <c:v>95.242875349839494</c:v>
                </c:pt>
                <c:pt idx="11">
                  <c:v>95.326992276483367</c:v>
                </c:pt>
                <c:pt idx="12">
                  <c:v>95.436323404740719</c:v>
                </c:pt>
                <c:pt idx="13">
                  <c:v>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83-41F6-BED9-21208798F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1130232"/>
        <c:axId val="1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99.200000055134296</c:v>
                </c:pt>
                <c:pt idx="2">
                  <c:v>96.000000089406967</c:v>
                </c:pt>
                <c:pt idx="3">
                  <c:v>90.857142955064774</c:v>
                </c:pt>
                <c:pt idx="4">
                  <c:v>85.71428507566452</c:v>
                </c:pt>
                <c:pt idx="5">
                  <c:v>80.571427941322327</c:v>
                </c:pt>
                <c:pt idx="6">
                  <c:v>70.285713672637939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0.18759968876838684</c:v>
                </c:pt>
                <c:pt idx="1">
                  <c:v>149.72695922851563</c:v>
                </c:pt>
                <c:pt idx="2">
                  <c:v>485.600830078125</c:v>
                </c:pt>
                <c:pt idx="3">
                  <c:v>589.1134033203125</c:v>
                </c:pt>
                <c:pt idx="4">
                  <c:v>618.08624267578125</c:v>
                </c:pt>
                <c:pt idx="5">
                  <c:v>630.0281982421875</c:v>
                </c:pt>
                <c:pt idx="6">
                  <c:v>640.9903564453125</c:v>
                </c:pt>
                <c:pt idx="7">
                  <c:v>647.72216796875</c:v>
                </c:pt>
                <c:pt idx="8">
                  <c:v>653.38909912109375</c:v>
                </c:pt>
                <c:pt idx="9">
                  <c:v>658.4129638671875</c:v>
                </c:pt>
                <c:pt idx="10">
                  <c:v>662.8330078125</c:v>
                </c:pt>
                <c:pt idx="11">
                  <c:v>666.686767578125</c:v>
                </c:pt>
                <c:pt idx="12">
                  <c:v>670.0411376953125</c:v>
                </c:pt>
                <c:pt idx="13">
                  <c:v>672.97296142578125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83-41F6-BED9-21208798F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21130232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  <c:majorUnit val="20"/>
        <c:minorUnit val="2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21130232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90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432803794262557"/>
          <c:y val="0.94106543716255997"/>
          <c:w val="0.6001998434406226"/>
          <c:h val="5.893456283743999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672.97297297297303</c:v>
                </c:pt>
                <c:pt idx="1">
                  <c:v>625.98668108108109</c:v>
                </c:pt>
                <c:pt idx="2">
                  <c:v>578.98629189189194</c:v>
                </c:pt>
                <c:pt idx="3">
                  <c:v>532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40.45135786097682</c:v>
                </c:pt>
                <c:pt idx="2">
                  <c:v>47.285363009830519</c:v>
                </c:pt>
                <c:pt idx="3">
                  <c:v>56.006705375949984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DF-48D2-8914-9E28FBECB5DB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672.97297297297303</c:v>
                </c:pt>
                <c:pt idx="1">
                  <c:v>625.98668108108109</c:v>
                </c:pt>
                <c:pt idx="2">
                  <c:v>578.98629189189194</c:v>
                </c:pt>
                <c:pt idx="3">
                  <c:v>532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17.336296226132923</c:v>
                </c:pt>
                <c:pt idx="2">
                  <c:v>20.265155575641653</c:v>
                </c:pt>
                <c:pt idx="3">
                  <c:v>24.002873732549993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DF-48D2-8914-9E28FBECB5DB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432</c:v>
                </c:pt>
                <c:pt idx="1">
                  <c:v>332</c:v>
                </c:pt>
                <c:pt idx="2">
                  <c:v>270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93.187782376971569</c:v>
                </c:pt>
                <c:pt idx="3">
                  <c:v>209.67251034818608</c:v>
                </c:pt>
                <c:pt idx="4">
                  <c:v>323.11007539982069</c:v>
                </c:pt>
                <c:pt idx="5" formatCode="0">
                  <c:v>700</c:v>
                </c:pt>
                <c:pt idx="6" formatCode="0">
                  <c:v>1400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3DF-48D2-8914-9E28FBECB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281304"/>
        <c:axId val="1"/>
      </c:scatterChart>
      <c:valAx>
        <c:axId val="748281304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.1"/>
        <c:crossBetween val="midCat"/>
        <c:majorUnit val="100"/>
      </c:valAx>
      <c:valAx>
        <c:axId val="1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48281304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4000V'!$B$54:$B$59</c:f>
              <c:numCache>
                <c:formatCode>0.0</c:formatCode>
                <c:ptCount val="6"/>
                <c:pt idx="1">
                  <c:v>87.03704833984375</c:v>
                </c:pt>
                <c:pt idx="2">
                  <c:v>92.365669250488281</c:v>
                </c:pt>
                <c:pt idx="3">
                  <c:v>94.081222534179688</c:v>
                </c:pt>
                <c:pt idx="4">
                  <c:v>94.81402587890625</c:v>
                </c:pt>
                <c:pt idx="5">
                  <c:v>95.125923156738281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82-4153-8DEB-65940EEBAD44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'Performance 4000V'!$A$55:$A$59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'Performance 4000V'!$C$55:$C$59</c:f>
              <c:numCache>
                <c:formatCode>0.0</c:formatCode>
                <c:ptCount val="5"/>
                <c:pt idx="0">
                  <c:v>75.494895935058594</c:v>
                </c:pt>
                <c:pt idx="1">
                  <c:v>88.323226928710938</c:v>
                </c:pt>
                <c:pt idx="2">
                  <c:v>91.53338623046875</c:v>
                </c:pt>
                <c:pt idx="3">
                  <c:v>92.487159729003906</c:v>
                </c:pt>
                <c:pt idx="4">
                  <c:v>92.586219787597656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82-4153-8DEB-65940EEBAD44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4000V'!$E$54:$E$59</c:f>
              <c:numCache>
                <c:formatCode>0.0</c:formatCode>
                <c:ptCount val="6"/>
                <c:pt idx="0">
                  <c:v>100</c:v>
                </c:pt>
                <c:pt idx="1">
                  <c:v>79.099969797616382</c:v>
                </c:pt>
                <c:pt idx="2">
                  <c:v>65.487352527480525</c:v>
                </c:pt>
                <c:pt idx="3">
                  <c:v>51.79084192912633</c:v>
                </c:pt>
                <c:pt idx="4">
                  <c:v>37.714607932854882</c:v>
                </c:pt>
                <c:pt idx="5">
                  <c:v>23.580244247681037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C82-4153-8DEB-65940EEBAD44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4000V'!$F$54:$F$59</c:f>
              <c:numCache>
                <c:formatCode>0.0</c:formatCode>
                <c:ptCount val="6"/>
                <c:pt idx="0">
                  <c:v>2</c:v>
                </c:pt>
                <c:pt idx="1">
                  <c:v>10.76076083194593</c:v>
                </c:pt>
                <c:pt idx="2">
                  <c:v>20.279935002199952</c:v>
                </c:pt>
                <c:pt idx="3">
                  <c:v>29.86519731201664</c:v>
                </c:pt>
                <c:pt idx="4">
                  <c:v>39.512499383524023</c:v>
                </c:pt>
                <c:pt idx="5">
                  <c:v>49.228683725655209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C82-4153-8DEB-65940EEBA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53304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'Performance 4000V'!$A$54:$A$59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'Performance 4000V'!$D$54:$D$59</c:f>
              <c:numCache>
                <c:formatCode>0.0</c:formatCode>
                <c:ptCount val="6"/>
                <c:pt idx="0">
                  <c:v>14.305789879083203</c:v>
                </c:pt>
                <c:pt idx="1">
                  <c:v>24.688730239868164</c:v>
                </c:pt>
                <c:pt idx="2">
                  <c:v>39.770862579345703</c:v>
                </c:pt>
                <c:pt idx="3">
                  <c:v>56.514411926269531</c:v>
                </c:pt>
                <c:pt idx="4">
                  <c:v>73.999099731445313</c:v>
                </c:pt>
                <c:pt idx="5">
                  <c:v>92.096946716308594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C82-4153-8DEB-65940EEBA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516653304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16653304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1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1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 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 Performance 2300V'!$B$54:$B$59</c:f>
              <c:numCache>
                <c:formatCode>0.0</c:formatCode>
                <c:ptCount val="6"/>
                <c:pt idx="1">
                  <c:v>87.070281982421875</c:v>
                </c:pt>
                <c:pt idx="2">
                  <c:v>92.380378723144531</c:v>
                </c:pt>
                <c:pt idx="3">
                  <c:v>94.087326049804688</c:v>
                </c:pt>
                <c:pt idx="4">
                  <c:v>94.813827514648438</c:v>
                </c:pt>
                <c:pt idx="5">
                  <c:v>95.120628356933594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0D-4B8E-8EFB-A92864467D38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 Performance 2300V'!$A$55:$A$59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' Performance 2300V'!$C$55:$C$59</c:f>
              <c:numCache>
                <c:formatCode>0.0</c:formatCode>
                <c:ptCount val="5"/>
                <c:pt idx="0">
                  <c:v>75.85980224609375</c:v>
                </c:pt>
                <c:pt idx="1">
                  <c:v>88.543701171875</c:v>
                </c:pt>
                <c:pt idx="2">
                  <c:v>91.69366455078125</c:v>
                </c:pt>
                <c:pt idx="3">
                  <c:v>92.615730285644531</c:v>
                </c:pt>
                <c:pt idx="4">
                  <c:v>92.691848754882813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0D-4B8E-8EFB-A92864467D38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' 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 Performance 2300V'!$E$54:$E$59</c:f>
              <c:numCache>
                <c:formatCode>0.0</c:formatCode>
                <c:ptCount val="6"/>
                <c:pt idx="0">
                  <c:v>100</c:v>
                </c:pt>
                <c:pt idx="1">
                  <c:v>78.98073902108851</c:v>
                </c:pt>
                <c:pt idx="2">
                  <c:v>65.252538738043953</c:v>
                </c:pt>
                <c:pt idx="3">
                  <c:v>51.436803645188789</c:v>
                </c:pt>
                <c:pt idx="4">
                  <c:v>37.225778291761458</c:v>
                </c:pt>
                <c:pt idx="5">
                  <c:v>22.974405573572909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A0D-4B8E-8EFB-A92864467D38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' 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 Performance 2300V'!$F$54:$F$59</c:f>
              <c:numCache>
                <c:formatCode>0.0</c:formatCode>
                <c:ptCount val="6"/>
                <c:pt idx="0">
                  <c:v>2</c:v>
                </c:pt>
                <c:pt idx="1">
                  <c:v>10.713330771629558</c:v>
                </c:pt>
                <c:pt idx="2">
                  <c:v>20.195040182405972</c:v>
                </c:pt>
                <c:pt idx="3">
                  <c:v>29.742983536886939</c:v>
                </c:pt>
                <c:pt idx="4">
                  <c:v>39.353443816061258</c:v>
                </c:pt>
                <c:pt idx="5">
                  <c:v>49.033143068691004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A0D-4B8E-8EFB-A92864467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102408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' Performance 2300V'!$A$54:$A$59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' Performance 2300V'!$D$54:$D$59</c:f>
              <c:numCache>
                <c:formatCode>0.0</c:formatCode>
                <c:ptCount val="6"/>
                <c:pt idx="0">
                  <c:v>24.504626015379259</c:v>
                </c:pt>
                <c:pt idx="1">
                  <c:v>42.542041778564453</c:v>
                </c:pt>
                <c:pt idx="2">
                  <c:v>68.705673217773438</c:v>
                </c:pt>
                <c:pt idx="3">
                  <c:v>97.712631225585938</c:v>
                </c:pt>
                <c:pt idx="4">
                  <c:v>127.99810028076172</c:v>
                </c:pt>
                <c:pt idx="5">
                  <c:v>159.35060119628906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A0D-4B8E-8EFB-A92864467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755102408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55102408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2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6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4959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3625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3721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3435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4864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114300</xdr:colOff>
      <xdr:row>42</xdr:row>
      <xdr:rowOff>141817</xdr:rowOff>
    </xdr:from>
    <xdr:to>
      <xdr:col>3</xdr:col>
      <xdr:colOff>411594</xdr:colOff>
      <xdr:row>43</xdr:row>
      <xdr:rowOff>37042</xdr:rowOff>
    </xdr:to>
    <xdr:sp macro="" textlink="">
      <xdr:nvSpPr>
        <xdr:cNvPr id="7" name="Radius"/>
        <xdr:cNvSpPr txBox="1">
          <a:spLocks noChangeArrowheads="1"/>
        </xdr:cNvSpPr>
      </xdr:nvSpPr>
      <xdr:spPr bwMode="auto">
        <a:xfrm>
          <a:off x="1809750" y="9809692"/>
          <a:ext cx="297294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246.0</a:t>
          </a:r>
        </a:p>
      </xdr:txBody>
    </xdr:sp>
    <xdr:clientData/>
  </xdr:twoCellAnchor>
  <xdr:twoCellAnchor>
    <xdr:from>
      <xdr:col>3</xdr:col>
      <xdr:colOff>260289</xdr:colOff>
      <xdr:row>40</xdr:row>
      <xdr:rowOff>145294</xdr:rowOff>
    </xdr:from>
    <xdr:to>
      <xdr:col>3</xdr:col>
      <xdr:colOff>547399</xdr:colOff>
      <xdr:row>41</xdr:row>
      <xdr:rowOff>9222</xdr:rowOff>
    </xdr:to>
    <xdr:sp macro="" textlink="">
      <xdr:nvSpPr>
        <xdr:cNvPr id="8" name="Height"/>
        <xdr:cNvSpPr txBox="1">
          <a:spLocks noChangeArrowheads="1"/>
        </xdr:cNvSpPr>
      </xdr:nvSpPr>
      <xdr:spPr bwMode="auto">
        <a:xfrm>
          <a:off x="1955739" y="9355969"/>
          <a:ext cx="287110" cy="92528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44.0</a:t>
          </a:r>
        </a:p>
      </xdr:txBody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278186</xdr:colOff>
      <xdr:row>41</xdr:row>
      <xdr:rowOff>219075</xdr:rowOff>
    </xdr:to>
    <xdr:sp macro="" textlink="">
      <xdr:nvSpPr>
        <xdr:cNvPr id="9" name="Clear"/>
        <xdr:cNvSpPr txBox="1">
          <a:spLocks noChangeArrowheads="1"/>
        </xdr:cNvSpPr>
      </xdr:nvSpPr>
      <xdr:spPr bwMode="auto">
        <a:xfrm>
          <a:off x="1228725" y="9544050"/>
          <a:ext cx="249611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70.5</a:t>
          </a:r>
        </a:p>
      </xdr:txBody>
    </xdr:sp>
    <xdr:clientData/>
  </xdr:twoCellAnchor>
  <xdr:twoCellAnchor>
    <xdr:from>
      <xdr:col>2</xdr:col>
      <xdr:colOff>361133</xdr:colOff>
      <xdr:row>42</xdr:row>
      <xdr:rowOff>51557</xdr:rowOff>
    </xdr:from>
    <xdr:to>
      <xdr:col>3</xdr:col>
      <xdr:colOff>74686</xdr:colOff>
      <xdr:row>42</xdr:row>
      <xdr:rowOff>156332</xdr:rowOff>
    </xdr:to>
    <xdr:sp macro="" textlink="">
      <xdr:nvSpPr>
        <xdr:cNvPr id="10" name="Thickness"/>
        <xdr:cNvSpPr txBox="1">
          <a:spLocks noChangeArrowheads="1"/>
        </xdr:cNvSpPr>
      </xdr:nvSpPr>
      <xdr:spPr bwMode="auto">
        <a:xfrm>
          <a:off x="1561283" y="9719432"/>
          <a:ext cx="208853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44.5</a:t>
          </a:r>
        </a:p>
      </xdr:txBody>
    </xdr:sp>
    <xdr:clientData/>
  </xdr:twoCellAnchor>
  <xdr:twoCellAnchor>
    <xdr:from>
      <xdr:col>3</xdr:col>
      <xdr:colOff>200025</xdr:colOff>
      <xdr:row>35</xdr:row>
      <xdr:rowOff>123825</xdr:rowOff>
    </xdr:from>
    <xdr:to>
      <xdr:col>3</xdr:col>
      <xdr:colOff>506791</xdr:colOff>
      <xdr:row>36</xdr:row>
      <xdr:rowOff>28575</xdr:rowOff>
    </xdr:to>
    <xdr:sp macro="" textlink="">
      <xdr:nvSpPr>
        <xdr:cNvPr id="11" name="Depth2"/>
        <xdr:cNvSpPr txBox="1">
          <a:spLocks noChangeArrowheads="1"/>
        </xdr:cNvSpPr>
      </xdr:nvSpPr>
      <xdr:spPr bwMode="auto">
        <a:xfrm>
          <a:off x="1895475" y="8191500"/>
          <a:ext cx="306766" cy="1333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36.41</a:t>
          </a:r>
        </a:p>
      </xdr:txBody>
    </xdr:sp>
    <xdr:clientData/>
  </xdr:twoCellAnchor>
  <xdr:twoCellAnchor>
    <xdr:from>
      <xdr:col>1</xdr:col>
      <xdr:colOff>190500</xdr:colOff>
      <xdr:row>33</xdr:row>
      <xdr:rowOff>180975</xdr:rowOff>
    </xdr:from>
    <xdr:to>
      <xdr:col>2</xdr:col>
      <xdr:colOff>9525</xdr:colOff>
      <xdr:row>34</xdr:row>
      <xdr:rowOff>66675</xdr:rowOff>
    </xdr:to>
    <xdr:sp macro="" textlink="">
      <xdr:nvSpPr>
        <xdr:cNvPr id="12" name="Tip2"/>
        <xdr:cNvSpPr txBox="1">
          <a:spLocks noChangeArrowheads="1"/>
        </xdr:cNvSpPr>
      </xdr:nvSpPr>
      <xdr:spPr bwMode="auto">
        <a:xfrm>
          <a:off x="981075" y="7791450"/>
          <a:ext cx="2286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161925</xdr:colOff>
      <xdr:row>33</xdr:row>
      <xdr:rowOff>38100</xdr:rowOff>
    </xdr:from>
    <xdr:to>
      <xdr:col>2</xdr:col>
      <xdr:colOff>487829</xdr:colOff>
      <xdr:row>33</xdr:row>
      <xdr:rowOff>180975</xdr:rowOff>
    </xdr:to>
    <xdr:sp macro="" textlink="">
      <xdr:nvSpPr>
        <xdr:cNvPr id="13" name="Opening"/>
        <xdr:cNvSpPr txBox="1">
          <a:spLocks noChangeArrowheads="1"/>
        </xdr:cNvSpPr>
      </xdr:nvSpPr>
      <xdr:spPr bwMode="auto">
        <a:xfrm>
          <a:off x="1362075" y="7648575"/>
          <a:ext cx="325904" cy="1428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144780</xdr:colOff>
      <xdr:row>36</xdr:row>
      <xdr:rowOff>190500</xdr:rowOff>
    </xdr:from>
    <xdr:to>
      <xdr:col>3</xdr:col>
      <xdr:colOff>91</xdr:colOff>
      <xdr:row>37</xdr:row>
      <xdr:rowOff>66675</xdr:rowOff>
    </xdr:to>
    <xdr:sp macro="" textlink="">
      <xdr:nvSpPr>
        <xdr:cNvPr id="14" name="Width3"/>
        <xdr:cNvSpPr txBox="1">
          <a:spLocks noChangeArrowheads="1"/>
        </xdr:cNvSpPr>
      </xdr:nvSpPr>
      <xdr:spPr bwMode="auto">
        <a:xfrm>
          <a:off x="1344930" y="8486775"/>
          <a:ext cx="350611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14.12</a:t>
          </a:r>
        </a:p>
      </xdr:txBody>
    </xdr:sp>
    <xdr:clientData/>
  </xdr:twoCellAnchor>
  <xdr:twoCellAnchor>
    <xdr:from>
      <xdr:col>2</xdr:col>
      <xdr:colOff>161925</xdr:colOff>
      <xdr:row>34</xdr:row>
      <xdr:rowOff>161925</xdr:rowOff>
    </xdr:from>
    <xdr:to>
      <xdr:col>2</xdr:col>
      <xdr:colOff>487829</xdr:colOff>
      <xdr:row>35</xdr:row>
      <xdr:rowOff>66675</xdr:rowOff>
    </xdr:to>
    <xdr:sp macro="" textlink="">
      <xdr:nvSpPr>
        <xdr:cNvPr id="15" name="Width2"/>
        <xdr:cNvSpPr txBox="1">
          <a:spLocks noChangeArrowheads="1"/>
        </xdr:cNvSpPr>
      </xdr:nvSpPr>
      <xdr:spPr bwMode="auto">
        <a:xfrm>
          <a:off x="1362075" y="8001000"/>
          <a:ext cx="325904" cy="1333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4.72</a:t>
          </a:r>
        </a:p>
      </xdr:txBody>
    </xdr:sp>
    <xdr:clientData/>
  </xdr:twoCellAnchor>
  <xdr:twoCellAnchor>
    <xdr:from>
      <xdr:col>1</xdr:col>
      <xdr:colOff>390525</xdr:colOff>
      <xdr:row>33</xdr:row>
      <xdr:rowOff>171450</xdr:rowOff>
    </xdr:from>
    <xdr:to>
      <xdr:col>3</xdr:col>
      <xdr:colOff>352425</xdr:colOff>
      <xdr:row>37</xdr:row>
      <xdr:rowOff>209550</xdr:rowOff>
    </xdr:to>
    <xdr:grpSp>
      <xdr:nvGrpSpPr>
        <xdr:cNvPr id="16" name="Group 190"/>
        <xdr:cNvGrpSpPr>
          <a:grpSpLocks/>
        </xdr:cNvGrpSpPr>
      </xdr:nvGrpSpPr>
      <xdr:grpSpPr bwMode="auto">
        <a:xfrm>
          <a:off x="1181100" y="7781925"/>
          <a:ext cx="866775" cy="952500"/>
          <a:chOff x="120" y="793"/>
          <a:chExt cx="91" cy="100"/>
        </a:xfrm>
      </xdr:grpSpPr>
      <xdr:sp macro="" textlink="">
        <xdr:nvSpPr>
          <xdr:cNvPr id="17" name="Line 100"/>
          <xdr:cNvSpPr>
            <a:spLocks noChangeShapeType="1"/>
          </xdr:cNvSpPr>
        </xdr:nvSpPr>
        <xdr:spPr bwMode="auto">
          <a:xfrm>
            <a:off x="139" y="813"/>
            <a:ext cx="3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49"/>
          <xdr:cNvSpPr>
            <a:spLocks noChangeShapeType="1"/>
          </xdr:cNvSpPr>
        </xdr:nvSpPr>
        <xdr:spPr bwMode="auto">
          <a:xfrm>
            <a:off x="128" y="793"/>
            <a:ext cx="1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50"/>
          <xdr:cNvSpPr>
            <a:spLocks noChangeShapeType="1"/>
          </xdr:cNvSpPr>
        </xdr:nvSpPr>
        <xdr:spPr bwMode="auto">
          <a:xfrm flipH="1">
            <a:off x="164" y="793"/>
            <a:ext cx="1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151"/>
          <xdr:cNvSpPr>
            <a:spLocks noChangeShapeType="1"/>
          </xdr:cNvSpPr>
        </xdr:nvSpPr>
        <xdr:spPr bwMode="auto">
          <a:xfrm flipH="1">
            <a:off x="127" y="879"/>
            <a:ext cx="1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152"/>
          <xdr:cNvSpPr>
            <a:spLocks noChangeShapeType="1"/>
          </xdr:cNvSpPr>
        </xdr:nvSpPr>
        <xdr:spPr bwMode="auto">
          <a:xfrm>
            <a:off x="147" y="880"/>
            <a:ext cx="3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156"/>
          <xdr:cNvSpPr>
            <a:spLocks noChangeShapeType="1"/>
          </xdr:cNvSpPr>
        </xdr:nvSpPr>
        <xdr:spPr bwMode="auto">
          <a:xfrm flipV="1">
            <a:off x="194" y="893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157"/>
          <xdr:cNvSpPr>
            <a:spLocks noChangeShapeType="1"/>
          </xdr:cNvSpPr>
        </xdr:nvSpPr>
        <xdr:spPr bwMode="auto">
          <a:xfrm flipV="1">
            <a:off x="204" y="794"/>
            <a:ext cx="0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158"/>
          <xdr:cNvSpPr>
            <a:spLocks noChangeShapeType="1"/>
          </xdr:cNvSpPr>
        </xdr:nvSpPr>
        <xdr:spPr bwMode="auto">
          <a:xfrm>
            <a:off x="204" y="849"/>
            <a:ext cx="0" cy="4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159"/>
          <xdr:cNvSpPr>
            <a:spLocks noChangeShapeType="1"/>
          </xdr:cNvSpPr>
        </xdr:nvSpPr>
        <xdr:spPr bwMode="auto">
          <a:xfrm>
            <a:off x="194" y="793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160"/>
          <xdr:cNvSpPr>
            <a:spLocks noChangeShapeType="1"/>
          </xdr:cNvSpPr>
        </xdr:nvSpPr>
        <xdr:spPr bwMode="auto">
          <a:xfrm flipH="1">
            <a:off x="120" y="804"/>
            <a:ext cx="2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161"/>
          <xdr:cNvSpPr>
            <a:spLocks noChangeShapeType="1"/>
          </xdr:cNvSpPr>
        </xdr:nvSpPr>
        <xdr:spPr bwMode="auto">
          <a:xfrm flipV="1">
            <a:off x="127" y="874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162"/>
          <xdr:cNvSpPr>
            <a:spLocks noChangeShapeType="1"/>
          </xdr:cNvSpPr>
        </xdr:nvSpPr>
        <xdr:spPr bwMode="auto">
          <a:xfrm flipV="1">
            <a:off x="184" y="871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163"/>
          <xdr:cNvSpPr>
            <a:spLocks noChangeShapeType="1"/>
          </xdr:cNvSpPr>
        </xdr:nvSpPr>
        <xdr:spPr bwMode="auto">
          <a:xfrm flipV="1">
            <a:off x="137" y="804"/>
            <a:ext cx="1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164"/>
          <xdr:cNvSpPr>
            <a:spLocks noChangeShapeType="1"/>
          </xdr:cNvSpPr>
        </xdr:nvSpPr>
        <xdr:spPr bwMode="auto">
          <a:xfrm flipH="1">
            <a:off x="127" y="813"/>
            <a:ext cx="10" cy="7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165"/>
          <xdr:cNvSpPr>
            <a:spLocks noChangeShapeType="1"/>
          </xdr:cNvSpPr>
        </xdr:nvSpPr>
        <xdr:spPr bwMode="auto">
          <a:xfrm flipV="1">
            <a:off x="147" y="793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166"/>
          <xdr:cNvSpPr>
            <a:spLocks noChangeShapeType="1"/>
          </xdr:cNvSpPr>
        </xdr:nvSpPr>
        <xdr:spPr bwMode="auto">
          <a:xfrm>
            <a:off x="164" y="793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168"/>
          <xdr:cNvSpPr>
            <a:spLocks noChangeShapeType="1"/>
          </xdr:cNvSpPr>
        </xdr:nvSpPr>
        <xdr:spPr bwMode="auto">
          <a:xfrm>
            <a:off x="132" y="793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169"/>
          <xdr:cNvSpPr>
            <a:spLocks noChangeShapeType="1"/>
          </xdr:cNvSpPr>
        </xdr:nvSpPr>
        <xdr:spPr bwMode="auto">
          <a:xfrm flipH="1" flipV="1">
            <a:off x="132" y="793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170"/>
          <xdr:cNvSpPr>
            <a:spLocks noChangeShapeType="1"/>
          </xdr:cNvSpPr>
        </xdr:nvSpPr>
        <xdr:spPr bwMode="auto">
          <a:xfrm flipV="1">
            <a:off x="130" y="793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171"/>
          <xdr:cNvSpPr>
            <a:spLocks noChangeShapeType="1"/>
          </xdr:cNvSpPr>
        </xdr:nvSpPr>
        <xdr:spPr bwMode="auto">
          <a:xfrm flipV="1">
            <a:off x="132" y="800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172"/>
          <xdr:cNvSpPr>
            <a:spLocks noChangeShapeType="1"/>
          </xdr:cNvSpPr>
        </xdr:nvSpPr>
        <xdr:spPr bwMode="auto">
          <a:xfrm flipH="1" flipV="1">
            <a:off x="130" y="800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173"/>
          <xdr:cNvSpPr>
            <a:spLocks noChangeShapeType="1"/>
          </xdr:cNvSpPr>
        </xdr:nvSpPr>
        <xdr:spPr bwMode="auto">
          <a:xfrm>
            <a:off x="173" y="813"/>
            <a:ext cx="11" cy="7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174"/>
          <xdr:cNvSpPr>
            <a:spLocks noChangeShapeType="1"/>
          </xdr:cNvSpPr>
        </xdr:nvSpPr>
        <xdr:spPr bwMode="auto">
          <a:xfrm>
            <a:off x="164" y="805"/>
            <a:ext cx="9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175"/>
          <xdr:cNvSpPr>
            <a:spLocks noChangeShapeType="1"/>
          </xdr:cNvSpPr>
        </xdr:nvSpPr>
        <xdr:spPr bwMode="auto">
          <a:xfrm>
            <a:off x="127" y="893"/>
            <a:ext cx="5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176"/>
          <xdr:cNvSpPr>
            <a:spLocks noChangeShapeType="1"/>
          </xdr:cNvSpPr>
        </xdr:nvSpPr>
        <xdr:spPr bwMode="auto">
          <a:xfrm>
            <a:off x="147" y="796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177"/>
          <xdr:cNvSpPr>
            <a:spLocks noChangeShapeType="1"/>
          </xdr:cNvSpPr>
        </xdr:nvSpPr>
        <xdr:spPr bwMode="auto">
          <a:xfrm flipH="1">
            <a:off x="147" y="794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178"/>
          <xdr:cNvSpPr>
            <a:spLocks noChangeShapeType="1"/>
          </xdr:cNvSpPr>
        </xdr:nvSpPr>
        <xdr:spPr bwMode="auto">
          <a:xfrm flipH="1" flipV="1">
            <a:off x="147" y="796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179"/>
          <xdr:cNvSpPr>
            <a:spLocks noChangeShapeType="1"/>
          </xdr:cNvSpPr>
        </xdr:nvSpPr>
        <xdr:spPr bwMode="auto">
          <a:xfrm flipH="1">
            <a:off x="147" y="794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80"/>
          <xdr:cNvSpPr>
            <a:spLocks noChangeShapeType="1"/>
          </xdr:cNvSpPr>
        </xdr:nvSpPr>
        <xdr:spPr bwMode="auto">
          <a:xfrm flipV="1">
            <a:off x="161" y="796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81"/>
          <xdr:cNvSpPr>
            <a:spLocks noChangeShapeType="1"/>
          </xdr:cNvSpPr>
        </xdr:nvSpPr>
        <xdr:spPr bwMode="auto">
          <a:xfrm>
            <a:off x="161" y="794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82"/>
          <xdr:cNvSpPr>
            <a:spLocks noChangeShapeType="1"/>
          </xdr:cNvSpPr>
        </xdr:nvSpPr>
        <xdr:spPr bwMode="auto">
          <a:xfrm flipH="1" flipV="1">
            <a:off x="139" y="813"/>
            <a:ext cx="4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83"/>
          <xdr:cNvSpPr>
            <a:spLocks noChangeShapeType="1"/>
          </xdr:cNvSpPr>
        </xdr:nvSpPr>
        <xdr:spPr bwMode="auto">
          <a:xfrm flipV="1">
            <a:off x="168" y="813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84"/>
          <xdr:cNvSpPr>
            <a:spLocks noChangeShapeType="1"/>
          </xdr:cNvSpPr>
        </xdr:nvSpPr>
        <xdr:spPr bwMode="auto">
          <a:xfrm flipH="1" flipV="1">
            <a:off x="168" y="811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85"/>
          <xdr:cNvSpPr>
            <a:spLocks noChangeShapeType="1"/>
          </xdr:cNvSpPr>
        </xdr:nvSpPr>
        <xdr:spPr bwMode="auto">
          <a:xfrm flipV="1">
            <a:off x="139" y="811"/>
            <a:ext cx="4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123825</xdr:colOff>
      <xdr:row>29</xdr:row>
      <xdr:rowOff>85725</xdr:rowOff>
    </xdr:from>
    <xdr:to>
      <xdr:col>3</xdr:col>
      <xdr:colOff>411649</xdr:colOff>
      <xdr:row>29</xdr:row>
      <xdr:rowOff>202266</xdr:rowOff>
    </xdr:to>
    <xdr:sp macro="" textlink="">
      <xdr:nvSpPr>
        <xdr:cNvPr id="51" name="Depth"/>
        <xdr:cNvSpPr txBox="1">
          <a:spLocks noChangeArrowheads="1"/>
        </xdr:cNvSpPr>
      </xdr:nvSpPr>
      <xdr:spPr bwMode="auto">
        <a:xfrm>
          <a:off x="1819275" y="6781800"/>
          <a:ext cx="287824" cy="116541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65.0</a:t>
          </a:r>
        </a:p>
      </xdr:txBody>
    </xdr:sp>
    <xdr:clientData/>
  </xdr:twoCellAnchor>
  <xdr:twoCellAnchor>
    <xdr:from>
      <xdr:col>1</xdr:col>
      <xdr:colOff>38100</xdr:colOff>
      <xdr:row>31</xdr:row>
      <xdr:rowOff>0</xdr:rowOff>
    </xdr:from>
    <xdr:to>
      <xdr:col>2</xdr:col>
      <xdr:colOff>11505</xdr:colOff>
      <xdr:row>31</xdr:row>
      <xdr:rowOff>104775</xdr:rowOff>
    </xdr:to>
    <xdr:sp macro="" textlink="">
      <xdr:nvSpPr>
        <xdr:cNvPr id="52" name="Tip"/>
        <xdr:cNvSpPr txBox="1">
          <a:spLocks noChangeArrowheads="1"/>
        </xdr:cNvSpPr>
      </xdr:nvSpPr>
      <xdr:spPr bwMode="auto">
        <a:xfrm>
          <a:off x="828675" y="7153275"/>
          <a:ext cx="38298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144780</xdr:colOff>
      <xdr:row>26</xdr:row>
      <xdr:rowOff>200025</xdr:rowOff>
    </xdr:from>
    <xdr:to>
      <xdr:col>3</xdr:col>
      <xdr:colOff>47743</xdr:colOff>
      <xdr:row>27</xdr:row>
      <xdr:rowOff>66675</xdr:rowOff>
    </xdr:to>
    <xdr:sp macro="" textlink="">
      <xdr:nvSpPr>
        <xdr:cNvPr id="53" name="Width"/>
        <xdr:cNvSpPr txBox="1">
          <a:spLocks noChangeArrowheads="1"/>
        </xdr:cNvSpPr>
      </xdr:nvSpPr>
      <xdr:spPr bwMode="auto">
        <a:xfrm>
          <a:off x="1344930" y="6210300"/>
          <a:ext cx="398263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14.0</a:t>
          </a:r>
        </a:p>
      </xdr:txBody>
    </xdr:sp>
    <xdr:clientData/>
  </xdr:twoCellAnchor>
  <xdr:twoCellAnchor>
    <xdr:from>
      <xdr:col>1</xdr:col>
      <xdr:colOff>333375</xdr:colOff>
      <xdr:row>27</xdr:row>
      <xdr:rowOff>57150</xdr:rowOff>
    </xdr:from>
    <xdr:to>
      <xdr:col>3</xdr:col>
      <xdr:colOff>371475</xdr:colOff>
      <xdr:row>31</xdr:row>
      <xdr:rowOff>219075</xdr:rowOff>
    </xdr:to>
    <xdr:grpSp>
      <xdr:nvGrpSpPr>
        <xdr:cNvPr id="54" name="Group 254"/>
        <xdr:cNvGrpSpPr>
          <a:grpSpLocks/>
        </xdr:cNvGrpSpPr>
      </xdr:nvGrpSpPr>
      <xdr:grpSpPr bwMode="auto">
        <a:xfrm>
          <a:off x="1123950" y="6296025"/>
          <a:ext cx="942975" cy="1076325"/>
          <a:chOff x="118" y="637"/>
          <a:chExt cx="99" cy="113"/>
        </a:xfrm>
      </xdr:grpSpPr>
      <xdr:sp macro="" textlink="">
        <xdr:nvSpPr>
          <xdr:cNvPr id="55" name="Line 229"/>
          <xdr:cNvSpPr>
            <a:spLocks noChangeShapeType="1"/>
          </xdr:cNvSpPr>
        </xdr:nvSpPr>
        <xdr:spPr bwMode="auto">
          <a:xfrm flipH="1">
            <a:off x="182" y="651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230"/>
          <xdr:cNvSpPr>
            <a:spLocks noChangeShapeType="1"/>
          </xdr:cNvSpPr>
        </xdr:nvSpPr>
        <xdr:spPr bwMode="auto">
          <a:xfrm flipH="1">
            <a:off x="134" y="652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231"/>
          <xdr:cNvSpPr>
            <a:spLocks noChangeShapeType="1"/>
          </xdr:cNvSpPr>
        </xdr:nvSpPr>
        <xdr:spPr bwMode="auto">
          <a:xfrm>
            <a:off x="183" y="651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232"/>
          <xdr:cNvSpPr>
            <a:spLocks noChangeShapeType="1"/>
          </xdr:cNvSpPr>
        </xdr:nvSpPr>
        <xdr:spPr bwMode="auto">
          <a:xfrm>
            <a:off x="136" y="652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233"/>
          <xdr:cNvSpPr>
            <a:spLocks noChangeShapeType="1"/>
          </xdr:cNvSpPr>
        </xdr:nvSpPr>
        <xdr:spPr bwMode="auto">
          <a:xfrm>
            <a:off x="130" y="724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234"/>
          <xdr:cNvSpPr>
            <a:spLocks noChangeShapeType="1"/>
          </xdr:cNvSpPr>
        </xdr:nvSpPr>
        <xdr:spPr bwMode="auto">
          <a:xfrm flipH="1">
            <a:off x="190" y="729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235"/>
          <xdr:cNvSpPr>
            <a:spLocks noChangeShapeType="1"/>
          </xdr:cNvSpPr>
        </xdr:nvSpPr>
        <xdr:spPr bwMode="auto">
          <a:xfrm>
            <a:off x="130" y="730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236"/>
          <xdr:cNvSpPr>
            <a:spLocks noChangeShapeType="1"/>
          </xdr:cNvSpPr>
        </xdr:nvSpPr>
        <xdr:spPr bwMode="auto">
          <a:xfrm>
            <a:off x="182" y="729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237"/>
          <xdr:cNvSpPr>
            <a:spLocks noChangeShapeType="1"/>
          </xdr:cNvSpPr>
        </xdr:nvSpPr>
        <xdr:spPr bwMode="auto">
          <a:xfrm>
            <a:off x="137" y="73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238"/>
          <xdr:cNvSpPr>
            <a:spLocks noChangeShapeType="1"/>
          </xdr:cNvSpPr>
        </xdr:nvSpPr>
        <xdr:spPr bwMode="auto">
          <a:xfrm>
            <a:off x="182" y="739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239"/>
          <xdr:cNvSpPr>
            <a:spLocks noChangeShapeType="1"/>
          </xdr:cNvSpPr>
        </xdr:nvSpPr>
        <xdr:spPr bwMode="auto">
          <a:xfrm flipH="1">
            <a:off x="121" y="739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240"/>
          <xdr:cNvSpPr>
            <a:spLocks noChangeShapeType="1"/>
          </xdr:cNvSpPr>
        </xdr:nvSpPr>
        <xdr:spPr bwMode="auto">
          <a:xfrm>
            <a:off x="190" y="653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241"/>
          <xdr:cNvSpPr>
            <a:spLocks noChangeShapeType="1"/>
          </xdr:cNvSpPr>
        </xdr:nvSpPr>
        <xdr:spPr bwMode="auto">
          <a:xfrm flipV="1">
            <a:off x="200" y="654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242"/>
          <xdr:cNvSpPr>
            <a:spLocks noChangeShapeType="1"/>
          </xdr:cNvSpPr>
        </xdr:nvSpPr>
        <xdr:spPr bwMode="auto">
          <a:xfrm>
            <a:off x="200" y="708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243"/>
          <xdr:cNvSpPr>
            <a:spLocks noChangeShapeType="1"/>
          </xdr:cNvSpPr>
        </xdr:nvSpPr>
        <xdr:spPr bwMode="auto">
          <a:xfrm flipV="1">
            <a:off x="124" y="740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244"/>
          <xdr:cNvSpPr>
            <a:spLocks noChangeShapeType="1"/>
          </xdr:cNvSpPr>
        </xdr:nvSpPr>
        <xdr:spPr bwMode="auto">
          <a:xfrm>
            <a:off x="122" y="71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245"/>
          <xdr:cNvSpPr>
            <a:spLocks noChangeShapeType="1"/>
          </xdr:cNvSpPr>
        </xdr:nvSpPr>
        <xdr:spPr bwMode="auto">
          <a:xfrm>
            <a:off x="118" y="724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246"/>
          <xdr:cNvSpPr>
            <a:spLocks noChangeShapeType="1"/>
          </xdr:cNvSpPr>
        </xdr:nvSpPr>
        <xdr:spPr bwMode="auto">
          <a:xfrm flipV="1">
            <a:off x="183" y="637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247"/>
          <xdr:cNvSpPr>
            <a:spLocks noChangeShapeType="1"/>
          </xdr:cNvSpPr>
        </xdr:nvSpPr>
        <xdr:spPr bwMode="auto">
          <a:xfrm flipV="1">
            <a:off x="135" y="638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248"/>
          <xdr:cNvSpPr>
            <a:spLocks noChangeShapeType="1"/>
          </xdr:cNvSpPr>
        </xdr:nvSpPr>
        <xdr:spPr bwMode="auto">
          <a:xfrm>
            <a:off x="144" y="643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249"/>
          <xdr:cNvSpPr>
            <a:spLocks noChangeShapeType="1"/>
          </xdr:cNvSpPr>
        </xdr:nvSpPr>
        <xdr:spPr bwMode="auto">
          <a:xfrm flipH="1">
            <a:off x="139" y="643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250"/>
          <xdr:cNvSpPr>
            <a:spLocks noChangeShapeType="1"/>
          </xdr:cNvSpPr>
        </xdr:nvSpPr>
        <xdr:spPr bwMode="auto">
          <a:xfrm>
            <a:off x="130" y="724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251"/>
          <xdr:cNvSpPr>
            <a:spLocks noChangeShapeType="1"/>
          </xdr:cNvSpPr>
        </xdr:nvSpPr>
        <xdr:spPr bwMode="auto">
          <a:xfrm>
            <a:off x="182" y="730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252"/>
          <xdr:cNvSpPr>
            <a:spLocks noChangeShapeType="1"/>
          </xdr:cNvSpPr>
        </xdr:nvSpPr>
        <xdr:spPr bwMode="auto">
          <a:xfrm flipV="1">
            <a:off x="190" y="722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Line 253"/>
          <xdr:cNvSpPr>
            <a:spLocks noChangeShapeType="1"/>
          </xdr:cNvSpPr>
        </xdr:nvSpPr>
        <xdr:spPr bwMode="auto">
          <a:xfrm>
            <a:off x="183" y="723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80" name="Rectangle 255"/>
        <xdr:cNvSpPr>
          <a:spLocks noChangeArrowheads="1"/>
        </xdr:cNvSpPr>
      </xdr:nvSpPr>
      <xdr:spPr bwMode="auto">
        <a:xfrm>
          <a:off x="54959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81" name="Rectangle 256"/>
        <xdr:cNvSpPr>
          <a:spLocks noChangeArrowheads="1"/>
        </xdr:cNvSpPr>
      </xdr:nvSpPr>
      <xdr:spPr bwMode="auto">
        <a:xfrm>
          <a:off x="53625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82" name="Rectangle 257"/>
        <xdr:cNvSpPr>
          <a:spLocks noChangeArrowheads="1"/>
        </xdr:cNvSpPr>
      </xdr:nvSpPr>
      <xdr:spPr bwMode="auto">
        <a:xfrm>
          <a:off x="53721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83" name="Rectangle 258"/>
        <xdr:cNvSpPr>
          <a:spLocks noChangeArrowheads="1"/>
        </xdr:cNvSpPr>
      </xdr:nvSpPr>
      <xdr:spPr bwMode="auto">
        <a:xfrm>
          <a:off x="53435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84" name="Rectangle 259"/>
        <xdr:cNvSpPr>
          <a:spLocks noChangeArrowheads="1"/>
        </xdr:cNvSpPr>
      </xdr:nvSpPr>
      <xdr:spPr bwMode="auto">
        <a:xfrm>
          <a:off x="54864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133350</xdr:colOff>
      <xdr:row>39</xdr:row>
      <xdr:rowOff>180975</xdr:rowOff>
    </xdr:from>
    <xdr:to>
      <xdr:col>3</xdr:col>
      <xdr:colOff>342900</xdr:colOff>
      <xdr:row>43</xdr:row>
      <xdr:rowOff>0</xdr:rowOff>
    </xdr:to>
    <xdr:grpSp>
      <xdr:nvGrpSpPr>
        <xdr:cNvPr id="85" name="Group 3"/>
        <xdr:cNvGrpSpPr>
          <a:grpSpLocks/>
        </xdr:cNvGrpSpPr>
      </xdr:nvGrpSpPr>
      <xdr:grpSpPr bwMode="auto">
        <a:xfrm>
          <a:off x="923925" y="9163050"/>
          <a:ext cx="1114425" cy="733425"/>
          <a:chOff x="921807" y="9129183"/>
          <a:chExt cx="1110192" cy="729192"/>
        </a:xfrm>
      </xdr:grpSpPr>
      <xdr:grpSp>
        <xdr:nvGrpSpPr>
          <xdr:cNvPr id="86" name="Group 112"/>
          <xdr:cNvGrpSpPr>
            <a:grpSpLocks/>
          </xdr:cNvGrpSpPr>
        </xdr:nvGrpSpPr>
        <xdr:grpSpPr bwMode="auto">
          <a:xfrm>
            <a:off x="921807" y="9129183"/>
            <a:ext cx="887941" cy="729192"/>
            <a:chOff x="13440000" y="15720000"/>
            <a:chExt cx="1904539" cy="1540000"/>
          </a:xfrm>
        </xdr:grpSpPr>
        <xdr:grpSp>
          <xdr:nvGrpSpPr>
            <xdr:cNvPr id="97" name="Group 113"/>
            <xdr:cNvGrpSpPr>
              <a:grpSpLocks/>
            </xdr:cNvGrpSpPr>
          </xdr:nvGrpSpPr>
          <xdr:grpSpPr bwMode="auto">
            <a:xfrm>
              <a:off x="13440000" y="15720000"/>
              <a:ext cx="1904539" cy="1540000"/>
              <a:chOff x="13440000" y="15720000"/>
              <a:chExt cx="1904539" cy="1540000"/>
            </a:xfrm>
          </xdr:grpSpPr>
          <xdr:sp macro="" textlink="">
            <xdr:nvSpPr>
              <xdr:cNvPr id="99" name="Line 114"/>
              <xdr:cNvSpPr>
                <a:spLocks noChangeShapeType="1"/>
              </xdr:cNvSpPr>
            </xdr:nvSpPr>
            <xdr:spPr bwMode="auto">
              <a:xfrm flipV="1">
                <a:off x="13440000" y="15720000"/>
                <a:ext cx="6200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0" name="Line 115"/>
              <xdr:cNvSpPr>
                <a:spLocks noChangeShapeType="1"/>
              </xdr:cNvSpPr>
            </xdr:nvSpPr>
            <xdr:spPr bwMode="auto">
              <a:xfrm>
                <a:off x="14060000" y="15720000"/>
                <a:ext cx="0" cy="154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1" name="Line 116"/>
              <xdr:cNvSpPr>
                <a:spLocks noChangeShapeType="1"/>
              </xdr:cNvSpPr>
            </xdr:nvSpPr>
            <xdr:spPr bwMode="auto">
              <a:xfrm flipV="1">
                <a:off x="14059999" y="15818346"/>
                <a:ext cx="1284540" cy="165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2" name="Line 117"/>
              <xdr:cNvSpPr>
                <a:spLocks noChangeShapeType="1"/>
              </xdr:cNvSpPr>
            </xdr:nvSpPr>
            <xdr:spPr bwMode="auto">
              <a:xfrm flipH="1">
                <a:off x="15340000" y="15820000"/>
                <a:ext cx="0" cy="82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3" name="Line 118"/>
              <xdr:cNvSpPr>
                <a:spLocks noChangeShapeType="1"/>
              </xdr:cNvSpPr>
            </xdr:nvSpPr>
            <xdr:spPr bwMode="auto">
              <a:xfrm>
                <a:off x="14060000" y="16259998"/>
                <a:ext cx="644580" cy="745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04" name="Line 119"/>
              <xdr:cNvSpPr>
                <a:spLocks noChangeShapeType="1"/>
              </xdr:cNvSpPr>
            </xdr:nvSpPr>
            <xdr:spPr bwMode="auto">
              <a:xfrm>
                <a:off x="14686237" y="15818346"/>
                <a:ext cx="13764" cy="82165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98" name="Line 120"/>
            <xdr:cNvSpPr>
              <a:spLocks noChangeShapeType="1"/>
            </xdr:cNvSpPr>
          </xdr:nvSpPr>
          <xdr:spPr bwMode="auto">
            <a:xfrm flipH="1" flipV="1">
              <a:off x="14720000" y="16640000"/>
              <a:ext cx="6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87" name="Group 2"/>
          <xdr:cNvGrpSpPr>
            <a:grpSpLocks/>
          </xdr:cNvGrpSpPr>
        </xdr:nvGrpSpPr>
        <xdr:grpSpPr bwMode="auto">
          <a:xfrm>
            <a:off x="1214967" y="9175750"/>
            <a:ext cx="817032" cy="597957"/>
            <a:chOff x="1214967" y="9175750"/>
            <a:chExt cx="817032" cy="597957"/>
          </a:xfrm>
        </xdr:grpSpPr>
        <xdr:sp macro="" textlink="">
          <xdr:nvSpPr>
            <xdr:cNvPr id="88" name="Line 121"/>
            <xdr:cNvSpPr>
              <a:spLocks noChangeShapeType="1"/>
            </xdr:cNvSpPr>
          </xdr:nvSpPr>
          <xdr:spPr bwMode="auto">
            <a:xfrm flipV="1">
              <a:off x="1214967" y="9479492"/>
              <a:ext cx="27622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grpSp>
          <xdr:nvGrpSpPr>
            <xdr:cNvPr id="89" name="Group 1"/>
            <xdr:cNvGrpSpPr>
              <a:grpSpLocks/>
            </xdr:cNvGrpSpPr>
          </xdr:nvGrpSpPr>
          <xdr:grpSpPr bwMode="auto">
            <a:xfrm>
              <a:off x="1500717" y="9175750"/>
              <a:ext cx="531282" cy="597957"/>
              <a:chOff x="1500717" y="9175750"/>
              <a:chExt cx="531282" cy="597957"/>
            </a:xfrm>
          </xdr:grpSpPr>
          <xdr:sp macro="" textlink="">
            <xdr:nvSpPr>
              <xdr:cNvPr id="90" name="Line 102"/>
              <xdr:cNvSpPr>
                <a:spLocks noChangeShapeType="1"/>
              </xdr:cNvSpPr>
            </xdr:nvSpPr>
            <xdr:spPr bwMode="auto">
              <a:xfrm flipH="1">
                <a:off x="1841499" y="9559925"/>
                <a:ext cx="1905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1" name="Line 103"/>
              <xdr:cNvSpPr>
                <a:spLocks noChangeShapeType="1"/>
              </xdr:cNvSpPr>
            </xdr:nvSpPr>
            <xdr:spPr bwMode="auto">
              <a:xfrm flipV="1">
                <a:off x="1500717" y="9584267"/>
                <a:ext cx="0" cy="132291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2" name="Line 104"/>
              <xdr:cNvSpPr>
                <a:spLocks noChangeShapeType="1"/>
              </xdr:cNvSpPr>
            </xdr:nvSpPr>
            <xdr:spPr bwMode="auto">
              <a:xfrm flipV="1">
                <a:off x="1807633" y="9593792"/>
                <a:ext cx="0" cy="132291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3" name="Line 105"/>
              <xdr:cNvSpPr>
                <a:spLocks noChangeShapeType="1"/>
              </xdr:cNvSpPr>
            </xdr:nvSpPr>
            <xdr:spPr bwMode="auto">
              <a:xfrm flipV="1">
                <a:off x="1510242" y="9630833"/>
                <a:ext cx="28786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arrow" w="sm" len="sm"/>
                <a:tailEnd type="arrow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4" name="Line 106"/>
              <xdr:cNvSpPr>
                <a:spLocks noChangeShapeType="1"/>
              </xdr:cNvSpPr>
            </xdr:nvSpPr>
            <xdr:spPr bwMode="auto">
              <a:xfrm flipV="1">
                <a:off x="1940982" y="9572624"/>
                <a:ext cx="1059" cy="20108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arrow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5" name="Line 107"/>
              <xdr:cNvSpPr>
                <a:spLocks noChangeShapeType="1"/>
              </xdr:cNvSpPr>
            </xdr:nvSpPr>
            <xdr:spPr bwMode="auto">
              <a:xfrm flipV="1">
                <a:off x="1942041" y="9191624"/>
                <a:ext cx="5292" cy="3524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arrow" w="sm" len="sm"/>
                <a:tailEnd type="arrow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6" name="Line 102"/>
              <xdr:cNvSpPr>
                <a:spLocks noChangeShapeType="1"/>
              </xdr:cNvSpPr>
            </xdr:nvSpPr>
            <xdr:spPr bwMode="auto">
              <a:xfrm flipH="1">
                <a:off x="1825625" y="9175750"/>
                <a:ext cx="1905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</xdr:grpSp>
    </xdr:grpSp>
    <xdr:clientData/>
  </xdr:twoCellAnchor>
  <xdr:twoCellAnchor>
    <xdr:from>
      <xdr:col>12</xdr:col>
      <xdr:colOff>123825</xdr:colOff>
      <xdr:row>30</xdr:row>
      <xdr:rowOff>0</xdr:rowOff>
    </xdr:from>
    <xdr:to>
      <xdr:col>13</xdr:col>
      <xdr:colOff>514350</xdr:colOff>
      <xdr:row>33</xdr:row>
      <xdr:rowOff>57150</xdr:rowOff>
    </xdr:to>
    <xdr:grpSp>
      <xdr:nvGrpSpPr>
        <xdr:cNvPr id="105" name="Group 191"/>
        <xdr:cNvGrpSpPr>
          <a:grpSpLocks/>
        </xdr:cNvGrpSpPr>
      </xdr:nvGrpSpPr>
      <xdr:grpSpPr bwMode="auto">
        <a:xfrm>
          <a:off x="7677150" y="6924675"/>
          <a:ext cx="1000125" cy="742950"/>
          <a:chOff x="92" y="938"/>
          <a:chExt cx="121" cy="79"/>
        </a:xfrm>
      </xdr:grpSpPr>
      <xdr:sp macro="" textlink="">
        <xdr:nvSpPr>
          <xdr:cNvPr id="106" name="Line 192"/>
          <xdr:cNvSpPr>
            <a:spLocks noChangeShapeType="1"/>
          </xdr:cNvSpPr>
        </xdr:nvSpPr>
        <xdr:spPr bwMode="auto">
          <a:xfrm flipH="1">
            <a:off x="189" y="96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" name="Line 193"/>
          <xdr:cNvSpPr>
            <a:spLocks noChangeShapeType="1"/>
          </xdr:cNvSpPr>
        </xdr:nvSpPr>
        <xdr:spPr bwMode="auto">
          <a:xfrm flipV="1">
            <a:off x="154" y="986"/>
            <a:ext cx="0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Line 194"/>
          <xdr:cNvSpPr>
            <a:spLocks noChangeShapeType="1"/>
          </xdr:cNvSpPr>
        </xdr:nvSpPr>
        <xdr:spPr bwMode="auto">
          <a:xfrm flipV="1">
            <a:off x="186" y="987"/>
            <a:ext cx="0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Line 195"/>
          <xdr:cNvSpPr>
            <a:spLocks noChangeShapeType="1"/>
          </xdr:cNvSpPr>
        </xdr:nvSpPr>
        <xdr:spPr bwMode="auto">
          <a:xfrm flipV="1">
            <a:off x="155" y="991"/>
            <a:ext cx="3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" name="Line 196"/>
          <xdr:cNvSpPr>
            <a:spLocks noChangeShapeType="1"/>
          </xdr:cNvSpPr>
        </xdr:nvSpPr>
        <xdr:spPr bwMode="auto">
          <a:xfrm flipV="1">
            <a:off x="200" y="965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Line 197"/>
          <xdr:cNvSpPr>
            <a:spLocks noChangeShapeType="1"/>
          </xdr:cNvSpPr>
        </xdr:nvSpPr>
        <xdr:spPr bwMode="auto">
          <a:xfrm flipV="1">
            <a:off x="162" y="964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Text 583"/>
          <xdr:cNvSpPr txBox="1">
            <a:spLocks noChangeArrowheads="1"/>
          </xdr:cNvSpPr>
        </xdr:nvSpPr>
        <xdr:spPr bwMode="auto">
          <a:xfrm>
            <a:off x="200" y="1007"/>
            <a:ext cx="13" cy="10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  <xdr:grpSp>
        <xdr:nvGrpSpPr>
          <xdr:cNvPr id="113" name="Group 199"/>
          <xdr:cNvGrpSpPr>
            <a:grpSpLocks/>
          </xdr:cNvGrpSpPr>
        </xdr:nvGrpSpPr>
        <xdr:grpSpPr bwMode="auto">
          <a:xfrm>
            <a:off x="92" y="938"/>
            <a:ext cx="93" cy="77"/>
            <a:chOff x="13440000" y="15720000"/>
            <a:chExt cx="1901469" cy="1540000"/>
          </a:xfrm>
        </xdr:grpSpPr>
        <xdr:grpSp>
          <xdr:nvGrpSpPr>
            <xdr:cNvPr id="115" name="Group 200"/>
            <xdr:cNvGrpSpPr>
              <a:grpSpLocks/>
            </xdr:cNvGrpSpPr>
          </xdr:nvGrpSpPr>
          <xdr:grpSpPr bwMode="auto">
            <a:xfrm>
              <a:off x="13440000" y="15720000"/>
              <a:ext cx="1901469" cy="1540000"/>
              <a:chOff x="13440000" y="15720000"/>
              <a:chExt cx="1901469" cy="1540000"/>
            </a:xfrm>
          </xdr:grpSpPr>
          <xdr:sp macro="" textlink="">
            <xdr:nvSpPr>
              <xdr:cNvPr id="117" name="Line 201"/>
              <xdr:cNvSpPr>
                <a:spLocks noChangeShapeType="1"/>
              </xdr:cNvSpPr>
            </xdr:nvSpPr>
            <xdr:spPr bwMode="auto">
              <a:xfrm flipV="1">
                <a:off x="13440000" y="15720000"/>
                <a:ext cx="6200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18" name="Line 202"/>
              <xdr:cNvSpPr>
                <a:spLocks noChangeShapeType="1"/>
              </xdr:cNvSpPr>
            </xdr:nvSpPr>
            <xdr:spPr bwMode="auto">
              <a:xfrm>
                <a:off x="14060000" y="15720000"/>
                <a:ext cx="0" cy="154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19" name="Line 203"/>
              <xdr:cNvSpPr>
                <a:spLocks noChangeShapeType="1"/>
              </xdr:cNvSpPr>
            </xdr:nvSpPr>
            <xdr:spPr bwMode="auto">
              <a:xfrm>
                <a:off x="14060001" y="15819999"/>
                <a:ext cx="1281468" cy="314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20" name="Line 204"/>
              <xdr:cNvSpPr>
                <a:spLocks noChangeShapeType="1"/>
              </xdr:cNvSpPr>
            </xdr:nvSpPr>
            <xdr:spPr bwMode="auto">
              <a:xfrm flipH="1">
                <a:off x="15340000" y="15820000"/>
                <a:ext cx="0" cy="82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21" name="Line 205"/>
              <xdr:cNvSpPr>
                <a:spLocks noChangeShapeType="1"/>
              </xdr:cNvSpPr>
            </xdr:nvSpPr>
            <xdr:spPr bwMode="auto">
              <a:xfrm flipV="1">
                <a:off x="14060000" y="16260000"/>
                <a:ext cx="12600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22" name="Line 206"/>
              <xdr:cNvSpPr>
                <a:spLocks noChangeShapeType="1"/>
              </xdr:cNvSpPr>
            </xdr:nvSpPr>
            <xdr:spPr bwMode="auto">
              <a:xfrm flipH="1">
                <a:off x="14700000" y="16280000"/>
                <a:ext cx="0" cy="36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16" name="Line 207"/>
            <xdr:cNvSpPr>
              <a:spLocks noChangeShapeType="1"/>
            </xdr:cNvSpPr>
          </xdr:nvSpPr>
          <xdr:spPr bwMode="auto">
            <a:xfrm flipH="1" flipV="1">
              <a:off x="14720000" y="16640000"/>
              <a:ext cx="6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14" name="Line 208"/>
          <xdr:cNvSpPr>
            <a:spLocks noChangeShapeType="1"/>
          </xdr:cNvSpPr>
        </xdr:nvSpPr>
        <xdr:spPr bwMode="auto">
          <a:xfrm flipV="1">
            <a:off x="124" y="975"/>
            <a:ext cx="2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0</xdr:colOff>
      <xdr:row>34</xdr:row>
      <xdr:rowOff>161925</xdr:rowOff>
    </xdr:from>
    <xdr:to>
      <xdr:col>13</xdr:col>
      <xdr:colOff>657225</xdr:colOff>
      <xdr:row>38</xdr:row>
      <xdr:rowOff>171450</xdr:rowOff>
    </xdr:to>
    <xdr:grpSp>
      <xdr:nvGrpSpPr>
        <xdr:cNvPr id="123" name="Group 168"/>
        <xdr:cNvGrpSpPr>
          <a:grpSpLocks/>
        </xdr:cNvGrpSpPr>
      </xdr:nvGrpSpPr>
      <xdr:grpSpPr bwMode="auto">
        <a:xfrm>
          <a:off x="7553325" y="8001000"/>
          <a:ext cx="1219200" cy="923925"/>
          <a:chOff x="0" y="12606618"/>
          <a:chExt cx="1416423" cy="937933"/>
        </a:xfrm>
      </xdr:grpSpPr>
      <xdr:sp macro="" textlink="">
        <xdr:nvSpPr>
          <xdr:cNvPr id="124" name="Line 128"/>
          <xdr:cNvSpPr>
            <a:spLocks noChangeShapeType="1"/>
          </xdr:cNvSpPr>
        </xdr:nvSpPr>
        <xdr:spPr bwMode="auto">
          <a:xfrm>
            <a:off x="263338" y="13094074"/>
            <a:ext cx="326651" cy="56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Line 146"/>
          <xdr:cNvSpPr>
            <a:spLocks noChangeShapeType="1"/>
          </xdr:cNvSpPr>
        </xdr:nvSpPr>
        <xdr:spPr bwMode="auto">
          <a:xfrm>
            <a:off x="1025898" y="12912539"/>
            <a:ext cx="2190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26" name="Group 171"/>
          <xdr:cNvGrpSpPr>
            <a:grpSpLocks/>
          </xdr:cNvGrpSpPr>
        </xdr:nvGrpSpPr>
        <xdr:grpSpPr bwMode="auto">
          <a:xfrm>
            <a:off x="0" y="12606618"/>
            <a:ext cx="1416423" cy="937933"/>
            <a:chOff x="0" y="12606618"/>
            <a:chExt cx="1416423" cy="937933"/>
          </a:xfrm>
        </xdr:grpSpPr>
        <xdr:sp macro="" textlink="">
          <xdr:nvSpPr>
            <xdr:cNvPr id="127" name="Line 150"/>
            <xdr:cNvSpPr>
              <a:spLocks noChangeShapeType="1"/>
            </xdr:cNvSpPr>
          </xdr:nvSpPr>
          <xdr:spPr bwMode="auto">
            <a:xfrm flipV="1">
              <a:off x="761439" y="12606618"/>
              <a:ext cx="0" cy="1630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8" name="Line 151"/>
            <xdr:cNvSpPr>
              <a:spLocks noChangeShapeType="1"/>
            </xdr:cNvSpPr>
          </xdr:nvSpPr>
          <xdr:spPr bwMode="auto">
            <a:xfrm flipV="1">
              <a:off x="988359" y="12606618"/>
              <a:ext cx="0" cy="1630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grpSp>
          <xdr:nvGrpSpPr>
            <xdr:cNvPr id="129" name="Group 174"/>
            <xdr:cNvGrpSpPr>
              <a:grpSpLocks/>
            </xdr:cNvGrpSpPr>
          </xdr:nvGrpSpPr>
          <xdr:grpSpPr bwMode="auto">
            <a:xfrm>
              <a:off x="0" y="12635193"/>
              <a:ext cx="1416423" cy="909358"/>
              <a:chOff x="0" y="12635193"/>
              <a:chExt cx="1416423" cy="909358"/>
            </a:xfrm>
          </xdr:grpSpPr>
          <xdr:sp macro="" textlink="">
            <xdr:nvSpPr>
              <xdr:cNvPr id="131" name="Line 125"/>
              <xdr:cNvSpPr>
                <a:spLocks noChangeShapeType="1"/>
              </xdr:cNvSpPr>
            </xdr:nvSpPr>
            <xdr:spPr bwMode="auto">
              <a:xfrm flipV="1">
                <a:off x="0" y="12807764"/>
                <a:ext cx="276225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32" name="Line 126"/>
              <xdr:cNvSpPr>
                <a:spLocks noChangeShapeType="1"/>
              </xdr:cNvSpPr>
            </xdr:nvSpPr>
            <xdr:spPr bwMode="auto">
              <a:xfrm>
                <a:off x="266700" y="12807764"/>
                <a:ext cx="0" cy="73678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33" name="Line 127"/>
              <xdr:cNvSpPr>
                <a:spLocks noChangeShapeType="1"/>
              </xdr:cNvSpPr>
            </xdr:nvSpPr>
            <xdr:spPr bwMode="auto">
              <a:xfrm flipV="1">
                <a:off x="295275" y="13219580"/>
                <a:ext cx="275664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arrow" w="sm" len="sm"/>
                <a:tailEnd type="arrow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34" name="Line 129"/>
              <xdr:cNvSpPr>
                <a:spLocks noChangeShapeType="1"/>
              </xdr:cNvSpPr>
            </xdr:nvSpPr>
            <xdr:spPr bwMode="auto">
              <a:xfrm>
                <a:off x="266700" y="12836339"/>
                <a:ext cx="304239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35" name="Line 130"/>
              <xdr:cNvSpPr>
                <a:spLocks noChangeShapeType="1"/>
              </xdr:cNvSpPr>
            </xdr:nvSpPr>
            <xdr:spPr bwMode="auto">
              <a:xfrm flipV="1">
                <a:off x="1235448" y="13132734"/>
                <a:ext cx="0" cy="18209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36" name="Rectangle 132"/>
              <xdr:cNvSpPr>
                <a:spLocks noChangeArrowheads="1"/>
              </xdr:cNvSpPr>
            </xdr:nvSpPr>
            <xdr:spPr bwMode="auto">
              <a:xfrm>
                <a:off x="570939" y="12807764"/>
                <a:ext cx="416859" cy="33449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37" name="Rectangle 133"/>
              <xdr:cNvSpPr>
                <a:spLocks noChangeArrowheads="1"/>
              </xdr:cNvSpPr>
            </xdr:nvSpPr>
            <xdr:spPr bwMode="auto">
              <a:xfrm>
                <a:off x="761439" y="12807764"/>
                <a:ext cx="226359" cy="104775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138" name="Line 137"/>
              <xdr:cNvSpPr>
                <a:spLocks noChangeShapeType="1"/>
              </xdr:cNvSpPr>
            </xdr:nvSpPr>
            <xdr:spPr bwMode="auto">
              <a:xfrm flipH="1">
                <a:off x="570938" y="13217338"/>
                <a:ext cx="353546" cy="224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39" name="Line 138"/>
              <xdr:cNvSpPr>
                <a:spLocks noChangeShapeType="1"/>
              </xdr:cNvSpPr>
            </xdr:nvSpPr>
            <xdr:spPr bwMode="auto">
              <a:xfrm flipV="1">
                <a:off x="1311648" y="12817289"/>
                <a:ext cx="0" cy="952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40" name="Line 139"/>
              <xdr:cNvSpPr>
                <a:spLocks noChangeShapeType="1"/>
              </xdr:cNvSpPr>
            </xdr:nvSpPr>
            <xdr:spPr bwMode="auto">
              <a:xfrm>
                <a:off x="1302123" y="13037484"/>
                <a:ext cx="0" cy="8572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41" name="Line 140"/>
              <xdr:cNvSpPr>
                <a:spLocks noChangeShapeType="1"/>
              </xdr:cNvSpPr>
            </xdr:nvSpPr>
            <xdr:spPr bwMode="auto">
              <a:xfrm>
                <a:off x="1025898" y="13132734"/>
                <a:ext cx="390525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42" name="Line 141"/>
              <xdr:cNvSpPr>
                <a:spLocks noChangeShapeType="1"/>
              </xdr:cNvSpPr>
            </xdr:nvSpPr>
            <xdr:spPr bwMode="auto">
              <a:xfrm>
                <a:off x="1016373" y="12807764"/>
                <a:ext cx="40005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43" name="Line 143"/>
              <xdr:cNvSpPr>
                <a:spLocks noChangeShapeType="1"/>
              </xdr:cNvSpPr>
            </xdr:nvSpPr>
            <xdr:spPr bwMode="auto">
              <a:xfrm flipV="1">
                <a:off x="1070161" y="12933830"/>
                <a:ext cx="0" cy="86845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44" name="Line 144"/>
              <xdr:cNvSpPr>
                <a:spLocks noChangeShapeType="1"/>
              </xdr:cNvSpPr>
            </xdr:nvSpPr>
            <xdr:spPr bwMode="auto">
              <a:xfrm>
                <a:off x="1083048" y="12673293"/>
                <a:ext cx="0" cy="12494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45" name="Line 149"/>
              <xdr:cNvSpPr>
                <a:spLocks noChangeShapeType="1"/>
              </xdr:cNvSpPr>
            </xdr:nvSpPr>
            <xdr:spPr bwMode="auto">
              <a:xfrm>
                <a:off x="656664" y="12635193"/>
                <a:ext cx="85725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46" name="Line 134"/>
              <xdr:cNvSpPr>
                <a:spLocks noChangeShapeType="1"/>
              </xdr:cNvSpPr>
            </xdr:nvSpPr>
            <xdr:spPr bwMode="auto">
              <a:xfrm>
                <a:off x="571500" y="13170834"/>
                <a:ext cx="0" cy="191621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47" name="Line 135"/>
              <xdr:cNvSpPr>
                <a:spLocks noChangeShapeType="1"/>
              </xdr:cNvSpPr>
            </xdr:nvSpPr>
            <xdr:spPr bwMode="auto">
              <a:xfrm>
                <a:off x="988359" y="13161309"/>
                <a:ext cx="0" cy="18209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148" name="Line 148"/>
              <xdr:cNvSpPr>
                <a:spLocks noChangeShapeType="1"/>
              </xdr:cNvSpPr>
            </xdr:nvSpPr>
            <xdr:spPr bwMode="auto">
              <a:xfrm flipH="1">
                <a:off x="999565" y="12640235"/>
                <a:ext cx="762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130" name="Line 149"/>
            <xdr:cNvSpPr>
              <a:spLocks noChangeShapeType="1"/>
            </xdr:cNvSpPr>
          </xdr:nvSpPr>
          <xdr:spPr bwMode="auto">
            <a:xfrm>
              <a:off x="890867" y="13211734"/>
              <a:ext cx="8572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3</xdr:col>
      <xdr:colOff>622935</xdr:colOff>
      <xdr:row>29</xdr:row>
      <xdr:rowOff>0</xdr:rowOff>
    </xdr:from>
    <xdr:to>
      <xdr:col>4</xdr:col>
      <xdr:colOff>695462</xdr:colOff>
      <xdr:row>29</xdr:row>
      <xdr:rowOff>161925</xdr:rowOff>
    </xdr:to>
    <xdr:sp macro="" textlink="">
      <xdr:nvSpPr>
        <xdr:cNvPr id="149" name="Text 219"/>
        <xdr:cNvSpPr txBox="1">
          <a:spLocks noChangeArrowheads="1"/>
        </xdr:cNvSpPr>
      </xdr:nvSpPr>
      <xdr:spPr bwMode="auto">
        <a:xfrm>
          <a:off x="2318385" y="6696075"/>
          <a:ext cx="910727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</a:t>
          </a:r>
        </a:p>
      </xdr:txBody>
    </xdr:sp>
    <xdr:clientData/>
  </xdr:twoCellAnchor>
  <xdr:twoCellAnchor>
    <xdr:from>
      <xdr:col>3</xdr:col>
      <xdr:colOff>622935</xdr:colOff>
      <xdr:row>35</xdr:row>
      <xdr:rowOff>9525</xdr:rowOff>
    </xdr:from>
    <xdr:to>
      <xdr:col>4</xdr:col>
      <xdr:colOff>695462</xdr:colOff>
      <xdr:row>35</xdr:row>
      <xdr:rowOff>171450</xdr:rowOff>
    </xdr:to>
    <xdr:sp macro="" textlink="">
      <xdr:nvSpPr>
        <xdr:cNvPr id="150" name="Text 219"/>
        <xdr:cNvSpPr txBox="1">
          <a:spLocks noChangeArrowheads="1"/>
        </xdr:cNvSpPr>
      </xdr:nvSpPr>
      <xdr:spPr bwMode="auto">
        <a:xfrm>
          <a:off x="2318385" y="8077200"/>
          <a:ext cx="910727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</a:t>
          </a:r>
        </a:p>
      </xdr:txBody>
    </xdr:sp>
    <xdr:clientData/>
  </xdr:twoCellAnchor>
  <xdr:twoCellAnchor>
    <xdr:from>
      <xdr:col>3</xdr:col>
      <xdr:colOff>622935</xdr:colOff>
      <xdr:row>40</xdr:row>
      <xdr:rowOff>180975</xdr:rowOff>
    </xdr:from>
    <xdr:to>
      <xdr:col>4</xdr:col>
      <xdr:colOff>695462</xdr:colOff>
      <xdr:row>41</xdr:row>
      <xdr:rowOff>114300</xdr:rowOff>
    </xdr:to>
    <xdr:sp macro="" textlink="">
      <xdr:nvSpPr>
        <xdr:cNvPr id="151" name="Text 219"/>
        <xdr:cNvSpPr txBox="1">
          <a:spLocks noChangeArrowheads="1"/>
        </xdr:cNvSpPr>
      </xdr:nvSpPr>
      <xdr:spPr bwMode="auto">
        <a:xfrm>
          <a:off x="2318385" y="9391650"/>
          <a:ext cx="910727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</a:t>
          </a:r>
        </a:p>
      </xdr:txBody>
    </xdr:sp>
    <xdr:clientData/>
  </xdr:twoCellAnchor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152" name="Rectangle 151"/>
        <xdr:cNvSpPr>
          <a:spLocks noChangeArrowheads="1"/>
        </xdr:cNvSpPr>
      </xdr:nvSpPr>
      <xdr:spPr bwMode="auto">
        <a:xfrm>
          <a:off x="54959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153" name="Rectangle 152"/>
        <xdr:cNvSpPr>
          <a:spLocks noChangeArrowheads="1"/>
        </xdr:cNvSpPr>
      </xdr:nvSpPr>
      <xdr:spPr bwMode="auto">
        <a:xfrm>
          <a:off x="53625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154" name="Rectangle 153"/>
        <xdr:cNvSpPr>
          <a:spLocks noChangeArrowheads="1"/>
        </xdr:cNvSpPr>
      </xdr:nvSpPr>
      <xdr:spPr bwMode="auto">
        <a:xfrm>
          <a:off x="53721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155" name="Rectangle 154"/>
        <xdr:cNvSpPr>
          <a:spLocks noChangeArrowheads="1"/>
        </xdr:cNvSpPr>
      </xdr:nvSpPr>
      <xdr:spPr bwMode="auto">
        <a:xfrm>
          <a:off x="53435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156" name="Rectangle 155"/>
        <xdr:cNvSpPr>
          <a:spLocks noChangeArrowheads="1"/>
        </xdr:cNvSpPr>
      </xdr:nvSpPr>
      <xdr:spPr bwMode="auto">
        <a:xfrm>
          <a:off x="54864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157" name="Rectangle 255"/>
        <xdr:cNvSpPr>
          <a:spLocks noChangeArrowheads="1"/>
        </xdr:cNvSpPr>
      </xdr:nvSpPr>
      <xdr:spPr bwMode="auto">
        <a:xfrm>
          <a:off x="54959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158" name="Rectangle 256"/>
        <xdr:cNvSpPr>
          <a:spLocks noChangeArrowheads="1"/>
        </xdr:cNvSpPr>
      </xdr:nvSpPr>
      <xdr:spPr bwMode="auto">
        <a:xfrm>
          <a:off x="53625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159" name="Rectangle 257"/>
        <xdr:cNvSpPr>
          <a:spLocks noChangeArrowheads="1"/>
        </xdr:cNvSpPr>
      </xdr:nvSpPr>
      <xdr:spPr bwMode="auto">
        <a:xfrm>
          <a:off x="53721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160" name="Rectangle 258"/>
        <xdr:cNvSpPr>
          <a:spLocks noChangeArrowheads="1"/>
        </xdr:cNvSpPr>
      </xdr:nvSpPr>
      <xdr:spPr bwMode="auto">
        <a:xfrm>
          <a:off x="53435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161" name="Rectangle 259"/>
        <xdr:cNvSpPr>
          <a:spLocks noChangeArrowheads="1"/>
        </xdr:cNvSpPr>
      </xdr:nvSpPr>
      <xdr:spPr bwMode="auto">
        <a:xfrm>
          <a:off x="54864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</xdr:col>
      <xdr:colOff>723900</xdr:colOff>
      <xdr:row>40</xdr:row>
      <xdr:rowOff>123825</xdr:rowOff>
    </xdr:from>
    <xdr:to>
      <xdr:col>15</xdr:col>
      <xdr:colOff>371475</xdr:colOff>
      <xdr:row>40</xdr:row>
      <xdr:rowOff>123825</xdr:rowOff>
    </xdr:to>
    <xdr:cxnSp macro="">
      <xdr:nvCxnSpPr>
        <xdr:cNvPr id="163" name="Straight Arrow Connector 162"/>
        <xdr:cNvCxnSpPr/>
      </xdr:nvCxnSpPr>
      <xdr:spPr bwMode="auto">
        <a:xfrm>
          <a:off x="6867525" y="9334500"/>
          <a:ext cx="2886075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0.64043</cdr:x>
      <cdr:y>0.64951</cdr:y>
    </cdr:from>
    <cdr:to>
      <cdr:x>0.87628</cdr:x>
      <cdr:y>0.6702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4191482"/>
          <a:ext cx="1381590" cy="1334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0.64043</cdr:x>
      <cdr:y>0.54384</cdr:y>
    </cdr:from>
    <cdr:to>
      <cdr:x>0.92325</cdr:x>
      <cdr:y>0.56897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3510104"/>
          <a:ext cx="165675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561975</xdr:colOff>
      <xdr:row>16</xdr:row>
      <xdr:rowOff>85726</xdr:rowOff>
    </xdr:from>
    <xdr:to>
      <xdr:col>0</xdr:col>
      <xdr:colOff>1104900</xdr:colOff>
      <xdr:row>17</xdr:row>
      <xdr:rowOff>28576</xdr:rowOff>
    </xdr:to>
    <xdr:sp macro="" textlink="">
      <xdr:nvSpPr>
        <xdr:cNvPr id="3" name="RPM11"/>
        <xdr:cNvSpPr txBox="1">
          <a:spLocks noChangeArrowheads="1"/>
        </xdr:cNvSpPr>
      </xdr:nvSpPr>
      <xdr:spPr bwMode="auto">
        <a:xfrm>
          <a:off x="561975" y="3981451"/>
          <a:ext cx="54292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0</xdr:col>
      <xdr:colOff>552450</xdr:colOff>
      <xdr:row>18</xdr:row>
      <xdr:rowOff>28576</xdr:rowOff>
    </xdr:from>
    <xdr:to>
      <xdr:col>0</xdr:col>
      <xdr:colOff>1095375</xdr:colOff>
      <xdr:row>18</xdr:row>
      <xdr:rowOff>209551</xdr:rowOff>
    </xdr:to>
    <xdr:sp macro="" textlink="">
      <xdr:nvSpPr>
        <xdr:cNvPr id="4" name="RPM10"/>
        <xdr:cNvSpPr txBox="1">
          <a:spLocks noChangeArrowheads="1"/>
        </xdr:cNvSpPr>
      </xdr:nvSpPr>
      <xdr:spPr bwMode="auto">
        <a:xfrm>
          <a:off x="552450" y="4400551"/>
          <a:ext cx="54292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3596</a:t>
          </a:r>
        </a:p>
      </xdr:txBody>
    </xdr:sp>
    <xdr:clientData/>
  </xdr:twoCellAnchor>
  <xdr:twoCellAnchor>
    <xdr:from>
      <xdr:col>0</xdr:col>
      <xdr:colOff>542925</xdr:colOff>
      <xdr:row>19</xdr:row>
      <xdr:rowOff>200026</xdr:rowOff>
    </xdr:from>
    <xdr:to>
      <xdr:col>0</xdr:col>
      <xdr:colOff>1085850</xdr:colOff>
      <xdr:row>20</xdr:row>
      <xdr:rowOff>142876</xdr:rowOff>
    </xdr:to>
    <xdr:sp macro="" textlink="">
      <xdr:nvSpPr>
        <xdr:cNvPr id="5" name="RPM9"/>
        <xdr:cNvSpPr txBox="1">
          <a:spLocks noChangeArrowheads="1"/>
        </xdr:cNvSpPr>
      </xdr:nvSpPr>
      <xdr:spPr bwMode="auto">
        <a:xfrm>
          <a:off x="542925" y="4810126"/>
          <a:ext cx="54292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3592</a:t>
          </a:r>
        </a:p>
      </xdr:txBody>
    </xdr:sp>
    <xdr:clientData/>
  </xdr:twoCellAnchor>
  <xdr:twoCellAnchor>
    <xdr:from>
      <xdr:col>0</xdr:col>
      <xdr:colOff>542925</xdr:colOff>
      <xdr:row>21</xdr:row>
      <xdr:rowOff>133351</xdr:rowOff>
    </xdr:from>
    <xdr:to>
      <xdr:col>0</xdr:col>
      <xdr:colOff>1085850</xdr:colOff>
      <xdr:row>22</xdr:row>
      <xdr:rowOff>76201</xdr:rowOff>
    </xdr:to>
    <xdr:sp macro="" textlink="">
      <xdr:nvSpPr>
        <xdr:cNvPr id="6" name="RPM8"/>
        <xdr:cNvSpPr txBox="1">
          <a:spLocks noChangeArrowheads="1"/>
        </xdr:cNvSpPr>
      </xdr:nvSpPr>
      <xdr:spPr bwMode="auto">
        <a:xfrm>
          <a:off x="542925" y="5219701"/>
          <a:ext cx="54292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3588</a:t>
          </a:r>
        </a:p>
      </xdr:txBody>
    </xdr:sp>
    <xdr:clientData/>
  </xdr:twoCellAnchor>
  <xdr:twoCellAnchor>
    <xdr:from>
      <xdr:col>0</xdr:col>
      <xdr:colOff>552450</xdr:colOff>
      <xdr:row>23</xdr:row>
      <xdr:rowOff>66676</xdr:rowOff>
    </xdr:from>
    <xdr:to>
      <xdr:col>0</xdr:col>
      <xdr:colOff>1095375</xdr:colOff>
      <xdr:row>24</xdr:row>
      <xdr:rowOff>9526</xdr:rowOff>
    </xdr:to>
    <xdr:sp macro="" textlink="">
      <xdr:nvSpPr>
        <xdr:cNvPr id="7" name="RPM7"/>
        <xdr:cNvSpPr txBox="1">
          <a:spLocks noChangeArrowheads="1"/>
        </xdr:cNvSpPr>
      </xdr:nvSpPr>
      <xdr:spPr bwMode="auto">
        <a:xfrm>
          <a:off x="552450" y="5629276"/>
          <a:ext cx="54292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3584</a:t>
          </a:r>
        </a:p>
      </xdr:txBody>
    </xdr:sp>
    <xdr:clientData/>
  </xdr:twoCellAnchor>
  <xdr:twoCellAnchor>
    <xdr:from>
      <xdr:col>0</xdr:col>
      <xdr:colOff>552450</xdr:colOff>
      <xdr:row>25</xdr:row>
      <xdr:rowOff>1</xdr:rowOff>
    </xdr:from>
    <xdr:to>
      <xdr:col>0</xdr:col>
      <xdr:colOff>1095375</xdr:colOff>
      <xdr:row>25</xdr:row>
      <xdr:rowOff>180976</xdr:rowOff>
    </xdr:to>
    <xdr:sp macro="" textlink="">
      <xdr:nvSpPr>
        <xdr:cNvPr id="8" name="RPM6"/>
        <xdr:cNvSpPr txBox="1">
          <a:spLocks noChangeArrowheads="1"/>
        </xdr:cNvSpPr>
      </xdr:nvSpPr>
      <xdr:spPr bwMode="auto">
        <a:xfrm>
          <a:off x="552450" y="6038851"/>
          <a:ext cx="54292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3580</a:t>
          </a:r>
        </a:p>
      </xdr:txBody>
    </xdr:sp>
    <xdr:clientData/>
  </xdr:twoCellAnchor>
  <xdr:twoCellAnchor>
    <xdr:from>
      <xdr:col>0</xdr:col>
      <xdr:colOff>542925</xdr:colOff>
      <xdr:row>26</xdr:row>
      <xdr:rowOff>171451</xdr:rowOff>
    </xdr:from>
    <xdr:to>
      <xdr:col>0</xdr:col>
      <xdr:colOff>1085850</xdr:colOff>
      <xdr:row>27</xdr:row>
      <xdr:rowOff>114301</xdr:rowOff>
    </xdr:to>
    <xdr:sp macro="" textlink="">
      <xdr:nvSpPr>
        <xdr:cNvPr id="9" name="RPM5"/>
        <xdr:cNvSpPr txBox="1">
          <a:spLocks noChangeArrowheads="1"/>
        </xdr:cNvSpPr>
      </xdr:nvSpPr>
      <xdr:spPr bwMode="auto">
        <a:xfrm>
          <a:off x="542925" y="6448426"/>
          <a:ext cx="54292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3576</a:t>
          </a:r>
        </a:p>
      </xdr:txBody>
    </xdr:sp>
    <xdr:clientData/>
  </xdr:twoCellAnchor>
  <xdr:twoCellAnchor>
    <xdr:from>
      <xdr:col>0</xdr:col>
      <xdr:colOff>533400</xdr:colOff>
      <xdr:row>28</xdr:row>
      <xdr:rowOff>104776</xdr:rowOff>
    </xdr:from>
    <xdr:to>
      <xdr:col>0</xdr:col>
      <xdr:colOff>1076325</xdr:colOff>
      <xdr:row>29</xdr:row>
      <xdr:rowOff>47626</xdr:rowOff>
    </xdr:to>
    <xdr:sp macro="" textlink="">
      <xdr:nvSpPr>
        <xdr:cNvPr id="10" name="RPM4"/>
        <xdr:cNvSpPr txBox="1">
          <a:spLocks noChangeArrowheads="1"/>
        </xdr:cNvSpPr>
      </xdr:nvSpPr>
      <xdr:spPr bwMode="auto">
        <a:xfrm>
          <a:off x="533400" y="6858001"/>
          <a:ext cx="54292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3572</a:t>
          </a:r>
        </a:p>
      </xdr:txBody>
    </xdr:sp>
    <xdr:clientData/>
  </xdr:twoCellAnchor>
  <xdr:twoCellAnchor>
    <xdr:from>
      <xdr:col>0</xdr:col>
      <xdr:colOff>533400</xdr:colOff>
      <xdr:row>30</xdr:row>
      <xdr:rowOff>47626</xdr:rowOff>
    </xdr:from>
    <xdr:to>
      <xdr:col>0</xdr:col>
      <xdr:colOff>1076325</xdr:colOff>
      <xdr:row>30</xdr:row>
      <xdr:rowOff>228601</xdr:rowOff>
    </xdr:to>
    <xdr:sp macro="" textlink="">
      <xdr:nvSpPr>
        <xdr:cNvPr id="11" name="RPM3"/>
        <xdr:cNvSpPr txBox="1">
          <a:spLocks noChangeArrowheads="1"/>
        </xdr:cNvSpPr>
      </xdr:nvSpPr>
      <xdr:spPr bwMode="auto">
        <a:xfrm>
          <a:off x="533400" y="7277101"/>
          <a:ext cx="54292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3568</a:t>
          </a:r>
        </a:p>
      </xdr:txBody>
    </xdr:sp>
    <xdr:clientData/>
  </xdr:twoCellAnchor>
  <xdr:twoCellAnchor>
    <xdr:from>
      <xdr:col>0</xdr:col>
      <xdr:colOff>533400</xdr:colOff>
      <xdr:row>31</xdr:row>
      <xdr:rowOff>219076</xdr:rowOff>
    </xdr:from>
    <xdr:to>
      <xdr:col>0</xdr:col>
      <xdr:colOff>1076325</xdr:colOff>
      <xdr:row>32</xdr:row>
      <xdr:rowOff>161926</xdr:rowOff>
    </xdr:to>
    <xdr:sp macro="" textlink="">
      <xdr:nvSpPr>
        <xdr:cNvPr id="12" name="RPM2"/>
        <xdr:cNvSpPr txBox="1">
          <a:spLocks noChangeArrowheads="1"/>
        </xdr:cNvSpPr>
      </xdr:nvSpPr>
      <xdr:spPr bwMode="auto">
        <a:xfrm>
          <a:off x="533400" y="7686676"/>
          <a:ext cx="54292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3564</a:t>
          </a:r>
        </a:p>
      </xdr:txBody>
    </xdr:sp>
    <xdr:clientData/>
  </xdr:twoCellAnchor>
  <xdr:twoCellAnchor>
    <xdr:from>
      <xdr:col>0</xdr:col>
      <xdr:colOff>542925</xdr:colOff>
      <xdr:row>33</xdr:row>
      <xdr:rowOff>152401</xdr:rowOff>
    </xdr:from>
    <xdr:to>
      <xdr:col>0</xdr:col>
      <xdr:colOff>1085850</xdr:colOff>
      <xdr:row>34</xdr:row>
      <xdr:rowOff>95251</xdr:rowOff>
    </xdr:to>
    <xdr:sp macro="" textlink="">
      <xdr:nvSpPr>
        <xdr:cNvPr id="13" name="RPM1"/>
        <xdr:cNvSpPr txBox="1">
          <a:spLocks noChangeArrowheads="1"/>
        </xdr:cNvSpPr>
      </xdr:nvSpPr>
      <xdr:spPr bwMode="auto">
        <a:xfrm>
          <a:off x="542925" y="8096251"/>
          <a:ext cx="54292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3560</a:t>
          </a:r>
        </a:p>
      </xdr:txBody>
    </xdr:sp>
    <xdr:clientData/>
  </xdr:twoCellAnchor>
  <xdr:twoCellAnchor>
    <xdr:from>
      <xdr:col>0</xdr:col>
      <xdr:colOff>209550</xdr:colOff>
      <xdr:row>24</xdr:row>
      <xdr:rowOff>114300</xdr:rowOff>
    </xdr:from>
    <xdr:to>
      <xdr:col>0</xdr:col>
      <xdr:colOff>419100</xdr:colOff>
      <xdr:row>26</xdr:row>
      <xdr:rowOff>219075</xdr:rowOff>
    </xdr:to>
    <xdr:sp macro="" textlink="">
      <xdr:nvSpPr>
        <xdr:cNvPr id="14" name="RPM"/>
        <xdr:cNvSpPr txBox="1">
          <a:spLocks noChangeArrowheads="1"/>
        </xdr:cNvSpPr>
      </xdr:nvSpPr>
      <xdr:spPr bwMode="auto">
        <a:xfrm>
          <a:off x="209550" y="5915025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352424</xdr:colOff>
      <xdr:row>16</xdr:row>
      <xdr:rowOff>85726</xdr:rowOff>
    </xdr:from>
    <xdr:to>
      <xdr:col>5</xdr:col>
      <xdr:colOff>771524</xdr:colOff>
      <xdr:row>17</xdr:row>
      <xdr:rowOff>28576</xdr:rowOff>
    </xdr:to>
    <xdr:sp macro="" textlink="">
      <xdr:nvSpPr>
        <xdr:cNvPr id="15" name="Watts11"/>
        <xdr:cNvSpPr txBox="1">
          <a:spLocks noChangeArrowheads="1"/>
        </xdr:cNvSpPr>
      </xdr:nvSpPr>
      <xdr:spPr bwMode="auto">
        <a:xfrm>
          <a:off x="5924549" y="3981451"/>
          <a:ext cx="4191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853831</xdr:colOff>
      <xdr:row>25</xdr:row>
      <xdr:rowOff>190024</xdr:rowOff>
    </xdr:to>
    <xdr:sp macro="" textlink="">
      <xdr:nvSpPr>
        <xdr:cNvPr id="16" name="Watts6"/>
        <xdr:cNvSpPr txBox="1">
          <a:spLocks noChangeArrowheads="1"/>
        </xdr:cNvSpPr>
      </xdr:nvSpPr>
      <xdr:spPr bwMode="auto">
        <a:xfrm>
          <a:off x="5953125" y="6038850"/>
          <a:ext cx="472831" cy="19002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600</a:t>
          </a:r>
        </a:p>
      </xdr:txBody>
    </xdr:sp>
    <xdr:clientData/>
  </xdr:twoCellAnchor>
  <xdr:twoCellAnchor>
    <xdr:from>
      <xdr:col>5</xdr:col>
      <xdr:colOff>371474</xdr:colOff>
      <xdr:row>26</xdr:row>
      <xdr:rowOff>180976</xdr:rowOff>
    </xdr:from>
    <xdr:to>
      <xdr:col>5</xdr:col>
      <xdr:colOff>790574</xdr:colOff>
      <xdr:row>27</xdr:row>
      <xdr:rowOff>123826</xdr:rowOff>
    </xdr:to>
    <xdr:sp macro="" textlink="">
      <xdr:nvSpPr>
        <xdr:cNvPr id="17" name="Watts5"/>
        <xdr:cNvSpPr txBox="1">
          <a:spLocks noChangeArrowheads="1"/>
        </xdr:cNvSpPr>
      </xdr:nvSpPr>
      <xdr:spPr bwMode="auto">
        <a:xfrm>
          <a:off x="5943599" y="6457951"/>
          <a:ext cx="4191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480</a:t>
          </a:r>
        </a:p>
      </xdr:txBody>
    </xdr:sp>
    <xdr:clientData/>
  </xdr:twoCellAnchor>
  <xdr:twoCellAnchor>
    <xdr:from>
      <xdr:col>5</xdr:col>
      <xdr:colOff>380999</xdr:colOff>
      <xdr:row>28</xdr:row>
      <xdr:rowOff>114301</xdr:rowOff>
    </xdr:from>
    <xdr:to>
      <xdr:col>5</xdr:col>
      <xdr:colOff>800099</xdr:colOff>
      <xdr:row>29</xdr:row>
      <xdr:rowOff>57151</xdr:rowOff>
    </xdr:to>
    <xdr:sp macro="" textlink="">
      <xdr:nvSpPr>
        <xdr:cNvPr id="18" name="Watts4"/>
        <xdr:cNvSpPr txBox="1">
          <a:spLocks noChangeArrowheads="1"/>
        </xdr:cNvSpPr>
      </xdr:nvSpPr>
      <xdr:spPr bwMode="auto">
        <a:xfrm>
          <a:off x="5953124" y="6867526"/>
          <a:ext cx="4191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</a:t>
          </a:r>
        </a:p>
      </xdr:txBody>
    </xdr:sp>
    <xdr:clientData/>
  </xdr:twoCellAnchor>
  <xdr:twoCellAnchor>
    <xdr:from>
      <xdr:col>5</xdr:col>
      <xdr:colOff>371474</xdr:colOff>
      <xdr:row>30</xdr:row>
      <xdr:rowOff>38101</xdr:rowOff>
    </xdr:from>
    <xdr:to>
      <xdr:col>5</xdr:col>
      <xdr:colOff>790574</xdr:colOff>
      <xdr:row>30</xdr:row>
      <xdr:rowOff>219076</xdr:rowOff>
    </xdr:to>
    <xdr:sp macro="" textlink="">
      <xdr:nvSpPr>
        <xdr:cNvPr id="19" name="Watts3"/>
        <xdr:cNvSpPr txBox="1">
          <a:spLocks noChangeArrowheads="1"/>
        </xdr:cNvSpPr>
      </xdr:nvSpPr>
      <xdr:spPr bwMode="auto">
        <a:xfrm>
          <a:off x="5943599" y="7267576"/>
          <a:ext cx="4191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240</a:t>
          </a:r>
        </a:p>
      </xdr:txBody>
    </xdr:sp>
    <xdr:clientData/>
  </xdr:twoCellAnchor>
  <xdr:twoCellAnchor>
    <xdr:from>
      <xdr:col>5</xdr:col>
      <xdr:colOff>371474</xdr:colOff>
      <xdr:row>31</xdr:row>
      <xdr:rowOff>219076</xdr:rowOff>
    </xdr:from>
    <xdr:to>
      <xdr:col>5</xdr:col>
      <xdr:colOff>790574</xdr:colOff>
      <xdr:row>32</xdr:row>
      <xdr:rowOff>161926</xdr:rowOff>
    </xdr:to>
    <xdr:sp macro="" textlink="">
      <xdr:nvSpPr>
        <xdr:cNvPr id="20" name="Watts2"/>
        <xdr:cNvSpPr txBox="1">
          <a:spLocks noChangeArrowheads="1"/>
        </xdr:cNvSpPr>
      </xdr:nvSpPr>
      <xdr:spPr bwMode="auto">
        <a:xfrm>
          <a:off x="5943599" y="7686676"/>
          <a:ext cx="4191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</a:t>
          </a:r>
        </a:p>
      </xdr:txBody>
    </xdr:sp>
    <xdr:clientData/>
  </xdr:twoCellAnchor>
  <xdr:twoCellAnchor>
    <xdr:from>
      <xdr:col>5</xdr:col>
      <xdr:colOff>790575</xdr:colOff>
      <xdr:row>22</xdr:row>
      <xdr:rowOff>228600</xdr:rowOff>
    </xdr:from>
    <xdr:to>
      <xdr:col>5</xdr:col>
      <xdr:colOff>1009650</xdr:colOff>
      <xdr:row>28</xdr:row>
      <xdr:rowOff>123825</xdr:rowOff>
    </xdr:to>
    <xdr:sp macro="" textlink="">
      <xdr:nvSpPr>
        <xdr:cNvPr id="21" name="Input Watts"/>
        <xdr:cNvSpPr txBox="1">
          <a:spLocks noChangeArrowheads="1"/>
        </xdr:cNvSpPr>
      </xdr:nvSpPr>
      <xdr:spPr bwMode="auto">
        <a:xfrm>
          <a:off x="6362700" y="555307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371474</xdr:colOff>
      <xdr:row>23</xdr:row>
      <xdr:rowOff>66676</xdr:rowOff>
    </xdr:from>
    <xdr:to>
      <xdr:col>5</xdr:col>
      <xdr:colOff>790574</xdr:colOff>
      <xdr:row>24</xdr:row>
      <xdr:rowOff>9526</xdr:rowOff>
    </xdr:to>
    <xdr:sp macro="" textlink="">
      <xdr:nvSpPr>
        <xdr:cNvPr id="22" name="Watts7"/>
        <xdr:cNvSpPr txBox="1">
          <a:spLocks noChangeArrowheads="1"/>
        </xdr:cNvSpPr>
      </xdr:nvSpPr>
      <xdr:spPr bwMode="auto">
        <a:xfrm>
          <a:off x="5943599" y="5629276"/>
          <a:ext cx="4191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720</a:t>
          </a:r>
        </a:p>
      </xdr:txBody>
    </xdr:sp>
    <xdr:clientData/>
  </xdr:twoCellAnchor>
  <xdr:twoCellAnchor>
    <xdr:from>
      <xdr:col>5</xdr:col>
      <xdr:colOff>371474</xdr:colOff>
      <xdr:row>21</xdr:row>
      <xdr:rowOff>133351</xdr:rowOff>
    </xdr:from>
    <xdr:to>
      <xdr:col>5</xdr:col>
      <xdr:colOff>790574</xdr:colOff>
      <xdr:row>22</xdr:row>
      <xdr:rowOff>76201</xdr:rowOff>
    </xdr:to>
    <xdr:sp macro="" textlink="">
      <xdr:nvSpPr>
        <xdr:cNvPr id="23" name="Watts8"/>
        <xdr:cNvSpPr txBox="1">
          <a:spLocks noChangeArrowheads="1"/>
        </xdr:cNvSpPr>
      </xdr:nvSpPr>
      <xdr:spPr bwMode="auto">
        <a:xfrm>
          <a:off x="5943599" y="5219701"/>
          <a:ext cx="4191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840</a:t>
          </a:r>
        </a:p>
      </xdr:txBody>
    </xdr:sp>
    <xdr:clientData/>
  </xdr:twoCellAnchor>
  <xdr:twoCellAnchor>
    <xdr:from>
      <xdr:col>5</xdr:col>
      <xdr:colOff>361949</xdr:colOff>
      <xdr:row>19</xdr:row>
      <xdr:rowOff>200026</xdr:rowOff>
    </xdr:from>
    <xdr:to>
      <xdr:col>5</xdr:col>
      <xdr:colOff>781049</xdr:colOff>
      <xdr:row>20</xdr:row>
      <xdr:rowOff>142876</xdr:rowOff>
    </xdr:to>
    <xdr:sp macro="" textlink="">
      <xdr:nvSpPr>
        <xdr:cNvPr id="24" name="Watts9"/>
        <xdr:cNvSpPr txBox="1">
          <a:spLocks noChangeArrowheads="1"/>
        </xdr:cNvSpPr>
      </xdr:nvSpPr>
      <xdr:spPr bwMode="auto">
        <a:xfrm>
          <a:off x="5934074" y="4810126"/>
          <a:ext cx="4191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960</a:t>
          </a:r>
        </a:p>
      </xdr:txBody>
    </xdr:sp>
    <xdr:clientData/>
  </xdr:twoCellAnchor>
  <xdr:twoCellAnchor>
    <xdr:from>
      <xdr:col>5</xdr:col>
      <xdr:colOff>361949</xdr:colOff>
      <xdr:row>18</xdr:row>
      <xdr:rowOff>28576</xdr:rowOff>
    </xdr:from>
    <xdr:to>
      <xdr:col>5</xdr:col>
      <xdr:colOff>781049</xdr:colOff>
      <xdr:row>18</xdr:row>
      <xdr:rowOff>209551</xdr:rowOff>
    </xdr:to>
    <xdr:sp macro="" textlink="">
      <xdr:nvSpPr>
        <xdr:cNvPr id="25" name="Watts10"/>
        <xdr:cNvSpPr txBox="1">
          <a:spLocks noChangeArrowheads="1"/>
        </xdr:cNvSpPr>
      </xdr:nvSpPr>
      <xdr:spPr bwMode="auto">
        <a:xfrm>
          <a:off x="5934074" y="4400551"/>
          <a:ext cx="41910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1080</a:t>
          </a:r>
        </a:p>
      </xdr:txBody>
    </xdr:sp>
    <xdr:clientData/>
  </xdr:twoCellAnchor>
  <xdr:twoCellAnchor>
    <xdr:from>
      <xdr:col>2</xdr:col>
      <xdr:colOff>409575</xdr:colOff>
      <xdr:row>16</xdr:row>
      <xdr:rowOff>200025</xdr:rowOff>
    </xdr:from>
    <xdr:to>
      <xdr:col>2</xdr:col>
      <xdr:colOff>752475</xdr:colOff>
      <xdr:row>17</xdr:row>
      <xdr:rowOff>104775</xdr:rowOff>
    </xdr:to>
    <xdr:sp macro="" textlink="" fLocksText="0">
      <xdr:nvSpPr>
        <xdr:cNvPr id="26" name="Text Box 26"/>
        <xdr:cNvSpPr txBox="1">
          <a:spLocks noChangeArrowheads="1"/>
        </xdr:cNvSpPr>
      </xdr:nvSpPr>
      <xdr:spPr bwMode="auto">
        <a:xfrm>
          <a:off x="2638425" y="409575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4</xdr:col>
      <xdr:colOff>314325</xdr:colOff>
      <xdr:row>20</xdr:row>
      <xdr:rowOff>76200</xdr:rowOff>
    </xdr:from>
    <xdr:to>
      <xdr:col>4</xdr:col>
      <xdr:colOff>647700</xdr:colOff>
      <xdr:row>21</xdr:row>
      <xdr:rowOff>9525</xdr:rowOff>
    </xdr:to>
    <xdr:sp macro="" textlink="" fLocksText="0">
      <xdr:nvSpPr>
        <xdr:cNvPr id="27" name="Text Box 27"/>
        <xdr:cNvSpPr txBox="1">
          <a:spLocks noChangeArrowheads="1"/>
        </xdr:cNvSpPr>
      </xdr:nvSpPr>
      <xdr:spPr bwMode="auto">
        <a:xfrm>
          <a:off x="4772025" y="4924425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2</xdr:col>
      <xdr:colOff>495300</xdr:colOff>
      <xdr:row>22</xdr:row>
      <xdr:rowOff>209550</xdr:rowOff>
    </xdr:from>
    <xdr:to>
      <xdr:col>2</xdr:col>
      <xdr:colOff>838200</xdr:colOff>
      <xdr:row>23</xdr:row>
      <xdr:rowOff>114300</xdr:rowOff>
    </xdr:to>
    <xdr:sp macro="" textlink="" fLocksText="0">
      <xdr:nvSpPr>
        <xdr:cNvPr id="28" name="Speed"/>
        <xdr:cNvSpPr txBox="1">
          <a:spLocks noChangeArrowheads="1"/>
        </xdr:cNvSpPr>
      </xdr:nvSpPr>
      <xdr:spPr bwMode="auto">
        <a:xfrm>
          <a:off x="2724150" y="553402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1000125</xdr:colOff>
      <xdr:row>28</xdr:row>
      <xdr:rowOff>38100</xdr:rowOff>
    </xdr:from>
    <xdr:to>
      <xdr:col>2</xdr:col>
      <xdr:colOff>323850</xdr:colOff>
      <xdr:row>28</xdr:row>
      <xdr:rowOff>190500</xdr:rowOff>
    </xdr:to>
    <xdr:sp macro="" textlink="" fLocksText="0">
      <xdr:nvSpPr>
        <xdr:cNvPr id="29" name="Amps"/>
        <xdr:cNvSpPr txBox="1">
          <a:spLocks noChangeArrowheads="1"/>
        </xdr:cNvSpPr>
      </xdr:nvSpPr>
      <xdr:spPr bwMode="auto">
        <a:xfrm>
          <a:off x="2114550" y="679132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476250</xdr:colOff>
      <xdr:row>32</xdr:row>
      <xdr:rowOff>123825</xdr:rowOff>
    </xdr:from>
    <xdr:to>
      <xdr:col>2</xdr:col>
      <xdr:colOff>981075</xdr:colOff>
      <xdr:row>33</xdr:row>
      <xdr:rowOff>38100</xdr:rowOff>
    </xdr:to>
    <xdr:sp macro="" textlink="" fLocksText="0">
      <xdr:nvSpPr>
        <xdr:cNvPr id="30" name="Watts"/>
        <xdr:cNvSpPr txBox="1">
          <a:spLocks noChangeArrowheads="1"/>
        </xdr:cNvSpPr>
      </xdr:nvSpPr>
      <xdr:spPr bwMode="auto">
        <a:xfrm>
          <a:off x="2705100" y="7829550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361950</xdr:colOff>
      <xdr:row>33</xdr:row>
      <xdr:rowOff>142875</xdr:rowOff>
    </xdr:from>
    <xdr:to>
      <xdr:col>5</xdr:col>
      <xdr:colOff>752475</xdr:colOff>
      <xdr:row>34</xdr:row>
      <xdr:rowOff>104775</xdr:rowOff>
    </xdr:to>
    <xdr:sp macro="" textlink="">
      <xdr:nvSpPr>
        <xdr:cNvPr id="31" name="Watts1"/>
        <xdr:cNvSpPr txBox="1">
          <a:spLocks noChangeArrowheads="1"/>
        </xdr:cNvSpPr>
      </xdr:nvSpPr>
      <xdr:spPr bwMode="auto">
        <a:xfrm>
          <a:off x="5934075" y="8086725"/>
          <a:ext cx="39052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581025</xdr:colOff>
      <xdr:row>16</xdr:row>
      <xdr:rowOff>85725</xdr:rowOff>
    </xdr:from>
    <xdr:to>
      <xdr:col>0</xdr:col>
      <xdr:colOff>1104900</xdr:colOff>
      <xdr:row>17</xdr:row>
      <xdr:rowOff>57150</xdr:rowOff>
    </xdr:to>
    <xdr:sp macro="" textlink="">
      <xdr:nvSpPr>
        <xdr:cNvPr id="3" name="RPM11"/>
        <xdr:cNvSpPr txBox="1">
          <a:spLocks noChangeArrowheads="1"/>
        </xdr:cNvSpPr>
      </xdr:nvSpPr>
      <xdr:spPr bwMode="auto">
        <a:xfrm>
          <a:off x="581025" y="39814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0</xdr:col>
      <xdr:colOff>571500</xdr:colOff>
      <xdr:row>18</xdr:row>
      <xdr:rowOff>28575</xdr:rowOff>
    </xdr:from>
    <xdr:to>
      <xdr:col>0</xdr:col>
      <xdr:colOff>1095375</xdr:colOff>
      <xdr:row>19</xdr:row>
      <xdr:rowOff>0</xdr:rowOff>
    </xdr:to>
    <xdr:sp macro="" textlink="">
      <xdr:nvSpPr>
        <xdr:cNvPr id="4" name="RPM10"/>
        <xdr:cNvSpPr txBox="1">
          <a:spLocks noChangeArrowheads="1"/>
        </xdr:cNvSpPr>
      </xdr:nvSpPr>
      <xdr:spPr bwMode="auto">
        <a:xfrm>
          <a:off x="571500" y="44005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3596</a:t>
          </a:r>
        </a:p>
      </xdr:txBody>
    </xdr:sp>
    <xdr:clientData/>
  </xdr:twoCellAnchor>
  <xdr:twoCellAnchor>
    <xdr:from>
      <xdr:col>0</xdr:col>
      <xdr:colOff>561975</xdr:colOff>
      <xdr:row>19</xdr:row>
      <xdr:rowOff>200025</xdr:rowOff>
    </xdr:from>
    <xdr:to>
      <xdr:col>0</xdr:col>
      <xdr:colOff>1085850</xdr:colOff>
      <xdr:row>20</xdr:row>
      <xdr:rowOff>171450</xdr:rowOff>
    </xdr:to>
    <xdr:sp macro="" textlink="">
      <xdr:nvSpPr>
        <xdr:cNvPr id="5" name="RPM9"/>
        <xdr:cNvSpPr txBox="1">
          <a:spLocks noChangeArrowheads="1"/>
        </xdr:cNvSpPr>
      </xdr:nvSpPr>
      <xdr:spPr bwMode="auto">
        <a:xfrm>
          <a:off x="561975" y="481012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3592</a:t>
          </a:r>
        </a:p>
      </xdr:txBody>
    </xdr:sp>
    <xdr:clientData/>
  </xdr:twoCellAnchor>
  <xdr:twoCellAnchor>
    <xdr:from>
      <xdr:col>0</xdr:col>
      <xdr:colOff>561975</xdr:colOff>
      <xdr:row>21</xdr:row>
      <xdr:rowOff>133350</xdr:rowOff>
    </xdr:from>
    <xdr:to>
      <xdr:col>0</xdr:col>
      <xdr:colOff>1085850</xdr:colOff>
      <xdr:row>22</xdr:row>
      <xdr:rowOff>104775</xdr:rowOff>
    </xdr:to>
    <xdr:sp macro="" textlink="">
      <xdr:nvSpPr>
        <xdr:cNvPr id="6" name="RPM8"/>
        <xdr:cNvSpPr txBox="1">
          <a:spLocks noChangeArrowheads="1"/>
        </xdr:cNvSpPr>
      </xdr:nvSpPr>
      <xdr:spPr bwMode="auto">
        <a:xfrm>
          <a:off x="561975" y="521970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3588</a:t>
          </a:r>
        </a:p>
      </xdr:txBody>
    </xdr:sp>
    <xdr:clientData/>
  </xdr:twoCellAnchor>
  <xdr:twoCellAnchor>
    <xdr:from>
      <xdr:col>0</xdr:col>
      <xdr:colOff>571500</xdr:colOff>
      <xdr:row>23</xdr:row>
      <xdr:rowOff>66675</xdr:rowOff>
    </xdr:from>
    <xdr:to>
      <xdr:col>0</xdr:col>
      <xdr:colOff>1095375</xdr:colOff>
      <xdr:row>24</xdr:row>
      <xdr:rowOff>38100</xdr:rowOff>
    </xdr:to>
    <xdr:sp macro="" textlink="">
      <xdr:nvSpPr>
        <xdr:cNvPr id="7" name="RPM7"/>
        <xdr:cNvSpPr txBox="1">
          <a:spLocks noChangeArrowheads="1"/>
        </xdr:cNvSpPr>
      </xdr:nvSpPr>
      <xdr:spPr bwMode="auto">
        <a:xfrm>
          <a:off x="571500" y="562927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3584</a:t>
          </a:r>
        </a:p>
      </xdr:txBody>
    </xdr:sp>
    <xdr:clientData/>
  </xdr:twoCellAnchor>
  <xdr:twoCellAnchor>
    <xdr:from>
      <xdr:col>0</xdr:col>
      <xdr:colOff>571500</xdr:colOff>
      <xdr:row>25</xdr:row>
      <xdr:rowOff>0</xdr:rowOff>
    </xdr:from>
    <xdr:to>
      <xdr:col>0</xdr:col>
      <xdr:colOff>1095375</xdr:colOff>
      <xdr:row>25</xdr:row>
      <xdr:rowOff>209550</xdr:rowOff>
    </xdr:to>
    <xdr:sp macro="" textlink="">
      <xdr:nvSpPr>
        <xdr:cNvPr id="8" name="RPM6"/>
        <xdr:cNvSpPr txBox="1">
          <a:spLocks noChangeArrowheads="1"/>
        </xdr:cNvSpPr>
      </xdr:nvSpPr>
      <xdr:spPr bwMode="auto">
        <a:xfrm>
          <a:off x="571500" y="60388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3580</a:t>
          </a:r>
        </a:p>
      </xdr:txBody>
    </xdr:sp>
    <xdr:clientData/>
  </xdr:twoCellAnchor>
  <xdr:twoCellAnchor>
    <xdr:from>
      <xdr:col>0</xdr:col>
      <xdr:colOff>561975</xdr:colOff>
      <xdr:row>26</xdr:row>
      <xdr:rowOff>171450</xdr:rowOff>
    </xdr:from>
    <xdr:to>
      <xdr:col>0</xdr:col>
      <xdr:colOff>1085850</xdr:colOff>
      <xdr:row>27</xdr:row>
      <xdr:rowOff>142875</xdr:rowOff>
    </xdr:to>
    <xdr:sp macro="" textlink="">
      <xdr:nvSpPr>
        <xdr:cNvPr id="9" name="RPM5"/>
        <xdr:cNvSpPr txBox="1">
          <a:spLocks noChangeArrowheads="1"/>
        </xdr:cNvSpPr>
      </xdr:nvSpPr>
      <xdr:spPr bwMode="auto">
        <a:xfrm>
          <a:off x="561975" y="644842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3576</a:t>
          </a:r>
        </a:p>
      </xdr:txBody>
    </xdr:sp>
    <xdr:clientData/>
  </xdr:twoCellAnchor>
  <xdr:twoCellAnchor>
    <xdr:from>
      <xdr:col>0</xdr:col>
      <xdr:colOff>552450</xdr:colOff>
      <xdr:row>28</xdr:row>
      <xdr:rowOff>104775</xdr:rowOff>
    </xdr:from>
    <xdr:to>
      <xdr:col>0</xdr:col>
      <xdr:colOff>1076325</xdr:colOff>
      <xdr:row>29</xdr:row>
      <xdr:rowOff>76200</xdr:rowOff>
    </xdr:to>
    <xdr:sp macro="" textlink="">
      <xdr:nvSpPr>
        <xdr:cNvPr id="10" name="RPM4"/>
        <xdr:cNvSpPr txBox="1">
          <a:spLocks noChangeArrowheads="1"/>
        </xdr:cNvSpPr>
      </xdr:nvSpPr>
      <xdr:spPr bwMode="auto">
        <a:xfrm>
          <a:off x="552450" y="685800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3572</a:t>
          </a:r>
        </a:p>
      </xdr:txBody>
    </xdr:sp>
    <xdr:clientData/>
  </xdr:twoCellAnchor>
  <xdr:twoCellAnchor>
    <xdr:from>
      <xdr:col>0</xdr:col>
      <xdr:colOff>552450</xdr:colOff>
      <xdr:row>30</xdr:row>
      <xdr:rowOff>47625</xdr:rowOff>
    </xdr:from>
    <xdr:to>
      <xdr:col>0</xdr:col>
      <xdr:colOff>1076325</xdr:colOff>
      <xdr:row>31</xdr:row>
      <xdr:rowOff>19050</xdr:rowOff>
    </xdr:to>
    <xdr:sp macro="" textlink="">
      <xdr:nvSpPr>
        <xdr:cNvPr id="11" name="RPM3"/>
        <xdr:cNvSpPr txBox="1">
          <a:spLocks noChangeArrowheads="1"/>
        </xdr:cNvSpPr>
      </xdr:nvSpPr>
      <xdr:spPr bwMode="auto">
        <a:xfrm>
          <a:off x="552450" y="727710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3568</a:t>
          </a:r>
        </a:p>
      </xdr:txBody>
    </xdr:sp>
    <xdr:clientData/>
  </xdr:twoCellAnchor>
  <xdr:twoCellAnchor>
    <xdr:from>
      <xdr:col>0</xdr:col>
      <xdr:colOff>552450</xdr:colOff>
      <xdr:row>31</xdr:row>
      <xdr:rowOff>219075</xdr:rowOff>
    </xdr:from>
    <xdr:to>
      <xdr:col>0</xdr:col>
      <xdr:colOff>1076325</xdr:colOff>
      <xdr:row>32</xdr:row>
      <xdr:rowOff>190500</xdr:rowOff>
    </xdr:to>
    <xdr:sp macro="" textlink="">
      <xdr:nvSpPr>
        <xdr:cNvPr id="12" name="RPM2"/>
        <xdr:cNvSpPr txBox="1">
          <a:spLocks noChangeArrowheads="1"/>
        </xdr:cNvSpPr>
      </xdr:nvSpPr>
      <xdr:spPr bwMode="auto">
        <a:xfrm>
          <a:off x="552450" y="768667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3564</a:t>
          </a:r>
        </a:p>
      </xdr:txBody>
    </xdr:sp>
    <xdr:clientData/>
  </xdr:twoCellAnchor>
  <xdr:twoCellAnchor>
    <xdr:from>
      <xdr:col>0</xdr:col>
      <xdr:colOff>561975</xdr:colOff>
      <xdr:row>33</xdr:row>
      <xdr:rowOff>152400</xdr:rowOff>
    </xdr:from>
    <xdr:to>
      <xdr:col>0</xdr:col>
      <xdr:colOff>1085850</xdr:colOff>
      <xdr:row>34</xdr:row>
      <xdr:rowOff>123825</xdr:rowOff>
    </xdr:to>
    <xdr:sp macro="" textlink="">
      <xdr:nvSpPr>
        <xdr:cNvPr id="13" name="RPM1"/>
        <xdr:cNvSpPr txBox="1">
          <a:spLocks noChangeArrowheads="1"/>
        </xdr:cNvSpPr>
      </xdr:nvSpPr>
      <xdr:spPr bwMode="auto">
        <a:xfrm>
          <a:off x="561975" y="80962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3560</a:t>
          </a:r>
        </a:p>
      </xdr:txBody>
    </xdr:sp>
    <xdr:clientData/>
  </xdr:twoCellAnchor>
  <xdr:twoCellAnchor>
    <xdr:from>
      <xdr:col>0</xdr:col>
      <xdr:colOff>190500</xdr:colOff>
      <xdr:row>24</xdr:row>
      <xdr:rowOff>133350</xdr:rowOff>
    </xdr:from>
    <xdr:to>
      <xdr:col>0</xdr:col>
      <xdr:colOff>400050</xdr:colOff>
      <xdr:row>27</xdr:row>
      <xdr:rowOff>0</xdr:rowOff>
    </xdr:to>
    <xdr:sp macro="" textlink="">
      <xdr:nvSpPr>
        <xdr:cNvPr id="14" name="RPM"/>
        <xdr:cNvSpPr txBox="1">
          <a:spLocks noChangeArrowheads="1"/>
        </xdr:cNvSpPr>
      </xdr:nvSpPr>
      <xdr:spPr bwMode="auto">
        <a:xfrm>
          <a:off x="190500" y="5934075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352424</xdr:colOff>
      <xdr:row>16</xdr:row>
      <xdr:rowOff>85726</xdr:rowOff>
    </xdr:from>
    <xdr:to>
      <xdr:col>5</xdr:col>
      <xdr:colOff>828674</xdr:colOff>
      <xdr:row>17</xdr:row>
      <xdr:rowOff>9526</xdr:rowOff>
    </xdr:to>
    <xdr:sp macro="" textlink="">
      <xdr:nvSpPr>
        <xdr:cNvPr id="15" name="Watts11"/>
        <xdr:cNvSpPr txBox="1">
          <a:spLocks noChangeArrowheads="1"/>
        </xdr:cNvSpPr>
      </xdr:nvSpPr>
      <xdr:spPr bwMode="auto">
        <a:xfrm>
          <a:off x="5924549" y="398145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918308</xdr:colOff>
      <xdr:row>25</xdr:row>
      <xdr:rowOff>170021</xdr:rowOff>
    </xdr:to>
    <xdr:sp macro="" textlink="">
      <xdr:nvSpPr>
        <xdr:cNvPr id="16" name="Watts6"/>
        <xdr:cNvSpPr txBox="1">
          <a:spLocks noChangeArrowheads="1"/>
        </xdr:cNvSpPr>
      </xdr:nvSpPr>
      <xdr:spPr bwMode="auto">
        <a:xfrm>
          <a:off x="5953125" y="6038850"/>
          <a:ext cx="537308" cy="17002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600</a:t>
          </a:r>
        </a:p>
      </xdr:txBody>
    </xdr:sp>
    <xdr:clientData/>
  </xdr:twoCellAnchor>
  <xdr:twoCellAnchor>
    <xdr:from>
      <xdr:col>5</xdr:col>
      <xdr:colOff>371474</xdr:colOff>
      <xdr:row>26</xdr:row>
      <xdr:rowOff>180976</xdr:rowOff>
    </xdr:from>
    <xdr:to>
      <xdr:col>5</xdr:col>
      <xdr:colOff>847724</xdr:colOff>
      <xdr:row>27</xdr:row>
      <xdr:rowOff>104776</xdr:rowOff>
    </xdr:to>
    <xdr:sp macro="" textlink="">
      <xdr:nvSpPr>
        <xdr:cNvPr id="17" name="Watts5"/>
        <xdr:cNvSpPr txBox="1">
          <a:spLocks noChangeArrowheads="1"/>
        </xdr:cNvSpPr>
      </xdr:nvSpPr>
      <xdr:spPr bwMode="auto">
        <a:xfrm>
          <a:off x="5943599" y="645795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480</a:t>
          </a:r>
        </a:p>
      </xdr:txBody>
    </xdr:sp>
    <xdr:clientData/>
  </xdr:twoCellAnchor>
  <xdr:twoCellAnchor>
    <xdr:from>
      <xdr:col>5</xdr:col>
      <xdr:colOff>380999</xdr:colOff>
      <xdr:row>28</xdr:row>
      <xdr:rowOff>114301</xdr:rowOff>
    </xdr:from>
    <xdr:to>
      <xdr:col>5</xdr:col>
      <xdr:colOff>857249</xdr:colOff>
      <xdr:row>29</xdr:row>
      <xdr:rowOff>38101</xdr:rowOff>
    </xdr:to>
    <xdr:sp macro="" textlink="">
      <xdr:nvSpPr>
        <xdr:cNvPr id="18" name="Watts4"/>
        <xdr:cNvSpPr txBox="1">
          <a:spLocks noChangeArrowheads="1"/>
        </xdr:cNvSpPr>
      </xdr:nvSpPr>
      <xdr:spPr bwMode="auto">
        <a:xfrm>
          <a:off x="5953124" y="686752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</a:t>
          </a:r>
        </a:p>
      </xdr:txBody>
    </xdr:sp>
    <xdr:clientData/>
  </xdr:twoCellAnchor>
  <xdr:twoCellAnchor>
    <xdr:from>
      <xdr:col>5</xdr:col>
      <xdr:colOff>371474</xdr:colOff>
      <xdr:row>30</xdr:row>
      <xdr:rowOff>38101</xdr:rowOff>
    </xdr:from>
    <xdr:to>
      <xdr:col>5</xdr:col>
      <xdr:colOff>847724</xdr:colOff>
      <xdr:row>30</xdr:row>
      <xdr:rowOff>200026</xdr:rowOff>
    </xdr:to>
    <xdr:sp macro="" textlink="">
      <xdr:nvSpPr>
        <xdr:cNvPr id="19" name="Watts3"/>
        <xdr:cNvSpPr txBox="1">
          <a:spLocks noChangeArrowheads="1"/>
        </xdr:cNvSpPr>
      </xdr:nvSpPr>
      <xdr:spPr bwMode="auto">
        <a:xfrm>
          <a:off x="5943599" y="726757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240</a:t>
          </a:r>
        </a:p>
      </xdr:txBody>
    </xdr:sp>
    <xdr:clientData/>
  </xdr:twoCellAnchor>
  <xdr:twoCellAnchor>
    <xdr:from>
      <xdr:col>5</xdr:col>
      <xdr:colOff>371474</xdr:colOff>
      <xdr:row>31</xdr:row>
      <xdr:rowOff>219076</xdr:rowOff>
    </xdr:from>
    <xdr:to>
      <xdr:col>5</xdr:col>
      <xdr:colOff>847724</xdr:colOff>
      <xdr:row>32</xdr:row>
      <xdr:rowOff>142876</xdr:rowOff>
    </xdr:to>
    <xdr:sp macro="" textlink="">
      <xdr:nvSpPr>
        <xdr:cNvPr id="20" name="Watts2"/>
        <xdr:cNvSpPr txBox="1">
          <a:spLocks noChangeArrowheads="1"/>
        </xdr:cNvSpPr>
      </xdr:nvSpPr>
      <xdr:spPr bwMode="auto">
        <a:xfrm>
          <a:off x="5943599" y="768667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</a:t>
          </a:r>
        </a:p>
      </xdr:txBody>
    </xdr:sp>
    <xdr:clientData/>
  </xdr:twoCellAnchor>
  <xdr:twoCellAnchor>
    <xdr:from>
      <xdr:col>5</xdr:col>
      <xdr:colOff>828675</xdr:colOff>
      <xdr:row>22</xdr:row>
      <xdr:rowOff>190500</xdr:rowOff>
    </xdr:from>
    <xdr:to>
      <xdr:col>5</xdr:col>
      <xdr:colOff>1047750</xdr:colOff>
      <xdr:row>28</xdr:row>
      <xdr:rowOff>85725</xdr:rowOff>
    </xdr:to>
    <xdr:sp macro="" textlink="">
      <xdr:nvSpPr>
        <xdr:cNvPr id="21" name="Input Watts"/>
        <xdr:cNvSpPr txBox="1">
          <a:spLocks noChangeArrowheads="1"/>
        </xdr:cNvSpPr>
      </xdr:nvSpPr>
      <xdr:spPr bwMode="auto">
        <a:xfrm>
          <a:off x="6400800" y="551497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371474</xdr:colOff>
      <xdr:row>23</xdr:row>
      <xdr:rowOff>66676</xdr:rowOff>
    </xdr:from>
    <xdr:to>
      <xdr:col>5</xdr:col>
      <xdr:colOff>847724</xdr:colOff>
      <xdr:row>23</xdr:row>
      <xdr:rowOff>228601</xdr:rowOff>
    </xdr:to>
    <xdr:sp macro="" textlink="">
      <xdr:nvSpPr>
        <xdr:cNvPr id="22" name="Watts7"/>
        <xdr:cNvSpPr txBox="1">
          <a:spLocks noChangeArrowheads="1"/>
        </xdr:cNvSpPr>
      </xdr:nvSpPr>
      <xdr:spPr bwMode="auto">
        <a:xfrm>
          <a:off x="5943599" y="562927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720</a:t>
          </a:r>
        </a:p>
      </xdr:txBody>
    </xdr:sp>
    <xdr:clientData/>
  </xdr:twoCellAnchor>
  <xdr:twoCellAnchor>
    <xdr:from>
      <xdr:col>5</xdr:col>
      <xdr:colOff>371474</xdr:colOff>
      <xdr:row>21</xdr:row>
      <xdr:rowOff>133351</xdr:rowOff>
    </xdr:from>
    <xdr:to>
      <xdr:col>5</xdr:col>
      <xdr:colOff>847724</xdr:colOff>
      <xdr:row>22</xdr:row>
      <xdr:rowOff>57151</xdr:rowOff>
    </xdr:to>
    <xdr:sp macro="" textlink="">
      <xdr:nvSpPr>
        <xdr:cNvPr id="23" name="Watts8"/>
        <xdr:cNvSpPr txBox="1">
          <a:spLocks noChangeArrowheads="1"/>
        </xdr:cNvSpPr>
      </xdr:nvSpPr>
      <xdr:spPr bwMode="auto">
        <a:xfrm>
          <a:off x="5943599" y="521970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840</a:t>
          </a:r>
        </a:p>
      </xdr:txBody>
    </xdr:sp>
    <xdr:clientData/>
  </xdr:twoCellAnchor>
  <xdr:twoCellAnchor>
    <xdr:from>
      <xdr:col>5</xdr:col>
      <xdr:colOff>361949</xdr:colOff>
      <xdr:row>19</xdr:row>
      <xdr:rowOff>200026</xdr:rowOff>
    </xdr:from>
    <xdr:to>
      <xdr:col>5</xdr:col>
      <xdr:colOff>838199</xdr:colOff>
      <xdr:row>20</xdr:row>
      <xdr:rowOff>123826</xdr:rowOff>
    </xdr:to>
    <xdr:sp macro="" textlink="">
      <xdr:nvSpPr>
        <xdr:cNvPr id="24" name="Watts9"/>
        <xdr:cNvSpPr txBox="1">
          <a:spLocks noChangeArrowheads="1"/>
        </xdr:cNvSpPr>
      </xdr:nvSpPr>
      <xdr:spPr bwMode="auto">
        <a:xfrm>
          <a:off x="5934074" y="481012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960</a:t>
          </a:r>
        </a:p>
      </xdr:txBody>
    </xdr:sp>
    <xdr:clientData/>
  </xdr:twoCellAnchor>
  <xdr:twoCellAnchor>
    <xdr:from>
      <xdr:col>5</xdr:col>
      <xdr:colOff>361949</xdr:colOff>
      <xdr:row>18</xdr:row>
      <xdr:rowOff>28576</xdr:rowOff>
    </xdr:from>
    <xdr:to>
      <xdr:col>5</xdr:col>
      <xdr:colOff>838199</xdr:colOff>
      <xdr:row>18</xdr:row>
      <xdr:rowOff>190501</xdr:rowOff>
    </xdr:to>
    <xdr:sp macro="" textlink="">
      <xdr:nvSpPr>
        <xdr:cNvPr id="25" name="Watts10"/>
        <xdr:cNvSpPr txBox="1">
          <a:spLocks noChangeArrowheads="1"/>
        </xdr:cNvSpPr>
      </xdr:nvSpPr>
      <xdr:spPr bwMode="auto">
        <a:xfrm>
          <a:off x="5934074" y="440055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1080</a:t>
          </a:r>
        </a:p>
      </xdr:txBody>
    </xdr:sp>
    <xdr:clientData/>
  </xdr:twoCellAnchor>
  <xdr:twoCellAnchor>
    <xdr:from>
      <xdr:col>2</xdr:col>
      <xdr:colOff>1057275</xdr:colOff>
      <xdr:row>16</xdr:row>
      <xdr:rowOff>190500</xdr:rowOff>
    </xdr:from>
    <xdr:to>
      <xdr:col>3</xdr:col>
      <xdr:colOff>285750</xdr:colOff>
      <xdr:row>17</xdr:row>
      <xdr:rowOff>95250</xdr:rowOff>
    </xdr:to>
    <xdr:sp macro="" textlink="" fLocksText="0">
      <xdr:nvSpPr>
        <xdr:cNvPr id="26" name="Text Box 26"/>
        <xdr:cNvSpPr txBox="1">
          <a:spLocks noChangeArrowheads="1"/>
        </xdr:cNvSpPr>
      </xdr:nvSpPr>
      <xdr:spPr bwMode="auto">
        <a:xfrm>
          <a:off x="3286125" y="408622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952500</xdr:colOff>
      <xdr:row>18</xdr:row>
      <xdr:rowOff>200025</xdr:rowOff>
    </xdr:from>
    <xdr:to>
      <xdr:col>4</xdr:col>
      <xdr:colOff>171450</xdr:colOff>
      <xdr:row>19</xdr:row>
      <xdr:rowOff>133350</xdr:rowOff>
    </xdr:to>
    <xdr:sp macro="" textlink="" fLocksText="0">
      <xdr:nvSpPr>
        <xdr:cNvPr id="27" name="Text Box 27"/>
        <xdr:cNvSpPr txBox="1">
          <a:spLocks noChangeArrowheads="1"/>
        </xdr:cNvSpPr>
      </xdr:nvSpPr>
      <xdr:spPr bwMode="auto">
        <a:xfrm>
          <a:off x="4295775" y="4572000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1</xdr:col>
      <xdr:colOff>714375</xdr:colOff>
      <xdr:row>21</xdr:row>
      <xdr:rowOff>200025</xdr:rowOff>
    </xdr:from>
    <xdr:to>
      <xdr:col>1</xdr:col>
      <xdr:colOff>1057275</xdr:colOff>
      <xdr:row>22</xdr:row>
      <xdr:rowOff>104775</xdr:rowOff>
    </xdr:to>
    <xdr:sp macro="" textlink="" fLocksText="0">
      <xdr:nvSpPr>
        <xdr:cNvPr id="28" name="Speed"/>
        <xdr:cNvSpPr txBox="1">
          <a:spLocks noChangeArrowheads="1"/>
        </xdr:cNvSpPr>
      </xdr:nvSpPr>
      <xdr:spPr bwMode="auto">
        <a:xfrm>
          <a:off x="1828800" y="528637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781050</xdr:colOff>
      <xdr:row>28</xdr:row>
      <xdr:rowOff>200025</xdr:rowOff>
    </xdr:from>
    <xdr:to>
      <xdr:col>2</xdr:col>
      <xdr:colOff>104775</xdr:colOff>
      <xdr:row>29</xdr:row>
      <xdr:rowOff>114300</xdr:rowOff>
    </xdr:to>
    <xdr:sp macro="" textlink="" fLocksText="0">
      <xdr:nvSpPr>
        <xdr:cNvPr id="29" name="Amps"/>
        <xdr:cNvSpPr txBox="1">
          <a:spLocks noChangeArrowheads="1"/>
        </xdr:cNvSpPr>
      </xdr:nvSpPr>
      <xdr:spPr bwMode="auto">
        <a:xfrm>
          <a:off x="1895475" y="6953250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66675</xdr:colOff>
      <xdr:row>32</xdr:row>
      <xdr:rowOff>152400</xdr:rowOff>
    </xdr:from>
    <xdr:to>
      <xdr:col>2</xdr:col>
      <xdr:colOff>571500</xdr:colOff>
      <xdr:row>33</xdr:row>
      <xdr:rowOff>66675</xdr:rowOff>
    </xdr:to>
    <xdr:sp macro="" textlink="" fLocksText="0">
      <xdr:nvSpPr>
        <xdr:cNvPr id="30" name="Watts"/>
        <xdr:cNvSpPr txBox="1">
          <a:spLocks noChangeArrowheads="1"/>
        </xdr:cNvSpPr>
      </xdr:nvSpPr>
      <xdr:spPr bwMode="auto">
        <a:xfrm>
          <a:off x="2295525" y="785812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361950</xdr:colOff>
      <xdr:row>33</xdr:row>
      <xdr:rowOff>142875</xdr:rowOff>
    </xdr:from>
    <xdr:to>
      <xdr:col>5</xdr:col>
      <xdr:colOff>752475</xdr:colOff>
      <xdr:row>34</xdr:row>
      <xdr:rowOff>104775</xdr:rowOff>
    </xdr:to>
    <xdr:sp macro="" textlink="">
      <xdr:nvSpPr>
        <xdr:cNvPr id="31" name="Watts1"/>
        <xdr:cNvSpPr txBox="1">
          <a:spLocks noChangeArrowheads="1"/>
        </xdr:cNvSpPr>
      </xdr:nvSpPr>
      <xdr:spPr bwMode="auto">
        <a:xfrm>
          <a:off x="5934075" y="8086725"/>
          <a:ext cx="39052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O113"/>
  <sheetViews>
    <sheetView topLeftCell="A18" zoomScale="95" zoomScaleNormal="95" workbookViewId="0">
      <selection activeCell="C29" sqref="C29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  <col min="12" max="12" width="13.42578125" bestFit="1" customWidth="1"/>
    <col min="13" max="13" width="9" bestFit="1" customWidth="1"/>
  </cols>
  <sheetData>
    <row r="1" spans="1:10" ht="18.75">
      <c r="A1" s="33" t="s">
        <v>167</v>
      </c>
      <c r="B1" s="2"/>
      <c r="C1" s="2"/>
      <c r="D1" s="2"/>
      <c r="E1" s="2"/>
      <c r="F1" s="2"/>
      <c r="G1" s="2"/>
      <c r="H1" s="2"/>
      <c r="I1" s="124" t="s">
        <v>0</v>
      </c>
      <c r="J1" s="124" t="s">
        <v>217</v>
      </c>
    </row>
    <row r="2" spans="1:10" ht="18.75">
      <c r="A2" s="33" t="s">
        <v>173</v>
      </c>
      <c r="B2" s="2"/>
      <c r="C2" s="2"/>
      <c r="D2" s="2"/>
      <c r="E2" s="2"/>
      <c r="F2" s="2"/>
      <c r="G2" s="2"/>
      <c r="H2" s="2"/>
      <c r="I2" s="2"/>
      <c r="J2" s="130" t="s">
        <v>218</v>
      </c>
    </row>
    <row r="3" spans="1:10" ht="15" customHeight="1" thickBot="1">
      <c r="A3" s="49" t="s">
        <v>1</v>
      </c>
      <c r="B3" s="96" t="s">
        <v>216</v>
      </c>
      <c r="C3" s="1"/>
      <c r="D3" s="49"/>
      <c r="E3" s="1"/>
      <c r="F3" s="1"/>
      <c r="G3" s="49" t="s">
        <v>2</v>
      </c>
      <c r="H3" s="171">
        <v>43945</v>
      </c>
      <c r="I3" s="49" t="s">
        <v>3</v>
      </c>
      <c r="J3" s="172">
        <v>0.47903935185185187</v>
      </c>
    </row>
    <row r="4" spans="1:10" ht="15" customHeight="1" thickBot="1">
      <c r="A4" s="12" t="s">
        <v>4</v>
      </c>
      <c r="B4" s="12" t="s">
        <v>171</v>
      </c>
      <c r="C4" s="12" t="s">
        <v>5</v>
      </c>
      <c r="D4" s="12" t="s">
        <v>172</v>
      </c>
      <c r="E4" s="157" t="s">
        <v>6</v>
      </c>
      <c r="F4" s="12" t="s">
        <v>7</v>
      </c>
      <c r="G4" s="12" t="s">
        <v>175</v>
      </c>
      <c r="H4" s="12" t="s">
        <v>8</v>
      </c>
      <c r="I4" s="12" t="s">
        <v>9</v>
      </c>
      <c r="J4" s="12" t="s">
        <v>10</v>
      </c>
    </row>
    <row r="5" spans="1:10" ht="15" customHeight="1" thickBot="1">
      <c r="A5" s="50">
        <v>2</v>
      </c>
      <c r="B5" s="112">
        <v>600.00000818165631</v>
      </c>
      <c r="C5" s="140">
        <v>3600</v>
      </c>
      <c r="D5" s="50" t="s">
        <v>192</v>
      </c>
      <c r="E5" s="158">
        <v>4000</v>
      </c>
      <c r="F5" s="140">
        <v>60</v>
      </c>
      <c r="G5" s="50">
        <v>105</v>
      </c>
      <c r="H5" s="78" t="s">
        <v>251</v>
      </c>
      <c r="I5" s="77" t="s">
        <v>256</v>
      </c>
      <c r="J5" s="50" t="s">
        <v>193</v>
      </c>
    </row>
    <row r="6" spans="1:10" ht="15" customHeight="1" thickBot="1">
      <c r="A6" s="23" t="s">
        <v>11</v>
      </c>
      <c r="B6" s="24"/>
      <c r="C6" s="25"/>
      <c r="D6" s="108" t="s">
        <v>12</v>
      </c>
      <c r="E6" s="154"/>
      <c r="F6" s="14"/>
      <c r="G6" s="15"/>
      <c r="H6" s="42" t="s">
        <v>13</v>
      </c>
      <c r="I6" s="18"/>
      <c r="J6" s="29"/>
    </row>
    <row r="7" spans="1:10" ht="15" customHeight="1" thickBot="1">
      <c r="A7" s="142"/>
      <c r="B7" s="4" t="s">
        <v>14</v>
      </c>
      <c r="C7" s="16" t="s">
        <v>15</v>
      </c>
      <c r="D7" s="142"/>
      <c r="E7" s="159"/>
      <c r="F7" s="4" t="s">
        <v>16</v>
      </c>
      <c r="G7" s="16" t="s">
        <v>17</v>
      </c>
      <c r="H7" s="10" t="s">
        <v>18</v>
      </c>
      <c r="I7" s="68">
        <v>25.431919047619047</v>
      </c>
      <c r="J7" s="106" t="s">
        <v>19</v>
      </c>
    </row>
    <row r="8" spans="1:10" ht="15" customHeight="1">
      <c r="A8" s="10" t="s">
        <v>20</v>
      </c>
      <c r="B8" s="69">
        <v>2.9000000953674316</v>
      </c>
      <c r="C8" s="52"/>
      <c r="D8" s="6"/>
      <c r="E8" s="51"/>
      <c r="F8" s="4"/>
      <c r="G8" s="16"/>
      <c r="H8" s="10" t="s">
        <v>21</v>
      </c>
      <c r="I8" s="68">
        <v>30.879981688258507</v>
      </c>
      <c r="J8" s="103" t="s">
        <v>22</v>
      </c>
    </row>
    <row r="9" spans="1:10" ht="15" customHeight="1" thickBot="1">
      <c r="A9" s="10" t="s">
        <v>23</v>
      </c>
      <c r="B9" s="69">
        <v>0.93000000715255737</v>
      </c>
      <c r="C9" s="52"/>
      <c r="D9" s="10" t="s">
        <v>24</v>
      </c>
      <c r="E9" s="53" t="s">
        <v>199</v>
      </c>
      <c r="F9" s="107" t="s">
        <v>25</v>
      </c>
      <c r="G9" s="30"/>
      <c r="H9" s="10" t="s">
        <v>26</v>
      </c>
      <c r="I9" s="69">
        <v>28.155950367938779</v>
      </c>
      <c r="J9" s="104">
        <v>601.5336701119154</v>
      </c>
    </row>
    <row r="10" spans="1:10" ht="15" customHeight="1">
      <c r="A10" s="10" t="s">
        <v>27</v>
      </c>
      <c r="B10" s="69">
        <v>600</v>
      </c>
      <c r="C10" s="73">
        <v>600</v>
      </c>
      <c r="D10" s="6"/>
      <c r="E10" s="51"/>
      <c r="F10" s="116" t="s">
        <v>212</v>
      </c>
      <c r="G10" s="114" t="s">
        <v>213</v>
      </c>
      <c r="H10" s="10" t="s">
        <v>28</v>
      </c>
      <c r="I10" s="68">
        <v>18.247458461573483</v>
      </c>
      <c r="J10" s="103" t="s">
        <v>29</v>
      </c>
    </row>
    <row r="11" spans="1:10" ht="15" customHeight="1" thickBot="1">
      <c r="A11" s="10" t="s">
        <v>30</v>
      </c>
      <c r="B11" s="69">
        <v>610</v>
      </c>
      <c r="C11" s="73">
        <v>334.19999980926514</v>
      </c>
      <c r="D11" s="10" t="s">
        <v>31</v>
      </c>
      <c r="E11" s="68">
        <v>0.61898571428571425</v>
      </c>
      <c r="F11" s="117"/>
      <c r="G11" s="113"/>
      <c r="H11" s="10" t="s">
        <v>32</v>
      </c>
      <c r="I11" s="68">
        <v>30.408333216002376</v>
      </c>
      <c r="J11" s="104">
        <v>17659.008568222125</v>
      </c>
    </row>
    <row r="12" spans="1:10" ht="15" customHeight="1">
      <c r="A12" s="10" t="s">
        <v>33</v>
      </c>
      <c r="B12" s="69">
        <v>340</v>
      </c>
      <c r="C12" s="73">
        <v>155</v>
      </c>
      <c r="D12" s="10" t="s">
        <v>34</v>
      </c>
      <c r="E12" s="153" t="s">
        <v>174</v>
      </c>
      <c r="F12" s="123" t="s">
        <v>206</v>
      </c>
      <c r="G12" s="115" t="s">
        <v>205</v>
      </c>
      <c r="H12" s="10" t="s">
        <v>35</v>
      </c>
      <c r="I12" s="68">
        <v>1.3937239041357459</v>
      </c>
      <c r="J12" s="103" t="s">
        <v>36</v>
      </c>
    </row>
    <row r="13" spans="1:10" ht="15" customHeight="1" thickBot="1">
      <c r="A13" s="10" t="s">
        <v>37</v>
      </c>
      <c r="B13" s="69">
        <v>70</v>
      </c>
      <c r="C13" s="73">
        <v>53.190000057220459</v>
      </c>
      <c r="D13" s="10" t="s">
        <v>38</v>
      </c>
      <c r="E13" s="70">
        <v>32</v>
      </c>
      <c r="F13" s="123"/>
      <c r="G13" s="115" t="s">
        <v>207</v>
      </c>
      <c r="H13" s="10" t="s">
        <v>40</v>
      </c>
      <c r="I13" s="68">
        <v>1.0155105006547325</v>
      </c>
      <c r="J13" s="104">
        <v>71.808921813964844</v>
      </c>
    </row>
    <row r="14" spans="1:10" ht="15" customHeight="1" thickBot="1">
      <c r="A14" s="162" t="s">
        <v>41</v>
      </c>
      <c r="B14" s="133">
        <v>558</v>
      </c>
      <c r="C14" s="134">
        <v>558</v>
      </c>
      <c r="D14" s="10" t="s">
        <v>42</v>
      </c>
      <c r="E14" s="51" t="s">
        <v>200</v>
      </c>
      <c r="F14" s="51"/>
      <c r="G14" s="115" t="s">
        <v>208</v>
      </c>
      <c r="H14" s="49" t="s">
        <v>43</v>
      </c>
      <c r="I14" s="68">
        <v>1.4153412596633597</v>
      </c>
      <c r="J14" s="103" t="s">
        <v>44</v>
      </c>
    </row>
    <row r="15" spans="1:10" ht="15" customHeight="1" thickBot="1">
      <c r="A15" s="13" t="s">
        <v>45</v>
      </c>
      <c r="B15" s="138"/>
      <c r="C15" s="139"/>
      <c r="D15" s="10" t="s">
        <v>46</v>
      </c>
      <c r="E15" s="51" t="s">
        <v>174</v>
      </c>
      <c r="F15" s="51"/>
      <c r="G15" s="115"/>
      <c r="H15" s="10" t="s">
        <v>47</v>
      </c>
      <c r="I15" s="68">
        <v>0.82618353059296434</v>
      </c>
      <c r="J15" s="104">
        <v>20.620256696428573</v>
      </c>
    </row>
    <row r="16" spans="1:10" ht="15" customHeight="1">
      <c r="A16" s="10" t="s">
        <v>48</v>
      </c>
      <c r="B16" s="51">
        <v>42</v>
      </c>
      <c r="C16" s="52">
        <v>34</v>
      </c>
      <c r="D16" s="10" t="s">
        <v>49</v>
      </c>
      <c r="E16" s="51">
        <v>2</v>
      </c>
      <c r="F16" s="51"/>
      <c r="G16" s="115"/>
      <c r="H16" s="10" t="s">
        <v>50</v>
      </c>
      <c r="I16" s="68">
        <v>0.9556462151235352</v>
      </c>
      <c r="J16" s="105" t="s">
        <v>51</v>
      </c>
    </row>
    <row r="17" spans="1:14" ht="15" customHeight="1" thickBot="1">
      <c r="A17" s="10" t="s">
        <v>52</v>
      </c>
      <c r="B17" s="51" t="s">
        <v>194</v>
      </c>
      <c r="C17" s="52" t="s">
        <v>195</v>
      </c>
      <c r="D17" s="49" t="s">
        <v>53</v>
      </c>
      <c r="E17" s="51" t="s">
        <v>201</v>
      </c>
      <c r="F17" s="51"/>
      <c r="G17" s="115"/>
      <c r="H17" s="10" t="s">
        <v>54</v>
      </c>
      <c r="I17" s="68">
        <v>0.78953916400856583</v>
      </c>
      <c r="J17" s="104">
        <v>451.77194330956411</v>
      </c>
    </row>
    <row r="18" spans="1:14" ht="15" customHeight="1">
      <c r="A18" s="10" t="s">
        <v>55</v>
      </c>
      <c r="B18" s="51" t="s">
        <v>174</v>
      </c>
      <c r="C18" s="73">
        <v>0</v>
      </c>
      <c r="D18" s="10" t="s">
        <v>56</v>
      </c>
      <c r="E18" s="137">
        <v>1245</v>
      </c>
      <c r="F18" s="70">
        <v>785.5</v>
      </c>
      <c r="G18" s="74"/>
      <c r="H18" s="13" t="s">
        <v>57</v>
      </c>
      <c r="I18" s="131" t="s">
        <v>214</v>
      </c>
      <c r="J18" s="132"/>
    </row>
    <row r="19" spans="1:14" ht="15" customHeight="1">
      <c r="A19" s="10" t="s">
        <v>58</v>
      </c>
      <c r="B19" s="69">
        <v>65</v>
      </c>
      <c r="C19" s="73">
        <v>36.409999847412109</v>
      </c>
      <c r="D19" s="10" t="s">
        <v>59</v>
      </c>
      <c r="E19" s="70">
        <v>224</v>
      </c>
      <c r="F19" s="51"/>
      <c r="G19" s="52"/>
      <c r="H19" s="143"/>
      <c r="I19" s="4" t="s">
        <v>60</v>
      </c>
      <c r="J19" s="31" t="s">
        <v>61</v>
      </c>
    </row>
    <row r="20" spans="1:14" ht="15" customHeight="1">
      <c r="A20" s="10" t="s">
        <v>62</v>
      </c>
      <c r="B20" s="69" t="s">
        <v>196</v>
      </c>
      <c r="C20" s="73"/>
      <c r="D20" s="10" t="s">
        <v>166</v>
      </c>
      <c r="E20" s="161">
        <v>0.16885032975659603</v>
      </c>
      <c r="F20" s="51"/>
      <c r="G20" s="52"/>
      <c r="H20" s="10" t="s">
        <v>63</v>
      </c>
      <c r="I20" s="68">
        <v>13.290809631347656</v>
      </c>
      <c r="J20" s="72">
        <v>13.290809631347656</v>
      </c>
    </row>
    <row r="21" spans="1:14" ht="15" customHeight="1">
      <c r="A21" s="10" t="s">
        <v>64</v>
      </c>
      <c r="B21" s="69">
        <v>14</v>
      </c>
      <c r="C21" s="73">
        <v>3</v>
      </c>
      <c r="D21" s="10" t="s">
        <v>202</v>
      </c>
      <c r="E21" s="67">
        <v>0.22524434951813105</v>
      </c>
      <c r="F21" s="67">
        <v>0.16750411689281464</v>
      </c>
      <c r="G21" s="71">
        <v>4.6836925740589563E-2</v>
      </c>
      <c r="H21" s="10" t="s">
        <v>65</v>
      </c>
      <c r="I21" s="68">
        <v>16.43341064453125</v>
      </c>
      <c r="J21" s="72">
        <v>14.468874931335449</v>
      </c>
    </row>
    <row r="22" spans="1:14" ht="15" customHeight="1">
      <c r="A22" s="10" t="s">
        <v>66</v>
      </c>
      <c r="B22" s="69">
        <v>2.8299999237060547</v>
      </c>
      <c r="C22" s="73">
        <v>3</v>
      </c>
      <c r="D22" s="10" t="s">
        <v>67</v>
      </c>
      <c r="E22" s="51" t="s">
        <v>203</v>
      </c>
      <c r="F22" s="51" t="s">
        <v>204</v>
      </c>
      <c r="G22" s="52" t="s">
        <v>204</v>
      </c>
      <c r="H22" s="10" t="s">
        <v>68</v>
      </c>
      <c r="I22" s="68">
        <v>6.7679719924926758</v>
      </c>
      <c r="J22" s="72">
        <v>6.3993587493896484</v>
      </c>
    </row>
    <row r="23" spans="1:14" ht="15" customHeight="1">
      <c r="A23" s="10" t="s">
        <v>69</v>
      </c>
      <c r="B23" s="69">
        <v>11.431919097900391</v>
      </c>
      <c r="C23" s="73">
        <v>10.031435012817383</v>
      </c>
      <c r="D23" s="10" t="s">
        <v>70</v>
      </c>
      <c r="E23" s="68">
        <v>1.7419999837875366</v>
      </c>
      <c r="F23" s="68">
        <v>1.7239999771118164</v>
      </c>
      <c r="G23" s="72">
        <v>1.7239999771118164</v>
      </c>
      <c r="H23" s="10" t="s">
        <v>71</v>
      </c>
      <c r="I23" s="68">
        <v>14.072531231806622</v>
      </c>
      <c r="J23" s="16" t="s">
        <v>215</v>
      </c>
    </row>
    <row r="24" spans="1:14" ht="15" customHeight="1">
      <c r="A24" s="10" t="s">
        <v>72</v>
      </c>
      <c r="B24" s="69">
        <v>0</v>
      </c>
      <c r="C24" s="73">
        <v>0.80000001192092896</v>
      </c>
      <c r="D24" s="10" t="s">
        <v>73</v>
      </c>
      <c r="E24" s="68">
        <v>8.8900003433227539</v>
      </c>
      <c r="F24" s="68">
        <v>8.8900003433227539</v>
      </c>
      <c r="G24" s="72">
        <v>8.8900003433227539</v>
      </c>
      <c r="H24" s="10" t="s">
        <v>74</v>
      </c>
      <c r="I24" s="68">
        <v>5.7711436150482589</v>
      </c>
      <c r="J24" s="72">
        <v>5.4568221219766668</v>
      </c>
    </row>
    <row r="25" spans="1:14" ht="15" customHeight="1">
      <c r="A25" s="10" t="s">
        <v>75</v>
      </c>
      <c r="B25" s="51" t="s">
        <v>174</v>
      </c>
      <c r="C25" s="73">
        <v>4.7199997901916504</v>
      </c>
      <c r="D25" s="109" t="s">
        <v>76</v>
      </c>
      <c r="E25" s="53"/>
      <c r="F25" s="53"/>
      <c r="G25" s="60"/>
      <c r="H25" s="10" t="s">
        <v>77</v>
      </c>
      <c r="I25" s="68">
        <v>0.43958538770675659</v>
      </c>
      <c r="J25" s="72">
        <v>1.1415324211120605</v>
      </c>
    </row>
    <row r="26" spans="1:14" ht="15" customHeight="1">
      <c r="A26" s="10" t="s">
        <v>78</v>
      </c>
      <c r="B26" s="53" t="s">
        <v>197</v>
      </c>
      <c r="C26" s="60" t="s">
        <v>198</v>
      </c>
      <c r="D26" s="10" t="s">
        <v>79</v>
      </c>
      <c r="E26" s="69">
        <v>213.99518691257958</v>
      </c>
      <c r="F26" s="69">
        <v>76.2662461453247</v>
      </c>
      <c r="G26" s="73">
        <v>32.240867128562499</v>
      </c>
      <c r="H26" s="10" t="s">
        <v>80</v>
      </c>
      <c r="I26" s="68">
        <v>4.931643009185791</v>
      </c>
      <c r="J26" s="72">
        <v>4.6998834609985352</v>
      </c>
    </row>
    <row r="27" spans="1:14" ht="15" customHeight="1" thickBot="1">
      <c r="A27" s="10" t="s">
        <v>81</v>
      </c>
      <c r="B27" s="51" t="s">
        <v>174</v>
      </c>
      <c r="C27" s="52" t="s">
        <v>174</v>
      </c>
      <c r="D27" s="11" t="s">
        <v>82</v>
      </c>
      <c r="E27" s="80" t="s">
        <v>174</v>
      </c>
      <c r="F27" s="80" t="s">
        <v>174</v>
      </c>
      <c r="G27" s="82" t="s">
        <v>174</v>
      </c>
      <c r="H27" s="11" t="s">
        <v>83</v>
      </c>
      <c r="I27" s="79">
        <v>4.9511957168579102</v>
      </c>
      <c r="J27" s="81">
        <v>4.8365273475646973</v>
      </c>
    </row>
    <row r="28" spans="1:14" ht="15" customHeight="1">
      <c r="A28" s="6" t="s">
        <v>84</v>
      </c>
      <c r="B28" s="3"/>
      <c r="C28" s="38"/>
      <c r="D28" s="13" t="s">
        <v>85</v>
      </c>
      <c r="E28" s="22"/>
      <c r="F28" s="19"/>
      <c r="G28" s="41"/>
      <c r="H28" s="15"/>
      <c r="I28" s="28" t="s">
        <v>86</v>
      </c>
      <c r="J28" s="15"/>
    </row>
    <row r="29" spans="1:14" ht="15" customHeight="1">
      <c r="A29" s="7"/>
      <c r="B29" s="34" t="s">
        <v>87</v>
      </c>
      <c r="C29" s="75">
        <v>33.371401521852249</v>
      </c>
      <c r="D29" s="7"/>
      <c r="E29" s="4" t="s">
        <v>88</v>
      </c>
      <c r="F29" s="4" t="s">
        <v>89</v>
      </c>
      <c r="G29" s="4" t="s">
        <v>90</v>
      </c>
      <c r="H29" s="16" t="s">
        <v>91</v>
      </c>
      <c r="I29" s="4" t="s">
        <v>92</v>
      </c>
      <c r="J29" s="16" t="s">
        <v>93</v>
      </c>
      <c r="M29" s="152" t="str">
        <f>RIGHT(F$41,SEARCH("/",F$41,1)-1)</f>
        <v xml:space="preserve"> 3569.9</v>
      </c>
      <c r="N29" t="s">
        <v>186</v>
      </c>
    </row>
    <row r="30" spans="1:14" ht="15" customHeight="1" thickBot="1">
      <c r="A30" s="8"/>
      <c r="B30" s="63" t="s">
        <v>94</v>
      </c>
      <c r="C30" s="76">
        <v>33.398959330820517</v>
      </c>
      <c r="D30" s="10" t="s">
        <v>95</v>
      </c>
      <c r="E30" s="165">
        <v>47.909247499999999</v>
      </c>
      <c r="F30" s="165">
        <v>781.2</v>
      </c>
      <c r="G30" s="165">
        <v>12.549428104090465</v>
      </c>
      <c r="H30" s="166">
        <v>220.38265348925347</v>
      </c>
      <c r="I30" s="70">
        <v>66263.67291600001</v>
      </c>
      <c r="J30" s="74">
        <v>3396.3326247245946</v>
      </c>
      <c r="M30" s="152" t="str">
        <f>RIGHT(E$41,SEARCH("/",E$41,1)-1)</f>
        <v xml:space="preserve"> 3575.6</v>
      </c>
      <c r="N30" t="s">
        <v>187</v>
      </c>
    </row>
    <row r="31" spans="1:14" ht="15" customHeight="1">
      <c r="A31" s="23" t="s">
        <v>96</v>
      </c>
      <c r="B31" s="144"/>
      <c r="C31" s="27"/>
      <c r="D31" s="10" t="s">
        <v>97</v>
      </c>
      <c r="E31" s="165">
        <v>6.5</v>
      </c>
      <c r="F31" s="165">
        <v>1339.5922798919678</v>
      </c>
      <c r="G31" s="165">
        <v>7.3183560267353061</v>
      </c>
      <c r="H31" s="166">
        <v>5.8841836257247859</v>
      </c>
      <c r="I31" s="70">
        <v>17414.699638595583</v>
      </c>
      <c r="J31" s="74">
        <v>372.58884670251393</v>
      </c>
      <c r="M31" s="152" t="str">
        <f>RIGHT(D$41,SEARCH("/",D$41,1)-1)</f>
        <v xml:space="preserve"> 3581.2</v>
      </c>
      <c r="N31" t="s">
        <v>188</v>
      </c>
    </row>
    <row r="32" spans="1:14" ht="15" customHeight="1">
      <c r="A32" s="6" t="s">
        <v>98</v>
      </c>
      <c r="B32" s="68" t="s">
        <v>258</v>
      </c>
      <c r="C32" s="110"/>
      <c r="D32" s="10" t="s">
        <v>99</v>
      </c>
      <c r="E32" s="165">
        <v>20.528719863988162</v>
      </c>
      <c r="F32" s="165">
        <v>881.90040063858032</v>
      </c>
      <c r="G32" s="165">
        <v>11.116463069771502</v>
      </c>
      <c r="H32" s="166">
        <v>67.484909409088672</v>
      </c>
      <c r="I32" s="9" t="s">
        <v>100</v>
      </c>
      <c r="J32" s="74">
        <v>3768.9214714271084</v>
      </c>
      <c r="M32" s="152" t="str">
        <f>RIGHT(C$41,SEARCH("/",C$41,1)-1)</f>
        <v xml:space="preserve"> 3586.7</v>
      </c>
      <c r="N32" t="s">
        <v>189</v>
      </c>
    </row>
    <row r="33" spans="1:15" ht="15" customHeight="1">
      <c r="A33" s="6" t="s">
        <v>101</v>
      </c>
      <c r="B33" s="68" t="s">
        <v>259</v>
      </c>
      <c r="C33" s="111" t="s">
        <v>102</v>
      </c>
      <c r="D33" s="10" t="s">
        <v>97</v>
      </c>
      <c r="E33" s="165">
        <v>3.6409999847412111</v>
      </c>
      <c r="F33" s="165">
        <v>951.58192531585701</v>
      </c>
      <c r="G33" s="165">
        <v>10.302437419312449</v>
      </c>
      <c r="H33" s="166">
        <v>9.5575663527315999</v>
      </c>
      <c r="I33" s="9" t="s">
        <v>103</v>
      </c>
      <c r="J33" s="73" t="s">
        <v>226</v>
      </c>
      <c r="M33" s="152" t="str">
        <f>RIGHT(B$41,SEARCH("/",B$41,1)-1)</f>
        <v xml:space="preserve"> 3592.1</v>
      </c>
      <c r="N33" t="s">
        <v>190</v>
      </c>
    </row>
    <row r="34" spans="1:15" ht="15" customHeight="1" thickBot="1">
      <c r="A34" s="17" t="s">
        <v>104</v>
      </c>
      <c r="B34" s="79" t="s">
        <v>260</v>
      </c>
      <c r="C34" s="160">
        <v>9.8036132349154705</v>
      </c>
      <c r="D34" s="11" t="s">
        <v>20</v>
      </c>
      <c r="E34" s="167">
        <v>0.29000000953674315</v>
      </c>
      <c r="F34" s="168">
        <v>2264.0630152774424</v>
      </c>
      <c r="G34" s="168">
        <v>4.3300973377342666</v>
      </c>
      <c r="H34" s="169">
        <v>999.277650200984</v>
      </c>
      <c r="I34" s="9" t="s">
        <v>105</v>
      </c>
      <c r="J34" s="73">
        <v>6.0500001907348633</v>
      </c>
    </row>
    <row r="35" spans="1:15" ht="15" customHeight="1">
      <c r="A35" s="13" t="s">
        <v>106</v>
      </c>
      <c r="B35" s="14"/>
      <c r="C35" s="14"/>
      <c r="D35" s="135" t="s">
        <v>228</v>
      </c>
      <c r="E35" s="145" t="s">
        <v>227</v>
      </c>
      <c r="F35" s="15"/>
      <c r="G35" s="26" t="s">
        <v>107</v>
      </c>
      <c r="H35" s="85" t="s">
        <v>221</v>
      </c>
      <c r="I35" s="10" t="s">
        <v>108</v>
      </c>
      <c r="J35" s="74" t="s">
        <v>225</v>
      </c>
    </row>
    <row r="36" spans="1:15" ht="15" customHeight="1">
      <c r="A36" s="6" t="s">
        <v>109</v>
      </c>
      <c r="B36" s="4">
        <v>25</v>
      </c>
      <c r="C36" s="4">
        <v>50</v>
      </c>
      <c r="D36" s="4">
        <v>75</v>
      </c>
      <c r="E36" s="4">
        <v>100</v>
      </c>
      <c r="F36" s="16">
        <v>125</v>
      </c>
      <c r="G36" s="10" t="s">
        <v>110</v>
      </c>
      <c r="H36" s="74" t="s">
        <v>219</v>
      </c>
      <c r="I36" s="10" t="s">
        <v>111</v>
      </c>
      <c r="J36" s="74" t="s">
        <v>224</v>
      </c>
    </row>
    <row r="37" spans="1:15" ht="15" customHeight="1" thickBot="1">
      <c r="A37" s="10" t="s">
        <v>112</v>
      </c>
      <c r="B37" s="173" t="s">
        <v>240</v>
      </c>
      <c r="C37" s="173" t="s">
        <v>241</v>
      </c>
      <c r="D37" s="173" t="s">
        <v>242</v>
      </c>
      <c r="E37" s="173" t="s">
        <v>243</v>
      </c>
      <c r="F37" s="174" t="s">
        <v>244</v>
      </c>
      <c r="G37" s="10" t="s">
        <v>113</v>
      </c>
      <c r="H37" s="74" t="s">
        <v>220</v>
      </c>
      <c r="I37" s="11" t="s">
        <v>114</v>
      </c>
      <c r="J37" s="83" t="s">
        <v>223</v>
      </c>
      <c r="O37" s="150"/>
    </row>
    <row r="38" spans="1:15" ht="15" customHeight="1" thickBot="1">
      <c r="A38" s="10" t="s">
        <v>115</v>
      </c>
      <c r="B38" s="175" t="s">
        <v>230</v>
      </c>
      <c r="C38" s="175" t="s">
        <v>231</v>
      </c>
      <c r="D38" s="175" t="s">
        <v>232</v>
      </c>
      <c r="E38" s="175" t="s">
        <v>233</v>
      </c>
      <c r="F38" s="176" t="s">
        <v>234</v>
      </c>
      <c r="G38" s="17" t="s">
        <v>116</v>
      </c>
      <c r="H38" s="83" t="s">
        <v>222</v>
      </c>
      <c r="I38" s="136" t="s">
        <v>229</v>
      </c>
      <c r="J38" s="84">
        <v>7353.71435546875</v>
      </c>
      <c r="L38" t="str">
        <f>LEFT(E38,SEARCH("/",E38,1)-1)</f>
        <v xml:space="preserve">0.954 </v>
      </c>
      <c r="M38" t="str">
        <f>RIGHT(E38,SEARCH("/",E38,1)-1)</f>
        <v xml:space="preserve"> 0.948</v>
      </c>
      <c r="N38" s="151">
        <f>M38/L38</f>
        <v>0.99371069182389937</v>
      </c>
      <c r="O38" s="150" t="s">
        <v>177</v>
      </c>
    </row>
    <row r="39" spans="1:15" ht="15" customHeight="1">
      <c r="A39" s="10" t="s">
        <v>117</v>
      </c>
      <c r="B39" s="175" t="s">
        <v>235</v>
      </c>
      <c r="C39" s="175" t="s">
        <v>236</v>
      </c>
      <c r="D39" s="175" t="s">
        <v>237</v>
      </c>
      <c r="E39" s="175" t="s">
        <v>238</v>
      </c>
      <c r="F39" s="176" t="s">
        <v>239</v>
      </c>
      <c r="G39" s="13" t="s">
        <v>118</v>
      </c>
      <c r="H39" s="14"/>
      <c r="I39" s="39" t="s">
        <v>119</v>
      </c>
      <c r="J39" s="40" t="s">
        <v>120</v>
      </c>
      <c r="L39" t="str">
        <f>LEFT(E39,SEARCH("/",E39,1)-1)</f>
        <v xml:space="preserve">0.943 </v>
      </c>
      <c r="M39" t="str">
        <f>RIGHT(E39,SEARCH("/",E39,1)-1)</f>
        <v xml:space="preserve"> 0.925</v>
      </c>
      <c r="N39" s="151">
        <f>M39/L39</f>
        <v>0.98091198303287386</v>
      </c>
      <c r="O39" s="150" t="s">
        <v>178</v>
      </c>
    </row>
    <row r="40" spans="1:15" ht="15" customHeight="1">
      <c r="A40" s="10" t="s">
        <v>119</v>
      </c>
      <c r="B40" s="177" t="s">
        <v>253</v>
      </c>
      <c r="C40" s="177" t="s">
        <v>254</v>
      </c>
      <c r="D40" s="177" t="s">
        <v>255</v>
      </c>
      <c r="E40" s="177" t="s">
        <v>256</v>
      </c>
      <c r="F40" s="178" t="s">
        <v>257</v>
      </c>
      <c r="G40" s="35" t="s">
        <v>121</v>
      </c>
      <c r="H40" s="91" t="s">
        <v>261</v>
      </c>
      <c r="I40" s="55"/>
      <c r="J40" s="56"/>
      <c r="L40" t="str">
        <f>LEFT(E37,SEARCH("/",E37,1)-1)</f>
        <v xml:space="preserve">71.81 </v>
      </c>
      <c r="M40">
        <v>74</v>
      </c>
      <c r="N40" s="151">
        <f>M40/L40</f>
        <v>1.030497145244395</v>
      </c>
      <c r="O40" s="150" t="s">
        <v>176</v>
      </c>
    </row>
    <row r="41" spans="1:15" ht="15" customHeight="1">
      <c r="A41" s="10" t="s">
        <v>5</v>
      </c>
      <c r="B41" s="179" t="s">
        <v>248</v>
      </c>
      <c r="C41" s="179" t="s">
        <v>249</v>
      </c>
      <c r="D41" s="179" t="s">
        <v>250</v>
      </c>
      <c r="E41" s="179" t="s">
        <v>251</v>
      </c>
      <c r="F41" s="180" t="s">
        <v>252</v>
      </c>
      <c r="G41" s="36" t="s">
        <v>122</v>
      </c>
      <c r="H41" s="92" t="s">
        <v>262</v>
      </c>
      <c r="I41" s="57"/>
      <c r="J41" s="58"/>
      <c r="L41" t="str">
        <f>LEFT(E41,SEARCH("/",E41,1)-1)</f>
        <v xml:space="preserve">3577.6 </v>
      </c>
      <c r="M41">
        <v>3575</v>
      </c>
      <c r="N41" s="151">
        <f>M41/L41</f>
        <v>0.99927325581395354</v>
      </c>
      <c r="O41" s="150" t="s">
        <v>5</v>
      </c>
    </row>
    <row r="42" spans="1:15" ht="15" customHeight="1">
      <c r="A42" s="10" t="s">
        <v>123</v>
      </c>
      <c r="B42" s="175">
        <v>11.314455492724516</v>
      </c>
      <c r="C42" s="175">
        <v>11.314455492724516</v>
      </c>
      <c r="D42" s="175">
        <v>11.314455492724516</v>
      </c>
      <c r="E42" s="175">
        <v>11.314455492724516</v>
      </c>
      <c r="F42" s="176">
        <v>11.314455492724516</v>
      </c>
      <c r="G42" s="35" t="s">
        <v>124</v>
      </c>
      <c r="H42" s="91" t="s">
        <v>263</v>
      </c>
      <c r="I42" s="55"/>
      <c r="J42" s="97">
        <v>0.23603018400521841</v>
      </c>
    </row>
    <row r="43" spans="1:15" ht="15" customHeight="1" thickBot="1">
      <c r="A43" s="11" t="s">
        <v>125</v>
      </c>
      <c r="B43" s="181">
        <v>11.314455492724516</v>
      </c>
      <c r="C43" s="182"/>
      <c r="D43" s="183" t="s">
        <v>266</v>
      </c>
      <c r="E43" s="183"/>
      <c r="F43" s="184"/>
      <c r="G43" s="36" t="s">
        <v>122</v>
      </c>
      <c r="H43" s="92" t="s">
        <v>264</v>
      </c>
      <c r="I43" s="57"/>
      <c r="J43" s="58"/>
    </row>
    <row r="44" spans="1:15" ht="15" customHeight="1">
      <c r="A44" s="5" t="s">
        <v>126</v>
      </c>
      <c r="B44" s="141"/>
      <c r="C44" s="3"/>
      <c r="D44" s="3"/>
      <c r="E44" s="5" t="s">
        <v>127</v>
      </c>
      <c r="F44" s="20"/>
      <c r="G44" s="35" t="s">
        <v>128</v>
      </c>
      <c r="H44" s="93">
        <v>1504.381366494164</v>
      </c>
      <c r="I44" s="90">
        <v>4.3417140881236618E-2</v>
      </c>
      <c r="J44" s="97">
        <v>0.64206996795657123</v>
      </c>
    </row>
    <row r="45" spans="1:15" ht="15" customHeight="1">
      <c r="A45" s="10" t="s">
        <v>129</v>
      </c>
      <c r="B45" s="68">
        <v>0.20644272863864899</v>
      </c>
      <c r="C45" s="163" t="s">
        <v>130</v>
      </c>
      <c r="D45" s="72">
        <v>6.9662467576563358E-3</v>
      </c>
      <c r="E45" s="10" t="s">
        <v>131</v>
      </c>
      <c r="F45" s="74">
        <v>267.03232856412887</v>
      </c>
      <c r="G45" s="37" t="s">
        <v>122</v>
      </c>
      <c r="H45" s="86" t="s">
        <v>265</v>
      </c>
      <c r="I45" s="59"/>
      <c r="J45" s="60"/>
    </row>
    <row r="46" spans="1:15" ht="15" customHeight="1">
      <c r="A46" s="10" t="s">
        <v>132</v>
      </c>
      <c r="B46" s="68">
        <v>0.14322631061077118</v>
      </c>
      <c r="C46" s="163" t="s">
        <v>133</v>
      </c>
      <c r="D46" s="72">
        <v>6.2249596230685711E-3</v>
      </c>
      <c r="E46" s="10" t="s">
        <v>134</v>
      </c>
      <c r="F46" s="74">
        <v>418.53484096919561</v>
      </c>
      <c r="G46" s="36" t="s">
        <v>135</v>
      </c>
      <c r="H46" s="94">
        <v>323.49296350112144</v>
      </c>
      <c r="I46" s="57"/>
      <c r="J46" s="58"/>
      <c r="L46" s="146" t="s">
        <v>179</v>
      </c>
      <c r="M46" s="148">
        <f>B5^0.95</f>
        <v>435.75631886070352</v>
      </c>
    </row>
    <row r="47" spans="1:15" ht="15" customHeight="1">
      <c r="A47" s="10" t="s">
        <v>136</v>
      </c>
      <c r="B47" s="68">
        <v>0.34966903924942017</v>
      </c>
      <c r="C47" s="163" t="s">
        <v>137</v>
      </c>
      <c r="D47" s="72">
        <v>1.8655048683285713E-2</v>
      </c>
      <c r="E47" s="10" t="s">
        <v>138</v>
      </c>
      <c r="F47" s="74">
        <v>149.96595089293453</v>
      </c>
      <c r="G47" s="64" t="s">
        <v>139</v>
      </c>
      <c r="H47" s="93">
        <v>1440.5444142109209</v>
      </c>
      <c r="I47" s="90">
        <v>4.1494440281435854E-2</v>
      </c>
      <c r="J47" s="95">
        <v>0.65777458365880626</v>
      </c>
      <c r="L47" s="146" t="s">
        <v>180</v>
      </c>
      <c r="M47" s="148">
        <f>B5^1.5</f>
        <v>14696.938757312317</v>
      </c>
    </row>
    <row r="48" spans="1:15" ht="15" customHeight="1">
      <c r="A48" s="10" t="s">
        <v>140</v>
      </c>
      <c r="B48" s="68">
        <v>1.394636370241642E-2</v>
      </c>
      <c r="C48" s="163" t="s">
        <v>100</v>
      </c>
      <c r="D48" s="72">
        <v>4.5792616903781891E-2</v>
      </c>
      <c r="E48" s="10" t="s">
        <v>141</v>
      </c>
      <c r="F48" s="74">
        <v>4.2767984252183116</v>
      </c>
      <c r="G48" s="65" t="s">
        <v>122</v>
      </c>
      <c r="H48" s="86">
        <v>321.83744293286912</v>
      </c>
      <c r="I48" s="59"/>
      <c r="J48" s="60"/>
      <c r="L48" s="146" t="s">
        <v>181</v>
      </c>
      <c r="M48" s="147">
        <f>IF(A5="",0,(7200/(1000*A5))^2.4)</f>
        <v>21.633460842025631</v>
      </c>
    </row>
    <row r="49" spans="1:13" ht="15" customHeight="1" thickBot="1">
      <c r="A49" s="8"/>
      <c r="B49" s="54"/>
      <c r="C49" s="164" t="s">
        <v>142</v>
      </c>
      <c r="D49" s="81">
        <v>0.95420736074447632</v>
      </c>
      <c r="E49" s="11" t="s">
        <v>143</v>
      </c>
      <c r="F49" s="83">
        <v>10.359896748297231</v>
      </c>
      <c r="G49" s="66" t="s">
        <v>135</v>
      </c>
      <c r="H49" s="94">
        <v>316.0939762353014</v>
      </c>
      <c r="I49" s="57"/>
      <c r="J49" s="61"/>
      <c r="L49" s="146" t="s">
        <v>182</v>
      </c>
      <c r="M49" s="147">
        <f>IF(A5="",0,(7200/(1000*A5))^1.8)</f>
        <v>10.031006258647469</v>
      </c>
    </row>
    <row r="50" spans="1:13" ht="15" customHeight="1">
      <c r="A50" s="13" t="s">
        <v>211</v>
      </c>
      <c r="B50" s="14"/>
      <c r="C50" s="14"/>
      <c r="D50" s="14"/>
      <c r="E50" s="14"/>
      <c r="F50" s="15"/>
      <c r="G50" s="13" t="s">
        <v>144</v>
      </c>
      <c r="H50" s="14"/>
      <c r="I50" s="41"/>
      <c r="J50" s="27"/>
      <c r="L50" s="146" t="s">
        <v>183</v>
      </c>
      <c r="M50" s="149">
        <f>IF(A5=2,27,24)</f>
        <v>27</v>
      </c>
    </row>
    <row r="51" spans="1:13" ht="15" customHeight="1">
      <c r="A51" s="10" t="s">
        <v>145</v>
      </c>
      <c r="B51" s="51">
        <v>34</v>
      </c>
      <c r="C51" s="9" t="s">
        <v>146</v>
      </c>
      <c r="D51" s="69" t="s">
        <v>174</v>
      </c>
      <c r="E51" s="9" t="s">
        <v>147</v>
      </c>
      <c r="F51" s="73" t="s">
        <v>174</v>
      </c>
      <c r="G51" s="9" t="s">
        <v>148</v>
      </c>
      <c r="H51" s="67">
        <v>4.1198552892349111E-2</v>
      </c>
      <c r="I51" s="44" t="s">
        <v>149</v>
      </c>
      <c r="J51" s="38"/>
      <c r="L51" s="146" t="s">
        <v>184</v>
      </c>
      <c r="M51" s="149">
        <v>6.8500000000000005E-2</v>
      </c>
    </row>
    <row r="52" spans="1:13" ht="15" customHeight="1">
      <c r="A52" s="10" t="s">
        <v>58</v>
      </c>
      <c r="B52" s="69">
        <v>36.409999847412109</v>
      </c>
      <c r="C52" s="9" t="s">
        <v>150</v>
      </c>
      <c r="D52" s="69" t="s">
        <v>174</v>
      </c>
      <c r="E52" s="9" t="s">
        <v>151</v>
      </c>
      <c r="F52" s="73" t="s">
        <v>174</v>
      </c>
      <c r="G52" s="9" t="s">
        <v>168</v>
      </c>
      <c r="H52" s="69">
        <v>67013.783923507697</v>
      </c>
      <c r="I52" s="98" t="s">
        <v>245</v>
      </c>
      <c r="J52" s="62"/>
      <c r="L52" s="146" t="s">
        <v>191</v>
      </c>
      <c r="M52" s="170">
        <f>F5</f>
        <v>60</v>
      </c>
    </row>
    <row r="53" spans="1:13" ht="15" customHeight="1">
      <c r="A53" s="10" t="s">
        <v>64</v>
      </c>
      <c r="B53" s="69">
        <v>3</v>
      </c>
      <c r="C53" s="9" t="s">
        <v>152</v>
      </c>
      <c r="D53" s="69" t="s">
        <v>174</v>
      </c>
      <c r="E53" s="9" t="s">
        <v>153</v>
      </c>
      <c r="F53" s="73" t="s">
        <v>174</v>
      </c>
      <c r="G53" s="9" t="s">
        <v>169</v>
      </c>
      <c r="H53" s="68">
        <v>29.938981571643851</v>
      </c>
      <c r="I53" s="43" t="s">
        <v>154</v>
      </c>
      <c r="J53" s="38"/>
      <c r="L53" s="146" t="s">
        <v>185</v>
      </c>
      <c r="M53" s="152">
        <f>IF(F5=60,M50*M46/M48-M51*M47/M49,IF(F5&lt;&gt;60,(60/M52)^2*(M50*M46/M48-M51*M47/M49),0))</f>
        <v>443.49006607254836</v>
      </c>
    </row>
    <row r="54" spans="1:13" ht="15" customHeight="1">
      <c r="A54" s="10" t="s">
        <v>66</v>
      </c>
      <c r="B54" s="69">
        <v>3</v>
      </c>
      <c r="C54" s="9" t="s">
        <v>155</v>
      </c>
      <c r="D54" s="69" t="s">
        <v>174</v>
      </c>
      <c r="E54" s="9" t="s">
        <v>153</v>
      </c>
      <c r="F54" s="73" t="s">
        <v>174</v>
      </c>
      <c r="G54" s="9" t="s">
        <v>170</v>
      </c>
      <c r="H54" s="70">
        <v>223260</v>
      </c>
      <c r="I54" s="99" t="s">
        <v>246</v>
      </c>
      <c r="J54" s="100" t="s">
        <v>209</v>
      </c>
    </row>
    <row r="55" spans="1:13" ht="15" customHeight="1">
      <c r="A55" s="10" t="s">
        <v>156</v>
      </c>
      <c r="B55" s="69">
        <v>14.119999885559082</v>
      </c>
      <c r="C55" s="9" t="s">
        <v>157</v>
      </c>
      <c r="D55" s="69" t="s">
        <v>174</v>
      </c>
      <c r="E55" s="9" t="s">
        <v>158</v>
      </c>
      <c r="F55" s="73" t="s">
        <v>174</v>
      </c>
      <c r="G55" s="9" t="s">
        <v>159</v>
      </c>
      <c r="H55" s="69">
        <v>1</v>
      </c>
      <c r="I55" s="43" t="s">
        <v>160</v>
      </c>
      <c r="J55" s="38"/>
    </row>
    <row r="56" spans="1:13" ht="15" customHeight="1" thickBot="1">
      <c r="A56" s="11" t="s">
        <v>161</v>
      </c>
      <c r="B56" s="80" t="s">
        <v>174</v>
      </c>
      <c r="C56" s="21" t="s">
        <v>162</v>
      </c>
      <c r="D56" s="80" t="s">
        <v>174</v>
      </c>
      <c r="E56" s="21" t="s">
        <v>163</v>
      </c>
      <c r="F56" s="82" t="s">
        <v>174</v>
      </c>
      <c r="G56" s="21" t="s">
        <v>164</v>
      </c>
      <c r="H56" s="79">
        <v>0.67847857142857138</v>
      </c>
      <c r="I56" s="101" t="s">
        <v>247</v>
      </c>
      <c r="J56" s="61" t="s">
        <v>210</v>
      </c>
    </row>
    <row r="57" spans="1:13" ht="15" customHeight="1">
      <c r="A57" s="23" t="s">
        <v>396</v>
      </c>
      <c r="B57" s="41"/>
      <c r="C57" s="41"/>
      <c r="D57" s="41"/>
      <c r="E57" s="41"/>
      <c r="F57" s="27"/>
      <c r="G57" s="118"/>
      <c r="H57" s="119"/>
      <c r="I57" s="119"/>
      <c r="J57" s="120"/>
    </row>
    <row r="58" spans="1:13" ht="15" customHeight="1">
      <c r="A58" s="102" t="s">
        <v>119</v>
      </c>
      <c r="B58" s="4" t="s">
        <v>165</v>
      </c>
      <c r="C58" s="16" t="s">
        <v>397</v>
      </c>
      <c r="D58" s="4" t="s">
        <v>119</v>
      </c>
      <c r="E58" s="4" t="s">
        <v>165</v>
      </c>
      <c r="F58" s="16" t="s">
        <v>398</v>
      </c>
      <c r="G58" s="121"/>
      <c r="H58" s="45"/>
      <c r="I58" s="45"/>
      <c r="J58" s="46"/>
    </row>
    <row r="59" spans="1:13" ht="15" customHeight="1">
      <c r="A59" s="125">
        <v>0</v>
      </c>
      <c r="B59" s="86">
        <v>0</v>
      </c>
      <c r="C59" s="87">
        <v>0.18759968876838684</v>
      </c>
      <c r="D59" s="127">
        <v>0.69999998807907104</v>
      </c>
      <c r="E59" s="86">
        <v>95.242875349839494</v>
      </c>
      <c r="F59" s="87">
        <v>662.8330078125</v>
      </c>
      <c r="G59" s="121"/>
      <c r="H59" s="45"/>
      <c r="I59" s="45"/>
      <c r="J59" s="46"/>
    </row>
    <row r="60" spans="1:13" ht="15" customHeight="1">
      <c r="A60" s="129">
        <v>7.9999994486570358E-3</v>
      </c>
      <c r="B60" s="86">
        <v>120.81393015085635</v>
      </c>
      <c r="C60" s="87">
        <v>149.72695922851563</v>
      </c>
      <c r="D60" s="127">
        <v>0.80000001192092896</v>
      </c>
      <c r="E60" s="86">
        <v>95.326992276483367</v>
      </c>
      <c r="F60" s="87">
        <v>666.686767578125</v>
      </c>
      <c r="G60" s="121"/>
      <c r="H60" s="45"/>
      <c r="I60" s="45"/>
      <c r="J60" s="46"/>
    </row>
    <row r="61" spans="1:13" ht="15" customHeight="1">
      <c r="A61" s="129">
        <v>3.9999999105930328E-2</v>
      </c>
      <c r="B61" s="86">
        <v>270</v>
      </c>
      <c r="C61" s="87">
        <v>485.600830078125</v>
      </c>
      <c r="D61" s="127">
        <v>0.89999997615814209</v>
      </c>
      <c r="E61" s="86">
        <v>95.436323404740719</v>
      </c>
      <c r="F61" s="87">
        <v>670.0411376953125</v>
      </c>
      <c r="G61" s="121"/>
      <c r="H61" s="45"/>
      <c r="I61" s="45"/>
      <c r="J61" s="46"/>
    </row>
    <row r="62" spans="1:13" ht="15" customHeight="1">
      <c r="A62" s="125">
        <v>9.1428570449352264E-2</v>
      </c>
      <c r="B62" s="86">
        <v>178.72770310069606</v>
      </c>
      <c r="C62" s="87">
        <v>589.1134033203125</v>
      </c>
      <c r="D62" s="128">
        <v>1</v>
      </c>
      <c r="E62" s="86">
        <v>95</v>
      </c>
      <c r="F62" s="87">
        <v>672.97296142578125</v>
      </c>
      <c r="G62" s="121"/>
      <c r="H62" s="45"/>
      <c r="I62" s="45"/>
      <c r="J62" s="46"/>
    </row>
    <row r="63" spans="1:13" ht="15" customHeight="1" thickBot="1">
      <c r="A63" s="125">
        <v>0.1428571492433548</v>
      </c>
      <c r="B63" s="86">
        <v>133.81422565090787</v>
      </c>
      <c r="C63" s="87">
        <v>618.08624267578125</v>
      </c>
      <c r="D63" s="377"/>
      <c r="E63" s="378"/>
      <c r="F63" s="379"/>
      <c r="G63" s="121"/>
      <c r="H63" s="45"/>
      <c r="I63" s="45"/>
      <c r="J63" s="46"/>
    </row>
    <row r="64" spans="1:13" ht="15" customHeight="1">
      <c r="A64" s="125">
        <v>0.19428572058677673</v>
      </c>
      <c r="B64" s="86">
        <v>113.9177405895914</v>
      </c>
      <c r="C64" s="87">
        <v>630.0281982421875</v>
      </c>
      <c r="D64" s="380" t="s">
        <v>406</v>
      </c>
      <c r="E64" s="381"/>
      <c r="F64" s="381"/>
      <c r="G64" s="121"/>
      <c r="H64" s="45"/>
      <c r="I64" s="45"/>
      <c r="J64" s="46"/>
    </row>
    <row r="65" spans="1:10" ht="15" customHeight="1">
      <c r="A65" s="125">
        <v>0.29714286327362061</v>
      </c>
      <c r="B65" s="86">
        <v>100.68842427127527</v>
      </c>
      <c r="C65" s="87">
        <v>640.9903564453125</v>
      </c>
      <c r="D65" s="382" t="s">
        <v>400</v>
      </c>
      <c r="E65" s="384" t="s">
        <v>404</v>
      </c>
      <c r="F65" s="385"/>
      <c r="G65" s="121"/>
      <c r="H65" s="45"/>
      <c r="I65" s="45"/>
      <c r="J65" s="46"/>
    </row>
    <row r="66" spans="1:10" ht="15" customHeight="1">
      <c r="A66" s="125">
        <v>0.40000000596046448</v>
      </c>
      <c r="B66" s="86">
        <v>95</v>
      </c>
      <c r="C66" s="87">
        <v>647.72216796875</v>
      </c>
      <c r="D66" s="382" t="s">
        <v>401</v>
      </c>
      <c r="E66" s="384" t="s">
        <v>405</v>
      </c>
      <c r="F66" s="385"/>
      <c r="G66" s="121"/>
      <c r="H66" s="45"/>
      <c r="I66" s="45"/>
      <c r="J66" s="46"/>
    </row>
    <row r="67" spans="1:10" ht="15" customHeight="1">
      <c r="A67" s="125">
        <v>0.5</v>
      </c>
      <c r="B67" s="86">
        <v>95.093441656388052</v>
      </c>
      <c r="C67" s="87">
        <v>653.38909912109375</v>
      </c>
      <c r="D67" s="382" t="s">
        <v>402</v>
      </c>
      <c r="E67" s="384" t="s">
        <v>407</v>
      </c>
      <c r="F67" s="385"/>
      <c r="G67" s="121"/>
      <c r="H67" s="45"/>
      <c r="I67" s="45"/>
      <c r="J67" s="46"/>
    </row>
    <row r="68" spans="1:10" ht="15" customHeight="1" thickBot="1">
      <c r="A68" s="126">
        <v>0.60000002384185791</v>
      </c>
      <c r="B68" s="88">
        <v>95.181513620225616</v>
      </c>
      <c r="C68" s="89">
        <v>658.4129638671875</v>
      </c>
      <c r="D68" s="383" t="s">
        <v>403</v>
      </c>
      <c r="E68" s="386" t="s">
        <v>408</v>
      </c>
      <c r="F68" s="386"/>
      <c r="G68" s="122"/>
      <c r="H68" s="47"/>
      <c r="I68" s="47"/>
      <c r="J68" s="48"/>
    </row>
    <row r="69" spans="1:10" ht="15" customHeight="1">
      <c r="A69" s="155"/>
      <c r="B69" s="156"/>
      <c r="C69" s="32"/>
      <c r="D69" s="32"/>
      <c r="E69" s="32"/>
      <c r="F69" s="32"/>
      <c r="G69" s="32"/>
      <c r="H69" s="32"/>
      <c r="I69" s="32"/>
      <c r="J69" s="32"/>
    </row>
    <row r="70" spans="1:10" ht="1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76" t="s">
        <v>399</v>
      </c>
      <c r="B99" s="376"/>
      <c r="C99" s="376"/>
      <c r="D99" s="376"/>
      <c r="E99" s="376"/>
      <c r="F99" s="376"/>
      <c r="G99" s="376"/>
      <c r="H99" s="376"/>
      <c r="I99" s="376"/>
    </row>
    <row r="100" spans="1:9">
      <c r="A100" s="376">
        <v>100</v>
      </c>
      <c r="B100" s="376"/>
      <c r="C100" s="376"/>
      <c r="D100" s="376"/>
      <c r="E100" s="376"/>
      <c r="F100" s="376"/>
      <c r="G100" s="376"/>
      <c r="H100" s="376"/>
      <c r="I100" s="376"/>
    </row>
    <row r="101" spans="1:9">
      <c r="A101" s="376">
        <v>98.400001525878906</v>
      </c>
      <c r="B101" s="376"/>
      <c r="C101" s="376"/>
      <c r="D101" s="376"/>
      <c r="E101" s="376"/>
      <c r="F101" s="376"/>
      <c r="G101" s="376"/>
      <c r="H101" s="376"/>
      <c r="I101" s="376"/>
    </row>
    <row r="102" spans="1:9">
      <c r="A102" s="376">
        <v>89.75</v>
      </c>
      <c r="B102" s="376"/>
      <c r="C102" s="376"/>
      <c r="D102" s="376"/>
      <c r="E102" s="376"/>
      <c r="F102" s="376"/>
      <c r="G102" s="376"/>
      <c r="H102" s="376"/>
      <c r="I102" s="376"/>
    </row>
    <row r="103" spans="1:9">
      <c r="A103" s="376">
        <v>76.228569030761719</v>
      </c>
      <c r="B103" s="376"/>
      <c r="C103" s="376"/>
      <c r="D103" s="376"/>
      <c r="E103" s="376"/>
      <c r="F103" s="376"/>
      <c r="G103" s="376"/>
      <c r="H103" s="376"/>
      <c r="I103" s="376"/>
    </row>
    <row r="104" spans="1:9">
      <c r="A104" s="376">
        <v>62.857139587402344</v>
      </c>
      <c r="B104" s="376"/>
      <c r="C104" s="376"/>
      <c r="D104" s="376"/>
      <c r="E104" s="376"/>
      <c r="F104" s="376"/>
      <c r="G104" s="376"/>
      <c r="H104" s="376"/>
      <c r="I104" s="376"/>
    </row>
    <row r="105" spans="1:9">
      <c r="A105" s="376">
        <v>51.25714111328125</v>
      </c>
      <c r="B105" s="376"/>
      <c r="C105" s="376"/>
      <c r="D105" s="376"/>
      <c r="E105" s="376"/>
      <c r="F105" s="376"/>
      <c r="G105" s="376"/>
      <c r="H105" s="376"/>
      <c r="I105" s="376"/>
    </row>
    <row r="106" spans="1:9">
      <c r="A106" s="376">
        <v>33.485713958740234</v>
      </c>
      <c r="B106" s="376"/>
      <c r="C106" s="376"/>
      <c r="D106" s="376"/>
      <c r="E106" s="376"/>
      <c r="F106" s="376"/>
      <c r="G106" s="376"/>
      <c r="H106" s="376"/>
      <c r="I106" s="376"/>
    </row>
    <row r="107" spans="1:9">
      <c r="A107" s="376">
        <v>22</v>
      </c>
      <c r="B107" s="376"/>
      <c r="C107" s="376"/>
      <c r="D107" s="376"/>
      <c r="E107" s="376"/>
      <c r="F107" s="376"/>
      <c r="G107" s="376"/>
      <c r="H107" s="376"/>
      <c r="I107" s="376"/>
    </row>
    <row r="108" spans="1:9">
      <c r="A108" s="376">
        <v>14</v>
      </c>
      <c r="B108" s="376"/>
      <c r="C108" s="376"/>
      <c r="D108" s="376"/>
      <c r="E108" s="376"/>
      <c r="F108" s="376"/>
      <c r="G108" s="376"/>
      <c r="H108" s="376"/>
      <c r="I108" s="376"/>
    </row>
    <row r="109" spans="1:9">
      <c r="A109" s="376">
        <v>7.9999995231628418</v>
      </c>
      <c r="B109" s="376"/>
      <c r="C109" s="376"/>
      <c r="D109" s="376"/>
      <c r="E109" s="376"/>
      <c r="F109" s="376"/>
      <c r="G109" s="376"/>
      <c r="H109" s="376"/>
      <c r="I109" s="376"/>
    </row>
    <row r="110" spans="1:9">
      <c r="A110" s="376">
        <v>5.9999995231628418</v>
      </c>
      <c r="B110" s="376"/>
      <c r="C110" s="376"/>
      <c r="D110" s="376"/>
      <c r="E110" s="376"/>
      <c r="F110" s="376"/>
      <c r="G110" s="376"/>
      <c r="H110" s="376"/>
      <c r="I110" s="376"/>
    </row>
    <row r="111" spans="1:9">
      <c r="A111" s="376">
        <v>8.0000009536743164</v>
      </c>
      <c r="B111" s="376"/>
      <c r="C111" s="376"/>
      <c r="D111" s="376"/>
      <c r="E111" s="376"/>
      <c r="F111" s="376"/>
      <c r="G111" s="376"/>
      <c r="H111" s="376"/>
      <c r="I111" s="376"/>
    </row>
    <row r="112" spans="1:9">
      <c r="A112" s="376">
        <v>14.999996185302734</v>
      </c>
      <c r="B112" s="376"/>
      <c r="C112" s="376"/>
      <c r="D112" s="376"/>
      <c r="E112" s="376"/>
      <c r="F112" s="376"/>
      <c r="G112" s="376"/>
      <c r="H112" s="376"/>
      <c r="I112" s="376"/>
    </row>
    <row r="113" spans="1:9">
      <c r="A113" s="376">
        <v>30</v>
      </c>
      <c r="B113" s="376"/>
      <c r="C113" s="376"/>
      <c r="D113" s="376"/>
      <c r="E113" s="376"/>
      <c r="F113" s="376"/>
      <c r="G113" s="376"/>
      <c r="H113" s="376"/>
      <c r="I113" s="376"/>
    </row>
  </sheetData>
  <phoneticPr fontId="8" type="noConversion"/>
  <printOptions horizontalCentered="1"/>
  <pageMargins left="0.86614173228346503" right="0" top="0.23622047244094499" bottom="0.23622047244094499" header="0" footer="0"/>
  <pageSetup scale="74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53"/>
  <sheetViews>
    <sheetView tabSelected="1" topLeftCell="A30" zoomScaleNormal="100" workbookViewId="0">
      <selection activeCell="O37" sqref="O37"/>
    </sheetView>
  </sheetViews>
  <sheetFormatPr defaultRowHeight="15.75"/>
  <cols>
    <col min="1" max="1" width="11.85546875" style="327" customWidth="1"/>
    <col min="2" max="2" width="6.140625" style="327" customWidth="1"/>
    <col min="3" max="3" width="7.42578125" style="327" customWidth="1"/>
    <col min="4" max="5" width="12.5703125" style="327" customWidth="1"/>
    <col min="6" max="6" width="9.42578125" style="327" customWidth="1"/>
    <col min="7" max="7" width="5.7109375" style="327" customWidth="1"/>
    <col min="8" max="8" width="7.85546875" style="327" customWidth="1"/>
    <col min="9" max="9" width="6.5703125" style="327" customWidth="1"/>
    <col min="10" max="10" width="12" style="328" customWidth="1"/>
    <col min="11" max="11" width="12" style="327" customWidth="1"/>
    <col min="12" max="26" width="9.140625" style="185"/>
    <col min="27" max="16384" width="9.140625" style="186"/>
  </cols>
  <sheetData>
    <row r="1" spans="1:26" ht="20.25" customHeight="1">
      <c r="A1" s="622" t="s">
        <v>267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</row>
    <row r="2" spans="1:26" ht="20.25" customHeight="1">
      <c r="A2" s="623" t="s">
        <v>268</v>
      </c>
      <c r="B2" s="623"/>
      <c r="C2" s="623"/>
      <c r="D2" s="623"/>
      <c r="E2" s="623"/>
      <c r="F2" s="623"/>
      <c r="G2" s="623"/>
      <c r="H2" s="623"/>
      <c r="I2" s="623"/>
      <c r="J2" s="623"/>
      <c r="K2" s="623"/>
    </row>
    <row r="3" spans="1:26" ht="18.75" customHeight="1" thickBot="1">
      <c r="A3" s="187" t="s">
        <v>1</v>
      </c>
      <c r="B3" s="188" t="s">
        <v>380</v>
      </c>
      <c r="C3" s="189"/>
      <c r="D3" s="189"/>
      <c r="E3" s="189"/>
      <c r="F3" s="190"/>
      <c r="G3" s="189"/>
      <c r="H3" s="189"/>
      <c r="I3" s="187" t="s">
        <v>269</v>
      </c>
      <c r="J3" s="624" t="s">
        <v>395</v>
      </c>
      <c r="K3" s="624"/>
      <c r="M3" s="185" t="s">
        <v>395</v>
      </c>
    </row>
    <row r="4" spans="1:26" s="199" customFormat="1" ht="18.399999999999999" customHeight="1" thickBot="1">
      <c r="A4" s="191" t="s">
        <v>718</v>
      </c>
      <c r="B4" s="192"/>
      <c r="C4" s="193"/>
      <c r="D4" s="193"/>
      <c r="E4" s="193"/>
      <c r="F4" s="193"/>
      <c r="G4" s="193"/>
      <c r="H4" s="193"/>
      <c r="I4" s="193"/>
      <c r="J4" s="193"/>
      <c r="K4" s="194"/>
      <c r="L4" s="195"/>
      <c r="M4" s="195"/>
      <c r="N4" s="195"/>
      <c r="O4" s="195"/>
      <c r="P4" s="195"/>
      <c r="Q4" s="196" t="s">
        <v>270</v>
      </c>
      <c r="R4" s="197"/>
      <c r="S4" s="195"/>
      <c r="T4" s="196" t="s">
        <v>271</v>
      </c>
      <c r="U4" s="198"/>
      <c r="V4" s="195"/>
      <c r="W4" s="195"/>
      <c r="X4" s="195"/>
      <c r="Y4" s="195"/>
      <c r="Z4" s="195"/>
    </row>
    <row r="5" spans="1:26" s="199" customFormat="1" ht="18.399999999999999" customHeight="1">
      <c r="A5" s="625" t="s">
        <v>272</v>
      </c>
      <c r="B5" s="626"/>
      <c r="C5" s="626"/>
      <c r="D5" s="200"/>
      <c r="E5" s="201"/>
      <c r="F5" s="202" t="s">
        <v>273</v>
      </c>
      <c r="G5" s="203"/>
      <c r="H5" s="203"/>
      <c r="I5" s="204"/>
      <c r="J5" s="205" t="s">
        <v>274</v>
      </c>
      <c r="K5" s="206" t="s">
        <v>275</v>
      </c>
      <c r="L5" s="195"/>
      <c r="M5" s="195"/>
      <c r="N5" s="195"/>
      <c r="O5" s="195"/>
      <c r="P5" s="195"/>
      <c r="Q5" s="207" t="s">
        <v>276</v>
      </c>
      <c r="R5" s="208"/>
      <c r="S5" s="195"/>
      <c r="T5" s="207" t="s">
        <v>277</v>
      </c>
      <c r="U5" s="209"/>
      <c r="V5" s="195"/>
      <c r="W5" s="195"/>
      <c r="X5" s="195"/>
      <c r="Y5" s="195"/>
      <c r="Z5" s="195"/>
    </row>
    <row r="6" spans="1:26" s="199" customFormat="1" ht="18.399999999999999" customHeight="1">
      <c r="A6" s="627" t="s">
        <v>67</v>
      </c>
      <c r="B6" s="628"/>
      <c r="C6" s="628"/>
      <c r="D6" s="629" t="s">
        <v>281</v>
      </c>
      <c r="E6" s="630"/>
      <c r="F6" s="576" t="s">
        <v>279</v>
      </c>
      <c r="G6" s="577"/>
      <c r="H6" s="577"/>
      <c r="I6" s="577"/>
      <c r="J6" s="577"/>
      <c r="K6" s="578"/>
      <c r="L6" s="195"/>
      <c r="M6" s="195"/>
      <c r="N6" s="195"/>
      <c r="O6" s="195"/>
      <c r="P6" s="195"/>
      <c r="Q6" s="207" t="s">
        <v>280</v>
      </c>
      <c r="R6" s="208"/>
      <c r="S6" s="195"/>
      <c r="T6" s="207" t="s">
        <v>281</v>
      </c>
      <c r="U6" s="209"/>
      <c r="V6" s="195"/>
      <c r="W6" s="195"/>
      <c r="X6" s="195"/>
      <c r="Y6" s="195"/>
      <c r="Z6" s="195"/>
    </row>
    <row r="7" spans="1:26" s="199" customFormat="1" ht="18.399999999999999" customHeight="1">
      <c r="A7" s="618" t="s">
        <v>20</v>
      </c>
      <c r="B7" s="619"/>
      <c r="C7" s="619"/>
      <c r="D7" s="620">
        <v>2.9000000953674299</v>
      </c>
      <c r="E7" s="621"/>
      <c r="F7" s="210" t="s">
        <v>282</v>
      </c>
      <c r="G7" s="211"/>
      <c r="H7" s="212"/>
      <c r="I7" s="213"/>
      <c r="J7" s="214">
        <v>14</v>
      </c>
      <c r="K7" s="215" t="s">
        <v>174</v>
      </c>
      <c r="L7" s="195"/>
      <c r="M7" s="195"/>
      <c r="N7" s="195"/>
      <c r="O7" s="195"/>
      <c r="P7" s="195"/>
      <c r="Q7" s="207" t="s">
        <v>283</v>
      </c>
      <c r="R7" s="208"/>
      <c r="S7" s="195"/>
      <c r="T7" s="207" t="s">
        <v>278</v>
      </c>
      <c r="U7" s="209"/>
      <c r="V7" s="195"/>
      <c r="W7" s="195"/>
      <c r="X7" s="195"/>
      <c r="Y7" s="195"/>
      <c r="Z7" s="195"/>
    </row>
    <row r="8" spans="1:26" s="199" customFormat="1" ht="18.399999999999999" customHeight="1">
      <c r="A8" s="618" t="s">
        <v>284</v>
      </c>
      <c r="B8" s="619"/>
      <c r="C8" s="619"/>
      <c r="D8" s="606">
        <v>600</v>
      </c>
      <c r="E8" s="602"/>
      <c r="F8" s="216" t="s">
        <v>285</v>
      </c>
      <c r="G8" s="217"/>
      <c r="H8" s="218"/>
      <c r="I8" s="219"/>
      <c r="J8" s="220">
        <v>10290</v>
      </c>
      <c r="K8" s="221" t="s">
        <v>174</v>
      </c>
      <c r="L8" s="195"/>
      <c r="M8" s="195"/>
      <c r="N8" s="195"/>
      <c r="O8" s="195"/>
      <c r="P8" s="195"/>
      <c r="Q8" s="207" t="s">
        <v>286</v>
      </c>
      <c r="R8" s="208"/>
      <c r="S8" s="195"/>
      <c r="T8" s="207" t="s">
        <v>287</v>
      </c>
      <c r="U8" s="209"/>
      <c r="V8" s="195"/>
      <c r="W8" s="195"/>
      <c r="X8" s="195"/>
      <c r="Y8" s="195"/>
      <c r="Z8" s="195"/>
    </row>
    <row r="9" spans="1:26" s="199" customFormat="1" ht="18.399999999999999" customHeight="1">
      <c r="A9" s="613" t="s">
        <v>288</v>
      </c>
      <c r="B9" s="614"/>
      <c r="C9" s="615"/>
      <c r="D9" s="606">
        <v>16</v>
      </c>
      <c r="E9" s="602"/>
      <c r="F9" s="210" t="s">
        <v>289</v>
      </c>
      <c r="G9" s="211"/>
      <c r="H9" s="222">
        <v>3</v>
      </c>
      <c r="I9" s="223" t="s">
        <v>290</v>
      </c>
      <c r="J9" s="224">
        <v>137</v>
      </c>
      <c r="K9" s="221" t="s">
        <v>174</v>
      </c>
      <c r="L9" s="195"/>
      <c r="M9" s="195"/>
      <c r="N9" s="195"/>
      <c r="O9" s="195"/>
      <c r="P9" s="195"/>
      <c r="Q9" s="207" t="s">
        <v>291</v>
      </c>
      <c r="R9" s="208"/>
      <c r="S9" s="195"/>
      <c r="T9" s="207" t="s">
        <v>292</v>
      </c>
      <c r="U9" s="209"/>
      <c r="V9" s="195"/>
      <c r="W9" s="195"/>
      <c r="X9" s="195"/>
      <c r="Y9" s="195"/>
      <c r="Z9" s="195"/>
    </row>
    <row r="10" spans="1:26" s="199" customFormat="1" ht="18.399999999999999" customHeight="1" thickBot="1">
      <c r="A10" s="613" t="s">
        <v>293</v>
      </c>
      <c r="B10" s="614"/>
      <c r="C10" s="615"/>
      <c r="D10" s="589" t="s">
        <v>200</v>
      </c>
      <c r="E10" s="590"/>
      <c r="F10" s="210" t="s">
        <v>294</v>
      </c>
      <c r="G10" s="211"/>
      <c r="H10" s="222">
        <v>3</v>
      </c>
      <c r="I10" s="223" t="s">
        <v>290</v>
      </c>
      <c r="J10" s="224">
        <v>1150</v>
      </c>
      <c r="K10" s="221" t="s">
        <v>174</v>
      </c>
      <c r="L10" s="195"/>
      <c r="M10" s="195"/>
      <c r="N10" s="195"/>
      <c r="O10" s="195"/>
      <c r="P10" s="195"/>
      <c r="Q10" s="207" t="s">
        <v>295</v>
      </c>
      <c r="R10" s="208"/>
      <c r="S10" s="195"/>
      <c r="T10" s="225" t="s">
        <v>296</v>
      </c>
      <c r="U10" s="226"/>
      <c r="V10" s="195"/>
      <c r="W10" s="195"/>
      <c r="X10" s="195"/>
      <c r="Y10" s="195"/>
      <c r="Z10" s="195"/>
    </row>
    <row r="11" spans="1:26" s="199" customFormat="1" ht="18.399999999999999" customHeight="1" thickBot="1">
      <c r="A11" s="613" t="s">
        <v>297</v>
      </c>
      <c r="B11" s="614"/>
      <c r="C11" s="615"/>
      <c r="D11" s="584" t="s">
        <v>174</v>
      </c>
      <c r="E11" s="585"/>
      <c r="F11" s="227" t="s">
        <v>298</v>
      </c>
      <c r="G11" s="228"/>
      <c r="H11" s="229">
        <v>3</v>
      </c>
      <c r="I11" s="223" t="s">
        <v>290</v>
      </c>
      <c r="J11" s="230">
        <v>17659</v>
      </c>
      <c r="K11" s="231" t="s">
        <v>174</v>
      </c>
      <c r="L11" s="195"/>
      <c r="M11" s="195"/>
      <c r="N11" s="195"/>
      <c r="O11" s="195"/>
      <c r="P11" s="195"/>
      <c r="Q11" s="207" t="s">
        <v>299</v>
      </c>
      <c r="R11" s="208"/>
      <c r="S11" s="195"/>
      <c r="T11" s="196" t="s">
        <v>300</v>
      </c>
      <c r="U11" s="198"/>
      <c r="V11" s="195"/>
      <c r="W11" s="195"/>
      <c r="X11" s="195"/>
      <c r="Y11" s="195"/>
      <c r="Z11" s="195"/>
    </row>
    <row r="12" spans="1:26" s="199" customFormat="1" ht="18.399999999999999" customHeight="1" thickBot="1">
      <c r="A12" s="232" t="s">
        <v>301</v>
      </c>
      <c r="C12" s="233"/>
      <c r="D12" s="616" t="s">
        <v>174</v>
      </c>
      <c r="E12" s="617"/>
      <c r="F12" s="586" t="s">
        <v>302</v>
      </c>
      <c r="G12" s="587"/>
      <c r="H12" s="587"/>
      <c r="I12" s="587"/>
      <c r="J12" s="587"/>
      <c r="K12" s="588"/>
      <c r="L12" s="195"/>
      <c r="M12" s="195"/>
      <c r="N12" s="195"/>
      <c r="O12" s="195"/>
      <c r="P12" s="195"/>
      <c r="Q12" s="225" t="s">
        <v>303</v>
      </c>
      <c r="R12" s="234"/>
      <c r="S12" s="195"/>
      <c r="T12" s="195"/>
      <c r="U12" s="195"/>
      <c r="V12" s="195"/>
      <c r="W12" s="195"/>
      <c r="X12" s="195"/>
      <c r="Y12" s="195"/>
      <c r="Z12" s="195"/>
    </row>
    <row r="13" spans="1:26" s="199" customFormat="1" ht="18.399999999999999" customHeight="1">
      <c r="A13" s="613" t="s">
        <v>53</v>
      </c>
      <c r="B13" s="614"/>
      <c r="C13" s="615"/>
      <c r="D13" s="609" t="s">
        <v>719</v>
      </c>
      <c r="E13" s="610"/>
      <c r="F13" s="235"/>
      <c r="G13" s="236" t="s">
        <v>304</v>
      </c>
      <c r="H13" s="237"/>
      <c r="I13" s="238" t="s">
        <v>305</v>
      </c>
      <c r="J13" s="239" t="s">
        <v>383</v>
      </c>
      <c r="K13" s="240" t="s">
        <v>174</v>
      </c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</row>
    <row r="14" spans="1:26" s="199" customFormat="1" ht="18.399999999999999" customHeight="1">
      <c r="A14" s="613" t="s">
        <v>56</v>
      </c>
      <c r="B14" s="614"/>
      <c r="C14" s="615"/>
      <c r="D14" s="616">
        <v>1245</v>
      </c>
      <c r="E14" s="617"/>
      <c r="F14" s="235"/>
      <c r="G14" s="241" t="s">
        <v>10</v>
      </c>
      <c r="H14" s="242"/>
      <c r="I14" s="242"/>
      <c r="J14" s="224" t="s">
        <v>174</v>
      </c>
      <c r="K14" s="221" t="s">
        <v>174</v>
      </c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</row>
    <row r="15" spans="1:26" s="199" customFormat="1" ht="18.399999999999999" customHeight="1">
      <c r="A15" s="603" t="s">
        <v>306</v>
      </c>
      <c r="B15" s="604"/>
      <c r="C15" s="605"/>
      <c r="D15" s="582">
        <v>9.4404001235961914</v>
      </c>
      <c r="E15" s="583"/>
      <c r="F15" s="235"/>
      <c r="G15" s="241" t="s">
        <v>307</v>
      </c>
      <c r="H15" s="242"/>
      <c r="I15" s="242"/>
      <c r="J15" s="224" t="s">
        <v>174</v>
      </c>
      <c r="K15" s="221" t="s">
        <v>174</v>
      </c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</row>
    <row r="16" spans="1:26" s="199" customFormat="1" ht="18.399999999999999" customHeight="1">
      <c r="A16" s="579" t="s">
        <v>308</v>
      </c>
      <c r="B16" s="580"/>
      <c r="C16" s="581"/>
      <c r="D16" s="582">
        <v>3.236799955368042</v>
      </c>
      <c r="E16" s="583"/>
      <c r="F16" s="243"/>
      <c r="G16" s="244" t="s">
        <v>17</v>
      </c>
      <c r="H16" s="245"/>
      <c r="I16" s="245"/>
      <c r="J16" s="230" t="s">
        <v>174</v>
      </c>
      <c r="K16" s="231" t="s">
        <v>174</v>
      </c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</row>
    <row r="17" spans="1:26" s="199" customFormat="1" ht="18.399999999999999" customHeight="1">
      <c r="A17" s="246" t="s">
        <v>309</v>
      </c>
      <c r="B17" s="247"/>
      <c r="C17" s="248"/>
      <c r="D17" s="584" t="s">
        <v>381</v>
      </c>
      <c r="E17" s="585"/>
      <c r="F17" s="586" t="s">
        <v>310</v>
      </c>
      <c r="G17" s="587"/>
      <c r="H17" s="587"/>
      <c r="I17" s="587"/>
      <c r="J17" s="587"/>
      <c r="K17" s="588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</row>
    <row r="18" spans="1:26" s="199" customFormat="1" ht="18.399999999999999" customHeight="1">
      <c r="A18" s="249" t="s">
        <v>311</v>
      </c>
      <c r="B18" s="250"/>
      <c r="C18" s="248"/>
      <c r="D18" s="589" t="s">
        <v>174</v>
      </c>
      <c r="E18" s="590"/>
      <c r="F18" s="591"/>
      <c r="G18" s="592"/>
      <c r="H18" s="251" t="s">
        <v>312</v>
      </c>
      <c r="I18" s="252"/>
      <c r="J18" s="220" t="s">
        <v>717</v>
      </c>
      <c r="K18" s="221"/>
      <c r="L18" s="195"/>
      <c r="M18" s="195" t="e">
        <f>J18*6.5</f>
        <v>#VALUE!</v>
      </c>
      <c r="N18" s="195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</row>
    <row r="19" spans="1:26" s="199" customFormat="1" ht="18.399999999999999" customHeight="1">
      <c r="A19" s="597" t="s">
        <v>313</v>
      </c>
      <c r="B19" s="598"/>
      <c r="C19" s="599"/>
      <c r="D19" s="600" t="s">
        <v>174</v>
      </c>
      <c r="E19" s="585"/>
      <c r="F19" s="593"/>
      <c r="G19" s="594"/>
      <c r="H19" s="251" t="s">
        <v>5</v>
      </c>
      <c r="I19" s="213"/>
      <c r="J19" s="220">
        <v>3575</v>
      </c>
      <c r="K19" s="221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</row>
    <row r="20" spans="1:26" s="199" customFormat="1" ht="18.399999999999999" customHeight="1" thickBot="1">
      <c r="A20" s="253" t="s">
        <v>314</v>
      </c>
      <c r="C20" s="254"/>
      <c r="D20" s="601" t="s">
        <v>199</v>
      </c>
      <c r="E20" s="602"/>
      <c r="F20" s="593"/>
      <c r="G20" s="594"/>
      <c r="H20" s="251" t="s">
        <v>315</v>
      </c>
      <c r="I20" s="213"/>
      <c r="J20" s="224" t="s">
        <v>385</v>
      </c>
      <c r="K20" s="221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</row>
    <row r="21" spans="1:26" s="199" customFormat="1" ht="18.399999999999999" customHeight="1" thickBot="1">
      <c r="A21" s="603" t="s">
        <v>316</v>
      </c>
      <c r="B21" s="604"/>
      <c r="C21" s="605"/>
      <c r="D21" s="606" t="s">
        <v>174</v>
      </c>
      <c r="E21" s="602"/>
      <c r="F21" s="593"/>
      <c r="G21" s="594"/>
      <c r="H21" s="255" t="s">
        <v>317</v>
      </c>
      <c r="I21" s="213"/>
      <c r="J21" s="224">
        <v>1.1499999999999999</v>
      </c>
      <c r="K21" s="221"/>
      <c r="L21" s="195"/>
      <c r="M21" s="195"/>
      <c r="N21" s="195"/>
      <c r="O21" s="195"/>
      <c r="P21" s="195"/>
      <c r="Q21" s="196" t="s">
        <v>318</v>
      </c>
      <c r="R21" s="198"/>
      <c r="S21" s="195"/>
      <c r="T21" s="195"/>
      <c r="U21" s="195"/>
      <c r="V21" s="195"/>
      <c r="W21" s="195"/>
      <c r="X21" s="195"/>
      <c r="Y21" s="195"/>
      <c r="Z21" s="195"/>
    </row>
    <row r="22" spans="1:26" s="199" customFormat="1" ht="18.399999999999999" customHeight="1">
      <c r="A22" s="249" t="s">
        <v>319</v>
      </c>
      <c r="B22" s="256"/>
      <c r="C22" s="256"/>
      <c r="D22" s="607">
        <v>0.16889999806880951</v>
      </c>
      <c r="E22" s="608"/>
      <c r="F22" s="593"/>
      <c r="G22" s="594"/>
      <c r="H22" s="251" t="s">
        <v>274</v>
      </c>
      <c r="I22" s="213"/>
      <c r="J22" s="224" t="s">
        <v>174</v>
      </c>
      <c r="K22" s="221"/>
      <c r="L22" s="195"/>
      <c r="M22" s="195"/>
      <c r="N22" s="195"/>
      <c r="O22" s="195"/>
      <c r="P22" s="195"/>
      <c r="Q22" s="207" t="s">
        <v>321</v>
      </c>
      <c r="R22" s="209"/>
      <c r="S22" s="195"/>
      <c r="T22" s="195"/>
      <c r="U22" s="195"/>
      <c r="V22" s="195"/>
      <c r="W22" s="195"/>
      <c r="X22" s="195"/>
      <c r="Y22" s="195"/>
      <c r="Z22" s="195"/>
    </row>
    <row r="23" spans="1:26" s="199" customFormat="1" ht="18.399999999999999" customHeight="1">
      <c r="A23" s="257" t="s">
        <v>322</v>
      </c>
      <c r="B23" s="258" t="s">
        <v>323</v>
      </c>
      <c r="C23" s="259"/>
      <c r="D23" s="609">
        <v>470.8</v>
      </c>
      <c r="E23" s="610"/>
      <c r="F23" s="593"/>
      <c r="G23" s="594"/>
      <c r="H23" s="260" t="s">
        <v>324</v>
      </c>
      <c r="I23" s="261"/>
      <c r="J23" s="262" t="s">
        <v>174</v>
      </c>
      <c r="K23" s="263"/>
      <c r="L23" s="195"/>
      <c r="Q23" s="207" t="s">
        <v>325</v>
      </c>
      <c r="R23" s="209"/>
      <c r="S23" s="195"/>
      <c r="T23" s="195"/>
      <c r="U23" s="195"/>
      <c r="V23" s="195"/>
      <c r="W23" s="195"/>
      <c r="X23" s="195"/>
      <c r="Y23" s="195"/>
      <c r="Z23" s="195"/>
    </row>
    <row r="24" spans="1:26" s="199" customFormat="1" ht="18.399999999999999" customHeight="1" thickBot="1">
      <c r="A24" s="264" t="s">
        <v>326</v>
      </c>
      <c r="B24" s="265" t="s">
        <v>327</v>
      </c>
      <c r="C24" s="266"/>
      <c r="D24" s="611" t="s">
        <v>174</v>
      </c>
      <c r="E24" s="612"/>
      <c r="F24" s="593"/>
      <c r="G24" s="594"/>
      <c r="H24" s="251" t="s">
        <v>328</v>
      </c>
      <c r="I24" s="233"/>
      <c r="J24" s="267" t="s">
        <v>174</v>
      </c>
      <c r="K24" s="268"/>
      <c r="Q24" s="269" t="s">
        <v>174</v>
      </c>
      <c r="R24" s="270"/>
      <c r="S24" s="195"/>
      <c r="T24" s="195"/>
      <c r="U24" s="195"/>
      <c r="V24" s="195"/>
      <c r="W24" s="195"/>
      <c r="X24" s="195"/>
      <c r="Y24" s="195"/>
      <c r="Z24" s="195"/>
    </row>
    <row r="25" spans="1:26" s="199" customFormat="1" ht="18.399999999999999" customHeight="1">
      <c r="A25" s="271" t="s">
        <v>329</v>
      </c>
      <c r="B25" s="272"/>
      <c r="C25" s="272"/>
      <c r="D25" s="273"/>
      <c r="E25" s="273" t="s">
        <v>330</v>
      </c>
      <c r="F25" s="593"/>
      <c r="G25" s="594"/>
      <c r="H25" s="251" t="s">
        <v>331</v>
      </c>
      <c r="I25" s="233"/>
      <c r="J25" s="274" t="s">
        <v>174</v>
      </c>
      <c r="K25" s="268"/>
      <c r="R25" s="195"/>
      <c r="S25" s="195"/>
      <c r="T25" s="195"/>
      <c r="U25" s="195"/>
      <c r="V25" s="195"/>
      <c r="W25" s="195"/>
      <c r="X25" s="195"/>
      <c r="Y25" s="195"/>
      <c r="Z25" s="195"/>
    </row>
    <row r="26" spans="1:26" s="199" customFormat="1" ht="18.399999999999999" customHeight="1">
      <c r="A26" s="275" t="s">
        <v>332</v>
      </c>
      <c r="B26" s="276"/>
      <c r="C26" s="277"/>
      <c r="D26" s="278" t="s">
        <v>384</v>
      </c>
      <c r="E26" s="278" t="s">
        <v>386</v>
      </c>
      <c r="F26" s="595"/>
      <c r="G26" s="596"/>
      <c r="H26" s="558"/>
      <c r="I26" s="559"/>
      <c r="J26" s="279"/>
      <c r="K26" s="280"/>
      <c r="R26" s="195"/>
      <c r="S26" s="195"/>
      <c r="T26" s="195"/>
      <c r="U26" s="195"/>
      <c r="V26" s="195"/>
      <c r="W26" s="195"/>
      <c r="X26" s="195"/>
      <c r="Y26" s="195"/>
      <c r="Z26" s="195"/>
    </row>
    <row r="27" spans="1:26" s="199" customFormat="1" ht="18.399999999999999" customHeight="1">
      <c r="A27" s="568" t="s">
        <v>333</v>
      </c>
      <c r="B27" s="569"/>
      <c r="C27" s="569"/>
      <c r="D27" s="569"/>
      <c r="E27" s="569"/>
      <c r="F27" s="576" t="s">
        <v>334</v>
      </c>
      <c r="G27" s="577"/>
      <c r="H27" s="577"/>
      <c r="I27" s="577"/>
      <c r="J27" s="577"/>
      <c r="K27" s="578"/>
      <c r="R27" s="195"/>
      <c r="S27" s="195"/>
      <c r="T27" s="195"/>
      <c r="U27" s="195"/>
      <c r="V27" s="195"/>
      <c r="W27" s="195"/>
      <c r="X27" s="195"/>
      <c r="Y27" s="195"/>
      <c r="Z27" s="195"/>
    </row>
    <row r="28" spans="1:26" s="199" customFormat="1" ht="18.399999999999999" customHeight="1">
      <c r="A28" s="562"/>
      <c r="B28" s="563"/>
      <c r="C28" s="563"/>
      <c r="D28" s="563"/>
      <c r="E28" s="564"/>
      <c r="F28" s="281"/>
      <c r="G28" s="282"/>
      <c r="H28" s="241" t="s">
        <v>335</v>
      </c>
      <c r="I28" s="283" t="s">
        <v>382</v>
      </c>
      <c r="J28" s="220" t="s">
        <v>716</v>
      </c>
      <c r="K28" s="284" t="s">
        <v>174</v>
      </c>
      <c r="M28" s="199" t="e">
        <f>(J28/J18)*100</f>
        <v>#VALUE!</v>
      </c>
      <c r="N28" s="285"/>
      <c r="R28" s="195"/>
      <c r="S28" s="195"/>
      <c r="T28" s="195"/>
      <c r="U28" s="195"/>
      <c r="V28" s="195"/>
      <c r="W28" s="195"/>
      <c r="X28" s="195"/>
      <c r="Y28" s="195"/>
      <c r="Z28" s="195"/>
    </row>
    <row r="29" spans="1:26" s="199" customFormat="1" ht="18.399999999999999" customHeight="1">
      <c r="A29" s="562"/>
      <c r="B29" s="563"/>
      <c r="C29" s="563"/>
      <c r="D29" s="563"/>
      <c r="E29" s="564"/>
      <c r="F29" s="286"/>
      <c r="G29" s="287"/>
      <c r="H29" s="241" t="s">
        <v>336</v>
      </c>
      <c r="I29" s="288">
        <v>60</v>
      </c>
      <c r="J29" s="220">
        <v>97</v>
      </c>
      <c r="K29" s="215" t="s">
        <v>174</v>
      </c>
      <c r="Q29" s="195"/>
      <c r="R29" s="195"/>
      <c r="S29" s="195"/>
      <c r="T29" s="195"/>
      <c r="U29" s="195"/>
      <c r="V29" s="195"/>
      <c r="W29" s="195"/>
      <c r="X29" s="195"/>
      <c r="Y29" s="195"/>
      <c r="Z29" s="195"/>
    </row>
    <row r="30" spans="1:26" s="199" customFormat="1" ht="18.399999999999999" customHeight="1">
      <c r="A30" s="562"/>
      <c r="B30" s="563"/>
      <c r="C30" s="563"/>
      <c r="D30" s="563"/>
      <c r="E30" s="564"/>
      <c r="F30" s="286"/>
      <c r="G30" s="287"/>
      <c r="H30" s="241" t="s">
        <v>337</v>
      </c>
      <c r="I30" s="288">
        <v>175</v>
      </c>
      <c r="J30" s="220">
        <v>272</v>
      </c>
      <c r="K30" s="215" t="s">
        <v>174</v>
      </c>
      <c r="L30" s="195"/>
      <c r="R30" s="195"/>
      <c r="S30" s="195"/>
      <c r="T30" s="195"/>
      <c r="U30" s="195"/>
      <c r="V30" s="195"/>
      <c r="W30" s="195"/>
      <c r="X30" s="195"/>
      <c r="Y30" s="195"/>
      <c r="Z30" s="195"/>
    </row>
    <row r="31" spans="1:26" s="199" customFormat="1" ht="18.399999999999999" customHeight="1">
      <c r="A31" s="562"/>
      <c r="B31" s="563"/>
      <c r="C31" s="563"/>
      <c r="D31" s="563"/>
      <c r="E31" s="564"/>
      <c r="F31" s="286"/>
      <c r="G31" s="287"/>
      <c r="H31" s="241" t="s">
        <v>338</v>
      </c>
      <c r="I31" s="242"/>
      <c r="J31" s="289">
        <v>0.68</v>
      </c>
      <c r="K31" s="215" t="s">
        <v>174</v>
      </c>
      <c r="L31" s="195"/>
      <c r="R31" s="195"/>
      <c r="S31" s="195"/>
      <c r="T31" s="195"/>
      <c r="U31" s="195"/>
      <c r="V31" s="195"/>
      <c r="W31" s="195"/>
      <c r="X31" s="195"/>
      <c r="Y31" s="195"/>
      <c r="Z31" s="195"/>
    </row>
    <row r="32" spans="1:26" s="199" customFormat="1" ht="18.399999999999999" customHeight="1">
      <c r="A32" s="565"/>
      <c r="B32" s="566"/>
      <c r="C32" s="566"/>
      <c r="D32" s="566"/>
      <c r="E32" s="567"/>
      <c r="F32" s="286"/>
      <c r="G32" s="290" t="s">
        <v>339</v>
      </c>
      <c r="H32" s="241" t="s">
        <v>340</v>
      </c>
      <c r="I32" s="291"/>
      <c r="J32" s="214">
        <v>94.8</v>
      </c>
      <c r="K32" s="215" t="s">
        <v>174</v>
      </c>
      <c r="L32" s="195"/>
      <c r="N32" s="292"/>
      <c r="R32" s="195"/>
      <c r="S32" s="195"/>
      <c r="T32" s="195"/>
      <c r="U32" s="195"/>
      <c r="V32" s="195"/>
      <c r="W32" s="195"/>
      <c r="X32" s="195"/>
      <c r="Y32" s="195"/>
      <c r="Z32" s="195"/>
    </row>
    <row r="33" spans="1:26" s="199" customFormat="1" ht="18.399999999999999" customHeight="1">
      <c r="A33" s="568" t="s">
        <v>341</v>
      </c>
      <c r="B33" s="569"/>
      <c r="C33" s="569"/>
      <c r="D33" s="569"/>
      <c r="E33" s="570"/>
      <c r="F33" s="293"/>
      <c r="G33" s="294"/>
      <c r="H33" s="295" t="s">
        <v>342</v>
      </c>
      <c r="I33" s="296"/>
      <c r="J33" s="297">
        <v>92.5</v>
      </c>
      <c r="K33" s="284" t="s">
        <v>174</v>
      </c>
      <c r="L33" s="195"/>
      <c r="R33" s="195"/>
      <c r="S33" s="195"/>
      <c r="T33" s="195"/>
      <c r="U33" s="195"/>
      <c r="V33" s="195"/>
      <c r="W33" s="195"/>
      <c r="X33" s="195"/>
      <c r="Y33" s="195"/>
      <c r="Z33" s="195"/>
    </row>
    <row r="34" spans="1:26" s="199" customFormat="1" ht="18.399999999999999" customHeight="1">
      <c r="A34" s="562"/>
      <c r="B34" s="563"/>
      <c r="C34" s="563"/>
      <c r="D34" s="563"/>
      <c r="E34" s="564"/>
      <c r="F34" s="216" t="s">
        <v>343</v>
      </c>
      <c r="G34" s="298"/>
      <c r="H34" s="299" t="s">
        <v>14</v>
      </c>
      <c r="I34" s="300"/>
      <c r="J34" s="301">
        <v>3574</v>
      </c>
      <c r="K34" s="284" t="s">
        <v>174</v>
      </c>
      <c r="L34" s="302"/>
      <c r="M34" s="303"/>
      <c r="R34" s="195"/>
      <c r="S34" s="195"/>
      <c r="T34" s="195"/>
      <c r="U34" s="195"/>
      <c r="V34" s="195"/>
      <c r="W34" s="195"/>
      <c r="X34" s="195"/>
      <c r="Y34" s="195"/>
      <c r="Z34" s="195"/>
    </row>
    <row r="35" spans="1:26" s="199" customFormat="1" ht="18.399999999999999" customHeight="1">
      <c r="A35" s="562"/>
      <c r="B35" s="563"/>
      <c r="C35" s="563"/>
      <c r="D35" s="563"/>
      <c r="E35" s="564"/>
      <c r="F35" s="235"/>
      <c r="G35" s="304"/>
      <c r="H35" s="305" t="s">
        <v>15</v>
      </c>
      <c r="I35" s="306"/>
      <c r="J35" s="220">
        <v>3197</v>
      </c>
      <c r="K35" s="284" t="s">
        <v>174</v>
      </c>
      <c r="M35" s="303"/>
      <c r="R35" s="195"/>
      <c r="S35" s="195"/>
      <c r="T35" s="195"/>
      <c r="U35" s="195"/>
      <c r="V35" s="195"/>
      <c r="W35" s="195"/>
      <c r="X35" s="195"/>
      <c r="Y35" s="195"/>
      <c r="Z35" s="195"/>
    </row>
    <row r="36" spans="1:26" s="199" customFormat="1" ht="18.399999999999999" customHeight="1">
      <c r="A36" s="562"/>
      <c r="B36" s="563"/>
      <c r="C36" s="563"/>
      <c r="D36" s="563"/>
      <c r="E36" s="564"/>
      <c r="F36" s="235"/>
      <c r="G36" s="304"/>
      <c r="H36" s="305" t="s">
        <v>344</v>
      </c>
      <c r="I36" s="306"/>
      <c r="J36" s="220">
        <v>3207</v>
      </c>
      <c r="K36" s="284" t="s">
        <v>174</v>
      </c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spans="1:26" s="199" customFormat="1" ht="18.399999999999999" customHeight="1">
      <c r="A37" s="562"/>
      <c r="B37" s="563"/>
      <c r="C37" s="563"/>
      <c r="D37" s="563"/>
      <c r="E37" s="564"/>
      <c r="F37" s="286"/>
      <c r="G37" s="304"/>
      <c r="H37" s="305" t="s">
        <v>345</v>
      </c>
      <c r="I37" s="306"/>
      <c r="J37" s="220">
        <v>7058</v>
      </c>
      <c r="K37" s="307" t="s">
        <v>174</v>
      </c>
      <c r="M37" s="308"/>
      <c r="R37" s="195"/>
      <c r="S37" s="195"/>
      <c r="T37" s="195"/>
      <c r="U37" s="195"/>
      <c r="V37" s="195"/>
      <c r="W37" s="195"/>
      <c r="X37" s="195"/>
      <c r="Y37" s="195"/>
      <c r="Z37" s="195"/>
    </row>
    <row r="38" spans="1:26" s="199" customFormat="1" ht="18.399999999999999" customHeight="1">
      <c r="A38" s="565"/>
      <c r="B38" s="566"/>
      <c r="C38" s="566"/>
      <c r="D38" s="566"/>
      <c r="E38" s="567"/>
      <c r="F38" s="243"/>
      <c r="G38" s="309"/>
      <c r="H38" s="310" t="s">
        <v>346</v>
      </c>
      <c r="I38" s="311"/>
      <c r="J38" s="312">
        <v>7354</v>
      </c>
      <c r="K38" s="284" t="s">
        <v>174</v>
      </c>
      <c r="R38" s="195"/>
      <c r="S38" s="195"/>
      <c r="T38" s="195"/>
      <c r="U38" s="195"/>
      <c r="V38" s="195"/>
      <c r="W38" s="195"/>
      <c r="X38" s="195"/>
      <c r="Y38" s="195"/>
      <c r="Z38" s="195"/>
    </row>
    <row r="39" spans="1:26" s="199" customFormat="1" ht="18.399999999999999" customHeight="1" thickBot="1">
      <c r="A39" s="568" t="s">
        <v>347</v>
      </c>
      <c r="B39" s="569"/>
      <c r="C39" s="569"/>
      <c r="D39" s="569"/>
      <c r="E39" s="569"/>
      <c r="F39" s="367" t="s">
        <v>348</v>
      </c>
      <c r="G39" s="368" t="s">
        <v>387</v>
      </c>
      <c r="H39" s="368"/>
      <c r="I39" s="368"/>
      <c r="J39" s="368"/>
      <c r="K39" s="369"/>
      <c r="R39" s="195"/>
      <c r="S39" s="195"/>
      <c r="T39" s="195"/>
      <c r="U39" s="195"/>
      <c r="V39" s="195"/>
      <c r="W39" s="195"/>
      <c r="X39" s="195"/>
      <c r="Y39" s="195"/>
      <c r="Z39" s="195"/>
    </row>
    <row r="40" spans="1:26" s="199" customFormat="1" ht="18.399999999999999" customHeight="1">
      <c r="A40" s="562"/>
      <c r="B40" s="563"/>
      <c r="C40" s="563"/>
      <c r="D40" s="563"/>
      <c r="E40" s="564"/>
      <c r="F40" s="370" t="s">
        <v>388</v>
      </c>
      <c r="G40" s="371" t="s">
        <v>389</v>
      </c>
      <c r="H40" s="371"/>
      <c r="I40" s="371"/>
      <c r="J40" s="371"/>
      <c r="K40" s="372"/>
      <c r="Q40" s="686" t="s">
        <v>720</v>
      </c>
      <c r="R40" s="687"/>
      <c r="S40" s="688"/>
      <c r="T40" s="195"/>
      <c r="U40" s="195"/>
      <c r="V40" s="195"/>
      <c r="W40" s="195"/>
      <c r="X40" s="195"/>
      <c r="Y40" s="195"/>
      <c r="Z40" s="195"/>
    </row>
    <row r="41" spans="1:26" s="199" customFormat="1" ht="18.399999999999999" customHeight="1">
      <c r="A41" s="562"/>
      <c r="B41" s="563"/>
      <c r="C41" s="563"/>
      <c r="D41" s="563"/>
      <c r="E41" s="564"/>
      <c r="F41" s="313"/>
      <c r="G41" s="695" t="s">
        <v>724</v>
      </c>
      <c r="H41" s="314"/>
      <c r="I41" s="314"/>
      <c r="J41" s="314"/>
      <c r="K41" s="315"/>
      <c r="L41" s="316"/>
      <c r="Q41" s="689" t="s">
        <v>722</v>
      </c>
      <c r="R41" s="690"/>
      <c r="S41" s="691"/>
      <c r="T41" s="195"/>
      <c r="U41" s="195"/>
      <c r="V41" s="195"/>
      <c r="W41" s="195"/>
      <c r="X41" s="195"/>
      <c r="Y41" s="195"/>
      <c r="Z41" s="195"/>
    </row>
    <row r="42" spans="1:26" s="199" customFormat="1" ht="18.399999999999999" customHeight="1">
      <c r="A42" s="562"/>
      <c r="B42" s="563"/>
      <c r="C42" s="563"/>
      <c r="D42" s="563"/>
      <c r="E42" s="564"/>
      <c r="F42" s="313"/>
      <c r="G42" s="314" t="s">
        <v>394</v>
      </c>
      <c r="H42" s="314"/>
      <c r="I42" s="314"/>
      <c r="J42" s="314"/>
      <c r="K42" s="315"/>
      <c r="L42" s="195"/>
      <c r="M42" s="195"/>
      <c r="N42" s="195"/>
      <c r="O42" s="195"/>
      <c r="P42" s="195"/>
      <c r="Q42" s="692" t="s">
        <v>721</v>
      </c>
      <c r="R42" s="690"/>
      <c r="S42" s="691"/>
      <c r="T42" s="195"/>
      <c r="U42" s="195"/>
      <c r="V42" s="195"/>
      <c r="W42" s="195"/>
      <c r="X42" s="195"/>
      <c r="Y42" s="195"/>
      <c r="Z42" s="195"/>
    </row>
    <row r="43" spans="1:26" s="199" customFormat="1" ht="18.399999999999999" customHeight="1">
      <c r="A43" s="562"/>
      <c r="B43" s="563"/>
      <c r="C43" s="563"/>
      <c r="D43" s="563"/>
      <c r="E43" s="564"/>
      <c r="F43" s="313"/>
      <c r="G43" s="314" t="s">
        <v>390</v>
      </c>
      <c r="H43" s="314"/>
      <c r="I43" s="314"/>
      <c r="J43" s="314"/>
      <c r="K43" s="315"/>
      <c r="L43" s="195"/>
      <c r="M43" s="195"/>
      <c r="N43" s="195"/>
      <c r="O43" s="195"/>
      <c r="P43" s="195"/>
      <c r="Q43" s="692" t="s">
        <v>723</v>
      </c>
      <c r="R43" s="690"/>
      <c r="S43" s="691"/>
      <c r="T43" s="195"/>
      <c r="U43" s="195"/>
      <c r="V43" s="195"/>
      <c r="W43" s="195"/>
      <c r="X43" s="195"/>
      <c r="Y43" s="195"/>
      <c r="Z43" s="195"/>
    </row>
    <row r="44" spans="1:26" s="199" customFormat="1" ht="17.100000000000001" customHeight="1" thickBot="1">
      <c r="A44" s="571"/>
      <c r="B44" s="572"/>
      <c r="C44" s="572"/>
      <c r="D44" s="572"/>
      <c r="E44" s="573"/>
      <c r="F44" s="313"/>
      <c r="G44" s="373" t="s">
        <v>391</v>
      </c>
      <c r="H44" s="314"/>
      <c r="I44" s="314"/>
      <c r="J44" s="314"/>
      <c r="K44" s="315"/>
      <c r="L44" s="195"/>
      <c r="M44" s="195"/>
      <c r="N44" s="195"/>
      <c r="O44" s="195"/>
      <c r="P44" s="195"/>
      <c r="Q44" s="693"/>
      <c r="R44" s="694"/>
      <c r="S44" s="270"/>
      <c r="T44" s="195"/>
      <c r="U44" s="195"/>
      <c r="V44" s="195"/>
      <c r="W44" s="195"/>
      <c r="X44" s="195"/>
      <c r="Y44" s="195"/>
      <c r="Z44" s="195"/>
    </row>
    <row r="45" spans="1:26" s="199" customFormat="1" ht="17.100000000000001" customHeight="1">
      <c r="A45" s="317" t="s">
        <v>349</v>
      </c>
      <c r="B45" s="574"/>
      <c r="C45" s="575"/>
      <c r="D45" s="318" t="s">
        <v>350</v>
      </c>
      <c r="E45" s="319" t="s">
        <v>351</v>
      </c>
      <c r="F45" s="320"/>
      <c r="G45" s="373" t="s">
        <v>392</v>
      </c>
      <c r="H45" s="314"/>
      <c r="I45" s="314"/>
      <c r="J45" s="314"/>
      <c r="K45" s="31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spans="1:26" s="199" customFormat="1" ht="17.100000000000001" customHeight="1" thickBot="1">
      <c r="A46" s="321" t="s">
        <v>352</v>
      </c>
      <c r="B46" s="560"/>
      <c r="C46" s="561"/>
      <c r="D46" s="322" t="s">
        <v>352</v>
      </c>
      <c r="E46" s="323">
        <v>43945</v>
      </c>
      <c r="F46" s="324"/>
      <c r="G46" s="374" t="s">
        <v>393</v>
      </c>
      <c r="H46" s="325"/>
      <c r="I46" s="325"/>
      <c r="J46" s="325"/>
      <c r="K46" s="326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spans="1:26" s="199" customFormat="1" ht="17.100000000000001" customHeight="1">
      <c r="F47" s="327"/>
      <c r="G47" s="195" t="s">
        <v>715</v>
      </c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</row>
    <row r="48" spans="1:26" s="199" customFormat="1" ht="17.100000000000001" customHeight="1">
      <c r="F48" s="195"/>
      <c r="G48" s="195"/>
      <c r="H48" s="195"/>
      <c r="I48" s="195"/>
      <c r="J48" s="195"/>
      <c r="K48" s="195"/>
    </row>
    <row r="49" spans="2:26" ht="17.100000000000001" customHeight="1">
      <c r="F49" s="185"/>
      <c r="G49" s="185"/>
      <c r="H49" s="185"/>
      <c r="I49" s="185"/>
      <c r="J49" s="185"/>
      <c r="K49" s="185"/>
      <c r="L49" s="186"/>
      <c r="M49" s="186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</row>
    <row r="50" spans="2:26">
      <c r="F50" s="185"/>
      <c r="G50" s="185"/>
      <c r="H50" s="185"/>
      <c r="I50" s="185"/>
      <c r="J50" s="185"/>
      <c r="K50" s="185"/>
      <c r="L50" s="186"/>
      <c r="M50" s="186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</row>
    <row r="51" spans="2:26">
      <c r="F51" s="185"/>
      <c r="G51" s="185"/>
      <c r="H51" s="185"/>
      <c r="I51" s="185"/>
      <c r="J51" s="185"/>
      <c r="K51" s="185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</row>
    <row r="52" spans="2:26">
      <c r="B52" s="185"/>
      <c r="C52" s="185"/>
      <c r="D52" s="185"/>
      <c r="E52" s="185"/>
      <c r="F52" s="185"/>
      <c r="G52" s="185"/>
      <c r="H52" s="185"/>
      <c r="I52" s="185"/>
      <c r="J52" s="185"/>
      <c r="K52" s="185"/>
      <c r="Q52" s="186"/>
      <c r="R52" s="186"/>
      <c r="S52" s="186"/>
      <c r="T52" s="186"/>
      <c r="U52" s="186"/>
      <c r="V52" s="186"/>
      <c r="W52" s="186"/>
      <c r="X52" s="186"/>
      <c r="Y52" s="186"/>
      <c r="Z52" s="186"/>
    </row>
    <row r="53" spans="2:26">
      <c r="F53" s="185"/>
      <c r="G53" s="185"/>
      <c r="H53" s="185"/>
      <c r="I53" s="185"/>
      <c r="J53" s="185"/>
      <c r="K53" s="185"/>
      <c r="Q53" s="186"/>
      <c r="R53" s="186"/>
      <c r="S53" s="186"/>
      <c r="T53" s="186"/>
      <c r="U53" s="186"/>
      <c r="V53" s="186"/>
      <c r="W53" s="186"/>
      <c r="X53" s="186"/>
      <c r="Y53" s="186"/>
      <c r="Z53" s="186"/>
    </row>
  </sheetData>
  <mergeCells count="49">
    <mergeCell ref="A1:K1"/>
    <mergeCell ref="A2:K2"/>
    <mergeCell ref="J3:K3"/>
    <mergeCell ref="A5:C5"/>
    <mergeCell ref="A6:C6"/>
    <mergeCell ref="D6:E6"/>
    <mergeCell ref="F6:K6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B46:C46"/>
    <mergeCell ref="A28:E32"/>
    <mergeCell ref="A33:E33"/>
    <mergeCell ref="A34:E38"/>
    <mergeCell ref="A39:E39"/>
    <mergeCell ref="A40:E44"/>
    <mergeCell ref="B45:C45"/>
    <mergeCell ref="A27:E27"/>
    <mergeCell ref="F27:K27"/>
  </mergeCells>
  <dataValidations count="3">
    <dataValidation type="list" allowBlank="1" showInputMessage="1" sqref="D6:E6">
      <formula1>$T$5:$T$11</formula1>
    </dataValidation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$Q$5:$Q$12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9"/>
  <sheetViews>
    <sheetView zoomScale="75" zoomScaleNormal="75" workbookViewId="0"/>
  </sheetViews>
  <sheetFormatPr defaultColWidth="9.140625" defaultRowHeight="12.75"/>
  <cols>
    <col min="1" max="1" width="9.140625" style="334" customWidth="1"/>
    <col min="2" max="2" width="18.140625" style="334" customWidth="1"/>
    <col min="3" max="3" width="21.5703125" style="334" customWidth="1"/>
    <col min="4" max="4" width="21.28515625" style="334" bestFit="1" customWidth="1"/>
    <col min="5" max="5" width="6.85546875" style="334" bestFit="1" customWidth="1"/>
    <col min="6" max="6" width="29.85546875" style="334" customWidth="1"/>
    <col min="7" max="7" width="43.7109375" style="334" customWidth="1"/>
    <col min="8" max="8" width="17.140625" style="334" customWidth="1"/>
    <col min="9" max="9" width="7.85546875" style="334" customWidth="1"/>
    <col min="10" max="10" width="2.28515625" style="334" bestFit="1" customWidth="1"/>
    <col min="11" max="12" width="2.28515625" style="334" customWidth="1"/>
    <col min="13" max="13" width="2.5703125" style="334" bestFit="1" customWidth="1"/>
    <col min="14" max="14" width="2.28515625" style="334" bestFit="1" customWidth="1"/>
    <col min="15" max="16384" width="9.140625" style="334"/>
  </cols>
  <sheetData>
    <row r="1" spans="2:14" ht="12.75" customHeight="1">
      <c r="B1" s="329"/>
      <c r="C1" s="330"/>
      <c r="D1" s="330"/>
      <c r="E1" s="330"/>
      <c r="F1" s="330"/>
      <c r="G1" s="330"/>
      <c r="H1" s="331"/>
      <c r="I1" s="332"/>
      <c r="J1" s="333" t="s">
        <v>353</v>
      </c>
      <c r="K1" s="333" t="s">
        <v>354</v>
      </c>
      <c r="L1" s="333" t="s">
        <v>355</v>
      </c>
      <c r="M1" s="333" t="s">
        <v>354</v>
      </c>
      <c r="N1" s="333"/>
    </row>
    <row r="2" spans="2:14" ht="12.75" customHeight="1">
      <c r="B2" s="655" t="s">
        <v>356</v>
      </c>
      <c r="C2" s="656"/>
      <c r="D2" s="656"/>
      <c r="E2" s="656"/>
      <c r="F2" s="656"/>
      <c r="G2" s="656"/>
      <c r="H2" s="335"/>
      <c r="I2" s="336"/>
      <c r="J2" s="337" t="s">
        <v>357</v>
      </c>
      <c r="K2" s="337" t="s">
        <v>358</v>
      </c>
      <c r="L2" s="337" t="s">
        <v>359</v>
      </c>
      <c r="M2" s="337" t="s">
        <v>360</v>
      </c>
      <c r="N2" s="337" t="s">
        <v>361</v>
      </c>
    </row>
    <row r="3" spans="2:14" ht="12.75" customHeight="1">
      <c r="B3" s="655"/>
      <c r="C3" s="656"/>
      <c r="D3" s="656"/>
      <c r="E3" s="656"/>
      <c r="F3" s="656"/>
      <c r="G3" s="656"/>
      <c r="H3" s="335"/>
      <c r="I3" s="336"/>
      <c r="J3" s="337" t="s">
        <v>362</v>
      </c>
      <c r="K3" s="337"/>
      <c r="L3" s="337" t="s">
        <v>363</v>
      </c>
      <c r="M3" s="337" t="s">
        <v>353</v>
      </c>
      <c r="N3" s="337"/>
    </row>
    <row r="4" spans="2:14" ht="12.75" customHeight="1">
      <c r="B4" s="655"/>
      <c r="C4" s="656"/>
      <c r="D4" s="656"/>
      <c r="E4" s="656"/>
      <c r="F4" s="656"/>
      <c r="G4" s="656"/>
      <c r="H4" s="335"/>
      <c r="I4" s="336"/>
      <c r="J4" s="337" t="s">
        <v>364</v>
      </c>
      <c r="K4" s="337"/>
      <c r="L4" s="337" t="s">
        <v>359</v>
      </c>
      <c r="M4" s="337" t="s">
        <v>357</v>
      </c>
      <c r="N4" s="337"/>
    </row>
    <row r="5" spans="2:14" ht="12.75" customHeight="1">
      <c r="B5" s="338"/>
      <c r="C5" s="339"/>
      <c r="D5" s="339"/>
      <c r="E5" s="339"/>
      <c r="F5" s="339"/>
      <c r="G5" s="339"/>
      <c r="H5" s="335"/>
      <c r="I5" s="336"/>
      <c r="J5" s="337"/>
      <c r="K5" s="337" t="s">
        <v>365</v>
      </c>
      <c r="L5" s="337" t="s">
        <v>354</v>
      </c>
      <c r="M5" s="337"/>
      <c r="N5" s="337" t="s">
        <v>359</v>
      </c>
    </row>
    <row r="6" spans="2:14" ht="12" customHeight="1">
      <c r="B6" s="340"/>
      <c r="C6" s="341"/>
      <c r="D6" s="341"/>
      <c r="F6" s="341"/>
      <c r="H6" s="342"/>
      <c r="I6" s="336"/>
      <c r="J6" s="337" t="s">
        <v>358</v>
      </c>
      <c r="K6" s="337" t="s">
        <v>366</v>
      </c>
      <c r="L6" s="337"/>
      <c r="M6" s="337" t="s">
        <v>354</v>
      </c>
      <c r="N6" s="337" t="s">
        <v>367</v>
      </c>
    </row>
    <row r="7" spans="2:14" ht="12.75" customHeight="1">
      <c r="B7" s="340"/>
      <c r="D7" s="343"/>
      <c r="H7" s="342"/>
      <c r="I7" s="336"/>
      <c r="J7" s="337" t="s">
        <v>183</v>
      </c>
      <c r="K7" s="337" t="s">
        <v>362</v>
      </c>
      <c r="L7" s="337" t="s">
        <v>362</v>
      </c>
      <c r="M7" s="337" t="s">
        <v>357</v>
      </c>
      <c r="N7" s="337" t="s">
        <v>368</v>
      </c>
    </row>
    <row r="8" spans="2:14" ht="12.75" customHeight="1">
      <c r="B8" s="340"/>
      <c r="G8" s="343"/>
      <c r="H8" s="344"/>
      <c r="I8" s="337" t="s">
        <v>368</v>
      </c>
      <c r="J8" s="337" t="s">
        <v>354</v>
      </c>
      <c r="K8" s="337" t="s">
        <v>369</v>
      </c>
      <c r="L8" s="337" t="s">
        <v>357</v>
      </c>
      <c r="M8" s="337" t="s">
        <v>368</v>
      </c>
      <c r="N8" s="337" t="s">
        <v>366</v>
      </c>
    </row>
    <row r="9" spans="2:14">
      <c r="B9" s="337" t="s">
        <v>370</v>
      </c>
      <c r="C9" s="344" t="s">
        <v>371</v>
      </c>
      <c r="D9" s="344" t="s">
        <v>372</v>
      </c>
      <c r="E9" s="344" t="s">
        <v>373</v>
      </c>
      <c r="F9" s="337" t="s">
        <v>374</v>
      </c>
      <c r="G9" s="337" t="s">
        <v>375</v>
      </c>
      <c r="H9" s="337" t="s">
        <v>376</v>
      </c>
      <c r="I9" s="337" t="s">
        <v>364</v>
      </c>
      <c r="J9" s="337" t="s">
        <v>183</v>
      </c>
      <c r="K9" s="337" t="s">
        <v>357</v>
      </c>
      <c r="L9" s="337" t="s">
        <v>369</v>
      </c>
      <c r="M9" s="337" t="s">
        <v>354</v>
      </c>
      <c r="N9" s="337" t="s">
        <v>355</v>
      </c>
    </row>
    <row r="10" spans="2:14" ht="15" customHeight="1">
      <c r="B10" s="345"/>
      <c r="C10" s="346"/>
      <c r="D10" s="346"/>
      <c r="E10" s="346"/>
      <c r="F10" s="347"/>
      <c r="G10" s="348"/>
      <c r="H10" s="348"/>
      <c r="I10" s="349"/>
      <c r="J10" s="350"/>
      <c r="K10" s="350"/>
      <c r="L10" s="350"/>
      <c r="M10" s="350"/>
      <c r="N10" s="351"/>
    </row>
    <row r="11" spans="2:14" ht="15" customHeight="1">
      <c r="B11" s="345"/>
      <c r="C11" s="347"/>
      <c r="D11" s="347"/>
      <c r="E11" s="347"/>
      <c r="F11" s="347"/>
      <c r="G11" s="347"/>
      <c r="H11" s="347"/>
      <c r="I11" s="352"/>
      <c r="J11" s="350"/>
      <c r="K11" s="350"/>
      <c r="L11" s="350"/>
      <c r="M11" s="350"/>
      <c r="N11" s="351"/>
    </row>
    <row r="12" spans="2:14" ht="15" customHeight="1">
      <c r="B12" s="345"/>
      <c r="C12" s="347"/>
      <c r="D12" s="347"/>
      <c r="E12" s="347"/>
      <c r="F12" s="347"/>
      <c r="G12" s="347"/>
      <c r="H12" s="347"/>
      <c r="I12" s="352"/>
      <c r="J12" s="353"/>
      <c r="K12" s="350"/>
      <c r="L12" s="350"/>
      <c r="M12" s="350"/>
      <c r="N12" s="351"/>
    </row>
    <row r="13" spans="2:14" ht="15" customHeight="1">
      <c r="B13" s="345"/>
      <c r="C13" s="347"/>
      <c r="D13" s="347"/>
      <c r="E13" s="347"/>
      <c r="F13" s="347"/>
      <c r="G13" s="347"/>
      <c r="H13" s="347"/>
      <c r="I13" s="352"/>
      <c r="J13" s="350"/>
      <c r="K13" s="350"/>
      <c r="L13" s="350"/>
      <c r="M13" s="350"/>
      <c r="N13" s="351"/>
    </row>
    <row r="14" spans="2:14" ht="15" customHeight="1">
      <c r="B14" s="345"/>
      <c r="C14" s="347"/>
      <c r="D14" s="347"/>
      <c r="E14" s="347"/>
      <c r="F14" s="347"/>
      <c r="G14" s="347"/>
      <c r="H14" s="347"/>
      <c r="I14" s="352"/>
      <c r="J14" s="350"/>
      <c r="K14" s="350"/>
      <c r="L14" s="350"/>
      <c r="M14" s="350"/>
      <c r="N14" s="351"/>
    </row>
    <row r="15" spans="2:14" ht="15" customHeight="1">
      <c r="B15" s="345"/>
      <c r="C15" s="347"/>
      <c r="D15" s="347"/>
      <c r="E15" s="347"/>
      <c r="F15" s="347"/>
      <c r="G15" s="347"/>
      <c r="H15" s="347"/>
      <c r="I15" s="352"/>
      <c r="J15" s="350"/>
      <c r="K15" s="350"/>
      <c r="L15" s="350"/>
      <c r="M15" s="350"/>
      <c r="N15" s="351"/>
    </row>
    <row r="16" spans="2:14" ht="15" customHeight="1">
      <c r="B16" s="345"/>
      <c r="C16" s="347"/>
      <c r="D16" s="347"/>
      <c r="E16" s="347"/>
      <c r="F16" s="347"/>
      <c r="G16" s="347"/>
      <c r="H16" s="347"/>
      <c r="I16" s="352"/>
      <c r="J16" s="350"/>
      <c r="K16" s="350"/>
      <c r="L16" s="350"/>
      <c r="M16" s="350"/>
      <c r="N16" s="351"/>
    </row>
    <row r="17" spans="2:14" ht="15" customHeight="1">
      <c r="B17" s="345"/>
      <c r="C17" s="347"/>
      <c r="D17" s="347"/>
      <c r="E17" s="347"/>
      <c r="F17" s="347"/>
      <c r="G17" s="347"/>
      <c r="H17" s="347"/>
      <c r="I17" s="352"/>
      <c r="J17" s="350"/>
      <c r="K17" s="350"/>
      <c r="L17" s="350"/>
      <c r="M17" s="350"/>
      <c r="N17" s="351"/>
    </row>
    <row r="18" spans="2:14" ht="15" customHeight="1">
      <c r="B18" s="345"/>
      <c r="C18" s="347"/>
      <c r="D18" s="347"/>
      <c r="E18" s="347"/>
      <c r="F18" s="347"/>
      <c r="G18" s="347"/>
      <c r="H18" s="347"/>
      <c r="I18" s="352"/>
      <c r="J18" s="350"/>
      <c r="K18" s="350"/>
      <c r="L18" s="350"/>
      <c r="M18" s="350"/>
      <c r="N18" s="351"/>
    </row>
    <row r="19" spans="2:14" ht="15" customHeight="1">
      <c r="B19" s="345"/>
      <c r="C19" s="347"/>
      <c r="D19" s="347"/>
      <c r="E19" s="347"/>
      <c r="F19" s="347"/>
      <c r="G19" s="347"/>
      <c r="H19" s="347"/>
      <c r="I19" s="352"/>
      <c r="J19" s="350"/>
      <c r="K19" s="350"/>
      <c r="L19" s="350"/>
      <c r="M19" s="350"/>
      <c r="N19" s="351"/>
    </row>
    <row r="20" spans="2:14" ht="15" customHeight="1">
      <c r="B20" s="345"/>
      <c r="C20" s="347"/>
      <c r="D20" s="347"/>
      <c r="E20" s="347"/>
      <c r="F20" s="347"/>
      <c r="G20" s="347"/>
      <c r="H20" s="347"/>
      <c r="I20" s="352"/>
      <c r="J20" s="350"/>
      <c r="K20" s="350"/>
      <c r="L20" s="350"/>
      <c r="M20" s="350"/>
      <c r="N20" s="351"/>
    </row>
    <row r="21" spans="2:14" ht="15" customHeight="1">
      <c r="B21" s="345"/>
      <c r="C21" s="347"/>
      <c r="D21" s="347"/>
      <c r="E21" s="347"/>
      <c r="F21" s="347"/>
      <c r="G21" s="347"/>
      <c r="H21" s="347"/>
      <c r="I21" s="352"/>
      <c r="J21" s="350"/>
      <c r="K21" s="350"/>
      <c r="L21" s="350"/>
      <c r="M21" s="350"/>
      <c r="N21" s="351"/>
    </row>
    <row r="22" spans="2:14" ht="15" customHeight="1">
      <c r="B22" s="345"/>
      <c r="C22" s="347"/>
      <c r="D22" s="347"/>
      <c r="E22" s="347"/>
      <c r="F22" s="347"/>
      <c r="G22" s="347"/>
      <c r="H22" s="347"/>
      <c r="I22" s="352"/>
      <c r="J22" s="350"/>
      <c r="K22" s="350"/>
      <c r="L22" s="350"/>
      <c r="M22" s="350"/>
      <c r="N22" s="351"/>
    </row>
    <row r="23" spans="2:14" ht="15" customHeight="1">
      <c r="B23" s="345"/>
      <c r="C23" s="347"/>
      <c r="D23" s="347"/>
      <c r="E23" s="347"/>
      <c r="F23" s="347"/>
      <c r="G23" s="347"/>
      <c r="H23" s="347"/>
      <c r="I23" s="352"/>
      <c r="J23" s="350"/>
      <c r="K23" s="350"/>
      <c r="L23" s="350"/>
      <c r="M23" s="350"/>
      <c r="N23" s="351"/>
    </row>
    <row r="24" spans="2:14" ht="15" customHeight="1">
      <c r="B24" s="345"/>
      <c r="C24" s="347"/>
      <c r="D24" s="347"/>
      <c r="E24" s="347"/>
      <c r="F24" s="347"/>
      <c r="G24" s="347"/>
      <c r="H24" s="347"/>
      <c r="I24" s="352"/>
      <c r="J24" s="350"/>
      <c r="K24" s="350"/>
      <c r="L24" s="350"/>
      <c r="M24" s="350"/>
      <c r="N24" s="351"/>
    </row>
    <row r="25" spans="2:14" ht="15" customHeight="1">
      <c r="B25" s="345"/>
      <c r="C25" s="347"/>
      <c r="D25" s="347"/>
      <c r="E25" s="347"/>
      <c r="F25" s="347"/>
      <c r="G25" s="347"/>
      <c r="H25" s="347"/>
      <c r="I25" s="352"/>
      <c r="J25" s="350"/>
      <c r="K25" s="350"/>
      <c r="L25" s="350"/>
      <c r="M25" s="350"/>
      <c r="N25" s="351"/>
    </row>
    <row r="26" spans="2:14" ht="15" customHeight="1">
      <c r="B26" s="345"/>
      <c r="C26" s="347"/>
      <c r="D26" s="347"/>
      <c r="E26" s="347"/>
      <c r="F26" s="347"/>
      <c r="G26" s="347"/>
      <c r="H26" s="347"/>
      <c r="I26" s="352"/>
      <c r="J26" s="350"/>
      <c r="K26" s="350"/>
      <c r="L26" s="350"/>
      <c r="M26" s="350"/>
      <c r="N26" s="351"/>
    </row>
    <row r="27" spans="2:14" ht="15" customHeight="1">
      <c r="B27" s="345"/>
      <c r="C27" s="347"/>
      <c r="D27" s="347"/>
      <c r="E27" s="347"/>
      <c r="F27" s="347"/>
      <c r="G27" s="347"/>
      <c r="H27" s="347"/>
      <c r="I27" s="352"/>
      <c r="J27" s="350"/>
      <c r="K27" s="350"/>
      <c r="L27" s="350"/>
      <c r="M27" s="350"/>
      <c r="N27" s="351"/>
    </row>
    <row r="28" spans="2:14" ht="15" customHeight="1">
      <c r="B28" s="345"/>
      <c r="C28" s="347"/>
      <c r="D28" s="347"/>
      <c r="E28" s="347"/>
      <c r="F28" s="347"/>
      <c r="G28" s="347"/>
      <c r="H28" s="347"/>
      <c r="I28" s="352"/>
      <c r="J28" s="350"/>
      <c r="K28" s="350"/>
      <c r="L28" s="350"/>
      <c r="M28" s="350"/>
      <c r="N28" s="351"/>
    </row>
    <row r="29" spans="2:14" ht="15" customHeight="1">
      <c r="B29" s="345"/>
      <c r="C29" s="347"/>
      <c r="D29" s="347"/>
      <c r="E29" s="347"/>
      <c r="F29" s="347"/>
      <c r="G29" s="347"/>
      <c r="H29" s="347"/>
      <c r="I29" s="352"/>
      <c r="J29" s="350"/>
      <c r="K29" s="350"/>
      <c r="L29" s="350"/>
      <c r="M29" s="350"/>
      <c r="N29" s="351"/>
    </row>
    <row r="30" spans="2:14" ht="15" customHeight="1">
      <c r="B30" s="345"/>
      <c r="C30" s="347"/>
      <c r="D30" s="347"/>
      <c r="E30" s="347"/>
      <c r="F30" s="347"/>
      <c r="G30" s="347"/>
      <c r="H30" s="347"/>
      <c r="I30" s="352"/>
      <c r="J30" s="350"/>
      <c r="K30" s="350"/>
      <c r="L30" s="350"/>
      <c r="M30" s="350"/>
      <c r="N30" s="351"/>
    </row>
    <row r="31" spans="2:14" ht="15" customHeight="1">
      <c r="B31" s="345"/>
      <c r="C31" s="347"/>
      <c r="D31" s="347"/>
      <c r="E31" s="347"/>
      <c r="F31" s="347"/>
      <c r="G31" s="347"/>
      <c r="H31" s="347"/>
      <c r="I31" s="352"/>
      <c r="J31" s="350"/>
      <c r="K31" s="350"/>
      <c r="L31" s="350"/>
      <c r="M31" s="350"/>
      <c r="N31" s="351"/>
    </row>
    <row r="32" spans="2:14" ht="15" customHeight="1">
      <c r="B32" s="345"/>
      <c r="C32" s="347"/>
      <c r="D32" s="347"/>
      <c r="E32" s="347"/>
      <c r="F32" s="347"/>
      <c r="G32" s="347"/>
      <c r="H32" s="347"/>
      <c r="I32" s="352"/>
      <c r="J32" s="350"/>
      <c r="K32" s="350"/>
      <c r="L32" s="350"/>
      <c r="M32" s="350"/>
      <c r="N32" s="351"/>
    </row>
    <row r="33" spans="2:14" ht="15" customHeight="1">
      <c r="B33" s="345"/>
      <c r="C33" s="347"/>
      <c r="D33" s="347"/>
      <c r="E33" s="347"/>
      <c r="F33" s="347"/>
      <c r="G33" s="347"/>
      <c r="H33" s="347"/>
      <c r="I33" s="352"/>
      <c r="J33" s="350"/>
      <c r="K33" s="350"/>
      <c r="L33" s="350"/>
      <c r="M33" s="350"/>
      <c r="N33" s="351"/>
    </row>
    <row r="34" spans="2:14" ht="15" customHeight="1">
      <c r="B34" s="345"/>
      <c r="C34" s="347"/>
      <c r="D34" s="347"/>
      <c r="E34" s="347"/>
      <c r="F34" s="347"/>
      <c r="G34" s="347"/>
      <c r="H34" s="347"/>
      <c r="I34" s="352"/>
      <c r="J34" s="350"/>
      <c r="K34" s="350"/>
      <c r="L34" s="350"/>
      <c r="M34" s="350"/>
      <c r="N34" s="351"/>
    </row>
    <row r="35" spans="2:14" ht="15" customHeight="1">
      <c r="B35" s="345"/>
      <c r="C35" s="347"/>
      <c r="D35" s="347"/>
      <c r="E35" s="347"/>
      <c r="F35" s="347"/>
      <c r="G35" s="347"/>
      <c r="H35" s="347"/>
      <c r="I35" s="352"/>
      <c r="J35" s="350"/>
      <c r="K35" s="350"/>
      <c r="L35" s="350"/>
      <c r="M35" s="350"/>
      <c r="N35" s="351"/>
    </row>
    <row r="36" spans="2:14" ht="15" customHeight="1">
      <c r="B36" s="345"/>
      <c r="C36" s="347"/>
      <c r="D36" s="347"/>
      <c r="E36" s="347"/>
      <c r="F36" s="347"/>
      <c r="G36" s="347"/>
      <c r="H36" s="347"/>
      <c r="I36" s="352"/>
      <c r="J36" s="350"/>
      <c r="K36" s="350"/>
      <c r="L36" s="350"/>
      <c r="M36" s="350"/>
      <c r="N36" s="351"/>
    </row>
    <row r="37" spans="2:14" ht="15" customHeight="1">
      <c r="B37" s="345"/>
      <c r="C37" s="347"/>
      <c r="D37" s="347"/>
      <c r="E37" s="347"/>
      <c r="F37" s="347"/>
      <c r="G37" s="347"/>
      <c r="H37" s="347"/>
      <c r="I37" s="352"/>
      <c r="J37" s="350"/>
      <c r="K37" s="350"/>
      <c r="L37" s="350"/>
      <c r="M37" s="350"/>
      <c r="N37" s="351"/>
    </row>
    <row r="38" spans="2:14" ht="15" customHeight="1">
      <c r="B38" s="345"/>
      <c r="C38" s="347"/>
      <c r="D38" s="347"/>
      <c r="E38" s="347"/>
      <c r="F38" s="347"/>
      <c r="G38" s="347"/>
      <c r="H38" s="347"/>
      <c r="I38" s="352"/>
      <c r="J38" s="350"/>
      <c r="K38" s="350"/>
      <c r="L38" s="350"/>
      <c r="M38" s="350"/>
      <c r="N38" s="351"/>
    </row>
    <row r="39" spans="2:14" ht="15" customHeight="1">
      <c r="B39" s="345"/>
      <c r="C39" s="347"/>
      <c r="D39" s="347"/>
      <c r="E39" s="347"/>
      <c r="F39" s="347"/>
      <c r="G39" s="347"/>
      <c r="H39" s="347"/>
      <c r="I39" s="352"/>
      <c r="J39" s="350"/>
      <c r="K39" s="350"/>
      <c r="L39" s="350"/>
      <c r="M39" s="350"/>
      <c r="N39" s="351"/>
    </row>
    <row r="40" spans="2:14" ht="15" customHeight="1">
      <c r="B40" s="345"/>
      <c r="C40" s="347"/>
      <c r="D40" s="347"/>
      <c r="E40" s="347"/>
      <c r="F40" s="347"/>
      <c r="G40" s="347"/>
      <c r="H40" s="347"/>
      <c r="I40" s="352"/>
      <c r="J40" s="350"/>
      <c r="K40" s="350"/>
      <c r="L40" s="350"/>
      <c r="M40" s="350"/>
      <c r="N40" s="351"/>
    </row>
    <row r="41" spans="2:14" ht="15" customHeight="1">
      <c r="B41" s="345"/>
      <c r="C41" s="347"/>
      <c r="D41" s="347"/>
      <c r="E41" s="347"/>
      <c r="F41" s="347"/>
      <c r="G41" s="347"/>
      <c r="H41" s="347"/>
      <c r="I41" s="352"/>
      <c r="J41" s="350"/>
      <c r="K41" s="350"/>
      <c r="L41" s="350"/>
      <c r="M41" s="350"/>
      <c r="N41" s="351"/>
    </row>
    <row r="42" spans="2:14" ht="15" customHeight="1">
      <c r="B42" s="345"/>
      <c r="C42" s="347"/>
      <c r="D42" s="347"/>
      <c r="E42" s="347"/>
      <c r="F42" s="347"/>
      <c r="G42" s="347"/>
      <c r="H42" s="347"/>
      <c r="I42" s="352"/>
      <c r="J42" s="350"/>
      <c r="K42" s="350"/>
      <c r="L42" s="350"/>
      <c r="M42" s="350"/>
      <c r="N42" s="351"/>
    </row>
    <row r="43" spans="2:14" ht="15" customHeight="1">
      <c r="B43" s="345"/>
      <c r="C43" s="347"/>
      <c r="D43" s="347"/>
      <c r="E43" s="347"/>
      <c r="F43" s="347"/>
      <c r="G43" s="347"/>
      <c r="H43" s="347"/>
      <c r="I43" s="352"/>
      <c r="J43" s="350"/>
      <c r="K43" s="350"/>
      <c r="L43" s="350"/>
      <c r="M43" s="350"/>
      <c r="N43" s="351"/>
    </row>
    <row r="44" spans="2:14" ht="15" customHeight="1">
      <c r="B44" s="345"/>
      <c r="C44" s="347"/>
      <c r="D44" s="347"/>
      <c r="E44" s="347"/>
      <c r="F44" s="347"/>
      <c r="G44" s="347"/>
      <c r="H44" s="347"/>
      <c r="I44" s="352"/>
      <c r="J44" s="350"/>
      <c r="K44" s="350"/>
      <c r="L44" s="350"/>
      <c r="M44" s="350"/>
      <c r="N44" s="351"/>
    </row>
    <row r="45" spans="2:14" ht="15" customHeight="1">
      <c r="B45" s="345"/>
      <c r="C45" s="347"/>
      <c r="D45" s="347"/>
      <c r="E45" s="347"/>
      <c r="F45" s="347"/>
      <c r="G45" s="347"/>
      <c r="H45" s="347"/>
      <c r="I45" s="352"/>
      <c r="J45" s="350"/>
      <c r="K45" s="350"/>
      <c r="L45" s="350"/>
      <c r="M45" s="350"/>
      <c r="N45" s="351"/>
    </row>
    <row r="46" spans="2:14" ht="15" customHeight="1">
      <c r="B46" s="345"/>
      <c r="C46" s="347"/>
      <c r="D46" s="347"/>
      <c r="E46" s="347"/>
      <c r="F46" s="347"/>
      <c r="G46" s="347"/>
      <c r="H46" s="347"/>
      <c r="I46" s="352"/>
      <c r="J46" s="350"/>
      <c r="K46" s="350"/>
      <c r="L46" s="350"/>
      <c r="M46" s="350"/>
      <c r="N46" s="351"/>
    </row>
    <row r="47" spans="2:14" ht="15" customHeight="1">
      <c r="B47" s="345"/>
      <c r="C47" s="347"/>
      <c r="D47" s="347"/>
      <c r="E47" s="347"/>
      <c r="F47" s="347"/>
      <c r="G47" s="347"/>
      <c r="H47" s="347"/>
      <c r="I47" s="352"/>
      <c r="J47" s="350"/>
      <c r="K47" s="350"/>
      <c r="L47" s="350"/>
      <c r="M47" s="350"/>
      <c r="N47" s="351"/>
    </row>
    <row r="48" spans="2:14" ht="15" customHeight="1">
      <c r="B48" s="345"/>
      <c r="C48" s="347"/>
      <c r="D48" s="347"/>
      <c r="E48" s="347"/>
      <c r="F48" s="347"/>
      <c r="G48" s="347"/>
      <c r="H48" s="347"/>
      <c r="I48" s="352"/>
      <c r="J48" s="350"/>
      <c r="K48" s="350"/>
      <c r="L48" s="350"/>
      <c r="M48" s="350"/>
      <c r="N48" s="351"/>
    </row>
    <row r="49" spans="2:14" ht="15" customHeight="1">
      <c r="B49" s="345"/>
      <c r="C49" s="347"/>
      <c r="D49" s="347"/>
      <c r="E49" s="347"/>
      <c r="F49" s="347"/>
      <c r="G49" s="347"/>
      <c r="H49" s="347"/>
      <c r="I49" s="352"/>
      <c r="J49" s="350"/>
      <c r="K49" s="350"/>
      <c r="L49" s="350"/>
      <c r="M49" s="350"/>
      <c r="N49" s="351"/>
    </row>
    <row r="50" spans="2:14" ht="15" customHeight="1">
      <c r="B50" s="345"/>
      <c r="C50" s="347"/>
      <c r="D50" s="347"/>
      <c r="E50" s="347"/>
      <c r="F50" s="347"/>
      <c r="G50" s="347"/>
      <c r="H50" s="347"/>
      <c r="I50" s="352"/>
      <c r="J50" s="350"/>
      <c r="K50" s="350"/>
      <c r="L50" s="350"/>
      <c r="M50" s="350"/>
      <c r="N50" s="351"/>
    </row>
    <row r="51" spans="2:14" ht="15" customHeight="1">
      <c r="B51" s="345"/>
      <c r="C51" s="347"/>
      <c r="D51" s="347"/>
      <c r="E51" s="347"/>
      <c r="F51" s="347"/>
      <c r="G51" s="347"/>
      <c r="H51" s="347"/>
      <c r="I51" s="352"/>
      <c r="J51" s="350"/>
      <c r="K51" s="350"/>
      <c r="L51" s="350"/>
      <c r="M51" s="350"/>
      <c r="N51" s="351"/>
    </row>
    <row r="52" spans="2:14" ht="15" customHeight="1" thickBot="1">
      <c r="B52" s="354"/>
      <c r="C52" s="355"/>
      <c r="D52" s="355"/>
      <c r="E52" s="355"/>
      <c r="F52" s="355"/>
      <c r="G52" s="355"/>
      <c r="H52" s="355"/>
      <c r="I52" s="356"/>
      <c r="J52" s="357"/>
      <c r="K52" s="357"/>
      <c r="L52" s="357"/>
      <c r="M52" s="357"/>
      <c r="N52" s="358"/>
    </row>
    <row r="53" spans="2:14" ht="20.25" customHeight="1" thickBot="1">
      <c r="B53" s="657" t="s">
        <v>377</v>
      </c>
      <c r="C53" s="657"/>
      <c r="D53" s="657"/>
      <c r="E53" s="657"/>
      <c r="F53" s="657"/>
      <c r="G53" s="657"/>
      <c r="H53" s="657"/>
      <c r="I53" s="657"/>
      <c r="J53" s="657"/>
      <c r="K53" s="657"/>
      <c r="L53" s="657"/>
      <c r="M53" s="657"/>
      <c r="N53" s="657"/>
    </row>
    <row r="54" spans="2:14" ht="15" customHeight="1" thickBot="1">
      <c r="B54" s="359" t="s">
        <v>378</v>
      </c>
      <c r="C54" s="658" t="s">
        <v>375</v>
      </c>
      <c r="D54" s="659"/>
      <c r="E54" s="659"/>
      <c r="F54" s="659"/>
      <c r="G54" s="659"/>
      <c r="H54" s="360"/>
      <c r="I54" s="658" t="s">
        <v>370</v>
      </c>
      <c r="J54" s="659"/>
      <c r="K54" s="660"/>
      <c r="L54" s="658" t="s">
        <v>379</v>
      </c>
      <c r="M54" s="659"/>
      <c r="N54" s="661"/>
    </row>
    <row r="55" spans="2:14" ht="15" customHeight="1">
      <c r="B55" s="361"/>
      <c r="C55" s="647"/>
      <c r="D55" s="648"/>
      <c r="E55" s="648"/>
      <c r="F55" s="648"/>
      <c r="G55" s="648"/>
      <c r="H55" s="362"/>
      <c r="I55" s="649"/>
      <c r="J55" s="650"/>
      <c r="K55" s="651"/>
      <c r="L55" s="652"/>
      <c r="M55" s="653"/>
      <c r="N55" s="654"/>
    </row>
    <row r="56" spans="2:14" ht="15" customHeight="1">
      <c r="B56" s="363"/>
      <c r="C56" s="631"/>
      <c r="D56" s="632"/>
      <c r="E56" s="632"/>
      <c r="F56" s="632"/>
      <c r="G56" s="632"/>
      <c r="H56" s="364"/>
      <c r="I56" s="633"/>
      <c r="J56" s="634"/>
      <c r="K56" s="635"/>
      <c r="L56" s="636"/>
      <c r="M56" s="637"/>
      <c r="N56" s="638"/>
    </row>
    <row r="57" spans="2:14" ht="15" customHeight="1">
      <c r="B57" s="363"/>
      <c r="C57" s="631"/>
      <c r="D57" s="632"/>
      <c r="E57" s="632"/>
      <c r="F57" s="632"/>
      <c r="G57" s="632"/>
      <c r="H57" s="364"/>
      <c r="I57" s="633"/>
      <c r="J57" s="634"/>
      <c r="K57" s="635"/>
      <c r="L57" s="636"/>
      <c r="M57" s="637"/>
      <c r="N57" s="638"/>
    </row>
    <row r="58" spans="2:14" ht="15" customHeight="1">
      <c r="B58" s="363"/>
      <c r="C58" s="631"/>
      <c r="D58" s="632"/>
      <c r="E58" s="632"/>
      <c r="F58" s="632"/>
      <c r="G58" s="632"/>
      <c r="H58" s="364"/>
      <c r="I58" s="633"/>
      <c r="J58" s="634"/>
      <c r="K58" s="635"/>
      <c r="L58" s="636"/>
      <c r="M58" s="637"/>
      <c r="N58" s="638"/>
    </row>
    <row r="59" spans="2:14" ht="15" customHeight="1">
      <c r="B59" s="363"/>
      <c r="C59" s="631"/>
      <c r="D59" s="632"/>
      <c r="E59" s="632"/>
      <c r="F59" s="632"/>
      <c r="G59" s="632"/>
      <c r="H59" s="364"/>
      <c r="I59" s="633"/>
      <c r="J59" s="634"/>
      <c r="K59" s="635"/>
      <c r="L59" s="636"/>
      <c r="M59" s="637"/>
      <c r="N59" s="638"/>
    </row>
    <row r="60" spans="2:14" ht="15" customHeight="1">
      <c r="B60" s="363"/>
      <c r="C60" s="631"/>
      <c r="D60" s="632"/>
      <c r="E60" s="632"/>
      <c r="F60" s="632"/>
      <c r="G60" s="632"/>
      <c r="H60" s="364"/>
      <c r="I60" s="633"/>
      <c r="J60" s="634"/>
      <c r="K60" s="635"/>
      <c r="L60" s="636"/>
      <c r="M60" s="637"/>
      <c r="N60" s="638"/>
    </row>
    <row r="61" spans="2:14" ht="15" customHeight="1">
      <c r="B61" s="363"/>
      <c r="C61" s="631"/>
      <c r="D61" s="632"/>
      <c r="E61" s="632"/>
      <c r="F61" s="632"/>
      <c r="G61" s="632"/>
      <c r="H61" s="364"/>
      <c r="I61" s="633"/>
      <c r="J61" s="634"/>
      <c r="K61" s="635"/>
      <c r="L61" s="636"/>
      <c r="M61" s="637"/>
      <c r="N61" s="638"/>
    </row>
    <row r="62" spans="2:14" ht="15" customHeight="1">
      <c r="B62" s="363"/>
      <c r="C62" s="631"/>
      <c r="D62" s="632"/>
      <c r="E62" s="632"/>
      <c r="F62" s="632"/>
      <c r="G62" s="632"/>
      <c r="H62" s="364"/>
      <c r="I62" s="633"/>
      <c r="J62" s="634"/>
      <c r="K62" s="635"/>
      <c r="L62" s="636"/>
      <c r="M62" s="637"/>
      <c r="N62" s="638"/>
    </row>
    <row r="63" spans="2:14" ht="15" customHeight="1">
      <c r="B63" s="363"/>
      <c r="C63" s="631"/>
      <c r="D63" s="632"/>
      <c r="E63" s="632"/>
      <c r="F63" s="632"/>
      <c r="G63" s="632"/>
      <c r="H63" s="364"/>
      <c r="I63" s="633"/>
      <c r="J63" s="634"/>
      <c r="K63" s="635"/>
      <c r="L63" s="636"/>
      <c r="M63" s="637"/>
      <c r="N63" s="638"/>
    </row>
    <row r="64" spans="2:14" ht="15" customHeight="1">
      <c r="B64" s="363"/>
      <c r="C64" s="631"/>
      <c r="D64" s="632"/>
      <c r="E64" s="632"/>
      <c r="F64" s="632"/>
      <c r="G64" s="632"/>
      <c r="H64" s="364"/>
      <c r="I64" s="633"/>
      <c r="J64" s="634"/>
      <c r="K64" s="635"/>
      <c r="L64" s="636"/>
      <c r="M64" s="637"/>
      <c r="N64" s="638"/>
    </row>
    <row r="65" spans="2:14" ht="15" customHeight="1">
      <c r="B65" s="363"/>
      <c r="C65" s="631"/>
      <c r="D65" s="632"/>
      <c r="E65" s="632"/>
      <c r="F65" s="632"/>
      <c r="G65" s="632"/>
      <c r="H65" s="364"/>
      <c r="I65" s="633"/>
      <c r="J65" s="634"/>
      <c r="K65" s="635"/>
      <c r="L65" s="636"/>
      <c r="M65" s="637"/>
      <c r="N65" s="638"/>
    </row>
    <row r="66" spans="2:14" ht="15" customHeight="1">
      <c r="B66" s="363"/>
      <c r="C66" s="631"/>
      <c r="D66" s="632"/>
      <c r="E66" s="632"/>
      <c r="F66" s="632"/>
      <c r="G66" s="632"/>
      <c r="H66" s="364"/>
      <c r="I66" s="633"/>
      <c r="J66" s="634"/>
      <c r="K66" s="635"/>
      <c r="L66" s="636"/>
      <c r="M66" s="637"/>
      <c r="N66" s="638"/>
    </row>
    <row r="67" spans="2:14" ht="15" customHeight="1">
      <c r="B67" s="363"/>
      <c r="C67" s="631"/>
      <c r="D67" s="632"/>
      <c r="E67" s="632"/>
      <c r="F67" s="632"/>
      <c r="G67" s="632"/>
      <c r="H67" s="364"/>
      <c r="I67" s="633"/>
      <c r="J67" s="634"/>
      <c r="K67" s="635"/>
      <c r="L67" s="636"/>
      <c r="M67" s="637"/>
      <c r="N67" s="638"/>
    </row>
    <row r="68" spans="2:14" ht="15" customHeight="1">
      <c r="B68" s="363"/>
      <c r="C68" s="631"/>
      <c r="D68" s="632"/>
      <c r="E68" s="632"/>
      <c r="F68" s="632"/>
      <c r="G68" s="632"/>
      <c r="H68" s="364"/>
      <c r="I68" s="633"/>
      <c r="J68" s="634"/>
      <c r="K68" s="635"/>
      <c r="L68" s="636"/>
      <c r="M68" s="637"/>
      <c r="N68" s="638"/>
    </row>
    <row r="69" spans="2:14" ht="15" customHeight="1">
      <c r="B69" s="363"/>
      <c r="C69" s="631"/>
      <c r="D69" s="632"/>
      <c r="E69" s="632"/>
      <c r="F69" s="632"/>
      <c r="G69" s="632"/>
      <c r="H69" s="364"/>
      <c r="I69" s="633"/>
      <c r="J69" s="634"/>
      <c r="K69" s="635"/>
      <c r="L69" s="636"/>
      <c r="M69" s="637"/>
      <c r="N69" s="638"/>
    </row>
    <row r="70" spans="2:14" ht="15" customHeight="1">
      <c r="B70" s="363"/>
      <c r="C70" s="631"/>
      <c r="D70" s="632"/>
      <c r="E70" s="632"/>
      <c r="F70" s="632"/>
      <c r="G70" s="632"/>
      <c r="H70" s="364"/>
      <c r="I70" s="633"/>
      <c r="J70" s="634"/>
      <c r="K70" s="635"/>
      <c r="L70" s="636"/>
      <c r="M70" s="637"/>
      <c r="N70" s="638"/>
    </row>
    <row r="71" spans="2:14" ht="15" customHeight="1">
      <c r="B71" s="363"/>
      <c r="C71" s="631"/>
      <c r="D71" s="632"/>
      <c r="E71" s="632"/>
      <c r="F71" s="632"/>
      <c r="G71" s="632"/>
      <c r="H71" s="364"/>
      <c r="I71" s="633"/>
      <c r="J71" s="634"/>
      <c r="K71" s="635"/>
      <c r="L71" s="636"/>
      <c r="M71" s="637"/>
      <c r="N71" s="638"/>
    </row>
    <row r="72" spans="2:14">
      <c r="B72" s="363"/>
      <c r="C72" s="631"/>
      <c r="D72" s="632"/>
      <c r="E72" s="632"/>
      <c r="F72" s="632"/>
      <c r="G72" s="632"/>
      <c r="H72" s="364"/>
      <c r="I72" s="633"/>
      <c r="J72" s="634"/>
      <c r="K72" s="635"/>
      <c r="L72" s="636"/>
      <c r="M72" s="637"/>
      <c r="N72" s="638"/>
    </row>
    <row r="73" spans="2:14">
      <c r="B73" s="363"/>
      <c r="C73" s="631"/>
      <c r="D73" s="632"/>
      <c r="E73" s="632"/>
      <c r="F73" s="632"/>
      <c r="G73" s="632"/>
      <c r="H73" s="364"/>
      <c r="I73" s="633"/>
      <c r="J73" s="634"/>
      <c r="K73" s="635"/>
      <c r="L73" s="636"/>
      <c r="M73" s="637"/>
      <c r="N73" s="638"/>
    </row>
    <row r="74" spans="2:14">
      <c r="B74" s="363"/>
      <c r="C74" s="631"/>
      <c r="D74" s="632"/>
      <c r="E74" s="632"/>
      <c r="F74" s="632"/>
      <c r="G74" s="632"/>
      <c r="H74" s="364"/>
      <c r="I74" s="633"/>
      <c r="J74" s="634"/>
      <c r="K74" s="635"/>
      <c r="L74" s="636"/>
      <c r="M74" s="637"/>
      <c r="N74" s="638"/>
    </row>
    <row r="75" spans="2:14">
      <c r="B75" s="363"/>
      <c r="C75" s="631"/>
      <c r="D75" s="632"/>
      <c r="E75" s="632"/>
      <c r="F75" s="632"/>
      <c r="G75" s="632"/>
      <c r="H75" s="364"/>
      <c r="I75" s="633"/>
      <c r="J75" s="634"/>
      <c r="K75" s="635"/>
      <c r="L75" s="636"/>
      <c r="M75" s="637"/>
      <c r="N75" s="638"/>
    </row>
    <row r="76" spans="2:14">
      <c r="B76" s="363"/>
      <c r="C76" s="631"/>
      <c r="D76" s="632"/>
      <c r="E76" s="632"/>
      <c r="F76" s="632"/>
      <c r="G76" s="632"/>
      <c r="H76" s="364"/>
      <c r="I76" s="633"/>
      <c r="J76" s="634"/>
      <c r="K76" s="635"/>
      <c r="L76" s="636"/>
      <c r="M76" s="637"/>
      <c r="N76" s="638"/>
    </row>
    <row r="77" spans="2:14">
      <c r="B77" s="363"/>
      <c r="C77" s="631"/>
      <c r="D77" s="632"/>
      <c r="E77" s="632"/>
      <c r="F77" s="632"/>
      <c r="G77" s="632"/>
      <c r="H77" s="364"/>
      <c r="I77" s="633"/>
      <c r="J77" s="634"/>
      <c r="K77" s="635"/>
      <c r="L77" s="636"/>
      <c r="M77" s="637"/>
      <c r="N77" s="638"/>
    </row>
    <row r="78" spans="2:14">
      <c r="B78" s="363"/>
      <c r="C78" s="631"/>
      <c r="D78" s="632"/>
      <c r="E78" s="632"/>
      <c r="F78" s="632"/>
      <c r="G78" s="632"/>
      <c r="H78" s="364"/>
      <c r="I78" s="633"/>
      <c r="J78" s="634"/>
      <c r="K78" s="635"/>
      <c r="L78" s="636"/>
      <c r="M78" s="637"/>
      <c r="N78" s="638"/>
    </row>
    <row r="79" spans="2:14" ht="13.5" thickBot="1">
      <c r="B79" s="365"/>
      <c r="C79" s="639"/>
      <c r="D79" s="640"/>
      <c r="E79" s="640"/>
      <c r="F79" s="640"/>
      <c r="G79" s="640"/>
      <c r="H79" s="366"/>
      <c r="I79" s="641"/>
      <c r="J79" s="642"/>
      <c r="K79" s="643"/>
      <c r="L79" s="644"/>
      <c r="M79" s="645"/>
      <c r="N79" s="646"/>
    </row>
  </sheetData>
  <mergeCells count="80">
    <mergeCell ref="C55:G55"/>
    <mergeCell ref="I55:K55"/>
    <mergeCell ref="L55:N55"/>
    <mergeCell ref="B2:G4"/>
    <mergeCell ref="B53:N53"/>
    <mergeCell ref="C54:G54"/>
    <mergeCell ref="I54:K54"/>
    <mergeCell ref="L54:N54"/>
    <mergeCell ref="C56:G56"/>
    <mergeCell ref="I56:K56"/>
    <mergeCell ref="L56:N56"/>
    <mergeCell ref="C57:G57"/>
    <mergeCell ref="I57:K57"/>
    <mergeCell ref="L57:N57"/>
    <mergeCell ref="C58:G58"/>
    <mergeCell ref="I58:K58"/>
    <mergeCell ref="L58:N58"/>
    <mergeCell ref="C59:G59"/>
    <mergeCell ref="I59:K59"/>
    <mergeCell ref="L59:N59"/>
    <mergeCell ref="C60:G60"/>
    <mergeCell ref="I60:K60"/>
    <mergeCell ref="L60:N60"/>
    <mergeCell ref="C61:G61"/>
    <mergeCell ref="I61:K61"/>
    <mergeCell ref="L61:N61"/>
    <mergeCell ref="C62:G62"/>
    <mergeCell ref="I62:K62"/>
    <mergeCell ref="L62:N62"/>
    <mergeCell ref="C63:G63"/>
    <mergeCell ref="I63:K63"/>
    <mergeCell ref="L63:N63"/>
    <mergeCell ref="C64:G64"/>
    <mergeCell ref="I64:K64"/>
    <mergeCell ref="L64:N64"/>
    <mergeCell ref="C65:G65"/>
    <mergeCell ref="I65:K65"/>
    <mergeCell ref="L65:N65"/>
    <mergeCell ref="C66:G66"/>
    <mergeCell ref="I66:K66"/>
    <mergeCell ref="L66:N66"/>
    <mergeCell ref="C67:G67"/>
    <mergeCell ref="I67:K67"/>
    <mergeCell ref="L67:N67"/>
    <mergeCell ref="C68:G68"/>
    <mergeCell ref="I68:K68"/>
    <mergeCell ref="L68:N68"/>
    <mergeCell ref="C69:G69"/>
    <mergeCell ref="I69:K69"/>
    <mergeCell ref="L69:N69"/>
    <mergeCell ref="C70:G70"/>
    <mergeCell ref="I70:K70"/>
    <mergeCell ref="L70:N70"/>
    <mergeCell ref="C71:G71"/>
    <mergeCell ref="I71:K71"/>
    <mergeCell ref="L71:N71"/>
    <mergeCell ref="C72:G72"/>
    <mergeCell ref="I72:K72"/>
    <mergeCell ref="L72:N72"/>
    <mergeCell ref="C73:G73"/>
    <mergeCell ref="I73:K73"/>
    <mergeCell ref="L73:N73"/>
    <mergeCell ref="C74:G74"/>
    <mergeCell ref="I74:K74"/>
    <mergeCell ref="L74:N74"/>
    <mergeCell ref="C75:G75"/>
    <mergeCell ref="I75:K75"/>
    <mergeCell ref="L75:N75"/>
    <mergeCell ref="C76:G76"/>
    <mergeCell ref="I76:K76"/>
    <mergeCell ref="L76:N76"/>
    <mergeCell ref="C77:G77"/>
    <mergeCell ref="I77:K77"/>
    <mergeCell ref="L77:N77"/>
    <mergeCell ref="C78:G78"/>
    <mergeCell ref="I78:K78"/>
    <mergeCell ref="L78:N78"/>
    <mergeCell ref="C79:G79"/>
    <mergeCell ref="I79:K79"/>
    <mergeCell ref="L79:N79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syncVertical="1" syncRef="A1" transitionEvaluation="1"/>
  <dimension ref="A1:N120"/>
  <sheetViews>
    <sheetView showGridLines="0" zoomScale="90" workbookViewId="0">
      <selection activeCell="P15" sqref="P15"/>
    </sheetView>
  </sheetViews>
  <sheetFormatPr defaultColWidth="12.5703125" defaultRowHeight="15.75"/>
  <cols>
    <col min="1" max="13" width="7" style="457" customWidth="1"/>
    <col min="14" max="14" width="7.140625" style="457" customWidth="1"/>
    <col min="15" max="16384" width="12.5703125" style="457"/>
  </cols>
  <sheetData>
    <row r="1" spans="1:14" ht="17.100000000000001" customHeight="1">
      <c r="A1" s="450" t="s">
        <v>267</v>
      </c>
      <c r="B1" s="451"/>
      <c r="C1" s="451"/>
      <c r="D1" s="451"/>
      <c r="E1" s="451"/>
      <c r="F1" s="451"/>
      <c r="G1" s="451"/>
      <c r="H1" s="451"/>
      <c r="I1" s="451"/>
      <c r="J1" s="452" t="s">
        <v>600</v>
      </c>
      <c r="K1" s="453"/>
      <c r="L1" s="454" t="s">
        <v>601</v>
      </c>
      <c r="M1" s="455"/>
      <c r="N1" s="456"/>
    </row>
    <row r="2" spans="1:14" ht="17.100000000000001" customHeight="1">
      <c r="A2" s="458" t="s">
        <v>602</v>
      </c>
      <c r="B2" s="459"/>
      <c r="C2" s="459"/>
      <c r="D2" s="459"/>
      <c r="E2" s="459"/>
      <c r="F2" s="459"/>
      <c r="G2" s="459"/>
      <c r="H2" s="459"/>
      <c r="I2" s="459"/>
      <c r="J2" s="460" t="s">
        <v>603</v>
      </c>
      <c r="K2" s="461"/>
      <c r="L2" s="462" t="s">
        <v>604</v>
      </c>
      <c r="M2" s="463"/>
      <c r="N2" s="456"/>
    </row>
    <row r="3" spans="1:14" ht="15.95" customHeight="1">
      <c r="A3" s="464"/>
      <c r="B3" s="465"/>
      <c r="C3" s="465"/>
      <c r="D3" s="465"/>
      <c r="E3" s="465"/>
      <c r="F3" s="465"/>
      <c r="G3" s="465"/>
      <c r="H3" s="465"/>
      <c r="I3" s="465"/>
      <c r="J3" s="460" t="s">
        <v>605</v>
      </c>
      <c r="K3" s="461"/>
      <c r="L3" s="466" t="s">
        <v>606</v>
      </c>
      <c r="M3" s="463"/>
      <c r="N3" s="456"/>
    </row>
    <row r="4" spans="1:14" ht="15.95" customHeight="1">
      <c r="A4" s="467"/>
      <c r="B4" s="465"/>
      <c r="C4" s="465"/>
      <c r="D4" s="465"/>
      <c r="E4" s="465"/>
      <c r="F4" s="465"/>
      <c r="G4" s="465"/>
      <c r="H4" s="465"/>
      <c r="I4" s="465"/>
      <c r="J4" s="460" t="s">
        <v>607</v>
      </c>
      <c r="K4" s="461"/>
      <c r="L4" s="468" t="s">
        <v>608</v>
      </c>
      <c r="M4" s="463"/>
      <c r="N4" s="456"/>
    </row>
    <row r="5" spans="1:14" ht="15.95" customHeight="1">
      <c r="A5" s="464"/>
      <c r="B5" s="465"/>
      <c r="C5" s="465"/>
      <c r="D5" s="465"/>
      <c r="E5" s="465"/>
      <c r="F5" s="465"/>
      <c r="G5" s="465"/>
      <c r="H5" s="465"/>
      <c r="I5" s="465"/>
      <c r="J5" s="460" t="s">
        <v>609</v>
      </c>
      <c r="K5" s="461"/>
      <c r="L5" s="462">
        <v>2</v>
      </c>
      <c r="M5" s="463"/>
      <c r="N5" s="456"/>
    </row>
    <row r="6" spans="1:14" ht="15.95" customHeight="1">
      <c r="A6" s="469" t="s">
        <v>610</v>
      </c>
      <c r="B6" s="465"/>
      <c r="C6" s="465"/>
      <c r="D6" s="465"/>
      <c r="E6" s="465"/>
      <c r="F6" s="465"/>
      <c r="G6" s="465"/>
      <c r="H6" s="465"/>
      <c r="I6" s="465"/>
      <c r="J6" s="460" t="s">
        <v>611</v>
      </c>
      <c r="K6" s="461"/>
      <c r="L6" s="470" t="s">
        <v>612</v>
      </c>
      <c r="M6" s="463"/>
      <c r="N6" s="456"/>
    </row>
    <row r="7" spans="1:14" ht="15.95" customHeight="1" thickBot="1">
      <c r="A7" s="471" t="s">
        <v>613</v>
      </c>
      <c r="B7" s="472"/>
      <c r="C7" s="472"/>
      <c r="D7" s="472"/>
      <c r="E7" s="472"/>
      <c r="F7" s="472"/>
      <c r="G7" s="472"/>
      <c r="H7" s="472"/>
      <c r="I7" s="472"/>
      <c r="J7" s="473" t="s">
        <v>614</v>
      </c>
      <c r="K7" s="474"/>
      <c r="L7" s="475" t="s">
        <v>615</v>
      </c>
      <c r="M7" s="476"/>
      <c r="N7" s="456"/>
    </row>
    <row r="8" spans="1:14" ht="15.95" customHeight="1">
      <c r="A8" s="477"/>
      <c r="B8" s="465"/>
      <c r="C8" s="465"/>
      <c r="D8" s="465"/>
      <c r="E8" s="465"/>
      <c r="F8" s="465"/>
      <c r="G8" s="465"/>
      <c r="H8" s="465"/>
      <c r="I8" s="465"/>
      <c r="J8" s="465"/>
      <c r="K8" s="478"/>
      <c r="L8" s="479"/>
      <c r="M8" s="480"/>
      <c r="N8" s="465"/>
    </row>
    <row r="9" spans="1:14" ht="12" customHeight="1">
      <c r="A9" s="481"/>
      <c r="B9" s="482" t="s">
        <v>616</v>
      </c>
      <c r="C9" s="483" t="s">
        <v>706</v>
      </c>
      <c r="D9" s="484"/>
      <c r="E9" s="484"/>
      <c r="F9" s="484"/>
      <c r="G9" s="484"/>
      <c r="H9" s="484"/>
      <c r="I9" s="484"/>
      <c r="J9" s="484"/>
      <c r="K9" s="485"/>
      <c r="L9" s="486"/>
      <c r="M9" s="484"/>
      <c r="N9" s="465"/>
    </row>
    <row r="10" spans="1:14" ht="12" customHeight="1">
      <c r="A10" s="481"/>
      <c r="B10" s="482" t="s">
        <v>617</v>
      </c>
      <c r="C10" s="487" t="s">
        <v>707</v>
      </c>
      <c r="D10" s="486"/>
      <c r="E10" s="486"/>
      <c r="F10" s="486"/>
      <c r="G10" s="486"/>
      <c r="H10" s="486"/>
      <c r="I10" s="486"/>
      <c r="J10" s="486"/>
      <c r="K10" s="486"/>
      <c r="L10" s="486"/>
      <c r="M10" s="486"/>
      <c r="N10" s="479"/>
    </row>
    <row r="11" spans="1:14" ht="16.5" thickBot="1">
      <c r="A11" s="488"/>
      <c r="B11" s="488"/>
      <c r="C11" s="488"/>
      <c r="D11" s="488"/>
      <c r="E11" s="488"/>
      <c r="F11" s="488"/>
      <c r="G11" s="488"/>
      <c r="H11" s="488"/>
      <c r="I11" s="488"/>
      <c r="J11" s="488"/>
      <c r="K11" s="488"/>
      <c r="L11" s="488"/>
      <c r="M11" s="488"/>
      <c r="N11" s="488"/>
    </row>
    <row r="12" spans="1:14" ht="20.100000000000001" customHeight="1" thickBot="1">
      <c r="A12" s="489" t="s">
        <v>618</v>
      </c>
      <c r="B12" s="490"/>
      <c r="C12" s="490"/>
      <c r="D12" s="490"/>
      <c r="E12" s="490"/>
      <c r="F12" s="490"/>
      <c r="G12" s="490"/>
      <c r="H12" s="490"/>
      <c r="I12" s="490"/>
      <c r="J12" s="490"/>
      <c r="K12" s="490"/>
      <c r="L12" s="490"/>
      <c r="M12" s="491"/>
      <c r="N12" s="456"/>
    </row>
    <row r="13" spans="1:14" ht="12.95" customHeight="1" thickTop="1">
      <c r="A13" s="492"/>
      <c r="B13" s="493" t="s">
        <v>619</v>
      </c>
      <c r="C13" s="494">
        <v>600</v>
      </c>
      <c r="D13" s="486"/>
      <c r="E13" s="493" t="s">
        <v>620</v>
      </c>
      <c r="F13" s="494">
        <v>4000</v>
      </c>
      <c r="G13" s="486"/>
      <c r="H13" s="493" t="s">
        <v>621</v>
      </c>
      <c r="I13" s="494" t="s">
        <v>705</v>
      </c>
      <c r="J13" s="486"/>
      <c r="K13" s="486"/>
      <c r="L13" s="493" t="s">
        <v>622</v>
      </c>
      <c r="M13" s="495">
        <v>3600</v>
      </c>
      <c r="N13" s="456"/>
    </row>
    <row r="14" spans="1:14" ht="12.95" customHeight="1">
      <c r="A14" s="492"/>
      <c r="B14" s="493" t="s">
        <v>623</v>
      </c>
      <c r="C14" s="494" t="s">
        <v>193</v>
      </c>
      <c r="D14" s="486"/>
      <c r="E14" s="493" t="s">
        <v>624</v>
      </c>
      <c r="F14" s="494" t="s">
        <v>664</v>
      </c>
      <c r="G14" s="486"/>
      <c r="H14" s="493" t="s">
        <v>625</v>
      </c>
      <c r="I14" s="494">
        <v>74</v>
      </c>
      <c r="J14" s="486"/>
      <c r="K14" s="486"/>
      <c r="L14" s="493" t="s">
        <v>581</v>
      </c>
      <c r="M14" s="495">
        <v>3575</v>
      </c>
      <c r="N14" s="456"/>
    </row>
    <row r="15" spans="1:14" ht="12.95" customHeight="1">
      <c r="A15" s="492"/>
      <c r="B15" s="493" t="s">
        <v>626</v>
      </c>
      <c r="C15" s="494" t="s">
        <v>192</v>
      </c>
      <c r="D15" s="486"/>
      <c r="E15" s="493" t="s">
        <v>627</v>
      </c>
      <c r="F15" s="498" t="s">
        <v>708</v>
      </c>
      <c r="G15" s="486"/>
      <c r="H15" s="496" t="s">
        <v>628</v>
      </c>
      <c r="I15" s="494" t="s">
        <v>320</v>
      </c>
      <c r="J15" s="486"/>
      <c r="K15" s="486"/>
      <c r="L15" s="493" t="s">
        <v>629</v>
      </c>
      <c r="M15" s="495" t="s">
        <v>364</v>
      </c>
      <c r="N15" s="456"/>
    </row>
    <row r="16" spans="1:14" ht="12.95" customHeight="1">
      <c r="A16" s="492"/>
      <c r="B16" s="493" t="s">
        <v>630</v>
      </c>
      <c r="C16" s="494" t="s">
        <v>704</v>
      </c>
      <c r="D16" s="486"/>
      <c r="E16" s="493" t="s">
        <v>631</v>
      </c>
      <c r="F16" s="494" t="s">
        <v>442</v>
      </c>
      <c r="G16" s="486"/>
      <c r="H16" s="497" t="s">
        <v>632</v>
      </c>
      <c r="I16" s="498" t="s">
        <v>385</v>
      </c>
      <c r="J16" s="486"/>
      <c r="K16" s="486"/>
      <c r="L16" s="493" t="s">
        <v>633</v>
      </c>
      <c r="M16" s="495" t="s">
        <v>634</v>
      </c>
      <c r="N16" s="456"/>
    </row>
    <row r="17" spans="1:14" ht="12.95" customHeight="1">
      <c r="A17" s="492"/>
      <c r="B17" s="493" t="s">
        <v>635</v>
      </c>
      <c r="C17" s="499" t="s">
        <v>709</v>
      </c>
      <c r="D17" s="486"/>
      <c r="E17" s="493"/>
      <c r="F17" s="500"/>
      <c r="G17" s="486"/>
      <c r="H17" s="493" t="s">
        <v>636</v>
      </c>
      <c r="I17" s="498" t="s">
        <v>174</v>
      </c>
      <c r="J17" s="486"/>
      <c r="K17" s="486"/>
      <c r="L17" s="493"/>
      <c r="M17" s="501"/>
      <c r="N17" s="456"/>
    </row>
    <row r="18" spans="1:14" ht="12.95" customHeight="1" thickBot="1">
      <c r="A18" s="502"/>
      <c r="B18" s="503" t="s">
        <v>637</v>
      </c>
      <c r="C18" s="504" t="s">
        <v>174</v>
      </c>
      <c r="D18" s="505"/>
      <c r="E18" s="506" t="s">
        <v>638</v>
      </c>
      <c r="F18" s="504" t="s">
        <v>174</v>
      </c>
      <c r="G18" s="507"/>
      <c r="H18" s="506" t="s">
        <v>639</v>
      </c>
      <c r="I18" s="504" t="s">
        <v>174</v>
      </c>
      <c r="J18" s="505"/>
      <c r="K18" s="505"/>
      <c r="L18" s="505"/>
      <c r="M18" s="508"/>
      <c r="N18" s="456"/>
    </row>
    <row r="19" spans="1:14" ht="16.5" thickBot="1">
      <c r="A19" s="456"/>
      <c r="B19" s="456"/>
      <c r="C19" s="456"/>
      <c r="D19" s="456"/>
      <c r="E19" s="456"/>
      <c r="F19" s="456"/>
      <c r="G19" s="456"/>
      <c r="H19" s="456"/>
      <c r="I19" s="456"/>
      <c r="J19" s="456"/>
      <c r="K19" s="456"/>
      <c r="L19" s="456"/>
      <c r="M19" s="456"/>
      <c r="N19" s="456"/>
    </row>
    <row r="20" spans="1:14" ht="20.100000000000001" customHeight="1" thickBot="1">
      <c r="A20" s="489"/>
      <c r="B20" s="490"/>
      <c r="C20" s="490"/>
      <c r="D20" s="490"/>
      <c r="E20" s="490"/>
      <c r="F20" s="490"/>
      <c r="G20" s="490"/>
      <c r="H20" s="490"/>
      <c r="I20" s="490"/>
      <c r="J20" s="490"/>
      <c r="K20" s="490"/>
      <c r="L20" s="490"/>
      <c r="M20" s="491"/>
    </row>
    <row r="21" spans="1:14" ht="15.95" customHeight="1" thickTop="1">
      <c r="A21" s="509" t="s">
        <v>640</v>
      </c>
      <c r="B21" s="510"/>
      <c r="C21" s="479"/>
      <c r="D21" s="511"/>
      <c r="E21" s="512" t="s">
        <v>641</v>
      </c>
      <c r="F21" s="513"/>
      <c r="G21" s="513"/>
      <c r="H21" s="514"/>
      <c r="I21" s="515" t="s">
        <v>642</v>
      </c>
      <c r="J21" s="516"/>
      <c r="K21" s="516"/>
      <c r="L21" s="479"/>
      <c r="M21" s="517"/>
    </row>
    <row r="22" spans="1:14" ht="15.95" customHeight="1">
      <c r="A22" s="518" t="s">
        <v>643</v>
      </c>
      <c r="B22" s="486"/>
      <c r="C22" s="519"/>
      <c r="D22" s="520">
        <v>498</v>
      </c>
      <c r="E22" s="493"/>
      <c r="G22" s="497" t="s">
        <v>644</v>
      </c>
      <c r="H22" s="521">
        <v>881</v>
      </c>
      <c r="I22" s="519"/>
      <c r="J22" s="486"/>
      <c r="K22" s="519" t="s">
        <v>645</v>
      </c>
      <c r="L22" s="662"/>
      <c r="M22" s="663"/>
    </row>
    <row r="23" spans="1:14" ht="15.95" customHeight="1">
      <c r="A23" s="518"/>
      <c r="B23" s="519"/>
      <c r="C23" s="522"/>
      <c r="D23" s="523"/>
      <c r="E23" s="493"/>
      <c r="G23" s="493" t="s">
        <v>646</v>
      </c>
      <c r="H23" s="520">
        <v>95</v>
      </c>
      <c r="I23" s="486"/>
      <c r="J23" s="486"/>
      <c r="K23" s="493" t="s">
        <v>647</v>
      </c>
      <c r="L23" s="662"/>
      <c r="M23" s="663"/>
    </row>
    <row r="24" spans="1:14" ht="15.95" customHeight="1">
      <c r="A24" s="492"/>
      <c r="B24" s="493"/>
      <c r="C24" s="486"/>
      <c r="D24" s="523"/>
      <c r="E24" s="493"/>
      <c r="G24" s="497" t="s">
        <v>648</v>
      </c>
      <c r="H24" s="520">
        <v>270</v>
      </c>
      <c r="I24" s="486"/>
      <c r="J24" s="493"/>
      <c r="K24" s="486"/>
      <c r="L24" s="486"/>
      <c r="M24" s="501"/>
    </row>
    <row r="25" spans="1:14" ht="15.95" customHeight="1" thickBot="1">
      <c r="A25" s="502"/>
      <c r="B25" s="503"/>
      <c r="C25" s="505"/>
      <c r="D25" s="524"/>
      <c r="E25" s="506"/>
      <c r="F25" s="506"/>
      <c r="G25" s="506"/>
      <c r="H25" s="525"/>
      <c r="I25" s="505"/>
      <c r="J25" s="506"/>
      <c r="K25" s="505"/>
      <c r="L25" s="505"/>
      <c r="M25" s="508"/>
    </row>
    <row r="26" spans="1:14" ht="18.95" customHeight="1" thickBot="1">
      <c r="A26" s="526"/>
      <c r="B26" s="526"/>
      <c r="C26" s="526"/>
      <c r="D26" s="527"/>
      <c r="E26" s="527"/>
      <c r="F26" s="527"/>
      <c r="G26" s="527"/>
      <c r="H26" s="527"/>
      <c r="I26" s="527"/>
      <c r="J26" s="527"/>
      <c r="K26" s="527"/>
      <c r="L26" s="527"/>
      <c r="M26" s="456"/>
      <c r="N26" s="456"/>
    </row>
    <row r="27" spans="1:14" ht="20.100000000000001" customHeight="1" thickBot="1">
      <c r="A27" s="528"/>
      <c r="B27" s="529"/>
      <c r="C27" s="529"/>
      <c r="D27" s="529"/>
      <c r="E27" s="529"/>
      <c r="F27" s="529"/>
      <c r="G27" s="530"/>
      <c r="H27" s="529"/>
      <c r="I27" s="529"/>
      <c r="J27" s="529"/>
      <c r="K27" s="529"/>
      <c r="L27" s="529"/>
      <c r="M27" s="531"/>
    </row>
    <row r="28" spans="1:14" ht="15.95" customHeight="1" thickTop="1">
      <c r="A28" s="532" t="s">
        <v>649</v>
      </c>
      <c r="B28" s="510"/>
      <c r="C28" s="479"/>
      <c r="D28" s="479"/>
      <c r="E28" s="513"/>
      <c r="F28" s="513"/>
      <c r="G28" s="533"/>
      <c r="H28" s="512" t="s">
        <v>650</v>
      </c>
      <c r="I28" s="513"/>
      <c r="J28" s="516"/>
      <c r="K28" s="512"/>
      <c r="L28" s="516"/>
      <c r="M28" s="517"/>
    </row>
    <row r="29" spans="1:14" ht="15.95" customHeight="1">
      <c r="A29" s="492"/>
      <c r="B29" s="519"/>
      <c r="C29" s="519" t="s">
        <v>651</v>
      </c>
      <c r="D29" s="534">
        <v>94.8</v>
      </c>
      <c r="E29" s="493"/>
      <c r="F29" s="493"/>
      <c r="G29" s="533"/>
      <c r="H29" s="497"/>
      <c r="I29" s="519"/>
      <c r="J29" s="519" t="s">
        <v>651</v>
      </c>
      <c r="K29" s="534">
        <v>92.5</v>
      </c>
      <c r="L29" s="486"/>
      <c r="M29" s="501"/>
    </row>
    <row r="30" spans="1:14" ht="15.95" customHeight="1">
      <c r="A30" s="535"/>
      <c r="B30" s="486"/>
      <c r="C30" s="519" t="s">
        <v>652</v>
      </c>
      <c r="D30" s="534">
        <v>94.1</v>
      </c>
      <c r="E30" s="493"/>
      <c r="F30" s="493"/>
      <c r="G30" s="533"/>
      <c r="H30" s="493"/>
      <c r="I30" s="486"/>
      <c r="J30" s="519" t="s">
        <v>652</v>
      </c>
      <c r="K30" s="534">
        <v>91.5</v>
      </c>
      <c r="L30" s="486"/>
      <c r="M30" s="501"/>
    </row>
    <row r="31" spans="1:14" ht="15.95" customHeight="1">
      <c r="A31" s="492"/>
      <c r="B31" s="493"/>
      <c r="C31" s="519" t="s">
        <v>653</v>
      </c>
      <c r="D31" s="534">
        <v>92.4</v>
      </c>
      <c r="E31" s="493"/>
      <c r="F31" s="493"/>
      <c r="G31" s="533"/>
      <c r="H31" s="493"/>
      <c r="I31" s="486"/>
      <c r="J31" s="519" t="s">
        <v>653</v>
      </c>
      <c r="K31" s="534">
        <v>88.3</v>
      </c>
      <c r="L31" s="493"/>
      <c r="M31" s="501"/>
    </row>
    <row r="32" spans="1:14" ht="15.95" customHeight="1" thickBot="1">
      <c r="A32" s="502"/>
      <c r="B32" s="503"/>
      <c r="C32" s="505"/>
      <c r="D32" s="505"/>
      <c r="E32" s="506"/>
      <c r="F32" s="506"/>
      <c r="G32" s="536"/>
      <c r="H32" s="506"/>
      <c r="I32" s="505"/>
      <c r="J32" s="506"/>
      <c r="K32" s="505"/>
      <c r="L32" s="506"/>
      <c r="M32" s="508"/>
    </row>
    <row r="33" spans="1:14" ht="20.100000000000001" customHeight="1" thickBot="1">
      <c r="A33" s="537"/>
      <c r="B33" s="537"/>
      <c r="C33" s="537"/>
      <c r="D33" s="537"/>
      <c r="E33" s="537"/>
      <c r="F33" s="537"/>
      <c r="G33" s="537"/>
      <c r="H33" s="537"/>
      <c r="I33" s="537"/>
      <c r="J33" s="537"/>
      <c r="K33" s="537"/>
      <c r="L33" s="537"/>
      <c r="M33" s="538"/>
      <c r="N33" s="538"/>
    </row>
    <row r="34" spans="1:14" ht="8.25" customHeight="1" thickBot="1">
      <c r="A34" s="539"/>
      <c r="B34" s="540"/>
      <c r="C34" s="540"/>
      <c r="D34" s="540"/>
      <c r="E34" s="540"/>
      <c r="F34" s="540"/>
      <c r="G34" s="540"/>
      <c r="H34" s="540"/>
      <c r="I34" s="540"/>
      <c r="J34" s="540"/>
      <c r="K34" s="540"/>
      <c r="L34" s="540"/>
      <c r="M34" s="541"/>
    </row>
    <row r="35" spans="1:14" ht="15.95" customHeight="1" thickTop="1">
      <c r="A35" s="542" t="s">
        <v>654</v>
      </c>
      <c r="B35" s="522"/>
      <c r="C35" s="522"/>
      <c r="D35" s="522"/>
      <c r="E35" s="522"/>
      <c r="F35" s="522"/>
      <c r="G35" s="522"/>
      <c r="H35" s="522"/>
      <c r="I35" s="522"/>
      <c r="J35" s="522"/>
      <c r="K35" s="522"/>
      <c r="L35" s="522"/>
      <c r="M35" s="543"/>
    </row>
    <row r="36" spans="1:14" ht="15.95" customHeight="1">
      <c r="A36" s="544" t="s">
        <v>655</v>
      </c>
      <c r="B36" s="545"/>
      <c r="C36" s="545"/>
      <c r="D36" s="545"/>
      <c r="E36" s="545"/>
      <c r="F36" s="545"/>
      <c r="G36" s="545"/>
      <c r="H36" s="545"/>
      <c r="I36" s="545"/>
      <c r="J36" s="545"/>
      <c r="K36" s="545"/>
      <c r="L36" s="545"/>
      <c r="M36" s="546"/>
    </row>
    <row r="37" spans="1:14" ht="15.95" customHeight="1">
      <c r="A37" s="547" t="s">
        <v>656</v>
      </c>
      <c r="B37" s="548"/>
      <c r="C37" s="548"/>
      <c r="D37" s="548"/>
      <c r="E37" s="548"/>
      <c r="F37" s="548"/>
      <c r="G37" s="548"/>
      <c r="H37" s="548"/>
      <c r="I37" s="548"/>
      <c r="J37" s="548"/>
      <c r="K37" s="548"/>
      <c r="L37" s="548"/>
      <c r="M37" s="549"/>
    </row>
    <row r="38" spans="1:14" ht="15.95" customHeight="1">
      <c r="A38" s="550" t="s">
        <v>657</v>
      </c>
      <c r="B38" s="522"/>
      <c r="C38" s="522"/>
      <c r="D38" s="522"/>
      <c r="E38" s="551"/>
      <c r="F38" s="522"/>
      <c r="G38" s="522"/>
      <c r="H38" s="522"/>
      <c r="I38" s="522"/>
      <c r="J38" s="522"/>
      <c r="K38" s="522"/>
      <c r="L38" s="522"/>
      <c r="M38" s="543"/>
    </row>
    <row r="39" spans="1:14" ht="15.95" customHeight="1">
      <c r="A39" s="535" t="s">
        <v>658</v>
      </c>
      <c r="B39" s="522"/>
      <c r="C39" s="522"/>
      <c r="D39" s="522"/>
      <c r="E39" s="522"/>
      <c r="F39" s="522"/>
      <c r="G39" s="522"/>
      <c r="H39" s="522"/>
      <c r="I39" s="522"/>
      <c r="J39" s="522"/>
      <c r="K39" s="522"/>
      <c r="L39" s="522"/>
      <c r="M39" s="543"/>
    </row>
    <row r="40" spans="1:14" ht="15.95" customHeight="1" thickBot="1">
      <c r="A40" s="552" t="s">
        <v>659</v>
      </c>
      <c r="B40" s="553"/>
      <c r="C40" s="553"/>
      <c r="D40" s="553"/>
      <c r="E40" s="553"/>
      <c r="F40" s="553"/>
      <c r="G40" s="553"/>
      <c r="H40" s="553"/>
      <c r="I40" s="553"/>
      <c r="J40" s="553"/>
      <c r="K40" s="553"/>
      <c r="L40" s="553"/>
      <c r="M40" s="554"/>
    </row>
    <row r="41" spans="1:14" ht="15.95" customHeight="1"/>
    <row r="42" spans="1:14" ht="21">
      <c r="A42" s="555"/>
      <c r="B42" s="555"/>
      <c r="C42" s="555"/>
      <c r="D42" s="555"/>
      <c r="E42" s="555"/>
      <c r="F42" s="555"/>
      <c r="G42" s="555"/>
      <c r="H42" s="456"/>
      <c r="I42" s="456"/>
      <c r="J42" s="556" t="s">
        <v>660</v>
      </c>
      <c r="K42" s="664" t="s">
        <v>661</v>
      </c>
      <c r="L42" s="664"/>
      <c r="M42" s="664"/>
      <c r="N42" s="555"/>
    </row>
    <row r="43" spans="1:14" ht="7.5" customHeight="1">
      <c r="H43" s="456"/>
      <c r="I43" s="456"/>
      <c r="J43" s="456"/>
      <c r="K43" s="456"/>
      <c r="L43" s="456"/>
      <c r="M43" s="456"/>
    </row>
    <row r="44" spans="1:14" ht="16.5">
      <c r="H44" s="456"/>
      <c r="I44" s="456"/>
      <c r="J44" s="556" t="s">
        <v>662</v>
      </c>
      <c r="K44" s="665">
        <v>43945</v>
      </c>
      <c r="L44" s="665"/>
      <c r="M44" s="665"/>
    </row>
    <row r="59" spans="1:5">
      <c r="A59" s="457" t="s">
        <v>174</v>
      </c>
      <c r="B59" s="457" t="s">
        <v>663</v>
      </c>
      <c r="D59" s="457">
        <v>1</v>
      </c>
      <c r="E59" s="557" t="s">
        <v>174</v>
      </c>
    </row>
    <row r="60" spans="1:5">
      <c r="A60" s="457" t="s">
        <v>664</v>
      </c>
      <c r="B60" s="457" t="s">
        <v>665</v>
      </c>
      <c r="D60" s="457">
        <v>1.1499999999999999</v>
      </c>
      <c r="E60" s="557" t="s">
        <v>183</v>
      </c>
    </row>
    <row r="61" spans="1:5">
      <c r="A61" s="457" t="s">
        <v>666</v>
      </c>
      <c r="B61" s="457" t="s">
        <v>667</v>
      </c>
      <c r="E61" s="557" t="s">
        <v>320</v>
      </c>
    </row>
    <row r="62" spans="1:5">
      <c r="B62" s="457" t="s">
        <v>668</v>
      </c>
    </row>
    <row r="63" spans="1:5">
      <c r="B63" s="457" t="s">
        <v>669</v>
      </c>
    </row>
    <row r="64" spans="1:5">
      <c r="B64" s="457" t="s">
        <v>670</v>
      </c>
    </row>
    <row r="65" spans="2:2">
      <c r="B65" s="457" t="s">
        <v>671</v>
      </c>
    </row>
    <row r="66" spans="2:2">
      <c r="B66" s="457" t="s">
        <v>672</v>
      </c>
    </row>
    <row r="67" spans="2:2">
      <c r="B67" s="457" t="s">
        <v>673</v>
      </c>
    </row>
    <row r="68" spans="2:2">
      <c r="B68" s="457" t="s">
        <v>674</v>
      </c>
    </row>
    <row r="69" spans="2:2">
      <c r="B69" s="457" t="s">
        <v>675</v>
      </c>
    </row>
    <row r="70" spans="2:2">
      <c r="B70" s="457" t="s">
        <v>676</v>
      </c>
    </row>
    <row r="71" spans="2:2">
      <c r="B71" s="457" t="s">
        <v>677</v>
      </c>
    </row>
    <row r="72" spans="2:2">
      <c r="B72" s="457" t="s">
        <v>678</v>
      </c>
    </row>
    <row r="73" spans="2:2">
      <c r="B73" s="457" t="s">
        <v>679</v>
      </c>
    </row>
    <row r="74" spans="2:2">
      <c r="B74" s="457" t="s">
        <v>680</v>
      </c>
    </row>
    <row r="75" spans="2:2">
      <c r="B75" s="457" t="s">
        <v>681</v>
      </c>
    </row>
    <row r="76" spans="2:2">
      <c r="B76" s="457" t="s">
        <v>682</v>
      </c>
    </row>
    <row r="77" spans="2:2">
      <c r="B77" s="457" t="s">
        <v>683</v>
      </c>
    </row>
    <row r="78" spans="2:2">
      <c r="B78" s="457" t="s">
        <v>684</v>
      </c>
    </row>
    <row r="79" spans="2:2">
      <c r="B79" s="457" t="s">
        <v>685</v>
      </c>
    </row>
    <row r="80" spans="2:2">
      <c r="B80" s="457">
        <v>6312</v>
      </c>
    </row>
    <row r="81" spans="2:2">
      <c r="B81" s="457" t="s">
        <v>686</v>
      </c>
    </row>
    <row r="82" spans="2:2">
      <c r="B82" s="457" t="s">
        <v>687</v>
      </c>
    </row>
    <row r="83" spans="2:2">
      <c r="B83" s="457" t="s">
        <v>688</v>
      </c>
    </row>
    <row r="84" spans="2:2">
      <c r="B84" s="457" t="s">
        <v>689</v>
      </c>
    </row>
    <row r="85" spans="2:2">
      <c r="B85" s="457">
        <v>6313</v>
      </c>
    </row>
    <row r="86" spans="2:2">
      <c r="B86" s="457" t="s">
        <v>690</v>
      </c>
    </row>
    <row r="87" spans="2:2">
      <c r="B87" s="457" t="s">
        <v>691</v>
      </c>
    </row>
    <row r="88" spans="2:2">
      <c r="B88" s="457" t="s">
        <v>692</v>
      </c>
    </row>
    <row r="89" spans="2:2">
      <c r="B89" s="457">
        <v>6314</v>
      </c>
    </row>
    <row r="90" spans="2:2">
      <c r="B90" s="457" t="s">
        <v>693</v>
      </c>
    </row>
    <row r="91" spans="2:2">
      <c r="B91" s="457">
        <v>6317</v>
      </c>
    </row>
    <row r="92" spans="2:2">
      <c r="B92" s="457" t="s">
        <v>694</v>
      </c>
    </row>
    <row r="93" spans="2:2">
      <c r="B93" s="457">
        <v>6318</v>
      </c>
    </row>
    <row r="94" spans="2:2">
      <c r="B94" s="457" t="s">
        <v>695</v>
      </c>
    </row>
    <row r="95" spans="2:2">
      <c r="B95" s="457" t="s">
        <v>696</v>
      </c>
    </row>
    <row r="96" spans="2:2">
      <c r="B96" s="457" t="s">
        <v>697</v>
      </c>
    </row>
    <row r="97" spans="2:2">
      <c r="B97" s="457">
        <v>6320</v>
      </c>
    </row>
    <row r="98" spans="2:2">
      <c r="B98" s="457" t="s">
        <v>698</v>
      </c>
    </row>
    <row r="99" spans="2:2">
      <c r="B99" s="457" t="s">
        <v>699</v>
      </c>
    </row>
    <row r="100" spans="2:2">
      <c r="B100" s="457" t="s">
        <v>700</v>
      </c>
    </row>
    <row r="101" spans="2:2">
      <c r="B101" s="457" t="s">
        <v>701</v>
      </c>
    </row>
    <row r="102" spans="2:2">
      <c r="B102" s="457" t="s">
        <v>701</v>
      </c>
    </row>
    <row r="118" spans="2:2">
      <c r="B118" s="457" t="s">
        <v>702</v>
      </c>
    </row>
    <row r="120" spans="2:2">
      <c r="B120" s="457" t="s">
        <v>703</v>
      </c>
    </row>
  </sheetData>
  <mergeCells count="4">
    <mergeCell ref="L22:M22"/>
    <mergeCell ref="L23:M23"/>
    <mergeCell ref="K42:M42"/>
    <mergeCell ref="K44:M44"/>
  </mergeCells>
  <dataValidations count="1">
    <dataValidation type="list" allowBlank="1" showInputMessage="1" showErrorMessage="1" prompt="Choose from list" sqref="L22:L23">
      <formula1>$B$59:$B$102</formula1>
    </dataValidation>
  </dataValidation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7"/>
  <sheetViews>
    <sheetView workbookViewId="0">
      <selection activeCell="A6" sqref="A6:F10"/>
    </sheetView>
  </sheetViews>
  <sheetFormatPr defaultRowHeight="12.75"/>
  <cols>
    <col min="1" max="6" width="16.7109375" style="388" customWidth="1"/>
    <col min="7" max="16384" width="9.140625" style="388"/>
  </cols>
  <sheetData>
    <row r="1" spans="1:6" ht="18.95" customHeight="1">
      <c r="A1" s="400"/>
      <c r="B1" s="401"/>
      <c r="C1" s="401"/>
      <c r="D1" s="401"/>
      <c r="E1" s="401"/>
      <c r="F1" s="402"/>
    </row>
    <row r="2" spans="1:6" ht="26.1" customHeight="1">
      <c r="A2" s="403" t="s">
        <v>267</v>
      </c>
      <c r="B2" s="404"/>
      <c r="C2" s="404"/>
      <c r="D2" s="404"/>
      <c r="E2" s="404"/>
      <c r="F2" s="405"/>
    </row>
    <row r="3" spans="1:6" ht="18.95" customHeight="1">
      <c r="A3" s="429" t="s">
        <v>599</v>
      </c>
      <c r="B3" s="404"/>
      <c r="C3" s="404"/>
      <c r="D3" s="404"/>
      <c r="E3" s="404"/>
      <c r="F3" s="405"/>
    </row>
    <row r="4" spans="1:6" ht="18.95" customHeight="1">
      <c r="A4" s="406"/>
      <c r="B4" s="407"/>
      <c r="C4" s="407"/>
      <c r="D4" s="407"/>
      <c r="E4" s="407"/>
      <c r="F4" s="408"/>
    </row>
    <row r="5" spans="1:6" ht="18.95" customHeight="1">
      <c r="A5" s="406"/>
      <c r="B5" s="407"/>
      <c r="C5" s="407"/>
      <c r="D5" s="407"/>
      <c r="E5" s="407"/>
      <c r="F5" s="408"/>
    </row>
    <row r="6" spans="1:6" ht="18.95" customHeight="1">
      <c r="A6" s="409" t="s">
        <v>570</v>
      </c>
      <c r="B6" s="666" t="str">
        <f>'Performance Data Sheet'!C17</f>
        <v>GP-10032399</v>
      </c>
      <c r="C6" s="667"/>
      <c r="D6" s="668"/>
      <c r="E6" s="409" t="s">
        <v>571</v>
      </c>
      <c r="F6" s="410" t="str">
        <f>'Performance Data Sheet'!I14&amp; " A"</f>
        <v>74 A</v>
      </c>
    </row>
    <row r="7" spans="1:6" ht="18.95" customHeight="1">
      <c r="A7" s="409" t="s">
        <v>572</v>
      </c>
      <c r="B7" s="410" t="str">
        <f>'Performance Data Sheet'!F14</f>
        <v>TEFC</v>
      </c>
      <c r="C7" s="409" t="s">
        <v>573</v>
      </c>
      <c r="D7" s="410" t="str">
        <f>'Performance Data Sheet'!F13 &amp; " V"</f>
        <v>4000 V</v>
      </c>
      <c r="E7" s="409" t="s">
        <v>574</v>
      </c>
      <c r="F7" s="410" t="str">
        <f>'Performance Data Sheet'!C14</f>
        <v>5811USS</v>
      </c>
    </row>
    <row r="8" spans="1:6" ht="18.95" customHeight="1">
      <c r="A8" s="409" t="s">
        <v>575</v>
      </c>
      <c r="B8" s="410">
        <v>2</v>
      </c>
      <c r="C8" s="409" t="s">
        <v>576</v>
      </c>
      <c r="D8" s="410" t="s">
        <v>577</v>
      </c>
      <c r="E8" s="409" t="s">
        <v>578</v>
      </c>
      <c r="F8" s="410" t="s">
        <v>364</v>
      </c>
    </row>
    <row r="9" spans="1:6" ht="18.95" customHeight="1">
      <c r="A9" s="409" t="s">
        <v>579</v>
      </c>
      <c r="B9" s="410">
        <v>600</v>
      </c>
      <c r="C9" s="409" t="s">
        <v>580</v>
      </c>
      <c r="D9" s="410" t="s">
        <v>591</v>
      </c>
      <c r="E9" s="409" t="s">
        <v>2</v>
      </c>
      <c r="F9" s="411">
        <f>'Performance Data Sheet'!K44</f>
        <v>43945</v>
      </c>
    </row>
    <row r="10" spans="1:6" ht="18.95" customHeight="1">
      <c r="A10" s="409" t="s">
        <v>581</v>
      </c>
      <c r="B10" s="410">
        <v>3575</v>
      </c>
      <c r="C10" s="409" t="s">
        <v>401</v>
      </c>
      <c r="D10" s="410" t="s">
        <v>582</v>
      </c>
      <c r="E10" s="409" t="s">
        <v>1</v>
      </c>
      <c r="F10" s="410" t="s">
        <v>380</v>
      </c>
    </row>
    <row r="11" spans="1:6" ht="18.95" customHeight="1">
      <c r="A11" s="406"/>
      <c r="B11" s="407"/>
      <c r="C11" s="407"/>
      <c r="D11" s="407"/>
      <c r="E11" s="407"/>
      <c r="F11" s="408"/>
    </row>
    <row r="12" spans="1:6" ht="18.95" customHeight="1">
      <c r="A12" s="406"/>
      <c r="B12" s="412" t="s">
        <v>593</v>
      </c>
      <c r="C12" s="413" t="str">
        <f>'Performance Data Sheet'!D22 &amp; "A"</f>
        <v>498A</v>
      </c>
      <c r="D12" s="412" t="s">
        <v>400</v>
      </c>
      <c r="E12" s="413" t="s">
        <v>582</v>
      </c>
      <c r="F12" s="408"/>
    </row>
    <row r="13" spans="1:6" ht="18.95" customHeight="1">
      <c r="A13" s="406"/>
      <c r="B13" s="412" t="s">
        <v>594</v>
      </c>
      <c r="C13" s="414">
        <v>0.95</v>
      </c>
      <c r="D13" s="412" t="s">
        <v>595</v>
      </c>
      <c r="E13" s="413" t="s">
        <v>582</v>
      </c>
      <c r="F13" s="408"/>
    </row>
    <row r="14" spans="1:6" ht="18.95" customHeight="1">
      <c r="A14" s="406"/>
      <c r="B14" s="412" t="s">
        <v>596</v>
      </c>
      <c r="C14" s="414">
        <v>2.7</v>
      </c>
      <c r="D14" s="412" t="s">
        <v>402</v>
      </c>
      <c r="E14" s="413" t="s">
        <v>582</v>
      </c>
      <c r="F14" s="408"/>
    </row>
    <row r="15" spans="1:6" ht="18.95" customHeight="1">
      <c r="A15" s="406"/>
      <c r="B15" s="412" t="s">
        <v>403</v>
      </c>
      <c r="C15" s="413" t="s">
        <v>598</v>
      </c>
      <c r="D15" s="407"/>
      <c r="E15" s="407"/>
      <c r="F15" s="408"/>
    </row>
    <row r="16" spans="1:6" ht="18.95" customHeight="1">
      <c r="A16" s="406"/>
      <c r="B16" s="407"/>
      <c r="C16" s="407"/>
      <c r="D16" s="407"/>
      <c r="E16" s="407"/>
      <c r="F16" s="408"/>
    </row>
    <row r="17" spans="1:6" ht="18.95" customHeight="1">
      <c r="A17" s="406"/>
      <c r="B17" s="407"/>
      <c r="C17" s="407"/>
      <c r="D17" s="407"/>
      <c r="E17" s="407"/>
      <c r="F17" s="408"/>
    </row>
    <row r="18" spans="1:6" ht="18.95" customHeight="1">
      <c r="A18" s="406"/>
      <c r="B18" s="407"/>
      <c r="C18" s="407"/>
      <c r="D18" s="407"/>
      <c r="E18" s="407"/>
      <c r="F18" s="408"/>
    </row>
    <row r="19" spans="1:6" ht="18.95" customHeight="1">
      <c r="A19" s="406"/>
      <c r="B19" s="407"/>
      <c r="C19" s="407"/>
      <c r="D19" s="407"/>
      <c r="E19" s="407"/>
      <c r="F19" s="408"/>
    </row>
    <row r="20" spans="1:6" ht="18.95" customHeight="1">
      <c r="A20" s="406"/>
      <c r="B20" s="407"/>
      <c r="C20" s="407"/>
      <c r="D20" s="407"/>
      <c r="E20" s="407"/>
      <c r="F20" s="408"/>
    </row>
    <row r="21" spans="1:6" ht="18.95" customHeight="1">
      <c r="A21" s="406"/>
      <c r="B21" s="407"/>
      <c r="C21" s="407"/>
      <c r="D21" s="407"/>
      <c r="E21" s="407"/>
      <c r="F21" s="408"/>
    </row>
    <row r="22" spans="1:6" ht="18.95" customHeight="1">
      <c r="A22" s="406"/>
      <c r="B22" s="407"/>
      <c r="C22" s="407"/>
      <c r="D22" s="407"/>
      <c r="E22" s="407"/>
      <c r="F22" s="408"/>
    </row>
    <row r="23" spans="1:6" ht="18.95" customHeight="1">
      <c r="A23" s="406"/>
      <c r="B23" s="407"/>
      <c r="C23" s="407"/>
      <c r="D23" s="407"/>
      <c r="E23" s="407"/>
      <c r="F23" s="408"/>
    </row>
    <row r="24" spans="1:6" ht="18.95" customHeight="1">
      <c r="A24" s="406"/>
      <c r="B24" s="407"/>
      <c r="C24" s="407"/>
      <c r="D24" s="407"/>
      <c r="E24" s="407"/>
      <c r="F24" s="408"/>
    </row>
    <row r="25" spans="1:6" ht="18.95" customHeight="1">
      <c r="A25" s="406"/>
      <c r="B25" s="407"/>
      <c r="C25" s="407"/>
      <c r="D25" s="407"/>
      <c r="E25" s="407"/>
      <c r="F25" s="408"/>
    </row>
    <row r="26" spans="1:6" ht="18.95" customHeight="1">
      <c r="A26" s="406"/>
      <c r="B26" s="407"/>
      <c r="C26" s="407"/>
      <c r="D26" s="407"/>
      <c r="E26" s="407"/>
      <c r="F26" s="408"/>
    </row>
    <row r="27" spans="1:6" ht="18.95" customHeight="1">
      <c r="A27" s="406"/>
      <c r="B27" s="407"/>
      <c r="C27" s="407"/>
      <c r="D27" s="407"/>
      <c r="E27" s="407"/>
      <c r="F27" s="408"/>
    </row>
    <row r="28" spans="1:6" ht="18.95" customHeight="1">
      <c r="A28" s="406"/>
      <c r="B28" s="407"/>
      <c r="C28" s="407"/>
      <c r="D28" s="407"/>
      <c r="E28" s="407"/>
      <c r="F28" s="408"/>
    </row>
    <row r="29" spans="1:6" ht="18.95" customHeight="1">
      <c r="A29" s="406"/>
      <c r="B29" s="407"/>
      <c r="C29" s="407"/>
      <c r="D29" s="407"/>
      <c r="E29" s="407"/>
      <c r="F29" s="408"/>
    </row>
    <row r="30" spans="1:6" ht="18.95" customHeight="1">
      <c r="A30" s="406"/>
      <c r="B30" s="407"/>
      <c r="C30" s="407"/>
      <c r="D30" s="407"/>
      <c r="E30" s="407"/>
      <c r="F30" s="408"/>
    </row>
    <row r="31" spans="1:6" ht="18.95" customHeight="1">
      <c r="A31" s="406"/>
      <c r="B31" s="407"/>
      <c r="C31" s="407"/>
      <c r="D31" s="407"/>
      <c r="E31" s="407"/>
      <c r="F31" s="408"/>
    </row>
    <row r="32" spans="1:6" ht="18.95" customHeight="1">
      <c r="A32" s="406"/>
      <c r="B32" s="407"/>
      <c r="C32" s="407"/>
      <c r="D32" s="407"/>
      <c r="E32" s="407"/>
      <c r="F32" s="408"/>
    </row>
    <row r="33" spans="1:6" ht="18.95" customHeight="1">
      <c r="A33" s="406"/>
      <c r="B33" s="407"/>
      <c r="C33" s="407"/>
      <c r="D33" s="407"/>
      <c r="E33" s="407"/>
      <c r="F33" s="408"/>
    </row>
    <row r="34" spans="1:6" ht="18.95" customHeight="1">
      <c r="A34" s="406"/>
      <c r="B34" s="407"/>
      <c r="C34" s="407"/>
      <c r="D34" s="407"/>
      <c r="E34" s="407"/>
      <c r="F34" s="408"/>
    </row>
    <row r="35" spans="1:6" ht="18.95" customHeight="1">
      <c r="A35" s="406"/>
      <c r="B35" s="407"/>
      <c r="C35" s="407"/>
      <c r="D35" s="407"/>
      <c r="E35" s="407"/>
      <c r="F35" s="408"/>
    </row>
    <row r="36" spans="1:6" ht="18.95" customHeight="1">
      <c r="A36" s="406"/>
      <c r="B36" s="407"/>
      <c r="C36" s="407"/>
      <c r="D36" s="407"/>
      <c r="E36" s="407"/>
      <c r="F36" s="408"/>
    </row>
    <row r="37" spans="1:6" ht="18.95" customHeight="1">
      <c r="A37" s="406"/>
      <c r="B37" s="407"/>
      <c r="C37" s="407"/>
      <c r="D37" s="407"/>
      <c r="E37" s="407"/>
      <c r="F37" s="408"/>
    </row>
    <row r="38" spans="1:6" ht="18.95" customHeight="1">
      <c r="A38" s="406"/>
      <c r="B38" s="407"/>
      <c r="C38" s="407"/>
      <c r="D38" s="407"/>
      <c r="E38" s="407"/>
      <c r="F38" s="408"/>
    </row>
    <row r="39" spans="1:6" ht="18.95" customHeight="1">
      <c r="A39" s="415" t="s">
        <v>583</v>
      </c>
      <c r="B39" s="416" t="s">
        <v>371</v>
      </c>
      <c r="C39" s="416" t="str">
        <f>'Performance Data Sheet'!C10</f>
        <v>2174962.1</v>
      </c>
      <c r="D39" s="407"/>
      <c r="E39" s="412" t="s">
        <v>584</v>
      </c>
      <c r="F39" s="417" t="str">
        <f>F10</f>
        <v>CS2600</v>
      </c>
    </row>
    <row r="40" spans="1:6" ht="18.95" customHeight="1">
      <c r="A40" s="406"/>
      <c r="B40" s="416"/>
      <c r="C40" s="416"/>
      <c r="D40" s="407"/>
      <c r="E40" s="407"/>
      <c r="F40" s="408"/>
    </row>
    <row r="41" spans="1:6" ht="18.95" customHeight="1">
      <c r="A41" s="406"/>
      <c r="B41" s="416"/>
      <c r="C41" s="416"/>
      <c r="D41" s="407"/>
      <c r="E41" s="407"/>
      <c r="F41" s="408"/>
    </row>
    <row r="42" spans="1:6" ht="18.95" customHeight="1">
      <c r="A42" s="406"/>
      <c r="B42" s="407"/>
      <c r="C42" s="407"/>
      <c r="D42" s="407"/>
      <c r="E42" s="407"/>
      <c r="F42" s="408"/>
    </row>
    <row r="43" spans="1:6" ht="18.95" customHeight="1">
      <c r="A43" s="418"/>
      <c r="B43" s="416"/>
      <c r="C43" s="419" t="s">
        <v>585</v>
      </c>
      <c r="D43" s="420" t="str">
        <f>'Performance Data Sheet'!K42</f>
        <v>JERRY R</v>
      </c>
      <c r="E43" s="419" t="s">
        <v>586</v>
      </c>
      <c r="F43" s="420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376" t="s">
        <v>399</v>
      </c>
      <c r="E53" s="376"/>
      <c r="F53" s="376"/>
      <c r="G53" s="376"/>
      <c r="H53" s="376"/>
      <c r="I53" s="376"/>
      <c r="J53" s="376"/>
      <c r="K53" s="376"/>
      <c r="L53" s="376"/>
    </row>
    <row r="54" spans="1:12" ht="15" customHeight="1">
      <c r="A54" s="448">
        <v>100</v>
      </c>
      <c r="B54" s="375">
        <v>0</v>
      </c>
      <c r="C54" s="375">
        <v>0.18759968876838684</v>
      </c>
      <c r="D54" s="376">
        <v>100</v>
      </c>
      <c r="E54" s="376"/>
      <c r="F54" s="376"/>
      <c r="G54" s="376"/>
      <c r="H54" s="376"/>
      <c r="I54" s="376"/>
      <c r="J54" s="376"/>
      <c r="K54" s="376"/>
      <c r="L54" s="376"/>
    </row>
    <row r="55" spans="1:12" ht="15" customHeight="1">
      <c r="A55" s="448">
        <v>99.200000055134296</v>
      </c>
      <c r="B55" s="375">
        <v>120.81393015085635</v>
      </c>
      <c r="C55" s="375">
        <v>149.72695922851563</v>
      </c>
      <c r="D55" s="376">
        <v>98.400001525878906</v>
      </c>
      <c r="E55" s="376"/>
      <c r="F55" s="376"/>
      <c r="G55" s="376"/>
      <c r="H55" s="376"/>
      <c r="I55" s="376"/>
      <c r="J55" s="376"/>
      <c r="K55" s="376"/>
      <c r="L55" s="376"/>
    </row>
    <row r="56" spans="1:12" ht="15" customHeight="1">
      <c r="A56" s="448">
        <v>96.000000089406967</v>
      </c>
      <c r="B56" s="375">
        <v>270</v>
      </c>
      <c r="C56" s="375">
        <v>485.600830078125</v>
      </c>
      <c r="D56" s="376">
        <v>89.75</v>
      </c>
      <c r="E56" s="376"/>
      <c r="F56" s="376"/>
      <c r="G56" s="376"/>
      <c r="H56" s="376"/>
      <c r="I56" s="376"/>
      <c r="J56" s="376"/>
      <c r="K56" s="376"/>
      <c r="L56" s="376"/>
    </row>
    <row r="57" spans="1:12">
      <c r="A57" s="448">
        <v>90.857142955064774</v>
      </c>
      <c r="B57" s="375">
        <v>178.72770310069606</v>
      </c>
      <c r="C57" s="375">
        <v>589.1134033203125</v>
      </c>
      <c r="D57" s="376">
        <v>76.228569030761719</v>
      </c>
      <c r="E57" s="376"/>
      <c r="F57" s="376"/>
      <c r="G57" s="376"/>
      <c r="H57" s="376"/>
      <c r="I57" s="376"/>
      <c r="J57" s="376"/>
      <c r="K57" s="376"/>
      <c r="L57" s="376"/>
    </row>
    <row r="58" spans="1:12">
      <c r="A58" s="448">
        <v>85.71428507566452</v>
      </c>
      <c r="B58" s="375">
        <v>133.81422565090787</v>
      </c>
      <c r="C58" s="375">
        <v>618.08624267578125</v>
      </c>
      <c r="D58" s="376">
        <v>62.857139587402344</v>
      </c>
      <c r="E58" s="376"/>
      <c r="F58" s="376"/>
      <c r="G58" s="376"/>
      <c r="H58" s="376"/>
      <c r="I58" s="376"/>
      <c r="J58" s="376"/>
      <c r="K58" s="376"/>
      <c r="L58" s="376"/>
    </row>
    <row r="59" spans="1:12">
      <c r="A59" s="448">
        <v>80.571427941322327</v>
      </c>
      <c r="B59" s="375">
        <v>113.9177405895914</v>
      </c>
      <c r="C59" s="375">
        <v>630.0281982421875</v>
      </c>
      <c r="D59" s="376">
        <v>51.25714111328125</v>
      </c>
      <c r="E59" s="376"/>
      <c r="F59" s="376"/>
      <c r="G59" s="376"/>
      <c r="H59" s="376"/>
      <c r="I59" s="376"/>
      <c r="J59" s="376"/>
      <c r="K59" s="376"/>
      <c r="L59" s="376"/>
    </row>
    <row r="60" spans="1:12">
      <c r="A60" s="448">
        <v>70.285713672637939</v>
      </c>
      <c r="B60" s="375">
        <v>100.68842427127527</v>
      </c>
      <c r="C60" s="375">
        <v>640.9903564453125</v>
      </c>
      <c r="D60" s="376">
        <v>33.485713958740234</v>
      </c>
      <c r="E60" s="376"/>
      <c r="F60" s="376"/>
      <c r="G60" s="376"/>
      <c r="H60" s="376"/>
      <c r="I60" s="376"/>
      <c r="J60" s="376"/>
      <c r="K60" s="376"/>
      <c r="L60" s="376"/>
    </row>
    <row r="61" spans="1:12">
      <c r="A61" s="448">
        <v>59.999999403953552</v>
      </c>
      <c r="B61" s="375">
        <v>95</v>
      </c>
      <c r="C61" s="375">
        <v>647.72216796875</v>
      </c>
      <c r="D61" s="376">
        <v>22</v>
      </c>
      <c r="E61" s="376"/>
      <c r="F61" s="376"/>
      <c r="G61" s="376"/>
      <c r="H61" s="376"/>
      <c r="I61" s="376"/>
      <c r="J61" s="376"/>
      <c r="K61" s="376"/>
      <c r="L61" s="376"/>
    </row>
    <row r="62" spans="1:12">
      <c r="A62" s="448">
        <v>50</v>
      </c>
      <c r="B62" s="375">
        <v>95.093441656388052</v>
      </c>
      <c r="C62" s="375">
        <v>653.38909912109375</v>
      </c>
      <c r="D62" s="376">
        <v>14</v>
      </c>
      <c r="E62" s="376"/>
      <c r="F62" s="376"/>
      <c r="G62" s="376"/>
      <c r="H62" s="376"/>
      <c r="I62" s="376"/>
      <c r="J62" s="376"/>
      <c r="K62" s="376"/>
      <c r="L62" s="376"/>
    </row>
    <row r="63" spans="1:12">
      <c r="A63" s="448">
        <v>39.999997615814209</v>
      </c>
      <c r="B63" s="375">
        <v>95.181513620225616</v>
      </c>
      <c r="C63" s="375">
        <v>658.4129638671875</v>
      </c>
      <c r="D63" s="376">
        <v>7.9999995231628418</v>
      </c>
      <c r="E63" s="376"/>
      <c r="F63" s="376"/>
      <c r="G63" s="376"/>
      <c r="H63" s="376"/>
      <c r="I63" s="376"/>
      <c r="J63" s="376"/>
      <c r="K63" s="376"/>
      <c r="L63" s="376"/>
    </row>
    <row r="64" spans="1:12">
      <c r="A64" s="448">
        <v>30.000001192092896</v>
      </c>
      <c r="B64" s="375">
        <v>95.242875349839494</v>
      </c>
      <c r="C64" s="375">
        <v>662.8330078125</v>
      </c>
      <c r="D64" s="376">
        <v>5.9999995231628418</v>
      </c>
      <c r="E64" s="376"/>
      <c r="F64" s="376"/>
      <c r="G64" s="376"/>
      <c r="H64" s="376"/>
      <c r="I64" s="376"/>
      <c r="J64" s="376"/>
      <c r="K64" s="376"/>
      <c r="L64" s="376"/>
    </row>
    <row r="65" spans="1:12">
      <c r="A65" s="448">
        <v>19.999998807907104</v>
      </c>
      <c r="B65" s="375">
        <v>95.326992276483367</v>
      </c>
      <c r="C65" s="375">
        <v>666.686767578125</v>
      </c>
      <c r="D65" s="376">
        <v>8.0000009536743164</v>
      </c>
      <c r="E65" s="376"/>
      <c r="F65" s="376"/>
      <c r="G65" s="376"/>
      <c r="H65" s="376"/>
      <c r="I65" s="376"/>
      <c r="J65" s="376"/>
      <c r="K65" s="376"/>
      <c r="L65" s="376"/>
    </row>
    <row r="66" spans="1:12">
      <c r="A66" s="448">
        <v>10.000002384185791</v>
      </c>
      <c r="B66" s="375">
        <v>95.436323404740719</v>
      </c>
      <c r="C66" s="375">
        <v>670.0411376953125</v>
      </c>
      <c r="D66" s="376">
        <v>14.999996185302734</v>
      </c>
      <c r="E66" s="376"/>
      <c r="F66" s="376"/>
      <c r="G66" s="376"/>
      <c r="H66" s="376"/>
      <c r="I66" s="376"/>
      <c r="J66" s="376"/>
      <c r="K66" s="376"/>
      <c r="L66" s="376"/>
    </row>
    <row r="67" spans="1:12">
      <c r="A67" s="449">
        <v>0</v>
      </c>
      <c r="B67" s="375">
        <v>95</v>
      </c>
      <c r="C67" s="375">
        <v>672.97296142578125</v>
      </c>
      <c r="D67" s="376">
        <v>30</v>
      </c>
      <c r="E67" s="376"/>
      <c r="F67" s="376"/>
      <c r="G67" s="376"/>
      <c r="H67" s="376"/>
      <c r="I67" s="376"/>
      <c r="J67" s="376"/>
      <c r="K67" s="376"/>
      <c r="L67" s="376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workbookViewId="0">
      <selection activeCell="E8" sqref="E8"/>
    </sheetView>
  </sheetViews>
  <sheetFormatPr defaultRowHeight="12.75"/>
  <cols>
    <col min="1" max="6" width="16.7109375" style="388" customWidth="1"/>
    <col min="7" max="16384" width="9.140625" style="388"/>
  </cols>
  <sheetData>
    <row r="1" spans="1:6" ht="18.95" customHeight="1">
      <c r="A1" s="400"/>
      <c r="B1" s="401"/>
      <c r="C1" s="401"/>
      <c r="D1" s="401"/>
      <c r="E1" s="401"/>
      <c r="F1" s="402"/>
    </row>
    <row r="2" spans="1:6" ht="26.1" customHeight="1">
      <c r="A2" s="403" t="s">
        <v>267</v>
      </c>
      <c r="B2" s="404"/>
      <c r="C2" s="404"/>
      <c r="D2" s="404"/>
      <c r="E2" s="404"/>
      <c r="F2" s="405"/>
    </row>
    <row r="3" spans="1:6" ht="18.95" customHeight="1">
      <c r="A3" s="669" t="s">
        <v>568</v>
      </c>
      <c r="B3" s="670"/>
      <c r="C3" s="670"/>
      <c r="D3" s="670"/>
      <c r="E3" s="670"/>
      <c r="F3" s="671"/>
    </row>
    <row r="4" spans="1:6" ht="18.95" customHeight="1">
      <c r="A4" s="672" t="s">
        <v>569</v>
      </c>
      <c r="B4" s="673"/>
      <c r="C4" s="673"/>
      <c r="D4" s="673"/>
      <c r="E4" s="673"/>
      <c r="F4" s="674"/>
    </row>
    <row r="5" spans="1:6" ht="18.95" customHeight="1">
      <c r="A5" s="406"/>
      <c r="B5" s="407"/>
      <c r="C5" s="407"/>
      <c r="D5" s="407"/>
      <c r="E5" s="407"/>
      <c r="F5" s="408"/>
    </row>
    <row r="6" spans="1:6" ht="18.95" customHeight="1">
      <c r="A6" s="409" t="s">
        <v>570</v>
      </c>
      <c r="B6" s="666" t="str">
        <f>'Performance Data Sheet'!C17</f>
        <v>GP-10032399</v>
      </c>
      <c r="C6" s="667"/>
      <c r="D6" s="668"/>
      <c r="E6" s="409" t="s">
        <v>571</v>
      </c>
      <c r="F6" s="410" t="str">
        <f>'Performance Data Sheet'!I14&amp; " A"</f>
        <v>74 A</v>
      </c>
    </row>
    <row r="7" spans="1:6" ht="18.95" customHeight="1">
      <c r="A7" s="409" t="s">
        <v>572</v>
      </c>
      <c r="B7" s="410" t="str">
        <f>'Performance Data Sheet'!F14</f>
        <v>TEFC</v>
      </c>
      <c r="C7" s="409" t="s">
        <v>573</v>
      </c>
      <c r="D7" s="410" t="str">
        <f>'Performance Data Sheet'!F13 &amp; " V"</f>
        <v>4000 V</v>
      </c>
      <c r="E7" s="409" t="s">
        <v>574</v>
      </c>
      <c r="F7" s="410" t="str">
        <f>'Performance Data Sheet'!C14</f>
        <v>5811USS</v>
      </c>
    </row>
    <row r="8" spans="1:6" ht="18.95" customHeight="1">
      <c r="A8" s="409" t="s">
        <v>575</v>
      </c>
      <c r="B8" s="410">
        <v>2</v>
      </c>
      <c r="C8" s="409" t="s">
        <v>576</v>
      </c>
      <c r="D8" s="410" t="s">
        <v>577</v>
      </c>
      <c r="E8" s="409" t="s">
        <v>578</v>
      </c>
      <c r="F8" s="410" t="s">
        <v>364</v>
      </c>
    </row>
    <row r="9" spans="1:6" ht="18.95" customHeight="1">
      <c r="A9" s="409" t="s">
        <v>579</v>
      </c>
      <c r="B9" s="410">
        <v>600</v>
      </c>
      <c r="C9" s="409" t="s">
        <v>580</v>
      </c>
      <c r="D9" s="410" t="s">
        <v>591</v>
      </c>
      <c r="E9" s="409" t="s">
        <v>2</v>
      </c>
      <c r="F9" s="411">
        <f>'Performance Data Sheet'!K44</f>
        <v>43945</v>
      </c>
    </row>
    <row r="10" spans="1:6" ht="18.95" customHeight="1">
      <c r="A10" s="409" t="s">
        <v>581</v>
      </c>
      <c r="B10" s="410">
        <v>3575</v>
      </c>
      <c r="C10" s="409" t="s">
        <v>401</v>
      </c>
      <c r="D10" s="410" t="s">
        <v>582</v>
      </c>
      <c r="E10" s="409" t="s">
        <v>1</v>
      </c>
      <c r="F10" s="410" t="s">
        <v>380</v>
      </c>
    </row>
    <row r="11" spans="1:6" ht="18.95" customHeight="1">
      <c r="A11" s="406"/>
      <c r="B11" s="407"/>
      <c r="C11" s="407"/>
      <c r="D11" s="407"/>
      <c r="E11" s="407"/>
      <c r="F11" s="408"/>
    </row>
    <row r="12" spans="1:6" ht="18.95" customHeight="1">
      <c r="A12" s="406"/>
      <c r="B12" s="412"/>
      <c r="C12" s="413"/>
      <c r="D12" s="412"/>
      <c r="E12" s="413"/>
      <c r="F12" s="408"/>
    </row>
    <row r="13" spans="1:6" ht="18.95" customHeight="1">
      <c r="A13" s="406"/>
      <c r="B13" s="412"/>
      <c r="C13" s="414"/>
      <c r="D13" s="412"/>
      <c r="E13" s="413"/>
      <c r="F13" s="408"/>
    </row>
    <row r="14" spans="1:6" ht="18.95" customHeight="1">
      <c r="A14" s="406"/>
      <c r="B14" s="412"/>
      <c r="C14" s="414"/>
      <c r="D14" s="412"/>
      <c r="E14" s="413"/>
      <c r="F14" s="408"/>
    </row>
    <row r="15" spans="1:6" ht="18.95" customHeight="1">
      <c r="A15" s="406"/>
      <c r="B15" s="412"/>
      <c r="C15" s="413"/>
      <c r="D15" s="407"/>
      <c r="E15" s="407"/>
      <c r="F15" s="408"/>
    </row>
    <row r="16" spans="1:6" ht="18.95" customHeight="1">
      <c r="A16" s="406"/>
      <c r="B16" s="407"/>
      <c r="C16" s="407"/>
      <c r="D16" s="407"/>
      <c r="E16" s="407"/>
      <c r="F16" s="408"/>
    </row>
    <row r="17" spans="1:6" ht="18.95" customHeight="1">
      <c r="A17" s="406"/>
      <c r="B17" s="407"/>
      <c r="C17" s="407"/>
      <c r="D17" s="407"/>
      <c r="E17" s="407"/>
      <c r="F17" s="408"/>
    </row>
    <row r="18" spans="1:6" ht="18.95" customHeight="1">
      <c r="A18" s="406"/>
      <c r="B18" s="407"/>
      <c r="C18" s="407"/>
      <c r="D18" s="407"/>
      <c r="E18" s="407"/>
      <c r="F18" s="408"/>
    </row>
    <row r="19" spans="1:6" ht="18.95" customHeight="1">
      <c r="A19" s="406"/>
      <c r="B19" s="407"/>
      <c r="C19" s="407"/>
      <c r="D19" s="407"/>
      <c r="E19" s="407"/>
      <c r="F19" s="408"/>
    </row>
    <row r="20" spans="1:6" ht="18.95" customHeight="1">
      <c r="A20" s="406"/>
      <c r="B20" s="407"/>
      <c r="C20" s="407"/>
      <c r="D20" s="407"/>
      <c r="E20" s="407"/>
      <c r="F20" s="408"/>
    </row>
    <row r="21" spans="1:6" ht="18.95" customHeight="1">
      <c r="A21" s="406"/>
      <c r="B21" s="407"/>
      <c r="C21" s="407"/>
      <c r="D21" s="407"/>
      <c r="E21" s="407"/>
      <c r="F21" s="408"/>
    </row>
    <row r="22" spans="1:6" ht="18.95" customHeight="1">
      <c r="A22" s="406"/>
      <c r="B22" s="407"/>
      <c r="C22" s="407"/>
      <c r="D22" s="407"/>
      <c r="E22" s="407"/>
      <c r="F22" s="408"/>
    </row>
    <row r="23" spans="1:6" ht="18.95" customHeight="1">
      <c r="A23" s="406"/>
      <c r="B23" s="407"/>
      <c r="C23" s="407"/>
      <c r="D23" s="407"/>
      <c r="E23" s="407"/>
      <c r="F23" s="408"/>
    </row>
    <row r="24" spans="1:6" ht="18.95" customHeight="1">
      <c r="A24" s="406"/>
      <c r="B24" s="407"/>
      <c r="C24" s="407"/>
      <c r="D24" s="407"/>
      <c r="E24" s="407"/>
      <c r="F24" s="408"/>
    </row>
    <row r="25" spans="1:6" ht="18.95" customHeight="1">
      <c r="A25" s="406"/>
      <c r="B25" s="407"/>
      <c r="C25" s="407"/>
      <c r="D25" s="407"/>
      <c r="E25" s="407"/>
      <c r="F25" s="408"/>
    </row>
    <row r="26" spans="1:6" ht="18.95" customHeight="1">
      <c r="A26" s="406"/>
      <c r="B26" s="407"/>
      <c r="C26" s="407"/>
      <c r="D26" s="407"/>
      <c r="E26" s="407"/>
      <c r="F26" s="408"/>
    </row>
    <row r="27" spans="1:6" ht="18.95" customHeight="1">
      <c r="A27" s="406"/>
      <c r="B27" s="407"/>
      <c r="C27" s="407"/>
      <c r="D27" s="407"/>
      <c r="E27" s="407"/>
      <c r="F27" s="408"/>
    </row>
    <row r="28" spans="1:6" ht="18.95" customHeight="1">
      <c r="A28" s="406"/>
      <c r="B28" s="407"/>
      <c r="C28" s="407"/>
      <c r="D28" s="407"/>
      <c r="E28" s="407"/>
      <c r="F28" s="408"/>
    </row>
    <row r="29" spans="1:6" ht="18.95" customHeight="1">
      <c r="A29" s="406"/>
      <c r="B29" s="407"/>
      <c r="C29" s="407"/>
      <c r="D29" s="407"/>
      <c r="E29" s="407"/>
      <c r="F29" s="408"/>
    </row>
    <row r="30" spans="1:6" ht="18.95" customHeight="1">
      <c r="A30" s="406"/>
      <c r="B30" s="407"/>
      <c r="C30" s="407"/>
      <c r="D30" s="407"/>
      <c r="E30" s="407"/>
      <c r="F30" s="408"/>
    </row>
    <row r="31" spans="1:6" ht="18.95" customHeight="1">
      <c r="A31" s="406"/>
      <c r="B31" s="407"/>
      <c r="C31" s="407"/>
      <c r="D31" s="407"/>
      <c r="E31" s="407"/>
      <c r="F31" s="408"/>
    </row>
    <row r="32" spans="1:6" ht="18.95" customHeight="1">
      <c r="A32" s="406"/>
      <c r="B32" s="407"/>
      <c r="C32" s="407"/>
      <c r="D32" s="407"/>
      <c r="E32" s="407"/>
      <c r="F32" s="408"/>
    </row>
    <row r="33" spans="1:6" ht="18.95" customHeight="1">
      <c r="A33" s="406"/>
      <c r="B33" s="407"/>
      <c r="C33" s="407"/>
      <c r="D33" s="407"/>
      <c r="E33" s="407"/>
      <c r="F33" s="408"/>
    </row>
    <row r="34" spans="1:6" ht="18.95" customHeight="1">
      <c r="A34" s="406"/>
      <c r="B34" s="407"/>
      <c r="C34" s="407"/>
      <c r="D34" s="407"/>
      <c r="E34" s="407"/>
      <c r="F34" s="408"/>
    </row>
    <row r="35" spans="1:6" ht="18.95" customHeight="1">
      <c r="A35" s="406"/>
      <c r="B35" s="407"/>
      <c r="C35" s="407"/>
      <c r="D35" s="407"/>
      <c r="E35" s="407"/>
      <c r="F35" s="408"/>
    </row>
    <row r="36" spans="1:6" ht="18.95" customHeight="1">
      <c r="A36" s="406"/>
      <c r="B36" s="407"/>
      <c r="C36" s="407"/>
      <c r="D36" s="407"/>
      <c r="E36" s="407"/>
      <c r="F36" s="408"/>
    </row>
    <row r="37" spans="1:6" ht="18.95" customHeight="1">
      <c r="A37" s="406"/>
      <c r="B37" s="407"/>
      <c r="C37" s="407"/>
      <c r="D37" s="407"/>
      <c r="E37" s="407"/>
      <c r="F37" s="408"/>
    </row>
    <row r="38" spans="1:6" ht="18.95" customHeight="1">
      <c r="A38" s="406"/>
      <c r="B38" s="407"/>
      <c r="C38" s="407"/>
      <c r="D38" s="407"/>
      <c r="E38" s="407"/>
      <c r="F38" s="408"/>
    </row>
    <row r="39" spans="1:6" ht="18.95" customHeight="1">
      <c r="A39" s="415" t="s">
        <v>583</v>
      </c>
      <c r="B39" s="416" t="s">
        <v>371</v>
      </c>
      <c r="C39" s="416" t="str">
        <f>'Performance Data Sheet'!C10</f>
        <v>2174962.1</v>
      </c>
      <c r="D39" s="407"/>
      <c r="E39" s="412" t="s">
        <v>584</v>
      </c>
      <c r="F39" s="417" t="str">
        <f>F10</f>
        <v>CS2600</v>
      </c>
    </row>
    <row r="40" spans="1:6" ht="18.95" customHeight="1">
      <c r="A40" s="406"/>
      <c r="B40" s="416"/>
      <c r="C40" s="416"/>
      <c r="D40" s="407"/>
      <c r="E40" s="407"/>
      <c r="F40" s="408"/>
    </row>
    <row r="41" spans="1:6" ht="18.95" customHeight="1">
      <c r="A41" s="406"/>
      <c r="B41" s="416"/>
      <c r="C41" s="416"/>
      <c r="D41" s="407"/>
      <c r="E41" s="407"/>
      <c r="F41" s="408"/>
    </row>
    <row r="42" spans="1:6" ht="18.95" customHeight="1">
      <c r="A42" s="406"/>
      <c r="B42" s="407"/>
      <c r="C42" s="407"/>
      <c r="D42" s="407"/>
      <c r="E42" s="407"/>
      <c r="F42" s="408"/>
    </row>
    <row r="43" spans="1:6" ht="18.95" customHeight="1">
      <c r="A43" s="418"/>
      <c r="B43" s="416"/>
      <c r="C43" s="419" t="s">
        <v>585</v>
      </c>
      <c r="D43" s="420" t="str">
        <f>'Performance Data Sheet'!K42</f>
        <v>JERRY R</v>
      </c>
      <c r="E43" s="419" t="s">
        <v>586</v>
      </c>
      <c r="F43" s="420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21" t="e">
        <f>5252.1*B50/D53</f>
        <v>#DIV/0!</v>
      </c>
      <c r="G50" s="421"/>
    </row>
    <row r="51" spans="6:9" ht="15" customHeight="1">
      <c r="G51" s="422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23"/>
    </row>
    <row r="63" spans="6:9">
      <c r="I63" s="424" t="s">
        <v>39</v>
      </c>
    </row>
    <row r="64" spans="6:9">
      <c r="I64" s="424"/>
    </row>
    <row r="65" spans="1:9">
      <c r="I65" s="424"/>
    </row>
    <row r="66" spans="1:9">
      <c r="D66" s="421" t="e">
        <f>D65/D64</f>
        <v>#DIV/0!</v>
      </c>
    </row>
    <row r="67" spans="1:9">
      <c r="A67" s="425" t="s">
        <v>397</v>
      </c>
      <c r="B67" s="425" t="s">
        <v>587</v>
      </c>
      <c r="C67" s="425" t="s">
        <v>588</v>
      </c>
      <c r="E67" s="425" t="s">
        <v>589</v>
      </c>
      <c r="F67" s="425" t="s">
        <v>590</v>
      </c>
    </row>
    <row r="68" spans="1:9">
      <c r="A68" s="426">
        <v>672.97297297297303</v>
      </c>
      <c r="B68" s="427">
        <v>35</v>
      </c>
      <c r="C68" s="427">
        <v>15</v>
      </c>
      <c r="E68" s="426">
        <f>A68</f>
        <v>672.97297297297303</v>
      </c>
      <c r="F68" s="427">
        <v>1E-4</v>
      </c>
    </row>
    <row r="69" spans="1:9">
      <c r="A69" s="426">
        <v>625.98668108108109</v>
      </c>
      <c r="B69" s="427">
        <f>((A68/A69)^2)*B68</f>
        <v>40.45135786097682</v>
      </c>
      <c r="C69" s="427">
        <f>((A68/A69)^2)*C68</f>
        <v>17.336296226132923</v>
      </c>
      <c r="E69" s="426">
        <v>671.48648648648646</v>
      </c>
      <c r="F69" s="427">
        <v>1.1339999437332153</v>
      </c>
    </row>
    <row r="70" spans="1:9">
      <c r="A70" s="426">
        <v>578.98629189189194</v>
      </c>
      <c r="B70" s="427">
        <f>((A68/A70)^2)*B68</f>
        <v>47.285363009830519</v>
      </c>
      <c r="C70" s="427">
        <f>((A68/A70)^2)*C68</f>
        <v>20.265155575641653</v>
      </c>
      <c r="E70" s="426">
        <v>668.37837837837833</v>
      </c>
      <c r="F70" s="427">
        <v>2.1159999370574951</v>
      </c>
    </row>
    <row r="71" spans="1:9">
      <c r="A71" s="426">
        <v>532</v>
      </c>
      <c r="B71" s="427">
        <f>((A68/A71)^2)*B68</f>
        <v>56.006705375949984</v>
      </c>
      <c r="C71" s="427">
        <f>((A68/A71)^2)*C68</f>
        <v>24.002873732549993</v>
      </c>
      <c r="E71" s="426">
        <v>664.72972972972968</v>
      </c>
      <c r="F71" s="427">
        <v>3.0490000247955322</v>
      </c>
    </row>
    <row r="72" spans="1:9">
      <c r="A72" s="426">
        <f>A71-100</f>
        <v>432</v>
      </c>
      <c r="B72" s="427">
        <f>((A68/A72)^2)*B68</f>
        <v>84.936780812343883</v>
      </c>
      <c r="C72" s="427"/>
      <c r="E72" s="426">
        <v>660.67567567567562</v>
      </c>
      <c r="F72" s="427">
        <v>3.9830000400543213</v>
      </c>
    </row>
    <row r="73" spans="1:9">
      <c r="A73" s="426">
        <f>A72-100</f>
        <v>332</v>
      </c>
      <c r="B73" s="427">
        <f>((A68/A73)^2)*B68</f>
        <v>143.80934989043101</v>
      </c>
      <c r="C73" s="427"/>
      <c r="E73" s="426">
        <v>655.94594594594594</v>
      </c>
      <c r="F73" s="427">
        <v>4.9629998207092285</v>
      </c>
    </row>
    <row r="74" spans="1:9">
      <c r="A74" s="426">
        <v>270</v>
      </c>
      <c r="B74" s="427">
        <f>((A68/A74)^2)*B68</f>
        <v>217.43815887960034</v>
      </c>
      <c r="C74" s="427">
        <f>((A68/A74)^2)*C68</f>
        <v>93.187782376971569</v>
      </c>
      <c r="E74" s="426">
        <v>650.54054054054052</v>
      </c>
      <c r="F74" s="427">
        <v>6.0329999923706055</v>
      </c>
    </row>
    <row r="75" spans="1:9">
      <c r="A75" s="428">
        <v>180</v>
      </c>
      <c r="B75" s="427">
        <f>((A68/A75)^2)*B69</f>
        <v>565.43584998025597</v>
      </c>
      <c r="C75" s="427">
        <f>((A68/A75)^2)*C68</f>
        <v>209.67251034818608</v>
      </c>
      <c r="E75" s="426">
        <v>644.32432432432438</v>
      </c>
      <c r="F75" s="427">
        <v>7.2420001029968262</v>
      </c>
    </row>
    <row r="76" spans="1:9">
      <c r="A76" s="428">
        <v>145</v>
      </c>
      <c r="B76" s="427">
        <f>((A68/A76)^2)*B68</f>
        <v>753.92350926624829</v>
      </c>
      <c r="C76" s="427">
        <f>((A68/A76)^2)*C68</f>
        <v>323.11007539982069</v>
      </c>
      <c r="E76" s="426">
        <v>635.54054054054052</v>
      </c>
      <c r="F76" s="427">
        <v>8.5480003356933594</v>
      </c>
    </row>
    <row r="77" spans="1:9">
      <c r="A77" s="428">
        <v>125</v>
      </c>
      <c r="B77" s="427"/>
      <c r="C77" s="426">
        <f>CEILING(C76*2,100)</f>
        <v>700</v>
      </c>
      <c r="E77" s="426">
        <v>624.05405405405406</v>
      </c>
      <c r="F77" s="427">
        <v>9.1820001602172852</v>
      </c>
    </row>
    <row r="78" spans="1:9">
      <c r="A78" s="428">
        <v>125</v>
      </c>
      <c r="B78" s="427"/>
      <c r="C78" s="426">
        <f>2*C77</f>
        <v>1400</v>
      </c>
      <c r="E78" s="426">
        <v>603.64864864864865</v>
      </c>
      <c r="F78" s="427">
        <v>9.6710004806518555</v>
      </c>
    </row>
    <row r="79" spans="1:9">
      <c r="A79" s="428">
        <v>125</v>
      </c>
      <c r="B79" s="428"/>
      <c r="C79" s="428">
        <v>10000</v>
      </c>
      <c r="E79" s="426">
        <v>537.29729729729729</v>
      </c>
      <c r="F79" s="427">
        <v>9.9710006713867188</v>
      </c>
    </row>
    <row r="80" spans="1:9">
      <c r="E80" s="426">
        <v>317.70270270270271</v>
      </c>
      <c r="F80" s="427">
        <v>10.231000900268555</v>
      </c>
    </row>
    <row r="81" spans="5:6">
      <c r="E81" s="426">
        <v>0</v>
      </c>
      <c r="F81" s="427">
        <v>10.362000465393066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workbookViewId="0">
      <selection activeCell="A6" sqref="A6:F10"/>
    </sheetView>
  </sheetViews>
  <sheetFormatPr defaultRowHeight="12.75"/>
  <cols>
    <col min="1" max="6" width="16.7109375" style="388" customWidth="1"/>
    <col min="7" max="16384" width="9.140625" style="388"/>
  </cols>
  <sheetData>
    <row r="1" spans="1:6" ht="18.95" customHeight="1">
      <c r="A1" s="400"/>
      <c r="B1" s="401"/>
      <c r="C1" s="401"/>
      <c r="D1" s="401"/>
      <c r="E1" s="401"/>
      <c r="F1" s="402"/>
    </row>
    <row r="2" spans="1:6" ht="26.1" customHeight="1">
      <c r="A2" s="403" t="s">
        <v>267</v>
      </c>
      <c r="B2" s="404"/>
      <c r="C2" s="404"/>
      <c r="D2" s="404"/>
      <c r="E2" s="404"/>
      <c r="F2" s="405"/>
    </row>
    <row r="3" spans="1:6" ht="18.95" customHeight="1">
      <c r="A3" s="429" t="s">
        <v>592</v>
      </c>
      <c r="B3" s="404"/>
      <c r="C3" s="404"/>
      <c r="D3" s="404"/>
      <c r="E3" s="404"/>
      <c r="F3" s="405"/>
    </row>
    <row r="4" spans="1:6" ht="18.95" customHeight="1">
      <c r="A4" s="672" t="s">
        <v>569</v>
      </c>
      <c r="B4" s="673"/>
      <c r="C4" s="673"/>
      <c r="D4" s="673"/>
      <c r="E4" s="673"/>
      <c r="F4" s="674"/>
    </row>
    <row r="5" spans="1:6" ht="18.95" customHeight="1">
      <c r="A5" s="406"/>
      <c r="B5" s="407"/>
      <c r="C5" s="407"/>
      <c r="D5" s="407"/>
      <c r="E5" s="407"/>
      <c r="F5" s="408"/>
    </row>
    <row r="6" spans="1:6" ht="18.95" customHeight="1">
      <c r="A6" s="409" t="s">
        <v>570</v>
      </c>
      <c r="B6" s="666" t="str">
        <f>'Performance Data Sheet'!C17</f>
        <v>GP-10032399</v>
      </c>
      <c r="C6" s="667"/>
      <c r="D6" s="668"/>
      <c r="E6" s="409" t="s">
        <v>571</v>
      </c>
      <c r="F6" s="410" t="str">
        <f>'Performance Data Sheet'!I14 &amp; " A"</f>
        <v>74 A</v>
      </c>
    </row>
    <row r="7" spans="1:6" ht="18.95" customHeight="1">
      <c r="A7" s="409" t="s">
        <v>572</v>
      </c>
      <c r="B7" s="410" t="str">
        <f>'Performance Data Sheet'!F14</f>
        <v>TEFC</v>
      </c>
      <c r="C7" s="409" t="s">
        <v>573</v>
      </c>
      <c r="D7" s="410" t="str">
        <f>'Performance Data Sheet'!F13 &amp; " V"</f>
        <v>4000 V</v>
      </c>
      <c r="E7" s="409" t="s">
        <v>574</v>
      </c>
      <c r="F7" s="410" t="str">
        <f>'Performance Data Sheet'!C14</f>
        <v>5811USS</v>
      </c>
    </row>
    <row r="8" spans="1:6" ht="18.95" customHeight="1">
      <c r="A8" s="409" t="s">
        <v>575</v>
      </c>
      <c r="B8" s="410">
        <v>2</v>
      </c>
      <c r="C8" s="409" t="s">
        <v>576</v>
      </c>
      <c r="D8" s="410" t="s">
        <v>577</v>
      </c>
      <c r="E8" s="409" t="s">
        <v>578</v>
      </c>
      <c r="F8" s="410" t="s">
        <v>364</v>
      </c>
    </row>
    <row r="9" spans="1:6" ht="18.95" customHeight="1">
      <c r="A9" s="409" t="s">
        <v>579</v>
      </c>
      <c r="B9" s="410">
        <v>600</v>
      </c>
      <c r="C9" s="409" t="s">
        <v>580</v>
      </c>
      <c r="D9" s="410" t="s">
        <v>591</v>
      </c>
      <c r="E9" s="409" t="s">
        <v>2</v>
      </c>
      <c r="F9" s="411">
        <f>'Performance Data Sheet'!K44</f>
        <v>43945</v>
      </c>
    </row>
    <row r="10" spans="1:6" ht="18.95" customHeight="1">
      <c r="A10" s="409" t="s">
        <v>581</v>
      </c>
      <c r="B10" s="410">
        <v>3575</v>
      </c>
      <c r="C10" s="409" t="s">
        <v>401</v>
      </c>
      <c r="D10" s="410" t="s">
        <v>582</v>
      </c>
      <c r="E10" s="409" t="s">
        <v>1</v>
      </c>
      <c r="F10" s="410" t="s">
        <v>380</v>
      </c>
    </row>
    <row r="11" spans="1:6" ht="18.95" customHeight="1">
      <c r="A11" s="406"/>
      <c r="B11" s="407"/>
      <c r="C11" s="407"/>
      <c r="D11" s="407"/>
      <c r="E11" s="407"/>
      <c r="F11" s="408"/>
    </row>
    <row r="12" spans="1:6" ht="18.95" customHeight="1">
      <c r="A12" s="406"/>
      <c r="B12" s="412" t="s">
        <v>593</v>
      </c>
      <c r="C12" s="413" t="str">
        <f>'Performance Data Sheet'!D22 &amp; "A"</f>
        <v>498A</v>
      </c>
      <c r="D12" s="412" t="s">
        <v>400</v>
      </c>
      <c r="E12" s="413" t="s">
        <v>582</v>
      </c>
      <c r="F12" s="408"/>
    </row>
    <row r="13" spans="1:6" ht="18.95" customHeight="1">
      <c r="A13" s="406"/>
      <c r="B13" s="412" t="s">
        <v>594</v>
      </c>
      <c r="C13" s="414">
        <v>0.95</v>
      </c>
      <c r="D13" s="412" t="s">
        <v>595</v>
      </c>
      <c r="E13" s="413" t="s">
        <v>582</v>
      </c>
      <c r="F13" s="408"/>
    </row>
    <row r="14" spans="1:6" ht="18.95" customHeight="1">
      <c r="A14" s="406"/>
      <c r="B14" s="412" t="s">
        <v>596</v>
      </c>
      <c r="C14" s="414">
        <v>2.7</v>
      </c>
      <c r="D14" s="412" t="s">
        <v>402</v>
      </c>
      <c r="E14" s="413" t="s">
        <v>582</v>
      </c>
      <c r="F14" s="408"/>
    </row>
    <row r="15" spans="1:6" ht="18.95" customHeight="1">
      <c r="A15" s="406"/>
      <c r="B15" s="412" t="s">
        <v>403</v>
      </c>
      <c r="C15" s="413" t="s">
        <v>598</v>
      </c>
      <c r="D15" s="407"/>
      <c r="E15" s="407"/>
      <c r="F15" s="408"/>
    </row>
    <row r="16" spans="1:6" ht="18.95" customHeight="1">
      <c r="A16" s="406"/>
      <c r="B16" s="407"/>
      <c r="C16" s="407"/>
      <c r="D16" s="407"/>
      <c r="E16" s="407"/>
      <c r="F16" s="408"/>
    </row>
    <row r="17" spans="1:8" ht="18.95" customHeight="1">
      <c r="A17" s="406"/>
      <c r="B17" s="407"/>
      <c r="C17" s="407"/>
      <c r="D17" s="407"/>
      <c r="E17" s="407"/>
      <c r="F17" s="408"/>
    </row>
    <row r="18" spans="1:8" ht="18.95" customHeight="1">
      <c r="A18" s="406"/>
      <c r="B18" s="407"/>
      <c r="C18" s="407"/>
      <c r="D18" s="407"/>
      <c r="E18" s="407"/>
      <c r="F18" s="408"/>
    </row>
    <row r="19" spans="1:8" ht="18.95" customHeight="1">
      <c r="A19" s="406"/>
      <c r="B19" s="407"/>
      <c r="C19" s="407"/>
      <c r="D19" s="407"/>
      <c r="E19" s="407"/>
      <c r="F19" s="408"/>
    </row>
    <row r="20" spans="1:8" ht="18.95" customHeight="1">
      <c r="A20" s="406"/>
      <c r="B20" s="407"/>
      <c r="C20" s="407"/>
      <c r="D20" s="407"/>
      <c r="E20" s="407"/>
      <c r="F20" s="408"/>
    </row>
    <row r="21" spans="1:8" ht="18.95" customHeight="1">
      <c r="A21" s="406"/>
      <c r="B21" s="407"/>
      <c r="C21" s="407"/>
      <c r="D21" s="407"/>
      <c r="E21" s="407"/>
      <c r="F21" s="408"/>
    </row>
    <row r="22" spans="1:8" ht="18.95" customHeight="1">
      <c r="A22" s="406"/>
      <c r="B22" s="407"/>
      <c r="C22" s="407"/>
      <c r="D22" s="407"/>
      <c r="E22" s="407"/>
      <c r="F22" s="408"/>
    </row>
    <row r="23" spans="1:8" ht="18.95" customHeight="1">
      <c r="A23" s="406"/>
      <c r="B23" s="407"/>
      <c r="C23" s="407"/>
      <c r="D23" s="407"/>
      <c r="E23" s="407"/>
      <c r="F23" s="408"/>
    </row>
    <row r="24" spans="1:8" ht="18.95" customHeight="1">
      <c r="A24" s="406"/>
      <c r="B24" s="407"/>
      <c r="C24" s="407"/>
      <c r="D24" s="407"/>
      <c r="E24" s="407"/>
      <c r="F24" s="408"/>
      <c r="H24" s="430"/>
    </row>
    <row r="25" spans="1:8" ht="18.95" customHeight="1">
      <c r="A25" s="406"/>
      <c r="B25" s="407"/>
      <c r="C25" s="407"/>
      <c r="D25" s="407"/>
      <c r="E25" s="407"/>
      <c r="F25" s="408"/>
    </row>
    <row r="26" spans="1:8" ht="18.95" customHeight="1">
      <c r="A26" s="406"/>
      <c r="B26" s="407"/>
      <c r="C26" s="407"/>
      <c r="D26" s="407"/>
      <c r="E26" s="407"/>
      <c r="F26" s="408"/>
    </row>
    <row r="27" spans="1:8" ht="18.95" customHeight="1">
      <c r="A27" s="406"/>
      <c r="B27" s="407"/>
      <c r="C27" s="407"/>
      <c r="D27" s="407"/>
      <c r="E27" s="407"/>
      <c r="F27" s="408"/>
    </row>
    <row r="28" spans="1:8" ht="18.95" customHeight="1">
      <c r="A28" s="406"/>
      <c r="B28" s="407"/>
      <c r="C28" s="407"/>
      <c r="D28" s="407"/>
      <c r="E28" s="407"/>
      <c r="F28" s="408"/>
    </row>
    <row r="29" spans="1:8" ht="18.95" customHeight="1">
      <c r="A29" s="406"/>
      <c r="B29" s="407"/>
      <c r="C29" s="407"/>
      <c r="D29" s="407"/>
      <c r="E29" s="407"/>
      <c r="F29" s="408"/>
    </row>
    <row r="30" spans="1:8" ht="18.95" customHeight="1">
      <c r="A30" s="406"/>
      <c r="B30" s="407"/>
      <c r="C30" s="407"/>
      <c r="D30" s="407"/>
      <c r="E30" s="407"/>
      <c r="F30" s="408"/>
    </row>
    <row r="31" spans="1:8" ht="18.95" customHeight="1">
      <c r="A31" s="406"/>
      <c r="B31" s="407"/>
      <c r="C31" s="407"/>
      <c r="D31" s="407"/>
      <c r="E31" s="407"/>
      <c r="F31" s="408"/>
    </row>
    <row r="32" spans="1:8" ht="18.95" customHeight="1">
      <c r="A32" s="406"/>
      <c r="B32" s="407"/>
      <c r="C32" s="407"/>
      <c r="D32" s="407"/>
      <c r="E32" s="407"/>
      <c r="F32" s="408"/>
    </row>
    <row r="33" spans="1:6" ht="18.95" customHeight="1">
      <c r="A33" s="406"/>
      <c r="B33" s="407"/>
      <c r="C33" s="407"/>
      <c r="D33" s="407"/>
      <c r="E33" s="407"/>
      <c r="F33" s="408"/>
    </row>
    <row r="34" spans="1:6" ht="18.95" customHeight="1">
      <c r="A34" s="406"/>
      <c r="B34" s="407"/>
      <c r="C34" s="407"/>
      <c r="D34" s="407"/>
      <c r="E34" s="407"/>
      <c r="F34" s="408"/>
    </row>
    <row r="35" spans="1:6" ht="18.95" customHeight="1">
      <c r="A35" s="406"/>
      <c r="B35" s="407"/>
      <c r="C35" s="407"/>
      <c r="D35" s="407"/>
      <c r="E35" s="407"/>
      <c r="F35" s="408"/>
    </row>
    <row r="36" spans="1:6" ht="18.95" customHeight="1">
      <c r="A36" s="406"/>
      <c r="B36" s="407"/>
      <c r="C36" s="407"/>
      <c r="D36" s="407"/>
      <c r="E36" s="407"/>
      <c r="F36" s="408"/>
    </row>
    <row r="37" spans="1:6" ht="18.95" customHeight="1">
      <c r="A37" s="406"/>
      <c r="B37" s="407"/>
      <c r="C37" s="407"/>
      <c r="D37" s="407"/>
      <c r="E37" s="407"/>
      <c r="F37" s="408"/>
    </row>
    <row r="38" spans="1:6" ht="18.95" customHeight="1">
      <c r="A38" s="406"/>
      <c r="B38" s="407"/>
      <c r="C38" s="407"/>
      <c r="D38" s="407"/>
      <c r="E38" s="407"/>
      <c r="F38" s="408"/>
    </row>
    <row r="39" spans="1:6" ht="18.95" customHeight="1">
      <c r="A39" s="415" t="s">
        <v>583</v>
      </c>
      <c r="B39" s="416" t="s">
        <v>371</v>
      </c>
      <c r="C39" s="416" t="str">
        <f>'Performance Data Sheet'!C10</f>
        <v>2174962.1</v>
      </c>
      <c r="D39" s="407"/>
      <c r="E39" s="412" t="s">
        <v>584</v>
      </c>
      <c r="F39" s="417" t="str">
        <f>F10</f>
        <v>CS2600</v>
      </c>
    </row>
    <row r="40" spans="1:6" ht="18.95" customHeight="1">
      <c r="A40" s="406"/>
      <c r="B40" s="416"/>
      <c r="C40" s="416"/>
      <c r="D40" s="407"/>
      <c r="E40" s="407"/>
      <c r="F40" s="408"/>
    </row>
    <row r="41" spans="1:6" ht="18.95" customHeight="1">
      <c r="A41" s="406"/>
      <c r="B41" s="416"/>
      <c r="C41" s="416"/>
      <c r="D41" s="407"/>
      <c r="E41" s="407"/>
      <c r="F41" s="408"/>
    </row>
    <row r="42" spans="1:6" ht="18.95" customHeight="1">
      <c r="A42" s="406"/>
      <c r="B42" s="407"/>
      <c r="C42" s="407"/>
      <c r="D42" s="407"/>
      <c r="E42" s="407"/>
      <c r="F42" s="408"/>
    </row>
    <row r="43" spans="1:6" ht="18.95" customHeight="1">
      <c r="A43" s="418"/>
      <c r="B43" s="416"/>
      <c r="C43" s="419" t="s">
        <v>585</v>
      </c>
      <c r="D43" s="420" t="str">
        <f>'Performance Data Sheet'!K42</f>
        <v>JERRY R</v>
      </c>
      <c r="E43" s="419" t="s">
        <v>586</v>
      </c>
      <c r="F43" s="420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31" t="s">
        <v>399</v>
      </c>
      <c r="B53" s="431" t="s">
        <v>142</v>
      </c>
      <c r="C53" s="431" t="s">
        <v>120</v>
      </c>
      <c r="D53" s="431" t="s">
        <v>135</v>
      </c>
      <c r="E53" s="431" t="s">
        <v>5</v>
      </c>
      <c r="F53" s="432" t="s">
        <v>597</v>
      </c>
    </row>
    <row r="54" spans="1:6" ht="15" customHeight="1">
      <c r="A54" s="433">
        <v>0</v>
      </c>
      <c r="B54" s="434"/>
      <c r="C54" s="435"/>
      <c r="D54" s="435">
        <v>14.305789879083203</v>
      </c>
      <c r="E54" s="435">
        <v>100</v>
      </c>
      <c r="F54" s="436">
        <v>2</v>
      </c>
    </row>
    <row r="55" spans="1:6" ht="15" customHeight="1">
      <c r="A55" s="437">
        <v>25</v>
      </c>
      <c r="B55" s="438">
        <v>87.03704833984375</v>
      </c>
      <c r="C55" s="439">
        <v>75.494895935058594</v>
      </c>
      <c r="D55" s="439">
        <v>24.688730239868164</v>
      </c>
      <c r="E55" s="439">
        <v>79.099969797616382</v>
      </c>
      <c r="F55" s="440">
        <v>10.76076083194593</v>
      </c>
    </row>
    <row r="56" spans="1:6" ht="15" customHeight="1">
      <c r="A56" s="437">
        <v>50</v>
      </c>
      <c r="B56" s="438">
        <v>92.365669250488281</v>
      </c>
      <c r="C56" s="439">
        <v>88.323226928710938</v>
      </c>
      <c r="D56" s="439">
        <v>39.770862579345703</v>
      </c>
      <c r="E56" s="439">
        <v>65.487352527480525</v>
      </c>
      <c r="F56" s="440">
        <v>20.279935002199952</v>
      </c>
    </row>
    <row r="57" spans="1:6">
      <c r="A57" s="437">
        <v>75</v>
      </c>
      <c r="B57" s="438">
        <v>94.081222534179688</v>
      </c>
      <c r="C57" s="439">
        <v>91.53338623046875</v>
      </c>
      <c r="D57" s="439">
        <v>56.514411926269531</v>
      </c>
      <c r="E57" s="439">
        <v>51.79084192912633</v>
      </c>
      <c r="F57" s="440">
        <v>29.86519731201664</v>
      </c>
    </row>
    <row r="58" spans="1:6">
      <c r="A58" s="437">
        <v>100</v>
      </c>
      <c r="B58" s="438">
        <v>94.81402587890625</v>
      </c>
      <c r="C58" s="439">
        <v>92.487159729003906</v>
      </c>
      <c r="D58" s="439">
        <v>73.999099731445313</v>
      </c>
      <c r="E58" s="439">
        <v>37.714607932854882</v>
      </c>
      <c r="F58" s="440">
        <v>39.512499383524023</v>
      </c>
    </row>
    <row r="59" spans="1:6" ht="13.5" thickBot="1">
      <c r="A59" s="441">
        <v>125</v>
      </c>
      <c r="B59" s="442">
        <v>95.125923156738281</v>
      </c>
      <c r="C59" s="443">
        <v>92.586219787597656</v>
      </c>
      <c r="D59" s="443">
        <v>92.096946716308594</v>
      </c>
      <c r="E59" s="443">
        <v>23.580244247681037</v>
      </c>
      <c r="F59" s="444">
        <v>49.228683725655209</v>
      </c>
    </row>
    <row r="60" spans="1:6">
      <c r="A60" s="445"/>
      <c r="B60" s="446"/>
      <c r="C60" s="446"/>
    </row>
    <row r="61" spans="1:6">
      <c r="A61" s="445"/>
      <c r="B61" s="446"/>
      <c r="C61" s="446"/>
    </row>
    <row r="62" spans="1:6">
      <c r="A62" s="445"/>
      <c r="B62" s="446"/>
      <c r="C62" s="446"/>
    </row>
    <row r="63" spans="1:6">
      <c r="A63" s="445"/>
      <c r="B63" s="446"/>
      <c r="C63" s="446"/>
    </row>
    <row r="64" spans="1:6">
      <c r="A64" s="445"/>
      <c r="B64" s="446"/>
      <c r="C64" s="446"/>
    </row>
    <row r="65" spans="1:3">
      <c r="A65" s="445"/>
      <c r="B65" s="446"/>
      <c r="C65" s="446"/>
    </row>
    <row r="66" spans="1:3">
      <c r="A66" s="445"/>
      <c r="B66" s="446"/>
      <c r="C66" s="446"/>
    </row>
    <row r="67" spans="1:3">
      <c r="A67" s="447"/>
      <c r="B67" s="446"/>
      <c r="C67" s="446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workbookViewId="0">
      <selection activeCell="D10" sqref="D10"/>
    </sheetView>
  </sheetViews>
  <sheetFormatPr defaultRowHeight="12.75"/>
  <cols>
    <col min="1" max="6" width="16.7109375" style="388" customWidth="1"/>
    <col min="7" max="256" width="9.140625" style="388"/>
    <col min="257" max="262" width="16.7109375" style="388" customWidth="1"/>
    <col min="263" max="512" width="9.140625" style="388"/>
    <col min="513" max="518" width="16.7109375" style="388" customWidth="1"/>
    <col min="519" max="768" width="9.140625" style="388"/>
    <col min="769" max="774" width="16.7109375" style="388" customWidth="1"/>
    <col min="775" max="1024" width="9.140625" style="388"/>
    <col min="1025" max="1030" width="16.7109375" style="388" customWidth="1"/>
    <col min="1031" max="1280" width="9.140625" style="388"/>
    <col min="1281" max="1286" width="16.7109375" style="388" customWidth="1"/>
    <col min="1287" max="1536" width="9.140625" style="388"/>
    <col min="1537" max="1542" width="16.7109375" style="388" customWidth="1"/>
    <col min="1543" max="1792" width="9.140625" style="388"/>
    <col min="1793" max="1798" width="16.7109375" style="388" customWidth="1"/>
    <col min="1799" max="2048" width="9.140625" style="388"/>
    <col min="2049" max="2054" width="16.7109375" style="388" customWidth="1"/>
    <col min="2055" max="2304" width="9.140625" style="388"/>
    <col min="2305" max="2310" width="16.7109375" style="388" customWidth="1"/>
    <col min="2311" max="2560" width="9.140625" style="388"/>
    <col min="2561" max="2566" width="16.7109375" style="388" customWidth="1"/>
    <col min="2567" max="2816" width="9.140625" style="388"/>
    <col min="2817" max="2822" width="16.7109375" style="388" customWidth="1"/>
    <col min="2823" max="3072" width="9.140625" style="388"/>
    <col min="3073" max="3078" width="16.7109375" style="388" customWidth="1"/>
    <col min="3079" max="3328" width="9.140625" style="388"/>
    <col min="3329" max="3334" width="16.7109375" style="388" customWidth="1"/>
    <col min="3335" max="3584" width="9.140625" style="388"/>
    <col min="3585" max="3590" width="16.7109375" style="388" customWidth="1"/>
    <col min="3591" max="3840" width="9.140625" style="388"/>
    <col min="3841" max="3846" width="16.7109375" style="388" customWidth="1"/>
    <col min="3847" max="4096" width="9.140625" style="388"/>
    <col min="4097" max="4102" width="16.7109375" style="388" customWidth="1"/>
    <col min="4103" max="4352" width="9.140625" style="388"/>
    <col min="4353" max="4358" width="16.7109375" style="388" customWidth="1"/>
    <col min="4359" max="4608" width="9.140625" style="388"/>
    <col min="4609" max="4614" width="16.7109375" style="388" customWidth="1"/>
    <col min="4615" max="4864" width="9.140625" style="388"/>
    <col min="4865" max="4870" width="16.7109375" style="388" customWidth="1"/>
    <col min="4871" max="5120" width="9.140625" style="388"/>
    <col min="5121" max="5126" width="16.7109375" style="388" customWidth="1"/>
    <col min="5127" max="5376" width="9.140625" style="388"/>
    <col min="5377" max="5382" width="16.7109375" style="388" customWidth="1"/>
    <col min="5383" max="5632" width="9.140625" style="388"/>
    <col min="5633" max="5638" width="16.7109375" style="388" customWidth="1"/>
    <col min="5639" max="5888" width="9.140625" style="388"/>
    <col min="5889" max="5894" width="16.7109375" style="388" customWidth="1"/>
    <col min="5895" max="6144" width="9.140625" style="388"/>
    <col min="6145" max="6150" width="16.7109375" style="388" customWidth="1"/>
    <col min="6151" max="6400" width="9.140625" style="388"/>
    <col min="6401" max="6406" width="16.7109375" style="388" customWidth="1"/>
    <col min="6407" max="6656" width="9.140625" style="388"/>
    <col min="6657" max="6662" width="16.7109375" style="388" customWidth="1"/>
    <col min="6663" max="6912" width="9.140625" style="388"/>
    <col min="6913" max="6918" width="16.7109375" style="388" customWidth="1"/>
    <col min="6919" max="7168" width="9.140625" style="388"/>
    <col min="7169" max="7174" width="16.7109375" style="388" customWidth="1"/>
    <col min="7175" max="7424" width="9.140625" style="388"/>
    <col min="7425" max="7430" width="16.7109375" style="388" customWidth="1"/>
    <col min="7431" max="7680" width="9.140625" style="388"/>
    <col min="7681" max="7686" width="16.7109375" style="388" customWidth="1"/>
    <col min="7687" max="7936" width="9.140625" style="388"/>
    <col min="7937" max="7942" width="16.7109375" style="388" customWidth="1"/>
    <col min="7943" max="8192" width="9.140625" style="388"/>
    <col min="8193" max="8198" width="16.7109375" style="388" customWidth="1"/>
    <col min="8199" max="8448" width="9.140625" style="388"/>
    <col min="8449" max="8454" width="16.7109375" style="388" customWidth="1"/>
    <col min="8455" max="8704" width="9.140625" style="388"/>
    <col min="8705" max="8710" width="16.7109375" style="388" customWidth="1"/>
    <col min="8711" max="8960" width="9.140625" style="388"/>
    <col min="8961" max="8966" width="16.7109375" style="388" customWidth="1"/>
    <col min="8967" max="9216" width="9.140625" style="388"/>
    <col min="9217" max="9222" width="16.7109375" style="388" customWidth="1"/>
    <col min="9223" max="9472" width="9.140625" style="388"/>
    <col min="9473" max="9478" width="16.7109375" style="388" customWidth="1"/>
    <col min="9479" max="9728" width="9.140625" style="388"/>
    <col min="9729" max="9734" width="16.7109375" style="388" customWidth="1"/>
    <col min="9735" max="9984" width="9.140625" style="388"/>
    <col min="9985" max="9990" width="16.7109375" style="388" customWidth="1"/>
    <col min="9991" max="10240" width="9.140625" style="388"/>
    <col min="10241" max="10246" width="16.7109375" style="388" customWidth="1"/>
    <col min="10247" max="10496" width="9.140625" style="388"/>
    <col min="10497" max="10502" width="16.7109375" style="388" customWidth="1"/>
    <col min="10503" max="10752" width="9.140625" style="388"/>
    <col min="10753" max="10758" width="16.7109375" style="388" customWidth="1"/>
    <col min="10759" max="11008" width="9.140625" style="388"/>
    <col min="11009" max="11014" width="16.7109375" style="388" customWidth="1"/>
    <col min="11015" max="11264" width="9.140625" style="388"/>
    <col min="11265" max="11270" width="16.7109375" style="388" customWidth="1"/>
    <col min="11271" max="11520" width="9.140625" style="388"/>
    <col min="11521" max="11526" width="16.7109375" style="388" customWidth="1"/>
    <col min="11527" max="11776" width="9.140625" style="388"/>
    <col min="11777" max="11782" width="16.7109375" style="388" customWidth="1"/>
    <col min="11783" max="12032" width="9.140625" style="388"/>
    <col min="12033" max="12038" width="16.7109375" style="388" customWidth="1"/>
    <col min="12039" max="12288" width="9.140625" style="388"/>
    <col min="12289" max="12294" width="16.7109375" style="388" customWidth="1"/>
    <col min="12295" max="12544" width="9.140625" style="388"/>
    <col min="12545" max="12550" width="16.7109375" style="388" customWidth="1"/>
    <col min="12551" max="12800" width="9.140625" style="388"/>
    <col min="12801" max="12806" width="16.7109375" style="388" customWidth="1"/>
    <col min="12807" max="13056" width="9.140625" style="388"/>
    <col min="13057" max="13062" width="16.7109375" style="388" customWidth="1"/>
    <col min="13063" max="13312" width="9.140625" style="388"/>
    <col min="13313" max="13318" width="16.7109375" style="388" customWidth="1"/>
    <col min="13319" max="13568" width="9.140625" style="388"/>
    <col min="13569" max="13574" width="16.7109375" style="388" customWidth="1"/>
    <col min="13575" max="13824" width="9.140625" style="388"/>
    <col min="13825" max="13830" width="16.7109375" style="388" customWidth="1"/>
    <col min="13831" max="14080" width="9.140625" style="388"/>
    <col min="14081" max="14086" width="16.7109375" style="388" customWidth="1"/>
    <col min="14087" max="14336" width="9.140625" style="388"/>
    <col min="14337" max="14342" width="16.7109375" style="388" customWidth="1"/>
    <col min="14343" max="14592" width="9.140625" style="388"/>
    <col min="14593" max="14598" width="16.7109375" style="388" customWidth="1"/>
    <col min="14599" max="14848" width="9.140625" style="388"/>
    <col min="14849" max="14854" width="16.7109375" style="388" customWidth="1"/>
    <col min="14855" max="15104" width="9.140625" style="388"/>
    <col min="15105" max="15110" width="16.7109375" style="388" customWidth="1"/>
    <col min="15111" max="15360" width="9.140625" style="388"/>
    <col min="15361" max="15366" width="16.7109375" style="388" customWidth="1"/>
    <col min="15367" max="15616" width="9.140625" style="388"/>
    <col min="15617" max="15622" width="16.7109375" style="388" customWidth="1"/>
    <col min="15623" max="15872" width="9.140625" style="388"/>
    <col min="15873" max="15878" width="16.7109375" style="388" customWidth="1"/>
    <col min="15879" max="16128" width="9.140625" style="388"/>
    <col min="16129" max="16134" width="16.7109375" style="388" customWidth="1"/>
    <col min="16135" max="16384" width="9.140625" style="388"/>
  </cols>
  <sheetData>
    <row r="1" spans="1:6" ht="18.95" customHeight="1">
      <c r="A1" s="400"/>
      <c r="B1" s="401"/>
      <c r="C1" s="401"/>
      <c r="D1" s="401"/>
      <c r="E1" s="401"/>
      <c r="F1" s="402"/>
    </row>
    <row r="2" spans="1:6" ht="26.1" customHeight="1">
      <c r="A2" s="403" t="s">
        <v>267</v>
      </c>
      <c r="B2" s="404"/>
      <c r="C2" s="404"/>
      <c r="D2" s="404"/>
      <c r="E2" s="404"/>
      <c r="F2" s="405"/>
    </row>
    <row r="3" spans="1:6" ht="18.95" customHeight="1">
      <c r="A3" s="429" t="s">
        <v>592</v>
      </c>
      <c r="B3" s="404"/>
      <c r="C3" s="404"/>
      <c r="D3" s="404"/>
      <c r="E3" s="404"/>
      <c r="F3" s="405"/>
    </row>
    <row r="4" spans="1:6" ht="18.95" customHeight="1">
      <c r="A4" s="672" t="s">
        <v>569</v>
      </c>
      <c r="B4" s="673"/>
      <c r="C4" s="673"/>
      <c r="D4" s="673"/>
      <c r="E4" s="673"/>
      <c r="F4" s="674"/>
    </row>
    <row r="5" spans="1:6" ht="18.95" customHeight="1">
      <c r="A5" s="406"/>
      <c r="B5" s="407"/>
      <c r="C5" s="407"/>
      <c r="D5" s="407"/>
      <c r="E5" s="407"/>
      <c r="F5" s="408"/>
    </row>
    <row r="6" spans="1:6" ht="18.95" customHeight="1">
      <c r="A6" s="409" t="s">
        <v>570</v>
      </c>
      <c r="B6" s="666" t="str">
        <f>'Performance Data Sheet'!C17</f>
        <v>GP-10032399</v>
      </c>
      <c r="C6" s="667"/>
      <c r="D6" s="668"/>
      <c r="E6" s="409" t="s">
        <v>571</v>
      </c>
      <c r="F6" s="410" t="s">
        <v>713</v>
      </c>
    </row>
    <row r="7" spans="1:6" ht="18.95" customHeight="1">
      <c r="A7" s="409" t="s">
        <v>572</v>
      </c>
      <c r="B7" s="410" t="str">
        <f>'Performance Data Sheet'!F14</f>
        <v>TEFC</v>
      </c>
      <c r="C7" s="409" t="s">
        <v>573</v>
      </c>
      <c r="D7" s="410" t="s">
        <v>710</v>
      </c>
      <c r="E7" s="409" t="s">
        <v>574</v>
      </c>
      <c r="F7" s="410" t="str">
        <f>'Performance Data Sheet'!C14</f>
        <v>5811USS</v>
      </c>
    </row>
    <row r="8" spans="1:6" ht="18.95" customHeight="1">
      <c r="A8" s="409" t="s">
        <v>575</v>
      </c>
      <c r="B8" s="410">
        <v>2</v>
      </c>
      <c r="C8" s="409" t="s">
        <v>576</v>
      </c>
      <c r="D8" s="410" t="s">
        <v>577</v>
      </c>
      <c r="E8" s="409" t="s">
        <v>578</v>
      </c>
      <c r="F8" s="410" t="s">
        <v>364</v>
      </c>
    </row>
    <row r="9" spans="1:6" ht="18.95" customHeight="1">
      <c r="A9" s="409" t="s">
        <v>579</v>
      </c>
      <c r="B9" s="410">
        <v>600</v>
      </c>
      <c r="C9" s="409" t="s">
        <v>580</v>
      </c>
      <c r="D9" s="410" t="s">
        <v>591</v>
      </c>
      <c r="E9" s="409" t="s">
        <v>2</v>
      </c>
      <c r="F9" s="411">
        <f>'Performance Data Sheet'!K44</f>
        <v>43945</v>
      </c>
    </row>
    <row r="10" spans="1:6" ht="18.95" customHeight="1">
      <c r="A10" s="409" t="s">
        <v>581</v>
      </c>
      <c r="B10" s="410">
        <v>3575</v>
      </c>
      <c r="C10" s="409" t="s">
        <v>401</v>
      </c>
      <c r="D10" s="410" t="s">
        <v>582</v>
      </c>
      <c r="E10" s="409" t="s">
        <v>1</v>
      </c>
      <c r="F10" s="410" t="s">
        <v>380</v>
      </c>
    </row>
    <row r="11" spans="1:6" ht="18.95" customHeight="1">
      <c r="A11" s="406"/>
      <c r="B11" s="407"/>
      <c r="C11" s="407"/>
      <c r="D11" s="407"/>
      <c r="E11" s="407"/>
      <c r="F11" s="408"/>
    </row>
    <row r="12" spans="1:6" ht="18.95" customHeight="1">
      <c r="A12" s="406"/>
      <c r="B12" s="412" t="s">
        <v>593</v>
      </c>
      <c r="C12" s="413" t="s">
        <v>711</v>
      </c>
      <c r="D12" s="412" t="s">
        <v>400</v>
      </c>
      <c r="E12" s="413" t="s">
        <v>404</v>
      </c>
      <c r="F12" s="408"/>
    </row>
    <row r="13" spans="1:6" ht="18.95" customHeight="1">
      <c r="A13" s="406"/>
      <c r="B13" s="412" t="s">
        <v>594</v>
      </c>
      <c r="C13" s="414">
        <v>0.95</v>
      </c>
      <c r="D13" s="412" t="s">
        <v>595</v>
      </c>
      <c r="E13" s="413" t="s">
        <v>712</v>
      </c>
      <c r="F13" s="408"/>
    </row>
    <row r="14" spans="1:6" ht="18.95" customHeight="1">
      <c r="A14" s="406"/>
      <c r="B14" s="412" t="s">
        <v>596</v>
      </c>
      <c r="C14" s="414">
        <v>2.7</v>
      </c>
      <c r="D14" s="412" t="s">
        <v>402</v>
      </c>
      <c r="E14" s="413" t="s">
        <v>714</v>
      </c>
      <c r="F14" s="408"/>
    </row>
    <row r="15" spans="1:6" ht="18.95" customHeight="1">
      <c r="A15" s="406"/>
      <c r="B15" s="412" t="s">
        <v>403</v>
      </c>
      <c r="C15" s="413" t="s">
        <v>598</v>
      </c>
      <c r="D15" s="407"/>
      <c r="E15" s="407"/>
      <c r="F15" s="408"/>
    </row>
    <row r="16" spans="1:6" ht="18.95" customHeight="1">
      <c r="A16" s="406"/>
      <c r="B16" s="407"/>
      <c r="C16" s="407"/>
      <c r="D16" s="407"/>
      <c r="E16" s="407"/>
      <c r="F16" s="408"/>
    </row>
    <row r="17" spans="1:8" ht="18.95" customHeight="1">
      <c r="A17" s="406"/>
      <c r="B17" s="407"/>
      <c r="C17" s="407"/>
      <c r="D17" s="407"/>
      <c r="E17" s="407"/>
      <c r="F17" s="408"/>
    </row>
    <row r="18" spans="1:8" ht="18.95" customHeight="1">
      <c r="A18" s="406"/>
      <c r="B18" s="407"/>
      <c r="C18" s="407"/>
      <c r="D18" s="407"/>
      <c r="E18" s="407"/>
      <c r="F18" s="408"/>
    </row>
    <row r="19" spans="1:8" ht="18.95" customHeight="1">
      <c r="A19" s="406"/>
      <c r="B19" s="407"/>
      <c r="C19" s="407"/>
      <c r="D19" s="407"/>
      <c r="E19" s="407"/>
      <c r="F19" s="408"/>
    </row>
    <row r="20" spans="1:8" ht="18.95" customHeight="1">
      <c r="A20" s="406"/>
      <c r="B20" s="407"/>
      <c r="C20" s="407"/>
      <c r="D20" s="407"/>
      <c r="E20" s="407"/>
      <c r="F20" s="408"/>
    </row>
    <row r="21" spans="1:8" ht="18.95" customHeight="1">
      <c r="A21" s="406"/>
      <c r="B21" s="407"/>
      <c r="C21" s="407"/>
      <c r="D21" s="407"/>
      <c r="E21" s="407"/>
      <c r="F21" s="408"/>
    </row>
    <row r="22" spans="1:8" ht="18.95" customHeight="1">
      <c r="A22" s="406"/>
      <c r="B22" s="407"/>
      <c r="C22" s="407"/>
      <c r="D22" s="407"/>
      <c r="E22" s="407"/>
      <c r="F22" s="408"/>
    </row>
    <row r="23" spans="1:8" ht="18.95" customHeight="1">
      <c r="A23" s="406"/>
      <c r="B23" s="407"/>
      <c r="C23" s="407"/>
      <c r="D23" s="407"/>
      <c r="E23" s="407"/>
      <c r="F23" s="408"/>
    </row>
    <row r="24" spans="1:8" ht="18.95" customHeight="1">
      <c r="A24" s="406"/>
      <c r="B24" s="407"/>
      <c r="C24" s="407"/>
      <c r="D24" s="407"/>
      <c r="E24" s="407"/>
      <c r="F24" s="408"/>
      <c r="H24" s="430"/>
    </row>
    <row r="25" spans="1:8" ht="18.95" customHeight="1">
      <c r="A25" s="406"/>
      <c r="B25" s="407"/>
      <c r="C25" s="407"/>
      <c r="D25" s="407"/>
      <c r="E25" s="407"/>
      <c r="F25" s="408"/>
    </row>
    <row r="26" spans="1:8" ht="18.95" customHeight="1">
      <c r="A26" s="406"/>
      <c r="B26" s="407"/>
      <c r="C26" s="407"/>
      <c r="D26" s="407"/>
      <c r="E26" s="407"/>
      <c r="F26" s="408"/>
    </row>
    <row r="27" spans="1:8" ht="18.95" customHeight="1">
      <c r="A27" s="406"/>
      <c r="B27" s="407"/>
      <c r="C27" s="407"/>
      <c r="D27" s="407"/>
      <c r="E27" s="407"/>
      <c r="F27" s="408"/>
    </row>
    <row r="28" spans="1:8" ht="18.95" customHeight="1">
      <c r="A28" s="406"/>
      <c r="B28" s="407"/>
      <c r="C28" s="407"/>
      <c r="D28" s="407"/>
      <c r="E28" s="407"/>
      <c r="F28" s="408"/>
    </row>
    <row r="29" spans="1:8" ht="18.95" customHeight="1">
      <c r="A29" s="406"/>
      <c r="B29" s="407"/>
      <c r="C29" s="407"/>
      <c r="D29" s="407"/>
      <c r="E29" s="407"/>
      <c r="F29" s="408"/>
    </row>
    <row r="30" spans="1:8" ht="18.95" customHeight="1">
      <c r="A30" s="406"/>
      <c r="B30" s="407"/>
      <c r="C30" s="407"/>
      <c r="D30" s="407"/>
      <c r="E30" s="407"/>
      <c r="F30" s="408"/>
    </row>
    <row r="31" spans="1:8" ht="18.95" customHeight="1">
      <c r="A31" s="406"/>
      <c r="B31" s="407"/>
      <c r="C31" s="407"/>
      <c r="D31" s="407"/>
      <c r="E31" s="407"/>
      <c r="F31" s="408"/>
    </row>
    <row r="32" spans="1:8" ht="18.95" customHeight="1">
      <c r="A32" s="406"/>
      <c r="B32" s="407"/>
      <c r="C32" s="407"/>
      <c r="D32" s="407"/>
      <c r="E32" s="407"/>
      <c r="F32" s="408"/>
    </row>
    <row r="33" spans="1:6" ht="18.95" customHeight="1">
      <c r="A33" s="406"/>
      <c r="B33" s="407"/>
      <c r="C33" s="407"/>
      <c r="D33" s="407"/>
      <c r="E33" s="407"/>
      <c r="F33" s="408"/>
    </row>
    <row r="34" spans="1:6" ht="18.95" customHeight="1">
      <c r="A34" s="406"/>
      <c r="B34" s="407"/>
      <c r="C34" s="407"/>
      <c r="D34" s="407"/>
      <c r="E34" s="407"/>
      <c r="F34" s="408"/>
    </row>
    <row r="35" spans="1:6" ht="18.95" customHeight="1">
      <c r="A35" s="406"/>
      <c r="B35" s="407"/>
      <c r="C35" s="407"/>
      <c r="D35" s="407"/>
      <c r="E35" s="407"/>
      <c r="F35" s="408"/>
    </row>
    <row r="36" spans="1:6" ht="18.95" customHeight="1">
      <c r="A36" s="406"/>
      <c r="B36" s="407"/>
      <c r="C36" s="407"/>
      <c r="D36" s="407"/>
      <c r="E36" s="407"/>
      <c r="F36" s="408"/>
    </row>
    <row r="37" spans="1:6" ht="18.95" customHeight="1">
      <c r="A37" s="406"/>
      <c r="B37" s="407"/>
      <c r="C37" s="407"/>
      <c r="D37" s="407"/>
      <c r="E37" s="407"/>
      <c r="F37" s="408"/>
    </row>
    <row r="38" spans="1:6" ht="18.95" customHeight="1">
      <c r="A38" s="406"/>
      <c r="B38" s="407"/>
      <c r="C38" s="407"/>
      <c r="D38" s="407"/>
      <c r="E38" s="407"/>
      <c r="F38" s="408"/>
    </row>
    <row r="39" spans="1:6" ht="18.95" customHeight="1">
      <c r="A39" s="415" t="s">
        <v>583</v>
      </c>
      <c r="B39" s="416"/>
      <c r="C39" s="416"/>
      <c r="D39" s="407"/>
      <c r="E39" s="412" t="s">
        <v>584</v>
      </c>
      <c r="F39" s="417"/>
    </row>
    <row r="40" spans="1:6" ht="18.95" customHeight="1">
      <c r="A40" s="406"/>
      <c r="B40" s="416"/>
      <c r="C40" s="416"/>
      <c r="D40" s="407"/>
      <c r="E40" s="407"/>
      <c r="F40" s="408"/>
    </row>
    <row r="41" spans="1:6" ht="18.95" customHeight="1">
      <c r="A41" s="406"/>
      <c r="B41" s="416"/>
      <c r="C41" s="416"/>
      <c r="D41" s="407"/>
      <c r="E41" s="407"/>
      <c r="F41" s="408"/>
    </row>
    <row r="42" spans="1:6" ht="18.95" customHeight="1">
      <c r="A42" s="406"/>
      <c r="B42" s="407"/>
      <c r="C42" s="407"/>
      <c r="D42" s="407"/>
      <c r="E42" s="407"/>
      <c r="F42" s="408"/>
    </row>
    <row r="43" spans="1:6" ht="18.95" customHeight="1">
      <c r="A43" s="418"/>
      <c r="B43" s="416"/>
      <c r="C43" s="419" t="s">
        <v>585</v>
      </c>
      <c r="D43" s="420"/>
      <c r="E43" s="419" t="s">
        <v>586</v>
      </c>
      <c r="F43" s="420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31" t="s">
        <v>399</v>
      </c>
      <c r="B53" s="431" t="s">
        <v>142</v>
      </c>
      <c r="C53" s="431" t="s">
        <v>120</v>
      </c>
      <c r="D53" s="431" t="s">
        <v>135</v>
      </c>
      <c r="E53" s="431" t="s">
        <v>5</v>
      </c>
      <c r="F53" s="432" t="s">
        <v>597</v>
      </c>
    </row>
    <row r="54" spans="1:6" ht="15" customHeight="1">
      <c r="A54" s="433">
        <v>0</v>
      </c>
      <c r="B54" s="434"/>
      <c r="C54" s="435"/>
      <c r="D54" s="435">
        <v>24.504626015379259</v>
      </c>
      <c r="E54" s="435">
        <v>100</v>
      </c>
      <c r="F54" s="436">
        <v>2</v>
      </c>
    </row>
    <row r="55" spans="1:6" ht="15" customHeight="1">
      <c r="A55" s="437">
        <v>25</v>
      </c>
      <c r="B55" s="438">
        <v>87.070281982421875</v>
      </c>
      <c r="C55" s="439">
        <v>75.85980224609375</v>
      </c>
      <c r="D55" s="439">
        <v>42.542041778564453</v>
      </c>
      <c r="E55" s="439">
        <v>78.98073902108851</v>
      </c>
      <c r="F55" s="440">
        <v>10.713330771629558</v>
      </c>
    </row>
    <row r="56" spans="1:6" ht="15" customHeight="1">
      <c r="A56" s="437">
        <v>50</v>
      </c>
      <c r="B56" s="438">
        <v>92.380378723144531</v>
      </c>
      <c r="C56" s="439">
        <v>88.543701171875</v>
      </c>
      <c r="D56" s="439">
        <v>68.705673217773438</v>
      </c>
      <c r="E56" s="439">
        <v>65.252538738043953</v>
      </c>
      <c r="F56" s="440">
        <v>20.195040182405972</v>
      </c>
    </row>
    <row r="57" spans="1:6">
      <c r="A57" s="437">
        <v>75</v>
      </c>
      <c r="B57" s="438">
        <v>94.087326049804688</v>
      </c>
      <c r="C57" s="439">
        <v>91.69366455078125</v>
      </c>
      <c r="D57" s="439">
        <v>97.712631225585938</v>
      </c>
      <c r="E57" s="439">
        <v>51.436803645188789</v>
      </c>
      <c r="F57" s="440">
        <v>29.742983536886939</v>
      </c>
    </row>
    <row r="58" spans="1:6">
      <c r="A58" s="437">
        <v>100</v>
      </c>
      <c r="B58" s="438">
        <v>94.813827514648438</v>
      </c>
      <c r="C58" s="439">
        <v>92.615730285644531</v>
      </c>
      <c r="D58" s="439">
        <v>127.99810028076172</v>
      </c>
      <c r="E58" s="439">
        <v>37.225778291761458</v>
      </c>
      <c r="F58" s="440">
        <v>39.353443816061258</v>
      </c>
    </row>
    <row r="59" spans="1:6" ht="13.5" thickBot="1">
      <c r="A59" s="441">
        <v>125</v>
      </c>
      <c r="B59" s="442">
        <v>95.120628356933594</v>
      </c>
      <c r="C59" s="443">
        <v>92.691848754882813</v>
      </c>
      <c r="D59" s="443">
        <v>159.35060119628906</v>
      </c>
      <c r="E59" s="443">
        <v>22.974405573572909</v>
      </c>
      <c r="F59" s="444">
        <v>49.033143068691004</v>
      </c>
    </row>
    <row r="60" spans="1:6">
      <c r="A60" s="445"/>
      <c r="B60" s="446"/>
      <c r="C60" s="446"/>
    </row>
    <row r="61" spans="1:6">
      <c r="A61" s="445"/>
      <c r="B61" s="446"/>
      <c r="C61" s="446"/>
    </row>
    <row r="62" spans="1:6">
      <c r="A62" s="445"/>
      <c r="B62" s="446"/>
      <c r="C62" s="446"/>
    </row>
    <row r="63" spans="1:6">
      <c r="A63" s="445"/>
      <c r="B63" s="446"/>
      <c r="C63" s="446"/>
    </row>
    <row r="64" spans="1:6">
      <c r="A64" s="445"/>
      <c r="B64" s="446"/>
      <c r="C64" s="446"/>
    </row>
    <row r="65" spans="1:3">
      <c r="A65" s="445"/>
      <c r="B65" s="446"/>
      <c r="C65" s="446"/>
    </row>
    <row r="66" spans="1:3">
      <c r="A66" s="445"/>
      <c r="B66" s="446"/>
      <c r="C66" s="446"/>
    </row>
    <row r="67" spans="1:3">
      <c r="A67" s="447"/>
      <c r="B67" s="446"/>
      <c r="C67" s="446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workbookViewId="0"/>
  </sheetViews>
  <sheetFormatPr defaultRowHeight="12.75"/>
  <cols>
    <col min="1" max="1" width="19.7109375" style="388" customWidth="1"/>
    <col min="2" max="7" width="10.7109375" style="388" customWidth="1"/>
    <col min="8" max="16384" width="9.140625" style="388"/>
  </cols>
  <sheetData>
    <row r="1" spans="1:12" ht="21" customHeight="1">
      <c r="A1" s="387" t="s">
        <v>409</v>
      </c>
      <c r="B1" s="684" t="s">
        <v>448</v>
      </c>
      <c r="C1" s="684"/>
      <c r="D1" s="684"/>
      <c r="E1" s="684"/>
      <c r="F1" s="684"/>
      <c r="G1" s="684"/>
    </row>
    <row r="2" spans="1:12" ht="15" customHeight="1"/>
    <row r="3" spans="1:12" ht="20.25">
      <c r="A3" s="389" t="s">
        <v>410</v>
      </c>
    </row>
    <row r="4" spans="1:12" ht="12" customHeight="1">
      <c r="A4" s="390"/>
      <c r="B4" s="390"/>
      <c r="C4" s="390"/>
      <c r="D4" s="390" t="s">
        <v>462</v>
      </c>
      <c r="E4" s="390"/>
      <c r="F4" s="390"/>
      <c r="G4" s="390"/>
      <c r="H4" s="390"/>
      <c r="I4" s="390"/>
      <c r="J4" s="390"/>
      <c r="K4" s="390"/>
      <c r="L4" s="390"/>
    </row>
    <row r="5" spans="1:12" ht="15.6" customHeight="1">
      <c r="A5" s="391" t="s">
        <v>5</v>
      </c>
      <c r="B5" s="391" t="s">
        <v>411</v>
      </c>
      <c r="C5" s="391" t="s">
        <v>412</v>
      </c>
      <c r="D5" s="391" t="s">
        <v>413</v>
      </c>
      <c r="E5" s="391" t="s">
        <v>414</v>
      </c>
      <c r="F5" s="391" t="s">
        <v>415</v>
      </c>
      <c r="G5" s="391" t="s">
        <v>416</v>
      </c>
      <c r="H5" s="390"/>
      <c r="I5" s="390"/>
      <c r="J5" s="390"/>
      <c r="K5" s="390"/>
      <c r="L5" s="390"/>
    </row>
    <row r="6" spans="1:12" ht="15.6" customHeight="1">
      <c r="A6" s="392" t="s">
        <v>417</v>
      </c>
      <c r="B6" s="392" t="s">
        <v>165</v>
      </c>
      <c r="C6" s="392" t="s">
        <v>165</v>
      </c>
      <c r="D6" s="392" t="s">
        <v>418</v>
      </c>
      <c r="E6" s="392" t="s">
        <v>135</v>
      </c>
      <c r="F6" s="392" t="s">
        <v>419</v>
      </c>
      <c r="G6" s="392" t="s">
        <v>419</v>
      </c>
      <c r="H6" s="390"/>
      <c r="I6" s="390"/>
      <c r="J6" s="390"/>
      <c r="K6" s="390"/>
      <c r="L6" s="390"/>
    </row>
    <row r="7" spans="1:12" ht="15.95" customHeight="1">
      <c r="A7" s="393" t="s">
        <v>449</v>
      </c>
      <c r="B7" s="393" t="s">
        <v>463</v>
      </c>
      <c r="C7" s="393" t="s">
        <v>475</v>
      </c>
      <c r="D7" s="393" t="s">
        <v>487</v>
      </c>
      <c r="E7" s="393" t="s">
        <v>500</v>
      </c>
      <c r="F7" s="393" t="s">
        <v>513</v>
      </c>
      <c r="G7" s="393" t="s">
        <v>526</v>
      </c>
      <c r="H7" s="390"/>
      <c r="I7" s="390"/>
      <c r="J7" s="390"/>
      <c r="K7" s="390"/>
      <c r="L7" s="390"/>
    </row>
    <row r="8" spans="1:12" ht="15.95" customHeight="1">
      <c r="A8" s="393" t="s">
        <v>450</v>
      </c>
      <c r="B8" s="393" t="s">
        <v>464</v>
      </c>
      <c r="C8" s="393" t="s">
        <v>476</v>
      </c>
      <c r="D8" s="393" t="s">
        <v>488</v>
      </c>
      <c r="E8" s="393" t="s">
        <v>501</v>
      </c>
      <c r="F8" s="393" t="s">
        <v>514</v>
      </c>
      <c r="G8" s="393" t="s">
        <v>527</v>
      </c>
      <c r="H8" s="390"/>
      <c r="I8" s="390"/>
      <c r="J8" s="390"/>
      <c r="K8" s="390"/>
      <c r="L8" s="390"/>
    </row>
    <row r="9" spans="1:12" ht="15.95" customHeight="1">
      <c r="A9" s="393" t="s">
        <v>451</v>
      </c>
      <c r="B9" s="393" t="s">
        <v>465</v>
      </c>
      <c r="C9" s="393" t="s">
        <v>477</v>
      </c>
      <c r="D9" s="393" t="s">
        <v>489</v>
      </c>
      <c r="E9" s="393" t="s">
        <v>502</v>
      </c>
      <c r="F9" s="393" t="s">
        <v>515</v>
      </c>
      <c r="G9" s="393" t="s">
        <v>528</v>
      </c>
      <c r="H9" s="390"/>
      <c r="I9" s="390"/>
      <c r="J9" s="390"/>
      <c r="K9" s="390"/>
      <c r="L9" s="390"/>
    </row>
    <row r="10" spans="1:12" ht="15.95" customHeight="1">
      <c r="A10" s="393" t="s">
        <v>452</v>
      </c>
      <c r="B10" s="393" t="s">
        <v>463</v>
      </c>
      <c r="C10" s="393" t="s">
        <v>477</v>
      </c>
      <c r="D10" s="393" t="s">
        <v>490</v>
      </c>
      <c r="E10" s="393" t="s">
        <v>503</v>
      </c>
      <c r="F10" s="393" t="s">
        <v>516</v>
      </c>
      <c r="G10" s="393" t="s">
        <v>529</v>
      </c>
      <c r="H10" s="390"/>
      <c r="I10" s="390"/>
      <c r="J10" s="390"/>
      <c r="K10" s="390"/>
      <c r="L10" s="390"/>
    </row>
    <row r="11" spans="1:12" ht="15.95" customHeight="1">
      <c r="A11" s="393" t="s">
        <v>453</v>
      </c>
      <c r="B11" s="393" t="s">
        <v>466</v>
      </c>
      <c r="C11" s="393" t="s">
        <v>478</v>
      </c>
      <c r="D11" s="393" t="s">
        <v>491</v>
      </c>
      <c r="E11" s="393" t="s">
        <v>504</v>
      </c>
      <c r="F11" s="393" t="s">
        <v>517</v>
      </c>
      <c r="G11" s="393" t="s">
        <v>530</v>
      </c>
      <c r="H11" s="390"/>
      <c r="I11" s="390"/>
      <c r="J11" s="390"/>
      <c r="K11" s="390"/>
      <c r="L11" s="390"/>
    </row>
    <row r="12" spans="1:12" ht="15.95" customHeight="1">
      <c r="A12" s="393" t="s">
        <v>454</v>
      </c>
      <c r="B12" s="393" t="s">
        <v>467</v>
      </c>
      <c r="C12" s="393" t="s">
        <v>479</v>
      </c>
      <c r="D12" s="393" t="s">
        <v>492</v>
      </c>
      <c r="E12" s="393" t="s">
        <v>505</v>
      </c>
      <c r="F12" s="393" t="s">
        <v>518</v>
      </c>
      <c r="G12" s="393" t="s">
        <v>531</v>
      </c>
      <c r="H12" s="390"/>
      <c r="I12" s="390"/>
      <c r="J12" s="390"/>
      <c r="K12" s="390"/>
      <c r="L12" s="390"/>
    </row>
    <row r="13" spans="1:12" ht="15.95" customHeight="1">
      <c r="A13" s="393" t="s">
        <v>455</v>
      </c>
      <c r="B13" s="393" t="s">
        <v>468</v>
      </c>
      <c r="C13" s="393" t="s">
        <v>480</v>
      </c>
      <c r="D13" s="393" t="s">
        <v>493</v>
      </c>
      <c r="E13" s="393" t="s">
        <v>506</v>
      </c>
      <c r="F13" s="393" t="s">
        <v>519</v>
      </c>
      <c r="G13" s="393" t="s">
        <v>532</v>
      </c>
      <c r="H13" s="390"/>
      <c r="I13" s="390"/>
      <c r="J13" s="390"/>
      <c r="K13" s="390"/>
      <c r="L13" s="390"/>
    </row>
    <row r="14" spans="1:12" ht="15.95" customHeight="1">
      <c r="A14" s="393" t="s">
        <v>456</v>
      </c>
      <c r="B14" s="393" t="s">
        <v>469</v>
      </c>
      <c r="C14" s="393" t="s">
        <v>481</v>
      </c>
      <c r="D14" s="393" t="s">
        <v>494</v>
      </c>
      <c r="E14" s="393" t="s">
        <v>507</v>
      </c>
      <c r="F14" s="393" t="s">
        <v>520</v>
      </c>
      <c r="G14" s="393" t="s">
        <v>533</v>
      </c>
      <c r="H14" s="390"/>
      <c r="I14" s="390"/>
      <c r="J14" s="390"/>
      <c r="K14" s="390"/>
      <c r="L14" s="390"/>
    </row>
    <row r="15" spans="1:12" ht="15.95" customHeight="1">
      <c r="A15" s="393" t="s">
        <v>457</v>
      </c>
      <c r="B15" s="393" t="s">
        <v>470</v>
      </c>
      <c r="C15" s="393" t="s">
        <v>482</v>
      </c>
      <c r="D15" s="393" t="s">
        <v>495</v>
      </c>
      <c r="E15" s="393" t="s">
        <v>508</v>
      </c>
      <c r="F15" s="393" t="s">
        <v>521</v>
      </c>
      <c r="G15" s="393" t="s">
        <v>534</v>
      </c>
      <c r="H15" s="390"/>
      <c r="I15" s="390"/>
      <c r="J15" s="390"/>
      <c r="K15" s="390"/>
      <c r="L15" s="390"/>
    </row>
    <row r="16" spans="1:12" ht="15.95" customHeight="1">
      <c r="A16" s="393" t="s">
        <v>458</v>
      </c>
      <c r="B16" s="393" t="s">
        <v>471</v>
      </c>
      <c r="C16" s="393" t="s">
        <v>483</v>
      </c>
      <c r="D16" s="393" t="s">
        <v>496</v>
      </c>
      <c r="E16" s="393" t="s">
        <v>509</v>
      </c>
      <c r="F16" s="393" t="s">
        <v>522</v>
      </c>
      <c r="G16" s="393" t="s">
        <v>535</v>
      </c>
      <c r="H16" s="390"/>
      <c r="I16" s="390"/>
      <c r="J16" s="390"/>
      <c r="K16" s="390"/>
      <c r="L16" s="390"/>
    </row>
    <row r="17" spans="1:12" ht="15.95" customHeight="1">
      <c r="A17" s="393" t="s">
        <v>459</v>
      </c>
      <c r="B17" s="393" t="s">
        <v>472</v>
      </c>
      <c r="C17" s="393" t="s">
        <v>484</v>
      </c>
      <c r="D17" s="393" t="s">
        <v>497</v>
      </c>
      <c r="E17" s="393" t="s">
        <v>510</v>
      </c>
      <c r="F17" s="393" t="s">
        <v>523</v>
      </c>
      <c r="G17" s="393" t="s">
        <v>536</v>
      </c>
      <c r="H17" s="390"/>
      <c r="I17" s="390"/>
      <c r="J17" s="390"/>
      <c r="K17" s="390"/>
      <c r="L17" s="390"/>
    </row>
    <row r="18" spans="1:12" ht="15.95" customHeight="1">
      <c r="A18" s="393" t="s">
        <v>460</v>
      </c>
      <c r="B18" s="393" t="s">
        <v>473</v>
      </c>
      <c r="C18" s="393" t="s">
        <v>485</v>
      </c>
      <c r="D18" s="393" t="s">
        <v>498</v>
      </c>
      <c r="E18" s="393" t="s">
        <v>511</v>
      </c>
      <c r="F18" s="393" t="s">
        <v>524</v>
      </c>
      <c r="G18" s="393" t="s">
        <v>537</v>
      </c>
      <c r="H18" s="390"/>
      <c r="I18" s="390"/>
      <c r="J18" s="390"/>
      <c r="K18" s="390"/>
      <c r="L18" s="390"/>
    </row>
    <row r="19" spans="1:12" ht="15.95" customHeight="1">
      <c r="A19" s="393" t="s">
        <v>461</v>
      </c>
      <c r="B19" s="393" t="s">
        <v>474</v>
      </c>
      <c r="C19" s="393" t="s">
        <v>486</v>
      </c>
      <c r="D19" s="393" t="s">
        <v>499</v>
      </c>
      <c r="E19" s="393" t="s">
        <v>512</v>
      </c>
      <c r="F19" s="393" t="s">
        <v>525</v>
      </c>
      <c r="G19" s="393" t="s">
        <v>538</v>
      </c>
      <c r="H19" s="390"/>
      <c r="I19" s="390"/>
      <c r="J19" s="390"/>
      <c r="K19" s="390"/>
      <c r="L19" s="390"/>
    </row>
    <row r="20" spans="1:12" ht="15.75">
      <c r="A20" s="390"/>
      <c r="B20" s="390"/>
      <c r="C20" s="390"/>
      <c r="D20" s="390"/>
      <c r="E20" s="390"/>
      <c r="F20" s="390"/>
      <c r="G20" s="390"/>
      <c r="H20" s="390"/>
      <c r="I20" s="390"/>
      <c r="J20" s="390"/>
      <c r="K20" s="390"/>
      <c r="L20" s="390"/>
    </row>
    <row r="21" spans="1:12" ht="15.75">
      <c r="A21" s="390"/>
      <c r="B21" s="390"/>
      <c r="C21" s="390"/>
      <c r="D21" s="685" t="s">
        <v>548</v>
      </c>
      <c r="E21" s="681"/>
      <c r="F21" s="681"/>
      <c r="G21" s="682"/>
      <c r="H21" s="390"/>
      <c r="I21" s="390"/>
      <c r="J21" s="390"/>
      <c r="K21" s="390"/>
      <c r="L21" s="390"/>
    </row>
    <row r="22" spans="1:12" ht="17.25" customHeight="1">
      <c r="A22" s="390"/>
      <c r="B22" s="683" t="s">
        <v>420</v>
      </c>
      <c r="C22" s="683"/>
      <c r="D22" s="683" t="s">
        <v>421</v>
      </c>
      <c r="E22" s="683"/>
      <c r="F22" s="683" t="s">
        <v>422</v>
      </c>
      <c r="G22" s="683"/>
      <c r="H22" s="390"/>
      <c r="I22" s="390"/>
      <c r="J22" s="390"/>
      <c r="K22" s="390"/>
      <c r="L22" s="390"/>
    </row>
    <row r="23" spans="1:12" ht="15.75">
      <c r="A23" s="394" t="s">
        <v>423</v>
      </c>
      <c r="B23" s="679" t="s">
        <v>539</v>
      </c>
      <c r="C23" s="679"/>
      <c r="D23" s="679" t="s">
        <v>542</v>
      </c>
      <c r="E23" s="679"/>
      <c r="F23" s="679" t="s">
        <v>545</v>
      </c>
      <c r="G23" s="679"/>
      <c r="H23" s="390"/>
      <c r="I23" s="390"/>
      <c r="J23" s="390"/>
      <c r="K23" s="390"/>
      <c r="L23" s="390"/>
    </row>
    <row r="24" spans="1:12" ht="18" customHeight="1">
      <c r="A24" s="394" t="s">
        <v>424</v>
      </c>
      <c r="B24" s="679" t="s">
        <v>540</v>
      </c>
      <c r="C24" s="679"/>
      <c r="D24" s="679" t="s">
        <v>543</v>
      </c>
      <c r="E24" s="679"/>
      <c r="F24" s="679" t="s">
        <v>546</v>
      </c>
      <c r="G24" s="679"/>
      <c r="H24" s="390"/>
      <c r="I24" s="390"/>
      <c r="J24" s="390"/>
      <c r="K24" s="390"/>
      <c r="L24" s="390"/>
    </row>
    <row r="25" spans="1:12" ht="15.75">
      <c r="A25" s="394" t="s">
        <v>425</v>
      </c>
      <c r="B25" s="679" t="s">
        <v>541</v>
      </c>
      <c r="C25" s="679"/>
      <c r="D25" s="679" t="s">
        <v>544</v>
      </c>
      <c r="E25" s="679"/>
      <c r="F25" s="679" t="s">
        <v>547</v>
      </c>
      <c r="G25" s="679"/>
      <c r="H25" s="390"/>
      <c r="I25" s="390"/>
      <c r="J25" s="390"/>
      <c r="K25" s="390"/>
      <c r="L25" s="390"/>
    </row>
    <row r="26" spans="1:12" ht="15.75">
      <c r="A26" s="390"/>
      <c r="B26" s="390"/>
      <c r="C26" s="390"/>
      <c r="D26" s="390"/>
      <c r="E26" s="390"/>
      <c r="F26" s="390"/>
      <c r="G26" s="390"/>
      <c r="H26" s="390"/>
      <c r="I26" s="390"/>
      <c r="J26" s="390"/>
      <c r="K26" s="390"/>
      <c r="L26" s="390"/>
    </row>
    <row r="27" spans="1:12" ht="20.25">
      <c r="A27" s="389" t="s">
        <v>426</v>
      </c>
      <c r="B27" s="390"/>
      <c r="C27" s="390"/>
      <c r="D27" s="390"/>
      <c r="E27" s="390"/>
      <c r="F27" s="390"/>
      <c r="G27" s="390"/>
      <c r="H27" s="390"/>
      <c r="I27" s="390"/>
      <c r="J27" s="390"/>
      <c r="K27" s="390"/>
      <c r="L27" s="390"/>
    </row>
    <row r="28" spans="1:12" ht="15.75">
      <c r="A28" s="390"/>
      <c r="B28" s="390"/>
      <c r="C28" s="390"/>
      <c r="D28" s="390"/>
      <c r="E28" s="680" t="s">
        <v>427</v>
      </c>
      <c r="F28" s="681"/>
      <c r="G28" s="682"/>
      <c r="H28" s="390"/>
      <c r="I28" s="390"/>
      <c r="J28" s="390"/>
      <c r="K28" s="390"/>
      <c r="L28" s="390"/>
    </row>
    <row r="29" spans="1:12" ht="15.75">
      <c r="A29" s="390"/>
      <c r="B29" s="683" t="s">
        <v>428</v>
      </c>
      <c r="C29" s="683"/>
      <c r="D29" s="395" t="s">
        <v>429</v>
      </c>
      <c r="E29" s="395" t="s">
        <v>430</v>
      </c>
      <c r="F29" s="683" t="s">
        <v>431</v>
      </c>
      <c r="G29" s="683"/>
      <c r="H29" s="390"/>
      <c r="I29" s="390"/>
      <c r="J29" s="390"/>
      <c r="K29" s="390"/>
      <c r="L29" s="390"/>
    </row>
    <row r="30" spans="1:12" ht="15.75">
      <c r="A30" s="394" t="s">
        <v>432</v>
      </c>
      <c r="B30" s="679" t="s">
        <v>549</v>
      </c>
      <c r="C30" s="679"/>
      <c r="D30" s="393" t="s">
        <v>552</v>
      </c>
      <c r="E30" s="393" t="s">
        <v>433</v>
      </c>
      <c r="F30" s="679" t="s">
        <v>555</v>
      </c>
      <c r="G30" s="679"/>
      <c r="H30" s="390"/>
      <c r="I30" s="390"/>
      <c r="J30" s="390"/>
      <c r="K30" s="390"/>
      <c r="L30" s="390"/>
    </row>
    <row r="31" spans="1:12" ht="15.75">
      <c r="A31" s="394" t="s">
        <v>434</v>
      </c>
      <c r="B31" s="679" t="s">
        <v>550</v>
      </c>
      <c r="C31" s="679"/>
      <c r="D31" s="393" t="s">
        <v>553</v>
      </c>
      <c r="E31" s="393" t="s">
        <v>435</v>
      </c>
      <c r="F31" s="679" t="s">
        <v>556</v>
      </c>
      <c r="G31" s="679"/>
      <c r="H31" s="390"/>
      <c r="I31" s="390"/>
      <c r="J31" s="390"/>
      <c r="K31" s="390"/>
      <c r="L31" s="390"/>
    </row>
    <row r="32" spans="1:12" ht="15.75">
      <c r="A32" s="394" t="s">
        <v>436</v>
      </c>
      <c r="B32" s="679" t="s">
        <v>551</v>
      </c>
      <c r="C32" s="679"/>
      <c r="D32" s="393" t="s">
        <v>554</v>
      </c>
      <c r="E32" s="393" t="s">
        <v>437</v>
      </c>
      <c r="F32" s="679" t="s">
        <v>557</v>
      </c>
      <c r="G32" s="679"/>
      <c r="H32" s="390"/>
      <c r="I32" s="390"/>
      <c r="J32" s="390"/>
      <c r="K32" s="390"/>
      <c r="L32" s="390"/>
    </row>
    <row r="33" spans="1:12" ht="15.75">
      <c r="A33" s="390"/>
      <c r="B33" s="390"/>
      <c r="C33" s="390"/>
      <c r="D33" s="390"/>
      <c r="E33" s="390"/>
      <c r="F33" s="390"/>
      <c r="G33" s="390"/>
      <c r="H33" s="390"/>
      <c r="I33" s="390"/>
      <c r="J33" s="390"/>
      <c r="K33" s="390"/>
      <c r="L33" s="390"/>
    </row>
    <row r="34" spans="1:12" ht="15.75">
      <c r="A34" s="390"/>
      <c r="B34" s="390"/>
      <c r="C34" s="390"/>
      <c r="D34" s="390"/>
      <c r="E34" s="680" t="s">
        <v>438</v>
      </c>
      <c r="F34" s="681"/>
      <c r="G34" s="682"/>
      <c r="H34" s="390"/>
      <c r="I34" s="390"/>
      <c r="J34" s="390"/>
      <c r="K34" s="390"/>
      <c r="L34" s="390"/>
    </row>
    <row r="35" spans="1:12" ht="15.75">
      <c r="A35" s="390"/>
      <c r="B35" s="683" t="s">
        <v>439</v>
      </c>
      <c r="C35" s="683"/>
      <c r="D35" s="395" t="s">
        <v>430</v>
      </c>
      <c r="E35" s="395" t="s">
        <v>440</v>
      </c>
      <c r="F35" s="395" t="s">
        <v>100</v>
      </c>
      <c r="G35" s="395" t="s">
        <v>441</v>
      </c>
      <c r="H35" s="390"/>
      <c r="I35" s="390"/>
      <c r="J35" s="390"/>
      <c r="K35" s="390"/>
      <c r="L35" s="390"/>
    </row>
    <row r="36" spans="1:12" ht="15.75">
      <c r="A36" s="394" t="s">
        <v>432</v>
      </c>
      <c r="B36" s="675" t="s">
        <v>558</v>
      </c>
      <c r="C36" s="676"/>
      <c r="D36" s="396" t="s">
        <v>560</v>
      </c>
      <c r="E36" s="396" t="s">
        <v>442</v>
      </c>
      <c r="F36" s="397" t="s">
        <v>443</v>
      </c>
      <c r="G36" s="393" t="s">
        <v>563</v>
      </c>
      <c r="H36" s="390"/>
      <c r="I36" s="390"/>
      <c r="J36" s="390"/>
      <c r="K36" s="390"/>
      <c r="L36" s="390"/>
    </row>
    <row r="37" spans="1:12" ht="15.75">
      <c r="A37" s="394" t="s">
        <v>434</v>
      </c>
      <c r="B37" s="675" t="s">
        <v>559</v>
      </c>
      <c r="C37" s="676"/>
      <c r="D37" s="396" t="s">
        <v>561</v>
      </c>
      <c r="E37" s="396" t="s">
        <v>442</v>
      </c>
      <c r="F37" s="397" t="s">
        <v>444</v>
      </c>
      <c r="G37" s="398" t="s">
        <v>564</v>
      </c>
      <c r="H37" s="390"/>
      <c r="I37" s="390"/>
      <c r="J37" s="390"/>
      <c r="K37" s="390"/>
      <c r="L37" s="390"/>
    </row>
    <row r="38" spans="1:12" ht="15.75">
      <c r="A38" s="394" t="s">
        <v>436</v>
      </c>
      <c r="B38" s="675" t="s">
        <v>559</v>
      </c>
      <c r="C38" s="676"/>
      <c r="D38" s="396" t="s">
        <v>562</v>
      </c>
      <c r="E38" s="396" t="s">
        <v>442</v>
      </c>
      <c r="F38" s="397" t="s">
        <v>445</v>
      </c>
      <c r="G38" s="393" t="s">
        <v>565</v>
      </c>
      <c r="H38" s="390"/>
      <c r="I38" s="390"/>
      <c r="J38" s="390"/>
      <c r="K38" s="390"/>
      <c r="L38" s="390"/>
    </row>
    <row r="39" spans="1:12" ht="15.75">
      <c r="A39" s="390"/>
      <c r="B39" s="390"/>
      <c r="C39" s="390"/>
      <c r="D39" s="390"/>
      <c r="E39" s="390"/>
      <c r="F39" s="390"/>
      <c r="G39" s="390"/>
      <c r="H39" s="390"/>
      <c r="I39" s="390"/>
      <c r="J39" s="390"/>
      <c r="K39" s="390"/>
      <c r="L39" s="390"/>
    </row>
    <row r="40" spans="1:12" ht="15.75">
      <c r="A40" s="399" t="s">
        <v>446</v>
      </c>
      <c r="B40" s="677" t="s">
        <v>566</v>
      </c>
      <c r="C40" s="677"/>
      <c r="D40" s="678" t="s">
        <v>447</v>
      </c>
      <c r="E40" s="678"/>
      <c r="F40" s="677" t="s">
        <v>567</v>
      </c>
      <c r="G40" s="677"/>
      <c r="H40" s="390"/>
      <c r="I40" s="390"/>
      <c r="J40" s="390"/>
      <c r="K40" s="390"/>
      <c r="L40" s="390"/>
    </row>
    <row r="41" spans="1:12" ht="15.75">
      <c r="A41" s="390"/>
      <c r="B41" s="390"/>
      <c r="C41" s="390"/>
      <c r="D41" s="390"/>
      <c r="E41" s="390"/>
      <c r="F41" s="390"/>
      <c r="G41" s="390"/>
      <c r="H41" s="390"/>
      <c r="I41" s="390"/>
      <c r="J41" s="390"/>
      <c r="K41" s="390"/>
      <c r="L41" s="390"/>
    </row>
    <row r="42" spans="1:12" ht="15.75">
      <c r="A42" s="390"/>
      <c r="B42" s="390"/>
      <c r="C42" s="390"/>
      <c r="D42" s="390"/>
      <c r="E42" s="390"/>
      <c r="F42" s="390"/>
      <c r="G42" s="390"/>
      <c r="H42" s="390"/>
      <c r="I42" s="390"/>
      <c r="J42" s="390"/>
      <c r="K42" s="390"/>
      <c r="L42" s="390"/>
    </row>
    <row r="43" spans="1:12" ht="15.75">
      <c r="A43" s="390"/>
      <c r="B43" s="390"/>
      <c r="C43" s="390"/>
      <c r="D43" s="390"/>
      <c r="E43" s="390"/>
      <c r="F43" s="390"/>
      <c r="G43" s="390"/>
      <c r="H43" s="390"/>
      <c r="I43" s="390"/>
      <c r="J43" s="390"/>
      <c r="K43" s="390"/>
      <c r="L43" s="390"/>
    </row>
    <row r="44" spans="1:12" ht="15.75">
      <c r="A44" s="390"/>
      <c r="B44" s="390"/>
      <c r="C44" s="390"/>
      <c r="D44" s="390"/>
      <c r="E44" s="390"/>
      <c r="F44" s="390"/>
      <c r="G44" s="390"/>
      <c r="H44" s="390"/>
      <c r="I44" s="390"/>
      <c r="J44" s="390"/>
      <c r="K44" s="390"/>
      <c r="L44" s="390"/>
    </row>
    <row r="45" spans="1:12" ht="15.75">
      <c r="A45" s="390"/>
      <c r="B45" s="390"/>
      <c r="C45" s="390"/>
      <c r="D45" s="390"/>
      <c r="E45" s="390"/>
      <c r="F45" s="390"/>
      <c r="G45" s="390"/>
      <c r="H45" s="390"/>
      <c r="I45" s="390"/>
      <c r="J45" s="390"/>
      <c r="K45" s="390"/>
      <c r="L45" s="390"/>
    </row>
    <row r="46" spans="1:12" ht="15.75">
      <c r="A46" s="390"/>
      <c r="B46" s="390"/>
      <c r="C46" s="390"/>
      <c r="D46" s="390"/>
      <c r="E46" s="390"/>
      <c r="F46" s="390"/>
      <c r="G46" s="390"/>
      <c r="H46" s="390"/>
      <c r="I46" s="390"/>
      <c r="J46" s="390"/>
      <c r="K46" s="390"/>
      <c r="L46" s="390"/>
    </row>
    <row r="47" spans="1:12" ht="15.75">
      <c r="A47" s="390"/>
      <c r="B47" s="390"/>
      <c r="C47" s="390"/>
      <c r="D47" s="390"/>
      <c r="E47" s="390"/>
      <c r="F47" s="390"/>
      <c r="G47" s="390"/>
      <c r="H47" s="390"/>
      <c r="I47" s="390"/>
      <c r="J47" s="390"/>
      <c r="K47" s="390"/>
      <c r="L47" s="390"/>
    </row>
    <row r="48" spans="1:12" ht="15.75">
      <c r="A48" s="390"/>
      <c r="B48" s="390"/>
      <c r="C48" s="390"/>
      <c r="D48" s="390"/>
      <c r="E48" s="390"/>
      <c r="F48" s="390"/>
      <c r="G48" s="390"/>
      <c r="H48" s="390"/>
      <c r="I48" s="390"/>
      <c r="J48" s="390"/>
      <c r="K48" s="390"/>
      <c r="L48" s="390"/>
    </row>
    <row r="49" spans="1:12" ht="15.75">
      <c r="A49" s="390"/>
      <c r="B49" s="390"/>
      <c r="C49" s="390"/>
      <c r="D49" s="390"/>
      <c r="E49" s="390"/>
      <c r="F49" s="390"/>
      <c r="G49" s="390"/>
      <c r="H49" s="390"/>
      <c r="I49" s="390"/>
      <c r="J49" s="390"/>
      <c r="K49" s="390"/>
      <c r="L49" s="390"/>
    </row>
    <row r="50" spans="1:12" ht="15.75">
      <c r="A50" s="390"/>
      <c r="B50" s="390"/>
      <c r="C50" s="390"/>
      <c r="D50" s="390"/>
      <c r="E50" s="390"/>
      <c r="F50" s="390"/>
      <c r="G50" s="390"/>
      <c r="H50" s="390"/>
      <c r="I50" s="390"/>
      <c r="J50" s="390"/>
      <c r="K50" s="390"/>
      <c r="L50" s="390"/>
    </row>
    <row r="51" spans="1:12" ht="15.75">
      <c r="A51" s="390"/>
      <c r="B51" s="390"/>
      <c r="C51" s="390"/>
      <c r="D51" s="390"/>
      <c r="E51" s="390"/>
      <c r="F51" s="390"/>
      <c r="G51" s="390"/>
      <c r="H51" s="390"/>
      <c r="I51" s="390"/>
      <c r="J51" s="390"/>
      <c r="K51" s="390"/>
      <c r="L51" s="390"/>
    </row>
    <row r="52" spans="1:12" ht="15.75">
      <c r="A52" s="390"/>
      <c r="B52" s="390"/>
      <c r="C52" s="390"/>
      <c r="D52" s="390"/>
      <c r="E52" s="390"/>
      <c r="F52" s="390"/>
      <c r="G52" s="390"/>
      <c r="H52" s="390"/>
      <c r="I52" s="390"/>
      <c r="J52" s="390"/>
      <c r="K52" s="390"/>
      <c r="L52" s="390"/>
    </row>
    <row r="53" spans="1:12" ht="15.75">
      <c r="A53" s="390"/>
      <c r="B53" s="390"/>
      <c r="C53" s="390"/>
      <c r="D53" s="390"/>
      <c r="E53" s="390"/>
      <c r="F53" s="390"/>
      <c r="G53" s="390"/>
      <c r="H53" s="390"/>
      <c r="I53" s="390"/>
      <c r="J53" s="390"/>
      <c r="K53" s="390"/>
      <c r="L53" s="390"/>
    </row>
    <row r="54" spans="1:12" ht="15.75">
      <c r="A54" s="390"/>
      <c r="B54" s="390"/>
      <c r="C54" s="390"/>
      <c r="D54" s="390"/>
      <c r="E54" s="390"/>
      <c r="F54" s="390"/>
      <c r="G54" s="390"/>
      <c r="H54" s="390"/>
      <c r="I54" s="390"/>
      <c r="J54" s="390"/>
      <c r="K54" s="390"/>
      <c r="L54" s="390"/>
    </row>
    <row r="55" spans="1:12" ht="15.75">
      <c r="A55" s="390"/>
      <c r="B55" s="390"/>
      <c r="C55" s="390"/>
      <c r="D55" s="390"/>
      <c r="E55" s="390"/>
      <c r="F55" s="390"/>
      <c r="G55" s="390"/>
      <c r="H55" s="390"/>
      <c r="I55" s="390"/>
      <c r="J55" s="390"/>
      <c r="K55" s="390"/>
      <c r="L55" s="390"/>
    </row>
    <row r="56" spans="1:12" ht="15.75">
      <c r="A56" s="390"/>
      <c r="B56" s="390"/>
      <c r="C56" s="390"/>
      <c r="D56" s="390"/>
      <c r="E56" s="390"/>
      <c r="F56" s="390"/>
      <c r="G56" s="390"/>
      <c r="H56" s="390"/>
      <c r="I56" s="390"/>
      <c r="J56" s="390"/>
      <c r="K56" s="390"/>
      <c r="L56" s="390"/>
    </row>
    <row r="57" spans="1:12" ht="15.75">
      <c r="A57" s="390"/>
      <c r="B57" s="390"/>
      <c r="C57" s="390"/>
      <c r="D57" s="390"/>
      <c r="E57" s="390"/>
      <c r="F57" s="390"/>
      <c r="G57" s="390"/>
      <c r="H57" s="390"/>
      <c r="I57" s="390"/>
      <c r="J57" s="390"/>
      <c r="K57" s="390"/>
      <c r="L57" s="390"/>
    </row>
    <row r="58" spans="1:12" ht="15.75">
      <c r="A58" s="390"/>
      <c r="B58" s="390"/>
      <c r="C58" s="390"/>
      <c r="D58" s="390"/>
      <c r="E58" s="390"/>
      <c r="F58" s="390"/>
      <c r="G58" s="390"/>
      <c r="H58" s="390"/>
      <c r="I58" s="390"/>
      <c r="J58" s="390"/>
      <c r="K58" s="390"/>
      <c r="L58" s="390"/>
    </row>
    <row r="59" spans="1:12" ht="15.75">
      <c r="A59" s="390"/>
      <c r="B59" s="390"/>
      <c r="C59" s="390"/>
      <c r="D59" s="390"/>
      <c r="E59" s="390"/>
      <c r="F59" s="390"/>
      <c r="G59" s="390"/>
      <c r="H59" s="390"/>
      <c r="I59" s="390"/>
      <c r="J59" s="390"/>
      <c r="K59" s="390"/>
      <c r="L59" s="390"/>
    </row>
    <row r="60" spans="1:12" ht="15.75">
      <c r="A60" s="390"/>
      <c r="B60" s="390"/>
      <c r="C60" s="390"/>
      <c r="D60" s="390"/>
      <c r="E60" s="390"/>
      <c r="F60" s="390"/>
      <c r="G60" s="390"/>
      <c r="H60" s="390"/>
      <c r="I60" s="390"/>
      <c r="J60" s="390"/>
      <c r="K60" s="390"/>
      <c r="L60" s="390"/>
    </row>
    <row r="61" spans="1:12" ht="15.75">
      <c r="A61" s="390"/>
      <c r="B61" s="390"/>
      <c r="C61" s="390"/>
      <c r="D61" s="390"/>
      <c r="E61" s="390"/>
      <c r="F61" s="390"/>
      <c r="G61" s="390"/>
      <c r="H61" s="390"/>
      <c r="I61" s="390"/>
      <c r="J61" s="390"/>
      <c r="K61" s="390"/>
      <c r="L61" s="390"/>
    </row>
  </sheetData>
  <mergeCells count="31">
    <mergeCell ref="B23:C23"/>
    <mergeCell ref="D23:E23"/>
    <mergeCell ref="F23:G23"/>
    <mergeCell ref="B1:G1"/>
    <mergeCell ref="D21:G21"/>
    <mergeCell ref="B22:C22"/>
    <mergeCell ref="D22:E22"/>
    <mergeCell ref="F22:G22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DesignSheet</vt:lpstr>
      <vt:lpstr>Data Sheet</vt:lpstr>
      <vt:lpstr>LoginSheet</vt:lpstr>
      <vt:lpstr>Performance Data Sheet</vt:lpstr>
      <vt:lpstr>STCurve</vt:lpstr>
      <vt:lpstr>Thermdam</vt:lpstr>
      <vt:lpstr>Performance 4000V</vt:lpstr>
      <vt:lpstr> Performance 2300V</vt:lpstr>
      <vt:lpstr>StallTime</vt:lpstr>
      <vt:lpstr>' Performance 2300V'!Print_Area</vt:lpstr>
      <vt:lpstr>'Data Sheet'!Print_Area</vt:lpstr>
      <vt:lpstr>DesignSheet!Print_Area</vt:lpstr>
      <vt:lpstr>LoginSheet!Print_Area</vt:lpstr>
      <vt:lpstr>'Performance 4000V'!Print_Area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Xie, Zichao</dc:creator>
  <cp:lastModifiedBy>Rodriguez, Jerry</cp:lastModifiedBy>
  <cp:lastPrinted>2017-05-22T14:20:14Z</cp:lastPrinted>
  <dcterms:created xsi:type="dcterms:W3CDTF">1997-10-03T20:37:30Z</dcterms:created>
  <dcterms:modified xsi:type="dcterms:W3CDTF">2020-10-27T16:03:18Z</dcterms:modified>
</cp:coreProperties>
</file>