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6800 Frame TEFC\8P\SERIES\"/>
    </mc:Choice>
  </mc:AlternateContent>
  <xr:revisionPtr revIDLastSave="0" documentId="13_ncr:1_{9E777734-F977-4EE8-B320-5461D4B0825F}" xr6:coauthVersionLast="47" xr6:coauthVersionMax="47" xr10:uidLastSave="{00000000-0000-0000-0000-000000000000}"/>
  <bookViews>
    <workbookView xWindow="-24120" yWindow="4380" windowWidth="24240" windowHeight="13140" tabRatio="809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</sheets>
  <definedNames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" l="1"/>
  <c r="M9" i="3"/>
  <c r="M10" i="3"/>
  <c r="M11" i="3"/>
  <c r="M7" i="3"/>
  <c r="C76" i="8" l="1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<sst xmlns="http://schemas.openxmlformats.org/spreadsheetml/2006/main" count="831" uniqueCount="651">
  <si>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</si>
  <si>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</si>
  <si>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</si>
  <si>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</si>
  <si>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</si>
  <si>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</si>
  <si>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</si>
  <si>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</si>
  <si>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</si>
  <si>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</si>
  <si>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</si>
  <si>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</si>
  <si>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</si>
  <si>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</si>
  <si>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</si>
  <si>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</si>
  <si>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</si>
  <si>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</si>
  <si>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</si>
  <si>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</si>
  <si>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</si>
  <si>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</si>
  <si>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</si>
  <si>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</si>
  <si>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</si>
  <si>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</si>
  <si>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</si>
  <si>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</si>
  <si>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</si>
  <si>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</si>
  <si>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</si>
  <si>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</si>
  <si>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</si>
  <si>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</si>
  <si>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</si>
  <si>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</si>
  <si>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</si>
  <si>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</si>
  <si>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</si>
  <si>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</si>
  <si>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</si>
  <si>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</si>
  <si>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</si>
  <si>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</si>
  <si>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</si>
  <si>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</si>
  <si>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</si>
  <si>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</si>
  <si>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</si>
  <si>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</si>
  <si>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</si>
  <si>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</si>
  <si>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</si>
  <si>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</si>
  <si>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</si>
  <si>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</si>
  <si>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</si>
  <si>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</si>
  <si>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</si>
  <si>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</si>
  <si>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</si>
  <si>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</si>
  <si>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</si>
  <si>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</si>
  <si>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</si>
  <si>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</si>
  <si>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</si>
  <si>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</si>
  <si>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</si>
  <si>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</si>
  <si>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</si>
  <si>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</si>
  <si>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</si>
  <si>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</si>
  <si>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</si>
  <si>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</si>
  <si>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</si>
  <si>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</si>
  <si>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</si>
  <si>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</si>
  <si>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</si>
  <si>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</si>
  <si>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</si>
  <si>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</si>
  <si>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</si>
  <si>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</si>
  <si>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</si>
  <si>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</si>
  <si>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</si>
  <si>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</si>
  <si>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</si>
  <si>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</si>
  <si>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</si>
  <si>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</si>
  <si>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</si>
  <si>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</si>
  <si>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</si>
  <si>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</si>
  <si>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</si>
  <si>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</si>
  <si>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</si>
  <si>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</si>
  <si>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</si>
  <si>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</si>
  <si>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</si>
  <si>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</si>
  <si>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</si>
  <si>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</si>
  <si>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</si>
  <si>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</si>
  <si>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</si>
  <si>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</si>
  <si>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</si>
  <si>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</si>
  <si>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</si>
  <si>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</si>
  <si>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</si>
  <si>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</si>
  <si>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</si>
  <si>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</si>
  <si>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</si>
  <si>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</si>
  <si>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</si>
  <si>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</si>
  <si>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</si>
  <si>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</si>
  <si>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</si>
  <si>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</si>
  <si>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</si>
  <si>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</si>
  <si>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</si>
  <si>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</si>
  <si>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</si>
  <si>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</si>
  <si>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</si>
  <si>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</si>
  <si>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</si>
  <si>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</si>
  <si>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</si>
  <si>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</si>
  <si>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</si>
  <si>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</si>
  <si>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</si>
  <si>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</si>
  <si>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</si>
  <si>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</si>
  <si>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</si>
  <si>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</si>
  <si>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</si>
  <si>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</si>
  <si>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</si>
  <si>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</si>
  <si>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</si>
  <si>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</si>
  <si>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</si>
  <si>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</si>
  <si>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</si>
  <si>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</si>
  <si>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</si>
  <si>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</si>
  <si>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</si>
  <si>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</si>
  <si>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</si>
  <si>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</si>
  <si>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</si>
  <si>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</si>
  <si>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</si>
  <si>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</si>
  <si>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</si>
  <si>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</si>
  <si>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</si>
  <si>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</si>
  <si>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</si>
  <si>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</si>
  <si>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</si>
  <si>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</si>
  <si>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6811US</t>
  </si>
  <si>
    <t>Open</t>
  </si>
  <si>
    <t>Rectang</t>
  </si>
  <si>
    <t>9.67 - 9.67</t>
  </si>
  <si>
    <t>0.80 - 3.20</t>
  </si>
  <si>
    <t>Magnetic</t>
  </si>
  <si>
    <t>1 ~ 9</t>
  </si>
  <si>
    <t>(.072"x.204")x2</t>
  </si>
  <si>
    <t>Wye</t>
  </si>
  <si>
    <t>(105°C)</t>
  </si>
  <si>
    <t>CU</t>
  </si>
  <si>
    <t>Special</t>
  </si>
  <si>
    <t>ERD1: 426.8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</si>
  <si>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</si>
  <si>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</si>
  <si>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</si>
  <si>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</si>
  <si>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</si>
  <si>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</si>
  <si>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</si>
  <si>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</si>
  <si>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</si>
  <si>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0.1310)</t>
  </si>
  <si>
    <t>Skew R.: 0.00</t>
  </si>
  <si>
    <t>M:\Active Projects\6800 Frame TEFC\Electrical Design\8P\SERIES\CF8600U.rat</t>
  </si>
  <si>
    <t>2-2-2-0-1-2</t>
  </si>
  <si>
    <t>B.L.-1  P.F.-1</t>
  </si>
  <si>
    <t>4128.3 / 4715.4</t>
  </si>
  <si>
    <t>2519.9 / 2637.4</t>
  </si>
  <si>
    <t>11862.2 / 7142.2</t>
  </si>
  <si>
    <t>4030.0 / 2184.1</t>
  </si>
  <si>
    <t>7421.0 / 4182.9</t>
  </si>
  <si>
    <t>933.3 / 526.1</t>
  </si>
  <si>
    <t>6487.7 / 3656.8</t>
  </si>
  <si>
    <t>1.75 / 0.99</t>
  </si>
  <si>
    <t>60 / 58</t>
  </si>
  <si>
    <t>Temp. Rise @ 100%:</t>
  </si>
  <si>
    <t>Stray Loss</t>
  </si>
  <si>
    <t>0.902 / 0.896</t>
  </si>
  <si>
    <t>0.943 / 0.937</t>
  </si>
  <si>
    <t>0.957 / 0.951</t>
  </si>
  <si>
    <t>0.962 / 0.956</t>
  </si>
  <si>
    <t>0.964 / 0.958</t>
  </si>
  <si>
    <t>0.570 / 0.538</t>
  </si>
  <si>
    <t>0.720 / 0.679</t>
  </si>
  <si>
    <t>0.810 / 0.764</t>
  </si>
  <si>
    <t>0.846 / 0.798</t>
  </si>
  <si>
    <t>0.859 / 0.811</t>
  </si>
  <si>
    <t>31.44 / 33.53</t>
  </si>
  <si>
    <t>47.56 / 50.72</t>
  </si>
  <si>
    <t>62.55 / 66.71</t>
  </si>
  <si>
    <t>79.39 / 84.66</t>
  </si>
  <si>
    <t>97.54 / 104.01</t>
  </si>
  <si>
    <t>2.17 / 2.31</t>
  </si>
  <si>
    <t>UB: 2.06 / 2.20</t>
  </si>
  <si>
    <t>UER: 1.34 / 1.43</t>
  </si>
  <si>
    <t>898.5 / 898.1</t>
  </si>
  <si>
    <t>897.6 / 897.2</t>
  </si>
  <si>
    <t>896.4 / 896.0</t>
  </si>
  <si>
    <t>895.1 / 894.8</t>
  </si>
  <si>
    <t>893.8 / 893.5</t>
  </si>
  <si>
    <t>0.0017 / 0.0021</t>
  </si>
  <si>
    <t>0.0027 / 0.0031</t>
  </si>
  <si>
    <t>0.0040 / 0.0045</t>
  </si>
  <si>
    <t>0.0054 / 0.0058</t>
  </si>
  <si>
    <t>0.0068 / 0.0072</t>
  </si>
  <si>
    <t>28.941 / 36.258</t>
  </si>
  <si>
    <t>1.070 / 1.341</t>
  </si>
  <si>
    <t>28.96 / 36.28</t>
  </si>
  <si>
    <t>402.7 / 532.0</t>
  </si>
  <si>
    <t>507.3 / 670.1</t>
  </si>
  <si>
    <t>327.0 / 470.6</t>
  </si>
  <si>
    <t>67.1 / 96.6</t>
  </si>
  <si>
    <t>244.9 / 205.8</t>
  </si>
  <si>
    <t>Correlated to: H402132_TestData_Lab1759.dat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</si>
  <si>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</si>
  <si>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</si>
  <si>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</si>
  <si>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</si>
  <si>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</si>
  <si>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</si>
  <si>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</si>
  <si>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</si>
  <si>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</si>
  <si>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2064.9 kg.m²</t>
  </si>
  <si>
    <t>Acceleration Data (FV V)</t>
  </si>
  <si>
    <t>16.3 (s)</t>
  </si>
  <si>
    <t>487.0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</si>
  <si>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</si>
  <si>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</si>
  <si>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</si>
  <si>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</si>
  <si>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</si>
  <si>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</si>
  <si>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</si>
  <si>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</si>
  <si>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</si>
  <si>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</si>
  <si>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</si>
  <si>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</si>
  <si>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</si>
  <si>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</si>
  <si>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</si>
  <si>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</si>
  <si>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</si>
  <si>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</si>
  <si>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</si>
  <si>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</si>
  <si>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</si>
  <si>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</si>
  <si>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</si>
  <si>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</si>
  <si>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</si>
  <si>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</si>
  <si>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</si>
  <si>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</si>
  <si>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</si>
  <si>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</si>
  <si>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</si>
  <si>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</si>
  <si>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</si>
  <si>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</si>
  <si>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</si>
  <si>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</si>
  <si>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</si>
  <si>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</si>
  <si>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</si>
  <si>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</si>
  <si>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</si>
  <si>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</si>
  <si>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</si>
  <si>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</si>
  <si>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</si>
  <si>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</si>
  <si>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</si>
  <si>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</si>
  <si>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</si>
  <si>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</si>
  <si>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</si>
  <si>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</si>
  <si>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</si>
  <si>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</si>
  <si>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</si>
  <si>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</si>
  <si>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</si>
  <si>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</si>
  <si>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</si>
  <si>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</si>
  <si>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</si>
  <si>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</si>
  <si>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</si>
  <si>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</si>
  <si>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</si>
  <si>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</si>
  <si>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</si>
  <si>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</si>
  <si>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</si>
  <si>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</si>
  <si>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</si>
  <si>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</si>
  <si>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</si>
  <si>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</si>
  <si>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</si>
  <si>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</si>
  <si>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</si>
  <si>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</si>
  <si>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</si>
  <si>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</si>
  <si>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</si>
  <si>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</si>
  <si>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</si>
  <si>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</si>
  <si>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</si>
  <si>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</si>
  <si>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</si>
  <si>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</si>
  <si>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</si>
  <si>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</si>
  <si>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</si>
  <si>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</si>
  <si>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</si>
  <si>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</si>
  <si>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</si>
  <si>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</si>
  <si>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</si>
  <si>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</si>
  <si>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</si>
  <si>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</si>
  <si>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</si>
  <si>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</si>
  <si>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</si>
  <si>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</si>
  <si>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</si>
  <si>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</si>
  <si>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</si>
  <si>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</si>
  <si>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</si>
  <si>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22 x 2</t>
  </si>
  <si>
    <t>2 x Wye</t>
  </si>
  <si>
    <t xml:space="preserve"> - </t>
  </si>
  <si>
    <t>60 / 79</t>
  </si>
  <si>
    <t>231 / 1446</t>
  </si>
  <si>
    <t>G</t>
  </si>
  <si>
    <t>220 / 143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</si>
  <si>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</si>
  <si>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</si>
  <si>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</si>
  <si>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</si>
  <si>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</si>
  <si>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</si>
  <si>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</si>
  <si>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</si>
  <si>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</si>
  <si>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</si>
  <si>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</si>
  <si>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</si>
  <si>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1305.0</t>
  </si>
  <si>
    <t xml:space="preserve">11T: </t>
  </si>
  <si>
    <t/>
  </si>
  <si>
    <t>0.0283 ~ 0.0272</t>
  </si>
  <si>
    <t>AWG. 02 x 3</t>
  </si>
  <si>
    <t>0.00157</t>
  </si>
  <si>
    <t>11T: 22.32</t>
  </si>
  <si>
    <t>11T: 10.76</t>
  </si>
  <si>
    <t>14.30 ~ 13.90</t>
  </si>
  <si>
    <t>14.54</t>
  </si>
  <si>
    <t>3.44</t>
  </si>
  <si>
    <t xml:space="preserve"> (.072"x.204")x 2: </t>
  </si>
  <si>
    <t>768 lbs.</t>
  </si>
  <si>
    <t xml:space="preserve">1-2, 2-3, 3-1: </t>
  </si>
  <si>
    <t>0.346 ~ 0.326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</si>
  <si>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</si>
  <si>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</si>
  <si>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</si>
  <si>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</si>
  <si>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</si>
  <si>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</si>
  <si>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</si>
  <si>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</si>
  <si>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</si>
  <si>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</si>
  <si>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</si>
  <si>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</si>
  <si>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</si>
  <si>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</si>
  <si>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</si>
  <si>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</si>
  <si>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</si>
  <si>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</si>
  <si>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</si>
  <si>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</si>
  <si>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</si>
  <si>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</si>
  <si>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</si>
  <si>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1311.3 lb-ft²</t>
  </si>
  <si>
    <t>12250.0 lb-ft²</t>
  </si>
  <si>
    <t>3541 lb-ft</t>
  </si>
  <si>
    <t>532 A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</si>
  <si>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</si>
  <si>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</si>
  <si>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</si>
  <si>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</si>
  <si>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</si>
  <si>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</si>
  <si>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</si>
  <si>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</si>
  <si>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</si>
  <si>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</si>
  <si>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</si>
  <si>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</si>
  <si>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</si>
  <si>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</si>
  <si>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</si>
  <si>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</si>
  <si>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</si>
  <si>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</si>
  <si>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</si>
  <si>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</si>
  <si>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</si>
  <si>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</si>
  <si>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</si>
  <si>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</si>
  <si>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</si>
  <si>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</si>
  <si>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</si>
  <si>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</si>
  <si>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</si>
  <si>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</si>
  <si>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</si>
  <si>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</si>
  <si>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</si>
  <si>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</si>
  <si>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</si>
  <si>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</si>
  <si>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</si>
  <si>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</si>
  <si>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</si>
  <si>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8 Pole - 600.0 HP - 900 RPM - 4000 V - 60 Hz</t>
  </si>
  <si>
    <t>0~94</t>
  </si>
  <si>
    <t>94~188</t>
  </si>
  <si>
    <t>188~281</t>
  </si>
  <si>
    <t>281~375</t>
  </si>
  <si>
    <t>375~469</t>
  </si>
  <si>
    <t>469~563</t>
  </si>
  <si>
    <t>563~657</t>
  </si>
  <si>
    <t>657~750</t>
  </si>
  <si>
    <t>750~797</t>
  </si>
  <si>
    <t>797~844</t>
  </si>
  <si>
    <t>844~891</t>
  </si>
  <si>
    <t>891~898</t>
  </si>
  <si>
    <t>898~900</t>
  </si>
  <si>
    <t>Load Type: Fan / Pump - 12250.0 lb-ft²</t>
  </si>
  <si>
    <t>97.0</t>
  </si>
  <si>
    <t>97.1</t>
  </si>
  <si>
    <t>97.2</t>
  </si>
  <si>
    <t>97.4</t>
  </si>
  <si>
    <t>97.7</t>
  </si>
  <si>
    <t>98.4</t>
  </si>
  <si>
    <t>100.4</t>
  </si>
  <si>
    <t>105.4</t>
  </si>
  <si>
    <t>118.2</t>
  </si>
  <si>
    <t>166.3</t>
  </si>
  <si>
    <t>168.8</t>
  </si>
  <si>
    <t>116.3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</si>
  <si>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</si>
  <si>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</si>
  <si>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</si>
  <si>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</si>
  <si>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</si>
  <si>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</si>
  <si>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</si>
  <si>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</si>
  <si>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</si>
  <si>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</si>
  <si>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</si>
  <si>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</si>
  <si>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</si>
  <si>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1.571</t>
  </si>
  <si>
    <t>1.368</t>
  </si>
  <si>
    <t>1.303</t>
  </si>
  <si>
    <t>1.310</t>
  </si>
  <si>
    <t>1.379</t>
  </si>
  <si>
    <t>1.515</t>
  </si>
  <si>
    <t>1.752</t>
  </si>
  <si>
    <t>2.227</t>
  </si>
  <si>
    <t>1.414</t>
  </si>
  <si>
    <t>1.428</t>
  </si>
  <si>
    <t>0.778</t>
  </si>
  <si>
    <t>0.129</t>
  </si>
  <si>
    <t>0.137</t>
  </si>
  <si>
    <t>530.4</t>
  </si>
  <si>
    <t>526.9</t>
  </si>
  <si>
    <t>522.7</t>
  </si>
  <si>
    <t>517.5</t>
  </si>
  <si>
    <t>511.0</t>
  </si>
  <si>
    <t>502.9</t>
  </si>
  <si>
    <t>492.8</t>
  </si>
  <si>
    <t>480.4</t>
  </si>
  <si>
    <t>469.0</t>
  </si>
  <si>
    <t>456.6</t>
  </si>
  <si>
    <t>422.7</t>
  </si>
  <si>
    <t>273.2</t>
  </si>
  <si>
    <t>87.1</t>
  </si>
  <si>
    <t>291.3</t>
  </si>
  <si>
    <t>250.6</t>
  </si>
  <si>
    <t>235.2</t>
  </si>
  <si>
    <t>232.4</t>
  </si>
  <si>
    <t>239.3</t>
  </si>
  <si>
    <t>255.5</t>
  </si>
  <si>
    <t>285.0</t>
  </si>
  <si>
    <t>346.5</t>
  </si>
  <si>
    <t>207.8</t>
  </si>
  <si>
    <t>201.7</t>
  </si>
  <si>
    <t>102.7</t>
  </si>
  <si>
    <t>13.3</t>
  </si>
  <si>
    <t>0.6</t>
  </si>
  <si>
    <t>611.8</t>
  </si>
  <si>
    <t>477.2</t>
  </si>
  <si>
    <t>401.7</t>
  </si>
  <si>
    <t>351.1</t>
  </si>
  <si>
    <t>314.1</t>
  </si>
  <si>
    <t>284.0</t>
  </si>
  <si>
    <t>258.1</t>
  </si>
  <si>
    <t>239.0</t>
  </si>
  <si>
    <t>192.6</t>
  </si>
  <si>
    <t>142.3</t>
  </si>
  <si>
    <t>49.5</t>
  </si>
  <si>
    <t>13.8</t>
  </si>
  <si>
    <t>20.5</t>
  </si>
  <si>
    <t>2662 kW / s</t>
  </si>
  <si>
    <t>3076 kW / s</t>
  </si>
  <si>
    <t>280 kW / s</t>
  </si>
  <si>
    <t>21°C</t>
  </si>
  <si>
    <t>38°C</t>
  </si>
  <si>
    <t>18°C</t>
  </si>
  <si>
    <t>41°C</t>
  </si>
  <si>
    <t>75°C</t>
  </si>
  <si>
    <t>36°C</t>
  </si>
  <si>
    <t>Acceleration Time:  16.3 s</t>
  </si>
  <si>
    <t>1.6°C / s</t>
  </si>
  <si>
    <t>4.9°C / s</t>
  </si>
  <si>
    <t>2.3°C / s</t>
  </si>
  <si>
    <t>209.0 kW</t>
  </si>
  <si>
    <t>398.0 kW</t>
  </si>
  <si>
    <t>36.2 kW</t>
  </si>
  <si>
    <t>99.3 s</t>
  </si>
  <si>
    <t>53.4 s</t>
  </si>
  <si>
    <t>77.7 s</t>
  </si>
  <si>
    <t>58°C    +</t>
  </si>
  <si>
    <t>75°C    +</t>
  </si>
  <si>
    <t>102°C    +</t>
  </si>
  <si>
    <t>185°C   +</t>
  </si>
  <si>
    <t>105°C   +</t>
  </si>
  <si>
    <t>63.3 s</t>
  </si>
  <si>
    <t>37.9 s</t>
  </si>
  <si>
    <t>45.1 s</t>
  </si>
  <si>
    <t>88.6 s</t>
  </si>
  <si>
    <t>51.5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</si>
  <si>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</si>
  <si>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</si>
  <si>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</si>
  <si>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</si>
  <si>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</si>
  <si>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</si>
  <si>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</si>
  <si>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</si>
  <si>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</si>
  <si>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</si>
  <si>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</si>
  <si>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</si>
  <si>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</si>
  <si>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</si>
  <si>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</si>
  <si>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</si>
  <si>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</si>
  <si>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</si>
  <si>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</si>
  <si>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</si>
  <si>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</si>
  <si>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</si>
  <si>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</si>
  <si>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</si>
  <si>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</si>
  <si>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</si>
  <si>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</si>
  <si>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990.0 Hz</t>
  </si>
  <si>
    <t>985.3 Hz</t>
  </si>
  <si>
    <t>750.0 Hz</t>
  </si>
  <si>
    <t>745.3 Hz</t>
  </si>
  <si>
    <t>870.0 Hz</t>
  </si>
  <si>
    <t>865.3 Hz</t>
  </si>
  <si>
    <t>1922.3 Hz</t>
  </si>
  <si>
    <t>238.6 Hz</t>
  </si>
  <si>
    <t>674.8 Hz</t>
  </si>
  <si>
    <t>1293.9 Hz</t>
  </si>
  <si>
    <t>2092.4 Hz</t>
  </si>
  <si>
    <t>3069.6 Hz</t>
  </si>
  <si>
    <t>4224.9 Hz</t>
  </si>
  <si>
    <t>5558.2 Hz</t>
  </si>
  <si>
    <t>7069.4 Hz</t>
  </si>
  <si>
    <t>8758.6 Hz</t>
  </si>
  <si>
    <t>No matching frequencies detected.</t>
  </si>
  <si>
    <t xml:space="preserve"> -</t>
  </si>
  <si>
    <t>AG</t>
  </si>
  <si>
    <t>A. Gracia</t>
  </si>
  <si>
    <t>S. Hernandez</t>
  </si>
  <si>
    <t>SH</t>
  </si>
  <si>
    <t>FCW4</t>
  </si>
  <si>
    <t>CS8600U</t>
  </si>
  <si>
    <t>Type: TIKE - Form: FCW4 - 8 Pole - 600 HP - 4000 V - 60 Hz - 6811US - Class F</t>
  </si>
  <si>
    <t>6008FTQL11E-C</t>
  </si>
  <si>
    <t>QC Limits: CS8600U</t>
  </si>
  <si>
    <t>F &amp; W(Sleeve Brg)</t>
  </si>
  <si>
    <t>F&amp;W Loss for sleeve bearing: 2984 W</t>
  </si>
  <si>
    <t>LINK: H402132.RAT &amp; H402132_TestData_Lab1759.dat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</si>
</sst>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</numFmts>
  <fonts count="6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  <xf numFmtId="0" fontId="1" fillId="0" borderId="0"/>
  </cellStyleXfs>
  <cellXfs count="57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1" fontId="31" fillId="2" borderId="72" xfId="1" quotePrefix="1" applyNumberFormat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72" xfId="1" quotePrefix="1" applyNumberFormat="1" applyFont="1" applyFill="1" applyBorder="1" applyAlignment="1">
      <alignment horizontal="center"/>
    </xf>
    <xf numFmtId="0" fontId="31" fillId="2" borderId="72" xfId="1" quotePrefix="1" applyFont="1" applyFill="1" applyBorder="1" applyAlignment="1">
      <alignment horizontal="center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31" fillId="2" borderId="113" xfId="1" quotePrefix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41" fillId="0" borderId="0" xfId="1" applyFont="1" applyAlignment="1">
      <alignment horizontal="right"/>
    </xf>
    <xf numFmtId="2" fontId="26" fillId="0" borderId="0" xfId="2" applyNumberFormat="1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26" fillId="0" borderId="0" xfId="1" applyFont="1" applyAlignment="1">
      <alignment horizontal="right"/>
    </xf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31" fillId="2" borderId="115" xfId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6" xfId="1" applyFont="1" applyBorder="1"/>
    <xf numFmtId="0" fontId="29" fillId="2" borderId="119" xfId="1" applyFont="1" applyFill="1" applyBorder="1"/>
    <xf numFmtId="0" fontId="22" fillId="2" borderId="45" xfId="1" applyFont="1" applyFill="1" applyBorder="1"/>
    <xf numFmtId="0" fontId="29" fillId="2" borderId="121" xfId="1" applyFont="1" applyFill="1" applyBorder="1"/>
    <xf numFmtId="0" fontId="29" fillId="2" borderId="23" xfId="1" applyFont="1" applyFill="1" applyBorder="1"/>
    <xf numFmtId="14" fontId="24" fillId="2" borderId="124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5" xfId="1" applyFont="1" applyFill="1" applyBorder="1" applyAlignment="1">
      <alignment horizontal="left"/>
    </xf>
    <xf numFmtId="0" fontId="22" fillId="2" borderId="126" xfId="1" applyFont="1" applyFill="1" applyBorder="1" applyAlignment="1">
      <alignment horizontal="left"/>
    </xf>
    <xf numFmtId="0" fontId="22" fillId="0" borderId="0" xfId="1" applyFont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7" xfId="3" applyFont="1" applyBorder="1" applyAlignment="1">
      <alignment horizontal="center"/>
    </xf>
    <xf numFmtId="0" fontId="46" fillId="0" borderId="127" xfId="3" applyBorder="1" applyAlignment="1">
      <alignment horizontal="center"/>
    </xf>
    <xf numFmtId="0" fontId="47" fillId="0" borderId="127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7" xfId="3" applyBorder="1"/>
    <xf numFmtId="0" fontId="47" fillId="0" borderId="0" xfId="3" applyFont="1"/>
    <xf numFmtId="0" fontId="47" fillId="0" borderId="127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8" xfId="3" applyBorder="1"/>
    <xf numFmtId="0" fontId="47" fillId="0" borderId="129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2" xfId="3" applyBorder="1" applyAlignment="1">
      <alignment horizontal="left"/>
    </xf>
    <xf numFmtId="49" fontId="46" fillId="0" borderId="4" xfId="3" applyNumberFormat="1" applyBorder="1"/>
    <xf numFmtId="0" fontId="46" fillId="0" borderId="134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2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31" xfId="4" applyFont="1" applyBorder="1" applyAlignment="1">
      <alignment horizontal="center"/>
    </xf>
    <xf numFmtId="0" fontId="50" fillId="0" borderId="132" xfId="4" quotePrefix="1" applyFont="1" applyBorder="1" applyAlignment="1">
      <alignment horizontal="center"/>
    </xf>
    <xf numFmtId="0" fontId="50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1" fillId="0" borderId="0" xfId="4" applyFont="1"/>
    <xf numFmtId="0" fontId="23" fillId="0" borderId="17" xfId="4" applyFont="1" applyBorder="1" applyAlignment="1">
      <alignment horizontal="right"/>
    </xf>
    <xf numFmtId="0" fontId="23" fillId="0" borderId="132" xfId="4" applyFont="1" applyBorder="1" applyAlignment="1">
      <alignment horizontal="left"/>
    </xf>
    <xf numFmtId="0" fontId="23" fillId="0" borderId="132" xfId="4" quotePrefix="1" applyFont="1" applyBorder="1" applyAlignment="1">
      <alignment horizontal="left"/>
    </xf>
    <xf numFmtId="0" fontId="20" fillId="2" borderId="120" xfId="1" applyFont="1" applyFill="1" applyBorder="1" applyAlignment="1">
      <alignment horizontal="center" shrinkToFit="1"/>
    </xf>
    <xf numFmtId="166" fontId="24" fillId="0" borderId="0" xfId="1" applyNumberFormat="1" applyFont="1"/>
    <xf numFmtId="1" fontId="24" fillId="0" borderId="0" xfId="1" applyNumberFormat="1" applyFont="1"/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31" fillId="0" borderId="67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14" fontId="24" fillId="2" borderId="122" xfId="1" applyNumberFormat="1" applyFont="1" applyFill="1" applyBorder="1" applyAlignment="1">
      <alignment horizontal="center"/>
    </xf>
    <xf numFmtId="14" fontId="24" fillId="2" borderId="123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43" fillId="2" borderId="118" xfId="1" applyFont="1" applyFill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3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3" xfId="3" applyNumberFormat="1" applyBorder="1" applyAlignment="1">
      <alignment horizontal="center"/>
    </xf>
    <xf numFmtId="169" fontId="46" fillId="0" borderId="134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3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16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23" fillId="0" borderId="63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0" fontId="8" fillId="0" borderId="135" xfId="4" applyFont="1" applyBorder="1" applyAlignment="1">
      <alignment horizontal="right"/>
    </xf>
    <xf numFmtId="0" fontId="8" fillId="0" borderId="133" xfId="4" applyFont="1" applyBorder="1" applyAlignment="1">
      <alignment horizontal="right"/>
    </xf>
    <xf numFmtId="0" fontId="23" fillId="0" borderId="133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0" fontId="53" fillId="0" borderId="17" xfId="4" applyFont="1" applyBorder="1" applyAlignment="1">
      <alignment horizontal="center"/>
    </xf>
    <xf numFmtId="0" fontId="53" fillId="0" borderId="131" xfId="4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23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31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5" fillId="0" borderId="5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51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50" fillId="0" borderId="1" xfId="4" applyFont="1" applyBorder="1" applyAlignment="1">
      <alignment horizontal="right"/>
    </xf>
    <xf numFmtId="0" fontId="50" fillId="0" borderId="132" xfId="4" applyFont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2" xr:uid="{00000000-0005-0000-0000-000004000000}"/>
    <cellStyle name="Normal_PROJ_REV_HIST" xfId="3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132.62666341348711</c:v>
                </c:pt>
                <c:pt idx="2">
                  <c:v>205</c:v>
                </c:pt>
                <c:pt idx="3">
                  <c:v>127.66529254060742</c:v>
                </c:pt>
                <c:pt idx="4">
                  <c:v>108.69213245508215</c:v>
                </c:pt>
                <c:pt idx="5">
                  <c:v>102.03153614958401</c:v>
                </c:pt>
                <c:pt idx="6">
                  <c:v>98.824233462169218</c:v>
                </c:pt>
                <c:pt idx="7">
                  <c:v>97.939379519561442</c:v>
                </c:pt>
                <c:pt idx="8">
                  <c:v>97.530153518757928</c:v>
                </c:pt>
                <c:pt idx="9">
                  <c:v>97.28487260023735</c:v>
                </c:pt>
                <c:pt idx="10">
                  <c:v>97.139629536505765</c:v>
                </c:pt>
                <c:pt idx="11">
                  <c:v>97.057699986056576</c:v>
                </c:pt>
                <c:pt idx="12">
                  <c:v>97.017145120781265</c:v>
                </c:pt>
                <c:pt idx="13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D9-468A-902D-7F4BEA034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91968"/>
        <c:axId val="27829388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0.34071716666221619</c:v>
                </c:pt>
                <c:pt idx="1">
                  <c:v>175.93373107910156</c:v>
                </c:pt>
                <c:pt idx="2">
                  <c:v>466.77374267578125</c:v>
                </c:pt>
                <c:pt idx="3">
                  <c:v>527.93109130859375</c:v>
                </c:pt>
                <c:pt idx="4">
                  <c:v>546.36370849609375</c:v>
                </c:pt>
                <c:pt idx="5">
                  <c:v>557.143798828125</c:v>
                </c:pt>
                <c:pt idx="6">
                  <c:v>573.28936767578125</c:v>
                </c:pt>
                <c:pt idx="7">
                  <c:v>586.3316650390625</c:v>
                </c:pt>
                <c:pt idx="8">
                  <c:v>596.96856689453125</c:v>
                </c:pt>
                <c:pt idx="9">
                  <c:v>605.41864013671875</c:v>
                </c:pt>
                <c:pt idx="10">
                  <c:v>612.20538330078125</c:v>
                </c:pt>
                <c:pt idx="11">
                  <c:v>617.62347412109375</c:v>
                </c:pt>
                <c:pt idx="12">
                  <c:v>622.10528564453125</c:v>
                </c:pt>
                <c:pt idx="13">
                  <c:v>625.88232421875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D9-468A-902D-7F4BEA034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00160"/>
        <c:axId val="278301696"/>
      </c:scatterChart>
      <c:valAx>
        <c:axId val="27829196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8293888"/>
        <c:crossesAt val="0"/>
        <c:crossBetween val="midCat"/>
        <c:majorUnit val="0.2"/>
        <c:minorUnit val="0.2"/>
      </c:valAx>
      <c:valAx>
        <c:axId val="27829388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8291968"/>
        <c:crosses val="max"/>
        <c:crossBetween val="midCat"/>
        <c:majorUnit val="50"/>
        <c:minorUnit val="50"/>
      </c:valAx>
      <c:valAx>
        <c:axId val="27830016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78301696"/>
        <c:crosses val="autoZero"/>
        <c:crossBetween val="midCat"/>
      </c:valAx>
      <c:valAx>
        <c:axId val="27830169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830016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132.62666341348711</c:v>
                </c:pt>
                <c:pt idx="2">
                  <c:v>205</c:v>
                </c:pt>
                <c:pt idx="3">
                  <c:v>127.66529254060742</c:v>
                </c:pt>
                <c:pt idx="4">
                  <c:v>108.69213245508215</c:v>
                </c:pt>
                <c:pt idx="5">
                  <c:v>102.03153614958401</c:v>
                </c:pt>
                <c:pt idx="6">
                  <c:v>98.824233462169218</c:v>
                </c:pt>
                <c:pt idx="7">
                  <c:v>97.939379519561442</c:v>
                </c:pt>
                <c:pt idx="8">
                  <c:v>97.530153518757928</c:v>
                </c:pt>
                <c:pt idx="9">
                  <c:v>97.28487260023735</c:v>
                </c:pt>
                <c:pt idx="10">
                  <c:v>97.139629536505765</c:v>
                </c:pt>
                <c:pt idx="11">
                  <c:v>97.057699986056576</c:v>
                </c:pt>
                <c:pt idx="12">
                  <c:v>97.017145120781265</c:v>
                </c:pt>
                <c:pt idx="13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DF-49EF-AE8E-51BAA9A88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313408"/>
        <c:axId val="27866022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0.34071716666221619</c:v>
                </c:pt>
                <c:pt idx="1">
                  <c:v>175.93373107910156</c:v>
                </c:pt>
                <c:pt idx="2">
                  <c:v>466.77374267578125</c:v>
                </c:pt>
                <c:pt idx="3">
                  <c:v>527.93109130859375</c:v>
                </c:pt>
                <c:pt idx="4">
                  <c:v>546.36370849609375</c:v>
                </c:pt>
                <c:pt idx="5">
                  <c:v>557.143798828125</c:v>
                </c:pt>
                <c:pt idx="6">
                  <c:v>573.28936767578125</c:v>
                </c:pt>
                <c:pt idx="7">
                  <c:v>586.3316650390625</c:v>
                </c:pt>
                <c:pt idx="8">
                  <c:v>596.96856689453125</c:v>
                </c:pt>
                <c:pt idx="9">
                  <c:v>605.41864013671875</c:v>
                </c:pt>
                <c:pt idx="10">
                  <c:v>612.20538330078125</c:v>
                </c:pt>
                <c:pt idx="11">
                  <c:v>617.62347412109375</c:v>
                </c:pt>
                <c:pt idx="12">
                  <c:v>622.10528564453125</c:v>
                </c:pt>
                <c:pt idx="13">
                  <c:v>625.88232421875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DF-49EF-AE8E-51BAA9A88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662144"/>
        <c:axId val="278676224"/>
      </c:scatterChart>
      <c:valAx>
        <c:axId val="27931340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8660224"/>
        <c:crosses val="autoZero"/>
        <c:crossBetween val="midCat"/>
        <c:majorUnit val="20"/>
        <c:minorUnit val="20"/>
      </c:valAx>
      <c:valAx>
        <c:axId val="278660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9313408"/>
        <c:crosses val="autoZero"/>
        <c:crossBetween val="midCat"/>
      </c:valAx>
      <c:valAx>
        <c:axId val="27866214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78676224"/>
        <c:crosses val="autoZero"/>
        <c:crossBetween val="midCat"/>
      </c:valAx>
      <c:valAx>
        <c:axId val="27867622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7866214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625.88235294117646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40</c:v>
                </c:pt>
                <c:pt idx="1">
                  <c:v>43.525413302575942</c:v>
                </c:pt>
                <c:pt idx="2">
                  <c:v>62.676595155709336</c:v>
                </c:pt>
                <c:pt idx="3">
                  <c:v>97.932179930795854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1D-40FE-937A-464CD6364756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625.88235294117646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25</c:v>
                </c:pt>
                <c:pt idx="1">
                  <c:v>27.203383314109963</c:v>
                </c:pt>
                <c:pt idx="2">
                  <c:v>39.172871972318333</c:v>
                </c:pt>
                <c:pt idx="3">
                  <c:v>61.207612456747405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1D-40FE-937A-464CD6364756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205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233.03314677167367</c:v>
                </c:pt>
                <c:pt idx="3">
                  <c:v>302.25981460122176</c:v>
                </c:pt>
                <c:pt idx="4">
                  <c:v>680.08458285274901</c:v>
                </c:pt>
                <c:pt idx="5" formatCode="0">
                  <c:v>1400</c:v>
                </c:pt>
                <c:pt idx="6" formatCode="0">
                  <c:v>2800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1D-40FE-937A-464CD6364756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625.88235294117646</c:v>
                </c:pt>
                <c:pt idx="1">
                  <c:v>624</c:v>
                </c:pt>
                <c:pt idx="2">
                  <c:v>619.88235294117646</c:v>
                </c:pt>
                <c:pt idx="3">
                  <c:v>614.94117647058829</c:v>
                </c:pt>
                <c:pt idx="4">
                  <c:v>608.82352941176475</c:v>
                </c:pt>
                <c:pt idx="5">
                  <c:v>601.17647058823525</c:v>
                </c:pt>
                <c:pt idx="6">
                  <c:v>591.64705882352939</c:v>
                </c:pt>
                <c:pt idx="7">
                  <c:v>579.76470588235293</c:v>
                </c:pt>
                <c:pt idx="8">
                  <c:v>565.17647058823525</c:v>
                </c:pt>
                <c:pt idx="9">
                  <c:v>551.76470588235293</c:v>
                </c:pt>
                <c:pt idx="10">
                  <c:v>537.17647058823525</c:v>
                </c:pt>
                <c:pt idx="11">
                  <c:v>497.29411764705884</c:v>
                </c:pt>
                <c:pt idx="12">
                  <c:v>321.41176470588238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1.5709999799728394</c:v>
                </c:pt>
                <c:pt idx="2">
                  <c:v>2.9389998912811279</c:v>
                </c:pt>
                <c:pt idx="3">
                  <c:v>4.2420001029968262</c:v>
                </c:pt>
                <c:pt idx="4">
                  <c:v>5.5520000457763672</c:v>
                </c:pt>
                <c:pt idx="5">
                  <c:v>6.9310002326965332</c:v>
                </c:pt>
                <c:pt idx="6">
                  <c:v>8.4460000991821289</c:v>
                </c:pt>
                <c:pt idx="7">
                  <c:v>10.197999954223633</c:v>
                </c:pt>
                <c:pt idx="8">
                  <c:v>12.425000190734863</c:v>
                </c:pt>
                <c:pt idx="9">
                  <c:v>13.83899974822998</c:v>
                </c:pt>
                <c:pt idx="10">
                  <c:v>15.267000198364258</c:v>
                </c:pt>
                <c:pt idx="11">
                  <c:v>16.045000076293945</c:v>
                </c:pt>
                <c:pt idx="12">
                  <c:v>16.173999786376953</c:v>
                </c:pt>
                <c:pt idx="13">
                  <c:v>16.310998916625977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1D-40FE-937A-464CD6364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360256"/>
        <c:axId val="279362176"/>
      </c:scatterChart>
      <c:valAx>
        <c:axId val="27936025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9362176"/>
        <c:crossesAt val="0.1"/>
        <c:crossBetween val="midCat"/>
        <c:majorUnit val="100"/>
      </c:valAx>
      <c:valAx>
        <c:axId val="27936217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936025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78" name="Radius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9" name="Height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80" name="Clear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1" name="Thickness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82" name="Radius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83" name="Height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84" name="Clear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5" name="Thickness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86" name="Radius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87" name="Height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88" name="Clear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89" name="Thickness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90" name="Radius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96" name="Height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97" name="Clear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98" name="Thickness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99" name="Radius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0" name="Height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1" name="Clear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2" name="Thickness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3" name="Radiu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4" name="Heigh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05" name="Clear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6" name="Thickness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07" name="Radius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08" name="Height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09" name="Clear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0" name="Thickness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11" name="Radius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12" name="Height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13" name="Clear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4" name="Thickness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15" name="Radius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16" name="Height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17" name="Clear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18" name="Thickness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9" name="Radius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0" name="Height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1" name="Clear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2" name="Thicknes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3" name="Radius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4" name="Height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5" name="Clear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6" name="Thickness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7" name="Radius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8" name="Height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9" name="Thickness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0" name="Clear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1" name="Radius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2" name="Clear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3" name="Thickness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4" name="Radius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5" name="Thickness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6" name="Radius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7" name="Height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8" name="Clear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139" name="Thickness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3</xdr:col>
      <xdr:colOff>876300</xdr:colOff>
      <xdr:row>43</xdr:row>
      <xdr:rowOff>9525</xdr:rowOff>
    </xdr:to>
    <xdr:sp macro="" textlink="">
      <xdr:nvSpPr>
        <xdr:cNvPr id="140" name="Radius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2286000" y="978217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41" name="Height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428625</xdr:colOff>
      <xdr:row>41</xdr:row>
      <xdr:rowOff>200025</xdr:rowOff>
    </xdr:to>
    <xdr:sp macro="" textlink="">
      <xdr:nvSpPr>
        <xdr:cNvPr id="142" name="Clear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43" name="Text 583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581025</xdr:colOff>
      <xdr:row>41</xdr:row>
      <xdr:rowOff>9525</xdr:rowOff>
    </xdr:to>
    <xdr:sp macro="" textlink="">
      <xdr:nvSpPr>
        <xdr:cNvPr id="144" name="Thickness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2028825" y="93440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85725</xdr:colOff>
      <xdr:row>42</xdr:row>
      <xdr:rowOff>133350</xdr:rowOff>
    </xdr:from>
    <xdr:to>
      <xdr:col>3</xdr:col>
      <xdr:colOff>400050</xdr:colOff>
      <xdr:row>43</xdr:row>
      <xdr:rowOff>28575</xdr:rowOff>
    </xdr:to>
    <xdr:sp macro="" textlink="">
      <xdr:nvSpPr>
        <xdr:cNvPr id="145" name="Radius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9801225"/>
          <a:ext cx="31432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295275</xdr:colOff>
      <xdr:row>41</xdr:row>
      <xdr:rowOff>95250</xdr:rowOff>
    </xdr:to>
    <xdr:sp macro="" textlink="">
      <xdr:nvSpPr>
        <xdr:cNvPr id="146" name="Height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476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171450</xdr:colOff>
      <xdr:row>41</xdr:row>
      <xdr:rowOff>85725</xdr:rowOff>
    </xdr:from>
    <xdr:to>
      <xdr:col>2</xdr:col>
      <xdr:colOff>419100</xdr:colOff>
      <xdr:row>41</xdr:row>
      <xdr:rowOff>200025</xdr:rowOff>
    </xdr:to>
    <xdr:sp macro="" textlink="">
      <xdr:nvSpPr>
        <xdr:cNvPr id="147" name="Clear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1390650" y="952500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447675</xdr:colOff>
      <xdr:row>42</xdr:row>
      <xdr:rowOff>0</xdr:rowOff>
    </xdr:from>
    <xdr:to>
      <xdr:col>3</xdr:col>
      <xdr:colOff>238125</xdr:colOff>
      <xdr:row>42</xdr:row>
      <xdr:rowOff>104775</xdr:rowOff>
    </xdr:to>
    <xdr:sp macro="" textlink="">
      <xdr:nvSpPr>
        <xdr:cNvPr id="148" name="Thickness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1666875" y="9667875"/>
          <a:ext cx="3048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49" name="Radius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0" name="Height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1" name="Clear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2" name="Thickness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3" name="Radius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4" name="Height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5" name="Clear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6" name="Thickness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7" name="Radius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58" name="Height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9" name="Thickness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0" name="Clear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1" name="Radius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2" name="Clear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3" name="Thickness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4" name="Radius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466725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65" name="Thickness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1685925" y="966787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66" name="Radius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7" name="Height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8" name="Clear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476250</xdr:colOff>
      <xdr:row>42</xdr:row>
      <xdr:rowOff>47625</xdr:rowOff>
    </xdr:to>
    <xdr:sp macro="" textlink="">
      <xdr:nvSpPr>
        <xdr:cNvPr id="169" name="Thickness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7622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739140</xdr:colOff>
      <xdr:row>40</xdr:row>
      <xdr:rowOff>47625</xdr:rowOff>
    </xdr:from>
    <xdr:to>
      <xdr:col>4</xdr:col>
      <xdr:colOff>765913</xdr:colOff>
      <xdr:row>40</xdr:row>
      <xdr:rowOff>209550</xdr:rowOff>
    </xdr:to>
    <xdr:sp macro="" textlink="">
      <xdr:nvSpPr>
        <xdr:cNvPr id="170" name="Text 21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472690" y="92583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051-FA31-01</a:t>
          </a:r>
        </a:p>
      </xdr:txBody>
    </xdr:sp>
    <xdr:clientData/>
  </xdr:twoCellAnchor>
  <xdr:twoCellAnchor>
    <xdr:from>
      <xdr:col>3</xdr:col>
      <xdr:colOff>550545</xdr:colOff>
      <xdr:row>42</xdr:row>
      <xdr:rowOff>114300</xdr:rowOff>
    </xdr:from>
    <xdr:to>
      <xdr:col>4</xdr:col>
      <xdr:colOff>3926</xdr:colOff>
      <xdr:row>43</xdr:row>
      <xdr:rowOff>9525</xdr:rowOff>
    </xdr:to>
    <xdr:sp macro="" textlink="">
      <xdr:nvSpPr>
        <xdr:cNvPr id="171" name="Radius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284095" y="9782175"/>
          <a:ext cx="329681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426.8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312486</xdr:colOff>
      <xdr:row>41</xdr:row>
      <xdr:rowOff>87923</xdr:rowOff>
    </xdr:to>
    <xdr:sp macro="" textlink="">
      <xdr:nvSpPr>
        <xdr:cNvPr id="172" name="Height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4861" cy="8792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435909</xdr:colOff>
      <xdr:row>41</xdr:row>
      <xdr:rowOff>200025</xdr:rowOff>
    </xdr:to>
    <xdr:sp macro="" textlink="">
      <xdr:nvSpPr>
        <xdr:cNvPr id="173" name="Clear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4934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398145</xdr:colOff>
      <xdr:row>42</xdr:row>
      <xdr:rowOff>0</xdr:rowOff>
    </xdr:from>
    <xdr:to>
      <xdr:col>3</xdr:col>
      <xdr:colOff>321945</xdr:colOff>
      <xdr:row>42</xdr:row>
      <xdr:rowOff>104775</xdr:rowOff>
    </xdr:to>
    <xdr:sp macro="" textlink="">
      <xdr:nvSpPr>
        <xdr:cNvPr id="174" name="Thickness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1617345" y="9667875"/>
          <a:ext cx="4381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2</xdr:col>
      <xdr:colOff>447675</xdr:colOff>
      <xdr:row>41</xdr:row>
      <xdr:rowOff>161925</xdr:rowOff>
    </xdr:from>
    <xdr:to>
      <xdr:col>2</xdr:col>
      <xdr:colOff>447675</xdr:colOff>
      <xdr:row>42</xdr:row>
      <xdr:rowOff>66675</xdr:rowOff>
    </xdr:to>
    <xdr:sp macro="" textlink="">
      <xdr:nvSpPr>
        <xdr:cNvPr id="175" name="Line 11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ShapeType="1"/>
        </xdr:cNvSpPr>
      </xdr:nvSpPr>
      <xdr:spPr bwMode="auto">
        <a:xfrm flipV="1">
          <a:off x="1666875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76" name="Line 117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77" name="Line 118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78" name="Line 119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79" name="Text 583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276225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80" name="Line 12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ShapeType="1"/>
        </xdr:cNvSpPr>
      </xdr:nvSpPr>
      <xdr:spPr bwMode="auto">
        <a:xfrm flipV="1">
          <a:off x="1085850" y="91440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81" name="Line 122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82" name="Line 123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447675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83" name="Rectangle 124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rrowheads="1"/>
        </xdr:cNvSpPr>
      </xdr:nvSpPr>
      <xdr:spPr bwMode="auto">
        <a:xfrm>
          <a:off x="1666875" y="9153525"/>
          <a:ext cx="3143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84" name="Line 125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85" name="Line 126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86" name="Line 127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87" name="Line 128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39</xdr:row>
      <xdr:rowOff>171450</xdr:rowOff>
    </xdr:from>
    <xdr:to>
      <xdr:col>3</xdr:col>
      <xdr:colOff>495300</xdr:colOff>
      <xdr:row>39</xdr:row>
      <xdr:rowOff>171450</xdr:rowOff>
    </xdr:to>
    <xdr:sp macro="" textlink="">
      <xdr:nvSpPr>
        <xdr:cNvPr id="188" name="Line 129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ShapeType="1"/>
        </xdr:cNvSpPr>
      </xdr:nvSpPr>
      <xdr:spPr bwMode="auto">
        <a:xfrm>
          <a:off x="2009775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293370</xdr:colOff>
      <xdr:row>40</xdr:row>
      <xdr:rowOff>133350</xdr:rowOff>
    </xdr:from>
    <xdr:to>
      <xdr:col>3</xdr:col>
      <xdr:colOff>586843</xdr:colOff>
      <xdr:row>41</xdr:row>
      <xdr:rowOff>9525</xdr:rowOff>
    </xdr:to>
    <xdr:sp macro="" textlink="">
      <xdr:nvSpPr>
        <xdr:cNvPr id="189" name="Thickness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026920" y="9344025"/>
          <a:ext cx="29347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90" name="Line 13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91" name="Line 132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</xdr:colOff>
      <xdr:row>27</xdr:row>
      <xdr:rowOff>85725</xdr:rowOff>
    </xdr:from>
    <xdr:to>
      <xdr:col>4</xdr:col>
      <xdr:colOff>714375</xdr:colOff>
      <xdr:row>28</xdr:row>
      <xdr:rowOff>38100</xdr:rowOff>
    </xdr:to>
    <xdr:sp macro="" textlink="">
      <xdr:nvSpPr>
        <xdr:cNvPr id="192" name="Text 219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724150" y="6324600"/>
          <a:ext cx="600075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311-FA31</a:t>
          </a:r>
        </a:p>
      </xdr:txBody>
    </xdr:sp>
    <xdr:clientData/>
  </xdr:twoCellAnchor>
  <xdr:twoCellAnchor>
    <xdr:from>
      <xdr:col>4</xdr:col>
      <xdr:colOff>133350</xdr:colOff>
      <xdr:row>33</xdr:row>
      <xdr:rowOff>95250</xdr:rowOff>
    </xdr:from>
    <xdr:to>
      <xdr:col>4</xdr:col>
      <xdr:colOff>733425</xdr:colOff>
      <xdr:row>34</xdr:row>
      <xdr:rowOff>47625</xdr:rowOff>
    </xdr:to>
    <xdr:sp macro="" textlink="">
      <xdr:nvSpPr>
        <xdr:cNvPr id="193" name="Text 219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2743200" y="7705725"/>
          <a:ext cx="600075" cy="18097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0.66812</cdr:x>
      <cdr:y>0.57259</cdr:y>
    </cdr:from>
    <cdr:to>
      <cdr:x>0.90397</cdr:x>
      <cdr:y>0.59328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07384" y="36868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0.66323</cdr:x>
      <cdr:y>0.51869</cdr:y>
    </cdr:from>
    <cdr:to>
      <cdr:x>0.94605</cdr:x>
      <cdr:y>0.54382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78809" y="33398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13" zoomScale="95" zoomScaleNormal="95" workbookViewId="0">
      <selection activeCell="J29" sqref="J29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201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202</v>
      </c>
    </row>
    <row r="3" spans="1:10" ht="15" customHeight="1" thickBot="1">
      <c r="A3" s="49" t="s">
        <v>1</v>
      </c>
      <c r="B3" s="96" t="s">
        <v>200</v>
      </c>
      <c r="C3" s="1"/>
      <c r="D3" s="49"/>
      <c r="E3" s="1"/>
      <c r="F3" s="1"/>
      <c r="G3" s="49" t="s">
        <v>2</v>
      </c>
      <c r="H3" s="149">
        <v>42076</v>
      </c>
      <c r="I3" s="49" t="s">
        <v>3</v>
      </c>
      <c r="J3" s="150">
        <v>0.53394675925925927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8</v>
      </c>
      <c r="B5" s="113">
        <v>600.00000818165631</v>
      </c>
      <c r="C5" s="143">
        <v>900</v>
      </c>
      <c r="D5" s="50" t="s">
        <v>643</v>
      </c>
      <c r="E5" s="143">
        <v>4000</v>
      </c>
      <c r="F5" s="143">
        <v>60</v>
      </c>
      <c r="G5" s="50">
        <v>105</v>
      </c>
      <c r="H5" s="78" t="s">
        <v>235</v>
      </c>
      <c r="I5" s="77" t="s">
        <v>240</v>
      </c>
      <c r="J5" s="50" t="s">
        <v>176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23.169226249999998</v>
      </c>
      <c r="J7" s="106" t="s">
        <v>19</v>
      </c>
    </row>
    <row r="8" spans="1:10" ht="15" customHeight="1">
      <c r="A8" s="6" t="s">
        <v>20</v>
      </c>
      <c r="B8" s="69">
        <v>2.0999999046325684</v>
      </c>
      <c r="C8" s="52"/>
      <c r="D8" s="6"/>
      <c r="E8" s="51"/>
      <c r="F8" s="3"/>
      <c r="G8" s="16"/>
      <c r="H8" s="10" t="s">
        <v>21</v>
      </c>
      <c r="I8" s="68">
        <v>28.534303665503632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182</v>
      </c>
      <c r="F9" s="107" t="s">
        <v>25</v>
      </c>
      <c r="G9" s="30"/>
      <c r="H9" s="10" t="s">
        <v>26</v>
      </c>
      <c r="I9" s="69">
        <v>25.851764957751815</v>
      </c>
      <c r="J9" s="104">
        <v>788.49712763933462</v>
      </c>
    </row>
    <row r="10" spans="1:10" ht="15" customHeight="1">
      <c r="A10" s="6" t="s">
        <v>27</v>
      </c>
      <c r="B10" s="69">
        <v>820</v>
      </c>
      <c r="C10" s="73">
        <v>820</v>
      </c>
      <c r="D10" s="6"/>
      <c r="E10" s="51"/>
      <c r="F10" s="117" t="s">
        <v>196</v>
      </c>
      <c r="G10" s="115" t="s">
        <v>197</v>
      </c>
      <c r="H10" s="10" t="s">
        <v>28</v>
      </c>
      <c r="I10" s="68">
        <v>13.501985411758477</v>
      </c>
      <c r="J10" s="103" t="s">
        <v>29</v>
      </c>
    </row>
    <row r="11" spans="1:10" ht="15" customHeight="1" thickBot="1">
      <c r="A11" s="6" t="s">
        <v>30</v>
      </c>
      <c r="B11" s="69">
        <v>770</v>
      </c>
      <c r="C11" s="73">
        <v>526.80000019073486</v>
      </c>
      <c r="D11" s="6" t="s">
        <v>31</v>
      </c>
      <c r="E11" s="68">
        <v>0.88879999999999992</v>
      </c>
      <c r="F11" s="118"/>
      <c r="G11" s="114"/>
      <c r="H11" s="10" t="s">
        <v>32</v>
      </c>
      <c r="I11" s="68">
        <v>27.695072914842616</v>
      </c>
      <c r="J11" s="104">
        <v>15843.893170048132</v>
      </c>
    </row>
    <row r="12" spans="1:10" ht="15" customHeight="1">
      <c r="A12" s="6" t="s">
        <v>33</v>
      </c>
      <c r="B12" s="69">
        <v>531</v>
      </c>
      <c r="C12" s="73">
        <v>200</v>
      </c>
      <c r="D12" s="6" t="s">
        <v>34</v>
      </c>
      <c r="E12" s="138" t="s">
        <v>174</v>
      </c>
      <c r="F12" s="124" t="s">
        <v>189</v>
      </c>
      <c r="G12" s="116" t="s">
        <v>188</v>
      </c>
      <c r="H12" s="10" t="s">
        <v>35</v>
      </c>
      <c r="I12" s="68">
        <v>1.2383659221730949</v>
      </c>
      <c r="J12" s="103" t="s">
        <v>36</v>
      </c>
    </row>
    <row r="13" spans="1:10" ht="15" customHeight="1" thickBot="1">
      <c r="A13" s="6" t="s">
        <v>37</v>
      </c>
      <c r="B13" s="69">
        <v>57.5</v>
      </c>
      <c r="C13" s="73">
        <v>124.85000085830688</v>
      </c>
      <c r="D13" s="6" t="s">
        <v>38</v>
      </c>
      <c r="E13" s="70">
        <v>22</v>
      </c>
      <c r="F13" s="124"/>
      <c r="G13" s="116" t="s">
        <v>190</v>
      </c>
      <c r="H13" s="10" t="s">
        <v>40</v>
      </c>
      <c r="I13" s="68">
        <v>1.0303025290181218</v>
      </c>
      <c r="J13" s="104">
        <v>79.389381408691406</v>
      </c>
    </row>
    <row r="14" spans="1:10" ht="15" customHeight="1" thickBot="1">
      <c r="A14" s="134" t="s">
        <v>41</v>
      </c>
      <c r="B14" s="135">
        <v>762.5999755859375</v>
      </c>
      <c r="C14" s="136">
        <v>762.5999755859375</v>
      </c>
      <c r="D14" s="6" t="s">
        <v>42</v>
      </c>
      <c r="E14" s="51" t="s">
        <v>183</v>
      </c>
      <c r="F14" s="51" t="s">
        <v>192</v>
      </c>
      <c r="G14" s="116" t="s">
        <v>191</v>
      </c>
      <c r="H14" s="49" t="s">
        <v>43</v>
      </c>
      <c r="I14" s="68">
        <v>1.2758915414647982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0.98478329261472586</v>
      </c>
      <c r="J15" s="104">
        <v>17.495975378787879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0.95963581196089087</v>
      </c>
      <c r="J16" s="105" t="s">
        <v>51</v>
      </c>
    </row>
    <row r="17" spans="1:10" ht="15" customHeight="1" thickBot="1">
      <c r="A17" s="6" t="s">
        <v>52</v>
      </c>
      <c r="B17" s="51" t="s">
        <v>177</v>
      </c>
      <c r="C17" s="52" t="s">
        <v>178</v>
      </c>
      <c r="D17" s="96" t="s">
        <v>53</v>
      </c>
      <c r="E17" s="51" t="s">
        <v>184</v>
      </c>
      <c r="F17" s="51"/>
      <c r="G17" s="116"/>
      <c r="H17" s="10" t="s">
        <v>54</v>
      </c>
      <c r="I17" s="68">
        <v>0.94503331461385198</v>
      </c>
      <c r="J17" s="104">
        <v>376.91513133530106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1305</v>
      </c>
      <c r="F18" s="70">
        <v>951</v>
      </c>
      <c r="G18" s="74"/>
      <c r="H18" s="13" t="s">
        <v>57</v>
      </c>
      <c r="I18" s="132" t="s">
        <v>198</v>
      </c>
      <c r="J18" s="133"/>
    </row>
    <row r="19" spans="1:10" ht="15" customHeight="1">
      <c r="A19" s="6" t="s">
        <v>58</v>
      </c>
      <c r="B19" s="69">
        <v>62</v>
      </c>
      <c r="C19" s="73">
        <v>38.549999237060547</v>
      </c>
      <c r="D19" s="6" t="s">
        <v>59</v>
      </c>
      <c r="E19" s="70">
        <v>264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179</v>
      </c>
      <c r="C20" s="73">
        <v>12.050000190734863</v>
      </c>
      <c r="D20" s="6" t="s">
        <v>166</v>
      </c>
      <c r="E20" s="67">
        <v>0.16367089492447748</v>
      </c>
      <c r="F20" s="51"/>
      <c r="G20" s="52"/>
      <c r="H20" s="10" t="s">
        <v>63</v>
      </c>
      <c r="I20" s="68">
        <v>17.994585037231445</v>
      </c>
      <c r="J20" s="72">
        <v>17.994585037231445</v>
      </c>
    </row>
    <row r="21" spans="1:10" ht="15" customHeight="1">
      <c r="A21" s="6" t="s">
        <v>64</v>
      </c>
      <c r="B21" s="69">
        <v>14.199999809265137</v>
      </c>
      <c r="C21" s="73">
        <v>3.5</v>
      </c>
      <c r="D21" s="10" t="s">
        <v>185</v>
      </c>
      <c r="E21" s="67">
        <v>0.21833504450632651</v>
      </c>
      <c r="F21" s="67">
        <v>0.17100819945335388</v>
      </c>
      <c r="G21" s="71">
        <v>1.5561526044752329E-2</v>
      </c>
      <c r="H21" s="10" t="s">
        <v>65</v>
      </c>
      <c r="I21" s="68">
        <v>19.290695190429688</v>
      </c>
      <c r="J21" s="72">
        <v>13.827546119689941</v>
      </c>
    </row>
    <row r="22" spans="1:10" ht="15" customHeight="1">
      <c r="A22" s="6" t="s">
        <v>66</v>
      </c>
      <c r="B22" s="69">
        <v>2.8299999237060547</v>
      </c>
      <c r="C22" s="73">
        <v>3.5</v>
      </c>
      <c r="D22" s="6" t="s">
        <v>67</v>
      </c>
      <c r="E22" s="51" t="s">
        <v>186</v>
      </c>
      <c r="F22" s="51" t="s">
        <v>187</v>
      </c>
      <c r="G22" s="52" t="s">
        <v>187</v>
      </c>
      <c r="H22" s="10" t="s">
        <v>68</v>
      </c>
      <c r="I22" s="68">
        <v>5.7038311958312988</v>
      </c>
      <c r="J22" s="72">
        <v>5.3133220672607422</v>
      </c>
    </row>
    <row r="23" spans="1:10" ht="15" customHeight="1">
      <c r="A23" s="6" t="s">
        <v>69</v>
      </c>
      <c r="B23" s="69">
        <v>8.9692268371582031</v>
      </c>
      <c r="C23" s="73">
        <v>12.313919067382813</v>
      </c>
      <c r="D23" s="6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3.8919950247015507</v>
      </c>
      <c r="J23" s="16" t="s">
        <v>199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2.4581439638654516</v>
      </c>
      <c r="J24" s="72">
        <v>2.3363163253452206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0.40490475296974182</v>
      </c>
      <c r="J25" s="72">
        <v>0.83794558048248291</v>
      </c>
    </row>
    <row r="26" spans="1:10" ht="15" customHeight="1">
      <c r="A26" s="6" t="s">
        <v>78</v>
      </c>
      <c r="B26" s="53" t="s">
        <v>180</v>
      </c>
      <c r="C26" s="60" t="s">
        <v>181</v>
      </c>
      <c r="D26" s="10" t="s">
        <v>79</v>
      </c>
      <c r="E26" s="69">
        <v>336.92140192073089</v>
      </c>
      <c r="F26" s="69">
        <v>212.44576060443876</v>
      </c>
      <c r="G26" s="73">
        <v>40.615364667603743</v>
      </c>
      <c r="H26" s="10" t="s">
        <v>80</v>
      </c>
      <c r="I26" s="68">
        <v>6.4615116119384766</v>
      </c>
      <c r="J26" s="72">
        <v>5.6728711128234863</v>
      </c>
    </row>
    <row r="27" spans="1:10" ht="15" customHeight="1" thickBot="1">
      <c r="A27" s="6" t="s">
        <v>81</v>
      </c>
      <c r="B27" s="51" t="s">
        <v>174</v>
      </c>
      <c r="C27" s="52" t="s">
        <v>174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6.4741854667663574</v>
      </c>
      <c r="J27" s="81">
        <v>5.7344241142272949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35.000967785669218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35.035971137034089</v>
      </c>
      <c r="D30" s="10" t="s">
        <v>95</v>
      </c>
      <c r="E30" s="69">
        <v>15.118901875000001</v>
      </c>
      <c r="F30" s="69">
        <v>876.98997192382819</v>
      </c>
      <c r="G30" s="69">
        <v>7.9243234195797996</v>
      </c>
      <c r="H30" s="74">
        <v>35.548162967917364</v>
      </c>
      <c r="I30" s="70">
        <v>98151.966735051392</v>
      </c>
      <c r="J30" s="74">
        <v>2388.8104799051757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6.2</v>
      </c>
      <c r="F31" s="69">
        <v>615.59389503374234</v>
      </c>
      <c r="G31" s="69">
        <v>11.289183062596322</v>
      </c>
      <c r="H31" s="74">
        <v>33.336842146563569</v>
      </c>
      <c r="I31" s="70">
        <v>30533.457193673621</v>
      </c>
      <c r="J31" s="74">
        <v>1318.4182123945504</v>
      </c>
    </row>
    <row r="32" spans="1:10" ht="15" customHeight="1">
      <c r="A32" s="6" t="s">
        <v>98</v>
      </c>
      <c r="B32" s="68" t="s">
        <v>242</v>
      </c>
      <c r="C32" s="110"/>
      <c r="D32" s="10" t="s">
        <v>99</v>
      </c>
      <c r="E32" s="69">
        <v>8.8298314274556038</v>
      </c>
      <c r="F32" s="69">
        <v>1904.2121521289821</v>
      </c>
      <c r="G32" s="69">
        <v>3.6495682298228993</v>
      </c>
      <c r="H32" s="74">
        <v>8.8298314274556038</v>
      </c>
      <c r="I32" s="9" t="s">
        <v>100</v>
      </c>
      <c r="J32" s="74">
        <v>3707.2286922997264</v>
      </c>
    </row>
    <row r="33" spans="1:10" ht="15" customHeight="1">
      <c r="A33" s="6" t="s">
        <v>101</v>
      </c>
      <c r="B33" s="68" t="s">
        <v>243</v>
      </c>
      <c r="C33" s="111" t="s">
        <v>102</v>
      </c>
      <c r="D33" s="10" t="s">
        <v>97</v>
      </c>
      <c r="E33" s="69">
        <v>3.854999923706055</v>
      </c>
      <c r="F33" s="69">
        <v>680.8180925611174</v>
      </c>
      <c r="G33" s="69">
        <v>10.207649075701903</v>
      </c>
      <c r="H33" s="74">
        <v>15.870651653189801</v>
      </c>
      <c r="I33" s="9" t="s">
        <v>103</v>
      </c>
      <c r="J33" s="73" t="s">
        <v>210</v>
      </c>
    </row>
    <row r="34" spans="1:10" ht="15" customHeight="1" thickBot="1">
      <c r="A34" s="17" t="s">
        <v>104</v>
      </c>
      <c r="B34" s="79" t="s">
        <v>244</v>
      </c>
      <c r="C34" s="112">
        <v>6.9495521732526226</v>
      </c>
      <c r="D34" s="11" t="s">
        <v>20</v>
      </c>
      <c r="E34" s="79">
        <v>0.20999999046325685</v>
      </c>
      <c r="F34" s="80">
        <v>1340.1522321301286</v>
      </c>
      <c r="G34" s="80">
        <v>5.1856438445105102</v>
      </c>
      <c r="H34" s="83">
        <v>866.58758613715815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212</v>
      </c>
      <c r="E35" s="148" t="s">
        <v>211</v>
      </c>
      <c r="F35" s="15"/>
      <c r="G35" s="26" t="s">
        <v>107</v>
      </c>
      <c r="H35" s="85" t="s">
        <v>205</v>
      </c>
      <c r="I35" s="10" t="s">
        <v>108</v>
      </c>
      <c r="J35" s="74" t="s">
        <v>209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203</v>
      </c>
      <c r="I36" s="10" t="s">
        <v>111</v>
      </c>
      <c r="J36" s="74" t="s">
        <v>208</v>
      </c>
    </row>
    <row r="37" spans="1:10" ht="15" customHeight="1" thickBot="1">
      <c r="A37" s="6" t="s">
        <v>112</v>
      </c>
      <c r="B37" s="69" t="s">
        <v>224</v>
      </c>
      <c r="C37" s="69" t="s">
        <v>225</v>
      </c>
      <c r="D37" s="69" t="s">
        <v>226</v>
      </c>
      <c r="E37" s="69" t="s">
        <v>227</v>
      </c>
      <c r="F37" s="73" t="s">
        <v>228</v>
      </c>
      <c r="G37" s="10" t="s">
        <v>113</v>
      </c>
      <c r="H37" s="74" t="s">
        <v>204</v>
      </c>
      <c r="I37" s="11" t="s">
        <v>114</v>
      </c>
      <c r="J37" s="83" t="s">
        <v>207</v>
      </c>
    </row>
    <row r="38" spans="1:10" ht="15" customHeight="1" thickBot="1">
      <c r="A38" s="6" t="s">
        <v>115</v>
      </c>
      <c r="B38" s="68" t="s">
        <v>214</v>
      </c>
      <c r="C38" s="68" t="s">
        <v>215</v>
      </c>
      <c r="D38" s="68" t="s">
        <v>216</v>
      </c>
      <c r="E38" s="68" t="s">
        <v>217</v>
      </c>
      <c r="F38" s="72" t="s">
        <v>218</v>
      </c>
      <c r="G38" s="17" t="s">
        <v>116</v>
      </c>
      <c r="H38" s="83" t="s">
        <v>206</v>
      </c>
      <c r="I38" s="139" t="s">
        <v>213</v>
      </c>
      <c r="J38" s="84">
        <v>6987.57177734375</v>
      </c>
    </row>
    <row r="39" spans="1:10" ht="15" customHeight="1">
      <c r="A39" s="6" t="s">
        <v>117</v>
      </c>
      <c r="B39" s="68" t="s">
        <v>219</v>
      </c>
      <c r="C39" s="68" t="s">
        <v>220</v>
      </c>
      <c r="D39" s="68" t="s">
        <v>221</v>
      </c>
      <c r="E39" s="68" t="s">
        <v>222</v>
      </c>
      <c r="F39" s="72" t="s">
        <v>223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237</v>
      </c>
      <c r="C40" s="67" t="s">
        <v>238</v>
      </c>
      <c r="D40" s="67" t="s">
        <v>239</v>
      </c>
      <c r="E40" s="67" t="s">
        <v>240</v>
      </c>
      <c r="F40" s="71" t="s">
        <v>241</v>
      </c>
      <c r="G40" s="36" t="s">
        <v>121</v>
      </c>
      <c r="H40" s="91" t="s">
        <v>245</v>
      </c>
      <c r="I40" s="55"/>
      <c r="J40" s="56"/>
    </row>
    <row r="41" spans="1:10" ht="15" customHeight="1">
      <c r="A41" s="6" t="s">
        <v>5</v>
      </c>
      <c r="B41" s="70" t="s">
        <v>232</v>
      </c>
      <c r="C41" s="70" t="s">
        <v>233</v>
      </c>
      <c r="D41" s="70" t="s">
        <v>234</v>
      </c>
      <c r="E41" s="70" t="s">
        <v>235</v>
      </c>
      <c r="F41" s="74" t="s">
        <v>236</v>
      </c>
      <c r="G41" s="37" t="s">
        <v>122</v>
      </c>
      <c r="H41" s="92" t="s">
        <v>246</v>
      </c>
      <c r="I41" s="57"/>
      <c r="J41" s="58"/>
    </row>
    <row r="42" spans="1:10" ht="15" customHeight="1">
      <c r="A42" s="6" t="s">
        <v>123</v>
      </c>
      <c r="B42" s="68">
        <v>13.492813660207585</v>
      </c>
      <c r="C42" s="68">
        <v>13.492813660207585</v>
      </c>
      <c r="D42" s="68">
        <v>13.492813660207585</v>
      </c>
      <c r="E42" s="68">
        <v>13.492813660207585</v>
      </c>
      <c r="F42" s="72">
        <v>13.492813660207585</v>
      </c>
      <c r="G42" s="36" t="s">
        <v>124</v>
      </c>
      <c r="H42" s="91" t="s">
        <v>247</v>
      </c>
      <c r="I42" s="55"/>
      <c r="J42" s="97">
        <v>0.14612985285233787</v>
      </c>
    </row>
    <row r="43" spans="1:10" ht="15" customHeight="1" thickBot="1">
      <c r="A43" s="17" t="s">
        <v>125</v>
      </c>
      <c r="B43" s="79">
        <v>13.492813660207585</v>
      </c>
      <c r="C43" s="79"/>
      <c r="D43" s="79" t="s">
        <v>250</v>
      </c>
      <c r="E43" s="79"/>
      <c r="F43" s="81"/>
      <c r="G43" s="37" t="s">
        <v>122</v>
      </c>
      <c r="H43" s="92" t="s">
        <v>248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1102.0761516022169</v>
      </c>
      <c r="I44" s="90">
        <v>2.8857536860235122E-2</v>
      </c>
      <c r="J44" s="97">
        <v>0.62181062954678623</v>
      </c>
    </row>
    <row r="45" spans="1:10" ht="15" customHeight="1">
      <c r="A45" s="6" t="s">
        <v>129</v>
      </c>
      <c r="B45" s="68">
        <v>0.43133029341697693</v>
      </c>
      <c r="C45" s="4" t="s">
        <v>130</v>
      </c>
      <c r="D45" s="72">
        <v>7.4396766722202301E-3</v>
      </c>
      <c r="E45" s="6" t="s">
        <v>131</v>
      </c>
      <c r="F45" s="74">
        <v>817.43287894380092</v>
      </c>
      <c r="G45" s="38" t="s">
        <v>122</v>
      </c>
      <c r="H45" s="86" t="s">
        <v>249</v>
      </c>
      <c r="I45" s="59"/>
      <c r="J45" s="60"/>
    </row>
    <row r="46" spans="1:10" ht="15" customHeight="1">
      <c r="A46" s="6" t="s">
        <v>132</v>
      </c>
      <c r="B46" s="68">
        <v>0.18772770464420319</v>
      </c>
      <c r="C46" s="4" t="s">
        <v>133</v>
      </c>
      <c r="D46" s="72">
        <v>5.4204510524868965E-3</v>
      </c>
      <c r="E46" s="6" t="s">
        <v>134</v>
      </c>
      <c r="F46" s="74">
        <v>1421.2395512662217</v>
      </c>
      <c r="G46" s="37" t="s">
        <v>135</v>
      </c>
      <c r="H46" s="94">
        <v>248.42944091197828</v>
      </c>
      <c r="I46" s="57"/>
      <c r="J46" s="58"/>
    </row>
    <row r="47" spans="1:10" ht="15" customHeight="1">
      <c r="A47" s="6" t="s">
        <v>136</v>
      </c>
      <c r="B47" s="68">
        <v>0.61905801296234131</v>
      </c>
      <c r="C47" s="4" t="s">
        <v>137</v>
      </c>
      <c r="D47" s="72">
        <v>9.0035749599337578E-3</v>
      </c>
      <c r="E47" s="6" t="s">
        <v>138</v>
      </c>
      <c r="F47" s="74">
        <v>1129.8108429485621</v>
      </c>
      <c r="G47" s="64" t="s">
        <v>139</v>
      </c>
      <c r="H47" s="93">
        <v>1070.7467661052256</v>
      </c>
      <c r="I47" s="90">
        <v>2.8010295662574427E-2</v>
      </c>
      <c r="J47" s="95">
        <v>0.63155967986844896</v>
      </c>
    </row>
    <row r="48" spans="1:10" ht="15" customHeight="1">
      <c r="A48" s="6" t="s">
        <v>140</v>
      </c>
      <c r="B48" s="68">
        <v>1.3597225770354271E-2</v>
      </c>
      <c r="C48" s="4" t="s">
        <v>100</v>
      </c>
      <c r="D48" s="72">
        <v>3.5460926592350006E-2</v>
      </c>
      <c r="E48" s="6" t="s">
        <v>141</v>
      </c>
      <c r="F48" s="74">
        <v>10.298860825861473</v>
      </c>
      <c r="G48" s="65" t="s">
        <v>122</v>
      </c>
      <c r="H48" s="86">
        <v>239.21956021099695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0.9645390510559082</v>
      </c>
      <c r="E49" s="17" t="s">
        <v>143</v>
      </c>
      <c r="F49" s="83">
        <v>22.299749943876485</v>
      </c>
      <c r="G49" s="66" t="s">
        <v>135</v>
      </c>
      <c r="H49" s="94">
        <v>244.70285178680081</v>
      </c>
      <c r="I49" s="57"/>
      <c r="J49" s="61"/>
    </row>
    <row r="50" spans="1:10" ht="15" customHeight="1">
      <c r="A50" s="13" t="s">
        <v>195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2.8162245775802962E-2</v>
      </c>
      <c r="I51" s="45" t="s">
        <v>149</v>
      </c>
      <c r="J51" s="39"/>
    </row>
    <row r="52" spans="1:10" ht="15" customHeight="1">
      <c r="A52" s="10" t="s">
        <v>58</v>
      </c>
      <c r="B52" s="69">
        <v>38.549999237060547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227564.95696478579</v>
      </c>
      <c r="I52" s="98" t="s">
        <v>229</v>
      </c>
      <c r="J52" s="62"/>
    </row>
    <row r="53" spans="1:10" ht="15" customHeight="1">
      <c r="A53" s="10" t="s">
        <v>64</v>
      </c>
      <c r="B53" s="69">
        <v>3.5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221.03699235895948</v>
      </c>
      <c r="I53" s="44" t="s">
        <v>154</v>
      </c>
      <c r="J53" s="39"/>
    </row>
    <row r="54" spans="1:10" ht="15" customHeight="1">
      <c r="A54" s="10" t="s">
        <v>66</v>
      </c>
      <c r="B54" s="69">
        <v>3.5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486178</v>
      </c>
      <c r="I54" s="99" t="s">
        <v>230</v>
      </c>
      <c r="J54" s="100" t="s">
        <v>193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0.91659999999999997</v>
      </c>
      <c r="I56" s="101" t="s">
        <v>231</v>
      </c>
      <c r="J56" s="61" t="s">
        <v>194</v>
      </c>
    </row>
    <row r="57" spans="1:10" ht="15" customHeight="1">
      <c r="A57" s="23" t="s">
        <v>251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252</v>
      </c>
      <c r="D58" s="3" t="s">
        <v>119</v>
      </c>
      <c r="E58" s="3" t="s">
        <v>165</v>
      </c>
      <c r="F58" s="16" t="s">
        <v>253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0.34071716666221619</v>
      </c>
      <c r="D59" s="128">
        <v>0.68736839294433594</v>
      </c>
      <c r="E59" s="86">
        <v>97.139629536505765</v>
      </c>
      <c r="F59" s="87">
        <v>612.20538330078125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132.62666341348711</v>
      </c>
      <c r="C60" s="87">
        <v>175.93373107910156</v>
      </c>
      <c r="D60" s="128">
        <v>0.79157894849777222</v>
      </c>
      <c r="E60" s="86">
        <v>97.057699986056576</v>
      </c>
      <c r="F60" s="87">
        <v>617.62347412109375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205</v>
      </c>
      <c r="C61" s="87">
        <v>466.77374267578125</v>
      </c>
      <c r="D61" s="128">
        <v>0.89578944444656372</v>
      </c>
      <c r="E61" s="86">
        <v>97.017145120781265</v>
      </c>
      <c r="F61" s="87">
        <v>622.10528564453125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127.66529254060742</v>
      </c>
      <c r="C62" s="87">
        <v>527.93109130859375</v>
      </c>
      <c r="D62" s="129">
        <v>1</v>
      </c>
      <c r="E62" s="86">
        <v>97</v>
      </c>
      <c r="F62" s="87">
        <v>625.88232421875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108.69213245508215</v>
      </c>
      <c r="C63" s="87">
        <v>546.36370849609375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102.03153614958401</v>
      </c>
      <c r="C64" s="87">
        <v>557.143798828125</v>
      </c>
      <c r="D64" s="154" t="s">
        <v>261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98.824233462169218</v>
      </c>
      <c r="C65" s="87">
        <v>573.28936767578125</v>
      </c>
      <c r="D65" s="156" t="s">
        <v>255</v>
      </c>
      <c r="E65" s="158" t="s">
        <v>259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97.939379519561442</v>
      </c>
      <c r="C66" s="87">
        <v>586.3316650390625</v>
      </c>
      <c r="D66" s="156" t="s">
        <v>256</v>
      </c>
      <c r="E66" s="158" t="s">
        <v>260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97.530153518757928</v>
      </c>
      <c r="C67" s="87">
        <v>596.96856689453125</v>
      </c>
      <c r="D67" s="156" t="s">
        <v>257</v>
      </c>
      <c r="E67" s="158" t="s">
        <v>262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97.28487260023735</v>
      </c>
      <c r="C68" s="89">
        <v>605.41864013671875</v>
      </c>
      <c r="D68" s="157" t="s">
        <v>258</v>
      </c>
      <c r="E68" s="159" t="s">
        <v>263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254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J3" sqref="J3:K3"/>
    </sheetView>
  </sheetViews>
  <sheetFormatPr defaultColWidth="9.140625" defaultRowHeight="15.75"/>
  <cols>
    <col min="1" max="1" width="12.140625" style="309" customWidth="1"/>
    <col min="2" max="2" width="6.140625" style="309" customWidth="1"/>
    <col min="3" max="3" width="7.7109375" style="309" customWidth="1"/>
    <col min="4" max="5" width="13.140625" style="309" customWidth="1"/>
    <col min="6" max="6" width="9.42578125" style="309" customWidth="1"/>
    <col min="7" max="7" width="5.7109375" style="309" customWidth="1"/>
    <col min="8" max="9" width="7.85546875" style="309" customWidth="1"/>
    <col min="10" max="11" width="12" style="309" customWidth="1"/>
    <col min="12" max="12" width="16" style="160" customWidth="1"/>
    <col min="13" max="26" width="9.140625" style="160"/>
    <col min="27" max="16384" width="9.140625" style="161"/>
  </cols>
  <sheetData>
    <row r="1" spans="1:26" ht="20.25" customHeight="1">
      <c r="A1" s="415" t="s">
        <v>264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</row>
    <row r="2" spans="1:26" ht="20.25" customHeight="1">
      <c r="A2" s="416" t="s">
        <v>265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</row>
    <row r="3" spans="1:26" ht="18.75" customHeight="1" thickBot="1">
      <c r="A3" s="162" t="s">
        <v>1</v>
      </c>
      <c r="B3" s="163" t="s">
        <v>644</v>
      </c>
      <c r="C3" s="164"/>
      <c r="D3" s="164"/>
      <c r="E3" s="164"/>
      <c r="F3" s="165"/>
      <c r="G3" s="164"/>
      <c r="H3" s="164"/>
      <c r="I3" s="162" t="s">
        <v>266</v>
      </c>
      <c r="J3" s="417" t="s">
        <v>646</v>
      </c>
      <c r="K3" s="417"/>
    </row>
    <row r="4" spans="1:26" s="174" customFormat="1" ht="18.399999999999999" customHeight="1" thickBot="1">
      <c r="A4" s="166" t="s">
        <v>645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267</v>
      </c>
      <c r="R4" s="172"/>
      <c r="S4" s="170"/>
      <c r="T4" s="171" t="s">
        <v>268</v>
      </c>
      <c r="U4" s="173"/>
      <c r="V4" s="170"/>
      <c r="W4" s="170"/>
      <c r="X4" s="170"/>
      <c r="Y4" s="170"/>
      <c r="Z4" s="170"/>
    </row>
    <row r="5" spans="1:26" s="174" customFormat="1" ht="18.399999999999999" customHeight="1">
      <c r="A5" s="418" t="s">
        <v>269</v>
      </c>
      <c r="B5" s="419"/>
      <c r="C5" s="419"/>
      <c r="D5" s="175"/>
      <c r="E5" s="176"/>
      <c r="F5" s="177" t="s">
        <v>270</v>
      </c>
      <c r="G5" s="164"/>
      <c r="H5" s="164"/>
      <c r="I5" s="178"/>
      <c r="J5" s="179" t="s">
        <v>271</v>
      </c>
      <c r="K5" s="180" t="s">
        <v>272</v>
      </c>
      <c r="L5" s="170"/>
      <c r="M5" s="170"/>
      <c r="N5" s="170"/>
      <c r="O5" s="170"/>
      <c r="P5" s="170"/>
      <c r="Q5" s="181" t="s">
        <v>273</v>
      </c>
      <c r="R5" s="182"/>
      <c r="S5" s="170"/>
      <c r="T5" s="181" t="s">
        <v>274</v>
      </c>
      <c r="U5" s="183"/>
      <c r="V5" s="170"/>
      <c r="W5" s="170"/>
      <c r="X5" s="170"/>
      <c r="Y5" s="170"/>
      <c r="Z5" s="170"/>
    </row>
    <row r="6" spans="1:26" s="174" customFormat="1" ht="18.399999999999999" customHeight="1">
      <c r="A6" s="420" t="s">
        <v>67</v>
      </c>
      <c r="B6" s="421"/>
      <c r="C6" s="421"/>
      <c r="D6" s="422" t="s">
        <v>278</v>
      </c>
      <c r="E6" s="423"/>
      <c r="F6" s="424" t="s">
        <v>276</v>
      </c>
      <c r="G6" s="425"/>
      <c r="H6" s="425"/>
      <c r="I6" s="425"/>
      <c r="J6" s="425"/>
      <c r="K6" s="426"/>
      <c r="L6" s="170"/>
      <c r="M6" s="170"/>
      <c r="N6" s="170"/>
      <c r="O6" s="170"/>
      <c r="P6" s="170"/>
      <c r="Q6" s="181" t="s">
        <v>277</v>
      </c>
      <c r="R6" s="182"/>
      <c r="S6" s="170"/>
      <c r="T6" s="181" t="s">
        <v>278</v>
      </c>
      <c r="U6" s="183"/>
      <c r="V6" s="170"/>
      <c r="W6" s="170"/>
      <c r="X6" s="170"/>
      <c r="Y6" s="170"/>
      <c r="Z6" s="170"/>
    </row>
    <row r="7" spans="1:26" s="174" customFormat="1" ht="18.399999999999999" customHeight="1">
      <c r="A7" s="430" t="s">
        <v>20</v>
      </c>
      <c r="B7" s="431"/>
      <c r="C7" s="431"/>
      <c r="D7" s="432">
        <v>2.0999999046325701</v>
      </c>
      <c r="E7" s="433"/>
      <c r="F7" s="184" t="s">
        <v>279</v>
      </c>
      <c r="G7" s="185"/>
      <c r="H7" s="186"/>
      <c r="I7" s="187"/>
      <c r="J7" s="188">
        <v>36</v>
      </c>
      <c r="K7" s="189" t="s">
        <v>174</v>
      </c>
      <c r="L7" s="170"/>
      <c r="M7" s="413">
        <f>O7/N7*J7</f>
        <v>36.423529411764704</v>
      </c>
      <c r="N7" s="170">
        <v>51</v>
      </c>
      <c r="O7" s="170">
        <v>51.6</v>
      </c>
      <c r="P7" s="170"/>
      <c r="Q7" s="181" t="s">
        <v>280</v>
      </c>
      <c r="R7" s="182"/>
      <c r="S7" s="170"/>
      <c r="T7" s="181" t="s">
        <v>275</v>
      </c>
      <c r="U7" s="183"/>
      <c r="V7" s="170"/>
      <c r="W7" s="170"/>
      <c r="X7" s="170"/>
      <c r="Y7" s="170"/>
      <c r="Z7" s="170"/>
    </row>
    <row r="8" spans="1:26" s="174" customFormat="1" ht="18.399999999999999" customHeight="1">
      <c r="A8" s="430" t="s">
        <v>281</v>
      </c>
      <c r="B8" s="431"/>
      <c r="C8" s="431"/>
      <c r="D8" s="434">
        <v>820</v>
      </c>
      <c r="E8" s="435"/>
      <c r="F8" s="190" t="s">
        <v>282</v>
      </c>
      <c r="G8" s="191"/>
      <c r="H8" s="192"/>
      <c r="I8" s="193"/>
      <c r="J8" s="194">
        <v>7020</v>
      </c>
      <c r="K8" s="195" t="s">
        <v>174</v>
      </c>
      <c r="L8" s="170"/>
      <c r="M8" s="414">
        <f t="shared" ref="M8:M11" si="0">O8/N8*J8</f>
        <v>9618.2068965517228</v>
      </c>
      <c r="N8" s="170">
        <v>8700</v>
      </c>
      <c r="O8" s="170">
        <v>11920</v>
      </c>
      <c r="P8" s="170"/>
      <c r="Q8" s="181" t="s">
        <v>283</v>
      </c>
      <c r="R8" s="182"/>
      <c r="S8" s="170"/>
      <c r="T8" s="181" t="s">
        <v>284</v>
      </c>
      <c r="U8" s="183"/>
      <c r="V8" s="170"/>
      <c r="W8" s="170"/>
      <c r="X8" s="170"/>
      <c r="Y8" s="170"/>
      <c r="Z8" s="170"/>
    </row>
    <row r="9" spans="1:26" s="174" customFormat="1" ht="18.399999999999999" customHeight="1">
      <c r="A9" s="436" t="s">
        <v>285</v>
      </c>
      <c r="B9" s="437"/>
      <c r="C9" s="438"/>
      <c r="D9" s="434">
        <v>11</v>
      </c>
      <c r="E9" s="435"/>
      <c r="F9" s="184" t="s">
        <v>286</v>
      </c>
      <c r="G9" s="185"/>
      <c r="H9" s="196">
        <v>3</v>
      </c>
      <c r="I9" s="197" t="s">
        <v>287</v>
      </c>
      <c r="J9" s="198">
        <v>116</v>
      </c>
      <c r="K9" s="195" t="s">
        <v>174</v>
      </c>
      <c r="L9" s="170"/>
      <c r="M9" s="413">
        <f t="shared" si="0"/>
        <v>124.57391304347826</v>
      </c>
      <c r="N9" s="170">
        <v>161</v>
      </c>
      <c r="O9" s="170">
        <v>172.9</v>
      </c>
      <c r="P9" s="170"/>
      <c r="Q9" s="181" t="s">
        <v>288</v>
      </c>
      <c r="R9" s="182"/>
      <c r="S9" s="170"/>
      <c r="T9" s="181" t="s">
        <v>289</v>
      </c>
      <c r="U9" s="183"/>
      <c r="V9" s="170"/>
      <c r="W9" s="170"/>
      <c r="X9" s="170"/>
      <c r="Y9" s="170"/>
      <c r="Z9" s="170"/>
    </row>
    <row r="10" spans="1:26" s="174" customFormat="1" ht="18.399999999999999" customHeight="1" thickBot="1">
      <c r="A10" s="436" t="s">
        <v>290</v>
      </c>
      <c r="B10" s="437"/>
      <c r="C10" s="438"/>
      <c r="D10" s="439" t="s">
        <v>183</v>
      </c>
      <c r="E10" s="440"/>
      <c r="F10" s="184" t="s">
        <v>291</v>
      </c>
      <c r="G10" s="185"/>
      <c r="H10" s="196">
        <v>3</v>
      </c>
      <c r="I10" s="197" t="s">
        <v>287</v>
      </c>
      <c r="J10" s="198">
        <v>1150</v>
      </c>
      <c r="K10" s="195" t="s">
        <v>174</v>
      </c>
      <c r="L10" s="170"/>
      <c r="M10" s="170">
        <f t="shared" si="0"/>
        <v>1150</v>
      </c>
      <c r="N10" s="170">
        <v>1150</v>
      </c>
      <c r="O10" s="170">
        <v>1150</v>
      </c>
      <c r="P10" s="170"/>
      <c r="Q10" s="181" t="s">
        <v>292</v>
      </c>
      <c r="R10" s="182"/>
      <c r="S10" s="170"/>
      <c r="T10" s="199" t="s">
        <v>293</v>
      </c>
      <c r="U10" s="200"/>
      <c r="V10" s="170"/>
      <c r="W10" s="170"/>
      <c r="X10" s="170"/>
      <c r="Y10" s="170"/>
      <c r="Z10" s="170"/>
    </row>
    <row r="11" spans="1:26" s="174" customFormat="1" ht="18.399999999999999" customHeight="1" thickBot="1">
      <c r="A11" s="436" t="s">
        <v>294</v>
      </c>
      <c r="B11" s="437"/>
      <c r="C11" s="438"/>
      <c r="D11" s="441" t="s">
        <v>174</v>
      </c>
      <c r="E11" s="442"/>
      <c r="F11" s="201" t="s">
        <v>295</v>
      </c>
      <c r="G11" s="202"/>
      <c r="H11" s="203">
        <v>3</v>
      </c>
      <c r="I11" s="197" t="s">
        <v>287</v>
      </c>
      <c r="J11" s="204">
        <v>15844</v>
      </c>
      <c r="K11" s="205" t="s">
        <v>174</v>
      </c>
      <c r="L11" s="170"/>
      <c r="M11" s="414">
        <f t="shared" si="0"/>
        <v>36070.852509575685</v>
      </c>
      <c r="N11" s="170">
        <v>20103</v>
      </c>
      <c r="O11" s="170">
        <v>45767</v>
      </c>
      <c r="P11" s="170"/>
      <c r="Q11" s="199" t="s">
        <v>296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399999999999999" customHeight="1">
      <c r="A12" s="207" t="s">
        <v>297</v>
      </c>
      <c r="C12" s="208"/>
      <c r="D12" s="443" t="s">
        <v>174</v>
      </c>
      <c r="E12" s="444"/>
      <c r="F12" s="427" t="s">
        <v>298</v>
      </c>
      <c r="G12" s="428"/>
      <c r="H12" s="428"/>
      <c r="I12" s="428"/>
      <c r="J12" s="428"/>
      <c r="K12" s="429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399999999999999" customHeight="1">
      <c r="A13" s="436" t="s">
        <v>53</v>
      </c>
      <c r="B13" s="437"/>
      <c r="C13" s="438"/>
      <c r="D13" s="445" t="s">
        <v>374</v>
      </c>
      <c r="E13" s="446"/>
      <c r="F13" s="209"/>
      <c r="G13" s="210" t="s">
        <v>299</v>
      </c>
      <c r="H13" s="211"/>
      <c r="I13" s="212" t="s">
        <v>300</v>
      </c>
      <c r="J13" s="213" t="s">
        <v>376</v>
      </c>
      <c r="K13" s="214" t="s">
        <v>174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399999999999999" customHeight="1">
      <c r="A14" s="436" t="s">
        <v>56</v>
      </c>
      <c r="B14" s="437"/>
      <c r="C14" s="438"/>
      <c r="D14" s="443">
        <v>1305</v>
      </c>
      <c r="E14" s="444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399999999999999" customHeight="1">
      <c r="A15" s="447" t="s">
        <v>301</v>
      </c>
      <c r="B15" s="448"/>
      <c r="C15" s="449"/>
      <c r="D15" s="450">
        <v>14.536399841308594</v>
      </c>
      <c r="E15" s="451"/>
      <c r="F15" s="209"/>
      <c r="G15" s="215" t="s">
        <v>302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399999999999999" customHeight="1">
      <c r="A16" s="452" t="s">
        <v>303</v>
      </c>
      <c r="B16" s="453"/>
      <c r="C16" s="454"/>
      <c r="D16" s="450">
        <v>3.4367997646331787</v>
      </c>
      <c r="E16" s="451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399999999999999" customHeight="1">
      <c r="A17" s="220" t="s">
        <v>304</v>
      </c>
      <c r="B17" s="221"/>
      <c r="C17" s="222"/>
      <c r="D17" s="441" t="s">
        <v>373</v>
      </c>
      <c r="E17" s="442"/>
      <c r="F17" s="427" t="s">
        <v>305</v>
      </c>
      <c r="G17" s="428"/>
      <c r="H17" s="428"/>
      <c r="I17" s="428"/>
      <c r="J17" s="428"/>
      <c r="K17" s="429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399999999999999" customHeight="1">
      <c r="A18" s="223" t="s">
        <v>306</v>
      </c>
      <c r="B18" s="224"/>
      <c r="C18" s="222"/>
      <c r="D18" s="439" t="s">
        <v>174</v>
      </c>
      <c r="E18" s="440"/>
      <c r="F18" s="455"/>
      <c r="G18" s="456"/>
      <c r="H18" s="225" t="s">
        <v>307</v>
      </c>
      <c r="I18" s="226"/>
      <c r="J18" s="194">
        <v>85</v>
      </c>
      <c r="K18" s="195"/>
      <c r="L18" s="170"/>
      <c r="M18" s="170">
        <f>J18*6.5</f>
        <v>552.5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399999999999999" customHeight="1">
      <c r="A19" s="461" t="s">
        <v>308</v>
      </c>
      <c r="B19" s="462"/>
      <c r="C19" s="463"/>
      <c r="D19" s="464" t="s">
        <v>174</v>
      </c>
      <c r="E19" s="442"/>
      <c r="F19" s="457"/>
      <c r="G19" s="458"/>
      <c r="H19" s="225" t="s">
        <v>5</v>
      </c>
      <c r="I19" s="187"/>
      <c r="J19" s="194">
        <v>895</v>
      </c>
      <c r="K19" s="195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399999999999999" customHeight="1" thickBot="1">
      <c r="A20" s="227" t="s">
        <v>309</v>
      </c>
      <c r="C20" s="228"/>
      <c r="D20" s="465" t="s">
        <v>182</v>
      </c>
      <c r="E20" s="435"/>
      <c r="F20" s="457"/>
      <c r="G20" s="458"/>
      <c r="H20" s="225" t="s">
        <v>310</v>
      </c>
      <c r="I20" s="187"/>
      <c r="J20" s="198" t="s">
        <v>378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399999999999999" customHeight="1" thickBot="1">
      <c r="A21" s="447" t="s">
        <v>311</v>
      </c>
      <c r="B21" s="448"/>
      <c r="C21" s="449"/>
      <c r="D21" s="434" t="s">
        <v>174</v>
      </c>
      <c r="E21" s="435"/>
      <c r="F21" s="457"/>
      <c r="G21" s="458"/>
      <c r="H21" s="229" t="s">
        <v>312</v>
      </c>
      <c r="I21" s="187"/>
      <c r="J21" s="198">
        <v>1.1499999999999999</v>
      </c>
      <c r="K21" s="195"/>
      <c r="L21" s="170"/>
      <c r="M21" s="170"/>
      <c r="N21" s="170"/>
      <c r="O21" s="170"/>
      <c r="P21" s="170"/>
      <c r="Q21" s="171" t="s">
        <v>313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399999999999999" customHeight="1">
      <c r="A22" s="223" t="s">
        <v>314</v>
      </c>
      <c r="B22" s="230"/>
      <c r="C22" s="230"/>
      <c r="D22" s="466">
        <v>0.16800000000000001</v>
      </c>
      <c r="E22" s="467"/>
      <c r="F22" s="457"/>
      <c r="G22" s="458"/>
      <c r="H22" s="225" t="s">
        <v>271</v>
      </c>
      <c r="I22" s="187"/>
      <c r="J22" s="198" t="s">
        <v>638</v>
      </c>
      <c r="K22" s="195"/>
      <c r="L22" s="170"/>
      <c r="M22" s="170"/>
      <c r="N22" s="170"/>
      <c r="O22" s="170"/>
      <c r="P22" s="170"/>
      <c r="Q22" s="181" t="s">
        <v>315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399999999999999" customHeight="1">
      <c r="A23" s="231" t="s">
        <v>316</v>
      </c>
      <c r="B23" s="232" t="s">
        <v>317</v>
      </c>
      <c r="C23" s="233"/>
      <c r="D23" s="445">
        <v>768</v>
      </c>
      <c r="E23" s="446"/>
      <c r="F23" s="457"/>
      <c r="G23" s="458"/>
      <c r="H23" s="234" t="s">
        <v>318</v>
      </c>
      <c r="I23" s="235"/>
      <c r="J23" s="236"/>
      <c r="K23" s="237"/>
      <c r="L23" s="170"/>
      <c r="Q23" s="181" t="s">
        <v>319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399999999999999" customHeight="1" thickBot="1">
      <c r="A24" s="238" t="s">
        <v>320</v>
      </c>
      <c r="B24" s="239" t="s">
        <v>321</v>
      </c>
      <c r="C24" s="240"/>
      <c r="D24" s="468" t="s">
        <v>174</v>
      </c>
      <c r="E24" s="469"/>
      <c r="F24" s="457"/>
      <c r="G24" s="458"/>
      <c r="H24" s="225" t="s">
        <v>322</v>
      </c>
      <c r="I24" s="208"/>
      <c r="J24" s="241"/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399999999999999" customHeight="1">
      <c r="A25" s="245" t="s">
        <v>323</v>
      </c>
      <c r="B25" s="246"/>
      <c r="C25" s="246"/>
      <c r="D25" s="247"/>
      <c r="E25" s="247" t="s">
        <v>324</v>
      </c>
      <c r="F25" s="457"/>
      <c r="G25" s="458"/>
      <c r="H25" s="225" t="s">
        <v>325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399999999999999" customHeight="1">
      <c r="A26" s="249" t="s">
        <v>326</v>
      </c>
      <c r="B26" s="250"/>
      <c r="C26" s="251"/>
      <c r="D26" s="252" t="s">
        <v>377</v>
      </c>
      <c r="E26" s="252" t="s">
        <v>379</v>
      </c>
      <c r="F26" s="459"/>
      <c r="G26" s="460"/>
      <c r="H26" s="470"/>
      <c r="I26" s="471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399999999999999" customHeight="1">
      <c r="A27" s="472" t="s">
        <v>327</v>
      </c>
      <c r="B27" s="473"/>
      <c r="C27" s="473"/>
      <c r="D27" s="473"/>
      <c r="E27" s="473"/>
      <c r="F27" s="424" t="s">
        <v>328</v>
      </c>
      <c r="G27" s="425"/>
      <c r="H27" s="425"/>
      <c r="I27" s="425"/>
      <c r="J27" s="425"/>
      <c r="K27" s="426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399999999999999" customHeight="1">
      <c r="A28" s="476"/>
      <c r="B28" s="477"/>
      <c r="C28" s="477"/>
      <c r="D28" s="477"/>
      <c r="E28" s="478"/>
      <c r="F28" s="255"/>
      <c r="G28" s="256"/>
      <c r="H28" s="215" t="s">
        <v>329</v>
      </c>
      <c r="I28" s="257" t="s">
        <v>375</v>
      </c>
      <c r="J28" s="194">
        <v>532</v>
      </c>
      <c r="K28" s="258" t="s">
        <v>174</v>
      </c>
      <c r="M28" s="174">
        <f>(J28/J18)*100</f>
        <v>625.88235294117646</v>
      </c>
      <c r="N28" s="259"/>
      <c r="O28" s="259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399999999999999" customHeight="1">
      <c r="A29" s="476"/>
      <c r="B29" s="477"/>
      <c r="C29" s="477"/>
      <c r="D29" s="477"/>
      <c r="E29" s="478"/>
      <c r="F29" s="260"/>
      <c r="G29" s="261"/>
      <c r="H29" s="215" t="s">
        <v>330</v>
      </c>
      <c r="I29" s="262">
        <v>60</v>
      </c>
      <c r="J29" s="194">
        <v>97</v>
      </c>
      <c r="K29" s="263" t="s">
        <v>174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399999999999999" customHeight="1">
      <c r="A30" s="476"/>
      <c r="B30" s="477"/>
      <c r="C30" s="477"/>
      <c r="D30" s="477"/>
      <c r="E30" s="478"/>
      <c r="F30" s="260"/>
      <c r="G30" s="261"/>
      <c r="H30" s="215" t="s">
        <v>331</v>
      </c>
      <c r="I30" s="262">
        <v>175</v>
      </c>
      <c r="J30" s="194">
        <v>205</v>
      </c>
      <c r="K30" s="264" t="s">
        <v>174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399999999999999" customHeight="1">
      <c r="A31" s="476"/>
      <c r="B31" s="477"/>
      <c r="C31" s="477"/>
      <c r="D31" s="477"/>
      <c r="E31" s="478"/>
      <c r="F31" s="260"/>
      <c r="G31" s="261"/>
      <c r="H31" s="215" t="s">
        <v>332</v>
      </c>
      <c r="I31" s="216"/>
      <c r="J31" s="265">
        <v>0.57999999999999996</v>
      </c>
      <c r="K31" s="189" t="s">
        <v>174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399999999999999" customHeight="1">
      <c r="A32" s="479"/>
      <c r="B32" s="480"/>
      <c r="C32" s="480"/>
      <c r="D32" s="480"/>
      <c r="E32" s="481"/>
      <c r="F32" s="260"/>
      <c r="G32" s="266" t="s">
        <v>333</v>
      </c>
      <c r="H32" s="215" t="s">
        <v>334</v>
      </c>
      <c r="I32" s="267"/>
      <c r="J32" s="188">
        <v>95.4</v>
      </c>
      <c r="K32" s="263" t="s">
        <v>174</v>
      </c>
      <c r="L32" s="170"/>
      <c r="N32" s="268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399999999999999" customHeight="1">
      <c r="A33" s="472" t="s">
        <v>335</v>
      </c>
      <c r="B33" s="473"/>
      <c r="C33" s="473"/>
      <c r="D33" s="473"/>
      <c r="E33" s="482"/>
      <c r="F33" s="269"/>
      <c r="G33" s="270"/>
      <c r="H33" s="271" t="s">
        <v>336</v>
      </c>
      <c r="I33" s="272"/>
      <c r="J33" s="273">
        <v>79.8</v>
      </c>
      <c r="K33" s="274" t="s">
        <v>174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399999999999999" customHeight="1">
      <c r="A34" s="476"/>
      <c r="B34" s="477"/>
      <c r="C34" s="477"/>
      <c r="D34" s="477"/>
      <c r="E34" s="478"/>
      <c r="F34" s="190" t="s">
        <v>337</v>
      </c>
      <c r="G34" s="275"/>
      <c r="H34" s="276" t="s">
        <v>14</v>
      </c>
      <c r="I34" s="277"/>
      <c r="J34" s="278">
        <v>4715</v>
      </c>
      <c r="K34" s="279" t="s">
        <v>174</v>
      </c>
      <c r="L34" s="280"/>
      <c r="M34" s="281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399999999999999" customHeight="1">
      <c r="A35" s="476"/>
      <c r="B35" s="477"/>
      <c r="C35" s="477"/>
      <c r="D35" s="477"/>
      <c r="E35" s="478"/>
      <c r="F35" s="209"/>
      <c r="G35" s="282"/>
      <c r="H35" s="283" t="s">
        <v>15</v>
      </c>
      <c r="I35" s="284"/>
      <c r="J35" s="194">
        <v>2637</v>
      </c>
      <c r="K35" s="189" t="s">
        <v>174</v>
      </c>
      <c r="L35" s="285"/>
      <c r="M35" s="281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399999999999999" customHeight="1">
      <c r="A36" s="476"/>
      <c r="B36" s="477"/>
      <c r="C36" s="477"/>
      <c r="D36" s="477"/>
      <c r="E36" s="478"/>
      <c r="F36" s="209"/>
      <c r="G36" s="282"/>
      <c r="H36" s="283" t="s">
        <v>338</v>
      </c>
      <c r="I36" s="284"/>
      <c r="J36" s="194">
        <v>4183</v>
      </c>
      <c r="K36" s="189" t="s">
        <v>174</v>
      </c>
      <c r="L36" s="285"/>
      <c r="M36" s="259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399999999999999" customHeight="1">
      <c r="A37" s="476"/>
      <c r="B37" s="477"/>
      <c r="C37" s="477"/>
      <c r="D37" s="477"/>
      <c r="E37" s="478"/>
      <c r="F37" s="260"/>
      <c r="G37" s="282"/>
      <c r="H37" s="283" t="s">
        <v>648</v>
      </c>
      <c r="I37" s="284"/>
      <c r="J37" s="194">
        <v>2984</v>
      </c>
      <c r="K37" s="189" t="s">
        <v>174</v>
      </c>
      <c r="L37" s="285"/>
      <c r="M37" s="259"/>
      <c r="N37" s="285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399999999999999" customHeight="1">
      <c r="A38" s="479"/>
      <c r="B38" s="480"/>
      <c r="C38" s="480"/>
      <c r="D38" s="480"/>
      <c r="E38" s="481"/>
      <c r="F38" s="217"/>
      <c r="G38" s="286"/>
      <c r="H38" s="287" t="s">
        <v>339</v>
      </c>
      <c r="I38" s="288"/>
      <c r="J38" s="289">
        <v>6988</v>
      </c>
      <c r="K38" s="290" t="s">
        <v>174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399999999999999" customHeight="1">
      <c r="A39" s="472" t="s">
        <v>340</v>
      </c>
      <c r="B39" s="473"/>
      <c r="C39" s="473"/>
      <c r="D39" s="473"/>
      <c r="E39" s="473"/>
      <c r="F39" s="291" t="s">
        <v>341</v>
      </c>
      <c r="G39" s="292"/>
      <c r="H39" s="292"/>
      <c r="I39" s="292"/>
      <c r="J39" s="292"/>
      <c r="K39" s="293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399999999999999" customHeight="1">
      <c r="A40" s="483"/>
      <c r="B40" s="484"/>
      <c r="C40" s="484"/>
      <c r="D40" s="484"/>
      <c r="E40" s="485"/>
      <c r="F40" s="294"/>
      <c r="G40" s="295" t="s">
        <v>647</v>
      </c>
      <c r="H40" s="295"/>
      <c r="I40" s="295"/>
      <c r="J40" s="295"/>
      <c r="K40" s="296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399999999999999" customHeight="1">
      <c r="A41" s="483"/>
      <c r="B41" s="484"/>
      <c r="C41" s="484"/>
      <c r="D41" s="484"/>
      <c r="E41" s="485"/>
      <c r="F41" s="294"/>
      <c r="G41" s="297" t="s">
        <v>649</v>
      </c>
      <c r="H41" s="297"/>
      <c r="I41" s="297"/>
      <c r="J41" s="297"/>
      <c r="K41" s="298"/>
      <c r="L41" s="299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399999999999999" customHeight="1">
      <c r="A42" s="483"/>
      <c r="B42" s="484"/>
      <c r="C42" s="484"/>
      <c r="D42" s="484"/>
      <c r="E42" s="485"/>
      <c r="F42" s="294" t="s">
        <v>650</v>
      </c>
      <c r="G42" s="297"/>
      <c r="H42" s="297"/>
      <c r="I42" s="297"/>
      <c r="J42" s="297"/>
      <c r="K42" s="298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399999999999999" customHeight="1">
      <c r="A43" s="483"/>
      <c r="B43" s="484"/>
      <c r="C43" s="484"/>
      <c r="D43" s="484"/>
      <c r="E43" s="485"/>
      <c r="F43" s="294"/>
      <c r="G43" s="297"/>
      <c r="H43" s="297"/>
      <c r="I43" s="297"/>
      <c r="J43" s="297"/>
      <c r="K43" s="298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486"/>
      <c r="B44" s="487"/>
      <c r="C44" s="487"/>
      <c r="D44" s="487"/>
      <c r="E44" s="488"/>
      <c r="F44" s="294"/>
      <c r="G44" s="297"/>
      <c r="H44" s="297"/>
      <c r="I44" s="297"/>
      <c r="J44" s="297"/>
      <c r="K44" s="298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300" t="s">
        <v>342</v>
      </c>
      <c r="B45" s="489" t="s">
        <v>641</v>
      </c>
      <c r="C45" s="490"/>
      <c r="D45" s="301" t="s">
        <v>343</v>
      </c>
      <c r="E45" s="412" t="s">
        <v>640</v>
      </c>
      <c r="F45" s="302"/>
      <c r="G45" s="297"/>
      <c r="H45" s="297"/>
      <c r="I45" s="297"/>
      <c r="J45" s="297"/>
      <c r="K45" s="298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303" t="s">
        <v>344</v>
      </c>
      <c r="B46" s="474">
        <v>42081</v>
      </c>
      <c r="C46" s="475"/>
      <c r="D46" s="304" t="s">
        <v>344</v>
      </c>
      <c r="E46" s="305">
        <v>42076</v>
      </c>
      <c r="F46" s="306"/>
      <c r="G46" s="307"/>
      <c r="H46" s="307"/>
      <c r="I46" s="307"/>
      <c r="J46" s="307"/>
      <c r="K46" s="308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9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15" customWidth="1"/>
    <col min="2" max="2" width="18.140625" style="315" customWidth="1"/>
    <col min="3" max="3" width="21.5703125" style="315" customWidth="1"/>
    <col min="4" max="4" width="21.28515625" style="315" bestFit="1" customWidth="1"/>
    <col min="5" max="5" width="6.85546875" style="315" bestFit="1" customWidth="1"/>
    <col min="6" max="6" width="29.85546875" style="315" customWidth="1"/>
    <col min="7" max="7" width="43.7109375" style="315" customWidth="1"/>
    <col min="8" max="8" width="17.140625" style="315" customWidth="1"/>
    <col min="9" max="9" width="7.85546875" style="315" customWidth="1"/>
    <col min="10" max="10" width="2.28515625" style="315" bestFit="1" customWidth="1"/>
    <col min="11" max="12" width="2.28515625" style="315" customWidth="1"/>
    <col min="13" max="13" width="2.5703125" style="315" bestFit="1" customWidth="1"/>
    <col min="14" max="14" width="2.28515625" style="315" bestFit="1" customWidth="1"/>
    <col min="15" max="16384" width="9.140625" style="315"/>
  </cols>
  <sheetData>
    <row r="1" spans="2:14" ht="12.75" customHeight="1">
      <c r="B1" s="310"/>
      <c r="C1" s="311"/>
      <c r="D1" s="311"/>
      <c r="E1" s="311"/>
      <c r="F1" s="311"/>
      <c r="G1" s="311"/>
      <c r="H1" s="312"/>
      <c r="I1" s="313"/>
      <c r="J1" s="314" t="s">
        <v>345</v>
      </c>
      <c r="K1" s="314" t="s">
        <v>346</v>
      </c>
      <c r="L1" s="314" t="s">
        <v>347</v>
      </c>
      <c r="M1" s="314" t="s">
        <v>346</v>
      </c>
      <c r="N1" s="314"/>
    </row>
    <row r="2" spans="2:14" ht="12.75" customHeight="1">
      <c r="B2" s="499" t="s">
        <v>348</v>
      </c>
      <c r="C2" s="500"/>
      <c r="D2" s="500"/>
      <c r="E2" s="500"/>
      <c r="F2" s="500"/>
      <c r="G2" s="500"/>
      <c r="H2" s="316"/>
      <c r="I2" s="317"/>
      <c r="J2" s="318" t="s">
        <v>349</v>
      </c>
      <c r="K2" s="318" t="s">
        <v>350</v>
      </c>
      <c r="L2" s="318" t="s">
        <v>351</v>
      </c>
      <c r="M2" s="318" t="s">
        <v>352</v>
      </c>
      <c r="N2" s="318" t="s">
        <v>353</v>
      </c>
    </row>
    <row r="3" spans="2:14" ht="12.75" customHeight="1">
      <c r="B3" s="499"/>
      <c r="C3" s="500"/>
      <c r="D3" s="500"/>
      <c r="E3" s="500"/>
      <c r="F3" s="500"/>
      <c r="G3" s="500"/>
      <c r="H3" s="316"/>
      <c r="I3" s="317"/>
      <c r="J3" s="318" t="s">
        <v>354</v>
      </c>
      <c r="K3" s="318"/>
      <c r="L3" s="318" t="s">
        <v>355</v>
      </c>
      <c r="M3" s="318" t="s">
        <v>345</v>
      </c>
      <c r="N3" s="318"/>
    </row>
    <row r="4" spans="2:14" ht="12.75" customHeight="1">
      <c r="B4" s="499"/>
      <c r="C4" s="500"/>
      <c r="D4" s="500"/>
      <c r="E4" s="500"/>
      <c r="F4" s="500"/>
      <c r="G4" s="500"/>
      <c r="H4" s="316"/>
      <c r="I4" s="317"/>
      <c r="J4" s="318" t="s">
        <v>356</v>
      </c>
      <c r="K4" s="318"/>
      <c r="L4" s="318" t="s">
        <v>351</v>
      </c>
      <c r="M4" s="318" t="s">
        <v>349</v>
      </c>
      <c r="N4" s="318"/>
    </row>
    <row r="5" spans="2:14" ht="12.75" customHeight="1">
      <c r="B5" s="319"/>
      <c r="C5" s="320"/>
      <c r="D5" s="320"/>
      <c r="E5" s="320"/>
      <c r="F5" s="320"/>
      <c r="G5" s="320"/>
      <c r="H5" s="316"/>
      <c r="I5" s="317"/>
      <c r="J5" s="318"/>
      <c r="K5" s="318" t="s">
        <v>357</v>
      </c>
      <c r="L5" s="318" t="s">
        <v>346</v>
      </c>
      <c r="M5" s="318"/>
      <c r="N5" s="318" t="s">
        <v>351</v>
      </c>
    </row>
    <row r="6" spans="2:14" ht="12" customHeight="1">
      <c r="B6" s="321"/>
      <c r="C6" s="322"/>
      <c r="D6" s="322"/>
      <c r="F6" s="322"/>
      <c r="H6" s="323"/>
      <c r="I6" s="317"/>
      <c r="J6" s="318" t="s">
        <v>350</v>
      </c>
      <c r="K6" s="318" t="s">
        <v>358</v>
      </c>
      <c r="L6" s="318"/>
      <c r="M6" s="318" t="s">
        <v>346</v>
      </c>
      <c r="N6" s="318" t="s">
        <v>359</v>
      </c>
    </row>
    <row r="7" spans="2:14" ht="12.75" customHeight="1">
      <c r="B7" s="321"/>
      <c r="D7" s="324"/>
      <c r="H7" s="323"/>
      <c r="I7" s="317"/>
      <c r="J7" s="318" t="s">
        <v>360</v>
      </c>
      <c r="K7" s="318" t="s">
        <v>354</v>
      </c>
      <c r="L7" s="318" t="s">
        <v>354</v>
      </c>
      <c r="M7" s="318" t="s">
        <v>349</v>
      </c>
      <c r="N7" s="318" t="s">
        <v>361</v>
      </c>
    </row>
    <row r="8" spans="2:14" ht="12.75" customHeight="1">
      <c r="B8" s="321"/>
      <c r="G8" s="324"/>
      <c r="H8" s="325"/>
      <c r="I8" s="318" t="s">
        <v>361</v>
      </c>
      <c r="J8" s="318" t="s">
        <v>346</v>
      </c>
      <c r="K8" s="318" t="s">
        <v>362</v>
      </c>
      <c r="L8" s="318" t="s">
        <v>349</v>
      </c>
      <c r="M8" s="318" t="s">
        <v>361</v>
      </c>
      <c r="N8" s="318" t="s">
        <v>358</v>
      </c>
    </row>
    <row r="9" spans="2:14">
      <c r="B9" s="318" t="s">
        <v>363</v>
      </c>
      <c r="C9" s="325" t="s">
        <v>364</v>
      </c>
      <c r="D9" s="325" t="s">
        <v>365</v>
      </c>
      <c r="E9" s="325" t="s">
        <v>366</v>
      </c>
      <c r="F9" s="318" t="s">
        <v>367</v>
      </c>
      <c r="G9" s="318" t="s">
        <v>368</v>
      </c>
      <c r="H9" s="318" t="s">
        <v>369</v>
      </c>
      <c r="I9" s="318" t="s">
        <v>356</v>
      </c>
      <c r="J9" s="318" t="s">
        <v>360</v>
      </c>
      <c r="K9" s="318" t="s">
        <v>349</v>
      </c>
      <c r="L9" s="318" t="s">
        <v>362</v>
      </c>
      <c r="M9" s="318" t="s">
        <v>346</v>
      </c>
      <c r="N9" s="318" t="s">
        <v>347</v>
      </c>
    </row>
    <row r="10" spans="2:14" ht="15" customHeight="1">
      <c r="B10" s="326"/>
      <c r="C10" s="327"/>
      <c r="D10" s="327"/>
      <c r="E10" s="327"/>
      <c r="F10" s="328"/>
      <c r="G10" s="329"/>
      <c r="H10" s="329"/>
      <c r="I10" s="330"/>
      <c r="J10" s="331"/>
      <c r="K10" s="331"/>
      <c r="L10" s="331"/>
      <c r="M10" s="331"/>
      <c r="N10" s="332"/>
    </row>
    <row r="11" spans="2:14" ht="15" customHeight="1">
      <c r="B11" s="326"/>
      <c r="C11" s="328"/>
      <c r="D11" s="328"/>
      <c r="E11" s="328"/>
      <c r="F11" s="328"/>
      <c r="G11" s="328"/>
      <c r="H11" s="328"/>
      <c r="I11" s="333"/>
      <c r="J11" s="331"/>
      <c r="K11" s="331"/>
      <c r="L11" s="331"/>
      <c r="M11" s="331"/>
      <c r="N11" s="332"/>
    </row>
    <row r="12" spans="2:14" ht="15" customHeight="1">
      <c r="B12" s="326"/>
      <c r="C12" s="328"/>
      <c r="D12" s="328"/>
      <c r="E12" s="328"/>
      <c r="F12" s="328"/>
      <c r="G12" s="328"/>
      <c r="H12" s="328"/>
      <c r="I12" s="333"/>
      <c r="J12" s="334"/>
      <c r="K12" s="331"/>
      <c r="L12" s="331"/>
      <c r="M12" s="331"/>
      <c r="N12" s="332"/>
    </row>
    <row r="13" spans="2:14" ht="15" customHeight="1">
      <c r="B13" s="326"/>
      <c r="C13" s="328"/>
      <c r="D13" s="328"/>
      <c r="E13" s="328"/>
      <c r="F13" s="328"/>
      <c r="G13" s="328"/>
      <c r="H13" s="328"/>
      <c r="I13" s="333"/>
      <c r="J13" s="331"/>
      <c r="K13" s="331"/>
      <c r="L13" s="331"/>
      <c r="M13" s="331"/>
      <c r="N13" s="332"/>
    </row>
    <row r="14" spans="2:14" ht="15" customHeight="1">
      <c r="B14" s="326"/>
      <c r="C14" s="328"/>
      <c r="D14" s="328"/>
      <c r="E14" s="328"/>
      <c r="F14" s="328"/>
      <c r="G14" s="328"/>
      <c r="H14" s="328"/>
      <c r="I14" s="333"/>
      <c r="J14" s="331"/>
      <c r="K14" s="331"/>
      <c r="L14" s="331"/>
      <c r="M14" s="331"/>
      <c r="N14" s="332"/>
    </row>
    <row r="15" spans="2:14" ht="15" customHeight="1">
      <c r="B15" s="326"/>
      <c r="C15" s="328"/>
      <c r="D15" s="328"/>
      <c r="E15" s="328"/>
      <c r="F15" s="328"/>
      <c r="G15" s="328"/>
      <c r="H15" s="328"/>
      <c r="I15" s="333"/>
      <c r="J15" s="331"/>
      <c r="K15" s="331"/>
      <c r="L15" s="331"/>
      <c r="M15" s="331"/>
      <c r="N15" s="332"/>
    </row>
    <row r="16" spans="2:14" ht="15" customHeight="1">
      <c r="B16" s="326"/>
      <c r="C16" s="328"/>
      <c r="D16" s="328"/>
      <c r="E16" s="328"/>
      <c r="F16" s="328"/>
      <c r="G16" s="328"/>
      <c r="H16" s="328"/>
      <c r="I16" s="333"/>
      <c r="J16" s="331"/>
      <c r="K16" s="331"/>
      <c r="L16" s="331"/>
      <c r="M16" s="331"/>
      <c r="N16" s="332"/>
    </row>
    <row r="17" spans="2:14" ht="15" customHeight="1">
      <c r="B17" s="326"/>
      <c r="C17" s="328"/>
      <c r="D17" s="328"/>
      <c r="E17" s="328"/>
      <c r="F17" s="328"/>
      <c r="G17" s="328"/>
      <c r="H17" s="328"/>
      <c r="I17" s="333"/>
      <c r="J17" s="331"/>
      <c r="K17" s="331"/>
      <c r="L17" s="331"/>
      <c r="M17" s="331"/>
      <c r="N17" s="332"/>
    </row>
    <row r="18" spans="2:14" ht="15" customHeight="1">
      <c r="B18" s="326"/>
      <c r="C18" s="328"/>
      <c r="D18" s="328"/>
      <c r="E18" s="328"/>
      <c r="F18" s="328"/>
      <c r="G18" s="328"/>
      <c r="H18" s="328"/>
      <c r="I18" s="333"/>
      <c r="J18" s="331"/>
      <c r="K18" s="331"/>
      <c r="L18" s="331"/>
      <c r="M18" s="331"/>
      <c r="N18" s="332"/>
    </row>
    <row r="19" spans="2:14" ht="15" customHeight="1">
      <c r="B19" s="326"/>
      <c r="C19" s="328"/>
      <c r="D19" s="328"/>
      <c r="E19" s="328"/>
      <c r="F19" s="328"/>
      <c r="G19" s="328"/>
      <c r="H19" s="328"/>
      <c r="I19" s="333"/>
      <c r="J19" s="331"/>
      <c r="K19" s="331"/>
      <c r="L19" s="331"/>
      <c r="M19" s="331"/>
      <c r="N19" s="332"/>
    </row>
    <row r="20" spans="2:14" ht="15" customHeight="1">
      <c r="B20" s="326"/>
      <c r="C20" s="328"/>
      <c r="D20" s="328"/>
      <c r="E20" s="328"/>
      <c r="F20" s="328"/>
      <c r="G20" s="328"/>
      <c r="H20" s="328"/>
      <c r="I20" s="333"/>
      <c r="J20" s="331"/>
      <c r="K20" s="331"/>
      <c r="L20" s="331"/>
      <c r="M20" s="331"/>
      <c r="N20" s="332"/>
    </row>
    <row r="21" spans="2:14" ht="15" customHeight="1">
      <c r="B21" s="326"/>
      <c r="C21" s="328"/>
      <c r="D21" s="328"/>
      <c r="E21" s="328"/>
      <c r="F21" s="328"/>
      <c r="G21" s="328"/>
      <c r="H21" s="328"/>
      <c r="I21" s="333"/>
      <c r="J21" s="331"/>
      <c r="K21" s="331"/>
      <c r="L21" s="331"/>
      <c r="M21" s="331"/>
      <c r="N21" s="332"/>
    </row>
    <row r="22" spans="2:14" ht="15" customHeight="1">
      <c r="B22" s="326"/>
      <c r="C22" s="328"/>
      <c r="D22" s="328"/>
      <c r="E22" s="328"/>
      <c r="F22" s="328"/>
      <c r="G22" s="328"/>
      <c r="H22" s="328"/>
      <c r="I22" s="333"/>
      <c r="J22" s="331"/>
      <c r="K22" s="331"/>
      <c r="L22" s="331"/>
      <c r="M22" s="331"/>
      <c r="N22" s="332"/>
    </row>
    <row r="23" spans="2:14" ht="15" customHeight="1">
      <c r="B23" s="326"/>
      <c r="C23" s="328"/>
      <c r="D23" s="328"/>
      <c r="E23" s="328"/>
      <c r="F23" s="328"/>
      <c r="G23" s="328"/>
      <c r="H23" s="328"/>
      <c r="I23" s="333"/>
      <c r="J23" s="331"/>
      <c r="K23" s="331"/>
      <c r="L23" s="331"/>
      <c r="M23" s="331"/>
      <c r="N23" s="332"/>
    </row>
    <row r="24" spans="2:14" ht="15" customHeight="1">
      <c r="B24" s="326"/>
      <c r="C24" s="328"/>
      <c r="D24" s="328"/>
      <c r="E24" s="328"/>
      <c r="F24" s="328"/>
      <c r="G24" s="328"/>
      <c r="H24" s="328"/>
      <c r="I24" s="333"/>
      <c r="J24" s="331"/>
      <c r="K24" s="331"/>
      <c r="L24" s="331"/>
      <c r="M24" s="331"/>
      <c r="N24" s="332"/>
    </row>
    <row r="25" spans="2:14" ht="15" customHeight="1">
      <c r="B25" s="326"/>
      <c r="C25" s="328"/>
      <c r="D25" s="328"/>
      <c r="E25" s="328"/>
      <c r="F25" s="328"/>
      <c r="G25" s="328"/>
      <c r="H25" s="328"/>
      <c r="I25" s="333"/>
      <c r="J25" s="331"/>
      <c r="K25" s="331"/>
      <c r="L25" s="331"/>
      <c r="M25" s="331"/>
      <c r="N25" s="332"/>
    </row>
    <row r="26" spans="2:14" ht="15" customHeight="1">
      <c r="B26" s="326"/>
      <c r="C26" s="328"/>
      <c r="D26" s="328"/>
      <c r="E26" s="328"/>
      <c r="F26" s="328"/>
      <c r="G26" s="328"/>
      <c r="H26" s="328"/>
      <c r="I26" s="333"/>
      <c r="J26" s="331"/>
      <c r="K26" s="331"/>
      <c r="L26" s="331"/>
      <c r="M26" s="331"/>
      <c r="N26" s="332"/>
    </row>
    <row r="27" spans="2:14" ht="15" customHeight="1">
      <c r="B27" s="326"/>
      <c r="C27" s="328"/>
      <c r="D27" s="328"/>
      <c r="E27" s="328"/>
      <c r="F27" s="328"/>
      <c r="G27" s="328"/>
      <c r="H27" s="328"/>
      <c r="I27" s="333"/>
      <c r="J27" s="331"/>
      <c r="K27" s="331"/>
      <c r="L27" s="331"/>
      <c r="M27" s="331"/>
      <c r="N27" s="332"/>
    </row>
    <row r="28" spans="2:14" ht="15" customHeight="1">
      <c r="B28" s="326"/>
      <c r="C28" s="328"/>
      <c r="D28" s="328"/>
      <c r="E28" s="328"/>
      <c r="F28" s="328"/>
      <c r="G28" s="328"/>
      <c r="H28" s="328"/>
      <c r="I28" s="333"/>
      <c r="J28" s="331"/>
      <c r="K28" s="331"/>
      <c r="L28" s="331"/>
      <c r="M28" s="331"/>
      <c r="N28" s="332"/>
    </row>
    <row r="29" spans="2:14" ht="15" customHeight="1">
      <c r="B29" s="326"/>
      <c r="C29" s="328"/>
      <c r="D29" s="328"/>
      <c r="E29" s="328"/>
      <c r="F29" s="328"/>
      <c r="G29" s="328"/>
      <c r="H29" s="328"/>
      <c r="I29" s="333"/>
      <c r="J29" s="331"/>
      <c r="K29" s="331"/>
      <c r="L29" s="331"/>
      <c r="M29" s="331"/>
      <c r="N29" s="332"/>
    </row>
    <row r="30" spans="2:14" ht="15" customHeight="1">
      <c r="B30" s="326"/>
      <c r="C30" s="328"/>
      <c r="D30" s="328"/>
      <c r="E30" s="328"/>
      <c r="F30" s="328"/>
      <c r="G30" s="328"/>
      <c r="H30" s="328"/>
      <c r="I30" s="333"/>
      <c r="J30" s="331"/>
      <c r="K30" s="331"/>
      <c r="L30" s="331"/>
      <c r="M30" s="331"/>
      <c r="N30" s="332"/>
    </row>
    <row r="31" spans="2:14" ht="15" customHeight="1">
      <c r="B31" s="326"/>
      <c r="C31" s="328"/>
      <c r="D31" s="328"/>
      <c r="E31" s="328"/>
      <c r="F31" s="328"/>
      <c r="G31" s="328"/>
      <c r="H31" s="328"/>
      <c r="I31" s="333"/>
      <c r="J31" s="331"/>
      <c r="K31" s="331"/>
      <c r="L31" s="331"/>
      <c r="M31" s="331"/>
      <c r="N31" s="332"/>
    </row>
    <row r="32" spans="2:14" ht="15" customHeight="1">
      <c r="B32" s="326"/>
      <c r="C32" s="328"/>
      <c r="D32" s="328"/>
      <c r="E32" s="328"/>
      <c r="F32" s="328"/>
      <c r="G32" s="328"/>
      <c r="H32" s="328"/>
      <c r="I32" s="333"/>
      <c r="J32" s="331"/>
      <c r="K32" s="331"/>
      <c r="L32" s="331"/>
      <c r="M32" s="331"/>
      <c r="N32" s="332"/>
    </row>
    <row r="33" spans="2:14" ht="15" customHeight="1">
      <c r="B33" s="326"/>
      <c r="C33" s="328"/>
      <c r="D33" s="328"/>
      <c r="E33" s="328"/>
      <c r="F33" s="328"/>
      <c r="G33" s="328"/>
      <c r="H33" s="328"/>
      <c r="I33" s="333"/>
      <c r="J33" s="331"/>
      <c r="K33" s="331"/>
      <c r="L33" s="331"/>
      <c r="M33" s="331"/>
      <c r="N33" s="332"/>
    </row>
    <row r="34" spans="2:14" ht="15" customHeight="1">
      <c r="B34" s="326"/>
      <c r="C34" s="328"/>
      <c r="D34" s="328"/>
      <c r="E34" s="328"/>
      <c r="F34" s="328"/>
      <c r="G34" s="328"/>
      <c r="H34" s="328"/>
      <c r="I34" s="333"/>
      <c r="J34" s="331"/>
      <c r="K34" s="331"/>
      <c r="L34" s="331"/>
      <c r="M34" s="331"/>
      <c r="N34" s="332"/>
    </row>
    <row r="35" spans="2:14" ht="15" customHeight="1">
      <c r="B35" s="326"/>
      <c r="C35" s="328"/>
      <c r="D35" s="328"/>
      <c r="E35" s="328"/>
      <c r="F35" s="328"/>
      <c r="G35" s="328"/>
      <c r="H35" s="328"/>
      <c r="I35" s="333"/>
      <c r="J35" s="331"/>
      <c r="K35" s="331"/>
      <c r="L35" s="331"/>
      <c r="M35" s="331"/>
      <c r="N35" s="332"/>
    </row>
    <row r="36" spans="2:14" ht="15" customHeight="1">
      <c r="B36" s="326"/>
      <c r="C36" s="328"/>
      <c r="D36" s="328"/>
      <c r="E36" s="328"/>
      <c r="F36" s="328"/>
      <c r="G36" s="328"/>
      <c r="H36" s="328"/>
      <c r="I36" s="333"/>
      <c r="J36" s="331"/>
      <c r="K36" s="331"/>
      <c r="L36" s="331"/>
      <c r="M36" s="331"/>
      <c r="N36" s="332"/>
    </row>
    <row r="37" spans="2:14" ht="15" customHeight="1">
      <c r="B37" s="326"/>
      <c r="C37" s="328"/>
      <c r="D37" s="328"/>
      <c r="E37" s="328"/>
      <c r="F37" s="328"/>
      <c r="G37" s="328"/>
      <c r="H37" s="328"/>
      <c r="I37" s="333"/>
      <c r="J37" s="331"/>
      <c r="K37" s="331"/>
      <c r="L37" s="331"/>
      <c r="M37" s="331"/>
      <c r="N37" s="332"/>
    </row>
    <row r="38" spans="2:14" ht="15" customHeight="1">
      <c r="B38" s="326"/>
      <c r="C38" s="328"/>
      <c r="D38" s="328"/>
      <c r="E38" s="328"/>
      <c r="F38" s="328"/>
      <c r="G38" s="328"/>
      <c r="H38" s="328"/>
      <c r="I38" s="333"/>
      <c r="J38" s="331"/>
      <c r="K38" s="331"/>
      <c r="L38" s="331"/>
      <c r="M38" s="331"/>
      <c r="N38" s="332"/>
    </row>
    <row r="39" spans="2:14" ht="15" customHeight="1">
      <c r="B39" s="326"/>
      <c r="C39" s="328"/>
      <c r="D39" s="328"/>
      <c r="E39" s="328"/>
      <c r="F39" s="328"/>
      <c r="G39" s="328"/>
      <c r="H39" s="328"/>
      <c r="I39" s="333"/>
      <c r="J39" s="331"/>
      <c r="K39" s="331"/>
      <c r="L39" s="331"/>
      <c r="M39" s="331"/>
      <c r="N39" s="332"/>
    </row>
    <row r="40" spans="2:14" ht="15" customHeight="1">
      <c r="B40" s="326"/>
      <c r="C40" s="328"/>
      <c r="D40" s="328"/>
      <c r="E40" s="328"/>
      <c r="F40" s="328"/>
      <c r="G40" s="328"/>
      <c r="H40" s="328"/>
      <c r="I40" s="333"/>
      <c r="J40" s="331"/>
      <c r="K40" s="331"/>
      <c r="L40" s="331"/>
      <c r="M40" s="331"/>
      <c r="N40" s="332"/>
    </row>
    <row r="41" spans="2:14" ht="15" customHeight="1">
      <c r="B41" s="326"/>
      <c r="C41" s="328"/>
      <c r="D41" s="328"/>
      <c r="E41" s="328"/>
      <c r="F41" s="328"/>
      <c r="G41" s="328"/>
      <c r="H41" s="328"/>
      <c r="I41" s="333"/>
      <c r="J41" s="331"/>
      <c r="K41" s="331"/>
      <c r="L41" s="331"/>
      <c r="M41" s="331"/>
      <c r="N41" s="332"/>
    </row>
    <row r="42" spans="2:14" ht="15" customHeight="1">
      <c r="B42" s="326"/>
      <c r="C42" s="328"/>
      <c r="D42" s="328"/>
      <c r="E42" s="328"/>
      <c r="F42" s="328"/>
      <c r="G42" s="328"/>
      <c r="H42" s="328"/>
      <c r="I42" s="333"/>
      <c r="J42" s="331"/>
      <c r="K42" s="331"/>
      <c r="L42" s="331"/>
      <c r="M42" s="331"/>
      <c r="N42" s="332"/>
    </row>
    <row r="43" spans="2:14" ht="15" customHeight="1">
      <c r="B43" s="326"/>
      <c r="C43" s="328"/>
      <c r="D43" s="328"/>
      <c r="E43" s="328"/>
      <c r="F43" s="328"/>
      <c r="G43" s="328"/>
      <c r="H43" s="328"/>
      <c r="I43" s="333"/>
      <c r="J43" s="331"/>
      <c r="K43" s="331"/>
      <c r="L43" s="331"/>
      <c r="M43" s="331"/>
      <c r="N43" s="332"/>
    </row>
    <row r="44" spans="2:14" ht="15" customHeight="1">
      <c r="B44" s="326"/>
      <c r="C44" s="328"/>
      <c r="D44" s="328"/>
      <c r="E44" s="328"/>
      <c r="F44" s="328"/>
      <c r="G44" s="328"/>
      <c r="H44" s="328"/>
      <c r="I44" s="333"/>
      <c r="J44" s="331"/>
      <c r="K44" s="331"/>
      <c r="L44" s="331"/>
      <c r="M44" s="331"/>
      <c r="N44" s="332"/>
    </row>
    <row r="45" spans="2:14" ht="15" customHeight="1">
      <c r="B45" s="326"/>
      <c r="C45" s="328"/>
      <c r="D45" s="328"/>
      <c r="E45" s="328"/>
      <c r="F45" s="328"/>
      <c r="G45" s="328"/>
      <c r="H45" s="328"/>
      <c r="I45" s="333"/>
      <c r="J45" s="331"/>
      <c r="K45" s="331"/>
      <c r="L45" s="331"/>
      <c r="M45" s="331"/>
      <c r="N45" s="332"/>
    </row>
    <row r="46" spans="2:14" ht="15" customHeight="1">
      <c r="B46" s="326"/>
      <c r="C46" s="328"/>
      <c r="D46" s="328"/>
      <c r="E46" s="328"/>
      <c r="F46" s="328"/>
      <c r="G46" s="328"/>
      <c r="H46" s="328"/>
      <c r="I46" s="333"/>
      <c r="J46" s="331"/>
      <c r="K46" s="331"/>
      <c r="L46" s="331"/>
      <c r="M46" s="331"/>
      <c r="N46" s="332"/>
    </row>
    <row r="47" spans="2:14" ht="15" customHeight="1">
      <c r="B47" s="326"/>
      <c r="C47" s="328"/>
      <c r="D47" s="328"/>
      <c r="E47" s="328"/>
      <c r="F47" s="328"/>
      <c r="G47" s="328"/>
      <c r="H47" s="328"/>
      <c r="I47" s="333"/>
      <c r="J47" s="331"/>
      <c r="K47" s="331"/>
      <c r="L47" s="331"/>
      <c r="M47" s="331"/>
      <c r="N47" s="332"/>
    </row>
    <row r="48" spans="2:14" ht="15" customHeight="1">
      <c r="B48" s="326"/>
      <c r="C48" s="328"/>
      <c r="D48" s="328"/>
      <c r="E48" s="328"/>
      <c r="F48" s="328"/>
      <c r="G48" s="328"/>
      <c r="H48" s="328"/>
      <c r="I48" s="333"/>
      <c r="J48" s="331"/>
      <c r="K48" s="331"/>
      <c r="L48" s="331"/>
      <c r="M48" s="331"/>
      <c r="N48" s="332"/>
    </row>
    <row r="49" spans="2:14" ht="15" customHeight="1">
      <c r="B49" s="326"/>
      <c r="C49" s="328"/>
      <c r="D49" s="328"/>
      <c r="E49" s="328"/>
      <c r="F49" s="328"/>
      <c r="G49" s="328"/>
      <c r="H49" s="328"/>
      <c r="I49" s="333"/>
      <c r="J49" s="331"/>
      <c r="K49" s="331"/>
      <c r="L49" s="331"/>
      <c r="M49" s="331"/>
      <c r="N49" s="332"/>
    </row>
    <row r="50" spans="2:14" ht="15" customHeight="1">
      <c r="B50" s="326"/>
      <c r="C50" s="328"/>
      <c r="D50" s="328"/>
      <c r="E50" s="328"/>
      <c r="F50" s="328"/>
      <c r="G50" s="328"/>
      <c r="H50" s="328"/>
      <c r="I50" s="333"/>
      <c r="J50" s="331"/>
      <c r="K50" s="331"/>
      <c r="L50" s="331"/>
      <c r="M50" s="331"/>
      <c r="N50" s="332"/>
    </row>
    <row r="51" spans="2:14" ht="15" customHeight="1">
      <c r="B51" s="326"/>
      <c r="C51" s="328"/>
      <c r="D51" s="328"/>
      <c r="E51" s="328"/>
      <c r="F51" s="328"/>
      <c r="G51" s="328"/>
      <c r="H51" s="328"/>
      <c r="I51" s="333"/>
      <c r="J51" s="331"/>
      <c r="K51" s="331"/>
      <c r="L51" s="331"/>
      <c r="M51" s="331"/>
      <c r="N51" s="332"/>
    </row>
    <row r="52" spans="2:14" ht="15" customHeight="1" thickBot="1">
      <c r="B52" s="335"/>
      <c r="C52" s="336"/>
      <c r="D52" s="336"/>
      <c r="E52" s="336"/>
      <c r="F52" s="336"/>
      <c r="G52" s="336"/>
      <c r="H52" s="336"/>
      <c r="I52" s="337"/>
      <c r="J52" s="338"/>
      <c r="K52" s="338"/>
      <c r="L52" s="338"/>
      <c r="M52" s="338"/>
      <c r="N52" s="339"/>
    </row>
    <row r="53" spans="2:14" ht="20.25" customHeight="1" thickBot="1">
      <c r="B53" s="501" t="s">
        <v>370</v>
      </c>
      <c r="C53" s="501"/>
      <c r="D53" s="501"/>
      <c r="E53" s="501"/>
      <c r="F53" s="501"/>
      <c r="G53" s="501"/>
      <c r="H53" s="501"/>
      <c r="I53" s="501"/>
      <c r="J53" s="501"/>
      <c r="K53" s="501"/>
      <c r="L53" s="501"/>
      <c r="M53" s="501"/>
      <c r="N53" s="501"/>
    </row>
    <row r="54" spans="2:14" ht="15" customHeight="1" thickBot="1">
      <c r="B54" s="340" t="s">
        <v>371</v>
      </c>
      <c r="C54" s="502" t="s">
        <v>368</v>
      </c>
      <c r="D54" s="503"/>
      <c r="E54" s="503"/>
      <c r="F54" s="503"/>
      <c r="G54" s="503"/>
      <c r="H54" s="341"/>
      <c r="I54" s="502" t="s">
        <v>363</v>
      </c>
      <c r="J54" s="503"/>
      <c r="K54" s="504"/>
      <c r="L54" s="502" t="s">
        <v>372</v>
      </c>
      <c r="M54" s="503"/>
      <c r="N54" s="505"/>
    </row>
    <row r="55" spans="2:14" ht="15" customHeight="1">
      <c r="B55" s="342"/>
      <c r="C55" s="491"/>
      <c r="D55" s="492"/>
      <c r="E55" s="492"/>
      <c r="F55" s="492"/>
      <c r="G55" s="492"/>
      <c r="H55" s="343"/>
      <c r="I55" s="493"/>
      <c r="J55" s="494"/>
      <c r="K55" s="495"/>
      <c r="L55" s="496"/>
      <c r="M55" s="497"/>
      <c r="N55" s="498"/>
    </row>
    <row r="56" spans="2:14" ht="15" customHeight="1">
      <c r="B56" s="344"/>
      <c r="C56" s="506"/>
      <c r="D56" s="507"/>
      <c r="E56" s="507"/>
      <c r="F56" s="507"/>
      <c r="G56" s="507"/>
      <c r="H56" s="345"/>
      <c r="I56" s="508"/>
      <c r="J56" s="509"/>
      <c r="K56" s="510"/>
      <c r="L56" s="511"/>
      <c r="M56" s="512"/>
      <c r="N56" s="513"/>
    </row>
    <row r="57" spans="2:14" ht="15" customHeight="1">
      <c r="B57" s="344"/>
      <c r="C57" s="506"/>
      <c r="D57" s="507"/>
      <c r="E57" s="507"/>
      <c r="F57" s="507"/>
      <c r="G57" s="507"/>
      <c r="H57" s="345"/>
      <c r="I57" s="508"/>
      <c r="J57" s="509"/>
      <c r="K57" s="510"/>
      <c r="L57" s="511"/>
      <c r="M57" s="512"/>
      <c r="N57" s="513"/>
    </row>
    <row r="58" spans="2:14" ht="15" customHeight="1">
      <c r="B58" s="344"/>
      <c r="C58" s="506"/>
      <c r="D58" s="507"/>
      <c r="E58" s="507"/>
      <c r="F58" s="507"/>
      <c r="G58" s="507"/>
      <c r="H58" s="345"/>
      <c r="I58" s="508"/>
      <c r="J58" s="509"/>
      <c r="K58" s="510"/>
      <c r="L58" s="511"/>
      <c r="M58" s="512"/>
      <c r="N58" s="513"/>
    </row>
    <row r="59" spans="2:14" ht="15" customHeight="1">
      <c r="B59" s="344"/>
      <c r="C59" s="506"/>
      <c r="D59" s="507"/>
      <c r="E59" s="507"/>
      <c r="F59" s="507"/>
      <c r="G59" s="507"/>
      <c r="H59" s="345"/>
      <c r="I59" s="508"/>
      <c r="J59" s="509"/>
      <c r="K59" s="510"/>
      <c r="L59" s="511"/>
      <c r="M59" s="512"/>
      <c r="N59" s="513"/>
    </row>
    <row r="60" spans="2:14" ht="15" customHeight="1">
      <c r="B60" s="344"/>
      <c r="C60" s="506"/>
      <c r="D60" s="507"/>
      <c r="E60" s="507"/>
      <c r="F60" s="507"/>
      <c r="G60" s="507"/>
      <c r="H60" s="345"/>
      <c r="I60" s="508"/>
      <c r="J60" s="509"/>
      <c r="K60" s="510"/>
      <c r="L60" s="511"/>
      <c r="M60" s="512"/>
      <c r="N60" s="513"/>
    </row>
    <row r="61" spans="2:14" ht="15" customHeight="1">
      <c r="B61" s="344"/>
      <c r="C61" s="506"/>
      <c r="D61" s="507"/>
      <c r="E61" s="507"/>
      <c r="F61" s="507"/>
      <c r="G61" s="507"/>
      <c r="H61" s="345"/>
      <c r="I61" s="508"/>
      <c r="J61" s="509"/>
      <c r="K61" s="510"/>
      <c r="L61" s="511"/>
      <c r="M61" s="512"/>
      <c r="N61" s="513"/>
    </row>
    <row r="62" spans="2:14" ht="15" customHeight="1">
      <c r="B62" s="344"/>
      <c r="C62" s="506"/>
      <c r="D62" s="507"/>
      <c r="E62" s="507"/>
      <c r="F62" s="507"/>
      <c r="G62" s="507"/>
      <c r="H62" s="345"/>
      <c r="I62" s="508"/>
      <c r="J62" s="509"/>
      <c r="K62" s="510"/>
      <c r="L62" s="511"/>
      <c r="M62" s="512"/>
      <c r="N62" s="513"/>
    </row>
    <row r="63" spans="2:14" ht="15" customHeight="1">
      <c r="B63" s="344"/>
      <c r="C63" s="506"/>
      <c r="D63" s="507"/>
      <c r="E63" s="507"/>
      <c r="F63" s="507"/>
      <c r="G63" s="507"/>
      <c r="H63" s="345"/>
      <c r="I63" s="508"/>
      <c r="J63" s="509"/>
      <c r="K63" s="510"/>
      <c r="L63" s="511"/>
      <c r="M63" s="512"/>
      <c r="N63" s="513"/>
    </row>
    <row r="64" spans="2:14" ht="15" customHeight="1">
      <c r="B64" s="344"/>
      <c r="C64" s="506"/>
      <c r="D64" s="507"/>
      <c r="E64" s="507"/>
      <c r="F64" s="507"/>
      <c r="G64" s="507"/>
      <c r="H64" s="345"/>
      <c r="I64" s="508"/>
      <c r="J64" s="509"/>
      <c r="K64" s="510"/>
      <c r="L64" s="511"/>
      <c r="M64" s="512"/>
      <c r="N64" s="513"/>
    </row>
    <row r="65" spans="2:14" ht="15" customHeight="1">
      <c r="B65" s="344"/>
      <c r="C65" s="506"/>
      <c r="D65" s="507"/>
      <c r="E65" s="507"/>
      <c r="F65" s="507"/>
      <c r="G65" s="507"/>
      <c r="H65" s="345"/>
      <c r="I65" s="508"/>
      <c r="J65" s="509"/>
      <c r="K65" s="510"/>
      <c r="L65" s="511"/>
      <c r="M65" s="512"/>
      <c r="N65" s="513"/>
    </row>
    <row r="66" spans="2:14" ht="15" customHeight="1">
      <c r="B66" s="344"/>
      <c r="C66" s="506"/>
      <c r="D66" s="507"/>
      <c r="E66" s="507"/>
      <c r="F66" s="507"/>
      <c r="G66" s="507"/>
      <c r="H66" s="345"/>
      <c r="I66" s="508"/>
      <c r="J66" s="509"/>
      <c r="K66" s="510"/>
      <c r="L66" s="511"/>
      <c r="M66" s="512"/>
      <c r="N66" s="513"/>
    </row>
    <row r="67" spans="2:14" ht="15" customHeight="1">
      <c r="B67" s="344"/>
      <c r="C67" s="506"/>
      <c r="D67" s="507"/>
      <c r="E67" s="507"/>
      <c r="F67" s="507"/>
      <c r="G67" s="507"/>
      <c r="H67" s="345"/>
      <c r="I67" s="508"/>
      <c r="J67" s="509"/>
      <c r="K67" s="510"/>
      <c r="L67" s="511"/>
      <c r="M67" s="512"/>
      <c r="N67" s="513"/>
    </row>
    <row r="68" spans="2:14" ht="15" customHeight="1">
      <c r="B68" s="344"/>
      <c r="C68" s="506"/>
      <c r="D68" s="507"/>
      <c r="E68" s="507"/>
      <c r="F68" s="507"/>
      <c r="G68" s="507"/>
      <c r="H68" s="345"/>
      <c r="I68" s="508"/>
      <c r="J68" s="509"/>
      <c r="K68" s="510"/>
      <c r="L68" s="511"/>
      <c r="M68" s="512"/>
      <c r="N68" s="513"/>
    </row>
    <row r="69" spans="2:14" ht="15" customHeight="1">
      <c r="B69" s="344"/>
      <c r="C69" s="506"/>
      <c r="D69" s="507"/>
      <c r="E69" s="507"/>
      <c r="F69" s="507"/>
      <c r="G69" s="507"/>
      <c r="H69" s="345"/>
      <c r="I69" s="508"/>
      <c r="J69" s="509"/>
      <c r="K69" s="510"/>
      <c r="L69" s="511"/>
      <c r="M69" s="512"/>
      <c r="N69" s="513"/>
    </row>
    <row r="70" spans="2:14" ht="15" customHeight="1">
      <c r="B70" s="344"/>
      <c r="C70" s="506"/>
      <c r="D70" s="507"/>
      <c r="E70" s="507"/>
      <c r="F70" s="507"/>
      <c r="G70" s="507"/>
      <c r="H70" s="345"/>
      <c r="I70" s="508"/>
      <c r="J70" s="509"/>
      <c r="K70" s="510"/>
      <c r="L70" s="511"/>
      <c r="M70" s="512"/>
      <c r="N70" s="513"/>
    </row>
    <row r="71" spans="2:14" ht="15" customHeight="1">
      <c r="B71" s="344"/>
      <c r="C71" s="506"/>
      <c r="D71" s="507"/>
      <c r="E71" s="507"/>
      <c r="F71" s="507"/>
      <c r="G71" s="507"/>
      <c r="H71" s="345"/>
      <c r="I71" s="508"/>
      <c r="J71" s="509"/>
      <c r="K71" s="510"/>
      <c r="L71" s="511"/>
      <c r="M71" s="512"/>
      <c r="N71" s="513"/>
    </row>
    <row r="72" spans="2:14">
      <c r="B72" s="344"/>
      <c r="C72" s="506"/>
      <c r="D72" s="507"/>
      <c r="E72" s="507"/>
      <c r="F72" s="507"/>
      <c r="G72" s="507"/>
      <c r="H72" s="345"/>
      <c r="I72" s="508"/>
      <c r="J72" s="509"/>
      <c r="K72" s="510"/>
      <c r="L72" s="511"/>
      <c r="M72" s="512"/>
      <c r="N72" s="513"/>
    </row>
    <row r="73" spans="2:14">
      <c r="B73" s="344"/>
      <c r="C73" s="506"/>
      <c r="D73" s="507"/>
      <c r="E73" s="507"/>
      <c r="F73" s="507"/>
      <c r="G73" s="507"/>
      <c r="H73" s="345"/>
      <c r="I73" s="508"/>
      <c r="J73" s="509"/>
      <c r="K73" s="510"/>
      <c r="L73" s="511"/>
      <c r="M73" s="512"/>
      <c r="N73" s="513"/>
    </row>
    <row r="74" spans="2:14">
      <c r="B74" s="344"/>
      <c r="C74" s="506"/>
      <c r="D74" s="507"/>
      <c r="E74" s="507"/>
      <c r="F74" s="507"/>
      <c r="G74" s="507"/>
      <c r="H74" s="345"/>
      <c r="I74" s="508"/>
      <c r="J74" s="509"/>
      <c r="K74" s="510"/>
      <c r="L74" s="511"/>
      <c r="M74" s="512"/>
      <c r="N74" s="513"/>
    </row>
    <row r="75" spans="2:14">
      <c r="B75" s="344"/>
      <c r="C75" s="506"/>
      <c r="D75" s="507"/>
      <c r="E75" s="507"/>
      <c r="F75" s="507"/>
      <c r="G75" s="507"/>
      <c r="H75" s="345"/>
      <c r="I75" s="508"/>
      <c r="J75" s="509"/>
      <c r="K75" s="510"/>
      <c r="L75" s="511"/>
      <c r="M75" s="512"/>
      <c r="N75" s="513"/>
    </row>
    <row r="76" spans="2:14">
      <c r="B76" s="344"/>
      <c r="C76" s="506"/>
      <c r="D76" s="507"/>
      <c r="E76" s="507"/>
      <c r="F76" s="507"/>
      <c r="G76" s="507"/>
      <c r="H76" s="345"/>
      <c r="I76" s="508"/>
      <c r="J76" s="509"/>
      <c r="K76" s="510"/>
      <c r="L76" s="511"/>
      <c r="M76" s="512"/>
      <c r="N76" s="513"/>
    </row>
    <row r="77" spans="2:14">
      <c r="B77" s="344"/>
      <c r="C77" s="506"/>
      <c r="D77" s="507"/>
      <c r="E77" s="507"/>
      <c r="F77" s="507"/>
      <c r="G77" s="507"/>
      <c r="H77" s="345"/>
      <c r="I77" s="508"/>
      <c r="J77" s="509"/>
      <c r="K77" s="510"/>
      <c r="L77" s="511"/>
      <c r="M77" s="512"/>
      <c r="N77" s="513"/>
    </row>
    <row r="78" spans="2:14">
      <c r="B78" s="344"/>
      <c r="C78" s="506"/>
      <c r="D78" s="507"/>
      <c r="E78" s="507"/>
      <c r="F78" s="507"/>
      <c r="G78" s="507"/>
      <c r="H78" s="345"/>
      <c r="I78" s="508"/>
      <c r="J78" s="509"/>
      <c r="K78" s="510"/>
      <c r="L78" s="511"/>
      <c r="M78" s="512"/>
      <c r="N78" s="513"/>
    </row>
    <row r="79" spans="2:14" ht="13.5" thickBot="1">
      <c r="B79" s="346"/>
      <c r="C79" s="514"/>
      <c r="D79" s="515"/>
      <c r="E79" s="515"/>
      <c r="F79" s="515"/>
      <c r="G79" s="515"/>
      <c r="H79" s="347"/>
      <c r="I79" s="516"/>
      <c r="J79" s="517"/>
      <c r="K79" s="518"/>
      <c r="L79" s="519"/>
      <c r="M79" s="520"/>
      <c r="N79" s="521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sqref="A1:F1"/>
    </sheetView>
  </sheetViews>
  <sheetFormatPr defaultColWidth="9.140625" defaultRowHeight="12.75"/>
  <cols>
    <col min="1" max="6" width="14.7109375" style="348" customWidth="1"/>
    <col min="7" max="16384" width="9.140625" style="348"/>
  </cols>
  <sheetData>
    <row r="1" spans="1:7" ht="20.25">
      <c r="A1" s="522" t="s">
        <v>380</v>
      </c>
      <c r="B1" s="522"/>
      <c r="C1" s="522"/>
      <c r="D1" s="522"/>
      <c r="E1" s="522"/>
      <c r="F1" s="522"/>
    </row>
    <row r="2" spans="1:7" ht="19.5" thickBot="1">
      <c r="A2" s="349"/>
      <c r="B2" s="349"/>
      <c r="C2" s="523" t="s">
        <v>392</v>
      </c>
      <c r="D2" s="523"/>
      <c r="E2" s="349"/>
      <c r="F2" s="349"/>
      <c r="G2" s="349"/>
    </row>
    <row r="3" spans="1:7" ht="19.5">
      <c r="A3" s="524" t="s">
        <v>381</v>
      </c>
      <c r="B3" s="525"/>
      <c r="C3" s="526"/>
      <c r="D3" s="524" t="s">
        <v>382</v>
      </c>
      <c r="E3" s="525"/>
      <c r="F3" s="526"/>
      <c r="G3" s="349"/>
    </row>
    <row r="4" spans="1:7" ht="15.75">
      <c r="A4" s="350" t="s">
        <v>393</v>
      </c>
      <c r="B4" s="527" t="s">
        <v>395</v>
      </c>
      <c r="C4" s="528"/>
      <c r="D4" s="529" t="s">
        <v>396</v>
      </c>
      <c r="E4" s="530"/>
      <c r="F4" s="531"/>
      <c r="G4" s="349"/>
    </row>
    <row r="5" spans="1:7" ht="16.5" thickBot="1">
      <c r="A5" s="351" t="s">
        <v>394</v>
      </c>
      <c r="B5" s="535" t="s">
        <v>394</v>
      </c>
      <c r="C5" s="536"/>
      <c r="D5" s="537" t="s">
        <v>397</v>
      </c>
      <c r="E5" s="538"/>
      <c r="F5" s="539"/>
      <c r="G5" s="349"/>
    </row>
    <row r="6" spans="1:7" ht="19.5">
      <c r="A6" s="524" t="s">
        <v>383</v>
      </c>
      <c r="B6" s="525"/>
      <c r="C6" s="525"/>
      <c r="D6" s="525"/>
      <c r="E6" s="525"/>
      <c r="F6" s="526"/>
      <c r="G6" s="349"/>
    </row>
    <row r="7" spans="1:7" ht="15.75">
      <c r="A7" s="352" t="s">
        <v>384</v>
      </c>
      <c r="B7" s="353" t="s">
        <v>398</v>
      </c>
      <c r="C7" s="354" t="s">
        <v>385</v>
      </c>
      <c r="D7" s="355" t="s">
        <v>399</v>
      </c>
      <c r="E7" s="540" t="s">
        <v>386</v>
      </c>
      <c r="F7" s="541"/>
      <c r="G7" s="349"/>
    </row>
    <row r="8" spans="1:7" ht="16.5" thickBot="1">
      <c r="A8" s="356"/>
      <c r="B8" s="357" t="s">
        <v>394</v>
      </c>
      <c r="C8" s="358"/>
      <c r="D8" s="359" t="s">
        <v>394</v>
      </c>
      <c r="E8" s="542" t="s">
        <v>400</v>
      </c>
      <c r="F8" s="539"/>
      <c r="G8" s="349"/>
    </row>
    <row r="9" spans="1:7" ht="19.5">
      <c r="A9" s="524" t="s">
        <v>387</v>
      </c>
      <c r="B9" s="525"/>
      <c r="C9" s="526"/>
      <c r="D9" s="524" t="s">
        <v>388</v>
      </c>
      <c r="E9" s="525"/>
      <c r="F9" s="526"/>
      <c r="G9" s="349"/>
    </row>
    <row r="10" spans="1:7" ht="15.75">
      <c r="A10" s="360" t="s">
        <v>389</v>
      </c>
      <c r="B10" s="543" t="s">
        <v>401</v>
      </c>
      <c r="C10" s="528"/>
      <c r="D10" s="544" t="s">
        <v>403</v>
      </c>
      <c r="E10" s="545"/>
      <c r="F10" s="361" t="s">
        <v>404</v>
      </c>
      <c r="G10" s="349"/>
    </row>
    <row r="11" spans="1:7" ht="16.5" thickBot="1">
      <c r="A11" s="362" t="s">
        <v>390</v>
      </c>
      <c r="B11" s="538" t="s">
        <v>402</v>
      </c>
      <c r="C11" s="539"/>
      <c r="D11" s="546"/>
      <c r="E11" s="547"/>
      <c r="F11" s="363" t="s">
        <v>394</v>
      </c>
      <c r="G11" s="349"/>
    </row>
    <row r="12" spans="1:7" ht="19.5">
      <c r="A12" s="524" t="s">
        <v>391</v>
      </c>
      <c r="B12" s="525"/>
      <c r="C12" s="525"/>
      <c r="D12" s="525"/>
      <c r="E12" s="525"/>
      <c r="F12" s="526"/>
      <c r="G12" s="349"/>
    </row>
    <row r="13" spans="1:7" ht="16.5" thickBot="1">
      <c r="A13" s="532" t="s">
        <v>405</v>
      </c>
      <c r="B13" s="533"/>
      <c r="C13" s="534" t="s">
        <v>406</v>
      </c>
      <c r="D13" s="534"/>
      <c r="E13" s="534"/>
      <c r="F13" s="364"/>
      <c r="G13" s="349"/>
    </row>
    <row r="14" spans="1:7" ht="18.95" customHeight="1">
      <c r="A14" s="365"/>
      <c r="B14" s="365"/>
      <c r="C14" s="365"/>
      <c r="D14" s="365"/>
      <c r="E14" s="365"/>
      <c r="F14" s="365"/>
      <c r="G14" s="349"/>
    </row>
    <row r="15" spans="1:7" ht="15.75">
      <c r="G15" s="349"/>
    </row>
    <row r="16" spans="1:7" ht="15.75">
      <c r="G16" s="349"/>
    </row>
    <row r="17" spans="7:7" ht="15.75">
      <c r="G17" s="349"/>
    </row>
    <row r="18" spans="7:7" ht="15.75">
      <c r="G18" s="349"/>
    </row>
    <row r="19" spans="7:7" ht="15.75">
      <c r="G19" s="349"/>
    </row>
    <row r="20" spans="7:7" ht="15.75">
      <c r="G20" s="349"/>
    </row>
    <row r="21" spans="7:7" ht="15.75">
      <c r="G21" s="349"/>
    </row>
    <row r="22" spans="7:7" ht="15.75">
      <c r="G22" s="349"/>
    </row>
    <row r="23" spans="7:7" ht="15.75">
      <c r="G23" s="349"/>
    </row>
    <row r="24" spans="7:7" ht="15.75">
      <c r="G24" s="349"/>
    </row>
    <row r="25" spans="7:7" ht="15.75">
      <c r="G25" s="349"/>
    </row>
    <row r="26" spans="7:7" ht="15.75">
      <c r="G26" s="349"/>
    </row>
    <row r="27" spans="7:7" ht="18.95" customHeight="1">
      <c r="G27" s="349"/>
    </row>
    <row r="28" spans="7:7" ht="15.75">
      <c r="G28" s="349"/>
    </row>
    <row r="29" spans="7:7" ht="15.75">
      <c r="G29" s="349"/>
    </row>
    <row r="30" spans="7:7" ht="15.75">
      <c r="G30" s="349"/>
    </row>
    <row r="31" spans="7:7" ht="15.75">
      <c r="G31" s="349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workbookViewId="0">
      <selection activeCell="F13" sqref="F13"/>
    </sheetView>
  </sheetViews>
  <sheetFormatPr defaultColWidth="9.140625"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264</v>
      </c>
      <c r="B2" s="370"/>
      <c r="C2" s="370"/>
      <c r="D2" s="370"/>
      <c r="E2" s="370"/>
      <c r="F2" s="371"/>
    </row>
    <row r="3" spans="1:6" ht="18.95" customHeight="1">
      <c r="A3" s="372" t="s">
        <v>407</v>
      </c>
      <c r="B3" s="370"/>
      <c r="C3" s="370"/>
      <c r="D3" s="370"/>
      <c r="E3" s="370"/>
      <c r="F3" s="371"/>
    </row>
    <row r="4" spans="1:6" ht="18.95" customHeight="1">
      <c r="A4" s="373"/>
      <c r="B4" s="374"/>
      <c r="C4" s="374"/>
      <c r="D4" s="374"/>
      <c r="E4" s="374"/>
      <c r="F4" s="375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408</v>
      </c>
      <c r="B6" s="548" t="s">
        <v>646</v>
      </c>
      <c r="C6" s="549"/>
      <c r="D6" s="550"/>
      <c r="E6" s="376" t="s">
        <v>409</v>
      </c>
      <c r="F6" s="377">
        <v>85</v>
      </c>
    </row>
    <row r="7" spans="1:6" ht="18.95" customHeight="1">
      <c r="A7" s="376" t="s">
        <v>410</v>
      </c>
      <c r="B7" s="377" t="s">
        <v>643</v>
      </c>
      <c r="C7" s="376" t="s">
        <v>411</v>
      </c>
      <c r="D7" s="377" t="s">
        <v>429</v>
      </c>
      <c r="E7" s="376" t="s">
        <v>412</v>
      </c>
      <c r="F7" s="377" t="s">
        <v>176</v>
      </c>
    </row>
    <row r="8" spans="1:6" ht="18.95" customHeight="1">
      <c r="A8" s="376" t="s">
        <v>413</v>
      </c>
      <c r="B8" s="377">
        <v>8</v>
      </c>
      <c r="C8" s="376" t="s">
        <v>414</v>
      </c>
      <c r="D8" s="377" t="s">
        <v>415</v>
      </c>
      <c r="E8" s="376" t="s">
        <v>416</v>
      </c>
      <c r="F8" s="377" t="s">
        <v>356</v>
      </c>
    </row>
    <row r="9" spans="1:6" ht="18.95" customHeight="1">
      <c r="A9" s="376" t="s">
        <v>417</v>
      </c>
      <c r="B9" s="377">
        <v>600</v>
      </c>
      <c r="C9" s="376" t="s">
        <v>418</v>
      </c>
      <c r="D9" s="377" t="s">
        <v>430</v>
      </c>
      <c r="E9" s="376" t="s">
        <v>2</v>
      </c>
      <c r="F9" s="378">
        <v>42076</v>
      </c>
    </row>
    <row r="10" spans="1:6" ht="18.95" customHeight="1">
      <c r="A10" s="376" t="s">
        <v>419</v>
      </c>
      <c r="B10" s="377">
        <v>895</v>
      </c>
      <c r="C10" s="376" t="s">
        <v>256</v>
      </c>
      <c r="D10" s="377" t="s">
        <v>420</v>
      </c>
      <c r="E10" s="376" t="s">
        <v>1</v>
      </c>
      <c r="F10" s="377" t="s">
        <v>644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 t="s">
        <v>421</v>
      </c>
      <c r="C12" s="380" t="s">
        <v>433</v>
      </c>
      <c r="D12" s="379" t="s">
        <v>255</v>
      </c>
      <c r="E12" s="380" t="s">
        <v>420</v>
      </c>
      <c r="F12" s="375"/>
    </row>
    <row r="13" spans="1:6" ht="18.95" customHeight="1">
      <c r="A13" s="373"/>
      <c r="B13" s="379" t="s">
        <v>422</v>
      </c>
      <c r="C13" s="381">
        <v>0.97</v>
      </c>
      <c r="D13" s="379" t="s">
        <v>423</v>
      </c>
      <c r="E13" s="365" t="s">
        <v>420</v>
      </c>
      <c r="F13" s="375"/>
    </row>
    <row r="14" spans="1:6" ht="18.95" customHeight="1">
      <c r="A14" s="373"/>
      <c r="B14" s="379" t="s">
        <v>424</v>
      </c>
      <c r="C14" s="381">
        <v>2.0499999999999998</v>
      </c>
      <c r="D14" s="379" t="s">
        <v>257</v>
      </c>
      <c r="E14" s="365" t="s">
        <v>420</v>
      </c>
      <c r="F14" s="375"/>
    </row>
    <row r="15" spans="1:6" ht="18.95" customHeight="1">
      <c r="A15" s="373"/>
      <c r="B15" s="379" t="s">
        <v>258</v>
      </c>
      <c r="C15" s="380" t="s">
        <v>432</v>
      </c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425</v>
      </c>
      <c r="B39" s="383"/>
      <c r="C39" s="383"/>
      <c r="D39" s="374"/>
      <c r="E39" s="379" t="s">
        <v>426</v>
      </c>
      <c r="F39" s="384"/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427</v>
      </c>
      <c r="D43" s="387" t="s">
        <v>639</v>
      </c>
      <c r="E43" s="386" t="s">
        <v>428</v>
      </c>
      <c r="F43" s="387" t="s">
        <v>642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254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8">
        <v>100</v>
      </c>
      <c r="B54" s="151">
        <v>0</v>
      </c>
      <c r="C54" s="151">
        <v>0.34071716666221619</v>
      </c>
      <c r="D54" s="151">
        <v>100</v>
      </c>
      <c r="E54" s="151"/>
      <c r="F54" s="151"/>
      <c r="G54" s="151"/>
      <c r="H54" s="151"/>
      <c r="I54" s="151"/>
      <c r="J54" s="151"/>
      <c r="K54" s="151"/>
      <c r="L54" s="151"/>
    </row>
    <row r="55" spans="1:12" ht="15" customHeight="1">
      <c r="A55" s="388">
        <v>99.799999967217445</v>
      </c>
      <c r="B55" s="151">
        <v>132.62666341348711</v>
      </c>
      <c r="C55" s="151">
        <v>175.93373107910156</v>
      </c>
      <c r="D55" s="151">
        <v>99.599998474121094</v>
      </c>
      <c r="E55" s="151"/>
      <c r="F55" s="151"/>
      <c r="G55" s="151"/>
      <c r="H55" s="151"/>
      <c r="I55" s="151"/>
      <c r="J55" s="151"/>
      <c r="K55" s="151"/>
      <c r="L55" s="151"/>
    </row>
    <row r="56" spans="1:12" ht="15" customHeight="1">
      <c r="A56" s="388">
        <v>98.999999836087227</v>
      </c>
      <c r="B56" s="151">
        <v>205</v>
      </c>
      <c r="C56" s="151">
        <v>466.77374267578125</v>
      </c>
      <c r="D56" s="151">
        <v>98</v>
      </c>
      <c r="E56" s="151"/>
      <c r="F56" s="151"/>
      <c r="G56" s="151"/>
      <c r="H56" s="151"/>
      <c r="I56" s="151"/>
      <c r="J56" s="151"/>
      <c r="K56" s="151"/>
      <c r="L56" s="151"/>
    </row>
    <row r="57" spans="1:12">
      <c r="A57" s="388">
        <v>93.789473548531532</v>
      </c>
      <c r="B57" s="151">
        <v>127.66529254060742</v>
      </c>
      <c r="C57" s="151">
        <v>527.93109130859375</v>
      </c>
      <c r="D57" s="151">
        <v>83.852630615234375</v>
      </c>
      <c r="E57" s="151"/>
      <c r="F57" s="151"/>
      <c r="G57" s="151"/>
      <c r="H57" s="151"/>
      <c r="I57" s="151"/>
      <c r="J57" s="151"/>
      <c r="K57" s="151"/>
      <c r="L57" s="151"/>
    </row>
    <row r="58" spans="1:12">
      <c r="A58" s="388">
        <v>88.578946888446808</v>
      </c>
      <c r="B58" s="151">
        <v>108.69213245508215</v>
      </c>
      <c r="C58" s="151">
        <v>546.36370849609375</v>
      </c>
      <c r="D58" s="151">
        <v>70.305259704589844</v>
      </c>
      <c r="E58" s="151"/>
      <c r="F58" s="151"/>
      <c r="G58" s="151"/>
      <c r="H58" s="151"/>
      <c r="I58" s="151"/>
      <c r="J58" s="151"/>
      <c r="K58" s="151"/>
      <c r="L58" s="151"/>
    </row>
    <row r="59" spans="1:12">
      <c r="A59" s="388">
        <v>83.368420600891113</v>
      </c>
      <c r="B59" s="151">
        <v>102.03153614958401</v>
      </c>
      <c r="C59" s="151">
        <v>557.143798828125</v>
      </c>
      <c r="D59" s="151">
        <v>57.410526275634766</v>
      </c>
      <c r="E59" s="151"/>
      <c r="F59" s="151"/>
      <c r="G59" s="151"/>
      <c r="H59" s="151"/>
      <c r="I59" s="151"/>
      <c r="J59" s="151"/>
      <c r="K59" s="151"/>
      <c r="L59" s="151"/>
    </row>
    <row r="60" spans="1:12">
      <c r="A60" s="388">
        <v>72.947368025779724</v>
      </c>
      <c r="B60" s="151">
        <v>98.824233462169218</v>
      </c>
      <c r="C60" s="151">
        <v>573.28936767578125</v>
      </c>
      <c r="D60" s="151">
        <v>38.010524749755859</v>
      </c>
      <c r="E60" s="151"/>
      <c r="F60" s="151"/>
      <c r="G60" s="151"/>
      <c r="H60" s="151"/>
      <c r="I60" s="151"/>
      <c r="J60" s="151"/>
      <c r="K60" s="151"/>
      <c r="L60" s="151"/>
    </row>
    <row r="61" spans="1:12">
      <c r="A61" s="388">
        <v>62.526315450668335</v>
      </c>
      <c r="B61" s="151">
        <v>97.939379519561442</v>
      </c>
      <c r="C61" s="151">
        <v>586.3316650390625</v>
      </c>
      <c r="D61" s="151">
        <v>24.778947830200195</v>
      </c>
      <c r="E61" s="151"/>
      <c r="F61" s="151"/>
      <c r="G61" s="151"/>
      <c r="H61" s="151"/>
      <c r="I61" s="151"/>
      <c r="J61" s="151"/>
      <c r="K61" s="151"/>
      <c r="L61" s="151"/>
    </row>
    <row r="62" spans="1:12">
      <c r="A62" s="388">
        <v>52.105262875556946</v>
      </c>
      <c r="B62" s="151">
        <v>97.530153518757928</v>
      </c>
      <c r="C62" s="151">
        <v>596.96856689453125</v>
      </c>
      <c r="D62" s="151">
        <v>15.684209823608398</v>
      </c>
      <c r="E62" s="151"/>
      <c r="F62" s="151"/>
      <c r="G62" s="151"/>
      <c r="H62" s="151"/>
      <c r="I62" s="151"/>
      <c r="J62" s="151"/>
      <c r="K62" s="151"/>
      <c r="L62" s="151"/>
    </row>
    <row r="63" spans="1:12">
      <c r="A63" s="388">
        <v>41.684210300445557</v>
      </c>
      <c r="B63" s="151">
        <v>97.28487260023735</v>
      </c>
      <c r="C63" s="151">
        <v>605.41864013671875</v>
      </c>
      <c r="D63" s="151">
        <v>9.0105257034301758</v>
      </c>
      <c r="E63" s="151"/>
      <c r="F63" s="151"/>
      <c r="G63" s="151"/>
      <c r="H63" s="151"/>
      <c r="I63" s="151"/>
      <c r="J63" s="151"/>
      <c r="K63" s="151"/>
      <c r="L63" s="151"/>
    </row>
    <row r="64" spans="1:12">
      <c r="A64" s="388">
        <v>31.263160705566406</v>
      </c>
      <c r="B64" s="151">
        <v>97.139629536505765</v>
      </c>
      <c r="C64" s="151">
        <v>612.20538330078125</v>
      </c>
      <c r="D64" s="151">
        <v>6.2526321411132813</v>
      </c>
      <c r="E64" s="151"/>
      <c r="F64" s="151"/>
      <c r="G64" s="151"/>
      <c r="H64" s="151"/>
      <c r="I64" s="151"/>
      <c r="J64" s="151"/>
      <c r="K64" s="151"/>
      <c r="L64" s="151"/>
    </row>
    <row r="65" spans="1:12">
      <c r="A65" s="388">
        <v>20.842105150222778</v>
      </c>
      <c r="B65" s="151">
        <v>97.057699986056576</v>
      </c>
      <c r="C65" s="151">
        <v>617.62347412109375</v>
      </c>
      <c r="D65" s="151">
        <v>7.8315787315368652</v>
      </c>
      <c r="E65" s="151"/>
      <c r="F65" s="151"/>
      <c r="G65" s="151"/>
      <c r="H65" s="151"/>
      <c r="I65" s="151"/>
      <c r="J65" s="151"/>
      <c r="K65" s="151"/>
      <c r="L65" s="151"/>
    </row>
    <row r="66" spans="1:12">
      <c r="A66" s="388">
        <v>10.421055555343628</v>
      </c>
      <c r="B66" s="151">
        <v>97.017145120781265</v>
      </c>
      <c r="C66" s="151">
        <v>622.10528564453125</v>
      </c>
      <c r="D66" s="151">
        <v>14.70526123046875</v>
      </c>
      <c r="E66" s="151"/>
      <c r="F66" s="151"/>
      <c r="G66" s="151"/>
      <c r="H66" s="151"/>
      <c r="I66" s="151"/>
      <c r="J66" s="151"/>
      <c r="K66" s="151"/>
      <c r="L66" s="151"/>
    </row>
    <row r="67" spans="1:12">
      <c r="A67" s="389">
        <v>0</v>
      </c>
      <c r="B67" s="151">
        <v>97</v>
      </c>
      <c r="C67" s="151">
        <v>625.88232421875</v>
      </c>
      <c r="D67" s="151">
        <v>30</v>
      </c>
      <c r="E67" s="151"/>
      <c r="F67" s="151"/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48" customWidth="1"/>
    <col min="2" max="7" width="10.7109375" style="348" customWidth="1"/>
    <col min="8" max="16384" width="9.140625" style="348"/>
  </cols>
  <sheetData>
    <row r="1" spans="1:12" ht="21" customHeight="1">
      <c r="A1" s="390" t="s">
        <v>434</v>
      </c>
      <c r="B1" s="523" t="s">
        <v>473</v>
      </c>
      <c r="C1" s="523"/>
      <c r="D1" s="523"/>
      <c r="E1" s="523"/>
      <c r="F1" s="523"/>
      <c r="G1" s="523"/>
    </row>
    <row r="2" spans="1:12" ht="15" customHeight="1"/>
    <row r="3" spans="1:12" ht="20.25">
      <c r="A3" s="391" t="s">
        <v>435</v>
      </c>
    </row>
    <row r="4" spans="1:12" ht="12" customHeight="1">
      <c r="A4" s="349"/>
      <c r="B4" s="349"/>
      <c r="C4" s="349"/>
      <c r="D4" s="349" t="s">
        <v>487</v>
      </c>
      <c r="E4" s="349"/>
      <c r="F4" s="349"/>
      <c r="G4" s="349"/>
      <c r="H4" s="349"/>
      <c r="I4" s="349"/>
      <c r="J4" s="349"/>
      <c r="K4" s="349"/>
      <c r="L4" s="349"/>
    </row>
    <row r="5" spans="1:12" ht="15.6" customHeight="1">
      <c r="A5" s="392" t="s">
        <v>5</v>
      </c>
      <c r="B5" s="392" t="s">
        <v>436</v>
      </c>
      <c r="C5" s="392" t="s">
        <v>437</v>
      </c>
      <c r="D5" s="392" t="s">
        <v>438</v>
      </c>
      <c r="E5" s="392" t="s">
        <v>439</v>
      </c>
      <c r="F5" s="392" t="s">
        <v>440</v>
      </c>
      <c r="G5" s="392" t="s">
        <v>441</v>
      </c>
      <c r="H5" s="349"/>
      <c r="I5" s="349"/>
      <c r="J5" s="349"/>
      <c r="K5" s="349"/>
      <c r="L5" s="349"/>
    </row>
    <row r="6" spans="1:12" ht="15.6" customHeight="1">
      <c r="A6" s="393" t="s">
        <v>442</v>
      </c>
      <c r="B6" s="393" t="s">
        <v>165</v>
      </c>
      <c r="C6" s="393" t="s">
        <v>165</v>
      </c>
      <c r="D6" s="393" t="s">
        <v>443</v>
      </c>
      <c r="E6" s="393" t="s">
        <v>135</v>
      </c>
      <c r="F6" s="393" t="s">
        <v>444</v>
      </c>
      <c r="G6" s="393" t="s">
        <v>444</v>
      </c>
      <c r="H6" s="349"/>
      <c r="I6" s="349"/>
      <c r="J6" s="349"/>
      <c r="K6" s="349"/>
      <c r="L6" s="349"/>
    </row>
    <row r="7" spans="1:12" ht="15.95" customHeight="1">
      <c r="A7" s="394" t="s">
        <v>474</v>
      </c>
      <c r="B7" s="394" t="s">
        <v>488</v>
      </c>
      <c r="C7" s="394" t="s">
        <v>500</v>
      </c>
      <c r="D7" s="394" t="s">
        <v>513</v>
      </c>
      <c r="E7" s="394" t="s">
        <v>526</v>
      </c>
      <c r="F7" s="394" t="s">
        <v>539</v>
      </c>
      <c r="G7" s="394" t="s">
        <v>552</v>
      </c>
      <c r="H7" s="349"/>
      <c r="I7" s="349"/>
      <c r="J7" s="349"/>
      <c r="K7" s="349"/>
      <c r="L7" s="349"/>
    </row>
    <row r="8" spans="1:12" ht="15.95" customHeight="1">
      <c r="A8" s="394" t="s">
        <v>475</v>
      </c>
      <c r="B8" s="394" t="s">
        <v>488</v>
      </c>
      <c r="C8" s="394" t="s">
        <v>501</v>
      </c>
      <c r="D8" s="394" t="s">
        <v>514</v>
      </c>
      <c r="E8" s="394" t="s">
        <v>527</v>
      </c>
      <c r="F8" s="394" t="s">
        <v>540</v>
      </c>
      <c r="G8" s="394" t="s">
        <v>553</v>
      </c>
      <c r="H8" s="349"/>
      <c r="I8" s="349"/>
      <c r="J8" s="349"/>
      <c r="K8" s="349"/>
      <c r="L8" s="349"/>
    </row>
    <row r="9" spans="1:12" ht="15.95" customHeight="1">
      <c r="A9" s="394" t="s">
        <v>476</v>
      </c>
      <c r="B9" s="394" t="s">
        <v>489</v>
      </c>
      <c r="C9" s="394" t="s">
        <v>502</v>
      </c>
      <c r="D9" s="394" t="s">
        <v>515</v>
      </c>
      <c r="E9" s="394" t="s">
        <v>528</v>
      </c>
      <c r="F9" s="394" t="s">
        <v>541</v>
      </c>
      <c r="G9" s="394" t="s">
        <v>554</v>
      </c>
      <c r="H9" s="349"/>
      <c r="I9" s="349"/>
      <c r="J9" s="349"/>
      <c r="K9" s="349"/>
      <c r="L9" s="349"/>
    </row>
    <row r="10" spans="1:12" ht="15.95" customHeight="1">
      <c r="A10" s="394" t="s">
        <v>477</v>
      </c>
      <c r="B10" s="394" t="s">
        <v>490</v>
      </c>
      <c r="C10" s="394" t="s">
        <v>503</v>
      </c>
      <c r="D10" s="394" t="s">
        <v>516</v>
      </c>
      <c r="E10" s="394" t="s">
        <v>529</v>
      </c>
      <c r="F10" s="394" t="s">
        <v>542</v>
      </c>
      <c r="G10" s="394" t="s">
        <v>555</v>
      </c>
      <c r="H10" s="349"/>
      <c r="I10" s="349"/>
      <c r="J10" s="349"/>
      <c r="K10" s="349"/>
      <c r="L10" s="349"/>
    </row>
    <row r="11" spans="1:12" ht="15.95" customHeight="1">
      <c r="A11" s="394" t="s">
        <v>478</v>
      </c>
      <c r="B11" s="394" t="s">
        <v>491</v>
      </c>
      <c r="C11" s="394" t="s">
        <v>504</v>
      </c>
      <c r="D11" s="394" t="s">
        <v>517</v>
      </c>
      <c r="E11" s="394" t="s">
        <v>530</v>
      </c>
      <c r="F11" s="394" t="s">
        <v>543</v>
      </c>
      <c r="G11" s="394" t="s">
        <v>556</v>
      </c>
      <c r="H11" s="349"/>
      <c r="I11" s="349"/>
      <c r="J11" s="349"/>
      <c r="K11" s="349"/>
      <c r="L11" s="349"/>
    </row>
    <row r="12" spans="1:12" ht="15.95" customHeight="1">
      <c r="A12" s="394" t="s">
        <v>479</v>
      </c>
      <c r="B12" s="394" t="s">
        <v>492</v>
      </c>
      <c r="C12" s="394" t="s">
        <v>505</v>
      </c>
      <c r="D12" s="394" t="s">
        <v>518</v>
      </c>
      <c r="E12" s="394" t="s">
        <v>531</v>
      </c>
      <c r="F12" s="394" t="s">
        <v>544</v>
      </c>
      <c r="G12" s="394" t="s">
        <v>557</v>
      </c>
      <c r="H12" s="349"/>
      <c r="I12" s="349"/>
      <c r="J12" s="349"/>
      <c r="K12" s="349"/>
      <c r="L12" s="349"/>
    </row>
    <row r="13" spans="1:12" ht="15.95" customHeight="1">
      <c r="A13" s="394" t="s">
        <v>480</v>
      </c>
      <c r="B13" s="394" t="s">
        <v>493</v>
      </c>
      <c r="C13" s="394" t="s">
        <v>506</v>
      </c>
      <c r="D13" s="394" t="s">
        <v>519</v>
      </c>
      <c r="E13" s="394" t="s">
        <v>532</v>
      </c>
      <c r="F13" s="394" t="s">
        <v>545</v>
      </c>
      <c r="G13" s="394" t="s">
        <v>558</v>
      </c>
      <c r="H13" s="349"/>
      <c r="I13" s="349"/>
      <c r="J13" s="349"/>
      <c r="K13" s="349"/>
      <c r="L13" s="349"/>
    </row>
    <row r="14" spans="1:12" ht="15.95" customHeight="1">
      <c r="A14" s="394" t="s">
        <v>481</v>
      </c>
      <c r="B14" s="394" t="s">
        <v>494</v>
      </c>
      <c r="C14" s="394" t="s">
        <v>507</v>
      </c>
      <c r="D14" s="394" t="s">
        <v>520</v>
      </c>
      <c r="E14" s="394" t="s">
        <v>533</v>
      </c>
      <c r="F14" s="394" t="s">
        <v>546</v>
      </c>
      <c r="G14" s="394" t="s">
        <v>559</v>
      </c>
      <c r="H14" s="349"/>
      <c r="I14" s="349"/>
      <c r="J14" s="349"/>
      <c r="K14" s="349"/>
      <c r="L14" s="349"/>
    </row>
    <row r="15" spans="1:12" ht="15.95" customHeight="1">
      <c r="A15" s="394" t="s">
        <v>482</v>
      </c>
      <c r="B15" s="394" t="s">
        <v>495</v>
      </c>
      <c r="C15" s="394" t="s">
        <v>508</v>
      </c>
      <c r="D15" s="394" t="s">
        <v>521</v>
      </c>
      <c r="E15" s="394" t="s">
        <v>534</v>
      </c>
      <c r="F15" s="394" t="s">
        <v>547</v>
      </c>
      <c r="G15" s="394" t="s">
        <v>560</v>
      </c>
      <c r="H15" s="349"/>
      <c r="I15" s="349"/>
      <c r="J15" s="349"/>
      <c r="K15" s="349"/>
      <c r="L15" s="349"/>
    </row>
    <row r="16" spans="1:12" ht="15.95" customHeight="1">
      <c r="A16" s="394" t="s">
        <v>483</v>
      </c>
      <c r="B16" s="394" t="s">
        <v>496</v>
      </c>
      <c r="C16" s="394" t="s">
        <v>509</v>
      </c>
      <c r="D16" s="394" t="s">
        <v>522</v>
      </c>
      <c r="E16" s="394" t="s">
        <v>535</v>
      </c>
      <c r="F16" s="394" t="s">
        <v>548</v>
      </c>
      <c r="G16" s="394" t="s">
        <v>561</v>
      </c>
      <c r="H16" s="349"/>
      <c r="I16" s="349"/>
      <c r="J16" s="349"/>
      <c r="K16" s="349"/>
      <c r="L16" s="349"/>
    </row>
    <row r="17" spans="1:12" ht="15.95" customHeight="1">
      <c r="A17" s="394" t="s">
        <v>484</v>
      </c>
      <c r="B17" s="394" t="s">
        <v>497</v>
      </c>
      <c r="C17" s="394" t="s">
        <v>510</v>
      </c>
      <c r="D17" s="394" t="s">
        <v>523</v>
      </c>
      <c r="E17" s="394" t="s">
        <v>536</v>
      </c>
      <c r="F17" s="394" t="s">
        <v>549</v>
      </c>
      <c r="G17" s="394" t="s">
        <v>562</v>
      </c>
      <c r="H17" s="349"/>
      <c r="I17" s="349"/>
      <c r="J17" s="349"/>
      <c r="K17" s="349"/>
      <c r="L17" s="349"/>
    </row>
    <row r="18" spans="1:12" ht="15.95" customHeight="1">
      <c r="A18" s="394" t="s">
        <v>485</v>
      </c>
      <c r="B18" s="394" t="s">
        <v>498</v>
      </c>
      <c r="C18" s="394" t="s">
        <v>511</v>
      </c>
      <c r="D18" s="394" t="s">
        <v>524</v>
      </c>
      <c r="E18" s="394" t="s">
        <v>537</v>
      </c>
      <c r="F18" s="394" t="s">
        <v>550</v>
      </c>
      <c r="G18" s="394" t="s">
        <v>563</v>
      </c>
      <c r="H18" s="349"/>
      <c r="I18" s="349"/>
      <c r="J18" s="349"/>
      <c r="K18" s="349"/>
      <c r="L18" s="349"/>
    </row>
    <row r="19" spans="1:12" ht="15.95" customHeight="1">
      <c r="A19" s="394" t="s">
        <v>486</v>
      </c>
      <c r="B19" s="394" t="s">
        <v>499</v>
      </c>
      <c r="C19" s="394" t="s">
        <v>512</v>
      </c>
      <c r="D19" s="394" t="s">
        <v>525</v>
      </c>
      <c r="E19" s="394" t="s">
        <v>538</v>
      </c>
      <c r="F19" s="394" t="s">
        <v>551</v>
      </c>
      <c r="G19" s="394" t="s">
        <v>564</v>
      </c>
      <c r="H19" s="349"/>
      <c r="I19" s="349"/>
      <c r="J19" s="349"/>
      <c r="K19" s="349"/>
      <c r="L19" s="349"/>
    </row>
    <row r="20" spans="1:12" ht="15.75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</row>
    <row r="21" spans="1:12" ht="15.75">
      <c r="A21" s="349"/>
      <c r="B21" s="349"/>
      <c r="C21" s="349"/>
      <c r="D21" s="552" t="s">
        <v>574</v>
      </c>
      <c r="E21" s="553"/>
      <c r="F21" s="553"/>
      <c r="G21" s="554"/>
      <c r="H21" s="349"/>
      <c r="I21" s="349"/>
      <c r="J21" s="349"/>
      <c r="K21" s="349"/>
      <c r="L21" s="349"/>
    </row>
    <row r="22" spans="1:12" ht="17.25" customHeight="1">
      <c r="A22" s="349"/>
      <c r="B22" s="555" t="s">
        <v>445</v>
      </c>
      <c r="C22" s="555"/>
      <c r="D22" s="555" t="s">
        <v>446</v>
      </c>
      <c r="E22" s="555"/>
      <c r="F22" s="555" t="s">
        <v>447</v>
      </c>
      <c r="G22" s="555"/>
      <c r="H22" s="349"/>
      <c r="I22" s="349"/>
      <c r="J22" s="349"/>
      <c r="K22" s="349"/>
      <c r="L22" s="349"/>
    </row>
    <row r="23" spans="1:12" ht="15.75">
      <c r="A23" s="395" t="s">
        <v>448</v>
      </c>
      <c r="B23" s="551" t="s">
        <v>565</v>
      </c>
      <c r="C23" s="551"/>
      <c r="D23" s="551" t="s">
        <v>568</v>
      </c>
      <c r="E23" s="551"/>
      <c r="F23" s="551" t="s">
        <v>571</v>
      </c>
      <c r="G23" s="551"/>
      <c r="H23" s="349"/>
      <c r="I23" s="349"/>
      <c r="J23" s="349"/>
      <c r="K23" s="349"/>
      <c r="L23" s="349"/>
    </row>
    <row r="24" spans="1:12" ht="18" customHeight="1">
      <c r="A24" s="395" t="s">
        <v>449</v>
      </c>
      <c r="B24" s="551" t="s">
        <v>566</v>
      </c>
      <c r="C24" s="551"/>
      <c r="D24" s="551" t="s">
        <v>569</v>
      </c>
      <c r="E24" s="551"/>
      <c r="F24" s="551" t="s">
        <v>572</v>
      </c>
      <c r="G24" s="551"/>
      <c r="H24" s="349"/>
      <c r="I24" s="349"/>
      <c r="J24" s="349"/>
      <c r="K24" s="349"/>
      <c r="L24" s="349"/>
    </row>
    <row r="25" spans="1:12" ht="15.75">
      <c r="A25" s="395" t="s">
        <v>450</v>
      </c>
      <c r="B25" s="551" t="s">
        <v>567</v>
      </c>
      <c r="C25" s="551"/>
      <c r="D25" s="551" t="s">
        <v>570</v>
      </c>
      <c r="E25" s="551"/>
      <c r="F25" s="551" t="s">
        <v>573</v>
      </c>
      <c r="G25" s="551"/>
      <c r="H25" s="349"/>
      <c r="I25" s="349"/>
      <c r="J25" s="349"/>
      <c r="K25" s="349"/>
      <c r="L25" s="349"/>
    </row>
    <row r="26" spans="1:12" ht="15.75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</row>
    <row r="27" spans="1:12" ht="20.25">
      <c r="A27" s="391" t="s">
        <v>451</v>
      </c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</row>
    <row r="28" spans="1:12" ht="15.75">
      <c r="A28" s="349"/>
      <c r="B28" s="349"/>
      <c r="C28" s="349"/>
      <c r="D28" s="349"/>
      <c r="E28" s="556" t="s">
        <v>452</v>
      </c>
      <c r="F28" s="553"/>
      <c r="G28" s="554"/>
      <c r="H28" s="349"/>
      <c r="I28" s="349"/>
      <c r="J28" s="349"/>
      <c r="K28" s="349"/>
      <c r="L28" s="349"/>
    </row>
    <row r="29" spans="1:12" ht="15.75">
      <c r="A29" s="349"/>
      <c r="B29" s="555" t="s">
        <v>453</v>
      </c>
      <c r="C29" s="555"/>
      <c r="D29" s="396" t="s">
        <v>454</v>
      </c>
      <c r="E29" s="396" t="s">
        <v>455</v>
      </c>
      <c r="F29" s="555" t="s">
        <v>456</v>
      </c>
      <c r="G29" s="555"/>
      <c r="H29" s="349"/>
      <c r="I29" s="349"/>
      <c r="J29" s="349"/>
      <c r="K29" s="349"/>
      <c r="L29" s="349"/>
    </row>
    <row r="30" spans="1:12" ht="15.75">
      <c r="A30" s="395" t="s">
        <v>457</v>
      </c>
      <c r="B30" s="551" t="s">
        <v>575</v>
      </c>
      <c r="C30" s="551"/>
      <c r="D30" s="394" t="s">
        <v>578</v>
      </c>
      <c r="E30" s="394" t="s">
        <v>458</v>
      </c>
      <c r="F30" s="551" t="s">
        <v>581</v>
      </c>
      <c r="G30" s="551"/>
      <c r="H30" s="349"/>
      <c r="I30" s="349"/>
      <c r="J30" s="349"/>
      <c r="K30" s="349"/>
      <c r="L30" s="349"/>
    </row>
    <row r="31" spans="1:12" ht="15.75">
      <c r="A31" s="395" t="s">
        <v>459</v>
      </c>
      <c r="B31" s="551" t="s">
        <v>576</v>
      </c>
      <c r="C31" s="551"/>
      <c r="D31" s="394" t="s">
        <v>579</v>
      </c>
      <c r="E31" s="394" t="s">
        <v>460</v>
      </c>
      <c r="F31" s="551" t="s">
        <v>582</v>
      </c>
      <c r="G31" s="551"/>
      <c r="H31" s="349"/>
      <c r="I31" s="349"/>
      <c r="J31" s="349"/>
      <c r="K31" s="349"/>
      <c r="L31" s="349"/>
    </row>
    <row r="32" spans="1:12" ht="15.75">
      <c r="A32" s="395" t="s">
        <v>461</v>
      </c>
      <c r="B32" s="551" t="s">
        <v>577</v>
      </c>
      <c r="C32" s="551"/>
      <c r="D32" s="394" t="s">
        <v>580</v>
      </c>
      <c r="E32" s="394" t="s">
        <v>462</v>
      </c>
      <c r="F32" s="551" t="s">
        <v>583</v>
      </c>
      <c r="G32" s="551"/>
      <c r="H32" s="349"/>
      <c r="I32" s="349"/>
      <c r="J32" s="349"/>
      <c r="K32" s="349"/>
      <c r="L32" s="349"/>
    </row>
    <row r="33" spans="1:12" ht="15.75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  <row r="34" spans="1:12" ht="15.75">
      <c r="A34" s="349"/>
      <c r="B34" s="349"/>
      <c r="C34" s="349"/>
      <c r="D34" s="349"/>
      <c r="E34" s="556" t="s">
        <v>463</v>
      </c>
      <c r="F34" s="553"/>
      <c r="G34" s="554"/>
      <c r="H34" s="349"/>
      <c r="I34" s="349"/>
      <c r="J34" s="349"/>
      <c r="K34" s="349"/>
      <c r="L34" s="349"/>
    </row>
    <row r="35" spans="1:12" ht="15.75">
      <c r="A35" s="349"/>
      <c r="B35" s="555" t="s">
        <v>464</v>
      </c>
      <c r="C35" s="555"/>
      <c r="D35" s="396" t="s">
        <v>455</v>
      </c>
      <c r="E35" s="396" t="s">
        <v>465</v>
      </c>
      <c r="F35" s="396" t="s">
        <v>100</v>
      </c>
      <c r="G35" s="396" t="s">
        <v>466</v>
      </c>
      <c r="H35" s="349"/>
      <c r="I35" s="349"/>
      <c r="J35" s="349"/>
      <c r="K35" s="349"/>
      <c r="L35" s="349"/>
    </row>
    <row r="36" spans="1:12" ht="15.75">
      <c r="A36" s="395" t="s">
        <v>457</v>
      </c>
      <c r="B36" s="557" t="s">
        <v>584</v>
      </c>
      <c r="C36" s="558"/>
      <c r="D36" s="397" t="s">
        <v>586</v>
      </c>
      <c r="E36" s="397" t="s">
        <v>467</v>
      </c>
      <c r="F36" s="398" t="s">
        <v>468</v>
      </c>
      <c r="G36" s="394" t="s">
        <v>589</v>
      </c>
      <c r="H36" s="349"/>
      <c r="I36" s="349"/>
      <c r="J36" s="349"/>
      <c r="K36" s="349"/>
      <c r="L36" s="349"/>
    </row>
    <row r="37" spans="1:12" ht="15.75">
      <c r="A37" s="395" t="s">
        <v>459</v>
      </c>
      <c r="B37" s="557" t="s">
        <v>585</v>
      </c>
      <c r="C37" s="558"/>
      <c r="D37" s="397" t="s">
        <v>587</v>
      </c>
      <c r="E37" s="397" t="s">
        <v>467</v>
      </c>
      <c r="F37" s="398" t="s">
        <v>469</v>
      </c>
      <c r="G37" s="399" t="s">
        <v>590</v>
      </c>
      <c r="H37" s="349"/>
      <c r="I37" s="349"/>
      <c r="J37" s="349"/>
      <c r="K37" s="349"/>
      <c r="L37" s="349"/>
    </row>
    <row r="38" spans="1:12" ht="15.75">
      <c r="A38" s="395" t="s">
        <v>461</v>
      </c>
      <c r="B38" s="557" t="s">
        <v>585</v>
      </c>
      <c r="C38" s="558"/>
      <c r="D38" s="397" t="s">
        <v>588</v>
      </c>
      <c r="E38" s="397" t="s">
        <v>467</v>
      </c>
      <c r="F38" s="398" t="s">
        <v>470</v>
      </c>
      <c r="G38" s="394" t="s">
        <v>591</v>
      </c>
      <c r="H38" s="349"/>
      <c r="I38" s="349"/>
      <c r="J38" s="349"/>
      <c r="K38" s="349"/>
      <c r="L38" s="349"/>
    </row>
    <row r="39" spans="1:12" ht="15.75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</row>
    <row r="40" spans="1:12" ht="15.75">
      <c r="A40" s="400" t="s">
        <v>471</v>
      </c>
      <c r="B40" s="559" t="s">
        <v>592</v>
      </c>
      <c r="C40" s="559"/>
      <c r="D40" s="560" t="s">
        <v>472</v>
      </c>
      <c r="E40" s="560"/>
      <c r="F40" s="559" t="s">
        <v>593</v>
      </c>
      <c r="G40" s="559"/>
      <c r="H40" s="349"/>
      <c r="I40" s="349"/>
      <c r="J40" s="349"/>
      <c r="K40" s="349"/>
      <c r="L40" s="349"/>
    </row>
    <row r="41" spans="1:12" ht="15.75">
      <c r="A41" s="349"/>
      <c r="B41" s="349"/>
      <c r="C41" s="349"/>
      <c r="D41" s="349"/>
      <c r="E41" s="349"/>
      <c r="F41" s="349"/>
      <c r="G41" s="349"/>
      <c r="H41" s="349"/>
      <c r="I41" s="349"/>
      <c r="J41" s="349"/>
      <c r="K41" s="349"/>
      <c r="L41" s="349"/>
    </row>
    <row r="42" spans="1:12" ht="15.75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</row>
    <row r="43" spans="1:12" ht="15.75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</row>
    <row r="44" spans="1:12" ht="15.75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</row>
    <row r="45" spans="1:12" ht="15.75">
      <c r="A45" s="349"/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</row>
    <row r="46" spans="1:12" ht="15.75">
      <c r="A46" s="349"/>
      <c r="B46" s="349"/>
      <c r="C46" s="349"/>
      <c r="D46" s="349"/>
      <c r="E46" s="349"/>
      <c r="F46" s="349"/>
      <c r="G46" s="349"/>
      <c r="H46" s="349"/>
      <c r="I46" s="349"/>
      <c r="J46" s="349"/>
      <c r="K46" s="349"/>
      <c r="L46" s="349"/>
    </row>
    <row r="47" spans="1:12" ht="15.75">
      <c r="A47" s="349"/>
      <c r="B47" s="349"/>
      <c r="C47" s="349"/>
      <c r="D47" s="349"/>
      <c r="E47" s="349"/>
      <c r="F47" s="349"/>
      <c r="G47" s="349"/>
      <c r="H47" s="349"/>
      <c r="I47" s="349"/>
      <c r="J47" s="349"/>
      <c r="K47" s="349"/>
      <c r="L47" s="349"/>
    </row>
    <row r="48" spans="1:12" ht="15.75">
      <c r="A48" s="349"/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9"/>
    </row>
    <row r="49" spans="1:12" ht="15.75">
      <c r="A49" s="349"/>
      <c r="B49" s="349"/>
      <c r="C49" s="349"/>
      <c r="D49" s="349"/>
      <c r="E49" s="349"/>
      <c r="F49" s="349"/>
      <c r="G49" s="349"/>
      <c r="H49" s="349"/>
      <c r="I49" s="349"/>
      <c r="J49" s="349"/>
      <c r="K49" s="349"/>
      <c r="L49" s="349"/>
    </row>
    <row r="50" spans="1:12" ht="15.75">
      <c r="A50" s="349"/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</row>
    <row r="51" spans="1:12" ht="15.75">
      <c r="A51" s="349"/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</row>
    <row r="52" spans="1:12" ht="15.75">
      <c r="A52" s="349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</row>
    <row r="53" spans="1:12" ht="15.75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</row>
    <row r="54" spans="1:12" ht="15.75">
      <c r="A54" s="349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</row>
    <row r="55" spans="1:12" ht="15.75">
      <c r="A55" s="349"/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</row>
    <row r="56" spans="1:12" ht="15.75">
      <c r="A56" s="349"/>
      <c r="B56" s="349"/>
      <c r="C56" s="349"/>
      <c r="D56" s="349"/>
      <c r="E56" s="349"/>
      <c r="F56" s="349"/>
      <c r="G56" s="349"/>
      <c r="H56" s="349"/>
      <c r="I56" s="349"/>
      <c r="J56" s="349"/>
      <c r="K56" s="349"/>
      <c r="L56" s="349"/>
    </row>
    <row r="57" spans="1:12" ht="15.75">
      <c r="A57" s="349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</row>
    <row r="58" spans="1:12" ht="15.75">
      <c r="A58" s="349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</row>
    <row r="59" spans="1:12" ht="15.75">
      <c r="A59" s="349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</row>
    <row r="60" spans="1:12" ht="15.75">
      <c r="A60" s="349"/>
      <c r="B60" s="349"/>
      <c r="C60" s="349"/>
      <c r="D60" s="349"/>
      <c r="E60" s="349"/>
      <c r="F60" s="349"/>
      <c r="G60" s="349"/>
      <c r="H60" s="349"/>
      <c r="I60" s="349"/>
      <c r="J60" s="349"/>
      <c r="K60" s="349"/>
      <c r="L60" s="349"/>
    </row>
    <row r="61" spans="1:12" ht="15.75">
      <c r="A61" s="349"/>
      <c r="B61" s="349"/>
      <c r="C61" s="349"/>
      <c r="D61" s="349"/>
      <c r="E61" s="349"/>
      <c r="F61" s="349"/>
      <c r="G61" s="349"/>
      <c r="H61" s="349"/>
      <c r="I61" s="349"/>
      <c r="J61" s="349"/>
      <c r="K61" s="349"/>
      <c r="L61" s="34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19" workbookViewId="0">
      <selection activeCell="G15" sqref="G15"/>
    </sheetView>
  </sheetViews>
  <sheetFormatPr defaultColWidth="9.140625"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264</v>
      </c>
      <c r="B2" s="370"/>
      <c r="C2" s="370"/>
      <c r="D2" s="370"/>
      <c r="E2" s="370"/>
      <c r="F2" s="371"/>
    </row>
    <row r="3" spans="1:6" ht="18.95" customHeight="1">
      <c r="A3" s="561" t="s">
        <v>594</v>
      </c>
      <c r="B3" s="562"/>
      <c r="C3" s="562"/>
      <c r="D3" s="562"/>
      <c r="E3" s="562"/>
      <c r="F3" s="563"/>
    </row>
    <row r="4" spans="1:6" ht="18.95" customHeight="1">
      <c r="A4" s="564" t="s">
        <v>595</v>
      </c>
      <c r="B4" s="565"/>
      <c r="C4" s="565"/>
      <c r="D4" s="565"/>
      <c r="E4" s="565"/>
      <c r="F4" s="566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408</v>
      </c>
      <c r="B6" s="548" t="s">
        <v>646</v>
      </c>
      <c r="C6" s="549"/>
      <c r="D6" s="550"/>
      <c r="E6" s="376" t="s">
        <v>409</v>
      </c>
      <c r="F6" s="377">
        <v>85</v>
      </c>
    </row>
    <row r="7" spans="1:6" ht="18.95" customHeight="1">
      <c r="A7" s="376" t="s">
        <v>410</v>
      </c>
      <c r="B7" s="377" t="s">
        <v>643</v>
      </c>
      <c r="C7" s="376" t="s">
        <v>411</v>
      </c>
      <c r="D7" s="377" t="s">
        <v>429</v>
      </c>
      <c r="E7" s="376" t="s">
        <v>412</v>
      </c>
      <c r="F7" s="377" t="s">
        <v>176</v>
      </c>
    </row>
    <row r="8" spans="1:6" ht="18.95" customHeight="1">
      <c r="A8" s="376" t="s">
        <v>413</v>
      </c>
      <c r="B8" s="377">
        <v>8</v>
      </c>
      <c r="C8" s="376" t="s">
        <v>414</v>
      </c>
      <c r="D8" s="377" t="s">
        <v>415</v>
      </c>
      <c r="E8" s="376" t="s">
        <v>416</v>
      </c>
      <c r="F8" s="377" t="s">
        <v>356</v>
      </c>
    </row>
    <row r="9" spans="1:6" ht="18.95" customHeight="1">
      <c r="A9" s="376" t="s">
        <v>417</v>
      </c>
      <c r="B9" s="377">
        <v>600</v>
      </c>
      <c r="C9" s="376" t="s">
        <v>418</v>
      </c>
      <c r="D9" s="377" t="s">
        <v>430</v>
      </c>
      <c r="E9" s="376" t="s">
        <v>2</v>
      </c>
      <c r="F9" s="378">
        <v>42076</v>
      </c>
    </row>
    <row r="10" spans="1:6" ht="18.95" customHeight="1">
      <c r="A10" s="376" t="s">
        <v>419</v>
      </c>
      <c r="B10" s="377">
        <v>895</v>
      </c>
      <c r="C10" s="376" t="s">
        <v>256</v>
      </c>
      <c r="D10" s="377" t="s">
        <v>431</v>
      </c>
      <c r="E10" s="376" t="s">
        <v>1</v>
      </c>
      <c r="F10" s="377" t="s">
        <v>644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/>
      <c r="C12" s="380"/>
      <c r="D12" s="379"/>
      <c r="E12" s="380"/>
      <c r="F12" s="375"/>
    </row>
    <row r="13" spans="1:6" ht="18.95" customHeight="1">
      <c r="A13" s="373"/>
      <c r="B13" s="379"/>
      <c r="C13" s="381"/>
      <c r="D13" s="379"/>
      <c r="E13" s="380"/>
      <c r="F13" s="375"/>
    </row>
    <row r="14" spans="1:6" ht="18.95" customHeight="1">
      <c r="A14" s="373"/>
      <c r="B14" s="379"/>
      <c r="C14" s="381"/>
      <c r="D14" s="379"/>
      <c r="E14" s="380"/>
      <c r="F14" s="375"/>
    </row>
    <row r="15" spans="1:6" ht="18.95" customHeight="1">
      <c r="A15" s="373"/>
      <c r="B15" s="379"/>
      <c r="C15" s="380"/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425</v>
      </c>
      <c r="B39" s="383"/>
      <c r="C39" s="383"/>
      <c r="D39" s="374"/>
      <c r="E39" s="379" t="s">
        <v>426</v>
      </c>
      <c r="F39" s="384"/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427</v>
      </c>
      <c r="D43" s="387" t="s">
        <v>639</v>
      </c>
      <c r="E43" s="386" t="s">
        <v>428</v>
      </c>
      <c r="F43" s="387" t="s">
        <v>642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1" t="e">
        <f>5252.1*B50/D53</f>
        <v>#DIV/0!</v>
      </c>
      <c r="G50" s="40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2"/>
    </row>
    <row r="63" spans="6:9">
      <c r="I63" s="348" t="s">
        <v>39</v>
      </c>
    </row>
    <row r="66" spans="1:6">
      <c r="D66" s="401" t="e">
        <f>D65/D64</f>
        <v>#DIV/0!</v>
      </c>
    </row>
    <row r="67" spans="1:6">
      <c r="A67" s="403" t="s">
        <v>252</v>
      </c>
      <c r="B67" s="403" t="s">
        <v>596</v>
      </c>
      <c r="C67" s="403" t="s">
        <v>597</v>
      </c>
      <c r="E67" s="403" t="s">
        <v>598</v>
      </c>
      <c r="F67" s="403" t="s">
        <v>599</v>
      </c>
    </row>
    <row r="68" spans="1:6">
      <c r="A68" s="404">
        <v>625.88235294117646</v>
      </c>
      <c r="B68" s="405">
        <v>40</v>
      </c>
      <c r="C68" s="405">
        <v>25</v>
      </c>
      <c r="E68" s="404">
        <f>A68</f>
        <v>625.88235294117646</v>
      </c>
      <c r="F68" s="405">
        <v>1E-4</v>
      </c>
    </row>
    <row r="69" spans="1:6">
      <c r="A69" s="404">
        <f>FLOOR(A68,100)</f>
        <v>600</v>
      </c>
      <c r="B69" s="405">
        <f>((A68/A69)^2)*B68</f>
        <v>43.525413302575942</v>
      </c>
      <c r="C69" s="405">
        <f>((A68/A69)^2)*C68</f>
        <v>27.203383314109963</v>
      </c>
      <c r="E69" s="404">
        <v>624</v>
      </c>
      <c r="F69" s="405">
        <v>1.5709999799728394</v>
      </c>
    </row>
    <row r="70" spans="1:6">
      <c r="A70" s="404">
        <f>A69-100</f>
        <v>500</v>
      </c>
      <c r="B70" s="405">
        <f>((A68/A70)^2)*B68</f>
        <v>62.676595155709336</v>
      </c>
      <c r="C70" s="405">
        <f>((A68/A70)^2)*C68</f>
        <v>39.172871972318333</v>
      </c>
      <c r="E70" s="404">
        <v>619.88235294117646</v>
      </c>
      <c r="F70" s="405">
        <v>2.9389998912811279</v>
      </c>
    </row>
    <row r="71" spans="1:6">
      <c r="A71" s="404">
        <f>A70-100</f>
        <v>400</v>
      </c>
      <c r="B71" s="405">
        <f>((A68/A71)^2)*B68</f>
        <v>97.932179930795854</v>
      </c>
      <c r="C71" s="405">
        <f>((A68/A71)^2)*C68</f>
        <v>61.207612456747405</v>
      </c>
      <c r="E71" s="404">
        <v>614.94117647058829</v>
      </c>
      <c r="F71" s="405">
        <v>4.2420001029968262</v>
      </c>
    </row>
    <row r="72" spans="1:6">
      <c r="A72" s="404">
        <f>A71-100</f>
        <v>300</v>
      </c>
      <c r="B72" s="405">
        <f>((A68/A72)^2)*B68</f>
        <v>174.10165321030377</v>
      </c>
      <c r="C72" s="405"/>
      <c r="E72" s="404">
        <v>608.82352941176475</v>
      </c>
      <c r="F72" s="405">
        <v>5.5520000457763672</v>
      </c>
    </row>
    <row r="73" spans="1:6">
      <c r="A73" s="404">
        <f>A72-100</f>
        <v>200</v>
      </c>
      <c r="B73" s="405">
        <f>((A68/A73)^2)*B68</f>
        <v>391.72871972318342</v>
      </c>
      <c r="C73" s="405"/>
      <c r="E73" s="404">
        <v>601.17647058823525</v>
      </c>
      <c r="F73" s="405">
        <v>6.9310002326965332</v>
      </c>
    </row>
    <row r="74" spans="1:6">
      <c r="A74" s="404">
        <v>205</v>
      </c>
      <c r="B74" s="405">
        <f>((A68/A74)^2)*B68</f>
        <v>372.85303483467783</v>
      </c>
      <c r="C74" s="405">
        <f>((A68/A74)^2)*C68</f>
        <v>233.03314677167367</v>
      </c>
      <c r="E74" s="404">
        <v>591.64705882352939</v>
      </c>
      <c r="F74" s="405">
        <v>8.4460000991821289</v>
      </c>
    </row>
    <row r="75" spans="1:6">
      <c r="A75" s="406">
        <v>180</v>
      </c>
      <c r="B75" s="405">
        <f>((A68/A75)^2)*B69</f>
        <v>526.23933421112622</v>
      </c>
      <c r="C75" s="405">
        <f>((A68/A75)^2)*C68</f>
        <v>302.25981460122176</v>
      </c>
      <c r="E75" s="404">
        <v>579.76470588235293</v>
      </c>
      <c r="F75" s="405">
        <v>10.197999954223633</v>
      </c>
    </row>
    <row r="76" spans="1:6">
      <c r="A76" s="406">
        <v>120</v>
      </c>
      <c r="B76" s="405">
        <f>((A68/A76)^2)*B68</f>
        <v>1088.1353325643984</v>
      </c>
      <c r="C76" s="405">
        <f>((A68/A76)^2)*C68</f>
        <v>680.08458285274901</v>
      </c>
      <c r="E76" s="404">
        <v>565.17647058823525</v>
      </c>
      <c r="F76" s="405">
        <v>12.425000190734863</v>
      </c>
    </row>
    <row r="77" spans="1:6">
      <c r="A77" s="406">
        <v>110</v>
      </c>
      <c r="B77" s="405"/>
      <c r="C77" s="404">
        <f>CEILING(C76*2,100)</f>
        <v>1400</v>
      </c>
      <c r="E77" s="404">
        <v>551.76470588235293</v>
      </c>
      <c r="F77" s="405">
        <v>13.83899974822998</v>
      </c>
    </row>
    <row r="78" spans="1:6">
      <c r="A78" s="406">
        <v>110</v>
      </c>
      <c r="B78" s="405"/>
      <c r="C78" s="404">
        <f>2*C77</f>
        <v>2800</v>
      </c>
      <c r="E78" s="404">
        <v>537.17647058823525</v>
      </c>
      <c r="F78" s="405">
        <v>15.267000198364258</v>
      </c>
    </row>
    <row r="79" spans="1:6">
      <c r="A79" s="406">
        <v>110</v>
      </c>
      <c r="B79" s="406"/>
      <c r="C79" s="406">
        <v>10000</v>
      </c>
      <c r="E79" s="404">
        <v>497.29411764705884</v>
      </c>
      <c r="F79" s="405">
        <v>16.045000076293945</v>
      </c>
    </row>
    <row r="80" spans="1:6">
      <c r="E80" s="404">
        <v>321.41176470588238</v>
      </c>
      <c r="F80" s="405">
        <v>16.173999786376953</v>
      </c>
    </row>
    <row r="81" spans="5:6">
      <c r="E81" s="404">
        <v>0</v>
      </c>
      <c r="F81" s="405">
        <v>16.310998916625977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sqref="A1:K1"/>
    </sheetView>
  </sheetViews>
  <sheetFormatPr defaultColWidth="9.140625" defaultRowHeight="12.75"/>
  <cols>
    <col min="1" max="1" width="9.5703125" style="348" customWidth="1"/>
    <col min="2" max="11" width="7.7109375" style="348" customWidth="1"/>
    <col min="12" max="16384" width="9.140625" style="348"/>
  </cols>
  <sheetData>
    <row r="1" spans="1:12" ht="20.25">
      <c r="A1" s="567" t="s">
        <v>600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349"/>
    </row>
    <row r="2" spans="1:12" ht="30" customHeight="1">
      <c r="A2" s="349"/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</row>
    <row r="3" spans="1:12" ht="19.5">
      <c r="A3" s="379" t="s">
        <v>434</v>
      </c>
      <c r="B3" s="407" t="s">
        <v>473</v>
      </c>
      <c r="C3" s="349"/>
      <c r="D3" s="349"/>
      <c r="E3" s="349"/>
      <c r="F3" s="349"/>
      <c r="G3" s="349"/>
      <c r="H3" s="349"/>
      <c r="I3" s="349"/>
      <c r="J3" s="349"/>
      <c r="K3" s="349"/>
      <c r="L3" s="349"/>
    </row>
    <row r="4" spans="1:12" ht="12" customHeight="1">
      <c r="A4" s="349"/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</row>
    <row r="5" spans="1:12" ht="19.5">
      <c r="A5" s="408" t="s">
        <v>601</v>
      </c>
      <c r="B5" s="374"/>
      <c r="C5" s="374"/>
      <c r="D5" s="374"/>
      <c r="E5" s="374"/>
      <c r="F5" s="349"/>
      <c r="G5" s="349"/>
      <c r="H5" s="349"/>
      <c r="I5" s="349"/>
      <c r="J5" s="349"/>
      <c r="K5" s="349"/>
      <c r="L5" s="349"/>
    </row>
    <row r="6" spans="1:12" ht="17.25" customHeight="1">
      <c r="A6" s="349"/>
      <c r="B6" s="349"/>
      <c r="C6" s="349"/>
      <c r="D6" s="349"/>
      <c r="E6" s="349"/>
      <c r="F6" s="349"/>
      <c r="G6" s="349"/>
      <c r="H6" s="349"/>
      <c r="I6" s="349"/>
      <c r="J6" s="349"/>
      <c r="K6" s="349"/>
      <c r="L6" s="349"/>
    </row>
    <row r="7" spans="1:12" ht="15.75">
      <c r="A7" s="349"/>
      <c r="B7" s="409" t="s">
        <v>602</v>
      </c>
      <c r="C7" s="410">
        <v>0</v>
      </c>
      <c r="D7" s="409" t="s">
        <v>602</v>
      </c>
      <c r="E7" s="411" t="s">
        <v>603</v>
      </c>
      <c r="F7" s="409" t="s">
        <v>602</v>
      </c>
      <c r="G7" s="411" t="s">
        <v>604</v>
      </c>
      <c r="H7" s="409" t="s">
        <v>605</v>
      </c>
      <c r="I7" s="411">
        <v>0</v>
      </c>
      <c r="J7" s="409" t="s">
        <v>605</v>
      </c>
      <c r="K7" s="411">
        <v>5.0000000000000001E-3</v>
      </c>
      <c r="L7" s="349"/>
    </row>
    <row r="8" spans="1:12" ht="15.75">
      <c r="A8" s="394" t="s">
        <v>606</v>
      </c>
      <c r="B8" s="551">
        <v>6</v>
      </c>
      <c r="C8" s="551"/>
      <c r="D8" s="551">
        <v>30</v>
      </c>
      <c r="E8" s="551"/>
      <c r="F8" s="551">
        <v>18</v>
      </c>
      <c r="G8" s="551"/>
      <c r="H8" s="551" t="s">
        <v>621</v>
      </c>
      <c r="I8" s="551"/>
      <c r="J8" s="551" t="s">
        <v>622</v>
      </c>
      <c r="K8" s="551"/>
      <c r="L8" s="349"/>
    </row>
    <row r="9" spans="1:12" ht="15.75">
      <c r="A9" s="394" t="s">
        <v>607</v>
      </c>
      <c r="B9" s="551">
        <v>22</v>
      </c>
      <c r="C9" s="551"/>
      <c r="D9" s="551">
        <v>46</v>
      </c>
      <c r="E9" s="551"/>
      <c r="F9" s="551">
        <v>2</v>
      </c>
      <c r="G9" s="551"/>
      <c r="H9" s="551" t="s">
        <v>623</v>
      </c>
      <c r="I9" s="551"/>
      <c r="J9" s="551" t="s">
        <v>624</v>
      </c>
      <c r="K9" s="551"/>
      <c r="L9" s="349"/>
    </row>
    <row r="10" spans="1:12" ht="15.75">
      <c r="A10" s="394" t="s">
        <v>608</v>
      </c>
      <c r="B10" s="551">
        <v>14</v>
      </c>
      <c r="C10" s="551"/>
      <c r="D10" s="551">
        <v>38</v>
      </c>
      <c r="E10" s="551"/>
      <c r="F10" s="551">
        <v>10</v>
      </c>
      <c r="G10" s="551"/>
      <c r="H10" s="551" t="s">
        <v>625</v>
      </c>
      <c r="I10" s="551"/>
      <c r="J10" s="551" t="s">
        <v>626</v>
      </c>
      <c r="K10" s="551"/>
      <c r="L10" s="349"/>
    </row>
    <row r="11" spans="1:12" ht="26.25" customHeight="1">
      <c r="A11" s="349"/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</row>
    <row r="12" spans="1:12" ht="19.5">
      <c r="A12" s="408" t="s">
        <v>609</v>
      </c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</row>
    <row r="13" spans="1:12" ht="15.75">
      <c r="A13" s="349"/>
      <c r="B13" s="349"/>
      <c r="C13" s="349"/>
      <c r="D13" s="349"/>
      <c r="E13" s="349"/>
      <c r="F13" s="349"/>
      <c r="G13" s="349"/>
      <c r="H13" s="349"/>
      <c r="I13" s="349"/>
      <c r="J13" s="349"/>
      <c r="K13" s="349"/>
      <c r="L13" s="349"/>
    </row>
    <row r="14" spans="1:12" ht="15.75">
      <c r="A14" s="349"/>
      <c r="B14" s="568" t="s">
        <v>610</v>
      </c>
      <c r="C14" s="557"/>
      <c r="D14" s="569" t="s">
        <v>627</v>
      </c>
      <c r="E14" s="551"/>
      <c r="F14" s="568" t="s">
        <v>611</v>
      </c>
      <c r="G14" s="557"/>
      <c r="H14" s="569" t="s">
        <v>632</v>
      </c>
      <c r="I14" s="551"/>
      <c r="J14" s="349"/>
      <c r="K14" s="349"/>
      <c r="L14" s="349"/>
    </row>
    <row r="15" spans="1:12" ht="15.75">
      <c r="A15" s="349"/>
      <c r="B15" s="568" t="s">
        <v>612</v>
      </c>
      <c r="C15" s="557"/>
      <c r="D15" s="569" t="s">
        <v>628</v>
      </c>
      <c r="E15" s="551"/>
      <c r="F15" s="568" t="s">
        <v>613</v>
      </c>
      <c r="G15" s="557"/>
      <c r="H15" s="569" t="s">
        <v>633</v>
      </c>
      <c r="I15" s="551"/>
      <c r="J15" s="349"/>
      <c r="K15" s="349"/>
      <c r="L15" s="349"/>
    </row>
    <row r="16" spans="1:12" ht="15.75">
      <c r="A16" s="349"/>
      <c r="B16" s="568" t="s">
        <v>614</v>
      </c>
      <c r="C16" s="557"/>
      <c r="D16" s="569" t="s">
        <v>629</v>
      </c>
      <c r="E16" s="551"/>
      <c r="F16" s="568" t="s">
        <v>615</v>
      </c>
      <c r="G16" s="557"/>
      <c r="H16" s="569" t="s">
        <v>634</v>
      </c>
      <c r="I16" s="551"/>
      <c r="J16" s="349"/>
      <c r="K16" s="349"/>
      <c r="L16" s="349"/>
    </row>
    <row r="17" spans="1:12" ht="15.75">
      <c r="A17" s="349"/>
      <c r="B17" s="568" t="s">
        <v>616</v>
      </c>
      <c r="C17" s="557"/>
      <c r="D17" s="569" t="s">
        <v>630</v>
      </c>
      <c r="E17" s="551"/>
      <c r="F17" s="568" t="s">
        <v>617</v>
      </c>
      <c r="G17" s="557"/>
      <c r="H17" s="569" t="s">
        <v>635</v>
      </c>
      <c r="I17" s="551"/>
      <c r="J17" s="349"/>
      <c r="K17" s="349"/>
      <c r="L17" s="349"/>
    </row>
    <row r="18" spans="1:12" ht="15.75">
      <c r="A18" s="349"/>
      <c r="B18" s="568" t="s">
        <v>618</v>
      </c>
      <c r="C18" s="557"/>
      <c r="D18" s="569" t="s">
        <v>631</v>
      </c>
      <c r="E18" s="551"/>
      <c r="F18" s="568" t="s">
        <v>619</v>
      </c>
      <c r="G18" s="557"/>
      <c r="H18" s="569" t="s">
        <v>636</v>
      </c>
      <c r="I18" s="551"/>
      <c r="J18" s="349"/>
      <c r="K18" s="349"/>
      <c r="L18" s="349"/>
    </row>
    <row r="19" spans="1:12" ht="27" customHeight="1">
      <c r="A19" s="349"/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</row>
    <row r="20" spans="1:12" ht="19.5">
      <c r="A20" s="408" t="s">
        <v>620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</row>
    <row r="21" spans="1:12" ht="15.75">
      <c r="A21" s="349"/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</row>
    <row r="22" spans="1:12" ht="19.5">
      <c r="A22" s="349"/>
      <c r="B22" s="408" t="s">
        <v>637</v>
      </c>
      <c r="C22" s="349"/>
      <c r="D22" s="349"/>
      <c r="E22" s="349"/>
      <c r="F22" s="349"/>
      <c r="G22" s="349"/>
      <c r="H22" s="349"/>
      <c r="I22" s="349"/>
      <c r="J22" s="349"/>
      <c r="K22" s="349"/>
      <c r="L22" s="349"/>
    </row>
    <row r="23" spans="1:12" ht="15.75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</row>
    <row r="24" spans="1:12" ht="15.75">
      <c r="A24" s="349"/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</row>
    <row r="25" spans="1:12" ht="15.75">
      <c r="A25" s="349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</row>
    <row r="26" spans="1:12" ht="15.75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</row>
    <row r="27" spans="1:12" ht="15.75">
      <c r="A27" s="349"/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</row>
    <row r="28" spans="1:12" ht="15.75">
      <c r="A28" s="34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</row>
    <row r="29" spans="1:12" ht="15.75">
      <c r="A29" s="349"/>
      <c r="B29" s="349"/>
      <c r="C29" s="349"/>
      <c r="D29" s="349"/>
      <c r="E29" s="349"/>
      <c r="F29" s="349"/>
      <c r="G29" s="349"/>
      <c r="H29" s="349"/>
      <c r="I29" s="349"/>
      <c r="J29" s="349"/>
      <c r="K29" s="349"/>
      <c r="L29" s="349"/>
    </row>
    <row r="30" spans="1:12" ht="15.75">
      <c r="A30" s="349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</row>
    <row r="31" spans="1:12" ht="15.75">
      <c r="A31" s="349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</row>
    <row r="32" spans="1:12" ht="15.75">
      <c r="A32" s="349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</row>
    <row r="33" spans="1:12" ht="15.75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'Data Sheet'!Print_Area</vt:lpstr>
      <vt:lpstr>DesignSheet!Print_Area</vt:lpstr>
      <vt:lpstr>Form!Print_Area</vt:lpstr>
      <vt:lpstr>LoginSheet!Print_Area</vt:lpstr>
      <vt:lpstr>StallTime!Print_Area</vt:lpstr>
      <vt:lpstr>STCurve!Print_Area</vt:lpstr>
      <vt:lpstr>Thermdam!Print_Area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Rodriguez, Jerry (TIC)</cp:lastModifiedBy>
  <cp:lastPrinted>1997-10-31T21:44:37Z</cp:lastPrinted>
  <dcterms:created xsi:type="dcterms:W3CDTF">1997-10-03T20:37:30Z</dcterms:created>
  <dcterms:modified xsi:type="dcterms:W3CDTF">2024-03-11T20:17:42Z</dcterms:modified>
</cp:coreProperties>
</file>