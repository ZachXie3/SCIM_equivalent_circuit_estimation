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8P\SERIES\"/>
    </mc:Choice>
  </mc:AlternateContent>
  <bookViews>
    <workbookView xWindow="3165" yWindow="1080" windowWidth="4800" windowHeight="5190" tabRatio="692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M11" i="3" l="1"/>
  <c r="M10" i="3"/>
  <c r="M9" i="3"/>
  <c r="M8" i="3"/>
  <c r="M7" i="3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<sst xmlns="http://schemas.openxmlformats.org/spreadsheetml/2006/main" count="826" uniqueCount="650">
  <si>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</si>
  <si>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</si>
  <si>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</si>
  <si>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</si>
  <si>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</si>
  <si>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</si>
  <si>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</si>
  <si>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</si>
  <si>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</si>
  <si>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</si>
  <si>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</si>
  <si>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</si>
  <si>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</si>
  <si>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</si>
  <si>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</si>
  <si>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</si>
  <si>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</si>
  <si>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</si>
  <si>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</si>
  <si>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</si>
  <si>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</si>
  <si>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</si>
  <si>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</si>
  <si>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</si>
  <si>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</si>
  <si>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</si>
  <si>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</si>
  <si>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</si>
  <si>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</si>
  <si>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</si>
  <si>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</si>
  <si>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</si>
  <si>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</si>
  <si>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</si>
  <si>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</si>
  <si>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</si>
  <si>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</si>
  <si>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</si>
  <si>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</si>
  <si>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</si>
  <si>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</si>
  <si>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</si>
  <si>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</si>
  <si>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</si>
  <si>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</si>
  <si>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</si>
  <si>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</si>
  <si>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</si>
  <si>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</si>
  <si>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</si>
  <si>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</si>
  <si>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</si>
  <si>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</si>
  <si>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</si>
  <si>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</si>
  <si>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</si>
  <si>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</si>
  <si>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</si>
  <si>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</si>
  <si>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</si>
  <si>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</si>
  <si>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</si>
  <si>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</si>
  <si>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</si>
  <si>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</si>
  <si>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</si>
  <si>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</si>
  <si>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</si>
  <si>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</si>
  <si>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</si>
  <si>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</si>
  <si>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</si>
  <si>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</si>
  <si>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</si>
  <si>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</si>
  <si>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</si>
  <si>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</si>
  <si>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</si>
  <si>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</si>
  <si>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</si>
  <si>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</si>
  <si>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</si>
  <si>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</si>
  <si>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</si>
  <si>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</si>
  <si>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</si>
  <si>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</si>
  <si>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</si>
  <si>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</si>
  <si>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</si>
  <si>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</si>
  <si>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</si>
  <si>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</si>
  <si>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</si>
  <si>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</si>
  <si>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</si>
  <si>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</si>
  <si>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</si>
  <si>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</si>
  <si>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</si>
  <si>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</si>
  <si>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</si>
  <si>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</si>
  <si>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</si>
  <si>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</si>
  <si>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</si>
  <si>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</si>
  <si>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</si>
  <si>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</si>
  <si>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</si>
  <si>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</si>
  <si>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</si>
  <si>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</si>
  <si>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</si>
  <si>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</si>
  <si>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</si>
  <si>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</si>
  <si>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</si>
  <si>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</si>
  <si>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</si>
  <si>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</si>
  <si>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</si>
  <si>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</si>
  <si>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</si>
  <si>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</si>
  <si>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</si>
  <si>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</si>
  <si>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</si>
  <si>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</si>
  <si>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</si>
  <si>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</si>
  <si>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</si>
  <si>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</si>
  <si>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</si>
  <si>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</si>
  <si>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</si>
  <si>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</si>
  <si>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</si>
  <si>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</si>
  <si>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</si>
  <si>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</si>
  <si>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</si>
  <si>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</si>
  <si>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</si>
  <si>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</si>
  <si>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</si>
  <si>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</si>
  <si>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</si>
  <si>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</si>
  <si>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</si>
  <si>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</si>
  <si>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</si>
  <si>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</si>
  <si>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</si>
  <si>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</si>
  <si>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</si>
  <si>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</si>
  <si>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</si>
  <si>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</si>
  <si>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</si>
  <si>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</si>
  <si>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</si>
  <si>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</si>
  <si>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</si>
  <si>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</si>
  <si>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</si>
  <si>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</si>
  <si>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</si>
  <si>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</si>
  <si>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</si>
  <si>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</si>
  <si>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</si>
  <si>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</si>
  <si>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</si>
  <si>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</si>
  <si>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</si>
  <si>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6811US</t>
  </si>
  <si>
    <t>Open</t>
  </si>
  <si>
    <t>Rectang</t>
  </si>
  <si>
    <t>9.67 - 9.67</t>
  </si>
  <si>
    <t>0.80 - 3.20</t>
  </si>
  <si>
    <t>Magnetic</t>
  </si>
  <si>
    <t>1 ~ 9</t>
  </si>
  <si>
    <t>(.081"x.204")x2</t>
  </si>
  <si>
    <t>Wye</t>
  </si>
  <si>
    <t>(105°C)</t>
  </si>
  <si>
    <t>CU</t>
  </si>
  <si>
    <t>Special</t>
  </si>
  <si>
    <t>ERD1: 426.8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</si>
  <si>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</si>
  <si>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</si>
  <si>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</si>
  <si>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</si>
  <si>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</si>
  <si>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</si>
  <si>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</si>
  <si>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</si>
  <si>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</si>
  <si>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0.1109)</t>
  </si>
  <si>
    <t>Skew R.: 0.00</t>
  </si>
  <si>
    <t>M:\Active Projects\6800 Frame TEFC\Electrical Design\8P\SERIES\CF8700U.rat</t>
  </si>
  <si>
    <t>2-2-2-0-1-2</t>
  </si>
  <si>
    <t>B.L.-1  P.F.-1</t>
  </si>
  <si>
    <t>4611.4 / 5267.3</t>
  </si>
  <si>
    <t>2874.5 / 3008.7</t>
  </si>
  <si>
    <t>13095.5 / 7884.7</t>
  </si>
  <si>
    <t>4030.0 / 2184.1</t>
  </si>
  <si>
    <t>8584.8 / 4838.8</t>
  </si>
  <si>
    <t>1126.2 / 634.8</t>
  </si>
  <si>
    <t>7458.6 / 4204.0</t>
  </si>
  <si>
    <t>1.75 / 0.99</t>
  </si>
  <si>
    <t>66 / 65</t>
  </si>
  <si>
    <t>Temp. Rise @ 100%:</t>
  </si>
  <si>
    <t>Stray Loss</t>
  </si>
  <si>
    <t>0.905 / 0.899</t>
  </si>
  <si>
    <t>0.946 / 0.940</t>
  </si>
  <si>
    <t>0.959 / 0.953</t>
  </si>
  <si>
    <t>0.964 / 0.957</t>
  </si>
  <si>
    <t>0.965 / 0.959</t>
  </si>
  <si>
    <t>0.486 / 0.459</t>
  </si>
  <si>
    <t>0.712 / 0.672</t>
  </si>
  <si>
    <t>0.804 / 0.759</t>
  </si>
  <si>
    <t>0.843 / 0.795</t>
  </si>
  <si>
    <t>0.857 / 0.809</t>
  </si>
  <si>
    <t>42.81 / 45.67</t>
  </si>
  <si>
    <t>55.95 / 59.68</t>
  </si>
  <si>
    <t>73.28 / 78.17</t>
  </si>
  <si>
    <t>92.81 / 98.99</t>
  </si>
  <si>
    <t>113.85 / 121.44</t>
  </si>
  <si>
    <t>2.24 / 2.39</t>
  </si>
  <si>
    <t>UB: 2.18 / 2.33</t>
  </si>
  <si>
    <t>UER: 1.42 / 1.52</t>
  </si>
  <si>
    <t>898.8 / 898.4</t>
  </si>
  <si>
    <t>897.6 / 897.3</t>
  </si>
  <si>
    <t>896.4 / 896.1</t>
  </si>
  <si>
    <t>895.2 / 894.9</t>
  </si>
  <si>
    <t>894.0 / 893.6</t>
  </si>
  <si>
    <t>0.0013 / 0.0018</t>
  </si>
  <si>
    <t>0.0026 / 0.0030</t>
  </si>
  <si>
    <t>0.0040 / 0.0044</t>
  </si>
  <si>
    <t>0.0053 / 0.0057</t>
  </si>
  <si>
    <t>0.0067 / 0.0071</t>
  </si>
  <si>
    <t>34.606 / 43.356</t>
  </si>
  <si>
    <t>1.238 / 1.551</t>
  </si>
  <si>
    <t>34.63 / 43.38</t>
  </si>
  <si>
    <t>478.3 / 631.7</t>
  </si>
  <si>
    <t>515.4 / 680.7</t>
  </si>
  <si>
    <t>388.9 / 559.8</t>
  </si>
  <si>
    <t>68.5 / 98.5</t>
  </si>
  <si>
    <t>248.5 / 208.9</t>
  </si>
  <si>
    <t>Correlated to: H402132_TestData_Lab1759.dat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</si>
  <si>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</si>
  <si>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</si>
  <si>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</si>
  <si>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</si>
  <si>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</si>
  <si>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</si>
  <si>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</si>
  <si>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</si>
  <si>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</si>
  <si>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2369.5 kg.m²</t>
  </si>
  <si>
    <t>Acceleration Data (FV V)</t>
  </si>
  <si>
    <t>15.6 (s)</t>
  </si>
  <si>
    <t>568.2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</si>
  <si>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</si>
  <si>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</si>
  <si>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</si>
  <si>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</si>
  <si>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</si>
  <si>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</si>
  <si>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</si>
  <si>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</si>
  <si>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</si>
  <si>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</si>
  <si>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</si>
  <si>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</si>
  <si>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</si>
  <si>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</si>
  <si>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</si>
  <si>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</si>
  <si>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</si>
  <si>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</si>
  <si>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</si>
  <si>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</si>
  <si>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</si>
  <si>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</si>
  <si>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</si>
  <si>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</si>
  <si>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</si>
  <si>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</si>
  <si>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</si>
  <si>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</si>
  <si>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</si>
  <si>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</si>
  <si>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</si>
  <si>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</si>
  <si>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</si>
  <si>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</si>
  <si>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</si>
  <si>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</si>
  <si>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</si>
  <si>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</si>
  <si>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</si>
  <si>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</si>
  <si>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</si>
  <si>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</si>
  <si>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</si>
  <si>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</si>
  <si>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</si>
  <si>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</si>
  <si>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</si>
  <si>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</si>
  <si>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</si>
  <si>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</si>
  <si>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</si>
  <si>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</si>
  <si>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</si>
  <si>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</si>
  <si>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</si>
  <si>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</si>
  <si>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</si>
  <si>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</si>
  <si>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</si>
  <si>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</si>
  <si>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</si>
  <si>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</si>
  <si>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</si>
  <si>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</si>
  <si>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</si>
  <si>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</si>
  <si>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</si>
  <si>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</si>
  <si>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</si>
  <si>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</si>
  <si>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</si>
  <si>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</si>
  <si>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</si>
  <si>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</si>
  <si>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</si>
  <si>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</si>
  <si>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</si>
  <si>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</si>
  <si>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</si>
  <si>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</si>
  <si>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</si>
  <si>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</si>
  <si>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</si>
  <si>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</si>
  <si>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</si>
  <si>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</si>
  <si>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</si>
  <si>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</si>
  <si>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</si>
  <si>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</si>
  <si>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</si>
  <si>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</si>
  <si>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</si>
  <si>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</si>
  <si>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</si>
  <si>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</si>
  <si>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</si>
  <si>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</si>
  <si>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</si>
  <si>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</si>
  <si>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</si>
  <si>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</si>
  <si>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</si>
  <si>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</si>
  <si>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</si>
  <si>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</si>
  <si>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</si>
  <si>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</si>
  <si>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</si>
  <si>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20 x 2</t>
  </si>
  <si>
    <t>2 x Wye</t>
  </si>
  <si>
    <t xml:space="preserve"> - </t>
  </si>
  <si>
    <t>66 / 87</t>
  </si>
  <si>
    <t>239 / 1526</t>
  </si>
  <si>
    <t>G</t>
  </si>
  <si>
    <t>233 / 152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</si>
  <si>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</si>
  <si>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</si>
  <si>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</si>
  <si>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</si>
  <si>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</si>
  <si>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</si>
  <si>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</si>
  <si>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</si>
  <si>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</si>
  <si>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</si>
  <si>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</si>
  <si>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</si>
  <si>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1325.0</t>
  </si>
  <si>
    <t xml:space="preserve">10T: </t>
  </si>
  <si>
    <t/>
  </si>
  <si>
    <t>0.0230 ~ 0.0221</t>
  </si>
  <si>
    <t>AWG. 02 x 3</t>
  </si>
  <si>
    <t>0.00156</t>
  </si>
  <si>
    <t>10T: 22.57</t>
  </si>
  <si>
    <t>10T: 10.76</t>
  </si>
  <si>
    <t>14.30 ~ 13.90</t>
  </si>
  <si>
    <t>14.02</t>
  </si>
  <si>
    <t>3.44</t>
  </si>
  <si>
    <t xml:space="preserve"> (.081"x.204")x 2: </t>
  </si>
  <si>
    <t>797 lbs.</t>
  </si>
  <si>
    <t xml:space="preserve">1-2, 2-3, 3-1: </t>
  </si>
  <si>
    <t>0.282 ~ 0.266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</si>
  <si>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</si>
  <si>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</si>
  <si>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</si>
  <si>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</si>
  <si>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</si>
  <si>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</si>
  <si>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</si>
  <si>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</si>
  <si>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</si>
  <si>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</si>
  <si>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</si>
  <si>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</si>
  <si>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</si>
  <si>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</si>
  <si>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</si>
  <si>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</si>
  <si>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</si>
  <si>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</si>
  <si>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</si>
  <si>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</si>
  <si>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</si>
  <si>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</si>
  <si>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</si>
  <si>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1343.3 lb-ft²</t>
  </si>
  <si>
    <t>14057.0 lb-ft²</t>
  </si>
  <si>
    <t>4131 lb-ft</t>
  </si>
  <si>
    <t>632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</si>
  <si>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</si>
  <si>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</si>
  <si>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</si>
  <si>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</si>
  <si>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</si>
  <si>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</si>
  <si>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</si>
  <si>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</si>
  <si>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</si>
  <si>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</si>
  <si>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</si>
  <si>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</si>
  <si>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</si>
  <si>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</si>
  <si>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</si>
  <si>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</si>
  <si>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</si>
  <si>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</si>
  <si>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</si>
  <si>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</si>
  <si>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</si>
  <si>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</si>
  <si>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</si>
  <si>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</si>
  <si>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</si>
  <si>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</si>
  <si>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</si>
  <si>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</si>
  <si>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</si>
  <si>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</si>
  <si>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</si>
  <si>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</si>
  <si>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</si>
  <si>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</si>
  <si>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</si>
  <si>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</si>
  <si>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</si>
  <si>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</si>
  <si>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</si>
  <si>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8 Pole - 700.0 HP - 900 RPM - 4000 V - 60 Hz</t>
  </si>
  <si>
    <t>0~94</t>
  </si>
  <si>
    <t>94~188</t>
  </si>
  <si>
    <t>188~281</t>
  </si>
  <si>
    <t>281~375</t>
  </si>
  <si>
    <t>375~469</t>
  </si>
  <si>
    <t>469~563</t>
  </si>
  <si>
    <t>563~657</t>
  </si>
  <si>
    <t>657~750</t>
  </si>
  <si>
    <t>750~797</t>
  </si>
  <si>
    <t>797~844</t>
  </si>
  <si>
    <t>844~891</t>
  </si>
  <si>
    <t>891~898</t>
  </si>
  <si>
    <t>898~900</t>
  </si>
  <si>
    <t>Load Type: Fan / Pump - 14057.0 lb-ft²</t>
  </si>
  <si>
    <t>98.0</t>
  </si>
  <si>
    <t>98.1</t>
  </si>
  <si>
    <t>98.2</t>
  </si>
  <si>
    <t>98.4</t>
  </si>
  <si>
    <t>98.8</t>
  </si>
  <si>
    <t>99.4</t>
  </si>
  <si>
    <t>101.5</t>
  </si>
  <si>
    <t>106.6</t>
  </si>
  <si>
    <t>119.6</t>
  </si>
  <si>
    <t>168.6</t>
  </si>
  <si>
    <t>171.3</t>
  </si>
  <si>
    <t>117.3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</si>
  <si>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</si>
  <si>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</si>
  <si>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</si>
  <si>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</si>
  <si>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</si>
  <si>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</si>
  <si>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</si>
  <si>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</si>
  <si>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</si>
  <si>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</si>
  <si>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</si>
  <si>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99.8</t>
  </si>
  <si>
    <t>1.510</t>
  </si>
  <si>
    <t>1.317</t>
  </si>
  <si>
    <t>1.254</t>
  </si>
  <si>
    <t>1.261</t>
  </si>
  <si>
    <t>1.327</t>
  </si>
  <si>
    <t>1.456</t>
  </si>
  <si>
    <t>1.681</t>
  </si>
  <si>
    <t>2.124</t>
  </si>
  <si>
    <t>1.338</t>
  </si>
  <si>
    <t>1.344</t>
  </si>
  <si>
    <t>0.735</t>
  </si>
  <si>
    <t>0.121</t>
  </si>
  <si>
    <t>0.125</t>
  </si>
  <si>
    <t>630.1</t>
  </si>
  <si>
    <t>625.9</t>
  </si>
  <si>
    <t>620.9</t>
  </si>
  <si>
    <t>614.7</t>
  </si>
  <si>
    <t>607.0</t>
  </si>
  <si>
    <t>597.3</t>
  </si>
  <si>
    <t>585.3</t>
  </si>
  <si>
    <t>570.5</t>
  </si>
  <si>
    <t>556.9</t>
  </si>
  <si>
    <t>542.2</t>
  </si>
  <si>
    <t>502.1</t>
  </si>
  <si>
    <t>324.5</t>
  </si>
  <si>
    <t>106.0</t>
  </si>
  <si>
    <t>322.8</t>
  </si>
  <si>
    <t>278.1</t>
  </si>
  <si>
    <t>261.2</t>
  </si>
  <si>
    <t>258.0</t>
  </si>
  <si>
    <t>265.5</t>
  </si>
  <si>
    <t>283.1</t>
  </si>
  <si>
    <t>315.2</t>
  </si>
  <si>
    <t>380.9</t>
  </si>
  <si>
    <t>226.6</t>
  </si>
  <si>
    <t>218.9</t>
  </si>
  <si>
    <t>111.8</t>
  </si>
  <si>
    <t>14.4</t>
  </si>
  <si>
    <t>0.7</t>
  </si>
  <si>
    <t>686.6</t>
  </si>
  <si>
    <t>536.5</t>
  </si>
  <si>
    <t>451.9</t>
  </si>
  <si>
    <t>394.9</t>
  </si>
  <si>
    <t>353.1</t>
  </si>
  <si>
    <t>318.9</t>
  </si>
  <si>
    <t>289.3</t>
  </si>
  <si>
    <t>266.4</t>
  </si>
  <si>
    <t>213.1</t>
  </si>
  <si>
    <t>156.7</t>
  </si>
  <si>
    <t>54.8</t>
  </si>
  <si>
    <t>15.2</t>
  </si>
  <si>
    <t>21.7</t>
  </si>
  <si>
    <t>2937 kW / s</t>
  </si>
  <si>
    <t>3451 kW / s</t>
  </si>
  <si>
    <t>308 kW / s</t>
  </si>
  <si>
    <t>22°C</t>
  </si>
  <si>
    <t>41°C</t>
  </si>
  <si>
    <t>20°C</t>
  </si>
  <si>
    <t>43°C</t>
  </si>
  <si>
    <t>83°C</t>
  </si>
  <si>
    <t>39°C</t>
  </si>
  <si>
    <t>Acceleration Time:  15.6 s</t>
  </si>
  <si>
    <t>1.8°C / s</t>
  </si>
  <si>
    <t>5.6°C / s</t>
  </si>
  <si>
    <t>2.7°C / s</t>
  </si>
  <si>
    <t>246.8 kW</t>
  </si>
  <si>
    <t>469.9 kW</t>
  </si>
  <si>
    <t>41.9 kW</t>
  </si>
  <si>
    <t>87.6 s</t>
  </si>
  <si>
    <t>46.2 s</t>
  </si>
  <si>
    <t>67.2 s</t>
  </si>
  <si>
    <t>65°C    +</t>
  </si>
  <si>
    <t>86°C    +</t>
  </si>
  <si>
    <t>95°C    +</t>
  </si>
  <si>
    <t>174°C   +</t>
  </si>
  <si>
    <t>94°C   +</t>
  </si>
  <si>
    <t>52.0 s</t>
  </si>
  <si>
    <t>30.9 s</t>
  </si>
  <si>
    <t>35.1 s</t>
  </si>
  <si>
    <t>75.8 s</t>
  </si>
  <si>
    <t>39.6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</si>
  <si>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</si>
  <si>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</si>
  <si>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</si>
  <si>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</si>
  <si>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</si>
  <si>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</si>
  <si>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</si>
  <si>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</si>
  <si>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</si>
  <si>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</si>
  <si>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</si>
  <si>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</si>
  <si>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</si>
  <si>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</si>
  <si>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</si>
  <si>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</si>
  <si>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</si>
  <si>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</si>
  <si>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</si>
  <si>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</si>
  <si>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</si>
  <si>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</si>
  <si>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</si>
  <si>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</si>
  <si>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</si>
  <si>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</si>
  <si>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</si>
  <si>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990.0 Hz</t>
  </si>
  <si>
    <t>985.4 Hz</t>
  </si>
  <si>
    <t>750.0 Hz</t>
  </si>
  <si>
    <t>745.4 Hz</t>
  </si>
  <si>
    <t>870.0 Hz</t>
  </si>
  <si>
    <t>865.4 Hz</t>
  </si>
  <si>
    <t>1922.3 Hz</t>
  </si>
  <si>
    <t>238.6 Hz</t>
  </si>
  <si>
    <t>674.8 Hz</t>
  </si>
  <si>
    <t>1293.9 Hz</t>
  </si>
  <si>
    <t>2092.4 Hz</t>
  </si>
  <si>
    <t>3069.6 Hz</t>
  </si>
  <si>
    <t>4224.9 Hz</t>
  </si>
  <si>
    <t>5558.2 Hz</t>
  </si>
  <si>
    <t>7069.4 Hz</t>
  </si>
  <si>
    <t>8758.6 Hz</t>
  </si>
  <si>
    <t>No matching frequencies detected.</t>
  </si>
  <si>
    <t>A. Gracia</t>
  </si>
  <si>
    <t xml:space="preserve"> -</t>
  </si>
  <si>
    <t>AG</t>
  </si>
  <si>
    <t>S.Hernandez</t>
  </si>
  <si>
    <t>SH</t>
  </si>
  <si>
    <t>FCW4</t>
  </si>
  <si>
    <t>CS8700U</t>
  </si>
  <si>
    <t>7008FTQL11E-C</t>
  </si>
  <si>
    <t>QC Limits: CS8700U</t>
  </si>
  <si>
    <t>F&amp;W Loss for sleeve bearing: 2984 W</t>
  </si>
  <si>
    <t>Type: TIKE - Form: FCW4 - 8 Pole - 700 HP - 4000 V - 60 Hz - 6811US - Class F</t>
  </si>
  <si>
    <t>F &amp; W(Sleeve Brg)</t>
  </si>
  <si>
    <t>LINK: H402132.RAT &amp; H402132_TestData_Lab1759.dat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</si>
</sst>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</cellStyleXfs>
  <cellXfs count="58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53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 applyFill="1"/>
    <xf numFmtId="0" fontId="25" fillId="0" borderId="54" xfId="1" applyFont="1" applyFill="1" applyBorder="1"/>
    <xf numFmtId="0" fontId="24" fillId="0" borderId="56" xfId="1" applyFont="1" applyFill="1" applyBorder="1"/>
    <xf numFmtId="0" fontId="25" fillId="0" borderId="56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Fill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Fill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Fill="1" applyBorder="1"/>
    <xf numFmtId="0" fontId="31" fillId="0" borderId="97" xfId="1" applyNumberFormat="1" applyFont="1" applyFill="1" applyBorder="1" applyAlignment="1">
      <alignment horizontal="center"/>
    </xf>
    <xf numFmtId="0" fontId="31" fillId="0" borderId="98" xfId="1" applyFont="1" applyFill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NumberFormat="1" applyFont="1" applyFill="1" applyBorder="1" applyAlignment="1">
      <alignment horizontal="center"/>
    </xf>
    <xf numFmtId="0" fontId="31" fillId="0" borderId="76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3" xfId="1" applyFont="1" applyFill="1" applyBorder="1" applyAlignment="1">
      <alignment horizontal="left"/>
    </xf>
    <xf numFmtId="0" fontId="20" fillId="0" borderId="64" xfId="1" applyFont="1" applyFill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Fill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Fill="1" applyBorder="1"/>
    <xf numFmtId="0" fontId="26" fillId="0" borderId="81" xfId="1" applyFont="1" applyFill="1" applyBorder="1"/>
    <xf numFmtId="0" fontId="26" fillId="0" borderId="88" xfId="1" applyFont="1" applyFill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Fill="1" applyAlignment="1">
      <alignment horizontal="right"/>
    </xf>
    <xf numFmtId="2" fontId="26" fillId="0" borderId="0" xfId="2" applyNumberFormat="1" applyFont="1" applyFill="1"/>
    <xf numFmtId="0" fontId="29" fillId="2" borderId="0" xfId="1" applyFont="1" applyFill="1" applyBorder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Fill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 applyFill="1"/>
    <xf numFmtId="0" fontId="29" fillId="0" borderId="116" xfId="1" applyFont="1" applyFill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Border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Border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Border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 applyBorder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Border="1" applyAlignment="1">
      <alignment horizontal="right"/>
    </xf>
    <xf numFmtId="0" fontId="53" fillId="0" borderId="0" xfId="4" applyFont="1" applyBorder="1" applyAlignment="1">
      <alignment horizontal="center"/>
    </xf>
    <xf numFmtId="9" fontId="53" fillId="0" borderId="0" xfId="4" applyNumberFormat="1" applyFont="1" applyBorder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46" fillId="0" borderId="0" xfId="4" applyBorder="1"/>
    <xf numFmtId="0" fontId="59" fillId="0" borderId="0" xfId="4" applyFont="1" applyFill="1" applyBorder="1"/>
    <xf numFmtId="0" fontId="46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1" fillId="0" borderId="0" xfId="4" applyFont="1" applyAlignment="1">
      <alignment horizontal="right"/>
    </xf>
    <xf numFmtId="0" fontId="6" fillId="0" borderId="0" xfId="4" applyFont="1"/>
    <xf numFmtId="0" fontId="51" fillId="0" borderId="0" xfId="4" applyFont="1"/>
    <xf numFmtId="0" fontId="53" fillId="0" borderId="0" xfId="4" applyFont="1"/>
    <xf numFmtId="0" fontId="23" fillId="0" borderId="17" xfId="4" applyFont="1" applyBorder="1" applyAlignment="1">
      <alignment horizontal="right"/>
    </xf>
    <xf numFmtId="0" fontId="23" fillId="0" borderId="132" xfId="4" applyFont="1" applyBorder="1" applyAlignment="1">
      <alignment horizontal="left"/>
    </xf>
    <xf numFmtId="0" fontId="23" fillId="0" borderId="132" xfId="4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Fill="1" applyBorder="1" applyAlignment="1">
      <alignment horizontal="left"/>
    </xf>
    <xf numFmtId="0" fontId="29" fillId="0" borderId="61" xfId="1" applyFont="1" applyFill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Fill="1" applyBorder="1" applyAlignment="1">
      <alignment horizontal="left"/>
    </xf>
    <xf numFmtId="0" fontId="20" fillId="0" borderId="83" xfId="1" applyFont="1" applyFill="1" applyBorder="1" applyAlignment="1">
      <alignment horizontal="left"/>
    </xf>
    <xf numFmtId="0" fontId="20" fillId="0" borderId="84" xfId="1" applyFont="1" applyFill="1" applyBorder="1" applyAlignment="1">
      <alignment horizontal="left"/>
    </xf>
    <xf numFmtId="0" fontId="29" fillId="0" borderId="65" xfId="1" applyFont="1" applyFill="1" applyBorder="1" applyAlignment="1">
      <alignment horizontal="left"/>
    </xf>
    <xf numFmtId="0" fontId="29" fillId="0" borderId="66" xfId="1" applyFont="1" applyFill="1" applyBorder="1" applyAlignment="1">
      <alignment horizontal="left"/>
    </xf>
    <xf numFmtId="2" fontId="31" fillId="0" borderId="67" xfId="1" applyNumberFormat="1" applyFont="1" applyFill="1" applyBorder="1" applyAlignment="1">
      <alignment horizontal="center"/>
    </xf>
    <xf numFmtId="2" fontId="31" fillId="0" borderId="68" xfId="1" applyNumberFormat="1" applyFont="1" applyFill="1" applyBorder="1" applyAlignment="1">
      <alignment horizontal="center"/>
    </xf>
    <xf numFmtId="0" fontId="31" fillId="0" borderId="67" xfId="1" applyFont="1" applyFill="1" applyBorder="1" applyAlignment="1">
      <alignment horizontal="center"/>
    </xf>
    <xf numFmtId="0" fontId="31" fillId="0" borderId="68" xfId="1" applyFont="1" applyFill="1" applyBorder="1" applyAlignment="1">
      <alignment horizontal="center"/>
    </xf>
    <xf numFmtId="0" fontId="29" fillId="0" borderId="77" xfId="1" applyFont="1" applyFill="1" applyBorder="1" applyAlignment="1">
      <alignment horizontal="left"/>
    </xf>
    <xf numFmtId="0" fontId="29" fillId="0" borderId="70" xfId="1" applyFont="1" applyFill="1" applyBorder="1" applyAlignment="1">
      <alignment horizontal="left"/>
    </xf>
    <xf numFmtId="0" fontId="29" fillId="0" borderId="71" xfId="1" applyFont="1" applyFill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Fill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Fill="1" applyBorder="1" applyAlignment="1">
      <alignment horizontal="left"/>
    </xf>
    <xf numFmtId="0" fontId="26" fillId="0" borderId="79" xfId="1" applyFont="1" applyFill="1" applyBorder="1" applyAlignment="1">
      <alignment horizontal="left"/>
    </xf>
    <xf numFmtId="0" fontId="20" fillId="0" borderId="103" xfId="1" applyFont="1" applyFill="1" applyBorder="1" applyAlignment="1">
      <alignment horizontal="left"/>
    </xf>
    <xf numFmtId="0" fontId="20" fillId="0" borderId="64" xfId="1" applyFont="1" applyFill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51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5" xfId="2" applyFont="1" applyFill="1" applyBorder="1" applyAlignment="1">
      <alignment horizontal="center"/>
    </xf>
    <xf numFmtId="0" fontId="26" fillId="0" borderId="0" xfId="2" applyFont="1" applyFill="1" applyBorder="1" applyAlignment="1">
      <alignment horizontal="center"/>
    </xf>
    <xf numFmtId="0" fontId="26" fillId="0" borderId="51" xfId="2" applyFont="1" applyFill="1" applyBorder="1" applyAlignment="1">
      <alignment horizontal="center"/>
    </xf>
    <xf numFmtId="0" fontId="26" fillId="0" borderId="46" xfId="2" applyFont="1" applyFill="1" applyBorder="1" applyAlignment="1">
      <alignment horizontal="center"/>
    </xf>
    <xf numFmtId="0" fontId="26" fillId="0" borderId="23" xfId="2" applyFont="1" applyFill="1" applyBorder="1" applyAlignment="1">
      <alignment horizontal="center"/>
    </xf>
    <xf numFmtId="0" fontId="26" fillId="0" borderId="48" xfId="2" applyFont="1" applyFill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Border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2" xfId="4" applyFont="1" applyBorder="1" applyAlignment="1">
      <alignment horizontal="center"/>
    </xf>
    <xf numFmtId="166" fontId="24" fillId="0" borderId="0" xfId="1" applyNumberFormat="1" applyFont="1" applyFill="1"/>
    <xf numFmtId="1" fontId="24" fillId="0" borderId="0" xfId="1" applyNumberFormat="1" applyFont="1" applyFill="1"/>
  </cellXfs>
  <cellStyles count="5">
    <cellStyle name="Normal" xfId="0" builtinId="0"/>
    <cellStyle name="Normal 2" xfId="1"/>
    <cellStyle name="Normal 3" xfId="4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134.68671354333424</c:v>
                </c:pt>
                <c:pt idx="2">
                  <c:v>208</c:v>
                </c:pt>
                <c:pt idx="3">
                  <c:v>129.23554313744341</c:v>
                </c:pt>
                <c:pt idx="4">
                  <c:v>109.95042470238648</c:v>
                </c:pt>
                <c:pt idx="5">
                  <c:v>103.16968793158827</c:v>
                </c:pt>
                <c:pt idx="6">
                  <c:v>99.896276143017474</c:v>
                </c:pt>
                <c:pt idx="7">
                  <c:v>98.983291434270882</c:v>
                </c:pt>
                <c:pt idx="8">
                  <c:v>98.557314626809983</c:v>
                </c:pt>
                <c:pt idx="9">
                  <c:v>98.300745656110806</c:v>
                </c:pt>
                <c:pt idx="10">
                  <c:v>98.14830428344473</c:v>
                </c:pt>
                <c:pt idx="11">
                  <c:v>98.061792072596546</c:v>
                </c:pt>
                <c:pt idx="12">
                  <c:v>98.018590324704789</c:v>
                </c:pt>
                <c:pt idx="13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AD-43C1-B802-6B817FDC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74208"/>
        <c:axId val="319321600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0.34978204965591431</c:v>
                </c:pt>
                <c:pt idx="1">
                  <c:v>179.56080627441406</c:v>
                </c:pt>
                <c:pt idx="2">
                  <c:v>476.078369140625</c:v>
                </c:pt>
                <c:pt idx="3">
                  <c:v>538.29345703125</c:v>
                </c:pt>
                <c:pt idx="4">
                  <c:v>557.04888916015625</c:v>
                </c:pt>
                <c:pt idx="5">
                  <c:v>568.03948974609375</c:v>
                </c:pt>
                <c:pt idx="6">
                  <c:v>584.54217529296875</c:v>
                </c:pt>
                <c:pt idx="7">
                  <c:v>597.89324951171875</c:v>
                </c:pt>
                <c:pt idx="8">
                  <c:v>608.79217529296875</c:v>
                </c:pt>
                <c:pt idx="9">
                  <c:v>617.445556640625</c:v>
                </c:pt>
                <c:pt idx="10">
                  <c:v>624.39581298828125</c:v>
                </c:pt>
                <c:pt idx="11">
                  <c:v>629.9368896484375</c:v>
                </c:pt>
                <c:pt idx="12">
                  <c:v>634.52069091796875</c:v>
                </c:pt>
                <c:pt idx="13">
                  <c:v>638.38385009765625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AD-43C1-B802-6B817FDC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337216"/>
        <c:axId val="344843392"/>
      </c:scatterChart>
      <c:valAx>
        <c:axId val="31897420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9321600"/>
        <c:crossesAt val="0"/>
        <c:crossBetween val="midCat"/>
        <c:majorUnit val="0.2"/>
        <c:minorUnit val="0.2"/>
      </c:valAx>
      <c:valAx>
        <c:axId val="319321600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974208"/>
        <c:crosses val="max"/>
        <c:crossBetween val="midCat"/>
        <c:majorUnit val="50"/>
        <c:minorUnit val="50"/>
      </c:valAx>
      <c:valAx>
        <c:axId val="31933721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344843392"/>
        <c:crosses val="autoZero"/>
        <c:crossBetween val="midCat"/>
      </c:valAx>
      <c:valAx>
        <c:axId val="34484339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933721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134.68671354333424</c:v>
                </c:pt>
                <c:pt idx="2">
                  <c:v>208</c:v>
                </c:pt>
                <c:pt idx="3">
                  <c:v>129.23554313744341</c:v>
                </c:pt>
                <c:pt idx="4">
                  <c:v>109.95042470238648</c:v>
                </c:pt>
                <c:pt idx="5">
                  <c:v>103.16968793158827</c:v>
                </c:pt>
                <c:pt idx="6">
                  <c:v>99.896276143017474</c:v>
                </c:pt>
                <c:pt idx="7">
                  <c:v>98.983291434270882</c:v>
                </c:pt>
                <c:pt idx="8">
                  <c:v>98.557314626809983</c:v>
                </c:pt>
                <c:pt idx="9">
                  <c:v>98.300745656110806</c:v>
                </c:pt>
                <c:pt idx="10">
                  <c:v>98.14830428344473</c:v>
                </c:pt>
                <c:pt idx="11">
                  <c:v>98.061792072596546</c:v>
                </c:pt>
                <c:pt idx="12">
                  <c:v>98.018590324704789</c:v>
                </c:pt>
                <c:pt idx="13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8E-455E-958B-46898D79F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776192"/>
        <c:axId val="37477811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0.34978204965591431</c:v>
                </c:pt>
                <c:pt idx="1">
                  <c:v>179.56080627441406</c:v>
                </c:pt>
                <c:pt idx="2">
                  <c:v>476.078369140625</c:v>
                </c:pt>
                <c:pt idx="3">
                  <c:v>538.29345703125</c:v>
                </c:pt>
                <c:pt idx="4">
                  <c:v>557.04888916015625</c:v>
                </c:pt>
                <c:pt idx="5">
                  <c:v>568.03948974609375</c:v>
                </c:pt>
                <c:pt idx="6">
                  <c:v>584.54217529296875</c:v>
                </c:pt>
                <c:pt idx="7">
                  <c:v>597.89324951171875</c:v>
                </c:pt>
                <c:pt idx="8">
                  <c:v>608.79217529296875</c:v>
                </c:pt>
                <c:pt idx="9">
                  <c:v>617.445556640625</c:v>
                </c:pt>
                <c:pt idx="10">
                  <c:v>624.39581298828125</c:v>
                </c:pt>
                <c:pt idx="11">
                  <c:v>629.9368896484375</c:v>
                </c:pt>
                <c:pt idx="12">
                  <c:v>634.52069091796875</c:v>
                </c:pt>
                <c:pt idx="13">
                  <c:v>638.38385009765625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8E-455E-958B-46898D79F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780288"/>
        <c:axId val="374781824"/>
      </c:scatterChart>
      <c:valAx>
        <c:axId val="37477619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4778112"/>
        <c:crosses val="autoZero"/>
        <c:crossBetween val="midCat"/>
        <c:majorUnit val="20"/>
        <c:minorUnit val="20"/>
      </c:valAx>
      <c:valAx>
        <c:axId val="374778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4776192"/>
        <c:crosses val="autoZero"/>
        <c:crossBetween val="midCat"/>
      </c:valAx>
      <c:valAx>
        <c:axId val="3747802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74781824"/>
        <c:crosses val="autoZero"/>
        <c:crossBetween val="midCat"/>
      </c:valAx>
      <c:valAx>
        <c:axId val="37478182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478028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638.38383838383834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40</c:v>
                </c:pt>
                <c:pt idx="1">
                  <c:v>45.281547234409175</c:v>
                </c:pt>
                <c:pt idx="2">
                  <c:v>65.205428017549224</c:v>
                </c:pt>
                <c:pt idx="3">
                  <c:v>101.88348127742066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73-4F50-9173-DE7B69275992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638.38383838383834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25</c:v>
                </c:pt>
                <c:pt idx="1">
                  <c:v>28.300967021505734</c:v>
                </c:pt>
                <c:pt idx="2">
                  <c:v>40.753392510968268</c:v>
                </c:pt>
                <c:pt idx="3">
                  <c:v>63.677175798387907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73-4F50-9173-DE7B69275992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208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235.49251404729259</c:v>
                </c:pt>
                <c:pt idx="3">
                  <c:v>314.45518912784155</c:v>
                </c:pt>
                <c:pt idx="4">
                  <c:v>707.52417553764337</c:v>
                </c:pt>
                <c:pt idx="5" formatCode="0">
                  <c:v>1500</c:v>
                </c:pt>
                <c:pt idx="6" formatCode="0">
                  <c:v>3000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73-4F50-9173-DE7B69275992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638.38383838383834</c:v>
                </c:pt>
                <c:pt idx="1">
                  <c:v>636.46464646464642</c:v>
                </c:pt>
                <c:pt idx="2">
                  <c:v>632.22222222222217</c:v>
                </c:pt>
                <c:pt idx="3">
                  <c:v>627.17171717171721</c:v>
                </c:pt>
                <c:pt idx="4">
                  <c:v>620.90909090909099</c:v>
                </c:pt>
                <c:pt idx="5">
                  <c:v>613.13131313131316</c:v>
                </c:pt>
                <c:pt idx="6">
                  <c:v>603.33333333333326</c:v>
                </c:pt>
                <c:pt idx="7">
                  <c:v>591.21212121212113</c:v>
                </c:pt>
                <c:pt idx="8">
                  <c:v>576.26262626262621</c:v>
                </c:pt>
                <c:pt idx="9">
                  <c:v>562.52525252525254</c:v>
                </c:pt>
                <c:pt idx="10">
                  <c:v>547.67676767676778</c:v>
                </c:pt>
                <c:pt idx="11">
                  <c:v>507.17171717171715</c:v>
                </c:pt>
                <c:pt idx="12">
                  <c:v>327.77777777777777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1.5099999904632568</c:v>
                </c:pt>
                <c:pt idx="2">
                  <c:v>2.8269999027252197</c:v>
                </c:pt>
                <c:pt idx="3">
                  <c:v>4.0809998512268066</c:v>
                </c:pt>
                <c:pt idx="4">
                  <c:v>5.3420000076293945</c:v>
                </c:pt>
                <c:pt idx="5">
                  <c:v>6.6690001487731934</c:v>
                </c:pt>
                <c:pt idx="6">
                  <c:v>8.125</c:v>
                </c:pt>
                <c:pt idx="7">
                  <c:v>9.805999755859375</c:v>
                </c:pt>
                <c:pt idx="8">
                  <c:v>11.929999351501465</c:v>
                </c:pt>
                <c:pt idx="9">
                  <c:v>13.267999649047852</c:v>
                </c:pt>
                <c:pt idx="10">
                  <c:v>14.61199951171875</c:v>
                </c:pt>
                <c:pt idx="11">
                  <c:v>15.346999168395996</c:v>
                </c:pt>
                <c:pt idx="12">
                  <c:v>15.467999458312988</c:v>
                </c:pt>
                <c:pt idx="13">
                  <c:v>15.592999458312988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73-4F50-9173-DE7B6927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473984"/>
        <c:axId val="317919232"/>
      </c:scatterChart>
      <c:valAx>
        <c:axId val="30447398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7919232"/>
        <c:crossesAt val="0.1"/>
        <c:crossBetween val="midCat"/>
        <c:majorUnit val="100"/>
      </c:valAx>
      <c:valAx>
        <c:axId val="31791923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447398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77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8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9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0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1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2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3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4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5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6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7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8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9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0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96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97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8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9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0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1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2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3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4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5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6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7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8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9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0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1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2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3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4" name="Radius"/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5" name="Height"/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6" name="Clear"/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7" name="Thickness"/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8" name="Radius"/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9" name="Height"/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20" name="Clear"/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21" name="Thickness"/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22" name="Radius"/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23" name="Height"/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24" name="Clear"/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25" name="Thickness"/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6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7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8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9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0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1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2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3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4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5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6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7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8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9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40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1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42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3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4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45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46" name="Thickness"/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3</xdr:col>
      <xdr:colOff>876300</xdr:colOff>
      <xdr:row>43</xdr:row>
      <xdr:rowOff>9525</xdr:rowOff>
    </xdr:to>
    <xdr:sp macro="" textlink="">
      <xdr:nvSpPr>
        <xdr:cNvPr id="147" name="Radius"/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8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428625</xdr:colOff>
      <xdr:row>41</xdr:row>
      <xdr:rowOff>200025</xdr:rowOff>
    </xdr:to>
    <xdr:sp macro="" textlink="">
      <xdr:nvSpPr>
        <xdr:cNvPr id="149" name="Clear"/>
        <xdr:cNvSpPr txBox="1">
          <a:spLocks noChangeArrowheads="1"/>
        </xdr:cNvSpPr>
      </xdr:nvSpPr>
      <xdr:spPr bwMode="auto">
        <a:xfrm>
          <a:off x="1400175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50" name="Text 583"/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51" name="Thickness"/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52" name="Radius"/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53" name="Height"/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54" name="Clear"/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55" name="Thickness"/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6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7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8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9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0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1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2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3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4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5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6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7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8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9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70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71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72" name="Thickness"/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73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74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75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76" name="Thickness"/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40</xdr:row>
      <xdr:rowOff>47625</xdr:rowOff>
    </xdr:from>
    <xdr:to>
      <xdr:col>4</xdr:col>
      <xdr:colOff>765913</xdr:colOff>
      <xdr:row>40</xdr:row>
      <xdr:rowOff>209550</xdr:rowOff>
    </xdr:to>
    <xdr:sp macro="" textlink="">
      <xdr:nvSpPr>
        <xdr:cNvPr id="177" name="Text 219"/>
        <xdr:cNvSpPr txBox="1">
          <a:spLocks noChangeArrowheads="1"/>
        </xdr:cNvSpPr>
      </xdr:nvSpPr>
      <xdr:spPr bwMode="auto">
        <a:xfrm>
          <a:off x="2472690" y="92583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051-FA31-01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3926</xdr:colOff>
      <xdr:row>43</xdr:row>
      <xdr:rowOff>9525</xdr:rowOff>
    </xdr:to>
    <xdr:sp macro="" textlink="">
      <xdr:nvSpPr>
        <xdr:cNvPr id="178" name="Radius"/>
        <xdr:cNvSpPr txBox="1">
          <a:spLocks noChangeArrowheads="1"/>
        </xdr:cNvSpPr>
      </xdr:nvSpPr>
      <xdr:spPr bwMode="auto">
        <a:xfrm>
          <a:off x="2284095" y="9782175"/>
          <a:ext cx="32968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426.8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79" name="Height"/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435909</xdr:colOff>
      <xdr:row>41</xdr:row>
      <xdr:rowOff>200025</xdr:rowOff>
    </xdr:to>
    <xdr:sp macro="" textlink="">
      <xdr:nvSpPr>
        <xdr:cNvPr id="180" name="Clear"/>
        <xdr:cNvSpPr txBox="1">
          <a:spLocks noChangeArrowheads="1"/>
        </xdr:cNvSpPr>
      </xdr:nvSpPr>
      <xdr:spPr bwMode="auto">
        <a:xfrm>
          <a:off x="1400175" y="9525000"/>
          <a:ext cx="254934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398145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81" name="Thickness"/>
        <xdr:cNvSpPr txBox="1">
          <a:spLocks noChangeArrowheads="1"/>
        </xdr:cNvSpPr>
      </xdr:nvSpPr>
      <xdr:spPr bwMode="auto">
        <a:xfrm>
          <a:off x="1617345" y="9667875"/>
          <a:ext cx="4381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447675</xdr:colOff>
      <xdr:row>41</xdr:row>
      <xdr:rowOff>161925</xdr:rowOff>
    </xdr:from>
    <xdr:to>
      <xdr:col>2</xdr:col>
      <xdr:colOff>447675</xdr:colOff>
      <xdr:row>42</xdr:row>
      <xdr:rowOff>66675</xdr:rowOff>
    </xdr:to>
    <xdr:sp macro="" textlink="">
      <xdr:nvSpPr>
        <xdr:cNvPr id="182" name="Line 116"/>
        <xdr:cNvSpPr>
          <a:spLocks noChangeShapeType="1"/>
        </xdr:cNvSpPr>
      </xdr:nvSpPr>
      <xdr:spPr bwMode="auto">
        <a:xfrm flipV="1">
          <a:off x="1666875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83" name="Line 117"/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84" name="Line 118"/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85" name="Line 119"/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86" name="Text 583"/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276225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87" name="Line 121"/>
        <xdr:cNvSpPr>
          <a:spLocks noChangeShapeType="1"/>
        </xdr:cNvSpPr>
      </xdr:nvSpPr>
      <xdr:spPr bwMode="auto">
        <a:xfrm flipV="1">
          <a:off x="1085850" y="91440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88" name="Line 122"/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89" name="Line 123"/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447675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90" name="Rectangle 124"/>
        <xdr:cNvSpPr>
          <a:spLocks noChangeArrowheads="1"/>
        </xdr:cNvSpPr>
      </xdr:nvSpPr>
      <xdr:spPr bwMode="auto">
        <a:xfrm>
          <a:off x="1666875" y="9153525"/>
          <a:ext cx="314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91" name="Line 125"/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92" name="Line 126"/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93" name="Line 127"/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94" name="Line 128"/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39</xdr:row>
      <xdr:rowOff>171450</xdr:rowOff>
    </xdr:from>
    <xdr:to>
      <xdr:col>3</xdr:col>
      <xdr:colOff>495300</xdr:colOff>
      <xdr:row>39</xdr:row>
      <xdr:rowOff>171450</xdr:rowOff>
    </xdr:to>
    <xdr:sp macro="" textlink="">
      <xdr:nvSpPr>
        <xdr:cNvPr id="195" name="Line 129"/>
        <xdr:cNvSpPr>
          <a:spLocks noChangeShapeType="1"/>
        </xdr:cNvSpPr>
      </xdr:nvSpPr>
      <xdr:spPr bwMode="auto">
        <a:xfrm>
          <a:off x="2009775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96" name="Thickness"/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97" name="Line 131"/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98" name="Line 132"/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733425</xdr:colOff>
      <xdr:row>27</xdr:row>
      <xdr:rowOff>28575</xdr:rowOff>
    </xdr:from>
    <xdr:to>
      <xdr:col>4</xdr:col>
      <xdr:colOff>760198</xdr:colOff>
      <xdr:row>27</xdr:row>
      <xdr:rowOff>190500</xdr:rowOff>
    </xdr:to>
    <xdr:sp macro="" textlink="">
      <xdr:nvSpPr>
        <xdr:cNvPr id="199" name="Text 219"/>
        <xdr:cNvSpPr txBox="1">
          <a:spLocks noChangeArrowheads="1"/>
        </xdr:cNvSpPr>
      </xdr:nvSpPr>
      <xdr:spPr bwMode="auto">
        <a:xfrm>
          <a:off x="2466975" y="62674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311-FA31</a:t>
          </a:r>
        </a:p>
      </xdr:txBody>
    </xdr:sp>
    <xdr:clientData/>
  </xdr:twoCellAnchor>
  <xdr:twoCellAnchor>
    <xdr:from>
      <xdr:col>3</xdr:col>
      <xdr:colOff>771525</xdr:colOff>
      <xdr:row>33</xdr:row>
      <xdr:rowOff>85725</xdr:rowOff>
    </xdr:from>
    <xdr:to>
      <xdr:col>4</xdr:col>
      <xdr:colOff>798298</xdr:colOff>
      <xdr:row>34</xdr:row>
      <xdr:rowOff>19050</xdr:rowOff>
    </xdr:to>
    <xdr:sp macro="" textlink="">
      <xdr:nvSpPr>
        <xdr:cNvPr id="201" name="Text 219"/>
        <xdr:cNvSpPr txBox="1">
          <a:spLocks noChangeArrowheads="1"/>
        </xdr:cNvSpPr>
      </xdr:nvSpPr>
      <xdr:spPr bwMode="auto">
        <a:xfrm>
          <a:off x="2505075" y="76962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0.68278</cdr:x>
      <cdr:y>0.57406</cdr:y>
    </cdr:from>
    <cdr:to>
      <cdr:x>0.91863</cdr:x>
      <cdr:y>0.59475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93132" y="3696323"/>
          <a:ext cx="1379334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0.65346</cdr:x>
      <cdr:y>0.51869</cdr:y>
    </cdr:from>
    <cdr:to>
      <cdr:x>0.93628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659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4" zoomScale="95" zoomScaleNormal="95" workbookViewId="0">
      <selection activeCell="D10" sqref="D10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201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202</v>
      </c>
    </row>
    <row r="3" spans="1:10" ht="15" customHeight="1" thickBot="1">
      <c r="A3" s="51" t="s">
        <v>1</v>
      </c>
      <c r="B3" s="98" t="s">
        <v>200</v>
      </c>
      <c r="C3" s="1"/>
      <c r="D3" s="51"/>
      <c r="E3" s="1"/>
      <c r="F3" s="1"/>
      <c r="G3" s="51" t="s">
        <v>2</v>
      </c>
      <c r="H3" s="151">
        <v>42074</v>
      </c>
      <c r="I3" s="51" t="s">
        <v>3</v>
      </c>
      <c r="J3" s="152">
        <v>0.57567129629629632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8</v>
      </c>
      <c r="B5" s="115">
        <v>700.00001636331262</v>
      </c>
      <c r="C5" s="145">
        <v>900</v>
      </c>
      <c r="D5" s="52" t="s">
        <v>642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176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23.169226249999998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28.534303665503632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182</v>
      </c>
      <c r="F9" s="109" t="s">
        <v>25</v>
      </c>
      <c r="G9" s="31"/>
      <c r="H9" s="11" t="s">
        <v>26</v>
      </c>
      <c r="I9" s="71">
        <v>25.851764957751815</v>
      </c>
      <c r="J9" s="106">
        <v>776.14573958777498</v>
      </c>
    </row>
    <row r="10" spans="1:10" ht="15" customHeight="1">
      <c r="A10" s="7" t="s">
        <v>27</v>
      </c>
      <c r="B10" s="71">
        <v>840</v>
      </c>
      <c r="C10" s="75">
        <v>840</v>
      </c>
      <c r="D10" s="7"/>
      <c r="E10" s="53"/>
      <c r="F10" s="119" t="s">
        <v>196</v>
      </c>
      <c r="G10" s="117" t="s">
        <v>197</v>
      </c>
      <c r="H10" s="11" t="s">
        <v>28</v>
      </c>
      <c r="I10" s="70">
        <v>13.501985411758477</v>
      </c>
      <c r="J10" s="105" t="s">
        <v>29</v>
      </c>
    </row>
    <row r="11" spans="1:10" ht="15" customHeight="1" thickBot="1">
      <c r="A11" s="7" t="s">
        <v>30</v>
      </c>
      <c r="B11" s="71">
        <v>770</v>
      </c>
      <c r="C11" s="75">
        <v>526.80000019073486</v>
      </c>
      <c r="D11" s="7" t="s">
        <v>31</v>
      </c>
      <c r="E11" s="70">
        <v>0.88879999999999992</v>
      </c>
      <c r="F11" s="120"/>
      <c r="G11" s="116"/>
      <c r="H11" s="11" t="s">
        <v>32</v>
      </c>
      <c r="I11" s="70">
        <v>27.695072914842616</v>
      </c>
      <c r="J11" s="106">
        <v>18114.111141223162</v>
      </c>
    </row>
    <row r="12" spans="1:10" ht="15" customHeight="1">
      <c r="A12" s="7" t="s">
        <v>33</v>
      </c>
      <c r="B12" s="71">
        <v>531</v>
      </c>
      <c r="C12" s="75">
        <v>200</v>
      </c>
      <c r="D12" s="7" t="s">
        <v>34</v>
      </c>
      <c r="E12" s="140" t="s">
        <v>174</v>
      </c>
      <c r="F12" s="126" t="s">
        <v>189</v>
      </c>
      <c r="G12" s="118" t="s">
        <v>188</v>
      </c>
      <c r="H12" s="11" t="s">
        <v>35</v>
      </c>
      <c r="I12" s="70">
        <v>1.2383659221730949</v>
      </c>
      <c r="J12" s="105" t="s">
        <v>36</v>
      </c>
    </row>
    <row r="13" spans="1:10" ht="15" customHeight="1" thickBot="1">
      <c r="A13" s="7" t="s">
        <v>37</v>
      </c>
      <c r="B13" s="71">
        <v>57.5</v>
      </c>
      <c r="C13" s="75">
        <v>124.85000085830688</v>
      </c>
      <c r="D13" s="7" t="s">
        <v>38</v>
      </c>
      <c r="E13" s="72">
        <v>20</v>
      </c>
      <c r="F13" s="126"/>
      <c r="G13" s="118" t="s">
        <v>190</v>
      </c>
      <c r="H13" s="11" t="s">
        <v>40</v>
      </c>
      <c r="I13" s="70">
        <v>1.0303025290181218</v>
      </c>
      <c r="J13" s="106">
        <v>92.805999755859375</v>
      </c>
    </row>
    <row r="14" spans="1:10" ht="15" customHeight="1" thickBot="1">
      <c r="A14" s="136" t="s">
        <v>41</v>
      </c>
      <c r="B14" s="137">
        <v>781.20001220703125</v>
      </c>
      <c r="C14" s="138">
        <v>781.20001220703125</v>
      </c>
      <c r="D14" s="7" t="s">
        <v>42</v>
      </c>
      <c r="E14" s="53" t="s">
        <v>183</v>
      </c>
      <c r="F14" s="53" t="s">
        <v>192</v>
      </c>
      <c r="G14" s="118" t="s">
        <v>191</v>
      </c>
      <c r="H14" s="51" t="s">
        <v>43</v>
      </c>
      <c r="I14" s="70">
        <v>1.2758915414647982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0.98478329261472586</v>
      </c>
      <c r="J15" s="106">
        <v>19.245572916666667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0.95963581196089087</v>
      </c>
      <c r="J16" s="107" t="s">
        <v>51</v>
      </c>
    </row>
    <row r="17" spans="1:10" ht="15" customHeight="1" thickBot="1">
      <c r="A17" s="7" t="s">
        <v>52</v>
      </c>
      <c r="B17" s="53" t="s">
        <v>177</v>
      </c>
      <c r="C17" s="54" t="s">
        <v>178</v>
      </c>
      <c r="D17" s="98" t="s">
        <v>53</v>
      </c>
      <c r="E17" s="53" t="s">
        <v>184</v>
      </c>
      <c r="F17" s="53"/>
      <c r="G17" s="118"/>
      <c r="H17" s="11" t="s">
        <v>54</v>
      </c>
      <c r="I17" s="70">
        <v>0.94503331461385198</v>
      </c>
      <c r="J17" s="106">
        <v>400.55718198987927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1325</v>
      </c>
      <c r="F18" s="72">
        <v>971</v>
      </c>
      <c r="G18" s="76"/>
      <c r="H18" s="14" t="s">
        <v>57</v>
      </c>
      <c r="I18" s="134" t="s">
        <v>198</v>
      </c>
      <c r="J18" s="135"/>
    </row>
    <row r="19" spans="1:10" ht="15" customHeight="1">
      <c r="A19" s="7" t="s">
        <v>58</v>
      </c>
      <c r="B19" s="71">
        <v>62</v>
      </c>
      <c r="C19" s="75">
        <v>38.549999237060547</v>
      </c>
      <c r="D19" s="7" t="s">
        <v>59</v>
      </c>
      <c r="E19" s="72">
        <v>240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179</v>
      </c>
      <c r="C20" s="75">
        <v>12.050000190734863</v>
      </c>
      <c r="D20" s="7" t="s">
        <v>166</v>
      </c>
      <c r="E20" s="69">
        <v>0.13378516130809248</v>
      </c>
      <c r="F20" s="53"/>
      <c r="G20" s="54"/>
      <c r="H20" s="11" t="s">
        <v>63</v>
      </c>
      <c r="I20" s="70">
        <v>17.994585037231445</v>
      </c>
      <c r="J20" s="74">
        <v>17.994585037231445</v>
      </c>
    </row>
    <row r="21" spans="1:10" ht="15" customHeight="1">
      <c r="A21" s="7" t="s">
        <v>64</v>
      </c>
      <c r="B21" s="71">
        <v>14.199999809265137</v>
      </c>
      <c r="C21" s="75">
        <v>3.5</v>
      </c>
      <c r="D21" s="11" t="s">
        <v>185</v>
      </c>
      <c r="E21" s="69">
        <v>0.17846782814969506</v>
      </c>
      <c r="F21" s="69">
        <v>0.14430131018161774</v>
      </c>
      <c r="G21" s="73">
        <v>1.2860765326241596E-2</v>
      </c>
      <c r="H21" s="11" t="s">
        <v>65</v>
      </c>
      <c r="I21" s="70">
        <v>19.290695190429688</v>
      </c>
      <c r="J21" s="74">
        <v>13.827546119689941</v>
      </c>
    </row>
    <row r="22" spans="1:10" ht="15" customHeight="1">
      <c r="A22" s="7" t="s">
        <v>66</v>
      </c>
      <c r="B22" s="71">
        <v>2.8299999237060547</v>
      </c>
      <c r="C22" s="75">
        <v>3.5</v>
      </c>
      <c r="D22" s="7" t="s">
        <v>67</v>
      </c>
      <c r="E22" s="53" t="s">
        <v>186</v>
      </c>
      <c r="F22" s="53" t="s">
        <v>187</v>
      </c>
      <c r="G22" s="54" t="s">
        <v>187</v>
      </c>
      <c r="H22" s="11" t="s">
        <v>68</v>
      </c>
      <c r="I22" s="70">
        <v>5.7038311958312988</v>
      </c>
      <c r="J22" s="74">
        <v>5.2188935279846191</v>
      </c>
    </row>
    <row r="23" spans="1:10" ht="15" customHeight="1">
      <c r="A23" s="7" t="s">
        <v>69</v>
      </c>
      <c r="B23" s="71">
        <v>8.9692268371582031</v>
      </c>
      <c r="C23" s="75">
        <v>12.313919067382813</v>
      </c>
      <c r="D23" s="7" t="s">
        <v>70</v>
      </c>
      <c r="E23" s="70">
        <v>1.7419999837875366</v>
      </c>
      <c r="F23" s="70">
        <v>1.7239999771118164</v>
      </c>
      <c r="G23" s="74">
        <v>1.7239999771118164</v>
      </c>
      <c r="H23" s="11" t="s">
        <v>71</v>
      </c>
      <c r="I23" s="70">
        <v>3.7993284764943707</v>
      </c>
      <c r="J23" s="17" t="s">
        <v>199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2.4581439638654516</v>
      </c>
      <c r="J24" s="74">
        <v>2.2996438897891078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0.3356299102306366</v>
      </c>
      <c r="J25" s="74">
        <v>0.70104140043258667</v>
      </c>
    </row>
    <row r="26" spans="1:10" ht="15" customHeight="1">
      <c r="A26" s="7" t="s">
        <v>78</v>
      </c>
      <c r="B26" s="55" t="s">
        <v>180</v>
      </c>
      <c r="C26" s="62" t="s">
        <v>181</v>
      </c>
      <c r="D26" s="11" t="s">
        <v>79</v>
      </c>
      <c r="E26" s="71">
        <v>351.17005242855208</v>
      </c>
      <c r="F26" s="71">
        <v>216.77696877170561</v>
      </c>
      <c r="G26" s="75">
        <v>40.615364667603743</v>
      </c>
      <c r="H26" s="11" t="s">
        <v>80</v>
      </c>
      <c r="I26" s="70">
        <v>5.4600639343261719</v>
      </c>
      <c r="J26" s="74">
        <v>4.7774171829223633</v>
      </c>
    </row>
    <row r="27" spans="1:10" ht="15" customHeight="1" thickBot="1">
      <c r="A27" s="7" t="s">
        <v>81</v>
      </c>
      <c r="B27" s="53" t="s">
        <v>174</v>
      </c>
      <c r="C27" s="54" t="s">
        <v>174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5.470369815826416</v>
      </c>
      <c r="J27" s="83">
        <v>4.8285789489746094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35.000967785669218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35.035971137034089</v>
      </c>
      <c r="D30" s="11" t="s">
        <v>95</v>
      </c>
      <c r="E30" s="71">
        <v>15.118901875000001</v>
      </c>
      <c r="F30" s="71">
        <v>898.38001403808596</v>
      </c>
      <c r="G30" s="71">
        <v>8.5092135523106194</v>
      </c>
      <c r="H30" s="76">
        <v>41.583574902430875</v>
      </c>
      <c r="I30" s="72">
        <v>100545.92193325557</v>
      </c>
      <c r="J30" s="76">
        <v>2746.3081385735827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630.60841032080589</v>
      </c>
      <c r="G31" s="71">
        <v>12.122431711129474</v>
      </c>
      <c r="H31" s="76">
        <v>43.975085472883755</v>
      </c>
      <c r="I31" s="72">
        <v>31278.177151911972</v>
      </c>
      <c r="J31" s="76">
        <v>1515.7262148676255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8.8298314274556038</v>
      </c>
      <c r="F32" s="71">
        <v>1950.6564438911441</v>
      </c>
      <c r="G32" s="71">
        <v>3.9189409362771852</v>
      </c>
      <c r="H32" s="76">
        <v>8.8298314274556038</v>
      </c>
      <c r="I32" s="10" t="s">
        <v>100</v>
      </c>
      <c r="J32" s="76">
        <v>4262.0343534412077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3.854999923706055</v>
      </c>
      <c r="F33" s="71">
        <v>697.42344511729902</v>
      </c>
      <c r="G33" s="71">
        <v>10.961070271006108</v>
      </c>
      <c r="H33" s="76">
        <v>18.809339255129519</v>
      </c>
      <c r="I33" s="10" t="s">
        <v>103</v>
      </c>
      <c r="J33" s="75" t="s">
        <v>210</v>
      </c>
    </row>
    <row r="34" spans="1:10" ht="15" customHeight="1" thickBot="1">
      <c r="A34" s="18" t="s">
        <v>104</v>
      </c>
      <c r="B34" s="81" t="s">
        <v>244</v>
      </c>
      <c r="C34" s="114">
        <v>7.6445073905778846</v>
      </c>
      <c r="D34" s="12" t="s">
        <v>20</v>
      </c>
      <c r="E34" s="81">
        <v>0.20999999046325685</v>
      </c>
      <c r="F34" s="82">
        <v>1372.8388719381805</v>
      </c>
      <c r="G34" s="82">
        <v>5.5683937473196199</v>
      </c>
      <c r="H34" s="85">
        <v>930.55000320918657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212</v>
      </c>
      <c r="E35" s="150" t="s">
        <v>211</v>
      </c>
      <c r="F35" s="16"/>
      <c r="G35" s="27" t="s">
        <v>107</v>
      </c>
      <c r="H35" s="87" t="s">
        <v>205</v>
      </c>
      <c r="I35" s="11" t="s">
        <v>108</v>
      </c>
      <c r="J35" s="76" t="s">
        <v>209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203</v>
      </c>
      <c r="I36" s="11" t="s">
        <v>111</v>
      </c>
      <c r="J36" s="76" t="s">
        <v>208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204</v>
      </c>
      <c r="I37" s="12" t="s">
        <v>114</v>
      </c>
      <c r="J37" s="85" t="s">
        <v>207</v>
      </c>
    </row>
    <row r="38" spans="1:10" ht="15" customHeight="1" thickBot="1">
      <c r="A38" s="7" t="s">
        <v>115</v>
      </c>
      <c r="B38" s="70" t="s">
        <v>214</v>
      </c>
      <c r="C38" s="70" t="s">
        <v>215</v>
      </c>
      <c r="D38" s="70" t="s">
        <v>216</v>
      </c>
      <c r="E38" s="70" t="s">
        <v>217</v>
      </c>
      <c r="F38" s="74" t="s">
        <v>218</v>
      </c>
      <c r="G38" s="18" t="s">
        <v>116</v>
      </c>
      <c r="H38" s="85" t="s">
        <v>206</v>
      </c>
      <c r="I38" s="141" t="s">
        <v>213</v>
      </c>
      <c r="J38" s="86">
        <v>7971.1494140625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11.401460704541487</v>
      </c>
      <c r="C42" s="70">
        <v>11.401460704541487</v>
      </c>
      <c r="D42" s="70">
        <v>11.401460704541487</v>
      </c>
      <c r="E42" s="70">
        <v>11.401460704541487</v>
      </c>
      <c r="F42" s="74">
        <v>11.401460704541487</v>
      </c>
      <c r="G42" s="37" t="s">
        <v>124</v>
      </c>
      <c r="H42" s="93" t="s">
        <v>247</v>
      </c>
      <c r="I42" s="57"/>
      <c r="J42" s="99">
        <v>0.14519018939055922</v>
      </c>
    </row>
    <row r="43" spans="1:10" ht="15" customHeight="1" thickBot="1">
      <c r="A43" s="18" t="s">
        <v>125</v>
      </c>
      <c r="B43" s="81">
        <v>11.401460704541487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1304.5033161978929</v>
      </c>
      <c r="I44" s="92">
        <v>2.8768560939841349E-2</v>
      </c>
      <c r="J44" s="99">
        <v>0.62165235472201574</v>
      </c>
    </row>
    <row r="45" spans="1:10" ht="15" customHeight="1">
      <c r="A45" s="7" t="s">
        <v>129</v>
      </c>
      <c r="B45" s="70">
        <v>0.44320502877235413</v>
      </c>
      <c r="C45" s="5" t="s">
        <v>130</v>
      </c>
      <c r="D45" s="74">
        <v>7.103869691491127E-3</v>
      </c>
      <c r="E45" s="7" t="s">
        <v>131</v>
      </c>
      <c r="F45" s="76">
        <v>965.54393153338037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0.18460184335708618</v>
      </c>
      <c r="C46" s="5" t="s">
        <v>133</v>
      </c>
      <c r="D46" s="74">
        <v>5.3135654889047146E-3</v>
      </c>
      <c r="E46" s="7" t="s">
        <v>134</v>
      </c>
      <c r="F46" s="76">
        <v>1678.7546223408881</v>
      </c>
      <c r="G46" s="38" t="s">
        <v>135</v>
      </c>
      <c r="H46" s="96">
        <v>294.16228598246988</v>
      </c>
      <c r="I46" s="59"/>
      <c r="J46" s="60"/>
    </row>
    <row r="47" spans="1:10" ht="15" customHeight="1">
      <c r="A47" s="7" t="s">
        <v>136</v>
      </c>
      <c r="B47" s="70">
        <v>0.6278069019317627</v>
      </c>
      <c r="C47" s="5" t="s">
        <v>137</v>
      </c>
      <c r="D47" s="74">
        <v>7.7173495665192604E-3</v>
      </c>
      <c r="E47" s="7" t="s">
        <v>138</v>
      </c>
      <c r="F47" s="76">
        <v>1334.5218075875755</v>
      </c>
      <c r="G47" s="66" t="s">
        <v>139</v>
      </c>
      <c r="H47" s="95">
        <v>1267.5314531400156</v>
      </c>
      <c r="I47" s="92">
        <v>2.7927353060694191E-2</v>
      </c>
      <c r="J47" s="97">
        <v>0.63135725127477149</v>
      </c>
    </row>
    <row r="48" spans="1:10" ht="15" customHeight="1">
      <c r="A48" s="7" t="s">
        <v>140</v>
      </c>
      <c r="B48" s="70">
        <v>1.3465270400047302E-2</v>
      </c>
      <c r="C48" s="5" t="s">
        <v>100</v>
      </c>
      <c r="D48" s="74">
        <v>3.3600054681301117E-2</v>
      </c>
      <c r="E48" s="7" t="s">
        <v>141</v>
      </c>
      <c r="F48" s="76">
        <v>11.87517454110295</v>
      </c>
      <c r="G48" s="67" t="s">
        <v>122</v>
      </c>
      <c r="H48" s="88">
        <v>242.72911212370684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0.96639996767044067</v>
      </c>
      <c r="E49" s="18" t="s">
        <v>143</v>
      </c>
      <c r="F49" s="85">
        <v>25.711473404750119</v>
      </c>
      <c r="G49" s="68" t="s">
        <v>135</v>
      </c>
      <c r="H49" s="96">
        <v>289.76786927567491</v>
      </c>
      <c r="I49" s="59"/>
      <c r="J49" s="63"/>
    </row>
    <row r="50" spans="1:10" ht="15" customHeight="1">
      <c r="A50" s="14" t="s">
        <v>195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3.0983157761827234E-2</v>
      </c>
      <c r="I51" s="46" t="s">
        <v>149</v>
      </c>
      <c r="J51" s="40"/>
    </row>
    <row r="52" spans="1:10" ht="15" customHeight="1">
      <c r="A52" s="11" t="s">
        <v>58</v>
      </c>
      <c r="B52" s="71">
        <v>38.549999237060547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233115.32176880495</v>
      </c>
      <c r="I52" s="100" t="s">
        <v>229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226.42813851405606</v>
      </c>
      <c r="I53" s="45" t="s">
        <v>154</v>
      </c>
      <c r="J53" s="40"/>
    </row>
    <row r="54" spans="1:10" ht="15" customHeight="1">
      <c r="A54" s="11" t="s">
        <v>66</v>
      </c>
      <c r="B54" s="71">
        <v>3.5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498036</v>
      </c>
      <c r="I54" s="101" t="s">
        <v>230</v>
      </c>
      <c r="J54" s="102" t="s">
        <v>193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0.91659999999999997</v>
      </c>
      <c r="I56" s="103" t="s">
        <v>231</v>
      </c>
      <c r="J56" s="63" t="s">
        <v>194</v>
      </c>
    </row>
    <row r="57" spans="1:10" ht="15" customHeight="1">
      <c r="A57" s="24" t="s">
        <v>251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252</v>
      </c>
      <c r="D58" s="4" t="s">
        <v>119</v>
      </c>
      <c r="E58" s="4" t="s">
        <v>165</v>
      </c>
      <c r="F58" s="17" t="s">
        <v>253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0.34978204965591431</v>
      </c>
      <c r="D59" s="130">
        <v>0.68736839294433594</v>
      </c>
      <c r="E59" s="88">
        <v>98.14830428344473</v>
      </c>
      <c r="F59" s="89">
        <v>624.39581298828125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134.68671354333424</v>
      </c>
      <c r="C60" s="89">
        <v>179.56080627441406</v>
      </c>
      <c r="D60" s="130">
        <v>0.79157894849777222</v>
      </c>
      <c r="E60" s="88">
        <v>98.061792072596546</v>
      </c>
      <c r="F60" s="89">
        <v>629.9368896484375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208</v>
      </c>
      <c r="C61" s="89">
        <v>476.078369140625</v>
      </c>
      <c r="D61" s="130">
        <v>0.89578944444656372</v>
      </c>
      <c r="E61" s="88">
        <v>98.018590324704789</v>
      </c>
      <c r="F61" s="89">
        <v>634.52069091796875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129.23554313744341</v>
      </c>
      <c r="C62" s="89">
        <v>538.29345703125</v>
      </c>
      <c r="D62" s="131">
        <v>1</v>
      </c>
      <c r="E62" s="88">
        <v>98</v>
      </c>
      <c r="F62" s="89">
        <v>638.38385009765625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109.95042470238648</v>
      </c>
      <c r="C63" s="89">
        <v>557.04888916015625</v>
      </c>
      <c r="D63" s="155"/>
      <c r="E63" s="156"/>
      <c r="F63" s="157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103.16968793158827</v>
      </c>
      <c r="C64" s="89">
        <v>568.03948974609375</v>
      </c>
      <c r="D64" s="158" t="s">
        <v>261</v>
      </c>
      <c r="E64" s="159"/>
      <c r="F64" s="159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99.896276143017474</v>
      </c>
      <c r="C65" s="89">
        <v>584.54217529296875</v>
      </c>
      <c r="D65" s="160" t="s">
        <v>255</v>
      </c>
      <c r="E65" s="162" t="s">
        <v>259</v>
      </c>
      <c r="F65" s="163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98.983291434270882</v>
      </c>
      <c r="C66" s="89">
        <v>597.89324951171875</v>
      </c>
      <c r="D66" s="160" t="s">
        <v>256</v>
      </c>
      <c r="E66" s="162" t="s">
        <v>260</v>
      </c>
      <c r="F66" s="163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98.557314626809983</v>
      </c>
      <c r="C67" s="89">
        <v>608.79217529296875</v>
      </c>
      <c r="D67" s="160" t="s">
        <v>257</v>
      </c>
      <c r="E67" s="162" t="s">
        <v>262</v>
      </c>
      <c r="F67" s="163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98.300745656110806</v>
      </c>
      <c r="C68" s="91">
        <v>617.445556640625</v>
      </c>
      <c r="D68" s="161" t="s">
        <v>258</v>
      </c>
      <c r="E68" s="164" t="s">
        <v>263</v>
      </c>
      <c r="F68" s="164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4" t="s">
        <v>254</v>
      </c>
      <c r="B99" s="154"/>
      <c r="C99" s="154"/>
      <c r="D99" s="154"/>
      <c r="E99" s="154"/>
      <c r="F99" s="154"/>
      <c r="G99" s="154"/>
      <c r="H99" s="154"/>
      <c r="I99" s="154"/>
    </row>
    <row r="100" spans="1:9">
      <c r="A100" s="154">
        <v>100</v>
      </c>
      <c r="B100" s="154"/>
      <c r="C100" s="154"/>
      <c r="D100" s="154"/>
      <c r="E100" s="154"/>
      <c r="F100" s="154"/>
      <c r="G100" s="154"/>
      <c r="H100" s="154"/>
      <c r="I100" s="154"/>
    </row>
    <row r="101" spans="1:9">
      <c r="A101" s="154">
        <v>99.599998474121094</v>
      </c>
      <c r="B101" s="154"/>
      <c r="C101" s="154"/>
      <c r="D101" s="154"/>
      <c r="E101" s="154"/>
      <c r="F101" s="154"/>
      <c r="G101" s="154"/>
      <c r="H101" s="154"/>
      <c r="I101" s="154"/>
    </row>
    <row r="102" spans="1:9">
      <c r="A102" s="154">
        <v>98</v>
      </c>
      <c r="B102" s="154"/>
      <c r="C102" s="154"/>
      <c r="D102" s="154"/>
      <c r="E102" s="154"/>
      <c r="F102" s="154"/>
      <c r="G102" s="154"/>
      <c r="H102" s="154"/>
      <c r="I102" s="154"/>
    </row>
    <row r="103" spans="1:9">
      <c r="A103" s="154">
        <v>83.852630615234375</v>
      </c>
      <c r="B103" s="154"/>
      <c r="C103" s="154"/>
      <c r="D103" s="154"/>
      <c r="E103" s="154"/>
      <c r="F103" s="154"/>
      <c r="G103" s="154"/>
      <c r="H103" s="154"/>
      <c r="I103" s="154"/>
    </row>
    <row r="104" spans="1:9">
      <c r="A104" s="154">
        <v>70.305259704589844</v>
      </c>
      <c r="B104" s="154"/>
      <c r="C104" s="154"/>
      <c r="D104" s="154"/>
      <c r="E104" s="154"/>
      <c r="F104" s="154"/>
      <c r="G104" s="154"/>
      <c r="H104" s="154"/>
      <c r="I104" s="154"/>
    </row>
    <row r="105" spans="1:9">
      <c r="A105" s="154">
        <v>57.410526275634766</v>
      </c>
      <c r="B105" s="154"/>
      <c r="C105" s="154"/>
      <c r="D105" s="154"/>
      <c r="E105" s="154"/>
      <c r="F105" s="154"/>
      <c r="G105" s="154"/>
      <c r="H105" s="154"/>
      <c r="I105" s="154"/>
    </row>
    <row r="106" spans="1:9">
      <c r="A106" s="154">
        <v>38.010524749755859</v>
      </c>
      <c r="B106" s="154"/>
      <c r="C106" s="154"/>
      <c r="D106" s="154"/>
      <c r="E106" s="154"/>
      <c r="F106" s="154"/>
      <c r="G106" s="154"/>
      <c r="H106" s="154"/>
      <c r="I106" s="154"/>
    </row>
    <row r="107" spans="1:9">
      <c r="A107" s="154">
        <v>24.778947830200195</v>
      </c>
      <c r="B107" s="154"/>
      <c r="C107" s="154"/>
      <c r="D107" s="154"/>
      <c r="E107" s="154"/>
      <c r="F107" s="154"/>
      <c r="G107" s="154"/>
      <c r="H107" s="154"/>
      <c r="I107" s="154"/>
    </row>
    <row r="108" spans="1:9">
      <c r="A108" s="154">
        <v>15.684209823608398</v>
      </c>
      <c r="B108" s="154"/>
      <c r="C108" s="154"/>
      <c r="D108" s="154"/>
      <c r="E108" s="154"/>
      <c r="F108" s="154"/>
      <c r="G108" s="154"/>
      <c r="H108" s="154"/>
      <c r="I108" s="154"/>
    </row>
    <row r="109" spans="1:9">
      <c r="A109" s="154">
        <v>9.0105257034301758</v>
      </c>
      <c r="B109" s="154"/>
      <c r="C109" s="154"/>
      <c r="D109" s="154"/>
      <c r="E109" s="154"/>
      <c r="F109" s="154"/>
      <c r="G109" s="154"/>
      <c r="H109" s="154"/>
      <c r="I109" s="154"/>
    </row>
    <row r="110" spans="1:9">
      <c r="A110" s="154">
        <v>6.2526321411132813</v>
      </c>
      <c r="B110" s="154"/>
      <c r="C110" s="154"/>
      <c r="D110" s="154"/>
      <c r="E110" s="154"/>
      <c r="F110" s="154"/>
      <c r="G110" s="154"/>
      <c r="H110" s="154"/>
      <c r="I110" s="154"/>
    </row>
    <row r="111" spans="1:9">
      <c r="A111" s="154">
        <v>7.8315787315368652</v>
      </c>
      <c r="B111" s="154"/>
      <c r="C111" s="154"/>
      <c r="D111" s="154"/>
      <c r="E111" s="154"/>
      <c r="F111" s="154"/>
      <c r="G111" s="154"/>
      <c r="H111" s="154"/>
      <c r="I111" s="154"/>
    </row>
    <row r="112" spans="1:9">
      <c r="A112" s="154">
        <v>14.70526123046875</v>
      </c>
      <c r="B112" s="154"/>
      <c r="C112" s="154"/>
      <c r="D112" s="154"/>
      <c r="E112" s="154"/>
      <c r="F112" s="154"/>
      <c r="G112" s="154"/>
      <c r="H112" s="154"/>
      <c r="I112" s="154"/>
    </row>
    <row r="113" spans="1:9">
      <c r="A113" s="154">
        <v>30</v>
      </c>
      <c r="B113" s="154"/>
      <c r="C113" s="154"/>
      <c r="D113" s="154"/>
      <c r="E113" s="154"/>
      <c r="F113" s="154"/>
      <c r="G113" s="154"/>
      <c r="H113" s="154"/>
      <c r="I113" s="154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U14" sqref="U14"/>
    </sheetView>
  </sheetViews>
  <sheetFormatPr defaultColWidth="9.140625" defaultRowHeight="15.75"/>
  <cols>
    <col min="1" max="1" width="12.140625" style="315" customWidth="1"/>
    <col min="2" max="2" width="6.140625" style="315" customWidth="1"/>
    <col min="3" max="3" width="7.7109375" style="315" customWidth="1"/>
    <col min="4" max="5" width="13.140625" style="315" customWidth="1"/>
    <col min="6" max="6" width="9.42578125" style="315" customWidth="1"/>
    <col min="7" max="7" width="5.7109375" style="315" customWidth="1"/>
    <col min="8" max="8" width="7.85546875" style="315" customWidth="1"/>
    <col min="9" max="9" width="8.5703125" style="315" customWidth="1"/>
    <col min="10" max="10" width="12" style="316" customWidth="1"/>
    <col min="11" max="11" width="12" style="315" customWidth="1"/>
    <col min="12" max="12" width="16" style="165" customWidth="1"/>
    <col min="13" max="26" width="9.140625" style="165"/>
    <col min="27" max="16384" width="9.140625" style="166"/>
  </cols>
  <sheetData>
    <row r="1" spans="1:26" ht="20.25" customHeight="1">
      <c r="A1" s="424" t="s">
        <v>264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</row>
    <row r="2" spans="1:26" ht="20.25" customHeight="1">
      <c r="A2" s="425" t="s">
        <v>265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</row>
    <row r="3" spans="1:26" ht="18.75" customHeight="1" thickBot="1">
      <c r="A3" s="167" t="s">
        <v>1</v>
      </c>
      <c r="B3" s="168" t="s">
        <v>643</v>
      </c>
      <c r="C3" s="169"/>
      <c r="D3" s="169"/>
      <c r="E3" s="169"/>
      <c r="F3" s="170"/>
      <c r="G3" s="169"/>
      <c r="H3" s="169"/>
      <c r="I3" s="167" t="s">
        <v>266</v>
      </c>
      <c r="J3" s="426" t="s">
        <v>644</v>
      </c>
      <c r="K3" s="426"/>
    </row>
    <row r="4" spans="1:26" s="179" customFormat="1" ht="18.399999999999999" customHeight="1" thickBot="1">
      <c r="A4" s="171" t="s">
        <v>647</v>
      </c>
      <c r="B4" s="172"/>
      <c r="C4" s="173"/>
      <c r="D4" s="173"/>
      <c r="E4" s="173"/>
      <c r="F4" s="173"/>
      <c r="G4" s="173"/>
      <c r="H4" s="173"/>
      <c r="I4" s="173"/>
      <c r="J4" s="173"/>
      <c r="K4" s="174"/>
      <c r="L4" s="175"/>
      <c r="M4" s="175"/>
      <c r="N4" s="175"/>
      <c r="O4" s="175"/>
      <c r="P4" s="175"/>
      <c r="Q4" s="176" t="s">
        <v>267</v>
      </c>
      <c r="R4" s="177"/>
      <c r="S4" s="175"/>
      <c r="T4" s="176" t="s">
        <v>268</v>
      </c>
      <c r="U4" s="178"/>
      <c r="V4" s="175"/>
      <c r="W4" s="175"/>
      <c r="X4" s="175"/>
      <c r="Y4" s="175"/>
      <c r="Z4" s="175"/>
    </row>
    <row r="5" spans="1:26" s="179" customFormat="1" ht="18.399999999999999" customHeight="1">
      <c r="A5" s="427" t="s">
        <v>269</v>
      </c>
      <c r="B5" s="428"/>
      <c r="C5" s="428"/>
      <c r="D5" s="180"/>
      <c r="E5" s="181"/>
      <c r="F5" s="182" t="s">
        <v>270</v>
      </c>
      <c r="G5" s="183"/>
      <c r="H5" s="183"/>
      <c r="I5" s="184"/>
      <c r="J5" s="185" t="s">
        <v>271</v>
      </c>
      <c r="K5" s="186" t="s">
        <v>272</v>
      </c>
      <c r="L5" s="175"/>
      <c r="M5" s="175"/>
      <c r="N5" s="175"/>
      <c r="O5" s="175"/>
      <c r="P5" s="175"/>
      <c r="Q5" s="187" t="s">
        <v>273</v>
      </c>
      <c r="R5" s="188"/>
      <c r="S5" s="175"/>
      <c r="T5" s="187" t="s">
        <v>274</v>
      </c>
      <c r="U5" s="189"/>
      <c r="V5" s="175"/>
      <c r="W5" s="175"/>
      <c r="X5" s="175"/>
      <c r="Y5" s="175"/>
      <c r="Z5" s="175"/>
    </row>
    <row r="6" spans="1:26" s="179" customFormat="1" ht="18.399999999999999" customHeight="1">
      <c r="A6" s="429" t="s">
        <v>67</v>
      </c>
      <c r="B6" s="430"/>
      <c r="C6" s="430"/>
      <c r="D6" s="431" t="s">
        <v>278</v>
      </c>
      <c r="E6" s="432"/>
      <c r="F6" s="433" t="s">
        <v>276</v>
      </c>
      <c r="G6" s="434"/>
      <c r="H6" s="434"/>
      <c r="I6" s="434"/>
      <c r="J6" s="434"/>
      <c r="K6" s="435"/>
      <c r="L6" s="175"/>
      <c r="M6" s="175"/>
      <c r="N6" s="175"/>
      <c r="O6" s="175"/>
      <c r="P6" s="175"/>
      <c r="Q6" s="187" t="s">
        <v>277</v>
      </c>
      <c r="R6" s="188"/>
      <c r="S6" s="175"/>
      <c r="T6" s="187" t="s">
        <v>278</v>
      </c>
      <c r="U6" s="189"/>
      <c r="V6" s="175"/>
      <c r="W6" s="175"/>
      <c r="X6" s="175"/>
      <c r="Y6" s="175"/>
      <c r="Z6" s="175"/>
    </row>
    <row r="7" spans="1:26" s="179" customFormat="1" ht="18.399999999999999" customHeight="1">
      <c r="A7" s="439" t="s">
        <v>20</v>
      </c>
      <c r="B7" s="440"/>
      <c r="C7" s="440"/>
      <c r="D7" s="441">
        <v>2.0999999046325701</v>
      </c>
      <c r="E7" s="442"/>
      <c r="F7" s="190" t="s">
        <v>279</v>
      </c>
      <c r="G7" s="191"/>
      <c r="H7" s="192"/>
      <c r="I7" s="193"/>
      <c r="J7" s="194">
        <v>43</v>
      </c>
      <c r="K7" s="195">
        <v>43.6</v>
      </c>
      <c r="L7" s="175"/>
      <c r="M7" s="580">
        <f>O7/N7*J7</f>
        <v>43.505882352941171</v>
      </c>
      <c r="N7" s="175">
        <v>51</v>
      </c>
      <c r="O7" s="175">
        <v>51.6</v>
      </c>
      <c r="P7" s="175"/>
      <c r="Q7" s="187" t="s">
        <v>280</v>
      </c>
      <c r="R7" s="188"/>
      <c r="S7" s="175"/>
      <c r="T7" s="187" t="s">
        <v>275</v>
      </c>
      <c r="U7" s="189"/>
      <c r="V7" s="175"/>
      <c r="W7" s="175"/>
      <c r="X7" s="175"/>
      <c r="Y7" s="175"/>
      <c r="Z7" s="175"/>
    </row>
    <row r="8" spans="1:26" s="179" customFormat="1" ht="18.399999999999999" customHeight="1">
      <c r="A8" s="439" t="s">
        <v>281</v>
      </c>
      <c r="B8" s="440"/>
      <c r="C8" s="440"/>
      <c r="D8" s="443">
        <v>840</v>
      </c>
      <c r="E8" s="444"/>
      <c r="F8" s="196" t="s">
        <v>282</v>
      </c>
      <c r="G8" s="197"/>
      <c r="H8" s="198"/>
      <c r="I8" s="199"/>
      <c r="J8" s="200">
        <v>7783</v>
      </c>
      <c r="K8" s="201">
        <v>9007</v>
      </c>
      <c r="L8" s="175"/>
      <c r="M8" s="581">
        <f t="shared" ref="M8:M11" si="0">O8/N8*J8</f>
        <v>10663.604597701149</v>
      </c>
      <c r="N8" s="175">
        <v>8700</v>
      </c>
      <c r="O8" s="175">
        <v>11920</v>
      </c>
      <c r="P8" s="175"/>
      <c r="Q8" s="187" t="s">
        <v>283</v>
      </c>
      <c r="R8" s="188"/>
      <c r="S8" s="175"/>
      <c r="T8" s="187" t="s">
        <v>284</v>
      </c>
      <c r="U8" s="189"/>
      <c r="V8" s="175"/>
      <c r="W8" s="175"/>
      <c r="X8" s="175"/>
      <c r="Y8" s="175"/>
      <c r="Z8" s="175"/>
    </row>
    <row r="9" spans="1:26" s="179" customFormat="1" ht="18.399999999999999" customHeight="1">
      <c r="A9" s="445" t="s">
        <v>285</v>
      </c>
      <c r="B9" s="446"/>
      <c r="C9" s="447"/>
      <c r="D9" s="443">
        <v>10</v>
      </c>
      <c r="E9" s="444"/>
      <c r="F9" s="190" t="s">
        <v>286</v>
      </c>
      <c r="G9" s="191"/>
      <c r="H9" s="202">
        <v>3</v>
      </c>
      <c r="I9" s="203" t="s">
        <v>287</v>
      </c>
      <c r="J9" s="204">
        <v>138</v>
      </c>
      <c r="K9" s="201">
        <v>133.9</v>
      </c>
      <c r="L9" s="175"/>
      <c r="M9" s="580">
        <f t="shared" si="0"/>
        <v>148.19999999999999</v>
      </c>
      <c r="N9" s="175">
        <v>161</v>
      </c>
      <c r="O9" s="175">
        <v>172.9</v>
      </c>
      <c r="P9" s="175"/>
      <c r="Q9" s="187" t="s">
        <v>288</v>
      </c>
      <c r="R9" s="188"/>
      <c r="S9" s="175"/>
      <c r="T9" s="187" t="s">
        <v>289</v>
      </c>
      <c r="U9" s="189"/>
      <c r="V9" s="175"/>
      <c r="W9" s="175"/>
      <c r="X9" s="175"/>
      <c r="Y9" s="175"/>
      <c r="Z9" s="175"/>
    </row>
    <row r="10" spans="1:26" s="179" customFormat="1" ht="18.399999999999999" customHeight="1" thickBot="1">
      <c r="A10" s="445" t="s">
        <v>290</v>
      </c>
      <c r="B10" s="446"/>
      <c r="C10" s="447"/>
      <c r="D10" s="448" t="s">
        <v>183</v>
      </c>
      <c r="E10" s="449"/>
      <c r="F10" s="190" t="s">
        <v>291</v>
      </c>
      <c r="G10" s="191"/>
      <c r="H10" s="202">
        <v>3</v>
      </c>
      <c r="I10" s="203" t="s">
        <v>287</v>
      </c>
      <c r="J10" s="204">
        <v>1150</v>
      </c>
      <c r="K10" s="201">
        <v>1150</v>
      </c>
      <c r="L10" s="175"/>
      <c r="M10" s="175">
        <f t="shared" si="0"/>
        <v>1150</v>
      </c>
      <c r="N10" s="175">
        <v>1150</v>
      </c>
      <c r="O10" s="175">
        <v>1150</v>
      </c>
      <c r="P10" s="175"/>
      <c r="Q10" s="187" t="s">
        <v>292</v>
      </c>
      <c r="R10" s="188"/>
      <c r="S10" s="175"/>
      <c r="T10" s="205" t="s">
        <v>293</v>
      </c>
      <c r="U10" s="206"/>
      <c r="V10" s="175"/>
      <c r="W10" s="175"/>
      <c r="X10" s="175"/>
      <c r="Y10" s="175"/>
      <c r="Z10" s="175"/>
    </row>
    <row r="11" spans="1:26" s="179" customFormat="1" ht="18.399999999999999" customHeight="1" thickBot="1">
      <c r="A11" s="445" t="s">
        <v>294</v>
      </c>
      <c r="B11" s="446"/>
      <c r="C11" s="447"/>
      <c r="D11" s="450" t="s">
        <v>174</v>
      </c>
      <c r="E11" s="451"/>
      <c r="F11" s="207" t="s">
        <v>295</v>
      </c>
      <c r="G11" s="208"/>
      <c r="H11" s="209">
        <v>3</v>
      </c>
      <c r="I11" s="203" t="s">
        <v>287</v>
      </c>
      <c r="J11" s="210">
        <v>18114</v>
      </c>
      <c r="K11" s="211">
        <v>32668</v>
      </c>
      <c r="L11" s="175"/>
      <c r="M11" s="581">
        <f t="shared" si="0"/>
        <v>41238.792120579012</v>
      </c>
      <c r="N11" s="175">
        <v>20103</v>
      </c>
      <c r="O11" s="175">
        <v>45767</v>
      </c>
      <c r="P11" s="175"/>
      <c r="Q11" s="205" t="s">
        <v>296</v>
      </c>
      <c r="R11" s="212"/>
      <c r="S11" s="175"/>
      <c r="T11" s="175"/>
      <c r="U11" s="175"/>
      <c r="V11" s="175"/>
      <c r="W11" s="175"/>
      <c r="X11" s="175"/>
      <c r="Y11" s="175"/>
      <c r="Z11" s="175"/>
    </row>
    <row r="12" spans="1:26" s="179" customFormat="1" ht="18.399999999999999" customHeight="1">
      <c r="A12" s="213" t="s">
        <v>297</v>
      </c>
      <c r="C12" s="214"/>
      <c r="D12" s="452" t="s">
        <v>174</v>
      </c>
      <c r="E12" s="453"/>
      <c r="F12" s="436" t="s">
        <v>298</v>
      </c>
      <c r="G12" s="437"/>
      <c r="H12" s="437"/>
      <c r="I12" s="437"/>
      <c r="J12" s="437"/>
      <c r="K12" s="438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spans="1:26" s="179" customFormat="1" ht="18.399999999999999" customHeight="1">
      <c r="A13" s="445" t="s">
        <v>53</v>
      </c>
      <c r="B13" s="446"/>
      <c r="C13" s="447"/>
      <c r="D13" s="454" t="s">
        <v>374</v>
      </c>
      <c r="E13" s="455"/>
      <c r="F13" s="215"/>
      <c r="G13" s="216" t="s">
        <v>299</v>
      </c>
      <c r="H13" s="217"/>
      <c r="I13" s="218" t="s">
        <v>300</v>
      </c>
      <c r="J13" s="219" t="s">
        <v>376</v>
      </c>
      <c r="K13" s="220" t="s">
        <v>174</v>
      </c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spans="1:26" s="179" customFormat="1" ht="18.399999999999999" customHeight="1">
      <c r="A14" s="445" t="s">
        <v>56</v>
      </c>
      <c r="B14" s="446"/>
      <c r="C14" s="447"/>
      <c r="D14" s="452">
        <v>1325</v>
      </c>
      <c r="E14" s="453"/>
      <c r="F14" s="215"/>
      <c r="G14" s="221" t="s">
        <v>10</v>
      </c>
      <c r="H14" s="222"/>
      <c r="I14" s="222"/>
      <c r="J14" s="204" t="s">
        <v>174</v>
      </c>
      <c r="K14" s="201" t="s">
        <v>174</v>
      </c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spans="1:26" s="179" customFormat="1" ht="18.399999999999999" customHeight="1">
      <c r="A15" s="456" t="s">
        <v>301</v>
      </c>
      <c r="B15" s="457"/>
      <c r="C15" s="458"/>
      <c r="D15" s="459">
        <v>14.022000312805176</v>
      </c>
      <c r="E15" s="460"/>
      <c r="F15" s="215"/>
      <c r="G15" s="221" t="s">
        <v>302</v>
      </c>
      <c r="H15" s="222"/>
      <c r="I15" s="222"/>
      <c r="J15" s="204" t="s">
        <v>174</v>
      </c>
      <c r="K15" s="201" t="s">
        <v>174</v>
      </c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spans="1:26" s="179" customFormat="1" ht="18.399999999999999" customHeight="1">
      <c r="A16" s="461" t="s">
        <v>303</v>
      </c>
      <c r="B16" s="462"/>
      <c r="C16" s="463"/>
      <c r="D16" s="459">
        <v>3.4367997646331787</v>
      </c>
      <c r="E16" s="460"/>
      <c r="F16" s="223"/>
      <c r="G16" s="224" t="s">
        <v>17</v>
      </c>
      <c r="H16" s="225"/>
      <c r="I16" s="225"/>
      <c r="J16" s="210" t="s">
        <v>174</v>
      </c>
      <c r="K16" s="211" t="s">
        <v>174</v>
      </c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spans="1:26" s="179" customFormat="1" ht="18.399999999999999" customHeight="1">
      <c r="A17" s="226" t="s">
        <v>304</v>
      </c>
      <c r="B17" s="227"/>
      <c r="C17" s="228"/>
      <c r="D17" s="450" t="s">
        <v>373</v>
      </c>
      <c r="E17" s="451"/>
      <c r="F17" s="436" t="s">
        <v>305</v>
      </c>
      <c r="G17" s="437"/>
      <c r="H17" s="437"/>
      <c r="I17" s="437"/>
      <c r="J17" s="437"/>
      <c r="K17" s="438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spans="1:26" s="179" customFormat="1" ht="18.399999999999999" customHeight="1">
      <c r="A18" s="229" t="s">
        <v>306</v>
      </c>
      <c r="B18" s="230"/>
      <c r="C18" s="228"/>
      <c r="D18" s="448" t="s">
        <v>174</v>
      </c>
      <c r="E18" s="449"/>
      <c r="F18" s="464"/>
      <c r="G18" s="465"/>
      <c r="H18" s="231" t="s">
        <v>307</v>
      </c>
      <c r="I18" s="232"/>
      <c r="J18" s="200">
        <v>99</v>
      </c>
      <c r="K18" s="201"/>
      <c r="L18" s="175"/>
      <c r="M18" s="175">
        <f>J18*6.5</f>
        <v>643.5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spans="1:26" s="179" customFormat="1" ht="18.399999999999999" customHeight="1">
      <c r="A19" s="470" t="s">
        <v>308</v>
      </c>
      <c r="B19" s="471"/>
      <c r="C19" s="472"/>
      <c r="D19" s="473" t="s">
        <v>174</v>
      </c>
      <c r="E19" s="451"/>
      <c r="F19" s="466"/>
      <c r="G19" s="467"/>
      <c r="H19" s="231" t="s">
        <v>5</v>
      </c>
      <c r="I19" s="193"/>
      <c r="J19" s="200">
        <v>895</v>
      </c>
      <c r="K19" s="201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spans="1:26" s="179" customFormat="1" ht="18.399999999999999" customHeight="1" thickBot="1">
      <c r="A20" s="233" t="s">
        <v>309</v>
      </c>
      <c r="C20" s="234"/>
      <c r="D20" s="474" t="s">
        <v>182</v>
      </c>
      <c r="E20" s="444"/>
      <c r="F20" s="466"/>
      <c r="G20" s="467"/>
      <c r="H20" s="231" t="s">
        <v>310</v>
      </c>
      <c r="I20" s="193"/>
      <c r="J20" s="204" t="s">
        <v>378</v>
      </c>
      <c r="K20" s="201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spans="1:26" s="179" customFormat="1" ht="18.399999999999999" customHeight="1" thickBot="1">
      <c r="A21" s="456" t="s">
        <v>311</v>
      </c>
      <c r="B21" s="457"/>
      <c r="C21" s="458"/>
      <c r="D21" s="443" t="s">
        <v>174</v>
      </c>
      <c r="E21" s="444"/>
      <c r="F21" s="466"/>
      <c r="G21" s="467"/>
      <c r="H21" s="235" t="s">
        <v>312</v>
      </c>
      <c r="I21" s="193"/>
      <c r="J21" s="204">
        <v>1.1499999999999999</v>
      </c>
      <c r="K21" s="201"/>
      <c r="L21" s="175"/>
      <c r="M21" s="175"/>
      <c r="N21" s="175"/>
      <c r="O21" s="175"/>
      <c r="P21" s="175"/>
      <c r="Q21" s="176" t="s">
        <v>313</v>
      </c>
      <c r="R21" s="178"/>
      <c r="S21" s="175"/>
      <c r="T21" s="175"/>
      <c r="U21" s="175"/>
      <c r="V21" s="175"/>
      <c r="W21" s="175"/>
      <c r="X21" s="175"/>
      <c r="Y21" s="175"/>
      <c r="Z21" s="175"/>
    </row>
    <row r="22" spans="1:26" s="179" customFormat="1" ht="18.399999999999999" customHeight="1">
      <c r="A22" s="229" t="s">
        <v>314</v>
      </c>
      <c r="B22" s="236"/>
      <c r="C22" s="236"/>
      <c r="D22" s="475">
        <v>0.13700000000000001</v>
      </c>
      <c r="E22" s="476"/>
      <c r="F22" s="466"/>
      <c r="G22" s="467"/>
      <c r="H22" s="231" t="s">
        <v>271</v>
      </c>
      <c r="I22" s="193"/>
      <c r="J22" s="204" t="s">
        <v>638</v>
      </c>
      <c r="K22" s="201"/>
      <c r="L22" s="175"/>
      <c r="M22" s="175"/>
      <c r="N22" s="175"/>
      <c r="O22" s="175"/>
      <c r="P22" s="175"/>
      <c r="Q22" s="187" t="s">
        <v>315</v>
      </c>
      <c r="R22" s="189"/>
      <c r="S22" s="175"/>
      <c r="T22" s="175"/>
      <c r="U22" s="175"/>
      <c r="V22" s="175"/>
      <c r="W22" s="175"/>
      <c r="X22" s="175"/>
      <c r="Y22" s="175"/>
      <c r="Z22" s="175"/>
    </row>
    <row r="23" spans="1:26" s="179" customFormat="1" ht="18.399999999999999" customHeight="1">
      <c r="A23" s="237" t="s">
        <v>316</v>
      </c>
      <c r="B23" s="238" t="s">
        <v>317</v>
      </c>
      <c r="C23" s="239"/>
      <c r="D23" s="454">
        <v>797</v>
      </c>
      <c r="E23" s="455"/>
      <c r="F23" s="466"/>
      <c r="G23" s="467"/>
      <c r="H23" s="240" t="s">
        <v>318</v>
      </c>
      <c r="I23" s="241"/>
      <c r="J23" s="242"/>
      <c r="K23" s="243"/>
      <c r="L23" s="175"/>
      <c r="Q23" s="187" t="s">
        <v>319</v>
      </c>
      <c r="R23" s="189"/>
      <c r="S23" s="175"/>
      <c r="T23" s="175"/>
      <c r="U23" s="175"/>
      <c r="V23" s="175"/>
      <c r="W23" s="175"/>
      <c r="X23" s="175"/>
      <c r="Y23" s="175"/>
      <c r="Z23" s="175"/>
    </row>
    <row r="24" spans="1:26" s="179" customFormat="1" ht="18.399999999999999" customHeight="1" thickBot="1">
      <c r="A24" s="244" t="s">
        <v>320</v>
      </c>
      <c r="B24" s="245" t="s">
        <v>321</v>
      </c>
      <c r="C24" s="246"/>
      <c r="D24" s="477" t="s">
        <v>174</v>
      </c>
      <c r="E24" s="478"/>
      <c r="F24" s="466"/>
      <c r="G24" s="467"/>
      <c r="H24" s="231" t="s">
        <v>322</v>
      </c>
      <c r="I24" s="214"/>
      <c r="J24" s="247"/>
      <c r="K24" s="248"/>
      <c r="Q24" s="249" t="s">
        <v>174</v>
      </c>
      <c r="R24" s="250"/>
      <c r="S24" s="175"/>
      <c r="T24" s="175"/>
      <c r="U24" s="175"/>
      <c r="V24" s="175"/>
      <c r="W24" s="175"/>
      <c r="X24" s="175"/>
      <c r="Y24" s="175"/>
      <c r="Z24" s="175"/>
    </row>
    <row r="25" spans="1:26" s="179" customFormat="1" ht="18.399999999999999" customHeight="1">
      <c r="A25" s="251" t="s">
        <v>323</v>
      </c>
      <c r="B25" s="252"/>
      <c r="C25" s="252"/>
      <c r="D25" s="253"/>
      <c r="E25" s="253" t="s">
        <v>324</v>
      </c>
      <c r="F25" s="466"/>
      <c r="G25" s="467"/>
      <c r="H25" s="231" t="s">
        <v>325</v>
      </c>
      <c r="I25" s="214"/>
      <c r="J25" s="254"/>
      <c r="K25" s="248"/>
      <c r="R25" s="175"/>
      <c r="S25" s="175"/>
      <c r="T25" s="175"/>
      <c r="U25" s="175"/>
      <c r="V25" s="175"/>
      <c r="W25" s="175"/>
      <c r="X25" s="175"/>
      <c r="Y25" s="175"/>
      <c r="Z25" s="175"/>
    </row>
    <row r="26" spans="1:26" s="179" customFormat="1" ht="18.399999999999999" customHeight="1">
      <c r="A26" s="255" t="s">
        <v>326</v>
      </c>
      <c r="B26" s="256"/>
      <c r="C26" s="257"/>
      <c r="D26" s="258" t="s">
        <v>377</v>
      </c>
      <c r="E26" s="258" t="s">
        <v>379</v>
      </c>
      <c r="F26" s="468"/>
      <c r="G26" s="469"/>
      <c r="H26" s="479"/>
      <c r="I26" s="480"/>
      <c r="J26" s="259"/>
      <c r="K26" s="260"/>
      <c r="R26" s="175"/>
      <c r="S26" s="175"/>
      <c r="T26" s="175"/>
      <c r="U26" s="175"/>
      <c r="V26" s="175"/>
      <c r="W26" s="175"/>
      <c r="X26" s="175"/>
      <c r="Y26" s="175"/>
      <c r="Z26" s="175"/>
    </row>
    <row r="27" spans="1:26" s="179" customFormat="1" ht="18.399999999999999" customHeight="1">
      <c r="A27" s="481" t="s">
        <v>327</v>
      </c>
      <c r="B27" s="482"/>
      <c r="C27" s="482"/>
      <c r="D27" s="482"/>
      <c r="E27" s="482"/>
      <c r="F27" s="433" t="s">
        <v>328</v>
      </c>
      <c r="G27" s="434"/>
      <c r="H27" s="434"/>
      <c r="I27" s="434"/>
      <c r="J27" s="434"/>
      <c r="K27" s="43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1:26" s="179" customFormat="1" ht="18.399999999999999" customHeight="1">
      <c r="A28" s="485"/>
      <c r="B28" s="486"/>
      <c r="C28" s="486"/>
      <c r="D28" s="486"/>
      <c r="E28" s="487"/>
      <c r="F28" s="261"/>
      <c r="G28" s="262"/>
      <c r="H28" s="221" t="s">
        <v>329</v>
      </c>
      <c r="I28" s="263" t="s">
        <v>375</v>
      </c>
      <c r="J28" s="200">
        <v>632</v>
      </c>
      <c r="K28" s="264" t="s">
        <v>174</v>
      </c>
      <c r="M28" s="179">
        <f>(J28/J18)*100</f>
        <v>638.38383838383845</v>
      </c>
      <c r="N28" s="265"/>
      <c r="O28" s="26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1:26" s="179" customFormat="1" ht="18.399999999999999" customHeight="1">
      <c r="A29" s="485"/>
      <c r="B29" s="486"/>
      <c r="C29" s="486"/>
      <c r="D29" s="486"/>
      <c r="E29" s="487"/>
      <c r="F29" s="266"/>
      <c r="G29" s="267"/>
      <c r="H29" s="221" t="s">
        <v>330</v>
      </c>
      <c r="I29" s="268">
        <v>60</v>
      </c>
      <c r="J29" s="200">
        <v>98</v>
      </c>
      <c r="K29" s="269" t="s">
        <v>174</v>
      </c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 s="179" customFormat="1" ht="18.399999999999999" customHeight="1">
      <c r="A30" s="485"/>
      <c r="B30" s="486"/>
      <c r="C30" s="486"/>
      <c r="D30" s="486"/>
      <c r="E30" s="487"/>
      <c r="F30" s="266"/>
      <c r="G30" s="267"/>
      <c r="H30" s="221" t="s">
        <v>331</v>
      </c>
      <c r="I30" s="268">
        <v>175</v>
      </c>
      <c r="J30" s="200">
        <v>208</v>
      </c>
      <c r="K30" s="270" t="s">
        <v>174</v>
      </c>
      <c r="L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1:26" s="179" customFormat="1" ht="18.399999999999999" customHeight="1">
      <c r="A31" s="485"/>
      <c r="B31" s="486"/>
      <c r="C31" s="486"/>
      <c r="D31" s="486"/>
      <c r="E31" s="487"/>
      <c r="F31" s="266"/>
      <c r="G31" s="267"/>
      <c r="H31" s="221" t="s">
        <v>332</v>
      </c>
      <c r="I31" s="222"/>
      <c r="J31" s="271">
        <v>0.56999999999999995</v>
      </c>
      <c r="K31" s="195" t="s">
        <v>174</v>
      </c>
      <c r="L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1:26" s="179" customFormat="1" ht="18.399999999999999" customHeight="1">
      <c r="A32" s="488"/>
      <c r="B32" s="489"/>
      <c r="C32" s="489"/>
      <c r="D32" s="489"/>
      <c r="E32" s="490"/>
      <c r="F32" s="266"/>
      <c r="G32" s="272" t="s">
        <v>333</v>
      </c>
      <c r="H32" s="221" t="s">
        <v>334</v>
      </c>
      <c r="I32" s="273"/>
      <c r="J32" s="194">
        <v>95.5</v>
      </c>
      <c r="K32" s="269" t="s">
        <v>174</v>
      </c>
      <c r="L32" s="175"/>
      <c r="N32" s="274"/>
      <c r="R32" s="175"/>
      <c r="S32" s="175"/>
      <c r="T32" s="175"/>
      <c r="U32" s="175"/>
      <c r="V32" s="175"/>
      <c r="W32" s="175"/>
      <c r="X32" s="175"/>
      <c r="Y32" s="175"/>
      <c r="Z32" s="175"/>
    </row>
    <row r="33" spans="1:26" s="179" customFormat="1" ht="18.399999999999999" customHeight="1">
      <c r="A33" s="481" t="s">
        <v>335</v>
      </c>
      <c r="B33" s="482"/>
      <c r="C33" s="482"/>
      <c r="D33" s="482"/>
      <c r="E33" s="491"/>
      <c r="F33" s="275"/>
      <c r="G33" s="276"/>
      <c r="H33" s="277" t="s">
        <v>336</v>
      </c>
      <c r="I33" s="278"/>
      <c r="J33" s="279">
        <v>79.5</v>
      </c>
      <c r="K33" s="280" t="s">
        <v>174</v>
      </c>
      <c r="L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spans="1:26" s="179" customFormat="1" ht="18.399999999999999" customHeight="1">
      <c r="A34" s="485"/>
      <c r="B34" s="486"/>
      <c r="C34" s="486"/>
      <c r="D34" s="486"/>
      <c r="E34" s="487"/>
      <c r="F34" s="196" t="s">
        <v>337</v>
      </c>
      <c r="G34" s="281"/>
      <c r="H34" s="282" t="s">
        <v>14</v>
      </c>
      <c r="I34" s="283"/>
      <c r="J34" s="284">
        <v>5267</v>
      </c>
      <c r="K34" s="285" t="s">
        <v>174</v>
      </c>
      <c r="L34" s="286"/>
      <c r="M34" s="287"/>
      <c r="R34" s="175"/>
      <c r="S34" s="175"/>
      <c r="T34" s="175"/>
      <c r="U34" s="175"/>
      <c r="V34" s="175"/>
      <c r="W34" s="175"/>
      <c r="X34" s="175"/>
      <c r="Y34" s="175"/>
      <c r="Z34" s="175"/>
    </row>
    <row r="35" spans="1:26" s="179" customFormat="1" ht="18.399999999999999" customHeight="1">
      <c r="A35" s="485"/>
      <c r="B35" s="486"/>
      <c r="C35" s="486"/>
      <c r="D35" s="486"/>
      <c r="E35" s="487"/>
      <c r="F35" s="215"/>
      <c r="G35" s="288"/>
      <c r="H35" s="289" t="s">
        <v>15</v>
      </c>
      <c r="I35" s="290"/>
      <c r="J35" s="200">
        <v>3009</v>
      </c>
      <c r="K35" s="195" t="s">
        <v>174</v>
      </c>
      <c r="L35" s="291"/>
      <c r="M35" s="287"/>
      <c r="R35" s="175"/>
      <c r="S35" s="175"/>
      <c r="T35" s="175"/>
      <c r="U35" s="175"/>
      <c r="V35" s="175"/>
      <c r="W35" s="175"/>
      <c r="X35" s="175"/>
      <c r="Y35" s="175"/>
      <c r="Z35" s="175"/>
    </row>
    <row r="36" spans="1:26" s="179" customFormat="1" ht="18.399999999999999" customHeight="1">
      <c r="A36" s="485"/>
      <c r="B36" s="486"/>
      <c r="C36" s="486"/>
      <c r="D36" s="486"/>
      <c r="E36" s="487"/>
      <c r="F36" s="215"/>
      <c r="G36" s="288"/>
      <c r="H36" s="289" t="s">
        <v>338</v>
      </c>
      <c r="I36" s="290"/>
      <c r="J36" s="200">
        <v>4839</v>
      </c>
      <c r="K36" s="195" t="s">
        <v>174</v>
      </c>
      <c r="L36" s="291"/>
      <c r="M36" s="26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spans="1:26" s="179" customFormat="1" ht="18.399999999999999" customHeight="1">
      <c r="A37" s="485"/>
      <c r="B37" s="486"/>
      <c r="C37" s="486"/>
      <c r="D37" s="486"/>
      <c r="E37" s="487"/>
      <c r="F37" s="266"/>
      <c r="G37" s="288"/>
      <c r="H37" s="289" t="s">
        <v>648</v>
      </c>
      <c r="I37" s="290"/>
      <c r="J37" s="200">
        <v>2984</v>
      </c>
      <c r="K37" s="195" t="s">
        <v>174</v>
      </c>
      <c r="L37" s="291"/>
      <c r="M37" s="265"/>
      <c r="N37" s="291"/>
      <c r="R37" s="175"/>
      <c r="S37" s="175"/>
      <c r="T37" s="175"/>
      <c r="U37" s="175"/>
      <c r="V37" s="175"/>
      <c r="W37" s="175"/>
      <c r="X37" s="175"/>
      <c r="Y37" s="175"/>
      <c r="Z37" s="175"/>
    </row>
    <row r="38" spans="1:26" s="179" customFormat="1" ht="18.399999999999999" customHeight="1">
      <c r="A38" s="488"/>
      <c r="B38" s="489"/>
      <c r="C38" s="489"/>
      <c r="D38" s="489"/>
      <c r="E38" s="490"/>
      <c r="F38" s="223"/>
      <c r="G38" s="292"/>
      <c r="H38" s="293" t="s">
        <v>339</v>
      </c>
      <c r="I38" s="294"/>
      <c r="J38" s="295">
        <v>7971</v>
      </c>
      <c r="K38" s="296" t="s">
        <v>174</v>
      </c>
      <c r="R38" s="175"/>
      <c r="S38" s="175"/>
      <c r="T38" s="175"/>
      <c r="U38" s="175"/>
      <c r="V38" s="175"/>
      <c r="W38" s="175"/>
      <c r="X38" s="175"/>
      <c r="Y38" s="175"/>
      <c r="Z38" s="175"/>
    </row>
    <row r="39" spans="1:26" s="179" customFormat="1" ht="18.399999999999999" customHeight="1">
      <c r="A39" s="481" t="s">
        <v>340</v>
      </c>
      <c r="B39" s="482"/>
      <c r="C39" s="482"/>
      <c r="D39" s="482"/>
      <c r="E39" s="482"/>
      <c r="F39" s="297" t="s">
        <v>341</v>
      </c>
      <c r="G39" s="298"/>
      <c r="H39" s="298"/>
      <c r="I39" s="298"/>
      <c r="J39" s="298"/>
      <c r="K39" s="299"/>
      <c r="R39" s="175"/>
      <c r="S39" s="175"/>
      <c r="T39" s="175"/>
      <c r="U39" s="175"/>
      <c r="V39" s="175"/>
      <c r="W39" s="175"/>
      <c r="X39" s="175"/>
      <c r="Y39" s="175"/>
      <c r="Z39" s="175"/>
    </row>
    <row r="40" spans="1:26" s="179" customFormat="1" ht="18.399999999999999" customHeight="1">
      <c r="A40" s="492"/>
      <c r="B40" s="493"/>
      <c r="C40" s="493"/>
      <c r="D40" s="493"/>
      <c r="E40" s="494"/>
      <c r="F40" s="300"/>
      <c r="G40" s="301" t="s">
        <v>645</v>
      </c>
      <c r="H40" s="301"/>
      <c r="I40" s="301"/>
      <c r="J40" s="301"/>
      <c r="K40" s="302"/>
      <c r="R40" s="175"/>
      <c r="S40" s="175"/>
      <c r="T40" s="175"/>
      <c r="U40" s="175"/>
      <c r="V40" s="175"/>
      <c r="W40" s="175"/>
      <c r="X40" s="175"/>
      <c r="Y40" s="175"/>
      <c r="Z40" s="175"/>
    </row>
    <row r="41" spans="1:26" s="179" customFormat="1" ht="18.399999999999999" customHeight="1">
      <c r="A41" s="492"/>
      <c r="B41" s="493"/>
      <c r="C41" s="493"/>
      <c r="D41" s="493"/>
      <c r="E41" s="494"/>
      <c r="F41" s="300"/>
      <c r="G41" s="303" t="s">
        <v>646</v>
      </c>
      <c r="H41" s="303"/>
      <c r="I41" s="303"/>
      <c r="J41" s="303"/>
      <c r="K41" s="304"/>
      <c r="L41" s="305"/>
      <c r="R41" s="175"/>
      <c r="S41" s="175"/>
      <c r="T41" s="175"/>
      <c r="U41" s="175"/>
      <c r="V41" s="175"/>
      <c r="W41" s="175"/>
      <c r="X41" s="175"/>
      <c r="Y41" s="175"/>
      <c r="Z41" s="175"/>
    </row>
    <row r="42" spans="1:26" s="179" customFormat="1" ht="18.399999999999999" customHeight="1">
      <c r="A42" s="492"/>
      <c r="B42" s="493"/>
      <c r="C42" s="493"/>
      <c r="D42" s="493"/>
      <c r="E42" s="494"/>
      <c r="F42" s="300" t="s">
        <v>649</v>
      </c>
      <c r="G42" s="303"/>
      <c r="H42" s="303"/>
      <c r="I42" s="303"/>
      <c r="J42" s="303"/>
      <c r="K42" s="304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spans="1:26" s="179" customFormat="1" ht="18.399999999999999" customHeight="1">
      <c r="A43" s="492"/>
      <c r="B43" s="493"/>
      <c r="C43" s="493"/>
      <c r="D43" s="493"/>
      <c r="E43" s="494"/>
      <c r="F43" s="300"/>
      <c r="G43" s="303"/>
      <c r="H43" s="303"/>
      <c r="I43" s="303"/>
      <c r="J43" s="303"/>
      <c r="K43" s="304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spans="1:26" s="179" customFormat="1" ht="17.100000000000001" customHeight="1" thickBot="1">
      <c r="A44" s="495"/>
      <c r="B44" s="496"/>
      <c r="C44" s="496"/>
      <c r="D44" s="496"/>
      <c r="E44" s="497"/>
      <c r="F44" s="300"/>
      <c r="G44" s="303"/>
      <c r="H44" s="303"/>
      <c r="I44" s="303"/>
      <c r="J44" s="303"/>
      <c r="K44" s="304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spans="1:26" s="179" customFormat="1" ht="17.100000000000001" customHeight="1">
      <c r="A45" s="306" t="s">
        <v>342</v>
      </c>
      <c r="B45" s="498" t="s">
        <v>640</v>
      </c>
      <c r="C45" s="499"/>
      <c r="D45" s="307" t="s">
        <v>343</v>
      </c>
      <c r="E45" s="423" t="s">
        <v>637</v>
      </c>
      <c r="F45" s="308"/>
      <c r="G45" s="303"/>
      <c r="H45" s="303"/>
      <c r="I45" s="303"/>
      <c r="J45" s="303"/>
      <c r="K45" s="304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spans="1:26" s="179" customFormat="1" ht="17.100000000000001" customHeight="1" thickBot="1">
      <c r="A46" s="309" t="s">
        <v>344</v>
      </c>
      <c r="B46" s="483">
        <v>42081</v>
      </c>
      <c r="C46" s="484"/>
      <c r="D46" s="310" t="s">
        <v>344</v>
      </c>
      <c r="E46" s="311">
        <v>42074</v>
      </c>
      <c r="F46" s="312"/>
      <c r="G46" s="313"/>
      <c r="H46" s="313"/>
      <c r="I46" s="313"/>
      <c r="J46" s="313"/>
      <c r="K46" s="314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spans="1:26" s="179" customFormat="1" ht="17.100000000000001" customHeight="1">
      <c r="F47" s="31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</row>
    <row r="48" spans="1:26" s="179" customFormat="1" ht="17.100000000000001" customHeight="1">
      <c r="F48" s="175"/>
      <c r="G48" s="175"/>
      <c r="H48" s="175"/>
      <c r="I48" s="175"/>
      <c r="J48" s="175"/>
      <c r="K48" s="175"/>
    </row>
    <row r="49" spans="2:26" ht="17.100000000000001" customHeight="1">
      <c r="F49" s="165"/>
      <c r="G49" s="165"/>
      <c r="H49" s="165"/>
      <c r="I49" s="165"/>
      <c r="J49" s="165"/>
      <c r="K49" s="165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spans="2:26">
      <c r="F50" s="165"/>
      <c r="G50" s="165"/>
      <c r="H50" s="165"/>
      <c r="I50" s="165"/>
      <c r="J50" s="165"/>
      <c r="K50" s="165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spans="2:26">
      <c r="F51" s="165"/>
      <c r="G51" s="165"/>
      <c r="H51" s="165"/>
      <c r="I51" s="165"/>
      <c r="J51" s="165"/>
      <c r="K51" s="165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spans="2:26"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2:26">
      <c r="F53" s="165"/>
      <c r="G53" s="165"/>
      <c r="H53" s="165"/>
      <c r="I53" s="165"/>
      <c r="J53" s="165"/>
      <c r="K53" s="165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22" customWidth="1"/>
    <col min="2" max="2" width="18.140625" style="322" customWidth="1"/>
    <col min="3" max="3" width="21.5703125" style="322" customWidth="1"/>
    <col min="4" max="4" width="21.28515625" style="322" bestFit="1" customWidth="1"/>
    <col min="5" max="5" width="6.85546875" style="322" bestFit="1" customWidth="1"/>
    <col min="6" max="6" width="29.85546875" style="322" customWidth="1"/>
    <col min="7" max="7" width="43.7109375" style="322" customWidth="1"/>
    <col min="8" max="8" width="17.140625" style="322" customWidth="1"/>
    <col min="9" max="9" width="7.85546875" style="322" customWidth="1"/>
    <col min="10" max="10" width="2.28515625" style="322" bestFit="1" customWidth="1"/>
    <col min="11" max="12" width="2.28515625" style="322" customWidth="1"/>
    <col min="13" max="13" width="2.5703125" style="322" bestFit="1" customWidth="1"/>
    <col min="14" max="14" width="2.28515625" style="322" bestFit="1" customWidth="1"/>
    <col min="15" max="16384" width="9.140625" style="322"/>
  </cols>
  <sheetData>
    <row r="1" spans="2:14" ht="12.75" customHeight="1">
      <c r="B1" s="317"/>
      <c r="C1" s="318"/>
      <c r="D1" s="318"/>
      <c r="E1" s="318"/>
      <c r="F1" s="318"/>
      <c r="G1" s="318"/>
      <c r="H1" s="319"/>
      <c r="I1" s="320"/>
      <c r="J1" s="321" t="s">
        <v>345</v>
      </c>
      <c r="K1" s="321" t="s">
        <v>346</v>
      </c>
      <c r="L1" s="321" t="s">
        <v>347</v>
      </c>
      <c r="M1" s="321" t="s">
        <v>346</v>
      </c>
      <c r="N1" s="321"/>
    </row>
    <row r="2" spans="2:14" ht="12.75" customHeight="1">
      <c r="B2" s="508" t="s">
        <v>348</v>
      </c>
      <c r="C2" s="509"/>
      <c r="D2" s="509"/>
      <c r="E2" s="509"/>
      <c r="F2" s="509"/>
      <c r="G2" s="509"/>
      <c r="H2" s="323"/>
      <c r="I2" s="324"/>
      <c r="J2" s="325" t="s">
        <v>349</v>
      </c>
      <c r="K2" s="325" t="s">
        <v>350</v>
      </c>
      <c r="L2" s="325" t="s">
        <v>351</v>
      </c>
      <c r="M2" s="325" t="s">
        <v>352</v>
      </c>
      <c r="N2" s="325" t="s">
        <v>353</v>
      </c>
    </row>
    <row r="3" spans="2:14" ht="12.75" customHeight="1">
      <c r="B3" s="508"/>
      <c r="C3" s="509"/>
      <c r="D3" s="509"/>
      <c r="E3" s="509"/>
      <c r="F3" s="509"/>
      <c r="G3" s="509"/>
      <c r="H3" s="323"/>
      <c r="I3" s="324"/>
      <c r="J3" s="325" t="s">
        <v>354</v>
      </c>
      <c r="K3" s="325"/>
      <c r="L3" s="325" t="s">
        <v>355</v>
      </c>
      <c r="M3" s="325" t="s">
        <v>345</v>
      </c>
      <c r="N3" s="325"/>
    </row>
    <row r="4" spans="2:14" ht="12.75" customHeight="1">
      <c r="B4" s="508"/>
      <c r="C4" s="509"/>
      <c r="D4" s="509"/>
      <c r="E4" s="509"/>
      <c r="F4" s="509"/>
      <c r="G4" s="509"/>
      <c r="H4" s="323"/>
      <c r="I4" s="324"/>
      <c r="J4" s="325" t="s">
        <v>356</v>
      </c>
      <c r="K4" s="325"/>
      <c r="L4" s="325" t="s">
        <v>351</v>
      </c>
      <c r="M4" s="325" t="s">
        <v>349</v>
      </c>
      <c r="N4" s="325"/>
    </row>
    <row r="5" spans="2:14" ht="12.75" customHeight="1">
      <c r="B5" s="326"/>
      <c r="C5" s="327"/>
      <c r="D5" s="327"/>
      <c r="E5" s="327"/>
      <c r="F5" s="327"/>
      <c r="G5" s="327"/>
      <c r="H5" s="323"/>
      <c r="I5" s="324"/>
      <c r="J5" s="325"/>
      <c r="K5" s="325" t="s">
        <v>357</v>
      </c>
      <c r="L5" s="325" t="s">
        <v>346</v>
      </c>
      <c r="M5" s="325"/>
      <c r="N5" s="325" t="s">
        <v>351</v>
      </c>
    </row>
    <row r="6" spans="2:14" ht="12" customHeight="1">
      <c r="B6" s="328"/>
      <c r="C6" s="329"/>
      <c r="D6" s="329"/>
      <c r="F6" s="329"/>
      <c r="H6" s="330"/>
      <c r="I6" s="324"/>
      <c r="J6" s="325" t="s">
        <v>350</v>
      </c>
      <c r="K6" s="325" t="s">
        <v>358</v>
      </c>
      <c r="L6" s="325"/>
      <c r="M6" s="325" t="s">
        <v>346</v>
      </c>
      <c r="N6" s="325" t="s">
        <v>359</v>
      </c>
    </row>
    <row r="7" spans="2:14" ht="12.75" customHeight="1">
      <c r="B7" s="328"/>
      <c r="D7" s="331"/>
      <c r="H7" s="330"/>
      <c r="I7" s="324"/>
      <c r="J7" s="325" t="s">
        <v>360</v>
      </c>
      <c r="K7" s="325" t="s">
        <v>354</v>
      </c>
      <c r="L7" s="325" t="s">
        <v>354</v>
      </c>
      <c r="M7" s="325" t="s">
        <v>349</v>
      </c>
      <c r="N7" s="325" t="s">
        <v>361</v>
      </c>
    </row>
    <row r="8" spans="2:14" ht="12.75" customHeight="1">
      <c r="B8" s="328"/>
      <c r="G8" s="331"/>
      <c r="H8" s="332"/>
      <c r="I8" s="325" t="s">
        <v>361</v>
      </c>
      <c r="J8" s="325" t="s">
        <v>346</v>
      </c>
      <c r="K8" s="325" t="s">
        <v>362</v>
      </c>
      <c r="L8" s="325" t="s">
        <v>349</v>
      </c>
      <c r="M8" s="325" t="s">
        <v>361</v>
      </c>
      <c r="N8" s="325" t="s">
        <v>358</v>
      </c>
    </row>
    <row r="9" spans="2:14">
      <c r="B9" s="325" t="s">
        <v>363</v>
      </c>
      <c r="C9" s="332" t="s">
        <v>364</v>
      </c>
      <c r="D9" s="332" t="s">
        <v>365</v>
      </c>
      <c r="E9" s="332" t="s">
        <v>366</v>
      </c>
      <c r="F9" s="325" t="s">
        <v>367</v>
      </c>
      <c r="G9" s="325" t="s">
        <v>368</v>
      </c>
      <c r="H9" s="325" t="s">
        <v>369</v>
      </c>
      <c r="I9" s="325" t="s">
        <v>356</v>
      </c>
      <c r="J9" s="325" t="s">
        <v>360</v>
      </c>
      <c r="K9" s="325" t="s">
        <v>349</v>
      </c>
      <c r="L9" s="325" t="s">
        <v>362</v>
      </c>
      <c r="M9" s="325" t="s">
        <v>346</v>
      </c>
      <c r="N9" s="325" t="s">
        <v>347</v>
      </c>
    </row>
    <row r="10" spans="2:14" ht="15" customHeight="1">
      <c r="B10" s="333"/>
      <c r="C10" s="334"/>
      <c r="D10" s="334"/>
      <c r="E10" s="334"/>
      <c r="F10" s="335"/>
      <c r="G10" s="336"/>
      <c r="H10" s="336"/>
      <c r="I10" s="337"/>
      <c r="J10" s="338"/>
      <c r="K10" s="338"/>
      <c r="L10" s="338"/>
      <c r="M10" s="338"/>
      <c r="N10" s="339"/>
    </row>
    <row r="11" spans="2:14" ht="15" customHeight="1">
      <c r="B11" s="333"/>
      <c r="C11" s="335"/>
      <c r="D11" s="335"/>
      <c r="E11" s="335"/>
      <c r="F11" s="335"/>
      <c r="G11" s="335"/>
      <c r="H11" s="335"/>
      <c r="I11" s="340"/>
      <c r="J11" s="338"/>
      <c r="K11" s="338"/>
      <c r="L11" s="338"/>
      <c r="M11" s="338"/>
      <c r="N11" s="339"/>
    </row>
    <row r="12" spans="2:14" ht="15" customHeight="1">
      <c r="B12" s="333"/>
      <c r="C12" s="335"/>
      <c r="D12" s="335"/>
      <c r="E12" s="335"/>
      <c r="F12" s="335"/>
      <c r="G12" s="335"/>
      <c r="H12" s="335"/>
      <c r="I12" s="340"/>
      <c r="J12" s="341"/>
      <c r="K12" s="338"/>
      <c r="L12" s="338"/>
      <c r="M12" s="338"/>
      <c r="N12" s="339"/>
    </row>
    <row r="13" spans="2:14" ht="15" customHeight="1">
      <c r="B13" s="333"/>
      <c r="C13" s="335"/>
      <c r="D13" s="335"/>
      <c r="E13" s="335"/>
      <c r="F13" s="335"/>
      <c r="G13" s="335"/>
      <c r="H13" s="335"/>
      <c r="I13" s="340"/>
      <c r="J13" s="338"/>
      <c r="K13" s="338"/>
      <c r="L13" s="338"/>
      <c r="M13" s="338"/>
      <c r="N13" s="339"/>
    </row>
    <row r="14" spans="2:14" ht="15" customHeight="1">
      <c r="B14" s="333"/>
      <c r="C14" s="335"/>
      <c r="D14" s="335"/>
      <c r="E14" s="335"/>
      <c r="F14" s="335"/>
      <c r="G14" s="335"/>
      <c r="H14" s="335"/>
      <c r="I14" s="340"/>
      <c r="J14" s="338"/>
      <c r="K14" s="338"/>
      <c r="L14" s="338"/>
      <c r="M14" s="338"/>
      <c r="N14" s="339"/>
    </row>
    <row r="15" spans="2:14" ht="15" customHeight="1">
      <c r="B15" s="333"/>
      <c r="C15" s="335"/>
      <c r="D15" s="335"/>
      <c r="E15" s="335"/>
      <c r="F15" s="335"/>
      <c r="G15" s="335"/>
      <c r="H15" s="335"/>
      <c r="I15" s="340"/>
      <c r="J15" s="338"/>
      <c r="K15" s="338"/>
      <c r="L15" s="338"/>
      <c r="M15" s="338"/>
      <c r="N15" s="339"/>
    </row>
    <row r="16" spans="2:14" ht="15" customHeight="1">
      <c r="B16" s="333"/>
      <c r="C16" s="335"/>
      <c r="D16" s="335"/>
      <c r="E16" s="335"/>
      <c r="F16" s="335"/>
      <c r="G16" s="335"/>
      <c r="H16" s="335"/>
      <c r="I16" s="340"/>
      <c r="J16" s="338"/>
      <c r="K16" s="338"/>
      <c r="L16" s="338"/>
      <c r="M16" s="338"/>
      <c r="N16" s="339"/>
    </row>
    <row r="17" spans="2:14" ht="15" customHeight="1">
      <c r="B17" s="333"/>
      <c r="C17" s="335"/>
      <c r="D17" s="335"/>
      <c r="E17" s="335"/>
      <c r="F17" s="335"/>
      <c r="G17" s="335"/>
      <c r="H17" s="335"/>
      <c r="I17" s="340"/>
      <c r="J17" s="338"/>
      <c r="K17" s="338"/>
      <c r="L17" s="338"/>
      <c r="M17" s="338"/>
      <c r="N17" s="339"/>
    </row>
    <row r="18" spans="2:14" ht="15" customHeight="1">
      <c r="B18" s="333"/>
      <c r="C18" s="335"/>
      <c r="D18" s="335"/>
      <c r="E18" s="335"/>
      <c r="F18" s="335"/>
      <c r="G18" s="335"/>
      <c r="H18" s="335"/>
      <c r="I18" s="340"/>
      <c r="J18" s="338"/>
      <c r="K18" s="338"/>
      <c r="L18" s="338"/>
      <c r="M18" s="338"/>
      <c r="N18" s="339"/>
    </row>
    <row r="19" spans="2:14" ht="15" customHeight="1">
      <c r="B19" s="333"/>
      <c r="C19" s="335"/>
      <c r="D19" s="335"/>
      <c r="E19" s="335"/>
      <c r="F19" s="335"/>
      <c r="G19" s="335"/>
      <c r="H19" s="335"/>
      <c r="I19" s="340"/>
      <c r="J19" s="338"/>
      <c r="K19" s="338"/>
      <c r="L19" s="338"/>
      <c r="M19" s="338"/>
      <c r="N19" s="339"/>
    </row>
    <row r="20" spans="2:14" ht="15" customHeight="1">
      <c r="B20" s="333"/>
      <c r="C20" s="335"/>
      <c r="D20" s="335"/>
      <c r="E20" s="335"/>
      <c r="F20" s="335"/>
      <c r="G20" s="335"/>
      <c r="H20" s="335"/>
      <c r="I20" s="340"/>
      <c r="J20" s="338"/>
      <c r="K20" s="338"/>
      <c r="L20" s="338"/>
      <c r="M20" s="338"/>
      <c r="N20" s="339"/>
    </row>
    <row r="21" spans="2:14" ht="15" customHeight="1">
      <c r="B21" s="333"/>
      <c r="C21" s="335"/>
      <c r="D21" s="335"/>
      <c r="E21" s="335"/>
      <c r="F21" s="335"/>
      <c r="G21" s="335"/>
      <c r="H21" s="335"/>
      <c r="I21" s="340"/>
      <c r="J21" s="338"/>
      <c r="K21" s="338"/>
      <c r="L21" s="338"/>
      <c r="M21" s="338"/>
      <c r="N21" s="339"/>
    </row>
    <row r="22" spans="2:14" ht="15" customHeight="1">
      <c r="B22" s="333"/>
      <c r="C22" s="335"/>
      <c r="D22" s="335"/>
      <c r="E22" s="335"/>
      <c r="F22" s="335"/>
      <c r="G22" s="335"/>
      <c r="H22" s="335"/>
      <c r="I22" s="340"/>
      <c r="J22" s="338"/>
      <c r="K22" s="338"/>
      <c r="L22" s="338"/>
      <c r="M22" s="338"/>
      <c r="N22" s="339"/>
    </row>
    <row r="23" spans="2:14" ht="15" customHeight="1">
      <c r="B23" s="333"/>
      <c r="C23" s="335"/>
      <c r="D23" s="335"/>
      <c r="E23" s="335"/>
      <c r="F23" s="335"/>
      <c r="G23" s="335"/>
      <c r="H23" s="335"/>
      <c r="I23" s="340"/>
      <c r="J23" s="338"/>
      <c r="K23" s="338"/>
      <c r="L23" s="338"/>
      <c r="M23" s="338"/>
      <c r="N23" s="339"/>
    </row>
    <row r="24" spans="2:14" ht="15" customHeight="1">
      <c r="B24" s="333"/>
      <c r="C24" s="335"/>
      <c r="D24" s="335"/>
      <c r="E24" s="335"/>
      <c r="F24" s="335"/>
      <c r="G24" s="335"/>
      <c r="H24" s="335"/>
      <c r="I24" s="340"/>
      <c r="J24" s="338"/>
      <c r="K24" s="338"/>
      <c r="L24" s="338"/>
      <c r="M24" s="338"/>
      <c r="N24" s="339"/>
    </row>
    <row r="25" spans="2:14" ht="15" customHeight="1">
      <c r="B25" s="333"/>
      <c r="C25" s="335"/>
      <c r="D25" s="335"/>
      <c r="E25" s="335"/>
      <c r="F25" s="335"/>
      <c r="G25" s="335"/>
      <c r="H25" s="335"/>
      <c r="I25" s="340"/>
      <c r="J25" s="338"/>
      <c r="K25" s="338"/>
      <c r="L25" s="338"/>
      <c r="M25" s="338"/>
      <c r="N25" s="339"/>
    </row>
    <row r="26" spans="2:14" ht="15" customHeight="1">
      <c r="B26" s="333"/>
      <c r="C26" s="335"/>
      <c r="D26" s="335"/>
      <c r="E26" s="335"/>
      <c r="F26" s="335"/>
      <c r="G26" s="335"/>
      <c r="H26" s="335"/>
      <c r="I26" s="340"/>
      <c r="J26" s="338"/>
      <c r="K26" s="338"/>
      <c r="L26" s="338"/>
      <c r="M26" s="338"/>
      <c r="N26" s="339"/>
    </row>
    <row r="27" spans="2:14" ht="15" customHeight="1">
      <c r="B27" s="333"/>
      <c r="C27" s="335"/>
      <c r="D27" s="335"/>
      <c r="E27" s="335"/>
      <c r="F27" s="335"/>
      <c r="G27" s="335"/>
      <c r="H27" s="335"/>
      <c r="I27" s="340"/>
      <c r="J27" s="338"/>
      <c r="K27" s="338"/>
      <c r="L27" s="338"/>
      <c r="M27" s="338"/>
      <c r="N27" s="339"/>
    </row>
    <row r="28" spans="2:14" ht="15" customHeight="1">
      <c r="B28" s="333"/>
      <c r="C28" s="335"/>
      <c r="D28" s="335"/>
      <c r="E28" s="335"/>
      <c r="F28" s="335"/>
      <c r="G28" s="335"/>
      <c r="H28" s="335"/>
      <c r="I28" s="340"/>
      <c r="J28" s="338"/>
      <c r="K28" s="338"/>
      <c r="L28" s="338"/>
      <c r="M28" s="338"/>
      <c r="N28" s="339"/>
    </row>
    <row r="29" spans="2:14" ht="15" customHeight="1">
      <c r="B29" s="333"/>
      <c r="C29" s="335"/>
      <c r="D29" s="335"/>
      <c r="E29" s="335"/>
      <c r="F29" s="335"/>
      <c r="G29" s="335"/>
      <c r="H29" s="335"/>
      <c r="I29" s="340"/>
      <c r="J29" s="338"/>
      <c r="K29" s="338"/>
      <c r="L29" s="338"/>
      <c r="M29" s="338"/>
      <c r="N29" s="339"/>
    </row>
    <row r="30" spans="2:14" ht="15" customHeight="1">
      <c r="B30" s="333"/>
      <c r="C30" s="335"/>
      <c r="D30" s="335"/>
      <c r="E30" s="335"/>
      <c r="F30" s="335"/>
      <c r="G30" s="335"/>
      <c r="H30" s="335"/>
      <c r="I30" s="340"/>
      <c r="J30" s="338"/>
      <c r="K30" s="338"/>
      <c r="L30" s="338"/>
      <c r="M30" s="338"/>
      <c r="N30" s="339"/>
    </row>
    <row r="31" spans="2:14" ht="15" customHeight="1">
      <c r="B31" s="333"/>
      <c r="C31" s="335"/>
      <c r="D31" s="335"/>
      <c r="E31" s="335"/>
      <c r="F31" s="335"/>
      <c r="G31" s="335"/>
      <c r="H31" s="335"/>
      <c r="I31" s="340"/>
      <c r="J31" s="338"/>
      <c r="K31" s="338"/>
      <c r="L31" s="338"/>
      <c r="M31" s="338"/>
      <c r="N31" s="339"/>
    </row>
    <row r="32" spans="2:14" ht="15" customHeight="1">
      <c r="B32" s="333"/>
      <c r="C32" s="335"/>
      <c r="D32" s="335"/>
      <c r="E32" s="335"/>
      <c r="F32" s="335"/>
      <c r="G32" s="335"/>
      <c r="H32" s="335"/>
      <c r="I32" s="340"/>
      <c r="J32" s="338"/>
      <c r="K32" s="338"/>
      <c r="L32" s="338"/>
      <c r="M32" s="338"/>
      <c r="N32" s="339"/>
    </row>
    <row r="33" spans="2:14" ht="15" customHeight="1">
      <c r="B33" s="333"/>
      <c r="C33" s="335"/>
      <c r="D33" s="335"/>
      <c r="E33" s="335"/>
      <c r="F33" s="335"/>
      <c r="G33" s="335"/>
      <c r="H33" s="335"/>
      <c r="I33" s="340"/>
      <c r="J33" s="338"/>
      <c r="K33" s="338"/>
      <c r="L33" s="338"/>
      <c r="M33" s="338"/>
      <c r="N33" s="339"/>
    </row>
    <row r="34" spans="2:14" ht="15" customHeight="1">
      <c r="B34" s="333"/>
      <c r="C34" s="335"/>
      <c r="D34" s="335"/>
      <c r="E34" s="335"/>
      <c r="F34" s="335"/>
      <c r="G34" s="335"/>
      <c r="H34" s="335"/>
      <c r="I34" s="340"/>
      <c r="J34" s="338"/>
      <c r="K34" s="338"/>
      <c r="L34" s="338"/>
      <c r="M34" s="338"/>
      <c r="N34" s="339"/>
    </row>
    <row r="35" spans="2:14" ht="15" customHeight="1">
      <c r="B35" s="333"/>
      <c r="C35" s="335"/>
      <c r="D35" s="335"/>
      <c r="E35" s="335"/>
      <c r="F35" s="335"/>
      <c r="G35" s="335"/>
      <c r="H35" s="335"/>
      <c r="I35" s="340"/>
      <c r="J35" s="338"/>
      <c r="K35" s="338"/>
      <c r="L35" s="338"/>
      <c r="M35" s="338"/>
      <c r="N35" s="339"/>
    </row>
    <row r="36" spans="2:14" ht="15" customHeight="1">
      <c r="B36" s="333"/>
      <c r="C36" s="335"/>
      <c r="D36" s="335"/>
      <c r="E36" s="335"/>
      <c r="F36" s="335"/>
      <c r="G36" s="335"/>
      <c r="H36" s="335"/>
      <c r="I36" s="340"/>
      <c r="J36" s="338"/>
      <c r="K36" s="338"/>
      <c r="L36" s="338"/>
      <c r="M36" s="338"/>
      <c r="N36" s="339"/>
    </row>
    <row r="37" spans="2:14" ht="15" customHeight="1">
      <c r="B37" s="333"/>
      <c r="C37" s="335"/>
      <c r="D37" s="335"/>
      <c r="E37" s="335"/>
      <c r="F37" s="335"/>
      <c r="G37" s="335"/>
      <c r="H37" s="335"/>
      <c r="I37" s="340"/>
      <c r="J37" s="338"/>
      <c r="K37" s="338"/>
      <c r="L37" s="338"/>
      <c r="M37" s="338"/>
      <c r="N37" s="339"/>
    </row>
    <row r="38" spans="2:14" ht="15" customHeight="1">
      <c r="B38" s="333"/>
      <c r="C38" s="335"/>
      <c r="D38" s="335"/>
      <c r="E38" s="335"/>
      <c r="F38" s="335"/>
      <c r="G38" s="335"/>
      <c r="H38" s="335"/>
      <c r="I38" s="340"/>
      <c r="J38" s="338"/>
      <c r="K38" s="338"/>
      <c r="L38" s="338"/>
      <c r="M38" s="338"/>
      <c r="N38" s="339"/>
    </row>
    <row r="39" spans="2:14" ht="15" customHeight="1">
      <c r="B39" s="333"/>
      <c r="C39" s="335"/>
      <c r="D39" s="335"/>
      <c r="E39" s="335"/>
      <c r="F39" s="335"/>
      <c r="G39" s="335"/>
      <c r="H39" s="335"/>
      <c r="I39" s="340"/>
      <c r="J39" s="338"/>
      <c r="K39" s="338"/>
      <c r="L39" s="338"/>
      <c r="M39" s="338"/>
      <c r="N39" s="339"/>
    </row>
    <row r="40" spans="2:14" ht="15" customHeight="1">
      <c r="B40" s="333"/>
      <c r="C40" s="335"/>
      <c r="D40" s="335"/>
      <c r="E40" s="335"/>
      <c r="F40" s="335"/>
      <c r="G40" s="335"/>
      <c r="H40" s="335"/>
      <c r="I40" s="340"/>
      <c r="J40" s="338"/>
      <c r="K40" s="338"/>
      <c r="L40" s="338"/>
      <c r="M40" s="338"/>
      <c r="N40" s="339"/>
    </row>
    <row r="41" spans="2:14" ht="15" customHeight="1">
      <c r="B41" s="333"/>
      <c r="C41" s="335"/>
      <c r="D41" s="335"/>
      <c r="E41" s="335"/>
      <c r="F41" s="335"/>
      <c r="G41" s="335"/>
      <c r="H41" s="335"/>
      <c r="I41" s="340"/>
      <c r="J41" s="338"/>
      <c r="K41" s="338"/>
      <c r="L41" s="338"/>
      <c r="M41" s="338"/>
      <c r="N41" s="339"/>
    </row>
    <row r="42" spans="2:14" ht="15" customHeight="1">
      <c r="B42" s="333"/>
      <c r="C42" s="335"/>
      <c r="D42" s="335"/>
      <c r="E42" s="335"/>
      <c r="F42" s="335"/>
      <c r="G42" s="335"/>
      <c r="H42" s="335"/>
      <c r="I42" s="340"/>
      <c r="J42" s="338"/>
      <c r="K42" s="338"/>
      <c r="L42" s="338"/>
      <c r="M42" s="338"/>
      <c r="N42" s="339"/>
    </row>
    <row r="43" spans="2:14" ht="15" customHeight="1">
      <c r="B43" s="333"/>
      <c r="C43" s="335"/>
      <c r="D43" s="335"/>
      <c r="E43" s="335"/>
      <c r="F43" s="335"/>
      <c r="G43" s="335"/>
      <c r="H43" s="335"/>
      <c r="I43" s="340"/>
      <c r="J43" s="338"/>
      <c r="K43" s="338"/>
      <c r="L43" s="338"/>
      <c r="M43" s="338"/>
      <c r="N43" s="339"/>
    </row>
    <row r="44" spans="2:14" ht="15" customHeight="1">
      <c r="B44" s="333"/>
      <c r="C44" s="335"/>
      <c r="D44" s="335"/>
      <c r="E44" s="335"/>
      <c r="F44" s="335"/>
      <c r="G44" s="335"/>
      <c r="H44" s="335"/>
      <c r="I44" s="340"/>
      <c r="J44" s="338"/>
      <c r="K44" s="338"/>
      <c r="L44" s="338"/>
      <c r="M44" s="338"/>
      <c r="N44" s="339"/>
    </row>
    <row r="45" spans="2:14" ht="15" customHeight="1">
      <c r="B45" s="333"/>
      <c r="C45" s="335"/>
      <c r="D45" s="335"/>
      <c r="E45" s="335"/>
      <c r="F45" s="335"/>
      <c r="G45" s="335"/>
      <c r="H45" s="335"/>
      <c r="I45" s="340"/>
      <c r="J45" s="338"/>
      <c r="K45" s="338"/>
      <c r="L45" s="338"/>
      <c r="M45" s="338"/>
      <c r="N45" s="339"/>
    </row>
    <row r="46" spans="2:14" ht="15" customHeight="1">
      <c r="B46" s="333"/>
      <c r="C46" s="335"/>
      <c r="D46" s="335"/>
      <c r="E46" s="335"/>
      <c r="F46" s="335"/>
      <c r="G46" s="335"/>
      <c r="H46" s="335"/>
      <c r="I46" s="340"/>
      <c r="J46" s="338"/>
      <c r="K46" s="338"/>
      <c r="L46" s="338"/>
      <c r="M46" s="338"/>
      <c r="N46" s="339"/>
    </row>
    <row r="47" spans="2:14" ht="15" customHeight="1">
      <c r="B47" s="333"/>
      <c r="C47" s="335"/>
      <c r="D47" s="335"/>
      <c r="E47" s="335"/>
      <c r="F47" s="335"/>
      <c r="G47" s="335"/>
      <c r="H47" s="335"/>
      <c r="I47" s="340"/>
      <c r="J47" s="338"/>
      <c r="K47" s="338"/>
      <c r="L47" s="338"/>
      <c r="M47" s="338"/>
      <c r="N47" s="339"/>
    </row>
    <row r="48" spans="2:14" ht="15" customHeight="1">
      <c r="B48" s="333"/>
      <c r="C48" s="335"/>
      <c r="D48" s="335"/>
      <c r="E48" s="335"/>
      <c r="F48" s="335"/>
      <c r="G48" s="335"/>
      <c r="H48" s="335"/>
      <c r="I48" s="340"/>
      <c r="J48" s="338"/>
      <c r="K48" s="338"/>
      <c r="L48" s="338"/>
      <c r="M48" s="338"/>
      <c r="N48" s="339"/>
    </row>
    <row r="49" spans="2:14" ht="15" customHeight="1">
      <c r="B49" s="333"/>
      <c r="C49" s="335"/>
      <c r="D49" s="335"/>
      <c r="E49" s="335"/>
      <c r="F49" s="335"/>
      <c r="G49" s="335"/>
      <c r="H49" s="335"/>
      <c r="I49" s="340"/>
      <c r="J49" s="338"/>
      <c r="K49" s="338"/>
      <c r="L49" s="338"/>
      <c r="M49" s="338"/>
      <c r="N49" s="339"/>
    </row>
    <row r="50" spans="2:14" ht="15" customHeight="1">
      <c r="B50" s="333"/>
      <c r="C50" s="335"/>
      <c r="D50" s="335"/>
      <c r="E50" s="335"/>
      <c r="F50" s="335"/>
      <c r="G50" s="335"/>
      <c r="H50" s="335"/>
      <c r="I50" s="340"/>
      <c r="J50" s="338"/>
      <c r="K50" s="338"/>
      <c r="L50" s="338"/>
      <c r="M50" s="338"/>
      <c r="N50" s="339"/>
    </row>
    <row r="51" spans="2:14" ht="15" customHeight="1">
      <c r="B51" s="333"/>
      <c r="C51" s="335"/>
      <c r="D51" s="335"/>
      <c r="E51" s="335"/>
      <c r="F51" s="335"/>
      <c r="G51" s="335"/>
      <c r="H51" s="335"/>
      <c r="I51" s="340"/>
      <c r="J51" s="338"/>
      <c r="K51" s="338"/>
      <c r="L51" s="338"/>
      <c r="M51" s="338"/>
      <c r="N51" s="339"/>
    </row>
    <row r="52" spans="2:14" ht="15" customHeight="1" thickBot="1">
      <c r="B52" s="342"/>
      <c r="C52" s="343"/>
      <c r="D52" s="343"/>
      <c r="E52" s="343"/>
      <c r="F52" s="343"/>
      <c r="G52" s="343"/>
      <c r="H52" s="343"/>
      <c r="I52" s="344"/>
      <c r="J52" s="345"/>
      <c r="K52" s="345"/>
      <c r="L52" s="345"/>
      <c r="M52" s="345"/>
      <c r="N52" s="346"/>
    </row>
    <row r="53" spans="2:14" ht="20.25" customHeight="1" thickBot="1">
      <c r="B53" s="510" t="s">
        <v>370</v>
      </c>
      <c r="C53" s="510"/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</row>
    <row r="54" spans="2:14" ht="15" customHeight="1" thickBot="1">
      <c r="B54" s="347" t="s">
        <v>371</v>
      </c>
      <c r="C54" s="511" t="s">
        <v>368</v>
      </c>
      <c r="D54" s="512"/>
      <c r="E54" s="512"/>
      <c r="F54" s="512"/>
      <c r="G54" s="512"/>
      <c r="H54" s="348"/>
      <c r="I54" s="511" t="s">
        <v>363</v>
      </c>
      <c r="J54" s="512"/>
      <c r="K54" s="513"/>
      <c r="L54" s="511" t="s">
        <v>372</v>
      </c>
      <c r="M54" s="512"/>
      <c r="N54" s="514"/>
    </row>
    <row r="55" spans="2:14" ht="15" customHeight="1">
      <c r="B55" s="349"/>
      <c r="C55" s="500"/>
      <c r="D55" s="501"/>
      <c r="E55" s="501"/>
      <c r="F55" s="501"/>
      <c r="G55" s="501"/>
      <c r="H55" s="350"/>
      <c r="I55" s="502"/>
      <c r="J55" s="503"/>
      <c r="K55" s="504"/>
      <c r="L55" s="505"/>
      <c r="M55" s="506"/>
      <c r="N55" s="507"/>
    </row>
    <row r="56" spans="2:14" ht="15" customHeight="1">
      <c r="B56" s="351"/>
      <c r="C56" s="515"/>
      <c r="D56" s="516"/>
      <c r="E56" s="516"/>
      <c r="F56" s="516"/>
      <c r="G56" s="516"/>
      <c r="H56" s="352"/>
      <c r="I56" s="517"/>
      <c r="J56" s="518"/>
      <c r="K56" s="519"/>
      <c r="L56" s="520"/>
      <c r="M56" s="521"/>
      <c r="N56" s="522"/>
    </row>
    <row r="57" spans="2:14" ht="15" customHeight="1">
      <c r="B57" s="351"/>
      <c r="C57" s="515"/>
      <c r="D57" s="516"/>
      <c r="E57" s="516"/>
      <c r="F57" s="516"/>
      <c r="G57" s="516"/>
      <c r="H57" s="352"/>
      <c r="I57" s="517"/>
      <c r="J57" s="518"/>
      <c r="K57" s="519"/>
      <c r="L57" s="520"/>
      <c r="M57" s="521"/>
      <c r="N57" s="522"/>
    </row>
    <row r="58" spans="2:14" ht="15" customHeight="1">
      <c r="B58" s="351"/>
      <c r="C58" s="515"/>
      <c r="D58" s="516"/>
      <c r="E58" s="516"/>
      <c r="F58" s="516"/>
      <c r="G58" s="516"/>
      <c r="H58" s="352"/>
      <c r="I58" s="517"/>
      <c r="J58" s="518"/>
      <c r="K58" s="519"/>
      <c r="L58" s="520"/>
      <c r="M58" s="521"/>
      <c r="N58" s="522"/>
    </row>
    <row r="59" spans="2:14" ht="15" customHeight="1">
      <c r="B59" s="351"/>
      <c r="C59" s="515"/>
      <c r="D59" s="516"/>
      <c r="E59" s="516"/>
      <c r="F59" s="516"/>
      <c r="G59" s="516"/>
      <c r="H59" s="352"/>
      <c r="I59" s="517"/>
      <c r="J59" s="518"/>
      <c r="K59" s="519"/>
      <c r="L59" s="520"/>
      <c r="M59" s="521"/>
      <c r="N59" s="522"/>
    </row>
    <row r="60" spans="2:14" ht="15" customHeight="1">
      <c r="B60" s="351"/>
      <c r="C60" s="515"/>
      <c r="D60" s="516"/>
      <c r="E60" s="516"/>
      <c r="F60" s="516"/>
      <c r="G60" s="516"/>
      <c r="H60" s="352"/>
      <c r="I60" s="517"/>
      <c r="J60" s="518"/>
      <c r="K60" s="519"/>
      <c r="L60" s="520"/>
      <c r="M60" s="521"/>
      <c r="N60" s="522"/>
    </row>
    <row r="61" spans="2:14" ht="15" customHeight="1">
      <c r="B61" s="351"/>
      <c r="C61" s="515"/>
      <c r="D61" s="516"/>
      <c r="E61" s="516"/>
      <c r="F61" s="516"/>
      <c r="G61" s="516"/>
      <c r="H61" s="352"/>
      <c r="I61" s="517"/>
      <c r="J61" s="518"/>
      <c r="K61" s="519"/>
      <c r="L61" s="520"/>
      <c r="M61" s="521"/>
      <c r="N61" s="522"/>
    </row>
    <row r="62" spans="2:14" ht="15" customHeight="1">
      <c r="B62" s="351"/>
      <c r="C62" s="515"/>
      <c r="D62" s="516"/>
      <c r="E62" s="516"/>
      <c r="F62" s="516"/>
      <c r="G62" s="516"/>
      <c r="H62" s="352"/>
      <c r="I62" s="517"/>
      <c r="J62" s="518"/>
      <c r="K62" s="519"/>
      <c r="L62" s="520"/>
      <c r="M62" s="521"/>
      <c r="N62" s="522"/>
    </row>
    <row r="63" spans="2:14" ht="15" customHeight="1">
      <c r="B63" s="351"/>
      <c r="C63" s="515"/>
      <c r="D63" s="516"/>
      <c r="E63" s="516"/>
      <c r="F63" s="516"/>
      <c r="G63" s="516"/>
      <c r="H63" s="352"/>
      <c r="I63" s="517"/>
      <c r="J63" s="518"/>
      <c r="K63" s="519"/>
      <c r="L63" s="520"/>
      <c r="M63" s="521"/>
      <c r="N63" s="522"/>
    </row>
    <row r="64" spans="2:14" ht="15" customHeight="1">
      <c r="B64" s="351"/>
      <c r="C64" s="515"/>
      <c r="D64" s="516"/>
      <c r="E64" s="516"/>
      <c r="F64" s="516"/>
      <c r="G64" s="516"/>
      <c r="H64" s="352"/>
      <c r="I64" s="517"/>
      <c r="J64" s="518"/>
      <c r="K64" s="519"/>
      <c r="L64" s="520"/>
      <c r="M64" s="521"/>
      <c r="N64" s="522"/>
    </row>
    <row r="65" spans="2:14" ht="15" customHeight="1">
      <c r="B65" s="351"/>
      <c r="C65" s="515"/>
      <c r="D65" s="516"/>
      <c r="E65" s="516"/>
      <c r="F65" s="516"/>
      <c r="G65" s="516"/>
      <c r="H65" s="352"/>
      <c r="I65" s="517"/>
      <c r="J65" s="518"/>
      <c r="K65" s="519"/>
      <c r="L65" s="520"/>
      <c r="M65" s="521"/>
      <c r="N65" s="522"/>
    </row>
    <row r="66" spans="2:14" ht="15" customHeight="1">
      <c r="B66" s="351"/>
      <c r="C66" s="515"/>
      <c r="D66" s="516"/>
      <c r="E66" s="516"/>
      <c r="F66" s="516"/>
      <c r="G66" s="516"/>
      <c r="H66" s="352"/>
      <c r="I66" s="517"/>
      <c r="J66" s="518"/>
      <c r="K66" s="519"/>
      <c r="L66" s="520"/>
      <c r="M66" s="521"/>
      <c r="N66" s="522"/>
    </row>
    <row r="67" spans="2:14" ht="15" customHeight="1">
      <c r="B67" s="351"/>
      <c r="C67" s="515"/>
      <c r="D67" s="516"/>
      <c r="E67" s="516"/>
      <c r="F67" s="516"/>
      <c r="G67" s="516"/>
      <c r="H67" s="352"/>
      <c r="I67" s="517"/>
      <c r="J67" s="518"/>
      <c r="K67" s="519"/>
      <c r="L67" s="520"/>
      <c r="M67" s="521"/>
      <c r="N67" s="522"/>
    </row>
    <row r="68" spans="2:14" ht="15" customHeight="1">
      <c r="B68" s="351"/>
      <c r="C68" s="515"/>
      <c r="D68" s="516"/>
      <c r="E68" s="516"/>
      <c r="F68" s="516"/>
      <c r="G68" s="516"/>
      <c r="H68" s="352"/>
      <c r="I68" s="517"/>
      <c r="J68" s="518"/>
      <c r="K68" s="519"/>
      <c r="L68" s="520"/>
      <c r="M68" s="521"/>
      <c r="N68" s="522"/>
    </row>
    <row r="69" spans="2:14" ht="15" customHeight="1">
      <c r="B69" s="351"/>
      <c r="C69" s="515"/>
      <c r="D69" s="516"/>
      <c r="E69" s="516"/>
      <c r="F69" s="516"/>
      <c r="G69" s="516"/>
      <c r="H69" s="352"/>
      <c r="I69" s="517"/>
      <c r="J69" s="518"/>
      <c r="K69" s="519"/>
      <c r="L69" s="520"/>
      <c r="M69" s="521"/>
      <c r="N69" s="522"/>
    </row>
    <row r="70" spans="2:14" ht="15" customHeight="1">
      <c r="B70" s="351"/>
      <c r="C70" s="515"/>
      <c r="D70" s="516"/>
      <c r="E70" s="516"/>
      <c r="F70" s="516"/>
      <c r="G70" s="516"/>
      <c r="H70" s="352"/>
      <c r="I70" s="517"/>
      <c r="J70" s="518"/>
      <c r="K70" s="519"/>
      <c r="L70" s="520"/>
      <c r="M70" s="521"/>
      <c r="N70" s="522"/>
    </row>
    <row r="71" spans="2:14" ht="15" customHeight="1">
      <c r="B71" s="351"/>
      <c r="C71" s="515"/>
      <c r="D71" s="516"/>
      <c r="E71" s="516"/>
      <c r="F71" s="516"/>
      <c r="G71" s="516"/>
      <c r="H71" s="352"/>
      <c r="I71" s="517"/>
      <c r="J71" s="518"/>
      <c r="K71" s="519"/>
      <c r="L71" s="520"/>
      <c r="M71" s="521"/>
      <c r="N71" s="522"/>
    </row>
    <row r="72" spans="2:14">
      <c r="B72" s="351"/>
      <c r="C72" s="515"/>
      <c r="D72" s="516"/>
      <c r="E72" s="516"/>
      <c r="F72" s="516"/>
      <c r="G72" s="516"/>
      <c r="H72" s="352"/>
      <c r="I72" s="517"/>
      <c r="J72" s="518"/>
      <c r="K72" s="519"/>
      <c r="L72" s="520"/>
      <c r="M72" s="521"/>
      <c r="N72" s="522"/>
    </row>
    <row r="73" spans="2:14">
      <c r="B73" s="351"/>
      <c r="C73" s="515"/>
      <c r="D73" s="516"/>
      <c r="E73" s="516"/>
      <c r="F73" s="516"/>
      <c r="G73" s="516"/>
      <c r="H73" s="352"/>
      <c r="I73" s="517"/>
      <c r="J73" s="518"/>
      <c r="K73" s="519"/>
      <c r="L73" s="520"/>
      <c r="M73" s="521"/>
      <c r="N73" s="522"/>
    </row>
    <row r="74" spans="2:14">
      <c r="B74" s="351"/>
      <c r="C74" s="515"/>
      <c r="D74" s="516"/>
      <c r="E74" s="516"/>
      <c r="F74" s="516"/>
      <c r="G74" s="516"/>
      <c r="H74" s="352"/>
      <c r="I74" s="517"/>
      <c r="J74" s="518"/>
      <c r="K74" s="519"/>
      <c r="L74" s="520"/>
      <c r="M74" s="521"/>
      <c r="N74" s="522"/>
    </row>
    <row r="75" spans="2:14">
      <c r="B75" s="351"/>
      <c r="C75" s="515"/>
      <c r="D75" s="516"/>
      <c r="E75" s="516"/>
      <c r="F75" s="516"/>
      <c r="G75" s="516"/>
      <c r="H75" s="352"/>
      <c r="I75" s="517"/>
      <c r="J75" s="518"/>
      <c r="K75" s="519"/>
      <c r="L75" s="520"/>
      <c r="M75" s="521"/>
      <c r="N75" s="522"/>
    </row>
    <row r="76" spans="2:14">
      <c r="B76" s="351"/>
      <c r="C76" s="515"/>
      <c r="D76" s="516"/>
      <c r="E76" s="516"/>
      <c r="F76" s="516"/>
      <c r="G76" s="516"/>
      <c r="H76" s="352"/>
      <c r="I76" s="517"/>
      <c r="J76" s="518"/>
      <c r="K76" s="519"/>
      <c r="L76" s="520"/>
      <c r="M76" s="521"/>
      <c r="N76" s="522"/>
    </row>
    <row r="77" spans="2:14">
      <c r="B77" s="351"/>
      <c r="C77" s="515"/>
      <c r="D77" s="516"/>
      <c r="E77" s="516"/>
      <c r="F77" s="516"/>
      <c r="G77" s="516"/>
      <c r="H77" s="352"/>
      <c r="I77" s="517"/>
      <c r="J77" s="518"/>
      <c r="K77" s="519"/>
      <c r="L77" s="520"/>
      <c r="M77" s="521"/>
      <c r="N77" s="522"/>
    </row>
    <row r="78" spans="2:14">
      <c r="B78" s="351"/>
      <c r="C78" s="515"/>
      <c r="D78" s="516"/>
      <c r="E78" s="516"/>
      <c r="F78" s="516"/>
      <c r="G78" s="516"/>
      <c r="H78" s="352"/>
      <c r="I78" s="517"/>
      <c r="J78" s="518"/>
      <c r="K78" s="519"/>
      <c r="L78" s="520"/>
      <c r="M78" s="521"/>
      <c r="N78" s="522"/>
    </row>
    <row r="79" spans="2:14" ht="13.5" thickBot="1">
      <c r="B79" s="353"/>
      <c r="C79" s="523"/>
      <c r="D79" s="524"/>
      <c r="E79" s="524"/>
      <c r="F79" s="524"/>
      <c r="G79" s="524"/>
      <c r="H79" s="354"/>
      <c r="I79" s="525"/>
      <c r="J79" s="526"/>
      <c r="K79" s="527"/>
      <c r="L79" s="528"/>
      <c r="M79" s="529"/>
      <c r="N79" s="53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55" customWidth="1"/>
    <col min="7" max="16384" width="9.140625" style="355"/>
  </cols>
  <sheetData>
    <row r="1" spans="1:7" ht="20.25">
      <c r="A1" s="531" t="s">
        <v>380</v>
      </c>
      <c r="B1" s="531"/>
      <c r="C1" s="531"/>
      <c r="D1" s="531"/>
      <c r="E1" s="531"/>
      <c r="F1" s="531"/>
    </row>
    <row r="2" spans="1:7" ht="19.5" thickBot="1">
      <c r="A2" s="356"/>
      <c r="B2" s="356"/>
      <c r="C2" s="532" t="s">
        <v>392</v>
      </c>
      <c r="D2" s="532"/>
      <c r="E2" s="356"/>
      <c r="F2" s="356"/>
      <c r="G2" s="356"/>
    </row>
    <row r="3" spans="1:7" ht="19.5">
      <c r="A3" s="533" t="s">
        <v>381</v>
      </c>
      <c r="B3" s="534"/>
      <c r="C3" s="535"/>
      <c r="D3" s="533" t="s">
        <v>382</v>
      </c>
      <c r="E3" s="534"/>
      <c r="F3" s="535"/>
      <c r="G3" s="356"/>
    </row>
    <row r="4" spans="1:7" ht="15.75">
      <c r="A4" s="357" t="s">
        <v>393</v>
      </c>
      <c r="B4" s="536" t="s">
        <v>395</v>
      </c>
      <c r="C4" s="537"/>
      <c r="D4" s="538" t="s">
        <v>396</v>
      </c>
      <c r="E4" s="539"/>
      <c r="F4" s="540"/>
      <c r="G4" s="356"/>
    </row>
    <row r="5" spans="1:7" ht="16.5" thickBot="1">
      <c r="A5" s="358" t="s">
        <v>394</v>
      </c>
      <c r="B5" s="544" t="s">
        <v>394</v>
      </c>
      <c r="C5" s="545"/>
      <c r="D5" s="546" t="s">
        <v>397</v>
      </c>
      <c r="E5" s="547"/>
      <c r="F5" s="548"/>
      <c r="G5" s="356"/>
    </row>
    <row r="6" spans="1:7" ht="19.5">
      <c r="A6" s="533" t="s">
        <v>383</v>
      </c>
      <c r="B6" s="534"/>
      <c r="C6" s="534"/>
      <c r="D6" s="534"/>
      <c r="E6" s="534"/>
      <c r="F6" s="535"/>
      <c r="G6" s="356"/>
    </row>
    <row r="7" spans="1:7" ht="15.75">
      <c r="A7" s="359" t="s">
        <v>384</v>
      </c>
      <c r="B7" s="360" t="s">
        <v>398</v>
      </c>
      <c r="C7" s="361" t="s">
        <v>385</v>
      </c>
      <c r="D7" s="362" t="s">
        <v>399</v>
      </c>
      <c r="E7" s="549" t="s">
        <v>386</v>
      </c>
      <c r="F7" s="550"/>
      <c r="G7" s="356"/>
    </row>
    <row r="8" spans="1:7" ht="16.5" thickBot="1">
      <c r="A8" s="363"/>
      <c r="B8" s="364" t="s">
        <v>394</v>
      </c>
      <c r="C8" s="365"/>
      <c r="D8" s="366" t="s">
        <v>394</v>
      </c>
      <c r="E8" s="551" t="s">
        <v>400</v>
      </c>
      <c r="F8" s="548"/>
      <c r="G8" s="356"/>
    </row>
    <row r="9" spans="1:7" ht="19.5">
      <c r="A9" s="533" t="s">
        <v>387</v>
      </c>
      <c r="B9" s="534"/>
      <c r="C9" s="535"/>
      <c r="D9" s="533" t="s">
        <v>388</v>
      </c>
      <c r="E9" s="534"/>
      <c r="F9" s="535"/>
      <c r="G9" s="356"/>
    </row>
    <row r="10" spans="1:7" ht="15.75">
      <c r="A10" s="367" t="s">
        <v>389</v>
      </c>
      <c r="B10" s="552" t="s">
        <v>401</v>
      </c>
      <c r="C10" s="537"/>
      <c r="D10" s="553" t="s">
        <v>403</v>
      </c>
      <c r="E10" s="554"/>
      <c r="F10" s="368" t="s">
        <v>404</v>
      </c>
      <c r="G10" s="356"/>
    </row>
    <row r="11" spans="1:7" ht="16.5" thickBot="1">
      <c r="A11" s="369" t="s">
        <v>390</v>
      </c>
      <c r="B11" s="547" t="s">
        <v>402</v>
      </c>
      <c r="C11" s="548"/>
      <c r="D11" s="555"/>
      <c r="E11" s="556"/>
      <c r="F11" s="370" t="s">
        <v>394</v>
      </c>
      <c r="G11" s="356"/>
    </row>
    <row r="12" spans="1:7" ht="19.5">
      <c r="A12" s="533" t="s">
        <v>391</v>
      </c>
      <c r="B12" s="534"/>
      <c r="C12" s="534"/>
      <c r="D12" s="534"/>
      <c r="E12" s="534"/>
      <c r="F12" s="535"/>
      <c r="G12" s="356"/>
    </row>
    <row r="13" spans="1:7" ht="16.5" thickBot="1">
      <c r="A13" s="541" t="s">
        <v>405</v>
      </c>
      <c r="B13" s="542"/>
      <c r="C13" s="543" t="s">
        <v>406</v>
      </c>
      <c r="D13" s="543"/>
      <c r="E13" s="543"/>
      <c r="F13" s="371"/>
      <c r="G13" s="356"/>
    </row>
    <row r="14" spans="1:7" ht="18.95" customHeight="1">
      <c r="A14" s="372"/>
      <c r="B14" s="372"/>
      <c r="C14" s="372"/>
      <c r="D14" s="372"/>
      <c r="E14" s="372"/>
      <c r="F14" s="372"/>
      <c r="G14" s="356"/>
    </row>
    <row r="15" spans="1:7" ht="15.75">
      <c r="G15" s="356"/>
    </row>
    <row r="16" spans="1:7" ht="15.75">
      <c r="G16" s="356"/>
    </row>
    <row r="17" spans="7:7" ht="15.75">
      <c r="G17" s="356"/>
    </row>
    <row r="18" spans="7:7" ht="15.75">
      <c r="G18" s="356"/>
    </row>
    <row r="19" spans="7:7" ht="15.75">
      <c r="G19" s="356"/>
    </row>
    <row r="20" spans="7:7" ht="15.75">
      <c r="G20" s="356"/>
    </row>
    <row r="21" spans="7:7" ht="15.75">
      <c r="G21" s="356"/>
    </row>
    <row r="22" spans="7:7" ht="15.75">
      <c r="G22" s="356"/>
    </row>
    <row r="23" spans="7:7" ht="15.75">
      <c r="G23" s="356"/>
    </row>
    <row r="24" spans="7:7" ht="15.75">
      <c r="G24" s="356"/>
    </row>
    <row r="25" spans="7:7" ht="15.75">
      <c r="G25" s="356"/>
    </row>
    <row r="26" spans="7:7" ht="15.75">
      <c r="G26" s="356"/>
    </row>
    <row r="27" spans="7:7" ht="18.95" customHeight="1">
      <c r="G27" s="356"/>
    </row>
    <row r="28" spans="7:7" ht="15.75">
      <c r="G28" s="356"/>
    </row>
    <row r="29" spans="7:7" ht="15.75">
      <c r="G29" s="356"/>
    </row>
    <row r="30" spans="7:7" ht="15.75">
      <c r="G30" s="356"/>
    </row>
    <row r="31" spans="7:7" ht="15.75">
      <c r="G31" s="356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F13" sqref="F13"/>
    </sheetView>
  </sheetViews>
  <sheetFormatPr defaultColWidth="9.140625" defaultRowHeight="12.75"/>
  <cols>
    <col min="1" max="6" width="16.7109375" style="355" customWidth="1"/>
    <col min="7" max="16384" width="9.140625" style="355"/>
  </cols>
  <sheetData>
    <row r="1" spans="1:6" ht="18.95" customHeight="1">
      <c r="A1" s="373"/>
      <c r="B1" s="374"/>
      <c r="C1" s="374"/>
      <c r="D1" s="374"/>
      <c r="E1" s="374"/>
      <c r="F1" s="375"/>
    </row>
    <row r="2" spans="1:6" ht="26.1" customHeight="1">
      <c r="A2" s="376" t="s">
        <v>264</v>
      </c>
      <c r="B2" s="377"/>
      <c r="C2" s="377"/>
      <c r="D2" s="377"/>
      <c r="E2" s="377"/>
      <c r="F2" s="378"/>
    </row>
    <row r="3" spans="1:6" ht="18.95" customHeight="1">
      <c r="A3" s="379" t="s">
        <v>407</v>
      </c>
      <c r="B3" s="377"/>
      <c r="C3" s="377"/>
      <c r="D3" s="377"/>
      <c r="E3" s="377"/>
      <c r="F3" s="378"/>
    </row>
    <row r="4" spans="1:6" ht="18.95" customHeight="1">
      <c r="A4" s="380"/>
      <c r="B4" s="381"/>
      <c r="C4" s="381"/>
      <c r="D4" s="381"/>
      <c r="E4" s="381"/>
      <c r="F4" s="382"/>
    </row>
    <row r="5" spans="1:6" ht="18.95" customHeight="1">
      <c r="A5" s="380"/>
      <c r="B5" s="381"/>
      <c r="C5" s="381"/>
      <c r="D5" s="381"/>
      <c r="E5" s="381"/>
      <c r="F5" s="382"/>
    </row>
    <row r="6" spans="1:6" ht="18.95" customHeight="1">
      <c r="A6" s="383" t="s">
        <v>408</v>
      </c>
      <c r="B6" s="557" t="s">
        <v>644</v>
      </c>
      <c r="C6" s="558"/>
      <c r="D6" s="559"/>
      <c r="E6" s="383" t="s">
        <v>409</v>
      </c>
      <c r="F6" s="384">
        <v>99</v>
      </c>
    </row>
    <row r="7" spans="1:6" ht="18.95" customHeight="1">
      <c r="A7" s="383" t="s">
        <v>410</v>
      </c>
      <c r="B7" s="384" t="s">
        <v>642</v>
      </c>
      <c r="C7" s="383" t="s">
        <v>411</v>
      </c>
      <c r="D7" s="384" t="s">
        <v>429</v>
      </c>
      <c r="E7" s="383" t="s">
        <v>412</v>
      </c>
      <c r="F7" s="384" t="s">
        <v>176</v>
      </c>
    </row>
    <row r="8" spans="1:6" ht="18.95" customHeight="1">
      <c r="A8" s="383" t="s">
        <v>413</v>
      </c>
      <c r="B8" s="384">
        <v>8</v>
      </c>
      <c r="C8" s="383" t="s">
        <v>414</v>
      </c>
      <c r="D8" s="384" t="s">
        <v>415</v>
      </c>
      <c r="E8" s="383" t="s">
        <v>416</v>
      </c>
      <c r="F8" s="384" t="s">
        <v>356</v>
      </c>
    </row>
    <row r="9" spans="1:6" ht="18.95" customHeight="1">
      <c r="A9" s="383" t="s">
        <v>417</v>
      </c>
      <c r="B9" s="384">
        <v>700</v>
      </c>
      <c r="C9" s="383" t="s">
        <v>418</v>
      </c>
      <c r="D9" s="384" t="s">
        <v>430</v>
      </c>
      <c r="E9" s="383" t="s">
        <v>2</v>
      </c>
      <c r="F9" s="385">
        <v>42074</v>
      </c>
    </row>
    <row r="10" spans="1:6" ht="18.95" customHeight="1">
      <c r="A10" s="383" t="s">
        <v>419</v>
      </c>
      <c r="B10" s="384">
        <v>895</v>
      </c>
      <c r="C10" s="383" t="s">
        <v>256</v>
      </c>
      <c r="D10" s="384" t="s">
        <v>420</v>
      </c>
      <c r="E10" s="383" t="s">
        <v>1</v>
      </c>
      <c r="F10" s="384" t="s">
        <v>643</v>
      </c>
    </row>
    <row r="11" spans="1:6" ht="18.95" customHeight="1">
      <c r="A11" s="380"/>
      <c r="B11" s="381"/>
      <c r="C11" s="381"/>
      <c r="D11" s="381"/>
      <c r="E11" s="381"/>
      <c r="F11" s="382"/>
    </row>
    <row r="12" spans="1:6" ht="18.95" customHeight="1">
      <c r="A12" s="380"/>
      <c r="B12" s="386" t="s">
        <v>421</v>
      </c>
      <c r="C12" s="387" t="s">
        <v>433</v>
      </c>
      <c r="D12" s="386" t="s">
        <v>255</v>
      </c>
      <c r="E12" s="387" t="s">
        <v>420</v>
      </c>
      <c r="F12" s="382"/>
    </row>
    <row r="13" spans="1:6" ht="18.95" customHeight="1">
      <c r="A13" s="380"/>
      <c r="B13" s="386" t="s">
        <v>422</v>
      </c>
      <c r="C13" s="388">
        <v>0.98</v>
      </c>
      <c r="D13" s="386" t="s">
        <v>423</v>
      </c>
      <c r="E13" s="372" t="s">
        <v>420</v>
      </c>
      <c r="F13" s="382"/>
    </row>
    <row r="14" spans="1:6" ht="18.95" customHeight="1">
      <c r="A14" s="380"/>
      <c r="B14" s="386" t="s">
        <v>424</v>
      </c>
      <c r="C14" s="388">
        <v>2.08</v>
      </c>
      <c r="D14" s="386" t="s">
        <v>257</v>
      </c>
      <c r="E14" s="372" t="s">
        <v>420</v>
      </c>
      <c r="F14" s="382"/>
    </row>
    <row r="15" spans="1:6" ht="18.95" customHeight="1">
      <c r="A15" s="380"/>
      <c r="B15" s="386" t="s">
        <v>258</v>
      </c>
      <c r="C15" s="387" t="s">
        <v>432</v>
      </c>
      <c r="D15" s="381"/>
      <c r="E15" s="381"/>
      <c r="F15" s="382"/>
    </row>
    <row r="16" spans="1:6" ht="18.95" customHeight="1">
      <c r="A16" s="380"/>
      <c r="B16" s="381"/>
      <c r="C16" s="381"/>
      <c r="D16" s="381"/>
      <c r="E16" s="381"/>
      <c r="F16" s="382"/>
    </row>
    <row r="17" spans="1:6" ht="18.95" customHeight="1">
      <c r="A17" s="380"/>
      <c r="B17" s="381"/>
      <c r="C17" s="381"/>
      <c r="D17" s="381"/>
      <c r="E17" s="381"/>
      <c r="F17" s="382"/>
    </row>
    <row r="18" spans="1:6" ht="18.95" customHeight="1">
      <c r="A18" s="380"/>
      <c r="B18" s="381"/>
      <c r="C18" s="381"/>
      <c r="D18" s="381"/>
      <c r="E18" s="381"/>
      <c r="F18" s="382"/>
    </row>
    <row r="19" spans="1:6" ht="18.95" customHeight="1">
      <c r="A19" s="380"/>
      <c r="B19" s="381"/>
      <c r="C19" s="381"/>
      <c r="D19" s="381"/>
      <c r="E19" s="381"/>
      <c r="F19" s="382"/>
    </row>
    <row r="20" spans="1:6" ht="18.95" customHeight="1">
      <c r="A20" s="380"/>
      <c r="B20" s="381"/>
      <c r="C20" s="381"/>
      <c r="D20" s="381"/>
      <c r="E20" s="381"/>
      <c r="F20" s="382"/>
    </row>
    <row r="21" spans="1:6" ht="18.95" customHeight="1">
      <c r="A21" s="380"/>
      <c r="B21" s="381"/>
      <c r="C21" s="381"/>
      <c r="D21" s="381"/>
      <c r="E21" s="381"/>
      <c r="F21" s="382"/>
    </row>
    <row r="22" spans="1:6" ht="18.95" customHeight="1">
      <c r="A22" s="380"/>
      <c r="B22" s="381"/>
      <c r="C22" s="381"/>
      <c r="D22" s="381"/>
      <c r="E22" s="381"/>
      <c r="F22" s="382"/>
    </row>
    <row r="23" spans="1:6" ht="18.95" customHeight="1">
      <c r="A23" s="380"/>
      <c r="B23" s="381"/>
      <c r="C23" s="381"/>
      <c r="D23" s="381"/>
      <c r="E23" s="381"/>
      <c r="F23" s="382"/>
    </row>
    <row r="24" spans="1:6" ht="18.95" customHeight="1">
      <c r="A24" s="380"/>
      <c r="B24" s="381"/>
      <c r="C24" s="381"/>
      <c r="D24" s="381"/>
      <c r="E24" s="381"/>
      <c r="F24" s="382"/>
    </row>
    <row r="25" spans="1:6" ht="18.95" customHeight="1">
      <c r="A25" s="380"/>
      <c r="B25" s="381"/>
      <c r="C25" s="381"/>
      <c r="D25" s="381"/>
      <c r="E25" s="381"/>
      <c r="F25" s="382"/>
    </row>
    <row r="26" spans="1:6" ht="18.95" customHeight="1">
      <c r="A26" s="380"/>
      <c r="B26" s="381"/>
      <c r="C26" s="381"/>
      <c r="D26" s="381"/>
      <c r="E26" s="381"/>
      <c r="F26" s="382"/>
    </row>
    <row r="27" spans="1:6" ht="18.95" customHeight="1">
      <c r="A27" s="380"/>
      <c r="B27" s="381"/>
      <c r="C27" s="381"/>
      <c r="D27" s="381"/>
      <c r="E27" s="381"/>
      <c r="F27" s="382"/>
    </row>
    <row r="28" spans="1:6" ht="18.95" customHeight="1">
      <c r="A28" s="380"/>
      <c r="B28" s="381"/>
      <c r="C28" s="381"/>
      <c r="D28" s="381"/>
      <c r="E28" s="381"/>
      <c r="F28" s="382"/>
    </row>
    <row r="29" spans="1:6" ht="18.95" customHeight="1">
      <c r="A29" s="380"/>
      <c r="B29" s="381"/>
      <c r="C29" s="381"/>
      <c r="D29" s="381"/>
      <c r="E29" s="381"/>
      <c r="F29" s="382"/>
    </row>
    <row r="30" spans="1:6" ht="18.95" customHeight="1">
      <c r="A30" s="380"/>
      <c r="B30" s="381"/>
      <c r="C30" s="381"/>
      <c r="D30" s="381"/>
      <c r="E30" s="381"/>
      <c r="F30" s="382"/>
    </row>
    <row r="31" spans="1:6" ht="18.95" customHeight="1">
      <c r="A31" s="380"/>
      <c r="B31" s="381"/>
      <c r="C31" s="381"/>
      <c r="D31" s="381"/>
      <c r="E31" s="381"/>
      <c r="F31" s="382"/>
    </row>
    <row r="32" spans="1:6" ht="18.95" customHeight="1">
      <c r="A32" s="380"/>
      <c r="B32" s="381"/>
      <c r="C32" s="381"/>
      <c r="D32" s="381"/>
      <c r="E32" s="381"/>
      <c r="F32" s="382"/>
    </row>
    <row r="33" spans="1:6" ht="18.95" customHeight="1">
      <c r="A33" s="380"/>
      <c r="B33" s="381"/>
      <c r="C33" s="381"/>
      <c r="D33" s="381"/>
      <c r="E33" s="381"/>
      <c r="F33" s="382"/>
    </row>
    <row r="34" spans="1:6" ht="18.95" customHeight="1">
      <c r="A34" s="380"/>
      <c r="B34" s="381"/>
      <c r="C34" s="381"/>
      <c r="D34" s="381"/>
      <c r="E34" s="381"/>
      <c r="F34" s="382"/>
    </row>
    <row r="35" spans="1:6" ht="18.95" customHeight="1">
      <c r="A35" s="380"/>
      <c r="B35" s="381"/>
      <c r="C35" s="381"/>
      <c r="D35" s="381"/>
      <c r="E35" s="381"/>
      <c r="F35" s="382"/>
    </row>
    <row r="36" spans="1:6" ht="18.95" customHeight="1">
      <c r="A36" s="380"/>
      <c r="B36" s="381"/>
      <c r="C36" s="381"/>
      <c r="D36" s="381"/>
      <c r="E36" s="381"/>
      <c r="F36" s="382"/>
    </row>
    <row r="37" spans="1:6" ht="18.95" customHeight="1">
      <c r="A37" s="380"/>
      <c r="B37" s="381"/>
      <c r="C37" s="381"/>
      <c r="D37" s="381"/>
      <c r="E37" s="381"/>
      <c r="F37" s="382"/>
    </row>
    <row r="38" spans="1:6" ht="18.95" customHeight="1">
      <c r="A38" s="380"/>
      <c r="B38" s="381"/>
      <c r="C38" s="381"/>
      <c r="D38" s="381"/>
      <c r="E38" s="381"/>
      <c r="F38" s="382"/>
    </row>
    <row r="39" spans="1:6" ht="18.95" customHeight="1">
      <c r="A39" s="389" t="s">
        <v>425</v>
      </c>
      <c r="B39" s="390"/>
      <c r="C39" s="390"/>
      <c r="D39" s="381"/>
      <c r="E39" s="386" t="s">
        <v>426</v>
      </c>
      <c r="F39" s="391"/>
    </row>
    <row r="40" spans="1:6" ht="18.95" customHeight="1">
      <c r="A40" s="380"/>
      <c r="B40" s="390"/>
      <c r="C40" s="390"/>
      <c r="D40" s="381"/>
      <c r="E40" s="381"/>
      <c r="F40" s="382"/>
    </row>
    <row r="41" spans="1:6" ht="18.95" customHeight="1">
      <c r="A41" s="380"/>
      <c r="B41" s="390"/>
      <c r="C41" s="390"/>
      <c r="D41" s="381"/>
      <c r="E41" s="381"/>
      <c r="F41" s="382"/>
    </row>
    <row r="42" spans="1:6" ht="18.95" customHeight="1">
      <c r="A42" s="380"/>
      <c r="B42" s="381"/>
      <c r="C42" s="381"/>
      <c r="D42" s="381"/>
      <c r="E42" s="381"/>
      <c r="F42" s="382"/>
    </row>
    <row r="43" spans="1:6" ht="18.95" customHeight="1">
      <c r="A43" s="392"/>
      <c r="B43" s="390"/>
      <c r="C43" s="393" t="s">
        <v>427</v>
      </c>
      <c r="D43" s="394" t="s">
        <v>639</v>
      </c>
      <c r="E43" s="393" t="s">
        <v>428</v>
      </c>
      <c r="F43" s="394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4" t="s">
        <v>254</v>
      </c>
      <c r="E53" s="154"/>
      <c r="F53" s="154"/>
      <c r="G53" s="154"/>
      <c r="H53" s="154"/>
      <c r="I53" s="154"/>
      <c r="J53" s="154"/>
      <c r="K53" s="154"/>
      <c r="L53" s="154"/>
    </row>
    <row r="54" spans="1:12" ht="15" customHeight="1">
      <c r="A54" s="395">
        <v>100</v>
      </c>
      <c r="B54" s="153">
        <v>0</v>
      </c>
      <c r="C54" s="153">
        <v>0.34978204965591431</v>
      </c>
      <c r="D54" s="154">
        <v>100</v>
      </c>
      <c r="E54" s="154"/>
      <c r="F54" s="154"/>
      <c r="G54" s="154"/>
      <c r="H54" s="154"/>
      <c r="I54" s="154"/>
      <c r="J54" s="154"/>
      <c r="K54" s="154"/>
      <c r="L54" s="154"/>
    </row>
    <row r="55" spans="1:12" ht="15" customHeight="1">
      <c r="A55" s="395">
        <v>99.799999967217445</v>
      </c>
      <c r="B55" s="153">
        <v>134.68671354333424</v>
      </c>
      <c r="C55" s="153">
        <v>179.56080627441406</v>
      </c>
      <c r="D55" s="154">
        <v>99.599998474121094</v>
      </c>
      <c r="E55" s="154"/>
      <c r="F55" s="154"/>
      <c r="G55" s="154"/>
      <c r="H55" s="154"/>
      <c r="I55" s="154"/>
      <c r="J55" s="154"/>
      <c r="K55" s="154"/>
      <c r="L55" s="154"/>
    </row>
    <row r="56" spans="1:12" ht="15" customHeight="1">
      <c r="A56" s="395">
        <v>98.999999836087227</v>
      </c>
      <c r="B56" s="153">
        <v>208</v>
      </c>
      <c r="C56" s="153">
        <v>476.078369140625</v>
      </c>
      <c r="D56" s="154">
        <v>98</v>
      </c>
      <c r="E56" s="154"/>
      <c r="F56" s="154"/>
      <c r="G56" s="154"/>
      <c r="H56" s="154"/>
      <c r="I56" s="154"/>
      <c r="J56" s="154"/>
      <c r="K56" s="154"/>
      <c r="L56" s="154"/>
    </row>
    <row r="57" spans="1:12">
      <c r="A57" s="395">
        <v>93.789473548531532</v>
      </c>
      <c r="B57" s="153">
        <v>129.23554313744341</v>
      </c>
      <c r="C57" s="153">
        <v>538.29345703125</v>
      </c>
      <c r="D57" s="154">
        <v>83.852630615234375</v>
      </c>
      <c r="E57" s="154"/>
      <c r="F57" s="154"/>
      <c r="G57" s="154"/>
      <c r="H57" s="154"/>
      <c r="I57" s="154"/>
      <c r="J57" s="154"/>
      <c r="K57" s="154"/>
      <c r="L57" s="154"/>
    </row>
    <row r="58" spans="1:12">
      <c r="A58" s="395">
        <v>88.578946888446808</v>
      </c>
      <c r="B58" s="153">
        <v>109.95042470238648</v>
      </c>
      <c r="C58" s="153">
        <v>557.04888916015625</v>
      </c>
      <c r="D58" s="154">
        <v>70.305259704589844</v>
      </c>
      <c r="E58" s="154"/>
      <c r="F58" s="154"/>
      <c r="G58" s="154"/>
      <c r="H58" s="154"/>
      <c r="I58" s="154"/>
      <c r="J58" s="154"/>
      <c r="K58" s="154"/>
      <c r="L58" s="154"/>
    </row>
    <row r="59" spans="1:12">
      <c r="A59" s="395">
        <v>83.368420600891113</v>
      </c>
      <c r="B59" s="153">
        <v>103.16968793158827</v>
      </c>
      <c r="C59" s="153">
        <v>568.03948974609375</v>
      </c>
      <c r="D59" s="154">
        <v>57.410526275634766</v>
      </c>
      <c r="E59" s="154"/>
      <c r="F59" s="154"/>
      <c r="G59" s="154"/>
      <c r="H59" s="154"/>
      <c r="I59" s="154"/>
      <c r="J59" s="154"/>
      <c r="K59" s="154"/>
      <c r="L59" s="154"/>
    </row>
    <row r="60" spans="1:12">
      <c r="A60" s="395">
        <v>72.947368025779724</v>
      </c>
      <c r="B60" s="153">
        <v>99.896276143017474</v>
      </c>
      <c r="C60" s="153">
        <v>584.54217529296875</v>
      </c>
      <c r="D60" s="154">
        <v>38.010524749755859</v>
      </c>
      <c r="E60" s="154"/>
      <c r="F60" s="154"/>
      <c r="G60" s="154"/>
      <c r="H60" s="154"/>
      <c r="I60" s="154"/>
      <c r="J60" s="154"/>
      <c r="K60" s="154"/>
      <c r="L60" s="154"/>
    </row>
    <row r="61" spans="1:12">
      <c r="A61" s="395">
        <v>62.526315450668335</v>
      </c>
      <c r="B61" s="153">
        <v>98.983291434270882</v>
      </c>
      <c r="C61" s="153">
        <v>597.89324951171875</v>
      </c>
      <c r="D61" s="154">
        <v>24.778947830200195</v>
      </c>
      <c r="E61" s="154"/>
      <c r="F61" s="154"/>
      <c r="G61" s="154"/>
      <c r="H61" s="154"/>
      <c r="I61" s="154"/>
      <c r="J61" s="154"/>
      <c r="K61" s="154"/>
      <c r="L61" s="154"/>
    </row>
    <row r="62" spans="1:12">
      <c r="A62" s="395">
        <v>52.105262875556946</v>
      </c>
      <c r="B62" s="153">
        <v>98.557314626809983</v>
      </c>
      <c r="C62" s="153">
        <v>608.79217529296875</v>
      </c>
      <c r="D62" s="154">
        <v>15.684209823608398</v>
      </c>
      <c r="E62" s="154"/>
      <c r="F62" s="154"/>
      <c r="G62" s="154"/>
      <c r="H62" s="154"/>
      <c r="I62" s="154"/>
      <c r="J62" s="154"/>
      <c r="K62" s="154"/>
      <c r="L62" s="154"/>
    </row>
    <row r="63" spans="1:12">
      <c r="A63" s="395">
        <v>41.684210300445557</v>
      </c>
      <c r="B63" s="153">
        <v>98.300745656110806</v>
      </c>
      <c r="C63" s="153">
        <v>617.445556640625</v>
      </c>
      <c r="D63" s="154">
        <v>9.0105257034301758</v>
      </c>
      <c r="E63" s="154"/>
      <c r="F63" s="154"/>
      <c r="G63" s="154"/>
      <c r="H63" s="154"/>
      <c r="I63" s="154"/>
      <c r="J63" s="154"/>
      <c r="K63" s="154"/>
      <c r="L63" s="154"/>
    </row>
    <row r="64" spans="1:12">
      <c r="A64" s="395">
        <v>31.263160705566406</v>
      </c>
      <c r="B64" s="153">
        <v>98.14830428344473</v>
      </c>
      <c r="C64" s="153">
        <v>624.39581298828125</v>
      </c>
      <c r="D64" s="154">
        <v>6.2526321411132813</v>
      </c>
      <c r="E64" s="154"/>
      <c r="F64" s="154"/>
      <c r="G64" s="154"/>
      <c r="H64" s="154"/>
      <c r="I64" s="154"/>
      <c r="J64" s="154"/>
      <c r="K64" s="154"/>
      <c r="L64" s="154"/>
    </row>
    <row r="65" spans="1:12">
      <c r="A65" s="395">
        <v>20.842105150222778</v>
      </c>
      <c r="B65" s="153">
        <v>98.061792072596546</v>
      </c>
      <c r="C65" s="153">
        <v>629.9368896484375</v>
      </c>
      <c r="D65" s="154">
        <v>7.8315787315368652</v>
      </c>
      <c r="E65" s="154"/>
      <c r="F65" s="154"/>
      <c r="G65" s="154"/>
      <c r="H65" s="154"/>
      <c r="I65" s="154"/>
      <c r="J65" s="154"/>
      <c r="K65" s="154"/>
      <c r="L65" s="154"/>
    </row>
    <row r="66" spans="1:12">
      <c r="A66" s="395">
        <v>10.421055555343628</v>
      </c>
      <c r="B66" s="153">
        <v>98.018590324704789</v>
      </c>
      <c r="C66" s="153">
        <v>634.52069091796875</v>
      </c>
      <c r="D66" s="154">
        <v>14.70526123046875</v>
      </c>
      <c r="E66" s="154"/>
      <c r="F66" s="154"/>
      <c r="G66" s="154"/>
      <c r="H66" s="154"/>
      <c r="I66" s="154"/>
      <c r="J66" s="154"/>
      <c r="K66" s="154"/>
      <c r="L66" s="154"/>
    </row>
    <row r="67" spans="1:12">
      <c r="A67" s="396">
        <v>0</v>
      </c>
      <c r="B67" s="153">
        <v>98</v>
      </c>
      <c r="C67" s="153">
        <v>638.38385009765625</v>
      </c>
      <c r="D67" s="154">
        <v>30</v>
      </c>
      <c r="E67" s="154"/>
      <c r="F67" s="154"/>
      <c r="G67" s="154"/>
      <c r="H67" s="154"/>
      <c r="I67" s="154"/>
      <c r="J67" s="154"/>
      <c r="K67" s="154"/>
      <c r="L67" s="154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55" customWidth="1"/>
    <col min="2" max="7" width="10.7109375" style="355" customWidth="1"/>
    <col min="8" max="16384" width="9.140625" style="355"/>
  </cols>
  <sheetData>
    <row r="1" spans="1:12" ht="21" customHeight="1">
      <c r="A1" s="397" t="s">
        <v>434</v>
      </c>
      <c r="B1" s="561" t="s">
        <v>473</v>
      </c>
      <c r="C1" s="561"/>
      <c r="D1" s="561"/>
      <c r="E1" s="561"/>
      <c r="F1" s="561"/>
      <c r="G1" s="561"/>
    </row>
    <row r="2" spans="1:12" ht="15" customHeight="1"/>
    <row r="3" spans="1:12" ht="20.25">
      <c r="A3" s="398" t="s">
        <v>435</v>
      </c>
    </row>
    <row r="4" spans="1:12" ht="12" customHeight="1">
      <c r="A4" s="356"/>
      <c r="B4" s="356"/>
      <c r="C4" s="356"/>
      <c r="D4" s="356" t="s">
        <v>487</v>
      </c>
      <c r="E4" s="356"/>
      <c r="F4" s="356"/>
      <c r="G4" s="356"/>
      <c r="H4" s="356"/>
      <c r="I4" s="356"/>
      <c r="J4" s="356"/>
      <c r="K4" s="356"/>
      <c r="L4" s="356"/>
    </row>
    <row r="5" spans="1:12" ht="15.6" customHeight="1">
      <c r="A5" s="399" t="s">
        <v>5</v>
      </c>
      <c r="B5" s="399" t="s">
        <v>436</v>
      </c>
      <c r="C5" s="399" t="s">
        <v>437</v>
      </c>
      <c r="D5" s="399" t="s">
        <v>438</v>
      </c>
      <c r="E5" s="399" t="s">
        <v>439</v>
      </c>
      <c r="F5" s="399" t="s">
        <v>440</v>
      </c>
      <c r="G5" s="399" t="s">
        <v>441</v>
      </c>
      <c r="H5" s="356"/>
      <c r="I5" s="356"/>
      <c r="J5" s="356"/>
      <c r="K5" s="356"/>
      <c r="L5" s="356"/>
    </row>
    <row r="6" spans="1:12" ht="15.6" customHeight="1">
      <c r="A6" s="400" t="s">
        <v>442</v>
      </c>
      <c r="B6" s="400" t="s">
        <v>165</v>
      </c>
      <c r="C6" s="400" t="s">
        <v>165</v>
      </c>
      <c r="D6" s="400" t="s">
        <v>443</v>
      </c>
      <c r="E6" s="400" t="s">
        <v>135</v>
      </c>
      <c r="F6" s="400" t="s">
        <v>444</v>
      </c>
      <c r="G6" s="400" t="s">
        <v>444</v>
      </c>
      <c r="H6" s="356"/>
      <c r="I6" s="356"/>
      <c r="J6" s="356"/>
      <c r="K6" s="356"/>
      <c r="L6" s="356"/>
    </row>
    <row r="7" spans="1:12" ht="15.95" customHeight="1">
      <c r="A7" s="401" t="s">
        <v>474</v>
      </c>
      <c r="B7" s="401" t="s">
        <v>488</v>
      </c>
      <c r="C7" s="401" t="s">
        <v>500</v>
      </c>
      <c r="D7" s="401" t="s">
        <v>512</v>
      </c>
      <c r="E7" s="401" t="s">
        <v>525</v>
      </c>
      <c r="F7" s="401" t="s">
        <v>538</v>
      </c>
      <c r="G7" s="401" t="s">
        <v>551</v>
      </c>
      <c r="H7" s="356"/>
      <c r="I7" s="356"/>
      <c r="J7" s="356"/>
      <c r="K7" s="356"/>
      <c r="L7" s="356"/>
    </row>
    <row r="8" spans="1:12" ht="15.95" customHeight="1">
      <c r="A8" s="401" t="s">
        <v>475</v>
      </c>
      <c r="B8" s="401" t="s">
        <v>488</v>
      </c>
      <c r="C8" s="401" t="s">
        <v>501</v>
      </c>
      <c r="D8" s="401" t="s">
        <v>513</v>
      </c>
      <c r="E8" s="401" t="s">
        <v>526</v>
      </c>
      <c r="F8" s="401" t="s">
        <v>539</v>
      </c>
      <c r="G8" s="401" t="s">
        <v>552</v>
      </c>
      <c r="H8" s="356"/>
      <c r="I8" s="356"/>
      <c r="J8" s="356"/>
      <c r="K8" s="356"/>
      <c r="L8" s="356"/>
    </row>
    <row r="9" spans="1:12" ht="15.95" customHeight="1">
      <c r="A9" s="401" t="s">
        <v>476</v>
      </c>
      <c r="B9" s="401" t="s">
        <v>489</v>
      </c>
      <c r="C9" s="401" t="s">
        <v>502</v>
      </c>
      <c r="D9" s="401" t="s">
        <v>514</v>
      </c>
      <c r="E9" s="401" t="s">
        <v>527</v>
      </c>
      <c r="F9" s="401" t="s">
        <v>540</v>
      </c>
      <c r="G9" s="401" t="s">
        <v>553</v>
      </c>
      <c r="H9" s="356"/>
      <c r="I9" s="356"/>
      <c r="J9" s="356"/>
      <c r="K9" s="356"/>
      <c r="L9" s="356"/>
    </row>
    <row r="10" spans="1:12" ht="15.95" customHeight="1">
      <c r="A10" s="401" t="s">
        <v>477</v>
      </c>
      <c r="B10" s="401" t="s">
        <v>490</v>
      </c>
      <c r="C10" s="401" t="s">
        <v>503</v>
      </c>
      <c r="D10" s="401" t="s">
        <v>515</v>
      </c>
      <c r="E10" s="401" t="s">
        <v>528</v>
      </c>
      <c r="F10" s="401" t="s">
        <v>541</v>
      </c>
      <c r="G10" s="401" t="s">
        <v>554</v>
      </c>
      <c r="H10" s="356"/>
      <c r="I10" s="356"/>
      <c r="J10" s="356"/>
      <c r="K10" s="356"/>
      <c r="L10" s="356"/>
    </row>
    <row r="11" spans="1:12" ht="15.95" customHeight="1">
      <c r="A11" s="401" t="s">
        <v>478</v>
      </c>
      <c r="B11" s="401" t="s">
        <v>491</v>
      </c>
      <c r="C11" s="401" t="s">
        <v>504</v>
      </c>
      <c r="D11" s="401" t="s">
        <v>516</v>
      </c>
      <c r="E11" s="401" t="s">
        <v>529</v>
      </c>
      <c r="F11" s="401" t="s">
        <v>542</v>
      </c>
      <c r="G11" s="401" t="s">
        <v>555</v>
      </c>
      <c r="H11" s="356"/>
      <c r="I11" s="356"/>
      <c r="J11" s="356"/>
      <c r="K11" s="356"/>
      <c r="L11" s="356"/>
    </row>
    <row r="12" spans="1:12" ht="15.95" customHeight="1">
      <c r="A12" s="401" t="s">
        <v>479</v>
      </c>
      <c r="B12" s="401" t="s">
        <v>492</v>
      </c>
      <c r="C12" s="401" t="s">
        <v>505</v>
      </c>
      <c r="D12" s="401" t="s">
        <v>517</v>
      </c>
      <c r="E12" s="401" t="s">
        <v>530</v>
      </c>
      <c r="F12" s="401" t="s">
        <v>543</v>
      </c>
      <c r="G12" s="401" t="s">
        <v>556</v>
      </c>
      <c r="H12" s="356"/>
      <c r="I12" s="356"/>
      <c r="J12" s="356"/>
      <c r="K12" s="356"/>
      <c r="L12" s="356"/>
    </row>
    <row r="13" spans="1:12" ht="15.95" customHeight="1">
      <c r="A13" s="401" t="s">
        <v>480</v>
      </c>
      <c r="B13" s="401" t="s">
        <v>493</v>
      </c>
      <c r="C13" s="401" t="s">
        <v>506</v>
      </c>
      <c r="D13" s="401" t="s">
        <v>518</v>
      </c>
      <c r="E13" s="401" t="s">
        <v>531</v>
      </c>
      <c r="F13" s="401" t="s">
        <v>544</v>
      </c>
      <c r="G13" s="401" t="s">
        <v>557</v>
      </c>
      <c r="H13" s="356"/>
      <c r="I13" s="356"/>
      <c r="J13" s="356"/>
      <c r="K13" s="356"/>
      <c r="L13" s="356"/>
    </row>
    <row r="14" spans="1:12" ht="15.95" customHeight="1">
      <c r="A14" s="401" t="s">
        <v>481</v>
      </c>
      <c r="B14" s="401" t="s">
        <v>494</v>
      </c>
      <c r="C14" s="401" t="s">
        <v>507</v>
      </c>
      <c r="D14" s="401" t="s">
        <v>519</v>
      </c>
      <c r="E14" s="401" t="s">
        <v>532</v>
      </c>
      <c r="F14" s="401" t="s">
        <v>545</v>
      </c>
      <c r="G14" s="401" t="s">
        <v>558</v>
      </c>
      <c r="H14" s="356"/>
      <c r="I14" s="356"/>
      <c r="J14" s="356"/>
      <c r="K14" s="356"/>
      <c r="L14" s="356"/>
    </row>
    <row r="15" spans="1:12" ht="15.95" customHeight="1">
      <c r="A15" s="401" t="s">
        <v>482</v>
      </c>
      <c r="B15" s="401" t="s">
        <v>495</v>
      </c>
      <c r="C15" s="401" t="s">
        <v>508</v>
      </c>
      <c r="D15" s="401" t="s">
        <v>520</v>
      </c>
      <c r="E15" s="401" t="s">
        <v>533</v>
      </c>
      <c r="F15" s="401" t="s">
        <v>546</v>
      </c>
      <c r="G15" s="401" t="s">
        <v>559</v>
      </c>
      <c r="H15" s="356"/>
      <c r="I15" s="356"/>
      <c r="J15" s="356"/>
      <c r="K15" s="356"/>
      <c r="L15" s="356"/>
    </row>
    <row r="16" spans="1:12" ht="15.95" customHeight="1">
      <c r="A16" s="401" t="s">
        <v>483</v>
      </c>
      <c r="B16" s="401" t="s">
        <v>496</v>
      </c>
      <c r="C16" s="401" t="s">
        <v>509</v>
      </c>
      <c r="D16" s="401" t="s">
        <v>521</v>
      </c>
      <c r="E16" s="401" t="s">
        <v>534</v>
      </c>
      <c r="F16" s="401" t="s">
        <v>547</v>
      </c>
      <c r="G16" s="401" t="s">
        <v>560</v>
      </c>
      <c r="H16" s="356"/>
      <c r="I16" s="356"/>
      <c r="J16" s="356"/>
      <c r="K16" s="356"/>
      <c r="L16" s="356"/>
    </row>
    <row r="17" spans="1:12" ht="15.95" customHeight="1">
      <c r="A17" s="401" t="s">
        <v>484</v>
      </c>
      <c r="B17" s="401" t="s">
        <v>497</v>
      </c>
      <c r="C17" s="401" t="s">
        <v>510</v>
      </c>
      <c r="D17" s="401" t="s">
        <v>522</v>
      </c>
      <c r="E17" s="401" t="s">
        <v>535</v>
      </c>
      <c r="F17" s="401" t="s">
        <v>548</v>
      </c>
      <c r="G17" s="401" t="s">
        <v>561</v>
      </c>
      <c r="H17" s="356"/>
      <c r="I17" s="356"/>
      <c r="J17" s="356"/>
      <c r="K17" s="356"/>
      <c r="L17" s="356"/>
    </row>
    <row r="18" spans="1:12" ht="15.95" customHeight="1">
      <c r="A18" s="401" t="s">
        <v>485</v>
      </c>
      <c r="B18" s="401" t="s">
        <v>498</v>
      </c>
      <c r="C18" s="401" t="s">
        <v>492</v>
      </c>
      <c r="D18" s="401" t="s">
        <v>523</v>
      </c>
      <c r="E18" s="401" t="s">
        <v>536</v>
      </c>
      <c r="F18" s="401" t="s">
        <v>549</v>
      </c>
      <c r="G18" s="401" t="s">
        <v>562</v>
      </c>
      <c r="H18" s="356"/>
      <c r="I18" s="356"/>
      <c r="J18" s="356"/>
      <c r="K18" s="356"/>
      <c r="L18" s="356"/>
    </row>
    <row r="19" spans="1:12" ht="15.95" customHeight="1">
      <c r="A19" s="401" t="s">
        <v>486</v>
      </c>
      <c r="B19" s="401" t="s">
        <v>499</v>
      </c>
      <c r="C19" s="401" t="s">
        <v>511</v>
      </c>
      <c r="D19" s="401" t="s">
        <v>524</v>
      </c>
      <c r="E19" s="401" t="s">
        <v>537</v>
      </c>
      <c r="F19" s="401" t="s">
        <v>550</v>
      </c>
      <c r="G19" s="401" t="s">
        <v>563</v>
      </c>
      <c r="H19" s="356"/>
      <c r="I19" s="356"/>
      <c r="J19" s="356"/>
      <c r="K19" s="356"/>
      <c r="L19" s="356"/>
    </row>
    <row r="20" spans="1:12" ht="15.75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</row>
    <row r="21" spans="1:12" ht="15.75">
      <c r="A21" s="356"/>
      <c r="B21" s="356"/>
      <c r="C21" s="356"/>
      <c r="D21" s="562" t="s">
        <v>573</v>
      </c>
      <c r="E21" s="563"/>
      <c r="F21" s="563"/>
      <c r="G21" s="564"/>
      <c r="H21" s="356"/>
      <c r="I21" s="356"/>
      <c r="J21" s="356"/>
      <c r="K21" s="356"/>
      <c r="L21" s="356"/>
    </row>
    <row r="22" spans="1:12" ht="17.25" customHeight="1">
      <c r="A22" s="356"/>
      <c r="B22" s="565" t="s">
        <v>445</v>
      </c>
      <c r="C22" s="565"/>
      <c r="D22" s="565" t="s">
        <v>446</v>
      </c>
      <c r="E22" s="565"/>
      <c r="F22" s="565" t="s">
        <v>447</v>
      </c>
      <c r="G22" s="565"/>
      <c r="H22" s="356"/>
      <c r="I22" s="356"/>
      <c r="J22" s="356"/>
      <c r="K22" s="356"/>
      <c r="L22" s="356"/>
    </row>
    <row r="23" spans="1:12" ht="15.75">
      <c r="A23" s="402" t="s">
        <v>448</v>
      </c>
      <c r="B23" s="560" t="s">
        <v>564</v>
      </c>
      <c r="C23" s="560"/>
      <c r="D23" s="560" t="s">
        <v>567</v>
      </c>
      <c r="E23" s="560"/>
      <c r="F23" s="560" t="s">
        <v>570</v>
      </c>
      <c r="G23" s="560"/>
      <c r="H23" s="356"/>
      <c r="I23" s="356"/>
      <c r="J23" s="356"/>
      <c r="K23" s="356"/>
      <c r="L23" s="356"/>
    </row>
    <row r="24" spans="1:12" ht="18" customHeight="1">
      <c r="A24" s="402" t="s">
        <v>449</v>
      </c>
      <c r="B24" s="560" t="s">
        <v>565</v>
      </c>
      <c r="C24" s="560"/>
      <c r="D24" s="560" t="s">
        <v>568</v>
      </c>
      <c r="E24" s="560"/>
      <c r="F24" s="560" t="s">
        <v>571</v>
      </c>
      <c r="G24" s="560"/>
      <c r="H24" s="356"/>
      <c r="I24" s="356"/>
      <c r="J24" s="356"/>
      <c r="K24" s="356"/>
      <c r="L24" s="356"/>
    </row>
    <row r="25" spans="1:12" ht="15.75">
      <c r="A25" s="402" t="s">
        <v>450</v>
      </c>
      <c r="B25" s="560" t="s">
        <v>566</v>
      </c>
      <c r="C25" s="560"/>
      <c r="D25" s="560" t="s">
        <v>569</v>
      </c>
      <c r="E25" s="560"/>
      <c r="F25" s="560" t="s">
        <v>572</v>
      </c>
      <c r="G25" s="560"/>
      <c r="H25" s="356"/>
      <c r="I25" s="356"/>
      <c r="J25" s="356"/>
      <c r="K25" s="356"/>
      <c r="L25" s="356"/>
    </row>
    <row r="26" spans="1:12" ht="15.75">
      <c r="A26" s="356"/>
      <c r="B26" s="356"/>
      <c r="C26" s="356"/>
      <c r="D26" s="356"/>
      <c r="E26" s="356"/>
      <c r="F26" s="356"/>
      <c r="G26" s="356"/>
      <c r="H26" s="356"/>
      <c r="I26" s="356"/>
      <c r="J26" s="356"/>
      <c r="K26" s="356"/>
      <c r="L26" s="356"/>
    </row>
    <row r="27" spans="1:12" ht="20.25">
      <c r="A27" s="398" t="s">
        <v>451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</row>
    <row r="28" spans="1:12" ht="15.75">
      <c r="A28" s="356"/>
      <c r="B28" s="356"/>
      <c r="C28" s="356"/>
      <c r="D28" s="356"/>
      <c r="E28" s="566" t="s">
        <v>452</v>
      </c>
      <c r="F28" s="563"/>
      <c r="G28" s="564"/>
      <c r="H28" s="356"/>
      <c r="I28" s="356"/>
      <c r="J28" s="356"/>
      <c r="K28" s="356"/>
      <c r="L28" s="356"/>
    </row>
    <row r="29" spans="1:12" ht="15.75">
      <c r="A29" s="356"/>
      <c r="B29" s="565" t="s">
        <v>453</v>
      </c>
      <c r="C29" s="565"/>
      <c r="D29" s="403" t="s">
        <v>454</v>
      </c>
      <c r="E29" s="403" t="s">
        <v>455</v>
      </c>
      <c r="F29" s="565" t="s">
        <v>456</v>
      </c>
      <c r="G29" s="565"/>
      <c r="H29" s="356"/>
      <c r="I29" s="356"/>
      <c r="J29" s="356"/>
      <c r="K29" s="356"/>
      <c r="L29" s="356"/>
    </row>
    <row r="30" spans="1:12" ht="15.75">
      <c r="A30" s="402" t="s">
        <v>457</v>
      </c>
      <c r="B30" s="560" t="s">
        <v>574</v>
      </c>
      <c r="C30" s="560"/>
      <c r="D30" s="401" t="s">
        <v>577</v>
      </c>
      <c r="E30" s="401" t="s">
        <v>458</v>
      </c>
      <c r="F30" s="560" t="s">
        <v>580</v>
      </c>
      <c r="G30" s="560"/>
      <c r="H30" s="356"/>
      <c r="I30" s="356"/>
      <c r="J30" s="356"/>
      <c r="K30" s="356"/>
      <c r="L30" s="356"/>
    </row>
    <row r="31" spans="1:12" ht="15.75">
      <c r="A31" s="402" t="s">
        <v>459</v>
      </c>
      <c r="B31" s="560" t="s">
        <v>575</v>
      </c>
      <c r="C31" s="560"/>
      <c r="D31" s="401" t="s">
        <v>578</v>
      </c>
      <c r="E31" s="401" t="s">
        <v>460</v>
      </c>
      <c r="F31" s="560" t="s">
        <v>581</v>
      </c>
      <c r="G31" s="560"/>
      <c r="H31" s="356"/>
      <c r="I31" s="356"/>
      <c r="J31" s="356"/>
      <c r="K31" s="356"/>
      <c r="L31" s="356"/>
    </row>
    <row r="32" spans="1:12" ht="15.75">
      <c r="A32" s="402" t="s">
        <v>461</v>
      </c>
      <c r="B32" s="560" t="s">
        <v>576</v>
      </c>
      <c r="C32" s="560"/>
      <c r="D32" s="401" t="s">
        <v>579</v>
      </c>
      <c r="E32" s="401" t="s">
        <v>462</v>
      </c>
      <c r="F32" s="560" t="s">
        <v>582</v>
      </c>
      <c r="G32" s="560"/>
      <c r="H32" s="356"/>
      <c r="I32" s="356"/>
      <c r="J32" s="356"/>
      <c r="K32" s="356"/>
      <c r="L32" s="356"/>
    </row>
    <row r="33" spans="1:12" ht="15.75">
      <c r="A33" s="356"/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</row>
    <row r="34" spans="1:12" ht="15.75">
      <c r="A34" s="356"/>
      <c r="B34" s="356"/>
      <c r="C34" s="356"/>
      <c r="D34" s="356"/>
      <c r="E34" s="566" t="s">
        <v>463</v>
      </c>
      <c r="F34" s="563"/>
      <c r="G34" s="564"/>
      <c r="H34" s="356"/>
      <c r="I34" s="356"/>
      <c r="J34" s="356"/>
      <c r="K34" s="356"/>
      <c r="L34" s="356"/>
    </row>
    <row r="35" spans="1:12" ht="15.75">
      <c r="A35" s="356"/>
      <c r="B35" s="565" t="s">
        <v>464</v>
      </c>
      <c r="C35" s="565"/>
      <c r="D35" s="403" t="s">
        <v>455</v>
      </c>
      <c r="E35" s="403" t="s">
        <v>465</v>
      </c>
      <c r="F35" s="403" t="s">
        <v>100</v>
      </c>
      <c r="G35" s="403" t="s">
        <v>466</v>
      </c>
      <c r="H35" s="356"/>
      <c r="I35" s="356"/>
      <c r="J35" s="356"/>
      <c r="K35" s="356"/>
      <c r="L35" s="356"/>
    </row>
    <row r="36" spans="1:12" ht="15.75">
      <c r="A36" s="402" t="s">
        <v>457</v>
      </c>
      <c r="B36" s="567" t="s">
        <v>583</v>
      </c>
      <c r="C36" s="568"/>
      <c r="D36" s="404" t="s">
        <v>585</v>
      </c>
      <c r="E36" s="404" t="s">
        <v>467</v>
      </c>
      <c r="F36" s="405" t="s">
        <v>468</v>
      </c>
      <c r="G36" s="401" t="s">
        <v>588</v>
      </c>
      <c r="H36" s="356"/>
      <c r="I36" s="356"/>
      <c r="J36" s="356"/>
      <c r="K36" s="356"/>
      <c r="L36" s="356"/>
    </row>
    <row r="37" spans="1:12" ht="15.75">
      <c r="A37" s="402" t="s">
        <v>459</v>
      </c>
      <c r="B37" s="567" t="s">
        <v>584</v>
      </c>
      <c r="C37" s="568"/>
      <c r="D37" s="404" t="s">
        <v>586</v>
      </c>
      <c r="E37" s="404" t="s">
        <v>467</v>
      </c>
      <c r="F37" s="405" t="s">
        <v>469</v>
      </c>
      <c r="G37" s="406" t="s">
        <v>589</v>
      </c>
      <c r="H37" s="356"/>
      <c r="I37" s="356"/>
      <c r="J37" s="356"/>
      <c r="K37" s="356"/>
      <c r="L37" s="356"/>
    </row>
    <row r="38" spans="1:12" ht="15.75">
      <c r="A38" s="402" t="s">
        <v>461</v>
      </c>
      <c r="B38" s="567" t="s">
        <v>584</v>
      </c>
      <c r="C38" s="568"/>
      <c r="D38" s="404" t="s">
        <v>587</v>
      </c>
      <c r="E38" s="404" t="s">
        <v>467</v>
      </c>
      <c r="F38" s="405" t="s">
        <v>470</v>
      </c>
      <c r="G38" s="401" t="s">
        <v>590</v>
      </c>
      <c r="H38" s="356"/>
      <c r="I38" s="356"/>
      <c r="J38" s="356"/>
      <c r="K38" s="356"/>
      <c r="L38" s="356"/>
    </row>
    <row r="39" spans="1:12" ht="15.75">
      <c r="A39" s="356"/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</row>
    <row r="40" spans="1:12" ht="15.75">
      <c r="A40" s="407" t="s">
        <v>471</v>
      </c>
      <c r="B40" s="569" t="s">
        <v>591</v>
      </c>
      <c r="C40" s="569"/>
      <c r="D40" s="570" t="s">
        <v>472</v>
      </c>
      <c r="E40" s="570"/>
      <c r="F40" s="569" t="s">
        <v>592</v>
      </c>
      <c r="G40" s="569"/>
      <c r="H40" s="356"/>
      <c r="I40" s="356"/>
      <c r="J40" s="356"/>
      <c r="K40" s="356"/>
      <c r="L40" s="356"/>
    </row>
    <row r="41" spans="1:12" ht="15.75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</row>
    <row r="42" spans="1:12" ht="15.75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</row>
    <row r="43" spans="1:12" ht="15.75">
      <c r="A43" s="356"/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</row>
    <row r="44" spans="1:12" ht="15.75">
      <c r="A44" s="356"/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</row>
    <row r="45" spans="1:12" ht="15.75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</row>
    <row r="46" spans="1:12" ht="15.75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</row>
    <row r="47" spans="1:12" ht="15.75">
      <c r="A47" s="356"/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</row>
    <row r="48" spans="1:12" ht="15.75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</row>
    <row r="49" spans="1:12" ht="15.75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</row>
    <row r="50" spans="1:12" ht="15.75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</row>
    <row r="51" spans="1:12" ht="15.75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</row>
    <row r="52" spans="1:12" ht="15.75">
      <c r="A52" s="356"/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</row>
    <row r="53" spans="1:12" ht="15.75">
      <c r="A53" s="356"/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</row>
    <row r="54" spans="1:12" ht="15.75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</row>
    <row r="55" spans="1:12" ht="15.75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</row>
    <row r="56" spans="1:12" ht="15.75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</row>
    <row r="57" spans="1:12" ht="15.75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</row>
    <row r="58" spans="1:12" ht="15.75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</row>
    <row r="59" spans="1:12" ht="15.75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</row>
    <row r="60" spans="1:12" ht="15.75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</row>
    <row r="61" spans="1:12" ht="15.75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3" workbookViewId="0">
      <selection activeCell="G15" sqref="G15"/>
    </sheetView>
  </sheetViews>
  <sheetFormatPr defaultColWidth="9.140625" defaultRowHeight="12.75"/>
  <cols>
    <col min="1" max="6" width="16.7109375" style="355" customWidth="1"/>
    <col min="7" max="16384" width="9.140625" style="355"/>
  </cols>
  <sheetData>
    <row r="1" spans="1:6" ht="18.95" customHeight="1">
      <c r="A1" s="373"/>
      <c r="B1" s="374"/>
      <c r="C1" s="374"/>
      <c r="D1" s="374"/>
      <c r="E1" s="374"/>
      <c r="F1" s="375"/>
    </row>
    <row r="2" spans="1:6" ht="26.1" customHeight="1">
      <c r="A2" s="376" t="s">
        <v>264</v>
      </c>
      <c r="B2" s="377"/>
      <c r="C2" s="377"/>
      <c r="D2" s="377"/>
      <c r="E2" s="377"/>
      <c r="F2" s="378"/>
    </row>
    <row r="3" spans="1:6" ht="18.95" customHeight="1">
      <c r="A3" s="571" t="s">
        <v>593</v>
      </c>
      <c r="B3" s="572"/>
      <c r="C3" s="572"/>
      <c r="D3" s="572"/>
      <c r="E3" s="572"/>
      <c r="F3" s="573"/>
    </row>
    <row r="4" spans="1:6" ht="18.95" customHeight="1">
      <c r="A4" s="574" t="s">
        <v>594</v>
      </c>
      <c r="B4" s="575"/>
      <c r="C4" s="575"/>
      <c r="D4" s="575"/>
      <c r="E4" s="575"/>
      <c r="F4" s="576"/>
    </row>
    <row r="5" spans="1:6" ht="18.95" customHeight="1">
      <c r="A5" s="380"/>
      <c r="B5" s="381"/>
      <c r="C5" s="381"/>
      <c r="D5" s="381"/>
      <c r="E5" s="381"/>
      <c r="F5" s="382"/>
    </row>
    <row r="6" spans="1:6" ht="18.95" customHeight="1">
      <c r="A6" s="383" t="s">
        <v>408</v>
      </c>
      <c r="B6" s="557" t="s">
        <v>644</v>
      </c>
      <c r="C6" s="558"/>
      <c r="D6" s="559"/>
      <c r="E6" s="383" t="s">
        <v>409</v>
      </c>
      <c r="F6" s="384">
        <v>99</v>
      </c>
    </row>
    <row r="7" spans="1:6" ht="18.95" customHeight="1">
      <c r="A7" s="383" t="s">
        <v>410</v>
      </c>
      <c r="B7" s="384" t="s">
        <v>642</v>
      </c>
      <c r="C7" s="383" t="s">
        <v>411</v>
      </c>
      <c r="D7" s="384" t="s">
        <v>429</v>
      </c>
      <c r="E7" s="383" t="s">
        <v>412</v>
      </c>
      <c r="F7" s="384" t="s">
        <v>176</v>
      </c>
    </row>
    <row r="8" spans="1:6" ht="18.95" customHeight="1">
      <c r="A8" s="383" t="s">
        <v>413</v>
      </c>
      <c r="B8" s="384">
        <v>8</v>
      </c>
      <c r="C8" s="383" t="s">
        <v>414</v>
      </c>
      <c r="D8" s="384" t="s">
        <v>415</v>
      </c>
      <c r="E8" s="383" t="s">
        <v>416</v>
      </c>
      <c r="F8" s="384" t="s">
        <v>356</v>
      </c>
    </row>
    <row r="9" spans="1:6" ht="18.95" customHeight="1">
      <c r="A9" s="383" t="s">
        <v>417</v>
      </c>
      <c r="B9" s="384">
        <v>700</v>
      </c>
      <c r="C9" s="383" t="s">
        <v>418</v>
      </c>
      <c r="D9" s="384" t="s">
        <v>430</v>
      </c>
      <c r="E9" s="383" t="s">
        <v>2</v>
      </c>
      <c r="F9" s="385">
        <v>42074</v>
      </c>
    </row>
    <row r="10" spans="1:6" ht="18.95" customHeight="1">
      <c r="A10" s="383" t="s">
        <v>419</v>
      </c>
      <c r="B10" s="384">
        <v>895</v>
      </c>
      <c r="C10" s="383" t="s">
        <v>256</v>
      </c>
      <c r="D10" s="384" t="s">
        <v>431</v>
      </c>
      <c r="E10" s="383" t="s">
        <v>1</v>
      </c>
      <c r="F10" s="384" t="s">
        <v>643</v>
      </c>
    </row>
    <row r="11" spans="1:6" ht="18.95" customHeight="1">
      <c r="A11" s="380"/>
      <c r="B11" s="381"/>
      <c r="C11" s="381"/>
      <c r="D11" s="381"/>
      <c r="E11" s="381"/>
      <c r="F11" s="382"/>
    </row>
    <row r="12" spans="1:6" ht="18.95" customHeight="1">
      <c r="A12" s="380"/>
      <c r="B12" s="386"/>
      <c r="C12" s="387"/>
      <c r="D12" s="386"/>
      <c r="E12" s="387"/>
      <c r="F12" s="382"/>
    </row>
    <row r="13" spans="1:6" ht="18.95" customHeight="1">
      <c r="A13" s="380"/>
      <c r="B13" s="386"/>
      <c r="C13" s="388"/>
      <c r="D13" s="386"/>
      <c r="E13" s="387"/>
      <c r="F13" s="382"/>
    </row>
    <row r="14" spans="1:6" ht="18.95" customHeight="1">
      <c r="A14" s="380"/>
      <c r="B14" s="386"/>
      <c r="C14" s="388"/>
      <c r="D14" s="386"/>
      <c r="E14" s="387"/>
      <c r="F14" s="382"/>
    </row>
    <row r="15" spans="1:6" ht="18.95" customHeight="1">
      <c r="A15" s="380"/>
      <c r="B15" s="386"/>
      <c r="C15" s="387"/>
      <c r="D15" s="381"/>
      <c r="E15" s="381"/>
      <c r="F15" s="382"/>
    </row>
    <row r="16" spans="1:6" ht="18.95" customHeight="1">
      <c r="A16" s="380"/>
      <c r="B16" s="381"/>
      <c r="C16" s="381"/>
      <c r="D16" s="381"/>
      <c r="E16" s="381"/>
      <c r="F16" s="382"/>
    </row>
    <row r="17" spans="1:6" ht="18.95" customHeight="1">
      <c r="A17" s="380"/>
      <c r="B17" s="381"/>
      <c r="C17" s="381"/>
      <c r="D17" s="381"/>
      <c r="E17" s="381"/>
      <c r="F17" s="382"/>
    </row>
    <row r="18" spans="1:6" ht="18.95" customHeight="1">
      <c r="A18" s="380"/>
      <c r="B18" s="381"/>
      <c r="C18" s="381"/>
      <c r="D18" s="381"/>
      <c r="E18" s="381"/>
      <c r="F18" s="382"/>
    </row>
    <row r="19" spans="1:6" ht="18.95" customHeight="1">
      <c r="A19" s="380"/>
      <c r="B19" s="381"/>
      <c r="C19" s="381"/>
      <c r="D19" s="381"/>
      <c r="E19" s="381"/>
      <c r="F19" s="382"/>
    </row>
    <row r="20" spans="1:6" ht="18.95" customHeight="1">
      <c r="A20" s="380"/>
      <c r="B20" s="381"/>
      <c r="C20" s="381"/>
      <c r="D20" s="381"/>
      <c r="E20" s="381"/>
      <c r="F20" s="382"/>
    </row>
    <row r="21" spans="1:6" ht="18.95" customHeight="1">
      <c r="A21" s="380"/>
      <c r="B21" s="381"/>
      <c r="C21" s="381"/>
      <c r="D21" s="381"/>
      <c r="E21" s="381"/>
      <c r="F21" s="382"/>
    </row>
    <row r="22" spans="1:6" ht="18.95" customHeight="1">
      <c r="A22" s="380"/>
      <c r="B22" s="381"/>
      <c r="C22" s="381"/>
      <c r="D22" s="381"/>
      <c r="E22" s="381"/>
      <c r="F22" s="382"/>
    </row>
    <row r="23" spans="1:6" ht="18.95" customHeight="1">
      <c r="A23" s="380"/>
      <c r="B23" s="381"/>
      <c r="C23" s="381"/>
      <c r="D23" s="381"/>
      <c r="E23" s="381"/>
      <c r="F23" s="382"/>
    </row>
    <row r="24" spans="1:6" ht="18.95" customHeight="1">
      <c r="A24" s="380"/>
      <c r="B24" s="381"/>
      <c r="C24" s="381"/>
      <c r="D24" s="381"/>
      <c r="E24" s="381"/>
      <c r="F24" s="382"/>
    </row>
    <row r="25" spans="1:6" ht="18.95" customHeight="1">
      <c r="A25" s="380"/>
      <c r="B25" s="381"/>
      <c r="C25" s="381"/>
      <c r="D25" s="381"/>
      <c r="E25" s="381"/>
      <c r="F25" s="382"/>
    </row>
    <row r="26" spans="1:6" ht="18.95" customHeight="1">
      <c r="A26" s="380"/>
      <c r="B26" s="381"/>
      <c r="C26" s="381"/>
      <c r="D26" s="381"/>
      <c r="E26" s="381"/>
      <c r="F26" s="382"/>
    </row>
    <row r="27" spans="1:6" ht="18.95" customHeight="1">
      <c r="A27" s="380"/>
      <c r="B27" s="381"/>
      <c r="C27" s="381"/>
      <c r="D27" s="381"/>
      <c r="E27" s="381"/>
      <c r="F27" s="382"/>
    </row>
    <row r="28" spans="1:6" ht="18.95" customHeight="1">
      <c r="A28" s="380"/>
      <c r="B28" s="381"/>
      <c r="C28" s="381"/>
      <c r="D28" s="381"/>
      <c r="E28" s="381"/>
      <c r="F28" s="382"/>
    </row>
    <row r="29" spans="1:6" ht="18.95" customHeight="1">
      <c r="A29" s="380"/>
      <c r="B29" s="381"/>
      <c r="C29" s="381"/>
      <c r="D29" s="381"/>
      <c r="E29" s="381"/>
      <c r="F29" s="382"/>
    </row>
    <row r="30" spans="1:6" ht="18.95" customHeight="1">
      <c r="A30" s="380"/>
      <c r="B30" s="381"/>
      <c r="C30" s="381"/>
      <c r="D30" s="381"/>
      <c r="E30" s="381"/>
      <c r="F30" s="382"/>
    </row>
    <row r="31" spans="1:6" ht="18.95" customHeight="1">
      <c r="A31" s="380"/>
      <c r="B31" s="381"/>
      <c r="C31" s="381"/>
      <c r="D31" s="381"/>
      <c r="E31" s="381"/>
      <c r="F31" s="382"/>
    </row>
    <row r="32" spans="1:6" ht="18.95" customHeight="1">
      <c r="A32" s="380"/>
      <c r="B32" s="381"/>
      <c r="C32" s="381"/>
      <c r="D32" s="381"/>
      <c r="E32" s="381"/>
      <c r="F32" s="382"/>
    </row>
    <row r="33" spans="1:6" ht="18.95" customHeight="1">
      <c r="A33" s="380"/>
      <c r="B33" s="381"/>
      <c r="C33" s="381"/>
      <c r="D33" s="381"/>
      <c r="E33" s="381"/>
      <c r="F33" s="382"/>
    </row>
    <row r="34" spans="1:6" ht="18.95" customHeight="1">
      <c r="A34" s="380"/>
      <c r="B34" s="381"/>
      <c r="C34" s="381"/>
      <c r="D34" s="381"/>
      <c r="E34" s="381"/>
      <c r="F34" s="382"/>
    </row>
    <row r="35" spans="1:6" ht="18.95" customHeight="1">
      <c r="A35" s="380"/>
      <c r="B35" s="381"/>
      <c r="C35" s="381"/>
      <c r="D35" s="381"/>
      <c r="E35" s="381"/>
      <c r="F35" s="382"/>
    </row>
    <row r="36" spans="1:6" ht="18.95" customHeight="1">
      <c r="A36" s="380"/>
      <c r="B36" s="381"/>
      <c r="C36" s="381"/>
      <c r="D36" s="381"/>
      <c r="E36" s="381"/>
      <c r="F36" s="382"/>
    </row>
    <row r="37" spans="1:6" ht="18.95" customHeight="1">
      <c r="A37" s="380"/>
      <c r="B37" s="381"/>
      <c r="C37" s="381"/>
      <c r="D37" s="381"/>
      <c r="E37" s="381"/>
      <c r="F37" s="382"/>
    </row>
    <row r="38" spans="1:6" ht="18.95" customHeight="1">
      <c r="A38" s="380"/>
      <c r="B38" s="381"/>
      <c r="C38" s="381"/>
      <c r="D38" s="381"/>
      <c r="E38" s="381"/>
      <c r="F38" s="382"/>
    </row>
    <row r="39" spans="1:6" ht="18.95" customHeight="1">
      <c r="A39" s="389" t="s">
        <v>425</v>
      </c>
      <c r="B39" s="390"/>
      <c r="C39" s="390"/>
      <c r="D39" s="381"/>
      <c r="E39" s="386" t="s">
        <v>426</v>
      </c>
      <c r="F39" s="391"/>
    </row>
    <row r="40" spans="1:6" ht="18.95" customHeight="1">
      <c r="A40" s="380"/>
      <c r="B40" s="390"/>
      <c r="C40" s="390"/>
      <c r="D40" s="381"/>
      <c r="E40" s="381"/>
      <c r="F40" s="382"/>
    </row>
    <row r="41" spans="1:6" ht="18.95" customHeight="1">
      <c r="A41" s="380"/>
      <c r="B41" s="390"/>
      <c r="C41" s="390"/>
      <c r="D41" s="381"/>
      <c r="E41" s="381"/>
      <c r="F41" s="382"/>
    </row>
    <row r="42" spans="1:6" ht="18.95" customHeight="1">
      <c r="A42" s="380"/>
      <c r="B42" s="381"/>
      <c r="C42" s="381"/>
      <c r="D42" s="381"/>
      <c r="E42" s="381"/>
      <c r="F42" s="382"/>
    </row>
    <row r="43" spans="1:6" ht="18.95" customHeight="1">
      <c r="A43" s="392"/>
      <c r="B43" s="390"/>
      <c r="C43" s="393" t="s">
        <v>427</v>
      </c>
      <c r="D43" s="394" t="s">
        <v>639</v>
      </c>
      <c r="E43" s="393" t="s">
        <v>428</v>
      </c>
      <c r="F43" s="394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8" t="e">
        <f>5252.1*B50/D53</f>
        <v>#DIV/0!</v>
      </c>
      <c r="G50" s="408"/>
    </row>
    <row r="51" spans="6:9" ht="15" customHeight="1">
      <c r="G51" s="409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0"/>
    </row>
    <row r="63" spans="6:9">
      <c r="I63" s="411" t="s">
        <v>39</v>
      </c>
    </row>
    <row r="64" spans="6:9">
      <c r="I64" s="411"/>
    </row>
    <row r="65" spans="1:9">
      <c r="I65" s="411"/>
    </row>
    <row r="66" spans="1:9">
      <c r="D66" s="408" t="e">
        <f>D65/D64</f>
        <v>#DIV/0!</v>
      </c>
    </row>
    <row r="67" spans="1:9">
      <c r="A67" s="412" t="s">
        <v>252</v>
      </c>
      <c r="B67" s="412" t="s">
        <v>595</v>
      </c>
      <c r="C67" s="412" t="s">
        <v>596</v>
      </c>
      <c r="E67" s="412" t="s">
        <v>597</v>
      </c>
      <c r="F67" s="412" t="s">
        <v>598</v>
      </c>
    </row>
    <row r="68" spans="1:9">
      <c r="A68" s="413">
        <v>638.38383838383834</v>
      </c>
      <c r="B68" s="414">
        <v>40</v>
      </c>
      <c r="C68" s="414">
        <v>25</v>
      </c>
      <c r="E68" s="413">
        <f>A68</f>
        <v>638.38383838383834</v>
      </c>
      <c r="F68" s="414">
        <v>1E-4</v>
      </c>
    </row>
    <row r="69" spans="1:9">
      <c r="A69" s="413">
        <f>FLOOR(A68,100)</f>
        <v>600</v>
      </c>
      <c r="B69" s="414">
        <f>((A68/A69)^2)*B68</f>
        <v>45.281547234409175</v>
      </c>
      <c r="C69" s="414">
        <f>((A68/A69)^2)*C68</f>
        <v>28.300967021505734</v>
      </c>
      <c r="E69" s="413">
        <v>636.46464646464642</v>
      </c>
      <c r="F69" s="414">
        <v>1.5099999904632568</v>
      </c>
    </row>
    <row r="70" spans="1:9">
      <c r="A70" s="413">
        <f>A69-100</f>
        <v>500</v>
      </c>
      <c r="B70" s="414">
        <f>((A68/A70)^2)*B68</f>
        <v>65.205428017549224</v>
      </c>
      <c r="C70" s="414">
        <f>((A68/A70)^2)*C68</f>
        <v>40.753392510968268</v>
      </c>
      <c r="E70" s="413">
        <v>632.22222222222217</v>
      </c>
      <c r="F70" s="414">
        <v>2.8269999027252197</v>
      </c>
    </row>
    <row r="71" spans="1:9">
      <c r="A71" s="413">
        <f>A70-100</f>
        <v>400</v>
      </c>
      <c r="B71" s="414">
        <f>((A68/A71)^2)*B68</f>
        <v>101.88348127742066</v>
      </c>
      <c r="C71" s="414">
        <f>((A68/A71)^2)*C68</f>
        <v>63.677175798387907</v>
      </c>
      <c r="E71" s="413">
        <v>627.17171717171721</v>
      </c>
      <c r="F71" s="414">
        <v>4.0809998512268066</v>
      </c>
    </row>
    <row r="72" spans="1:9">
      <c r="A72" s="413">
        <f>A71-100</f>
        <v>300</v>
      </c>
      <c r="B72" s="414">
        <f>((A68/A72)^2)*B68</f>
        <v>181.1261889376367</v>
      </c>
      <c r="C72" s="414"/>
      <c r="E72" s="413">
        <v>620.90909090909099</v>
      </c>
      <c r="F72" s="414">
        <v>5.3420000076293945</v>
      </c>
    </row>
    <row r="73" spans="1:9">
      <c r="A73" s="413">
        <f>A72-100</f>
        <v>200</v>
      </c>
      <c r="B73" s="414">
        <f>((A68/A73)^2)*B68</f>
        <v>407.53392510968263</v>
      </c>
      <c r="C73" s="414"/>
      <c r="E73" s="413">
        <v>613.13131313131316</v>
      </c>
      <c r="F73" s="414">
        <v>6.6690001487731934</v>
      </c>
    </row>
    <row r="74" spans="1:9">
      <c r="A74" s="413">
        <v>208</v>
      </c>
      <c r="B74" s="414">
        <f>((A68/A74)^2)*B68</f>
        <v>376.78802247566813</v>
      </c>
      <c r="C74" s="414">
        <f>((A68/A74)^2)*C68</f>
        <v>235.49251404729259</v>
      </c>
      <c r="E74" s="413">
        <v>603.33333333333326</v>
      </c>
      <c r="F74" s="414">
        <v>8.125</v>
      </c>
    </row>
    <row r="75" spans="1:9">
      <c r="A75" s="415">
        <v>180</v>
      </c>
      <c r="B75" s="414">
        <f>((A68/A75)^2)*B69</f>
        <v>569.56069998389705</v>
      </c>
      <c r="C75" s="414">
        <f>((A68/A75)^2)*C68</f>
        <v>314.45518912784155</v>
      </c>
      <c r="E75" s="413">
        <v>591.21212121212113</v>
      </c>
      <c r="F75" s="414">
        <v>9.805999755859375</v>
      </c>
    </row>
    <row r="76" spans="1:9">
      <c r="A76" s="415">
        <v>120</v>
      </c>
      <c r="B76" s="414">
        <f>((A68/A76)^2)*B68</f>
        <v>1132.0386808602293</v>
      </c>
      <c r="C76" s="414">
        <f>((A68/A76)^2)*C68</f>
        <v>707.52417553764337</v>
      </c>
      <c r="E76" s="413">
        <v>576.26262626262621</v>
      </c>
      <c r="F76" s="414">
        <v>11.929999351501465</v>
      </c>
    </row>
    <row r="77" spans="1:9">
      <c r="A77" s="415">
        <v>110</v>
      </c>
      <c r="B77" s="414"/>
      <c r="C77" s="413">
        <f>CEILING(C76*2,100)</f>
        <v>1500</v>
      </c>
      <c r="E77" s="413">
        <v>562.52525252525254</v>
      </c>
      <c r="F77" s="414">
        <v>13.267999649047852</v>
      </c>
    </row>
    <row r="78" spans="1:9">
      <c r="A78" s="415">
        <v>110</v>
      </c>
      <c r="B78" s="414"/>
      <c r="C78" s="413">
        <f>2*C77</f>
        <v>3000</v>
      </c>
      <c r="E78" s="413">
        <v>547.67676767676778</v>
      </c>
      <c r="F78" s="414">
        <v>14.61199951171875</v>
      </c>
    </row>
    <row r="79" spans="1:9">
      <c r="A79" s="415">
        <v>110</v>
      </c>
      <c r="B79" s="415"/>
      <c r="C79" s="415">
        <v>10000</v>
      </c>
      <c r="E79" s="413">
        <v>507.17171717171715</v>
      </c>
      <c r="F79" s="414">
        <v>15.346999168395996</v>
      </c>
    </row>
    <row r="80" spans="1:9">
      <c r="E80" s="413">
        <v>327.77777777777777</v>
      </c>
      <c r="F80" s="414">
        <v>15.467999458312988</v>
      </c>
    </row>
    <row r="81" spans="5:6">
      <c r="E81" s="413">
        <v>0</v>
      </c>
      <c r="F81" s="414">
        <v>15.592999458312988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40625" defaultRowHeight="12.75"/>
  <cols>
    <col min="1" max="1" width="9.5703125" style="355" customWidth="1"/>
    <col min="2" max="11" width="7.7109375" style="355" customWidth="1"/>
    <col min="12" max="16384" width="9.140625" style="355"/>
  </cols>
  <sheetData>
    <row r="1" spans="1:12" ht="20.25">
      <c r="A1" s="577" t="s">
        <v>599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356"/>
    </row>
    <row r="2" spans="1:12" ht="30" customHeight="1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</row>
    <row r="3" spans="1:12" ht="19.5">
      <c r="A3" s="416" t="s">
        <v>434</v>
      </c>
      <c r="B3" s="417" t="s">
        <v>473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</row>
    <row r="4" spans="1:12" ht="12" customHeight="1">
      <c r="A4" s="356"/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356"/>
    </row>
    <row r="5" spans="1:12" ht="19.5">
      <c r="A5" s="418" t="s">
        <v>600</v>
      </c>
      <c r="B5" s="419"/>
      <c r="C5" s="419"/>
      <c r="D5" s="419"/>
      <c r="E5" s="419"/>
      <c r="F5" s="356"/>
      <c r="G5" s="356"/>
      <c r="H5" s="356"/>
      <c r="I5" s="356"/>
      <c r="J5" s="356"/>
      <c r="K5" s="356"/>
      <c r="L5" s="356"/>
    </row>
    <row r="6" spans="1:12" ht="17.25" customHeight="1">
      <c r="A6" s="356"/>
      <c r="B6" s="356"/>
      <c r="C6" s="356"/>
      <c r="D6" s="356"/>
      <c r="E6" s="356"/>
      <c r="F6" s="356"/>
      <c r="G6" s="356"/>
      <c r="H6" s="356"/>
      <c r="I6" s="356"/>
      <c r="J6" s="356"/>
      <c r="K6" s="356"/>
      <c r="L6" s="356"/>
    </row>
    <row r="7" spans="1:12" ht="15.75">
      <c r="A7" s="356"/>
      <c r="B7" s="420" t="s">
        <v>601</v>
      </c>
      <c r="C7" s="421">
        <v>0</v>
      </c>
      <c r="D7" s="420" t="s">
        <v>601</v>
      </c>
      <c r="E7" s="422" t="s">
        <v>602</v>
      </c>
      <c r="F7" s="420" t="s">
        <v>601</v>
      </c>
      <c r="G7" s="422" t="s">
        <v>603</v>
      </c>
      <c r="H7" s="420" t="s">
        <v>604</v>
      </c>
      <c r="I7" s="422">
        <v>0</v>
      </c>
      <c r="J7" s="420" t="s">
        <v>604</v>
      </c>
      <c r="K7" s="422">
        <v>5.0000000000000001E-3</v>
      </c>
      <c r="L7" s="356"/>
    </row>
    <row r="8" spans="1:12" ht="15.75">
      <c r="A8" s="401" t="s">
        <v>605</v>
      </c>
      <c r="B8" s="560">
        <v>6</v>
      </c>
      <c r="C8" s="560"/>
      <c r="D8" s="560">
        <v>30</v>
      </c>
      <c r="E8" s="560"/>
      <c r="F8" s="560">
        <v>18</v>
      </c>
      <c r="G8" s="560"/>
      <c r="H8" s="560" t="s">
        <v>620</v>
      </c>
      <c r="I8" s="560"/>
      <c r="J8" s="560" t="s">
        <v>621</v>
      </c>
      <c r="K8" s="560"/>
      <c r="L8" s="356"/>
    </row>
    <row r="9" spans="1:12" ht="15.75">
      <c r="A9" s="401" t="s">
        <v>606</v>
      </c>
      <c r="B9" s="560">
        <v>22</v>
      </c>
      <c r="C9" s="560"/>
      <c r="D9" s="560">
        <v>46</v>
      </c>
      <c r="E9" s="560"/>
      <c r="F9" s="560">
        <v>2</v>
      </c>
      <c r="G9" s="560"/>
      <c r="H9" s="560" t="s">
        <v>622</v>
      </c>
      <c r="I9" s="560"/>
      <c r="J9" s="560" t="s">
        <v>623</v>
      </c>
      <c r="K9" s="560"/>
      <c r="L9" s="356"/>
    </row>
    <row r="10" spans="1:12" ht="15.75">
      <c r="A10" s="401" t="s">
        <v>607</v>
      </c>
      <c r="B10" s="560">
        <v>14</v>
      </c>
      <c r="C10" s="560"/>
      <c r="D10" s="560">
        <v>38</v>
      </c>
      <c r="E10" s="560"/>
      <c r="F10" s="560">
        <v>10</v>
      </c>
      <c r="G10" s="560"/>
      <c r="H10" s="560" t="s">
        <v>624</v>
      </c>
      <c r="I10" s="560"/>
      <c r="J10" s="560" t="s">
        <v>625</v>
      </c>
      <c r="K10" s="560"/>
      <c r="L10" s="356"/>
    </row>
    <row r="11" spans="1:12" ht="26.25" customHeight="1">
      <c r="A11" s="356"/>
      <c r="B11" s="356"/>
      <c r="C11" s="356"/>
      <c r="D11" s="356"/>
      <c r="E11" s="356"/>
      <c r="F11" s="356"/>
      <c r="G11" s="356"/>
      <c r="H11" s="356"/>
      <c r="I11" s="356"/>
      <c r="J11" s="356"/>
      <c r="K11" s="356"/>
      <c r="L11" s="356"/>
    </row>
    <row r="12" spans="1:12" ht="19.5">
      <c r="A12" s="418" t="s">
        <v>608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</row>
    <row r="13" spans="1:12" ht="15.75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</row>
    <row r="14" spans="1:12" ht="15.75">
      <c r="A14" s="356"/>
      <c r="B14" s="578" t="s">
        <v>609</v>
      </c>
      <c r="C14" s="567"/>
      <c r="D14" s="579" t="s">
        <v>626</v>
      </c>
      <c r="E14" s="560"/>
      <c r="F14" s="578" t="s">
        <v>610</v>
      </c>
      <c r="G14" s="567"/>
      <c r="H14" s="579" t="s">
        <v>631</v>
      </c>
      <c r="I14" s="560"/>
      <c r="J14" s="356"/>
      <c r="K14" s="356"/>
      <c r="L14" s="356"/>
    </row>
    <row r="15" spans="1:12" ht="15.75">
      <c r="A15" s="356"/>
      <c r="B15" s="578" t="s">
        <v>611</v>
      </c>
      <c r="C15" s="567"/>
      <c r="D15" s="579" t="s">
        <v>627</v>
      </c>
      <c r="E15" s="560"/>
      <c r="F15" s="578" t="s">
        <v>612</v>
      </c>
      <c r="G15" s="567"/>
      <c r="H15" s="579" t="s">
        <v>632</v>
      </c>
      <c r="I15" s="560"/>
      <c r="J15" s="356"/>
      <c r="K15" s="356"/>
      <c r="L15" s="356"/>
    </row>
    <row r="16" spans="1:12" ht="15.75">
      <c r="A16" s="356"/>
      <c r="B16" s="578" t="s">
        <v>613</v>
      </c>
      <c r="C16" s="567"/>
      <c r="D16" s="579" t="s">
        <v>628</v>
      </c>
      <c r="E16" s="560"/>
      <c r="F16" s="578" t="s">
        <v>614</v>
      </c>
      <c r="G16" s="567"/>
      <c r="H16" s="579" t="s">
        <v>633</v>
      </c>
      <c r="I16" s="560"/>
      <c r="J16" s="356"/>
      <c r="K16" s="356"/>
      <c r="L16" s="356"/>
    </row>
    <row r="17" spans="1:12" ht="15.75">
      <c r="A17" s="356"/>
      <c r="B17" s="578" t="s">
        <v>615</v>
      </c>
      <c r="C17" s="567"/>
      <c r="D17" s="579" t="s">
        <v>629</v>
      </c>
      <c r="E17" s="560"/>
      <c r="F17" s="578" t="s">
        <v>616</v>
      </c>
      <c r="G17" s="567"/>
      <c r="H17" s="579" t="s">
        <v>634</v>
      </c>
      <c r="I17" s="560"/>
      <c r="J17" s="356"/>
      <c r="K17" s="356"/>
      <c r="L17" s="356"/>
    </row>
    <row r="18" spans="1:12" ht="15.75">
      <c r="A18" s="356"/>
      <c r="B18" s="578" t="s">
        <v>617</v>
      </c>
      <c r="C18" s="567"/>
      <c r="D18" s="579" t="s">
        <v>630</v>
      </c>
      <c r="E18" s="560"/>
      <c r="F18" s="578" t="s">
        <v>618</v>
      </c>
      <c r="G18" s="567"/>
      <c r="H18" s="579" t="s">
        <v>635</v>
      </c>
      <c r="I18" s="560"/>
      <c r="J18" s="356"/>
      <c r="K18" s="356"/>
      <c r="L18" s="356"/>
    </row>
    <row r="19" spans="1:12" ht="27" customHeight="1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</row>
    <row r="20" spans="1:12" ht="19.5">
      <c r="A20" s="418" t="s">
        <v>619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</row>
    <row r="21" spans="1:12" ht="15.75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</row>
    <row r="22" spans="1:12" ht="19.5">
      <c r="A22" s="356"/>
      <c r="B22" s="418" t="s">
        <v>636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</row>
    <row r="23" spans="1:12" ht="15.75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</row>
    <row r="24" spans="1:12" ht="15.75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356"/>
      <c r="L24" s="356"/>
    </row>
    <row r="25" spans="1:12" ht="15.75">
      <c r="A25" s="356"/>
      <c r="B25" s="356"/>
      <c r="C25" s="356"/>
      <c r="D25" s="356"/>
      <c r="E25" s="356"/>
      <c r="F25" s="356"/>
      <c r="G25" s="356"/>
      <c r="H25" s="356"/>
      <c r="I25" s="356"/>
      <c r="J25" s="356"/>
      <c r="K25" s="356"/>
      <c r="L25" s="356"/>
    </row>
    <row r="26" spans="1:12" ht="15.75">
      <c r="A26" s="356"/>
      <c r="B26" s="356"/>
      <c r="C26" s="356"/>
      <c r="D26" s="356"/>
      <c r="E26" s="356"/>
      <c r="F26" s="356"/>
      <c r="G26" s="356"/>
      <c r="H26" s="356"/>
      <c r="I26" s="356"/>
      <c r="J26" s="356"/>
      <c r="K26" s="356"/>
      <c r="L26" s="356"/>
    </row>
    <row r="27" spans="1:12" ht="15.75">
      <c r="A27" s="356"/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</row>
    <row r="28" spans="1:12" ht="15.75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</row>
    <row r="29" spans="1:12" ht="15.75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</row>
    <row r="30" spans="1:12" ht="15.75">
      <c r="A30" s="356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</row>
    <row r="31" spans="1:12" ht="15.75">
      <c r="A31" s="356"/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</row>
    <row r="32" spans="1:12" ht="15.75">
      <c r="A32" s="356"/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</row>
    <row r="33" spans="1:12" ht="15.75">
      <c r="A33" s="356"/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1997-10-31T21:44:37Z</cp:lastPrinted>
  <dcterms:created xsi:type="dcterms:W3CDTF">1997-10-03T20:37:30Z</dcterms:created>
  <dcterms:modified xsi:type="dcterms:W3CDTF">2022-04-26T14:16:10Z</dcterms:modified>
</cp:coreProperties>
</file>