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827"/>
  <workbookPr codeName="ThisWorkbook"/>
  <mc:AlternateContent xmlns:mc="http://schemas.openxmlformats.org/markup-compatibility/2006">
    <mc:Choice Requires="x15">
      <x15ac:absPath xmlns:x15ac="http://schemas.microsoft.com/office/spreadsheetml/2010/11/ac" url="N:\DESPRO\BASE MV DESIGNS\6800 Frame TEFC\6P\SERIES DESIGN\"/>
    </mc:Choice>
  </mc:AlternateContent>
  <xr:revisionPtr revIDLastSave="0" documentId="13_ncr:1_{3DE6A5D6-91B9-458F-A331-2A3F2996AAAE}" xr6:coauthVersionLast="47" xr6:coauthVersionMax="47" xr10:uidLastSave="{00000000-0000-0000-0000-000000000000}"/>
  <bookViews>
    <workbookView xWindow="-108" yWindow="-108" windowWidth="23256" windowHeight="14016" tabRatio="704" activeTab="7" xr2:uid="{00000000-000D-0000-FFFF-FFFF00000000}"/>
  </bookViews>
  <sheets>
    <sheet name="DesignSheet" sheetId="2" r:id="rId1"/>
    <sheet name="Data Sheet" sheetId="3" r:id="rId2"/>
    <sheet name="LoginSheet" sheetId="4" r:id="rId3"/>
    <sheet name="Form" sheetId="8" r:id="rId4"/>
    <sheet name="STCurve" sheetId="5" r:id="rId5"/>
    <sheet name="StallTime" sheetId="6" r:id="rId6"/>
    <sheet name="Thermdam" sheetId="7" r:id="rId7"/>
    <sheet name="MPCF-1202 SOUND" sheetId="9"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s>
  <definedNames>
    <definedName name="__123Graph_A月営業別NET" localSheetId="7" hidden="1">[1]本体価格TM21!#REF!</definedName>
    <definedName name="__123Graph_A月営業別NET" hidden="1">[1]本体価格TM21!#REF!</definedName>
    <definedName name="__123Graph_A月営業別SP" localSheetId="7" hidden="1">[1]本体価格TM21!#REF!</definedName>
    <definedName name="__123Graph_A月営業別SP" hidden="1">[1]本体価格TM21!#REF!</definedName>
    <definedName name="__123Graph_B月営業別NET" localSheetId="7" hidden="1">[1]本体価格TM21!#REF!</definedName>
    <definedName name="__123Graph_B月営業別NET" hidden="1">[1]本体価格TM21!#REF!</definedName>
    <definedName name="__123Graph_B月営業別SP" localSheetId="7" hidden="1">[1]本体価格TM21!#REF!</definedName>
    <definedName name="__123Graph_B月営業別SP" hidden="1">[1]本体価格TM21!#REF!</definedName>
    <definedName name="__123Graph_C月営業別NET" localSheetId="7" hidden="1">[1]本体価格TM21!#REF!</definedName>
    <definedName name="__123Graph_C月営業別NET" hidden="1">[1]本体価格TM21!#REF!</definedName>
    <definedName name="__123Graph_C月営業別SP" localSheetId="7" hidden="1">[1]本体価格TM21!#REF!</definedName>
    <definedName name="__123Graph_C月営業別SP" hidden="1">[1]本体価格TM21!#REF!</definedName>
    <definedName name="__123Graph_D月営業別NET" localSheetId="7" hidden="1">[1]本体価格TM21!#REF!</definedName>
    <definedName name="__123Graph_D月営業別NET" hidden="1">[1]本体価格TM21!#REF!</definedName>
    <definedName name="__123Graph_D月営業別SP" localSheetId="7" hidden="1">[1]本体価格TM21!#REF!</definedName>
    <definedName name="__123Graph_D月営業別SP" hidden="1">[1]本体価格TM21!#REF!</definedName>
    <definedName name="__123Graph_E月営業別NET" localSheetId="7" hidden="1">[1]本体価格TM21!#REF!</definedName>
    <definedName name="__123Graph_E月営業別NET" hidden="1">[1]本体価格TM21!#REF!</definedName>
    <definedName name="__123Graph_E月営業別SP" localSheetId="7" hidden="1">[1]本体価格TM21!#REF!</definedName>
    <definedName name="__123Graph_E月営業別SP" hidden="1">[1]本体価格TM21!#REF!</definedName>
    <definedName name="__123Graph_F月営業別NET" localSheetId="7" hidden="1">[1]本体価格TM21!#REF!</definedName>
    <definedName name="__123Graph_F月営業別NET" hidden="1">[1]本体価格TM21!#REF!</definedName>
    <definedName name="__123Graph_F月営業別SP" localSheetId="7" hidden="1">[1]本体価格TM21!#REF!</definedName>
    <definedName name="__123Graph_F月営業別SP" hidden="1">[1]本体価格TM21!#REF!</definedName>
    <definedName name="__123Graph_X月営業別NET" localSheetId="7" hidden="1">[1]本体価格TM21!#REF!</definedName>
    <definedName name="__123Graph_X月営業別NET" hidden="1">[1]本体価格TM21!#REF!</definedName>
    <definedName name="__123Graph_X月営業別SP" localSheetId="7" hidden="1">[1]本体価格TM21!#REF!</definedName>
    <definedName name="__123Graph_X月営業別SP" hidden="1">[1]本体価格TM21!#REF!</definedName>
    <definedName name="_10__123Graph_E月営業別M" localSheetId="7" hidden="1">[1]本体価格TM21!#REF!</definedName>
    <definedName name="_10__123Graph_E月営業別M" hidden="1">[1]本体価格TM21!#REF!</definedName>
    <definedName name="_12__123Graph_F月営業別M" localSheetId="7" hidden="1">[1]本体価格TM21!#REF!</definedName>
    <definedName name="_12__123Graph_F月営業別M" hidden="1">[1]本体価格TM21!#REF!</definedName>
    <definedName name="_14__123Graph_X月営業別M" localSheetId="7" hidden="1">[1]本体価格TM21!#REF!</definedName>
    <definedName name="_14__123Graph_X月営業別M" hidden="1">[1]本体価格TM21!#REF!</definedName>
    <definedName name="_2__123Graph_A月営業別M" localSheetId="7" hidden="1">[1]本体価格TM21!#REF!</definedName>
    <definedName name="_2__123Graph_A月営業別M" hidden="1">[1]本体価格TM21!#REF!</definedName>
    <definedName name="_4__123Graph_B月営業別M" localSheetId="7" hidden="1">[1]本体価格TM21!#REF!</definedName>
    <definedName name="_4__123Graph_B月営業別M" hidden="1">[1]本体価格TM21!#REF!</definedName>
    <definedName name="_6__123Graph_C月営業別M" localSheetId="7" hidden="1">[1]本体価格TM21!#REF!</definedName>
    <definedName name="_6__123Graph_C月営業別M" hidden="1">[1]本体価格TM21!#REF!</definedName>
    <definedName name="_8__123Graph_D月営業別M" localSheetId="7" hidden="1">[1]本体価格TM21!#REF!</definedName>
    <definedName name="_8__123Graph_D月営業別M" hidden="1">[1]本体価格TM21!#REF!</definedName>
    <definedName name="_CPL2">#REF!</definedName>
    <definedName name="_LGD2">#REF!</definedName>
    <definedName name="_pip54">#REF!</definedName>
    <definedName name="_pip55">#REF!</definedName>
    <definedName name="_Regression_Int" localSheetId="7" hidden="1">1</definedName>
    <definedName name="_SF1">#REF!</definedName>
    <definedName name="_SH1">#REF!</definedName>
    <definedName name="_SH2">#REF!</definedName>
    <definedName name="_TH103550" localSheetId="7">[3]許容ｽﾗｽﾄ!$H$38:$J$41</definedName>
    <definedName name="_TH103550">[3]許容ｽﾗｽﾄ!$H$38:$J$41</definedName>
    <definedName name="_TH103560" localSheetId="7">[3]許容ｽﾗｽﾄ!$H$43:$J$46</definedName>
    <definedName name="_TH103560">[3]許容ｽﾗｽﾄ!$H$43:$J$46</definedName>
    <definedName name="_TH104050" localSheetId="7">[3]許容ｽﾗｽﾄ!$H$78:$J$81</definedName>
    <definedName name="_TH104050">[3]許容ｽﾗｽﾄ!$H$78:$J$81</definedName>
    <definedName name="_TH104060" localSheetId="7">[3]許容ｽﾗｽﾄ!$H$83:$J$86</definedName>
    <definedName name="_TH104060">[3]許容ｽﾗｽﾄ!$H$83:$J$86</definedName>
    <definedName name="_TH104550" localSheetId="7">[3]許容ｽﾗｽﾄ!$H$122:$J$127</definedName>
    <definedName name="_TH104550">[3]許容ｽﾗｽﾄ!$H$122:$J$127</definedName>
    <definedName name="_TH104560" localSheetId="7">[3]許容ｽﾗｽﾄ!$H$129:$J$134</definedName>
    <definedName name="_TH104560">[3]許容ｽﾗｽﾄ!$H$129:$J$134</definedName>
    <definedName name="_TH43550" localSheetId="7">[3]許容ｽﾗｽﾄ!$H$8:$J$11</definedName>
    <definedName name="_TH43550">[3]許容ｽﾗｽﾄ!$H$8:$J$11</definedName>
    <definedName name="_TH43560" localSheetId="7">[3]許容ｽﾗｽﾄ!$H$13:$J$16</definedName>
    <definedName name="_TH43560">[3]許容ｽﾗｽﾄ!$H$13:$J$16</definedName>
    <definedName name="_TH44050" localSheetId="7">[3]許容ｽﾗｽﾄ!$H$48:$J$51</definedName>
    <definedName name="_TH44050">[3]許容ｽﾗｽﾄ!$H$48:$J$51</definedName>
    <definedName name="_TH44060" localSheetId="7">[3]許容ｽﾗｽﾄ!$H$53:$J$56</definedName>
    <definedName name="_TH44060">[3]許容ｽﾗｽﾄ!$H$53:$J$56</definedName>
    <definedName name="_TH44550" localSheetId="7">[3]許容ｽﾗｽﾄ!$H$88:$J$92</definedName>
    <definedName name="_TH44550">[3]許容ｽﾗｽﾄ!$H$88:$J$92</definedName>
    <definedName name="_TH44560" localSheetId="7">[3]許容ｽﾗｽﾄ!$H$93:$J$97</definedName>
    <definedName name="_TH44560">[3]許容ｽﾗｽﾄ!$H$93:$J$97</definedName>
    <definedName name="_TH63550" localSheetId="7">[3]許容ｽﾗｽﾄ!$H$18:$J$21</definedName>
    <definedName name="_TH63550">[3]許容ｽﾗｽﾄ!$H$18:$J$21</definedName>
    <definedName name="_TH63560" localSheetId="7">[3]許容ｽﾗｽﾄ!$H$23:$J$26</definedName>
    <definedName name="_TH63560">[3]許容ｽﾗｽﾄ!$H$23:$J$26</definedName>
    <definedName name="_TH64050" localSheetId="7">[3]許容ｽﾗｽﾄ!$H$58:$J$61</definedName>
    <definedName name="_TH64050">[3]許容ｽﾗｽﾄ!$H$58:$J$61</definedName>
    <definedName name="_TH64060" localSheetId="7">[3]許容ｽﾗｽﾄ!$H$63:$J$66</definedName>
    <definedName name="_TH64060">[3]許容ｽﾗｽﾄ!$H$63:$J$66</definedName>
    <definedName name="_TH64550" localSheetId="7">[3]許容ｽﾗｽﾄ!$H$98:$J$102</definedName>
    <definedName name="_TH64550">[3]許容ｽﾗｽﾄ!$H$98:$J$102</definedName>
    <definedName name="_TH64560" localSheetId="7">[3]許容ｽﾗｽﾄ!$H$103:$J$107</definedName>
    <definedName name="_TH64560">[3]許容ｽﾗｽﾄ!$H$103:$J$107</definedName>
    <definedName name="_TH83550" localSheetId="7">[3]許容ｽﾗｽﾄ!$H$28:$J$31</definedName>
    <definedName name="_TH83550">[3]許容ｽﾗｽﾄ!$H$28:$J$31</definedName>
    <definedName name="_TH83560" localSheetId="7">[3]許容ｽﾗｽﾄ!$H$33:$J$36</definedName>
    <definedName name="_TH83560">[3]許容ｽﾗｽﾄ!$H$33:$J$36</definedName>
    <definedName name="_TH84050" localSheetId="7">[3]許容ｽﾗｽﾄ!$H$68:$J$71</definedName>
    <definedName name="_TH84050">[3]許容ｽﾗｽﾄ!$H$68:$J$71</definedName>
    <definedName name="_TH84060" localSheetId="7">[3]許容ｽﾗｽﾄ!$H$73:$J$76</definedName>
    <definedName name="_TH84060">[3]許容ｽﾗｽﾄ!$H$73:$J$76</definedName>
    <definedName name="_TH84550" localSheetId="7">[3]許容ｽﾗｽﾄ!$H$108:$J$114</definedName>
    <definedName name="_TH84550">[3]許容ｽﾗｽﾄ!$H$108:$J$114</definedName>
    <definedName name="_TH84560" localSheetId="7">[3]許容ｽﾗｽﾄ!$H$115:$J$121</definedName>
    <definedName name="_TH84560">[3]許容ｽﾗｽﾄ!$H$115:$J$121</definedName>
    <definedName name="_UMU1">#REF!</definedName>
    <definedName name="_UMU2">#REF!</definedName>
    <definedName name="_VIB1">#REF!</definedName>
    <definedName name="_VIB2">#REF!</definedName>
    <definedName name="A">#REF!</definedName>
    <definedName name="abase" localSheetId="7">[4]Accessories!$A$72</definedName>
    <definedName name="abase">[4]Accessories!$A$72</definedName>
    <definedName name="ABUKHN" localSheetId="7">[3]特殊値増!$AR$2:$AS$55</definedName>
    <definedName name="ABUKHN">[3]特殊値増!$AR$2:$AS$55</definedName>
    <definedName name="accmount">#REF!</definedName>
    <definedName name="addinsy">#REF!</definedName>
    <definedName name="afilter" localSheetId="7">[4]Accessories!$A$60</definedName>
    <definedName name="afilter">[4]Accessories!$A$60</definedName>
    <definedName name="airfilter">#REF!</definedName>
    <definedName name="airpresw">#REF!</definedName>
    <definedName name="ALT" localSheetId="7">[5]INPUT!$CA$91:$CA$92</definedName>
    <definedName name="ALT">[5]INPUT!$CA$91:$CA$92</definedName>
    <definedName name="altitude">#REF!</definedName>
    <definedName name="ambtemp">#REF!</definedName>
    <definedName name="ANCHOR">#REF!</definedName>
    <definedName name="APPLI">#REF!</definedName>
    <definedName name="AREA">#REF!</definedName>
    <definedName name="ASC">#REF!</definedName>
    <definedName name="balance">#REF!</definedName>
    <definedName name="BASE">#REF!</definedName>
    <definedName name="BASE1">#REF!</definedName>
    <definedName name="BASE2">#REF!</definedName>
    <definedName name="BASICTYPE">#REF!</definedName>
    <definedName name="BBKHN" localSheetId="7">[3]特殊値増!$AO$2:$AP$55</definedName>
    <definedName name="BBKHN">[3]特殊値増!$AO$2:$AP$55</definedName>
    <definedName name="bearing">#REF!</definedName>
    <definedName name="BLDEVICE">#REF!</definedName>
    <definedName name="BNSUS">#REF!</definedName>
    <definedName name="BRAKE">#REF!</definedName>
    <definedName name="BRAKE2">#REF!</definedName>
    <definedName name="BRG">#REF!</definedName>
    <definedName name="brgearth">#REF!</definedName>
    <definedName name="BRGINS">#REF!</definedName>
    <definedName name="brgtyp" localSheetId="7">[4]Bearings!$A$3</definedName>
    <definedName name="brgtyp">[4]Bearings!$A$3</definedName>
    <definedName name="BRGTYPE">#REF!</definedName>
    <definedName name="BRGTYPEIN">#REF!</definedName>
    <definedName name="BRGTYPEIN2">#REF!</definedName>
    <definedName name="BRTDUMU">#REF!</definedName>
    <definedName name="BTH">#REF!</definedName>
    <definedName name="BYPASS">#REF!</definedName>
    <definedName name="CABLE">#REF!</definedName>
    <definedName name="CABLE1">#REF!</definedName>
    <definedName name="CABLE2">#REF!</definedName>
    <definedName name="CAGE">#REF!</definedName>
    <definedName name="CCSTDTB" localSheetId="7">'[4]Conduit box'!$K$106</definedName>
    <definedName name="CCSTDTB">'[4]Conduit box'!$K$106</definedName>
    <definedName name="CHARADATA" localSheetId="7">[3]特性DATA!$A$5:$AD$5305</definedName>
    <definedName name="CHARADATA">[3]特性DATA!$A$5:$AD$5305</definedName>
    <definedName name="CIF">#REF!</definedName>
    <definedName name="cndbox">#REF!</definedName>
    <definedName name="COLOR">#REF!</definedName>
    <definedName name="COMP">#REF!</definedName>
    <definedName name="CONDUIT">#REF!</definedName>
    <definedName name="CONDUIT1">#REF!</definedName>
    <definedName name="CONDUIT2">#REF!</definedName>
    <definedName name="COOLERTUBE">#REF!</definedName>
    <definedName name="cooltb">#REF!</definedName>
    <definedName name="COR">#REF!</definedName>
    <definedName name="CORRANK">#REF!</definedName>
    <definedName name="coupling">#REF!</definedName>
    <definedName name="CP">#REF!</definedName>
    <definedName name="CPL">#REF!</definedName>
    <definedName name="crane">#REF!</definedName>
    <definedName name="csa">#REF!</definedName>
    <definedName name="CU" localSheetId="7">[3]特殊値増!$A$2:$B$55</definedName>
    <definedName name="CU">[3]特殊値増!$A$2:$B$55</definedName>
    <definedName name="cubar">#REF!</definedName>
    <definedName name="DAISU">#REF!</definedName>
    <definedName name="DATAOL" localSheetId="7">[6]図面特性DATA!$A$5:$BJ$4805</definedName>
    <definedName name="DATAOL">[6]図面特性DATA!$A$5:$BJ$4805</definedName>
    <definedName name="DESIGN">#REF!</definedName>
    <definedName name="DEVCLA" localSheetId="7">[3]DVCL!$C$4:$K$140</definedName>
    <definedName name="DEVCLA">[3]DVCL!$C$4:$K$140</definedName>
    <definedName name="DGENG">#REF!</definedName>
    <definedName name="DGJPN">#REF!</definedName>
    <definedName name="DP">#REF!</definedName>
    <definedName name="DPBV">#REF!</definedName>
    <definedName name="DPSV">#REF!</definedName>
    <definedName name="drain">#REF!</definedName>
    <definedName name="EBINS">#REF!</definedName>
    <definedName name="Ebond">#REF!</definedName>
    <definedName name="EFFSPEC">#REF!</definedName>
    <definedName name="encls">#REF!</definedName>
    <definedName name="END">#REF!</definedName>
    <definedName name="ENDKAKOU">#REF!</definedName>
    <definedName name="ENDNEJI">#REF!</definedName>
    <definedName name="endshld">#REF!</definedName>
    <definedName name="EXP">#REF!</definedName>
    <definedName name="EXPAREA">#REF!</definedName>
    <definedName name="EXPBASIC" localSheetId="7">[3]基本構造変換!$J$3:$K$35</definedName>
    <definedName name="EXPBASIC">[3]基本構造変換!$J$3:$K$35</definedName>
    <definedName name="expbox">#REF!</definedName>
    <definedName name="EXPFRAME" localSheetId="7">[3]防爆出力及業種!$S$2:$T$393</definedName>
    <definedName name="EXPFRAME">[3]防爆出力及業種!$S$2:$T$393</definedName>
    <definedName name="EXPSTD">#REF!</definedName>
    <definedName name="EXTFAN" localSheetId="7">[3]基本構造変換!$O$3:$P$22</definedName>
    <definedName name="EXTFAN">[3]基本構造変換!$O$3:$P$22</definedName>
    <definedName name="FILENAME">#REF!</definedName>
    <definedName name="FMF">#REF!</definedName>
    <definedName name="FRAME">#REF!</definedName>
    <definedName name="freq">#REF!</definedName>
    <definedName name="FREQST">#REF!</definedName>
    <definedName name="FREQST1">#REF!</definedName>
    <definedName name="FREQST2">#REF!</definedName>
    <definedName name="GD2WK2">#REF!</definedName>
    <definedName name="GISUPPLY">#REF!</definedName>
    <definedName name="gndprv">#REF!</definedName>
    <definedName name="GROIL">#REF!</definedName>
    <definedName name="grsfit">#REF!</definedName>
    <definedName name="grsfitting">#REF!</definedName>
    <definedName name="GYOMU1">#REF!</definedName>
    <definedName name="GYOMU2">#REF!</definedName>
    <definedName name="GYOUSYU">#REF!</definedName>
    <definedName name="GYOUSYU1" localSheetId="7">[3]防爆出力及業種!$B$13:$C$24</definedName>
    <definedName name="GYOUSYU1">[3]防爆出力及業種!$B$13:$C$24</definedName>
    <definedName name="GYOUSYU2" localSheetId="7">[3]防爆出力及業種!$B$26:$C$43</definedName>
    <definedName name="GYOUSYU2">[3]防爆出力及業種!$B$26:$C$43</definedName>
    <definedName name="hardwr">#REF!</definedName>
    <definedName name="HCOR" localSheetId="7">[3]特殊値増!$G$2:$H$55</definedName>
    <definedName name="HCOR">[3]特殊値増!$G$2:$H$55</definedName>
    <definedName name="HEADER">#REF!</definedName>
    <definedName name="HHOSEI" localSheetId="7">[3]特性DATA!$BU$3:$BV$170</definedName>
    <definedName name="HHOSEI">[3]特性DATA!$BU$3:$BV$170</definedName>
    <definedName name="HHOSEI1" localSheetId="7">[3]特性DATA!$BX$3:$BY$100</definedName>
    <definedName name="HHOSEI1">[3]特性DATA!$BX$3:$BY$100</definedName>
    <definedName name="HOGO">#REF!</definedName>
    <definedName name="HONTAI" localSheetId="7">[3]本体価格TM21!$G$2:$O$6648</definedName>
    <definedName name="HONTAI">[3]本体価格TM21!$G$2:$O$6648</definedName>
    <definedName name="HYOKO">#REF!</definedName>
    <definedName name="HZ">#REF!</definedName>
    <definedName name="IC">#REF!</definedName>
    <definedName name="IM">#REF!</definedName>
    <definedName name="IMBV">#REF!</definedName>
    <definedName name="IMCODE">#REF!</definedName>
    <definedName name="IMHENKAN">#REF!</definedName>
    <definedName name="INS">#REF!</definedName>
    <definedName name="INVACT">#REF!</definedName>
    <definedName name="INVKISYU">#REF!</definedName>
    <definedName name="INVTYPE" localSheetId="7">[5]INPUT!$CA$117:$CA$121</definedName>
    <definedName name="INVTYPE">[5]INPUT!$CA$117:$CA$121</definedName>
    <definedName name="INVUMU">#REF!</definedName>
    <definedName name="IP">#REF!</definedName>
    <definedName name="IST">#REF!</definedName>
    <definedName name="JACK">#REF!</definedName>
    <definedName name="JOB">#REF!</definedName>
    <definedName name="JPENG" localSheetId="7">[3]JPENG!$A$2:$B$522</definedName>
    <definedName name="JPENG">[3]JPENG!$A$2:$B$522</definedName>
    <definedName name="JPENG0" localSheetId="7">[3]JPENG!$A$2:$A$522</definedName>
    <definedName name="JPENG0">[3]JPENG!$A$2:$A$522</definedName>
    <definedName name="KADAI">#REF!</definedName>
    <definedName name="KAITEN">#REF!</definedName>
    <definedName name="KETUGO">#REF!</definedName>
    <definedName name="KH">#REF!</definedName>
    <definedName name="KYUYU">#REF!</definedName>
    <definedName name="LANG">#REF!</definedName>
    <definedName name="LN">#REF!</definedName>
    <definedName name="LNOISE" localSheetId="7">[3]特殊値増!$O$2:$AH$55</definedName>
    <definedName name="LNOISE">[3]特殊値増!$O$2:$AH$55</definedName>
    <definedName name="LOAD" localSheetId="7">[7]LB!#REF!</definedName>
    <definedName name="LOAD">[7]LB!#REF!</definedName>
    <definedName name="LOADCURVE">#REF!</definedName>
    <definedName name="LOADFS">#REF!</definedName>
    <definedName name="LOCA">#REF!</definedName>
    <definedName name="LTMAX" localSheetId="7">[5]INPUT!$CA$111:$CA$114</definedName>
    <definedName name="LTMAX">[5]INPUT!$CA$111:$CA$114</definedName>
    <definedName name="LTPTN" localSheetId="7">[5]INPUT!$CA$106:$CA$108</definedName>
    <definedName name="LTPTN">[5]INPUT!$CA$106:$CA$108</definedName>
    <definedName name="LUB">#REF!</definedName>
    <definedName name="LUBBRGTYPE">#REF!</definedName>
    <definedName name="LUBOIL" localSheetId="7">[3]標準軸受!$D$2:$G$278</definedName>
    <definedName name="LUBOIL">[3]標準軸受!$D$2:$G$278</definedName>
    <definedName name="LUBTYPE">#REF!</definedName>
    <definedName name="LUBTYPE1">#REF!</definedName>
    <definedName name="LVMTB2801" localSheetId="7">'[4]Conduit box'!$K$1</definedName>
    <definedName name="LVMTB2801">'[4]Conduit box'!$K$1</definedName>
    <definedName name="LVTB2802" localSheetId="7">'[4]Conduit box'!#REF!</definedName>
    <definedName name="LVTB2802">'[4]Conduit box'!#REF!</definedName>
    <definedName name="MAINBOX">#REF!</definedName>
    <definedName name="MAINBOX1">#REF!</definedName>
    <definedName name="MAINBOX2">#REF!</definedName>
    <definedName name="MAKUATU">#REF!</definedName>
    <definedName name="MAXT">#REF!</definedName>
    <definedName name="MFTYPE" localSheetId="7">[7]LB!#REF!</definedName>
    <definedName name="MFTYPE">[7]LB!#REF!</definedName>
    <definedName name="MIERPM" localSheetId="7">[3]特性DATA!$BO$3:$BP$18</definedName>
    <definedName name="MIERPM">[3]特性DATA!$BO$3:$BP$18</definedName>
    <definedName name="MINT">#REF!</definedName>
    <definedName name="MOTORTYPE" localSheetId="7">[3]基本構造変換!$C$3:$F$110</definedName>
    <definedName name="MOTORTYPE">[3]基本構造変換!$C$3:$F$110</definedName>
    <definedName name="MPOLE" localSheetId="7">[3]特殊値増!$J$2:$K$55</definedName>
    <definedName name="MPOLE">[3]特殊値増!$J$2:$K$55</definedName>
    <definedName name="MPOLE2" localSheetId="7">[3]特殊値増!$L$2:$M$16</definedName>
    <definedName name="MPOLE2">[3]特殊値増!$L$2:$M$16</definedName>
    <definedName name="MUKESAKI">#REF!</definedName>
    <definedName name="NEJI">#REF!</definedName>
    <definedName name="NEJI2">#REF!</definedName>
    <definedName name="NOISE">#REF!</definedName>
    <definedName name="NOISEAT">#REF!</definedName>
    <definedName name="NOISEDGENG">#REF!</definedName>
    <definedName name="NOISEDGJPN">#REF!</definedName>
    <definedName name="npsp">#REF!</definedName>
    <definedName name="NS">#REF!</definedName>
    <definedName name="OIL">#REF!</definedName>
    <definedName name="OLDATA" localSheetId="7">[3]外形図DATA!$A$5:$AQ$2310</definedName>
    <definedName name="OLDATA">[3]外形図DATA!$A$5:$AQ$2310</definedName>
    <definedName name="ONDO" localSheetId="7">[3]温度!$F$3:$G$227</definedName>
    <definedName name="ONDO">[3]温度!$F$3:$G$227</definedName>
    <definedName name="OPEXPL" localSheetId="7">[3]防爆出力及業種!$A$8:$K$10</definedName>
    <definedName name="OPEXPL">[3]防爆出力及業種!$A$8:$K$10</definedName>
    <definedName name="OPEXPM" localSheetId="7">[3]防爆出力及業種!$A$2:$K$4</definedName>
    <definedName name="OPEXPM">[3]防爆出力及業種!$A$2:$K$4</definedName>
    <definedName name="OPTION" localSheetId="7">[3]OPTION!$A$3:$AW$444</definedName>
    <definedName name="OPTION">[3]OPTION!$A$3:$AW$444</definedName>
    <definedName name="OTHERACC">#REF!</definedName>
    <definedName name="ovld">#REF!</definedName>
    <definedName name="PCUMU">#REF!</definedName>
    <definedName name="PFSPEC">#REF!</definedName>
    <definedName name="PHOTO">#REF!</definedName>
    <definedName name="PO">#REF!</definedName>
    <definedName name="POLE">#REF!</definedName>
    <definedName name="_xlnm.Print_Area" localSheetId="1">'Data Sheet'!$A$1:$K$46</definedName>
    <definedName name="_xlnm.Print_Area" localSheetId="0">DesignSheet!$A$1:$J$68</definedName>
    <definedName name="_xlnm.Print_Area" localSheetId="3">Form!$A$1:$F$39</definedName>
    <definedName name="_xlnm.Print_Area" localSheetId="2">LoginSheet!$A$1:$N$79</definedName>
    <definedName name="_xlnm.Print_Area" localSheetId="7">'MPCF-1202 SOUND'!$A$1:$O$64</definedName>
    <definedName name="_xlnm.Print_Area" localSheetId="5">StallTime!$A$1:$G$40</definedName>
    <definedName name="_xlnm.Print_Area" localSheetId="4">STCurve!$A$1:$F$43</definedName>
    <definedName name="_xlnm.Print_Area" localSheetId="6">Thermdam!$A$1:$F$43</definedName>
    <definedName name="Print_Area_MI" localSheetId="7">'MPCF-1202 SOUND'!$A$11:$N$75</definedName>
    <definedName name="PURGEPRO" localSheetId="7">#REF!</definedName>
    <definedName name="PURGEPRO">#REF!</definedName>
    <definedName name="QUOTEHOJO" localSheetId="7">[3]見積補助!$A$2:$B$26</definedName>
    <definedName name="QUOTEHOJO">[3]見積補助!$A$2:$B$26</definedName>
    <definedName name="RADIAL" localSheetId="7">[3]許容ベルト荷重!$E$4:$F$303</definedName>
    <definedName name="RADIAL">[3]許容ベルト荷重!$E$4:$F$303</definedName>
    <definedName name="RADPOINT" localSheetId="7">#REF!</definedName>
    <definedName name="RADPOINT">#REF!</definedName>
    <definedName name="RAT" localSheetId="7">#REF!</definedName>
    <definedName name="RAT">#REF!</definedName>
    <definedName name="RCK" localSheetId="7">[7]本体価格!#REF!</definedName>
    <definedName name="RCK">[7]本体価格!#REF!</definedName>
    <definedName name="REVERCE" localSheetId="7">#REF!</definedName>
    <definedName name="REVERCE">#REF!</definedName>
    <definedName name="RIIS" localSheetId="7">#REF!</definedName>
    <definedName name="RIIS">#REF!</definedName>
    <definedName name="RMRTD1" localSheetId="7">#REF!</definedName>
    <definedName name="RMRTD1">#REF!</definedName>
    <definedName name="RMRTD2">#REF!</definedName>
    <definedName name="ROTBAR">#REF!</definedName>
    <definedName name="ROTRING" localSheetId="7">[8]LBﾊﾟﾗﾒｰﾀ!#REF!</definedName>
    <definedName name="ROTRING">[8]LBﾊﾟﾗﾒｰﾀ!#REF!</definedName>
    <definedName name="RP" localSheetId="7">[3]特殊値増!$AX$2:$AY$55</definedName>
    <definedName name="RP">[3]特殊値増!$AX$2:$AY$55</definedName>
    <definedName name="SAIREN" localSheetId="7">[3]特殊値増!$AI$2:$AJ$19</definedName>
    <definedName name="SAIREN">[3]特殊値増!$AI$2:$AJ$19</definedName>
    <definedName name="SC" localSheetId="7">[3]特殊値増!$BA$2:$BB$55</definedName>
    <definedName name="SC">[3]特殊値増!$BA$2:$BB$55</definedName>
    <definedName name="SCOR3" localSheetId="7">[3]特殊値増!$D$2:$E$55</definedName>
    <definedName name="SCOR3">[3]特殊値増!$D$2:$E$55</definedName>
    <definedName name="SEKKEI" localSheetId="7">[3]特殊値増!$BD$2:$BE$10</definedName>
    <definedName name="SEKKEI">[3]特殊値増!$BD$2:$BE$10</definedName>
    <definedName name="SF">#REF!</definedName>
    <definedName name="SFRISE" localSheetId="7">[5]INPUT!$CA$101:$CA$103</definedName>
    <definedName name="SFRISE">[5]INPUT!$CA$101:$CA$103</definedName>
    <definedName name="SFT" localSheetId="7">[9]LBﾊﾟﾗﾒｰﾀ!$AC$2:$AC$6</definedName>
    <definedName name="SFT">[9]LBﾊﾟﾗﾒｰﾀ!$AC$2:$AC$6</definedName>
    <definedName name="SFTEND" localSheetId="7">#REF!</definedName>
    <definedName name="SFTEND">#REF!</definedName>
    <definedName name="sftext" localSheetId="7">#REF!</definedName>
    <definedName name="sftext">#REF!</definedName>
    <definedName name="SFTKAKOU" localSheetId="7">#REF!</definedName>
    <definedName name="SFTKAKOU">#REF!</definedName>
    <definedName name="sftsl">#REF!</definedName>
    <definedName name="SH">#REF!</definedName>
    <definedName name="shcfc">#REF!</definedName>
    <definedName name="shftgnd">#REF!</definedName>
    <definedName name="shftmod">#REF!</definedName>
    <definedName name="SHIM">#REF!</definedName>
    <definedName name="SHODAN">#REF!</definedName>
    <definedName name="SHTBMF" localSheetId="7">'[4]Conduit box'!$K$159</definedName>
    <definedName name="SHTBMF">'[4]Conduit box'!$K$159</definedName>
    <definedName name="SITEIUMU">#REF!</definedName>
    <definedName name="SLVSIZE" localSheetId="7">[3]標準軸受!$M$2:$O$980</definedName>
    <definedName name="SLVSIZE">[3]標準軸受!$M$2:$O$980</definedName>
    <definedName name="SONOTA">#REF!</definedName>
    <definedName name="SOUON" localSheetId="7">[3]騒音構造付!$F$2:$AF$2522</definedName>
    <definedName name="SOUON">[3]騒音構造付!$F$2:$AF$2522</definedName>
    <definedName name="SP" localSheetId="7">[3]特殊値増!$AU$2:$AV$55</definedName>
    <definedName name="SP">[3]特殊値増!$AU$2:$AV$55</definedName>
    <definedName name="SPBV">#REF!</definedName>
    <definedName name="SPETEST">#REF!</definedName>
    <definedName name="splsw">#REF!</definedName>
    <definedName name="SPPAINT">#REF!</definedName>
    <definedName name="SPSV">#REF!</definedName>
    <definedName name="SSKHN" localSheetId="7">[3]特殊値増!$AL$2:$AM$55</definedName>
    <definedName name="SSKHN">[3]特殊値増!$AL$2:$AM$55</definedName>
    <definedName name="START">#REF!</definedName>
    <definedName name="STD">#REF!</definedName>
    <definedName name="Std_spec">#REF!</definedName>
    <definedName name="STDBR" localSheetId="7">[10]標準軸受!$D$2:$F$511</definedName>
    <definedName name="STDBR">[10]標準軸受!$D$2:$F$511</definedName>
    <definedName name="stdbrg" localSheetId="7">#REF!</definedName>
    <definedName name="stdbrg">#REF!</definedName>
    <definedName name="stdbrgtype" localSheetId="7">#REF!</definedName>
    <definedName name="stdbrgtype">#REF!</definedName>
    <definedName name="stdnp" localSheetId="7">[4]Appendix!$A$4</definedName>
    <definedName name="stdnp">[4]Appendix!$A$4</definedName>
    <definedName name="SUNSHADE" localSheetId="7">#REF!</definedName>
    <definedName name="SUNSHADE">#REF!</definedName>
    <definedName name="SUNSHADE2" localSheetId="7">#REF!</definedName>
    <definedName name="SUNSHADE2">#REF!</definedName>
    <definedName name="SUPPLY" localSheetId="7">#REF!</definedName>
    <definedName name="SUPPLY">#REF!</definedName>
    <definedName name="tach">#REF!</definedName>
    <definedName name="TACHCOST" localSheetId="7">[7]値増!$Z$3:$AB$10</definedName>
    <definedName name="TACHCOST">[7]値増!$Z$3:$AB$10</definedName>
    <definedName name="TAISIN" localSheetId="7">#REF!</definedName>
    <definedName name="TAISIN">#REF!</definedName>
    <definedName name="TAISIN1" localSheetId="7">#REF!</definedName>
    <definedName name="TAISIN1">#REF!</definedName>
    <definedName name="TAISIN2" localSheetId="7">#REF!</definedName>
    <definedName name="TAISIN2">#REF!</definedName>
    <definedName name="TAP">#REF!</definedName>
    <definedName name="TAPINV">#REF!</definedName>
    <definedName name="tbbd">#REF!</definedName>
    <definedName name="TBFM3K" localSheetId="7">'[4]Conduit box'!$K$27</definedName>
    <definedName name="TBFM3K">'[4]Conduit box'!$K$27</definedName>
    <definedName name="TBFM6K" localSheetId="7">'[4]Conduit box'!$K$53</definedName>
    <definedName name="TBFM6K">'[4]Conduit box'!$K$53</definedName>
    <definedName name="TBOX">#REF!</definedName>
    <definedName name="TEAAC">#REF!</definedName>
    <definedName name="TEAACBV">#REF!</definedName>
    <definedName name="TEAO">#REF!</definedName>
    <definedName name="TEFC">#REF!</definedName>
    <definedName name="TEMP">#REF!</definedName>
    <definedName name="temprise">#REF!</definedName>
    <definedName name="TENV">#REF!</definedName>
    <definedName name="TEST">#REF!</definedName>
    <definedName name="testing">#REF!</definedName>
    <definedName name="TESTMETHOD">#REF!</definedName>
    <definedName name="TESV">#REF!</definedName>
    <definedName name="TEWAC">#REF!</definedName>
    <definedName name="TEWACBV">#REF!</definedName>
    <definedName name="TH103550M" localSheetId="7">[3]許容ｽﾗｽﾄ!$F$38:$J$42</definedName>
    <definedName name="TH103550M">[3]許容ｽﾗｽﾄ!$F$38:$J$42</definedName>
    <definedName name="TH103550N" localSheetId="7">[3]許容ｽﾗｽﾄ!$E$38:$J$42</definedName>
    <definedName name="TH103550N">[3]許容ｽﾗｽﾄ!$E$38:$J$42</definedName>
    <definedName name="TH103560M" localSheetId="7">[3]許容ｽﾗｽﾄ!$F$43:$J$47</definedName>
    <definedName name="TH103560M">[3]許容ｽﾗｽﾄ!$F$43:$J$47</definedName>
    <definedName name="TH103560N" localSheetId="7">[3]許容ｽﾗｽﾄ!$E$43:$J$47</definedName>
    <definedName name="TH103560N">[3]許容ｽﾗｽﾄ!$E$43:$J$47</definedName>
    <definedName name="TH104050M" localSheetId="7">[3]許容ｽﾗｽﾄ!$F$78:$J$82</definedName>
    <definedName name="TH104050M">[3]許容ｽﾗｽﾄ!$F$78:$J$82</definedName>
    <definedName name="TH104050N" localSheetId="7">[3]許容ｽﾗｽﾄ!$E$78:$J$82</definedName>
    <definedName name="TH104050N">[3]許容ｽﾗｽﾄ!$E$78:$J$82</definedName>
    <definedName name="TH104060M" localSheetId="7">[3]許容ｽﾗｽﾄ!$F$83:$J$87</definedName>
    <definedName name="TH104060M">[3]許容ｽﾗｽﾄ!$F$83:$J$87</definedName>
    <definedName name="TH104060N" localSheetId="7">[3]許容ｽﾗｽﾄ!$E$83:$J$87</definedName>
    <definedName name="TH104060N">[3]許容ｽﾗｽﾄ!$E$83:$J$87</definedName>
    <definedName name="TH104550M" localSheetId="7">[3]許容ｽﾗｽﾄ!$F$122:$J$128</definedName>
    <definedName name="TH104550M">[3]許容ｽﾗｽﾄ!$F$122:$J$128</definedName>
    <definedName name="TH104550N" localSheetId="7">[3]許容ｽﾗｽﾄ!$E$122:$J$128</definedName>
    <definedName name="TH104550N">[3]許容ｽﾗｽﾄ!$E$122:$J$128</definedName>
    <definedName name="TH104560M" localSheetId="7">[3]許容ｽﾗｽﾄ!$F$129:$J$135</definedName>
    <definedName name="TH104560M">[3]許容ｽﾗｽﾄ!$F$129:$J$135</definedName>
    <definedName name="TH104560N" localSheetId="7">[3]許容ｽﾗｽﾄ!$E$129:$J$135</definedName>
    <definedName name="TH104560N">[3]許容ｽﾗｽﾄ!$E$129:$J$135</definedName>
    <definedName name="TH1050L50" localSheetId="7">[3]許容ｽﾗｽﾄ!$H$236:$J$247</definedName>
    <definedName name="TH1050L50">[3]許容ｽﾗｽﾄ!$H$236:$J$247</definedName>
    <definedName name="TH1050L50M" localSheetId="7">[3]許容ｽﾗｽﾄ!$F$236:$J$241</definedName>
    <definedName name="TH1050L50M">[3]許容ｽﾗｽﾄ!$F$236:$J$241</definedName>
    <definedName name="TH1050L50N" localSheetId="7">[3]許容ｽﾗｽﾄ!$E$236:$J$241</definedName>
    <definedName name="TH1050L50N">[3]許容ｽﾗｽﾄ!$E$236:$J$241</definedName>
    <definedName name="TH1050L60M" localSheetId="7">[3]許容ｽﾗｽﾄ!$F$242:$J$247</definedName>
    <definedName name="TH1050L60M">[3]許容ｽﾗｽﾄ!$F$242:$J$247</definedName>
    <definedName name="TH1050L60N" localSheetId="7">[3]許容ｽﾗｽﾄ!$E$242:$J$247</definedName>
    <definedName name="TH1050L60N">[3]許容ｽﾗｽﾄ!$E$242:$J$247</definedName>
    <definedName name="TH1050M" localSheetId="7">[3]許容ｽﾗｽﾄ!$H$147:$J$158</definedName>
    <definedName name="TH1050M">[3]許容ｽﾗｽﾄ!$H$147:$J$158</definedName>
    <definedName name="TH1050M50M" localSheetId="7">[3]許容ｽﾗｽﾄ!$F$147:$J$152</definedName>
    <definedName name="TH1050M50M">[3]許容ｽﾗｽﾄ!$F$147:$J$152</definedName>
    <definedName name="TH1050M50N" localSheetId="7">[3]許容ｽﾗｽﾄ!$E$147:$J$152</definedName>
    <definedName name="TH1050M50N">[3]許容ｽﾗｽﾄ!$E$147:$J$152</definedName>
    <definedName name="TH1050M60M" localSheetId="7">[3]許容ｽﾗｽﾄ!$F$153:$J$158</definedName>
    <definedName name="TH1050M60M">[3]許容ｽﾗｽﾄ!$F$153:$J$158</definedName>
    <definedName name="TH1050M60N" localSheetId="7">[3]許容ｽﾗｽﾄ!$E$153:$J$158</definedName>
    <definedName name="TH1050M60N">[3]許容ｽﾗｽﾄ!$E$153:$J$158</definedName>
    <definedName name="TH1056L" localSheetId="7">[3]許容ｽﾗｽﾄ!$H$439:$J$450</definedName>
    <definedName name="TH1056L">[3]許容ｽﾗｽﾄ!$H$439:$J$450</definedName>
    <definedName name="TH1056L50M" localSheetId="7">[3]許容ｽﾗｽﾄ!$F$439:$J$444</definedName>
    <definedName name="TH1056L50M">[3]許容ｽﾗｽﾄ!$F$439:$J$444</definedName>
    <definedName name="TH1056L50N" localSheetId="7">[3]許容ｽﾗｽﾄ!$E$439:$J$444</definedName>
    <definedName name="TH1056L50N">[3]許容ｽﾗｽﾄ!$E$439:$J$444</definedName>
    <definedName name="TH1056L60M" localSheetId="7">[3]許容ｽﾗｽﾄ!$F$445:$J$450</definedName>
    <definedName name="TH1056L60M">[3]許容ｽﾗｽﾄ!$F$445:$J$450</definedName>
    <definedName name="TH1056L60N" localSheetId="7">[3]許容ｽﾗｽﾄ!$E$445:$J$450</definedName>
    <definedName name="TH1056L60N">[3]許容ｽﾗｽﾄ!$E$445:$J$450</definedName>
    <definedName name="TH1056M" localSheetId="7">[3]許容ｽﾗｽﾄ!$H$325:$J$336</definedName>
    <definedName name="TH1056M">[3]許容ｽﾗｽﾄ!$H$325:$J$336</definedName>
    <definedName name="TH1056M50M" localSheetId="7">[3]許容ｽﾗｽﾄ!$F$325:$J$330</definedName>
    <definedName name="TH1056M50M">[3]許容ｽﾗｽﾄ!$F$325:$J$330</definedName>
    <definedName name="TH1056M50N" localSheetId="7">[3]許容ｽﾗｽﾄ!$E$325:$J$330</definedName>
    <definedName name="TH1056M50N">[3]許容ｽﾗｽﾄ!$E$325:$J$330</definedName>
    <definedName name="TH1056M60M" localSheetId="7">[3]許容ｽﾗｽﾄ!$F$331:$J$336</definedName>
    <definedName name="TH1056M60M">[3]許容ｽﾗｽﾄ!$F$331:$J$336</definedName>
    <definedName name="TH1056M60N" localSheetId="7">[3]許容ｽﾗｽﾄ!$E$331:$J$336</definedName>
    <definedName name="TH1056M60N">[3]許容ｽﾗｽﾄ!$E$331:$J$336</definedName>
    <definedName name="TH1063L" localSheetId="7">[3]許容ｽﾗｽﾄ!$H$667:$J$678</definedName>
    <definedName name="TH1063L">[3]許容ｽﾗｽﾄ!$H$667:$J$678</definedName>
    <definedName name="TH1063L50M" localSheetId="7">[3]許容ｽﾗｽﾄ!$F$667:$J$672</definedName>
    <definedName name="TH1063L50M">[3]許容ｽﾗｽﾄ!$F$667:$J$672</definedName>
    <definedName name="TH1063L50N" localSheetId="7">[3]許容ｽﾗｽﾄ!$E$667:$J$672</definedName>
    <definedName name="TH1063L50N">[3]許容ｽﾗｽﾄ!$E$667:$J$672</definedName>
    <definedName name="TH1063L60M" localSheetId="7">[3]許容ｽﾗｽﾄ!$F$673:$J$678</definedName>
    <definedName name="TH1063L60M">[3]許容ｽﾗｽﾄ!$F$673:$J$678</definedName>
    <definedName name="TH1063L60N" localSheetId="7">[3]許容ｽﾗｽﾄ!$E$673:$J$678</definedName>
    <definedName name="TH1063L60N">[3]許容ｽﾗｽﾄ!$E$673:$J$678</definedName>
    <definedName name="TH1063M" localSheetId="7">[3]許容ｽﾗｽﾄ!$H$553:$J$564</definedName>
    <definedName name="TH1063M">[3]許容ｽﾗｽﾄ!$H$553:$J$564</definedName>
    <definedName name="TH1063M50M" localSheetId="7">[3]許容ｽﾗｽﾄ!$F$553:$J$558</definedName>
    <definedName name="TH1063M50M">[3]許容ｽﾗｽﾄ!$F$553:$J$558</definedName>
    <definedName name="TH1063M50N" localSheetId="7">[3]許容ｽﾗｽﾄ!$E$553:$J$558</definedName>
    <definedName name="TH1063M50N">[3]許容ｽﾗｽﾄ!$E$553:$J$558</definedName>
    <definedName name="TH1063M60M" localSheetId="7">[3]許容ｽﾗｽﾄ!$F$559:$J$564</definedName>
    <definedName name="TH1063M60M">[3]許容ｽﾗｽﾄ!$F$559:$J$564</definedName>
    <definedName name="TH1063M60N" localSheetId="7">[3]許容ｽﾗｽﾄ!$E$559:$J$564</definedName>
    <definedName name="TH1063M60N">[3]許容ｽﾗｽﾄ!$E$559:$J$564</definedName>
    <definedName name="TH1250L50" localSheetId="7">[3]許容ｽﾗｽﾄ!$H$248:$J$260</definedName>
    <definedName name="TH1250L50">[3]許容ｽﾗｽﾄ!$H$248:$J$260</definedName>
    <definedName name="TH1250L50M" localSheetId="7">[3]許容ｽﾗｽﾄ!$F$248:$J$254</definedName>
    <definedName name="TH1250L50M">[3]許容ｽﾗｽﾄ!$F$248:$J$254</definedName>
    <definedName name="TH1250L50N" localSheetId="7">[3]許容ｽﾗｽﾄ!$E$248:$J$254</definedName>
    <definedName name="TH1250L50N">[3]許容ｽﾗｽﾄ!$E$248:$J$254</definedName>
    <definedName name="TH1250L60M" localSheetId="7">[3]許容ｽﾗｽﾄ!$F$255:$J$260</definedName>
    <definedName name="TH1250L60M">[3]許容ｽﾗｽﾄ!$F$255:$J$260</definedName>
    <definedName name="TH1250L60N" localSheetId="7">[3]許容ｽﾗｽﾄ!$E$255:$J$260</definedName>
    <definedName name="TH1250L60N">[3]許容ｽﾗｽﾄ!$E$255:$J$260</definedName>
    <definedName name="TH1250M" localSheetId="7">[3]許容ｽﾗｽﾄ!$H$159:$J$171</definedName>
    <definedName name="TH1250M">[3]許容ｽﾗｽﾄ!$H$159:$J$171</definedName>
    <definedName name="TH1250M50M" localSheetId="7">[3]許容ｽﾗｽﾄ!$F$159:$J$165</definedName>
    <definedName name="TH1250M50M">[3]許容ｽﾗｽﾄ!$F$159:$J$165</definedName>
    <definedName name="TH1250M50N" localSheetId="7">[3]許容ｽﾗｽﾄ!$E$159:$J$165</definedName>
    <definedName name="TH1250M50N">[3]許容ｽﾗｽﾄ!$E$159:$J$165</definedName>
    <definedName name="TH1250M60M" localSheetId="7">[3]許容ｽﾗｽﾄ!$F$166:$J$171</definedName>
    <definedName name="TH1250M60M">[3]許容ｽﾗｽﾄ!$F$166:$J$171</definedName>
    <definedName name="TH1250M60N" localSheetId="7">[3]許容ｽﾗｽﾄ!$E$166:$J$171</definedName>
    <definedName name="TH1250M60N">[3]許容ｽﾗｽﾄ!$E$166:$J$171</definedName>
    <definedName name="TH1256L" localSheetId="7">[3]許容ｽﾗｽﾄ!$H$451:$J$463</definedName>
    <definedName name="TH1256L">[3]許容ｽﾗｽﾄ!$H$451:$J$463</definedName>
    <definedName name="TH1256L50M" localSheetId="7">[3]許容ｽﾗｽﾄ!$F$451:$J$457</definedName>
    <definedName name="TH1256L50M">[3]許容ｽﾗｽﾄ!$F$451:$J$457</definedName>
    <definedName name="TH1256L50N" localSheetId="7">[3]許容ｽﾗｽﾄ!$E$451:$J$457</definedName>
    <definedName name="TH1256L50N">[3]許容ｽﾗｽﾄ!$E$451:$J$457</definedName>
    <definedName name="TH1256L60M" localSheetId="7">[3]許容ｽﾗｽﾄ!$F$458:$J$463</definedName>
    <definedName name="TH1256L60M">[3]許容ｽﾗｽﾄ!$F$458:$J$463</definedName>
    <definedName name="TH1256L60N" localSheetId="7">[3]許容ｽﾗｽﾄ!$E$458:$J$463</definedName>
    <definedName name="TH1256L60N">[3]許容ｽﾗｽﾄ!$E$458:$J$463</definedName>
    <definedName name="TH1256M" localSheetId="7">[3]許容ｽﾗｽﾄ!$H$337:$J$349</definedName>
    <definedName name="TH1256M">[3]許容ｽﾗｽﾄ!$H$337:$J$349</definedName>
    <definedName name="TH1256M50M" localSheetId="7">[3]許容ｽﾗｽﾄ!$F$337:$J$343</definedName>
    <definedName name="TH1256M50M">[3]許容ｽﾗｽﾄ!$F$337:$J$343</definedName>
    <definedName name="TH1256M50N" localSheetId="7">[3]許容ｽﾗｽﾄ!$E$337:$J$343</definedName>
    <definedName name="TH1256M50N">[3]許容ｽﾗｽﾄ!$E$337:$J$343</definedName>
    <definedName name="TH1256M60M" localSheetId="7">[3]許容ｽﾗｽﾄ!$F$344:$J$349</definedName>
    <definedName name="TH1256M60M">[3]許容ｽﾗｽﾄ!$F$344:$J$349</definedName>
    <definedName name="TH1256M60N" localSheetId="7">[3]許容ｽﾗｽﾄ!$E$344:$J$349</definedName>
    <definedName name="TH1256M60N">[3]許容ｽﾗｽﾄ!$E$344:$J$349</definedName>
    <definedName name="TH1263L" localSheetId="7">[3]許容ｽﾗｽﾄ!$H$679:$J$691</definedName>
    <definedName name="TH1263L">[3]許容ｽﾗｽﾄ!$H$679:$J$691</definedName>
    <definedName name="TH1263L50M" localSheetId="7">[3]許容ｽﾗｽﾄ!$F$679:$J$685</definedName>
    <definedName name="TH1263L50M">[3]許容ｽﾗｽﾄ!$F$679:$J$685</definedName>
    <definedName name="TH1263L50N" localSheetId="7">[3]許容ｽﾗｽﾄ!$E$679:$J$685</definedName>
    <definedName name="TH1263L50N">[3]許容ｽﾗｽﾄ!$E$679:$J$685</definedName>
    <definedName name="TH1263L60M" localSheetId="7">[3]許容ｽﾗｽﾄ!$F$686:$J$691</definedName>
    <definedName name="TH1263L60M">[3]許容ｽﾗｽﾄ!$F$686:$J$691</definedName>
    <definedName name="TH1263L60N" localSheetId="7">[3]許容ｽﾗｽﾄ!$E$686:$J$691</definedName>
    <definedName name="TH1263L60N">[3]許容ｽﾗｽﾄ!$E$686:$J$691</definedName>
    <definedName name="TH1263M" localSheetId="7">[3]許容ｽﾗｽﾄ!$H$565:$J$577</definedName>
    <definedName name="TH1263M">[3]許容ｽﾗｽﾄ!$H$565:$J$577</definedName>
    <definedName name="TH1263M50M" localSheetId="7">[3]許容ｽﾗｽﾄ!$F$565:$J$571</definedName>
    <definedName name="TH1263M50M">[3]許容ｽﾗｽﾄ!$F$565:$J$571</definedName>
    <definedName name="TH1263M50N" localSheetId="7">[3]許容ｽﾗｽﾄ!$E$565:$J$571</definedName>
    <definedName name="TH1263M50N">[3]許容ｽﾗｽﾄ!$E$565:$J$571</definedName>
    <definedName name="TH1263M60M" localSheetId="7">[3]許容ｽﾗｽﾄ!$F$572:$J$577</definedName>
    <definedName name="TH1263M60M">[3]許容ｽﾗｽﾄ!$F$572:$J$577</definedName>
    <definedName name="TH1263M60N" localSheetId="7">[3]許容ｽﾗｽﾄ!$E$572:$J$577</definedName>
    <definedName name="TH1263M60N">[3]許容ｽﾗｽﾄ!$E$572:$J$577</definedName>
    <definedName name="TH1450L50" localSheetId="7">[3]許容ｽﾗｽﾄ!$H$261:$J$274</definedName>
    <definedName name="TH1450L50">[3]許容ｽﾗｽﾄ!$H$261:$J$274</definedName>
    <definedName name="TH1450L50M" localSheetId="7">[3]許容ｽﾗｽﾄ!$F$261:$J$267</definedName>
    <definedName name="TH1450L50M">[3]許容ｽﾗｽﾄ!$F$261:$J$267</definedName>
    <definedName name="TH1450L50N" localSheetId="7">[3]許容ｽﾗｽﾄ!$E$261:$J$267</definedName>
    <definedName name="TH1450L50N">[3]許容ｽﾗｽﾄ!$E$261:$J$267</definedName>
    <definedName name="TH1450L60M" localSheetId="7">[3]許容ｽﾗｽﾄ!$F$268:$J$274</definedName>
    <definedName name="TH1450L60M">[3]許容ｽﾗｽﾄ!$F$268:$J$274</definedName>
    <definedName name="TH1450L60N" localSheetId="7">[3]許容ｽﾗｽﾄ!$E$268:$J$274</definedName>
    <definedName name="TH1450L60N">[3]許容ｽﾗｽﾄ!$E$268:$J$274</definedName>
    <definedName name="TH1450M" localSheetId="7">[3]許容ｽﾗｽﾄ!$H$172:$J$185</definedName>
    <definedName name="TH1450M">[3]許容ｽﾗｽﾄ!$H$172:$J$185</definedName>
    <definedName name="TH1450M50M" localSheetId="7">[3]許容ｽﾗｽﾄ!$F$172:$J$178</definedName>
    <definedName name="TH1450M50M">[3]許容ｽﾗｽﾄ!$F$172:$J$178</definedName>
    <definedName name="TH1450M50N" localSheetId="7">[3]許容ｽﾗｽﾄ!$E$172:$J$178</definedName>
    <definedName name="TH1450M50N">[3]許容ｽﾗｽﾄ!$E$172:$J$178</definedName>
    <definedName name="TH1450M60M" localSheetId="7">[3]許容ｽﾗｽﾄ!$F$179:$J$185</definedName>
    <definedName name="TH1450M60M">[3]許容ｽﾗｽﾄ!$F$179:$J$185</definedName>
    <definedName name="TH1450M60N" localSheetId="7">[3]許容ｽﾗｽﾄ!$E$179:$J$185</definedName>
    <definedName name="TH1450M60N">[3]許容ｽﾗｽﾄ!$E$179:$J$185</definedName>
    <definedName name="TH1456L" localSheetId="7">[3]許容ｽﾗｽﾄ!$H$464:$J$477</definedName>
    <definedName name="TH1456L">[3]許容ｽﾗｽﾄ!$H$464:$J$477</definedName>
    <definedName name="TH1456L50M" localSheetId="7">[3]許容ｽﾗｽﾄ!$F$464:$J$470</definedName>
    <definedName name="TH1456L50M">[3]許容ｽﾗｽﾄ!$F$464:$J$470</definedName>
    <definedName name="TH1456L50N" localSheetId="7">[3]許容ｽﾗｽﾄ!$E$464:$J$470</definedName>
    <definedName name="TH1456L50N">[3]許容ｽﾗｽﾄ!$E$464:$J$470</definedName>
    <definedName name="TH1456L60M" localSheetId="7">[3]許容ｽﾗｽﾄ!$F$471:$J$477</definedName>
    <definedName name="TH1456L60M">[3]許容ｽﾗｽﾄ!$F$471:$J$477</definedName>
    <definedName name="TH1456L60N" localSheetId="7">[3]許容ｽﾗｽﾄ!$E$471:$J$477</definedName>
    <definedName name="TH1456L60N">[3]許容ｽﾗｽﾄ!$E$471:$J$477</definedName>
    <definedName name="TH1456M" localSheetId="7">[3]許容ｽﾗｽﾄ!$H$350:$J$363</definedName>
    <definedName name="TH1456M">[3]許容ｽﾗｽﾄ!$H$350:$J$363</definedName>
    <definedName name="TH1456M50M" localSheetId="7">[3]許容ｽﾗｽﾄ!$F$350:$J$356</definedName>
    <definedName name="TH1456M50M">[3]許容ｽﾗｽﾄ!$F$350:$J$356</definedName>
    <definedName name="TH1456M50N" localSheetId="7">[3]許容ｽﾗｽﾄ!$E$350:$J$356</definedName>
    <definedName name="TH1456M50N">[3]許容ｽﾗｽﾄ!$E$350:$J$356</definedName>
    <definedName name="TH1456M60M" localSheetId="7">[3]許容ｽﾗｽﾄ!$F$357:$J$363</definedName>
    <definedName name="TH1456M60M">[3]許容ｽﾗｽﾄ!$F$357:$J$363</definedName>
    <definedName name="TH1456M60N" localSheetId="7">[3]許容ｽﾗｽﾄ!$E$357:$J$363</definedName>
    <definedName name="TH1456M60N">[3]許容ｽﾗｽﾄ!$E$357:$J$363</definedName>
    <definedName name="TH1463L" localSheetId="7">[3]許容ｽﾗｽﾄ!$H$692:$J$705</definedName>
    <definedName name="TH1463L">[3]許容ｽﾗｽﾄ!$H$692:$J$705</definedName>
    <definedName name="TH1463L50M" localSheetId="7">[3]許容ｽﾗｽﾄ!$F$692:$J$698</definedName>
    <definedName name="TH1463L50M">[3]許容ｽﾗｽﾄ!$F$692:$J$698</definedName>
    <definedName name="TH1463L50N" localSheetId="7">[3]許容ｽﾗｽﾄ!$E$692:$J$698</definedName>
    <definedName name="TH1463L50N">[3]許容ｽﾗｽﾄ!$E$692:$J$698</definedName>
    <definedName name="TH1463L60M" localSheetId="7">[3]許容ｽﾗｽﾄ!$F$699:$J$705</definedName>
    <definedName name="TH1463L60M">[3]許容ｽﾗｽﾄ!$F$699:$J$705</definedName>
    <definedName name="TH1463L60N" localSheetId="7">[3]許容ｽﾗｽﾄ!$E$699:$J$705</definedName>
    <definedName name="TH1463L60N">[3]許容ｽﾗｽﾄ!$E$699:$J$705</definedName>
    <definedName name="TH1463M" localSheetId="7">[3]許容ｽﾗｽﾄ!$H$578:$J$591</definedName>
    <definedName name="TH1463M">[3]許容ｽﾗｽﾄ!$H$578:$J$591</definedName>
    <definedName name="TH1463M50M" localSheetId="7">[3]許容ｽﾗｽﾄ!$F$578:$J$584</definedName>
    <definedName name="TH1463M50M">[3]許容ｽﾗｽﾄ!$F$578:$J$584</definedName>
    <definedName name="TH1463M50N" localSheetId="7">[3]許容ｽﾗｽﾄ!$E$578:$J$584</definedName>
    <definedName name="TH1463M50N">[3]許容ｽﾗｽﾄ!$E$578:$J$584</definedName>
    <definedName name="TH1463M60M" localSheetId="7">[3]許容ｽﾗｽﾄ!$F$585:$J$591</definedName>
    <definedName name="TH1463M60M">[3]許容ｽﾗｽﾄ!$F$585:$J$591</definedName>
    <definedName name="TH1463M60N" localSheetId="7">[3]許容ｽﾗｽﾄ!$E$585:$J$591</definedName>
    <definedName name="TH1463M60N">[3]許容ｽﾗｽﾄ!$E$585:$J$591</definedName>
    <definedName name="TH1650L50" localSheetId="7">[3]許容ｽﾗｽﾄ!$H$275:$J$287</definedName>
    <definedName name="TH1650L50">[3]許容ｽﾗｽﾄ!$H$275:$J$287</definedName>
    <definedName name="TH1650L50M" localSheetId="7">[3]許容ｽﾗｽﾄ!$F$275:$J$280</definedName>
    <definedName name="TH1650L50M">[3]許容ｽﾗｽﾄ!$F$275:$J$280</definedName>
    <definedName name="TH1650L50N" localSheetId="7">[3]許容ｽﾗｽﾄ!$E$275:$J$280</definedName>
    <definedName name="TH1650L50N">[3]許容ｽﾗｽﾄ!$E$275:$J$280</definedName>
    <definedName name="TH1650L60M" localSheetId="7">[3]許容ｽﾗｽﾄ!$F$281:$J$287</definedName>
    <definedName name="TH1650L60M">[3]許容ｽﾗｽﾄ!$F$281:$J$287</definedName>
    <definedName name="TH1650L60N" localSheetId="7">[3]許容ｽﾗｽﾄ!$E$281:$J$287</definedName>
    <definedName name="TH1650L60N">[3]許容ｽﾗｽﾄ!$E$281:$J$287</definedName>
    <definedName name="TH1650M" localSheetId="7">[3]許容ｽﾗｽﾄ!$H$186:$J$198</definedName>
    <definedName name="TH1650M">[3]許容ｽﾗｽﾄ!$H$186:$J$198</definedName>
    <definedName name="TH1650M50M" localSheetId="7">[3]許容ｽﾗｽﾄ!$F$186:$J$191</definedName>
    <definedName name="TH1650M50M">[3]許容ｽﾗｽﾄ!$F$186:$J$191</definedName>
    <definedName name="TH1650M50N" localSheetId="7">[3]許容ｽﾗｽﾄ!$E$186:$J$191</definedName>
    <definedName name="TH1650M50N">[3]許容ｽﾗｽﾄ!$E$186:$J$191</definedName>
    <definedName name="TH1650M60M" localSheetId="7">[3]許容ｽﾗｽﾄ!$F$192:$J$198</definedName>
    <definedName name="TH1650M60M">[3]許容ｽﾗｽﾄ!$F$192:$J$198</definedName>
    <definedName name="TH1650M60N" localSheetId="7">[3]許容ｽﾗｽﾄ!$E$192:$J$198</definedName>
    <definedName name="TH1650M60N">[3]許容ｽﾗｽﾄ!$E$192:$J$198</definedName>
    <definedName name="TH1656L" localSheetId="7">[3]許容ｽﾗｽﾄ!$H$478:$J$490</definedName>
    <definedName name="TH1656L">[3]許容ｽﾗｽﾄ!$H$478:$J$490</definedName>
    <definedName name="TH1656L50M" localSheetId="7">[3]許容ｽﾗｽﾄ!$F$478:$J$483</definedName>
    <definedName name="TH1656L50M">[3]許容ｽﾗｽﾄ!$F$478:$J$483</definedName>
    <definedName name="TH1656L50N" localSheetId="7">[3]許容ｽﾗｽﾄ!$E$478:$J$483</definedName>
    <definedName name="TH1656L50N">[3]許容ｽﾗｽﾄ!$E$478:$J$483</definedName>
    <definedName name="TH1656L60M" localSheetId="7">[3]許容ｽﾗｽﾄ!$F$484:$J$490</definedName>
    <definedName name="TH1656L60M">[3]許容ｽﾗｽﾄ!$F$484:$J$490</definedName>
    <definedName name="TH1656L60N" localSheetId="7">[3]許容ｽﾗｽﾄ!$E$484:$J$490</definedName>
    <definedName name="TH1656L60N">[3]許容ｽﾗｽﾄ!$E$484:$J$490</definedName>
    <definedName name="TH1656M" localSheetId="7">[3]許容ｽﾗｽﾄ!$H$364:$J$376</definedName>
    <definedName name="TH1656M">[3]許容ｽﾗｽﾄ!$H$364:$J$376</definedName>
    <definedName name="TH1656M50M" localSheetId="7">[3]許容ｽﾗｽﾄ!$F$364:$J$369</definedName>
    <definedName name="TH1656M50M">[3]許容ｽﾗｽﾄ!$F$364:$J$369</definedName>
    <definedName name="TH1656M50N" localSheetId="7">[3]許容ｽﾗｽﾄ!$E$364:$J$369</definedName>
    <definedName name="TH1656M50N">[3]許容ｽﾗｽﾄ!$E$364:$J$369</definedName>
    <definedName name="TH1656M60M" localSheetId="7">[3]許容ｽﾗｽﾄ!$F$370:$J$376</definedName>
    <definedName name="TH1656M60M">[3]許容ｽﾗｽﾄ!$F$370:$J$376</definedName>
    <definedName name="TH1656M60N" localSheetId="7">[3]許容ｽﾗｽﾄ!$E$370:$J$376</definedName>
    <definedName name="TH1656M60N">[3]許容ｽﾗｽﾄ!$E$370:$J$376</definedName>
    <definedName name="TH1663L" localSheetId="7">[3]許容ｽﾗｽﾄ!$H$706:$J$718</definedName>
    <definedName name="TH1663L">[3]許容ｽﾗｽﾄ!$H$706:$J$718</definedName>
    <definedName name="TH1663L50M" localSheetId="7">[3]許容ｽﾗｽﾄ!$F$706:$J$711</definedName>
    <definedName name="TH1663L50M">[3]許容ｽﾗｽﾄ!$F$706:$J$711</definedName>
    <definedName name="TH1663L50N" localSheetId="7">[3]許容ｽﾗｽﾄ!$E$706:$J$711</definedName>
    <definedName name="TH1663L50N">[3]許容ｽﾗｽﾄ!$E$706:$J$711</definedName>
    <definedName name="TH1663L60M" localSheetId="7">[3]許容ｽﾗｽﾄ!$F$712:$J$718</definedName>
    <definedName name="TH1663L60M">[3]許容ｽﾗｽﾄ!$F$712:$J$718</definedName>
    <definedName name="TH1663L60N" localSheetId="7">[3]許容ｽﾗｽﾄ!$E$712:$J$718</definedName>
    <definedName name="TH1663L60N">[3]許容ｽﾗｽﾄ!$E$712:$J$718</definedName>
    <definedName name="TH1663M" localSheetId="7">[3]許容ｽﾗｽﾄ!$H$592:$J$604</definedName>
    <definedName name="TH1663M">[3]許容ｽﾗｽﾄ!$H$592:$J$604</definedName>
    <definedName name="TH1663M50M" localSheetId="7">[3]許容ｽﾗｽﾄ!$F$592:$J$597</definedName>
    <definedName name="TH1663M50M">[3]許容ｽﾗｽﾄ!$F$592:$J$597</definedName>
    <definedName name="TH1663M50N" localSheetId="7">[3]許容ｽﾗｽﾄ!$E$592:$J$597</definedName>
    <definedName name="TH1663M50N">[3]許容ｽﾗｽﾄ!$E$592:$J$597</definedName>
    <definedName name="TH1663M60M" localSheetId="7">[3]許容ｽﾗｽﾄ!$F$598:$J$604</definedName>
    <definedName name="TH1663M60M">[3]許容ｽﾗｽﾄ!$F$598:$J$604</definedName>
    <definedName name="TH1663M60N" localSheetId="7">[3]許容ｽﾗｽﾄ!$E$598:$J$604</definedName>
    <definedName name="TH1663M60N">[3]許容ｽﾗｽﾄ!$E$598:$J$604</definedName>
    <definedName name="TH1850L50" localSheetId="7">[3]許容ｽﾗｽﾄ!$H$288:$J$300</definedName>
    <definedName name="TH1850L50">[3]許容ｽﾗｽﾄ!$H$288:$J$300</definedName>
    <definedName name="TH1850L50M" localSheetId="7">[3]許容ｽﾗｽﾄ!$F$288:$J$293</definedName>
    <definedName name="TH1850L50M">[3]許容ｽﾗｽﾄ!$F$288:$J$293</definedName>
    <definedName name="TH1850L50N" localSheetId="7">[3]許容ｽﾗｽﾄ!$E$288:$J$293</definedName>
    <definedName name="TH1850L50N">[3]許容ｽﾗｽﾄ!$E$288:$J$293</definedName>
    <definedName name="TH1850L60M" localSheetId="7">[3]許容ｽﾗｽﾄ!$F$294:$J$300</definedName>
    <definedName name="TH1850L60M">[3]許容ｽﾗｽﾄ!$F$294:$J$300</definedName>
    <definedName name="TH1850L60N" localSheetId="7">[3]許容ｽﾗｽﾄ!$E$294:$J$300</definedName>
    <definedName name="TH1850L60N">[3]許容ｽﾗｽﾄ!$E$294:$J$300</definedName>
    <definedName name="TH1850M" localSheetId="7">[3]許容ｽﾗｽﾄ!$H$199:$J$211</definedName>
    <definedName name="TH1850M">[3]許容ｽﾗｽﾄ!$H$199:$J$211</definedName>
    <definedName name="TH1850M50M" localSheetId="7">[3]許容ｽﾗｽﾄ!$F$199:$J$204</definedName>
    <definedName name="TH1850M50M">[3]許容ｽﾗｽﾄ!$F$199:$J$204</definedName>
    <definedName name="TH1850M50N" localSheetId="7">[3]許容ｽﾗｽﾄ!$E$199:$J$204</definedName>
    <definedName name="TH1850M50N">[3]許容ｽﾗｽﾄ!$E$199:$J$204</definedName>
    <definedName name="TH1850M60M" localSheetId="7">[3]許容ｽﾗｽﾄ!$F$205:$J$211</definedName>
    <definedName name="TH1850M60M">[3]許容ｽﾗｽﾄ!$F$205:$J$211</definedName>
    <definedName name="TH1850M60N" localSheetId="7">[3]許容ｽﾗｽﾄ!$E$205:$J$211</definedName>
    <definedName name="TH1850M60N">[3]許容ｽﾗｽﾄ!$E$205:$J$211</definedName>
    <definedName name="TH1856L" localSheetId="7">[3]許容ｽﾗｽﾄ!$H$491:$J$503</definedName>
    <definedName name="TH1856L">[3]許容ｽﾗｽﾄ!$H$491:$J$503</definedName>
    <definedName name="TH1856L50M" localSheetId="7">[3]許容ｽﾗｽﾄ!$F$491:$J$496</definedName>
    <definedName name="TH1856L50M">[3]許容ｽﾗｽﾄ!$F$491:$J$496</definedName>
    <definedName name="TH1856L50N" localSheetId="7">[3]許容ｽﾗｽﾄ!$E$491:$J$496</definedName>
    <definedName name="TH1856L50N">[3]許容ｽﾗｽﾄ!$E$491:$J$496</definedName>
    <definedName name="TH1856L60M" localSheetId="7">[3]許容ｽﾗｽﾄ!$F$497:$J$503</definedName>
    <definedName name="TH1856L60M">[3]許容ｽﾗｽﾄ!$F$497:$J$503</definedName>
    <definedName name="TH1856L60N" localSheetId="7">[3]許容ｽﾗｽﾄ!$E$497:$J$503</definedName>
    <definedName name="TH1856L60N">[3]許容ｽﾗｽﾄ!$E$497:$J$503</definedName>
    <definedName name="TH1856M" localSheetId="7">[3]許容ｽﾗｽﾄ!$H$377:$J$389</definedName>
    <definedName name="TH1856M">[3]許容ｽﾗｽﾄ!$H$377:$J$389</definedName>
    <definedName name="TH1856M50M" localSheetId="7">[3]許容ｽﾗｽﾄ!$F$377:$J$382</definedName>
    <definedName name="TH1856M50M">[3]許容ｽﾗｽﾄ!$F$377:$J$382</definedName>
    <definedName name="TH1856M50N" localSheetId="7">[3]許容ｽﾗｽﾄ!$E$377:$J$382</definedName>
    <definedName name="TH1856M50N">[3]許容ｽﾗｽﾄ!$E$377:$J$382</definedName>
    <definedName name="TH1856M60M" localSheetId="7">[3]許容ｽﾗｽﾄ!$F$383:$J$389</definedName>
    <definedName name="TH1856M60M">[3]許容ｽﾗｽﾄ!$F$383:$J$389</definedName>
    <definedName name="TH1856M60N" localSheetId="7">[3]許容ｽﾗｽﾄ!$E$383:$J$389</definedName>
    <definedName name="TH1856M60N">[3]許容ｽﾗｽﾄ!$E$383:$J$389</definedName>
    <definedName name="TH1863L" localSheetId="7">[3]許容ｽﾗｽﾄ!$H$719:$J$731</definedName>
    <definedName name="TH1863L">[3]許容ｽﾗｽﾄ!$H$719:$J$731</definedName>
    <definedName name="TH1863L50M" localSheetId="7">[3]許容ｽﾗｽﾄ!$F$719:$J$724</definedName>
    <definedName name="TH1863L50M">[3]許容ｽﾗｽﾄ!$F$719:$J$724</definedName>
    <definedName name="TH1863L50N" localSheetId="7">[3]許容ｽﾗｽﾄ!$E$719:$J$724</definedName>
    <definedName name="TH1863L50N">[3]許容ｽﾗｽﾄ!$E$719:$J$724</definedName>
    <definedName name="TH1863L60M" localSheetId="7">[3]許容ｽﾗｽﾄ!$F$725:$J$731</definedName>
    <definedName name="TH1863L60M">[3]許容ｽﾗｽﾄ!$F$725:$J$731</definedName>
    <definedName name="TH1863L60N" localSheetId="7">[3]許容ｽﾗｽﾄ!$E$725:$J$731</definedName>
    <definedName name="TH1863L60N">[3]許容ｽﾗｽﾄ!$E$725:$J$731</definedName>
    <definedName name="TH1863M" localSheetId="7">[3]許容ｽﾗｽﾄ!$H$605:$J$617</definedName>
    <definedName name="TH1863M">[3]許容ｽﾗｽﾄ!$H$605:$J$617</definedName>
    <definedName name="TH1863M50M" localSheetId="7">[3]許容ｽﾗｽﾄ!$F$605:$J$610</definedName>
    <definedName name="TH1863M50M">[3]許容ｽﾗｽﾄ!$F$605:$J$610</definedName>
    <definedName name="TH1863M50N" localSheetId="7">[3]許容ｽﾗｽﾄ!$E$605:$J$610</definedName>
    <definedName name="TH1863M50N">[3]許容ｽﾗｽﾄ!$E$605:$J$610</definedName>
    <definedName name="TH1863M60M" localSheetId="7">[3]許容ｽﾗｽﾄ!$F$611:$J$617</definedName>
    <definedName name="TH1863M60M">[3]許容ｽﾗｽﾄ!$F$611:$J$617</definedName>
    <definedName name="TH1863M60N" localSheetId="7">[3]許容ｽﾗｽﾄ!$E$611:$J$617</definedName>
    <definedName name="TH1863M60N">[3]許容ｽﾗｽﾄ!$E$611:$J$617</definedName>
    <definedName name="TH2050L50" localSheetId="7">[3]許容ｽﾗｽﾄ!$H$301:$J$313</definedName>
    <definedName name="TH2050L50">[3]許容ｽﾗｽﾄ!$H$301:$J$313</definedName>
    <definedName name="TH2050L50M" localSheetId="7">[3]許容ｽﾗｽﾄ!$F$301:$J$306</definedName>
    <definedName name="TH2050L50M">[3]許容ｽﾗｽﾄ!$F$301:$J$306</definedName>
    <definedName name="TH2050L50N" localSheetId="7">[3]許容ｽﾗｽﾄ!$E$301:$J$306</definedName>
    <definedName name="TH2050L50N">[3]許容ｽﾗｽﾄ!$E$301:$J$306</definedName>
    <definedName name="TH2050L60M" localSheetId="7">[3]許容ｽﾗｽﾄ!$F$307:$J$313</definedName>
    <definedName name="TH2050L60M">[3]許容ｽﾗｽﾄ!$F$307:$J$313</definedName>
    <definedName name="TH2050L60N" localSheetId="7">[3]許容ｽﾗｽﾄ!$E$307:$J$313</definedName>
    <definedName name="TH2050L60N">[3]許容ｽﾗｽﾄ!$E$307:$J$313</definedName>
    <definedName name="TH2050M" localSheetId="7">[3]許容ｽﾗｽﾄ!$H$212:$J$224</definedName>
    <definedName name="TH2050M">[3]許容ｽﾗｽﾄ!$H$212:$J$224</definedName>
    <definedName name="TH2050M50M" localSheetId="7">[3]許容ｽﾗｽﾄ!$F$212:$J$217</definedName>
    <definedName name="TH2050M50M">[3]許容ｽﾗｽﾄ!$F$212:$J$217</definedName>
    <definedName name="TH2050M50N" localSheetId="7">[3]許容ｽﾗｽﾄ!$E$212:$J$217</definedName>
    <definedName name="TH2050M50N">[3]許容ｽﾗｽﾄ!$E$212:$J$217</definedName>
    <definedName name="TH2050M60M" localSheetId="7">[3]許容ｽﾗｽﾄ!$F$218:$J$224</definedName>
    <definedName name="TH2050M60M">[3]許容ｽﾗｽﾄ!$F$218:$J$224</definedName>
    <definedName name="TH2050M60N" localSheetId="7">[3]許容ｽﾗｽﾄ!$E$218:$J$224</definedName>
    <definedName name="TH2050M60N">[3]許容ｽﾗｽﾄ!$E$218:$J$224</definedName>
    <definedName name="TH2056L" localSheetId="7">[3]許容ｽﾗｽﾄ!$H$504:$J$516</definedName>
    <definedName name="TH2056L">[3]許容ｽﾗｽﾄ!$H$504:$J$516</definedName>
    <definedName name="TH2056L50M" localSheetId="7">[3]許容ｽﾗｽﾄ!$F$504:$J$509</definedName>
    <definedName name="TH2056L50M">[3]許容ｽﾗｽﾄ!$F$504:$J$509</definedName>
    <definedName name="TH2056L50N" localSheetId="7">[3]許容ｽﾗｽﾄ!$E$504:$J$509</definedName>
    <definedName name="TH2056L50N">[3]許容ｽﾗｽﾄ!$E$504:$J$509</definedName>
    <definedName name="TH2056L60M" localSheetId="7">[3]許容ｽﾗｽﾄ!$F$510:$J$516</definedName>
    <definedName name="TH2056L60M">[3]許容ｽﾗｽﾄ!$F$510:$J$516</definedName>
    <definedName name="TH2056L60N" localSheetId="7">[3]許容ｽﾗｽﾄ!$E$510:$J$516</definedName>
    <definedName name="TH2056L60N">[3]許容ｽﾗｽﾄ!$E$510:$J$516</definedName>
    <definedName name="TH2056M" localSheetId="7">[3]許容ｽﾗｽﾄ!$H$390:$J$402</definedName>
    <definedName name="TH2056M">[3]許容ｽﾗｽﾄ!$H$390:$J$402</definedName>
    <definedName name="TH2056M50M" localSheetId="7">[3]許容ｽﾗｽﾄ!$F$390:$J$395</definedName>
    <definedName name="TH2056M50M">[3]許容ｽﾗｽﾄ!$F$390:$J$395</definedName>
    <definedName name="TH2056M50N" localSheetId="7">[3]許容ｽﾗｽﾄ!$E$390:$J$395</definedName>
    <definedName name="TH2056M50N">[3]許容ｽﾗｽﾄ!$E$390:$J$395</definedName>
    <definedName name="TH2056M60M" localSheetId="7">[3]許容ｽﾗｽﾄ!$F$396:$J$402</definedName>
    <definedName name="TH2056M60M">[3]許容ｽﾗｽﾄ!$F$396:$J$402</definedName>
    <definedName name="TH2056M60N" localSheetId="7">[3]許容ｽﾗｽﾄ!$E$396:$J$402</definedName>
    <definedName name="TH2056M60N">[3]許容ｽﾗｽﾄ!$E$396:$J$402</definedName>
    <definedName name="TH2063L" localSheetId="7">[3]許容ｽﾗｽﾄ!$H$732:$J$744</definedName>
    <definedName name="TH2063L">[3]許容ｽﾗｽﾄ!$H$732:$J$744</definedName>
    <definedName name="TH2063L50M" localSheetId="7">[3]許容ｽﾗｽﾄ!$F$732:$J$737</definedName>
    <definedName name="TH2063L50M">[3]許容ｽﾗｽﾄ!$F$732:$J$737</definedName>
    <definedName name="TH2063L50N" localSheetId="7">[3]許容ｽﾗｽﾄ!$E$732:$J$737</definedName>
    <definedName name="TH2063L50N">[3]許容ｽﾗｽﾄ!$E$732:$J$737</definedName>
    <definedName name="TH2063L60M" localSheetId="7">[3]許容ｽﾗｽﾄ!$F$738:$J$744</definedName>
    <definedName name="TH2063L60M">[3]許容ｽﾗｽﾄ!$F$738:$J$744</definedName>
    <definedName name="TH2063L60N" localSheetId="7">[3]許容ｽﾗｽﾄ!$E$738:$J$744</definedName>
    <definedName name="TH2063L60N">[3]許容ｽﾗｽﾄ!$E$738:$J$744</definedName>
    <definedName name="TH2063M" localSheetId="7">[3]許容ｽﾗｽﾄ!$H$618:$J$630</definedName>
    <definedName name="TH2063M">[3]許容ｽﾗｽﾄ!$H$618:$J$630</definedName>
    <definedName name="TH2063M50M" localSheetId="7">[3]許容ｽﾗｽﾄ!$F$618:$J$623</definedName>
    <definedName name="TH2063M50M">[3]許容ｽﾗｽﾄ!$F$618:$J$623</definedName>
    <definedName name="TH2063M50N" localSheetId="7">[3]許容ｽﾗｽﾄ!$E$618:$J$623</definedName>
    <definedName name="TH2063M50N">[3]許容ｽﾗｽﾄ!$E$618:$J$623</definedName>
    <definedName name="TH2063M60M" localSheetId="7">[3]許容ｽﾗｽﾄ!$F$624:$J$630</definedName>
    <definedName name="TH2063M60M">[3]許容ｽﾗｽﾄ!$F$624:$J$630</definedName>
    <definedName name="TH2063M60N" localSheetId="7">[3]許容ｽﾗｽﾄ!$E$624:$J$630</definedName>
    <definedName name="TH2063M60N">[3]許容ｽﾗｽﾄ!$E$624:$J$630</definedName>
    <definedName name="TH2256L" localSheetId="7">[3]許容ｽﾗｽﾄ!$H$517:$J$529</definedName>
    <definedName name="TH2256L">[3]許容ｽﾗｽﾄ!$H$517:$J$529</definedName>
    <definedName name="TH2256L50M" localSheetId="7">[3]許容ｽﾗｽﾄ!$F$517:$J$522</definedName>
    <definedName name="TH2256L50M">[3]許容ｽﾗｽﾄ!$F$517:$J$522</definedName>
    <definedName name="TH2256L50N" localSheetId="7">[3]許容ｽﾗｽﾄ!$E$517:$J$522</definedName>
    <definedName name="TH2256L50N">[3]許容ｽﾗｽﾄ!$E$517:$J$522</definedName>
    <definedName name="TH2256L60M" localSheetId="7">[3]許容ｽﾗｽﾄ!$F$523:$J$529</definedName>
    <definedName name="TH2256L60M">[3]許容ｽﾗｽﾄ!$F$523:$J$529</definedName>
    <definedName name="TH2256L60N" localSheetId="7">[3]許容ｽﾗｽﾄ!$E$523:$J$529</definedName>
    <definedName name="TH2256L60N">[3]許容ｽﾗｽﾄ!$E$523:$J$529</definedName>
    <definedName name="TH2256M" localSheetId="7">[3]許容ｽﾗｽﾄ!$H$403:$J$415</definedName>
    <definedName name="TH2256M">[3]許容ｽﾗｽﾄ!$H$403:$J$415</definedName>
    <definedName name="TH2256M50M" localSheetId="7">[3]許容ｽﾗｽﾄ!$F$403:$J$408</definedName>
    <definedName name="TH2256M50M">[3]許容ｽﾗｽﾄ!$F$403:$J$408</definedName>
    <definedName name="TH2256M50N" localSheetId="7">[3]許容ｽﾗｽﾄ!$E$403:$J$408</definedName>
    <definedName name="TH2256M50N">[3]許容ｽﾗｽﾄ!$E$403:$J$408</definedName>
    <definedName name="TH2256M60M" localSheetId="7">[3]許容ｽﾗｽﾄ!$F$409:$J$415</definedName>
    <definedName name="TH2256M60M">[3]許容ｽﾗｽﾄ!$F$409:$J$415</definedName>
    <definedName name="TH2256M60N" localSheetId="7">[3]許容ｽﾗｽﾄ!$E$409:$J$415</definedName>
    <definedName name="TH2256M60N">[3]許容ｽﾗｽﾄ!$E$409:$J$415</definedName>
    <definedName name="TH2263L" localSheetId="7">[3]許容ｽﾗｽﾄ!$H$745:$J$757</definedName>
    <definedName name="TH2263L">[3]許容ｽﾗｽﾄ!$H$745:$J$757</definedName>
    <definedName name="TH2263L50M" localSheetId="7">[3]許容ｽﾗｽﾄ!$F$745:$J$750</definedName>
    <definedName name="TH2263L50M">[3]許容ｽﾗｽﾄ!$F$745:$J$750</definedName>
    <definedName name="TH2263L50N" localSheetId="7">[3]許容ｽﾗｽﾄ!$E$745:$J$750</definedName>
    <definedName name="TH2263L50N">[3]許容ｽﾗｽﾄ!$E$745:$J$750</definedName>
    <definedName name="TH2263L60M" localSheetId="7">[3]許容ｽﾗｽﾄ!$F$751:$J$757</definedName>
    <definedName name="TH2263L60M">[3]許容ｽﾗｽﾄ!$F$751:$J$757</definedName>
    <definedName name="TH2263L60N" localSheetId="7">[3]許容ｽﾗｽﾄ!$E$751:$J$757</definedName>
    <definedName name="TH2263L60N">[3]許容ｽﾗｽﾄ!$E$751:$J$757</definedName>
    <definedName name="TH2263M" localSheetId="7">[3]許容ｽﾗｽﾄ!$H$631:$J$643</definedName>
    <definedName name="TH2263M">[3]許容ｽﾗｽﾄ!$H$631:$J$643</definedName>
    <definedName name="TH2263M50M" localSheetId="7">[3]許容ｽﾗｽﾄ!$F$631:$J$636</definedName>
    <definedName name="TH2263M50M">[3]許容ｽﾗｽﾄ!$F$631:$J$636</definedName>
    <definedName name="TH2263M50N" localSheetId="7">[3]許容ｽﾗｽﾄ!$E$631:$J$636</definedName>
    <definedName name="TH2263M50N">[3]許容ｽﾗｽﾄ!$E$631:$J$636</definedName>
    <definedName name="TH2263M60M" localSheetId="7">[3]許容ｽﾗｽﾄ!$F$637:$J$643</definedName>
    <definedName name="TH2263M60M">[3]許容ｽﾗｽﾄ!$F$637:$J$643</definedName>
    <definedName name="TH2263M60N" localSheetId="7">[3]許容ｽﾗｽﾄ!$E$637:$J$643</definedName>
    <definedName name="TH2263M60N">[3]許容ｽﾗｽﾄ!$E$637:$J$643</definedName>
    <definedName name="TH2456L" localSheetId="7">[3]許容ｽﾗｽﾄ!$H$530:$J$541</definedName>
    <definedName name="TH2456L">[3]許容ｽﾗｽﾄ!$H$530:$J$541</definedName>
    <definedName name="TH2456L50M" localSheetId="7">[3]許容ｽﾗｽﾄ!$F$530:$J$535</definedName>
    <definedName name="TH2456L50M">[3]許容ｽﾗｽﾄ!$F$530:$J$535</definedName>
    <definedName name="TH2456L50N" localSheetId="7">[3]許容ｽﾗｽﾄ!$E$530:$J$535</definedName>
    <definedName name="TH2456L50N">[3]許容ｽﾗｽﾄ!$E$530:$J$535</definedName>
    <definedName name="TH2456L60M" localSheetId="7">[3]許容ｽﾗｽﾄ!$F$536:$J$541</definedName>
    <definedName name="TH2456L60M">[3]許容ｽﾗｽﾄ!$F$536:$J$541</definedName>
    <definedName name="TH2456L60N" localSheetId="7">[3]許容ｽﾗｽﾄ!$E$536:$J$541</definedName>
    <definedName name="TH2456L60N">[3]許容ｽﾗｽﾄ!$E$536:$J$541</definedName>
    <definedName name="TH2456M" localSheetId="7">[3]許容ｽﾗｽﾄ!$H$416:$J$427</definedName>
    <definedName name="TH2456M">[3]許容ｽﾗｽﾄ!$H$416:$J$427</definedName>
    <definedName name="TH2456M50M" localSheetId="7">[3]許容ｽﾗｽﾄ!$F$416:$J$421</definedName>
    <definedName name="TH2456M50M">[3]許容ｽﾗｽﾄ!$F$416:$J$421</definedName>
    <definedName name="TH2456M50N" localSheetId="7">[3]許容ｽﾗｽﾄ!$E$416:$J$421</definedName>
    <definedName name="TH2456M50N">[3]許容ｽﾗｽﾄ!$E$416:$J$421</definedName>
    <definedName name="TH2456M60M" localSheetId="7">[3]許容ｽﾗｽﾄ!$F$422:$J$427</definedName>
    <definedName name="TH2456M60M">[3]許容ｽﾗｽﾄ!$F$422:$J$427</definedName>
    <definedName name="TH2456M60N" localSheetId="7">[3]許容ｽﾗｽﾄ!$E$422:$J$427</definedName>
    <definedName name="TH2456M60N">[3]許容ｽﾗｽﾄ!$E$422:$J$427</definedName>
    <definedName name="TH2463L" localSheetId="7">[3]許容ｽﾗｽﾄ!$H$758:$J$769</definedName>
    <definedName name="TH2463L">[3]許容ｽﾗｽﾄ!$H$758:$J$769</definedName>
    <definedName name="TH2463L50M" localSheetId="7">[3]許容ｽﾗｽﾄ!$F$758:$J$763</definedName>
    <definedName name="TH2463L50M">[3]許容ｽﾗｽﾄ!$F$758:$J$763</definedName>
    <definedName name="TH2463L50N" localSheetId="7">[3]許容ｽﾗｽﾄ!$E$758:$J$763</definedName>
    <definedName name="TH2463L50N">[3]許容ｽﾗｽﾄ!$E$758:$J$763</definedName>
    <definedName name="TH2463L60M" localSheetId="7">[3]許容ｽﾗｽﾄ!$F$764:$J$769</definedName>
    <definedName name="TH2463L60M">[3]許容ｽﾗｽﾄ!$F$764:$J$769</definedName>
    <definedName name="TH2463L60N" localSheetId="7">[3]許容ｽﾗｽﾄ!$E$764:$J$769</definedName>
    <definedName name="TH2463L60N">[3]許容ｽﾗｽﾄ!$E$764:$J$769</definedName>
    <definedName name="TH2463M" localSheetId="7">[3]許容ｽﾗｽﾄ!$H$644:$J$655</definedName>
    <definedName name="TH2463M">[3]許容ｽﾗｽﾄ!$H$644:$J$655</definedName>
    <definedName name="TH2463M50M" localSheetId="7">[3]許容ｽﾗｽﾄ!$F$644:$J$649</definedName>
    <definedName name="TH2463M50M">[3]許容ｽﾗｽﾄ!$F$644:$J$649</definedName>
    <definedName name="TH2463M50N" localSheetId="7">[3]許容ｽﾗｽﾄ!$E$644:$J$649</definedName>
    <definedName name="TH2463M50N">[3]許容ｽﾗｽﾄ!$E$644:$J$649</definedName>
    <definedName name="TH2463M60M" localSheetId="7">[3]許容ｽﾗｽﾄ!$F$650:$J$655</definedName>
    <definedName name="TH2463M60M">[3]許容ｽﾗｽﾄ!$F$650:$J$655</definedName>
    <definedName name="TH2463M60N" localSheetId="7">[3]許容ｽﾗｽﾄ!$E$650:$J$655</definedName>
    <definedName name="TH2463M60N">[3]許容ｽﾗｽﾄ!$E$650:$J$655</definedName>
    <definedName name="TH43550M" localSheetId="7">[3]許容ｽﾗｽﾄ!$F$8:$J$12</definedName>
    <definedName name="TH43550M">[3]許容ｽﾗｽﾄ!$F$8:$J$12</definedName>
    <definedName name="TH43550N" localSheetId="7">[3]許容ｽﾗｽﾄ!$E$8:$J$12</definedName>
    <definedName name="TH43550N">[3]許容ｽﾗｽﾄ!$E$8:$J$12</definedName>
    <definedName name="TH43560M" localSheetId="7">[3]許容ｽﾗｽﾄ!$F$13:$J$17</definedName>
    <definedName name="TH43560M">[3]許容ｽﾗｽﾄ!$F$13:$J$17</definedName>
    <definedName name="TH43560N" localSheetId="7">[3]許容ｽﾗｽﾄ!$E$13:$J$17</definedName>
    <definedName name="TH43560N">[3]許容ｽﾗｽﾄ!$E$13:$J$17</definedName>
    <definedName name="TH44050M" localSheetId="7">[3]許容ｽﾗｽﾄ!$F$48:$J$52</definedName>
    <definedName name="TH44050M">[3]許容ｽﾗｽﾄ!$F$48:$J$52</definedName>
    <definedName name="TH44050N" localSheetId="7">[3]許容ｽﾗｽﾄ!$E$48:$J$52</definedName>
    <definedName name="TH44050N">[3]許容ｽﾗｽﾄ!$E$48:$J$52</definedName>
    <definedName name="TH44060M" localSheetId="7">[3]許容ｽﾗｽﾄ!$F$53:$J$57</definedName>
    <definedName name="TH44060M">[3]許容ｽﾗｽﾄ!$F$53:$J$57</definedName>
    <definedName name="TH44060N" localSheetId="7">[3]許容ｽﾗｽﾄ!$E$53:$J$57</definedName>
    <definedName name="TH44060N">[3]許容ｽﾗｽﾄ!$E$53:$J$57</definedName>
    <definedName name="TH44550M" localSheetId="7">[3]許容ｽﾗｽﾄ!$F$88:$J$92</definedName>
    <definedName name="TH44550M">[3]許容ｽﾗｽﾄ!$F$88:$J$92</definedName>
    <definedName name="TH44550N" localSheetId="7">[3]許容ｽﾗｽﾄ!$E$88:$J$92</definedName>
    <definedName name="TH44550N">[3]許容ｽﾗｽﾄ!$E$88:$J$92</definedName>
    <definedName name="TH44560M" localSheetId="7">[3]許容ｽﾗｽﾄ!$F$93:$J$97</definedName>
    <definedName name="TH44560M">[3]許容ｽﾗｽﾄ!$F$93:$J$97</definedName>
    <definedName name="TH44560N" localSheetId="7">[3]許容ｽﾗｽﾄ!$E$93:$J$97</definedName>
    <definedName name="TH44560N">[3]許容ｽﾗｽﾄ!$E$93:$J$97</definedName>
    <definedName name="TH63550M" localSheetId="7">[3]許容ｽﾗｽﾄ!$F$18:$J$22</definedName>
    <definedName name="TH63550M">[3]許容ｽﾗｽﾄ!$F$18:$J$22</definedName>
    <definedName name="TH63550N" localSheetId="7">[3]許容ｽﾗｽﾄ!$E$18:$J$22</definedName>
    <definedName name="TH63550N">[3]許容ｽﾗｽﾄ!$E$18:$J$22</definedName>
    <definedName name="TH63560M" localSheetId="7">[3]許容ｽﾗｽﾄ!$F$23:$J$27</definedName>
    <definedName name="TH63560M">[3]許容ｽﾗｽﾄ!$F$23:$J$27</definedName>
    <definedName name="TH63560N" localSheetId="7">[3]許容ｽﾗｽﾄ!$E$23:$J$27</definedName>
    <definedName name="TH63560N">[3]許容ｽﾗｽﾄ!$E$23:$J$27</definedName>
    <definedName name="TH64050M" localSheetId="7">[3]許容ｽﾗｽﾄ!$F$58:$J$62</definedName>
    <definedName name="TH64050M">[3]許容ｽﾗｽﾄ!$F$58:$J$62</definedName>
    <definedName name="TH64050N" localSheetId="7">[3]許容ｽﾗｽﾄ!$E$58:$J$62</definedName>
    <definedName name="TH64050N">[3]許容ｽﾗｽﾄ!$E$58:$J$62</definedName>
    <definedName name="TH64060M" localSheetId="7">[3]許容ｽﾗｽﾄ!$F$63:$J$67</definedName>
    <definedName name="TH64060M">[3]許容ｽﾗｽﾄ!$F$63:$J$67</definedName>
    <definedName name="TH64060N" localSheetId="7">[3]許容ｽﾗｽﾄ!$E$63:$J$67</definedName>
    <definedName name="TH64060N">[3]許容ｽﾗｽﾄ!$E$63:$J$67</definedName>
    <definedName name="TH64550M" localSheetId="7">[3]許容ｽﾗｽﾄ!$F$98:$J$102</definedName>
    <definedName name="TH64550M">[3]許容ｽﾗｽﾄ!$F$98:$J$102</definedName>
    <definedName name="TH64550N" localSheetId="7">[3]許容ｽﾗｽﾄ!$E$98:$J$102</definedName>
    <definedName name="TH64550N">[3]許容ｽﾗｽﾄ!$E$98:$J$102</definedName>
    <definedName name="TH64560M" localSheetId="7">[3]許容ｽﾗｽﾄ!$F$103:$J$107</definedName>
    <definedName name="TH64560M">[3]許容ｽﾗｽﾄ!$F$103:$J$107</definedName>
    <definedName name="TH64560N" localSheetId="7">[3]許容ｽﾗｽﾄ!$E$103:$J$107</definedName>
    <definedName name="TH64560N">[3]許容ｽﾗｽﾄ!$E$103:$J$107</definedName>
    <definedName name="TH83550M" localSheetId="7">[3]許容ｽﾗｽﾄ!$F$28:$J$32</definedName>
    <definedName name="TH83550M">[3]許容ｽﾗｽﾄ!$F$28:$J$32</definedName>
    <definedName name="TH83550N" localSheetId="7">[3]許容ｽﾗｽﾄ!$E$28:$J$32</definedName>
    <definedName name="TH83550N">[3]許容ｽﾗｽﾄ!$E$28:$J$32</definedName>
    <definedName name="TH83560M" localSheetId="7">[3]許容ｽﾗｽﾄ!$F$33:$J$37</definedName>
    <definedName name="TH83560M">[3]許容ｽﾗｽﾄ!$F$33:$J$37</definedName>
    <definedName name="TH83560N" localSheetId="7">[3]許容ｽﾗｽﾄ!$E$33:$J$37</definedName>
    <definedName name="TH83560N">[3]許容ｽﾗｽﾄ!$E$33:$J$37</definedName>
    <definedName name="TH84050M" localSheetId="7">[3]許容ｽﾗｽﾄ!$F$68:$J$72</definedName>
    <definedName name="TH84050M">[3]許容ｽﾗｽﾄ!$F$68:$J$72</definedName>
    <definedName name="TH84050N" localSheetId="7">[3]許容ｽﾗｽﾄ!$E$68:$J$72</definedName>
    <definedName name="TH84050N">[3]許容ｽﾗｽﾄ!$E$68:$J$72</definedName>
    <definedName name="TH84060M" localSheetId="7">[3]許容ｽﾗｽﾄ!$F$73:$J$77</definedName>
    <definedName name="TH84060M">[3]許容ｽﾗｽﾄ!$F$73:$J$77</definedName>
    <definedName name="TH84060N" localSheetId="7">[3]許容ｽﾗｽﾄ!$E$73:$J$77</definedName>
    <definedName name="TH84060N">[3]許容ｽﾗｽﾄ!$E$73:$J$77</definedName>
    <definedName name="TH84550M" localSheetId="7">[3]許容ｽﾗｽﾄ!$F$108:$J$114</definedName>
    <definedName name="TH84550M">[3]許容ｽﾗｽﾄ!$F$108:$J$114</definedName>
    <definedName name="TH84550N" localSheetId="7">[3]許容ｽﾗｽﾄ!$E$108:$J$114</definedName>
    <definedName name="TH84550N">[3]許容ｽﾗｽﾄ!$E$108:$J$114</definedName>
    <definedName name="TH84560M" localSheetId="7">[3]許容ｽﾗｽﾄ!$F$115:$J$121</definedName>
    <definedName name="TH84560M">[3]許容ｽﾗｽﾄ!$F$115:$J$121</definedName>
    <definedName name="TH84560N" localSheetId="7">[3]許容ｽﾗｽﾄ!$E$115:$J$121</definedName>
    <definedName name="TH84560N">[3]許容ｽﾗｽﾄ!$E$115:$J$121</definedName>
    <definedName name="TH850L" localSheetId="7">[3]許容ｽﾗｽﾄ!$H$225:$J$235</definedName>
    <definedName name="TH850L">[3]許容ｽﾗｽﾄ!$H$225:$J$235</definedName>
    <definedName name="TH850L50M" localSheetId="7">[3]許容ｽﾗｽﾄ!$F$225:$J$230</definedName>
    <definedName name="TH850L50M">[3]許容ｽﾗｽﾄ!$F$225:$J$230</definedName>
    <definedName name="TH850L50N" localSheetId="7">[3]許容ｽﾗｽﾄ!$E$225:$J$230</definedName>
    <definedName name="TH850L50N">[3]許容ｽﾗｽﾄ!$E$225:$J$230</definedName>
    <definedName name="TH850L60M" localSheetId="7">[3]許容ｽﾗｽﾄ!$F$231:$J$235</definedName>
    <definedName name="TH850L60M">[3]許容ｽﾗｽﾄ!$F$231:$J$235</definedName>
    <definedName name="TH850L60N" localSheetId="7">[3]許容ｽﾗｽﾄ!$E$231:$J$235</definedName>
    <definedName name="TH850L60N">[3]許容ｽﾗｽﾄ!$E$231:$J$235</definedName>
    <definedName name="TH850M" localSheetId="7">[3]許容ｽﾗｽﾄ!$H$136:$J$146</definedName>
    <definedName name="TH850M">[3]許容ｽﾗｽﾄ!$H$136:$J$146</definedName>
    <definedName name="TH850M50M" localSheetId="7">[3]許容ｽﾗｽﾄ!$F$136:$J$141</definedName>
    <definedName name="TH850M50M">[3]許容ｽﾗｽﾄ!$F$136:$J$141</definedName>
    <definedName name="TH850M50N" localSheetId="7">[3]許容ｽﾗｽﾄ!$E$136:$J$141</definedName>
    <definedName name="TH850M50N">[3]許容ｽﾗｽﾄ!$E$136:$J$141</definedName>
    <definedName name="TH850M60M" localSheetId="7">[3]許容ｽﾗｽﾄ!$F$142:$J$146</definedName>
    <definedName name="TH850M60M">[3]許容ｽﾗｽﾄ!$F$142:$J$146</definedName>
    <definedName name="TH850M60N" localSheetId="7">[3]許容ｽﾗｽﾄ!$E$142:$J$146</definedName>
    <definedName name="TH850M60N">[3]許容ｽﾗｽﾄ!$E$142:$J$146</definedName>
    <definedName name="TH856Ｌ" localSheetId="7">[3]許容ｽﾗｽﾄ!$H$428:$J$438</definedName>
    <definedName name="TH856Ｌ">[3]許容ｽﾗｽﾄ!$H$428:$J$438</definedName>
    <definedName name="TH856Ｌ50M" localSheetId="7">[3]許容ｽﾗｽﾄ!$F$428:$J$433</definedName>
    <definedName name="TH856Ｌ50M">[3]許容ｽﾗｽﾄ!$F$428:$J$433</definedName>
    <definedName name="TH856Ｌ50N" localSheetId="7">[3]許容ｽﾗｽﾄ!$E$428:$J$433</definedName>
    <definedName name="TH856Ｌ50N">[3]許容ｽﾗｽﾄ!$E$428:$J$433</definedName>
    <definedName name="TH856Ｌ60M" localSheetId="7">[3]許容ｽﾗｽﾄ!$F$434:$J$438</definedName>
    <definedName name="TH856Ｌ60M">[3]許容ｽﾗｽﾄ!$F$434:$J$438</definedName>
    <definedName name="TH856Ｌ60N" localSheetId="7">[3]許容ｽﾗｽﾄ!$E$434:$J$438</definedName>
    <definedName name="TH856Ｌ60N">[3]許容ｽﾗｽﾄ!$E$434:$J$438</definedName>
    <definedName name="TH856M" localSheetId="7">[3]許容ｽﾗｽﾄ!$H$314:$J$324</definedName>
    <definedName name="TH856M">[3]許容ｽﾗｽﾄ!$H$314:$J$324</definedName>
    <definedName name="TH856M50M" localSheetId="7">[3]許容ｽﾗｽﾄ!$F$314:$J$319</definedName>
    <definedName name="TH856M50M">[3]許容ｽﾗｽﾄ!$F$314:$J$319</definedName>
    <definedName name="TH856M50N" localSheetId="7">[3]許容ｽﾗｽﾄ!$E$314:$J$319</definedName>
    <definedName name="TH856M50N">[3]許容ｽﾗｽﾄ!$E$314:$J$319</definedName>
    <definedName name="TH856M60M" localSheetId="7">[3]許容ｽﾗｽﾄ!$F$320:$J$324</definedName>
    <definedName name="TH856M60M">[3]許容ｽﾗｽﾄ!$F$320:$J$324</definedName>
    <definedName name="TH856M60N" localSheetId="7">[3]許容ｽﾗｽﾄ!$E$320:$J$324</definedName>
    <definedName name="TH856M60N">[3]許容ｽﾗｽﾄ!$E$320:$J$324</definedName>
    <definedName name="TH863L" localSheetId="7">[3]許容ｽﾗｽﾄ!$H$656:$J$666</definedName>
    <definedName name="TH863L">[3]許容ｽﾗｽﾄ!$H$656:$J$666</definedName>
    <definedName name="TH863L50M" localSheetId="7">[3]許容ｽﾗｽﾄ!$F$656:$J$661</definedName>
    <definedName name="TH863L50M">[3]許容ｽﾗｽﾄ!$F$656:$J$661</definedName>
    <definedName name="TH863L50N" localSheetId="7">[3]許容ｽﾗｽﾄ!$E$656:$J$661</definedName>
    <definedName name="TH863L50N">[3]許容ｽﾗｽﾄ!$E$656:$J$661</definedName>
    <definedName name="TH863L60M" localSheetId="7">[3]許容ｽﾗｽﾄ!$F$662:$J$666</definedName>
    <definedName name="TH863L60M">[3]許容ｽﾗｽﾄ!$F$662:$J$666</definedName>
    <definedName name="TH863L60N" localSheetId="7">[3]許容ｽﾗｽﾄ!$E$662:$J$666</definedName>
    <definedName name="TH863L60N">[3]許容ｽﾗｽﾄ!$E$662:$J$666</definedName>
    <definedName name="TH863M" localSheetId="7">[3]許容ｽﾗｽﾄ!$H$542:$J$552</definedName>
    <definedName name="TH863M">[3]許容ｽﾗｽﾄ!$H$542:$J$552</definedName>
    <definedName name="TH863M50M" localSheetId="7">[3]許容ｽﾗｽﾄ!$F$542:$J$547</definedName>
    <definedName name="TH863M50M">[3]許容ｽﾗｽﾄ!$F$542:$J$547</definedName>
    <definedName name="TH863M50N" localSheetId="7">[3]許容ｽﾗｽﾄ!$E$542:$J$547</definedName>
    <definedName name="TH863M50N">[3]許容ｽﾗｽﾄ!$E$542:$J$547</definedName>
    <definedName name="TH863M60M" localSheetId="7">[3]許容ｽﾗｽﾄ!$F$548:$J$552</definedName>
    <definedName name="TH863M60M">[3]許容ｽﾗｽﾄ!$F$548:$J$552</definedName>
    <definedName name="TH863M60N" localSheetId="7">[3]許容ｽﾗｽﾄ!$E$548:$J$552</definedName>
    <definedName name="TH863M60N">[3]許容ｽﾗｽﾄ!$E$548:$J$552</definedName>
    <definedName name="thermal">#REF!</definedName>
    <definedName name="TMEIC" localSheetId="7">#REF!</definedName>
    <definedName name="TMEIC">#REF!</definedName>
    <definedName name="tmpdtct" localSheetId="7">#REF!</definedName>
    <definedName name="tmpdtct">#REF!</definedName>
    <definedName name="TORITUKE" localSheetId="7">#REF!</definedName>
    <definedName name="TORITUKE">#REF!</definedName>
    <definedName name="TORITUKE1">#REF!</definedName>
    <definedName name="TOSOU">#REF!</definedName>
    <definedName name="TOSOU1">#REF!</definedName>
    <definedName name="transfer">#REF!</definedName>
    <definedName name="TRQL">#REF!</definedName>
    <definedName name="UMU">#REF!</definedName>
    <definedName name="UNIBI">#REF!</definedName>
    <definedName name="unit_sht">"unit_sht"</definedName>
    <definedName name="vassvelo">#REF!</definedName>
    <definedName name="velcoity">#REF!</definedName>
    <definedName name="VHZ" localSheetId="7">[3]本体価格TM21!$S$2:$T$56</definedName>
    <definedName name="VHZ">[3]本体価格TM21!$S$2:$T$56</definedName>
    <definedName name="VIB">#REF!</definedName>
    <definedName name="vibdtct">#REF!</definedName>
    <definedName name="VIBSENS">#REF!</definedName>
    <definedName name="VIBSENS1">#REF!</definedName>
    <definedName name="VIBSENS2">#REF!</definedName>
    <definedName name="viscosity">#REF!</definedName>
    <definedName name="VMHM">#REF!</definedName>
    <definedName name="VMINKW" localSheetId="7">[3]本体価格TM21!#REF!</definedName>
    <definedName name="VMINKW">[3]本体価格TM21!#REF!</definedName>
    <definedName name="vollheatre">#REF!</definedName>
    <definedName name="VOLT" localSheetId="7">#REF!</definedName>
    <definedName name="VOLT">#REF!</definedName>
    <definedName name="volumetri">#REF!</definedName>
    <definedName name="WAKUBAN" localSheetId="7">#REF!</definedName>
    <definedName name="WAKUBAN">#REF!</definedName>
    <definedName name="WATER" localSheetId="7">#REF!</definedName>
    <definedName name="WATER">#REF!</definedName>
    <definedName name="WATERVOL" localSheetId="7">[3]補助データ!$C$4:$D$65</definedName>
    <definedName name="WATERVOL">[3]補助データ!$C$4:$D$65</definedName>
    <definedName name="weight">#REF!</definedName>
    <definedName name="weights">#REF!</definedName>
    <definedName name="WITNESS" localSheetId="7">#REF!</definedName>
    <definedName name="WITNESS">#REF!</definedName>
    <definedName name="WPII" localSheetId="7">#REF!</definedName>
    <definedName name="WPII">#REF!</definedName>
    <definedName name="WRTD" localSheetId="7">#REF!</definedName>
    <definedName name="WRTD">#REF!</definedName>
    <definedName name="WRTD1">#REF!</definedName>
    <definedName name="WRTD1000">#REF!</definedName>
    <definedName name="WRTD10002">#REF!</definedName>
    <definedName name="WRTD2">#REF!</definedName>
    <definedName name="WTH">#REF!</definedName>
    <definedName name="YOBI">#REF!</definedName>
    <definedName name="Z_852987ED_B4F5_11D1_ABEC_0000832EB49E_.wvu.PrintArea" localSheetId="4" hidden="1">STCurve!$A$1:$F$43</definedName>
    <definedName name="ｼﾘｰｽﾞ">#REF!</definedName>
    <definedName name="ﾀｲﾌﾟ">#REF!</definedName>
    <definedName name="無" localSheetId="7">[11]内訳!$K$91</definedName>
    <definedName name="無">[11]内訳!$K$91</definedName>
    <definedName name="軸受ﾀｲﾌﾟ" localSheetId="7">#REF!</definedName>
    <definedName name="軸受ﾀｲﾌﾟ">#REF!</definedName>
    <definedName name="軸端指定" localSheetId="7">#REF!</definedName>
    <definedName name="軸端指定">#REF!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6" i="9" l="1"/>
  <c r="P35" i="9"/>
  <c r="P34" i="9"/>
  <c r="P33" i="9"/>
  <c r="P32" i="9"/>
  <c r="P31" i="9"/>
  <c r="U30" i="9"/>
  <c r="P30" i="9"/>
  <c r="U29" i="9"/>
  <c r="U28" i="9" s="1"/>
  <c r="U27" i="9" s="1"/>
  <c r="P29" i="9"/>
  <c r="P28" i="9"/>
  <c r="P27" i="9"/>
  <c r="P26" i="9"/>
  <c r="P25" i="9"/>
  <c r="P24" i="9"/>
  <c r="P23" i="9"/>
  <c r="P22" i="9"/>
  <c r="P21" i="9"/>
  <c r="P20" i="9"/>
  <c r="S14" i="9"/>
  <c r="R14" i="9"/>
  <c r="T14" i="9" s="1"/>
  <c r="R20" i="9" l="1"/>
  <c r="R33" i="9" s="1"/>
  <c r="R35" i="9" s="1"/>
  <c r="U26" i="9" l="1"/>
  <c r="U25" i="9" s="1"/>
  <c r="R39" i="9" s="1"/>
  <c r="C38" i="9"/>
  <c r="C76" i="7" l="1"/>
  <c r="C77" i="7" s="1"/>
  <c r="C78" i="7" s="1"/>
  <c r="B76" i="7"/>
  <c r="C75" i="7"/>
  <c r="C74" i="7"/>
  <c r="B74" i="7"/>
  <c r="A69" i="7"/>
  <c r="C69" i="7" s="1"/>
  <c r="E68" i="7"/>
  <c r="D66" i="7"/>
  <c r="F50" i="7"/>
  <c r="M28" i="3"/>
  <c r="M18" i="3"/>
  <c r="B69" i="7" l="1"/>
  <c r="B75" i="7" s="1"/>
  <c r="A70" i="7"/>
  <c r="A71" i="7" l="1"/>
  <c r="B70" i="7"/>
  <c r="C70" i="7"/>
  <c r="C71" i="7" l="1"/>
  <c r="A72" i="7"/>
  <c r="B71" i="7"/>
  <c r="B72" i="7" l="1"/>
  <c r="A73" i="7"/>
  <c r="B73"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Paulo Yoshiura</author>
  </authors>
  <commentList>
    <comment ref="K4" authorId="0" shapeId="0" xr:uid="{00000000-0006-0000-0100-000001000000}">
      <text>
        <r>
          <rPr>
            <b/>
            <sz val="8"/>
            <color indexed="81"/>
            <rFont val="Tahoma"/>
            <family val="2"/>
          </rPr>
          <t>Insert type of motor</t>
        </r>
        <r>
          <rPr>
            <sz val="8"/>
            <color indexed="81"/>
            <rFont val="Tahoma"/>
            <family val="2"/>
          </rPr>
          <t xml:space="preserve">
</t>
        </r>
        <r>
          <rPr>
            <b/>
            <sz val="8"/>
            <color indexed="81"/>
            <rFont val="Tahoma"/>
            <family val="2"/>
          </rPr>
          <t>Either choose from list or write appropriate name</t>
        </r>
      </text>
    </comment>
    <comment ref="D6" authorId="0" shapeId="0" xr:uid="{00000000-0006-0000-0100-000002000000}">
      <text>
        <r>
          <rPr>
            <b/>
            <sz val="8"/>
            <color indexed="81"/>
            <rFont val="Tahoma"/>
            <family val="2"/>
          </rPr>
          <t>Choose Steel Type
from list or input name</t>
        </r>
      </text>
    </comment>
    <comment ref="D21" authorId="0" shapeId="0" xr:uid="{00000000-0006-0000-0100-000003000000}">
      <text>
        <r>
          <rPr>
            <b/>
            <sz val="8"/>
            <color indexed="81"/>
            <rFont val="Tahoma"/>
            <family val="2"/>
          </rPr>
          <t>Choose Method of coil connection from list!</t>
        </r>
        <r>
          <rPr>
            <sz val="8"/>
            <color indexed="81"/>
            <rFont val="Tahoma"/>
            <family val="2"/>
          </rPr>
          <t xml:space="preserve">
</t>
        </r>
      </text>
    </comment>
  </commentList>
</comments>
</file>

<file path=xl/sharedStrings.xml><?xml version="1.0" encoding="utf-8"?>
<sst xmlns="http://schemas.openxmlformats.org/spreadsheetml/2006/main" count="879" uniqueCount="681">
  <si>
    <t>Calc. Code:</t>
  </si>
  <si>
    <t>File:</t>
  </si>
  <si>
    <t>Date:</t>
  </si>
  <si>
    <t>Time:</t>
  </si>
  <si>
    <t>Pole</t>
  </si>
  <si>
    <t>RPM</t>
  </si>
  <si>
    <t>Voltage</t>
  </si>
  <si>
    <t>Frequency</t>
  </si>
  <si>
    <t>FLSpeed</t>
  </si>
  <si>
    <t>FLSlip</t>
  </si>
  <si>
    <t xml:space="preserve">Frame </t>
  </si>
  <si>
    <t>Core Data</t>
  </si>
  <si>
    <t>Winding Data</t>
  </si>
  <si>
    <t>Constant Data</t>
  </si>
  <si>
    <t>Primary</t>
  </si>
  <si>
    <t>Secondary</t>
  </si>
  <si>
    <t xml:space="preserve">Bar </t>
  </si>
  <si>
    <t>End Ring</t>
  </si>
  <si>
    <t xml:space="preserve">St. Slot Pitch </t>
  </si>
  <si>
    <t>LR Test Data</t>
  </si>
  <si>
    <t>Air Gap</t>
  </si>
  <si>
    <t>Rt. Slot Pitch</t>
  </si>
  <si>
    <t>ES</t>
  </si>
  <si>
    <t>Space Fac.</t>
  </si>
  <si>
    <t>Pitch</t>
  </si>
  <si>
    <t>Cross Section Area</t>
  </si>
  <si>
    <t>Mean Value</t>
  </si>
  <si>
    <t>Core Length</t>
  </si>
  <si>
    <t>Eff.T.W.St.</t>
  </si>
  <si>
    <t>WS</t>
  </si>
  <si>
    <t>OD</t>
  </si>
  <si>
    <t>Coil Pitch</t>
  </si>
  <si>
    <t>Eff.T.W.Rt.</t>
  </si>
  <si>
    <t>ID</t>
  </si>
  <si>
    <t>Slot Fill</t>
  </si>
  <si>
    <t xml:space="preserve">St.Carter Fac. </t>
  </si>
  <si>
    <t>IS</t>
  </si>
  <si>
    <t>Core Depth</t>
  </si>
  <si>
    <t>Con./Slot</t>
  </si>
  <si>
    <t xml:space="preserve"> </t>
  </si>
  <si>
    <t>Rt.Carter Fac.</t>
  </si>
  <si>
    <t>Eff.Core L.</t>
  </si>
  <si>
    <t>Wire Size 1</t>
  </si>
  <si>
    <t>Carter Factor</t>
  </si>
  <si>
    <t>Volts / Turn</t>
  </si>
  <si>
    <t>Slot Data</t>
  </si>
  <si>
    <t>Wire Size 2</t>
  </si>
  <si>
    <t>Short. Factor</t>
  </si>
  <si>
    <t>Number</t>
  </si>
  <si>
    <t>// Circuits</t>
  </si>
  <si>
    <t>Distrib. Factor</t>
  </si>
  <si>
    <t>AC</t>
  </si>
  <si>
    <t>Kind</t>
  </si>
  <si>
    <t>Connection</t>
  </si>
  <si>
    <t>Wind. Factor</t>
  </si>
  <si>
    <t>Skew</t>
  </si>
  <si>
    <t>MCL</t>
  </si>
  <si>
    <t>Reactance</t>
  </si>
  <si>
    <t>Depth</t>
  </si>
  <si>
    <t>No.Cond./Ph.</t>
  </si>
  <si>
    <t>Running</t>
  </si>
  <si>
    <t>Start</t>
  </si>
  <si>
    <t>Width</t>
  </si>
  <si>
    <t>Stator Slot</t>
  </si>
  <si>
    <t>Opening</t>
  </si>
  <si>
    <t>Rotor Slot</t>
  </si>
  <si>
    <t>Tip Depth</t>
  </si>
  <si>
    <t>Material</t>
  </si>
  <si>
    <t>Zigzag</t>
  </si>
  <si>
    <t>T.Min.Wid.</t>
  </si>
  <si>
    <t>Spec.Resist.</t>
  </si>
  <si>
    <t>Coil End</t>
  </si>
  <si>
    <t>Low. R.</t>
  </si>
  <si>
    <t>Spec.Gravity</t>
  </si>
  <si>
    <t>Belt Leakage</t>
  </si>
  <si>
    <t>Up. R.</t>
  </si>
  <si>
    <t>Weight (kg)</t>
  </si>
  <si>
    <t>Total Resist.</t>
  </si>
  <si>
    <t>Wedge Dep.</t>
  </si>
  <si>
    <t>Wire 1</t>
  </si>
  <si>
    <t>Total React.</t>
  </si>
  <si>
    <t>Duct</t>
  </si>
  <si>
    <t>Wire 2</t>
  </si>
  <si>
    <t>Impedance</t>
  </si>
  <si>
    <t>Effective Depth (S=1)</t>
  </si>
  <si>
    <t>Magnetic Circuit Data</t>
  </si>
  <si>
    <t>Core Loss Data</t>
  </si>
  <si>
    <t>Res.=</t>
  </si>
  <si>
    <t>Length</t>
  </si>
  <si>
    <t>Section</t>
  </si>
  <si>
    <t>Density</t>
  </si>
  <si>
    <t>AT</t>
  </si>
  <si>
    <t>Volume</t>
  </si>
  <si>
    <t>Loss</t>
  </si>
  <si>
    <t>Reac.=</t>
  </si>
  <si>
    <t>Primary Core</t>
  </si>
  <si>
    <t>Excitation Data</t>
  </si>
  <si>
    <t>Tooth</t>
  </si>
  <si>
    <t>Excit.Amps</t>
  </si>
  <si>
    <t>Second.Core</t>
  </si>
  <si>
    <t>Total</t>
  </si>
  <si>
    <t>Core Loss</t>
  </si>
  <si>
    <t>Flux / Pole</t>
  </si>
  <si>
    <t>C.L.C.</t>
  </si>
  <si>
    <t>NoLoad</t>
  </si>
  <si>
    <t>S.F.C.</t>
  </si>
  <si>
    <t>Load Characteristics</t>
  </si>
  <si>
    <t>No Load Loss</t>
  </si>
  <si>
    <t>W.Loss</t>
  </si>
  <si>
    <t>Load (%)</t>
  </si>
  <si>
    <t>Primary Loss</t>
  </si>
  <si>
    <t>S.Loss</t>
  </si>
  <si>
    <t>Current (A)</t>
  </si>
  <si>
    <t>Second. Loss</t>
  </si>
  <si>
    <t>Total C.Loss</t>
  </si>
  <si>
    <t xml:space="preserve">Efficiency </t>
  </si>
  <si>
    <t>Frict.&amp; Wind.</t>
  </si>
  <si>
    <t>P.F.</t>
  </si>
  <si>
    <t>Starting Data</t>
  </si>
  <si>
    <t>Slip</t>
  </si>
  <si>
    <t>PF</t>
  </si>
  <si>
    <t xml:space="preserve">LRA </t>
  </si>
  <si>
    <t>%</t>
  </si>
  <si>
    <t>L (Inv., MH)</t>
  </si>
  <si>
    <t>LRT (kg.m)</t>
  </si>
  <si>
    <t>(No Load)</t>
  </si>
  <si>
    <t>Design Parameters (Full Load)</t>
  </si>
  <si>
    <t>Magnetic Pull  &amp; Thrust</t>
  </si>
  <si>
    <t>BDT (kW)</t>
  </si>
  <si>
    <t>IM/IW</t>
  </si>
  <si>
    <t>I*R1/E</t>
  </si>
  <si>
    <t>Rosenberg</t>
  </si>
  <si>
    <t>IW*X/E</t>
  </si>
  <si>
    <t>I*R2/E</t>
  </si>
  <si>
    <t>Schwisky</t>
  </si>
  <si>
    <t>Amps</t>
  </si>
  <si>
    <t>SUM</t>
  </si>
  <si>
    <t>Friction/OP.</t>
  </si>
  <si>
    <t>Tsurumi</t>
  </si>
  <si>
    <t>Max. Output</t>
  </si>
  <si>
    <t>IH/I</t>
  </si>
  <si>
    <t>Thrust (1mm)</t>
  </si>
  <si>
    <t>Efficiency</t>
  </si>
  <si>
    <t>Thrust (3 mm)</t>
  </si>
  <si>
    <t>Miscellaneous Data</t>
  </si>
  <si>
    <t>Slot Number</t>
  </si>
  <si>
    <t>Slit Width</t>
  </si>
  <si>
    <t>T.M.Wid.Low.</t>
  </si>
  <si>
    <t>Watt Rad.</t>
  </si>
  <si>
    <t>Coil Cur. Density</t>
  </si>
  <si>
    <t>Slit Depth</t>
  </si>
  <si>
    <t>Cal.T.W.Up.</t>
  </si>
  <si>
    <t>L.S.Up.Wid.</t>
  </si>
  <si>
    <t>Cal.M.T.Wid.</t>
  </si>
  <si>
    <t>Bar Cur. Den.</t>
  </si>
  <si>
    <t>L.S.Low.Wid.</t>
  </si>
  <si>
    <t>Up. Sl. Wid.</t>
  </si>
  <si>
    <t>L.S.Depth</t>
  </si>
  <si>
    <t>X2S</t>
  </si>
  <si>
    <t>IMC</t>
  </si>
  <si>
    <t>ER Cur. Den.</t>
  </si>
  <si>
    <t>Up. Sl. Dep.</t>
  </si>
  <si>
    <t>T.M.Wid.Up.</t>
  </si>
  <si>
    <t>X3S</t>
  </si>
  <si>
    <t>Coil Pitch Ct.</t>
  </si>
  <si>
    <t>Torque (%)</t>
  </si>
  <si>
    <t>Res.     (20°C)</t>
  </si>
  <si>
    <t xml:space="preserve">                              TOSHIBA INTERNATIONAL CORPORATION</t>
  </si>
  <si>
    <r>
      <t>DG</t>
    </r>
    <r>
      <rPr>
        <i/>
        <vertAlign val="superscript"/>
        <sz val="10"/>
        <rFont val="Times New Roman"/>
        <family val="1"/>
      </rPr>
      <t>2</t>
    </r>
    <r>
      <rPr>
        <i/>
        <sz val="10"/>
        <rFont val="Times New Roman"/>
        <family val="1"/>
      </rPr>
      <t>L(cm</t>
    </r>
    <r>
      <rPr>
        <i/>
        <vertAlign val="superscript"/>
        <sz val="10"/>
        <rFont val="Times New Roman"/>
        <family val="1"/>
      </rPr>
      <t>2</t>
    </r>
    <r>
      <rPr>
        <i/>
        <sz val="10"/>
        <rFont val="Times New Roman"/>
        <family val="1"/>
      </rPr>
      <t>)</t>
    </r>
  </si>
  <si>
    <r>
      <t>GD</t>
    </r>
    <r>
      <rPr>
        <i/>
        <vertAlign val="superscript"/>
        <sz val="10"/>
        <rFont val="Times New Roman"/>
        <family val="1"/>
      </rPr>
      <t>2</t>
    </r>
    <r>
      <rPr>
        <i/>
        <sz val="10"/>
        <rFont val="Times New Roman"/>
        <family val="1"/>
      </rPr>
      <t>L(kg.m</t>
    </r>
    <r>
      <rPr>
        <i/>
        <vertAlign val="superscript"/>
        <sz val="10"/>
        <rFont val="Times New Roman"/>
        <family val="1"/>
      </rPr>
      <t>2</t>
    </r>
    <r>
      <rPr>
        <i/>
        <sz val="10"/>
        <rFont val="Times New Roman"/>
        <family val="1"/>
      </rPr>
      <t>)</t>
    </r>
  </si>
  <si>
    <r>
      <t>DO</t>
    </r>
    <r>
      <rPr>
        <i/>
        <vertAlign val="superscript"/>
        <sz val="10"/>
        <rFont val="Times New Roman"/>
        <family val="1"/>
      </rPr>
      <t>2</t>
    </r>
    <r>
      <rPr>
        <i/>
        <sz val="10"/>
        <rFont val="Times New Roman"/>
        <family val="1"/>
      </rPr>
      <t>L(cm</t>
    </r>
    <r>
      <rPr>
        <i/>
        <vertAlign val="superscript"/>
        <sz val="10"/>
        <rFont val="Times New Roman"/>
        <family val="1"/>
      </rPr>
      <t>2</t>
    </r>
    <r>
      <rPr>
        <i/>
        <sz val="10"/>
        <rFont val="Times New Roman"/>
        <family val="1"/>
      </rPr>
      <t>)</t>
    </r>
  </si>
  <si>
    <t>HP</t>
  </si>
  <si>
    <t>Form</t>
  </si>
  <si>
    <t xml:space="preserve">             3-PHASE SQUIRREL CAGE INDUCTION MOTOR DESIGN SHEET</t>
  </si>
  <si>
    <t>-</t>
  </si>
  <si>
    <t>Temperature</t>
  </si>
  <si>
    <t>FCW4</t>
  </si>
  <si>
    <t>6811US</t>
  </si>
  <si>
    <t>Open</t>
  </si>
  <si>
    <t>Rectang</t>
  </si>
  <si>
    <t>9.67 - 9.67</t>
  </si>
  <si>
    <t>0.80 - 3.20</t>
  </si>
  <si>
    <t>Magnetic</t>
  </si>
  <si>
    <t>1 ~ 11</t>
  </si>
  <si>
    <t>(.081"x.204")x2</t>
  </si>
  <si>
    <t>Wye</t>
  </si>
  <si>
    <t>(105°C)</t>
  </si>
  <si>
    <t>CU</t>
  </si>
  <si>
    <t>Special</t>
  </si>
  <si>
    <t>ERD1: 426.8</t>
  </si>
  <si>
    <t>EBL: 50.5</t>
  </si>
  <si>
    <t>ERT: 30.00</t>
  </si>
  <si>
    <t>ERH: 50.00</t>
  </si>
  <si>
    <t>(12 x 35)</t>
  </si>
  <si>
    <t>LB:  -</t>
  </si>
  <si>
    <t>LER:  -</t>
  </si>
  <si>
    <t>Single Cage Data</t>
  </si>
  <si>
    <t>UB: 420.0</t>
  </si>
  <si>
    <t>UER: 1500.0</t>
  </si>
  <si>
    <t>(Coeff.: 0.1033)</t>
  </si>
  <si>
    <t>Skew R.: 0.00</t>
  </si>
  <si>
    <t>M:\Active Projects\6800 Frame TEFC\Electrical Design\6P\SERIES DESIGN\CS6800U.rat</t>
  </si>
  <si>
    <t>2-2-2-0-1-2</t>
  </si>
  <si>
    <t>B.L.-1  P.F.-1</t>
  </si>
  <si>
    <t>5495.6 / 5626.0</t>
  </si>
  <si>
    <t>3923.8 / 3942.5</t>
  </si>
  <si>
    <t>22973.3 / 7903.8</t>
  </si>
  <si>
    <t>15000.0 / 3794.0</t>
  </si>
  <si>
    <t>7786.0 / 3753.9</t>
  </si>
  <si>
    <t>984.3 / 474.6</t>
  </si>
  <si>
    <t>6801.8 / 3279.4</t>
  </si>
  <si>
    <t>1.75 / 0.84</t>
  </si>
  <si>
    <t>71 / 70</t>
  </si>
  <si>
    <t>Temp. Rise @ 100%:</t>
  </si>
  <si>
    <t>Stray Loss</t>
  </si>
  <si>
    <t>0.863 / 0.872</t>
  </si>
  <si>
    <t>0.922 / 0.932</t>
  </si>
  <si>
    <t>0.941 / 0.951</t>
  </si>
  <si>
    <t>0.949 / 0.960</t>
  </si>
  <si>
    <t>0.953 / 0.963</t>
  </si>
  <si>
    <t>0.726 / 0.711</t>
  </si>
  <si>
    <t>0.867 / 0.849</t>
  </si>
  <si>
    <t>0.902 / 0.883</t>
  </si>
  <si>
    <t>0.910 / 0.890</t>
  </si>
  <si>
    <t>0.904 / 0.885</t>
  </si>
  <si>
    <t>34.36 / 34.73</t>
  </si>
  <si>
    <t>53.88 / 54.46</t>
  </si>
  <si>
    <t>76.07 / 76.89</t>
  </si>
  <si>
    <t>99.74 / 100.82</t>
  </si>
  <si>
    <t>124.94 / 126.29</t>
  </si>
  <si>
    <t>2.41 / 2.43</t>
  </si>
  <si>
    <t>UB: 2.51 / 2.53</t>
  </si>
  <si>
    <t>UER: 2.17 / 2.19</t>
  </si>
  <si>
    <t>1198.1 / 1197.7</t>
  </si>
  <si>
    <t>1196.3 / 1196.0</t>
  </si>
  <si>
    <t>1194.5 / 1194.2</t>
  </si>
  <si>
    <t>1192.6 / 1192.3</t>
  </si>
  <si>
    <t>1190.6 / 1190.3</t>
  </si>
  <si>
    <t>0.0016 / 0.0019</t>
  </si>
  <si>
    <t>0.0031 / 0.0034</t>
  </si>
  <si>
    <t>0.0046 / 0.0049</t>
  </si>
  <si>
    <t>0.0062 / 0.0065</t>
  </si>
  <si>
    <t>0.0078 / 0.0081</t>
  </si>
  <si>
    <t>21.264 / 25.421</t>
  </si>
  <si>
    <t>1.123 / 1.342</t>
  </si>
  <si>
    <t>21.29 / 25.46</t>
  </si>
  <si>
    <t>480.5 / 651.5</t>
  </si>
  <si>
    <t>481.7 / 653.2</t>
  </si>
  <si>
    <t>280.7 / 538.6</t>
  </si>
  <si>
    <t>57.6 / 110.5</t>
  </si>
  <si>
    <t>226.9 / 244.2</t>
  </si>
  <si>
    <t>Correlated to: Testdata_H402130_Lab#1559_OD fan550.dat</t>
  </si>
  <si>
    <t>S-T Curve Data (Custom Values)</t>
  </si>
  <si>
    <t>Current (%)</t>
  </si>
  <si>
    <t>Current(%)</t>
  </si>
  <si>
    <t>Load</t>
  </si>
  <si>
    <t>Load Type:</t>
  </si>
  <si>
    <t>Load Inertia:</t>
  </si>
  <si>
    <t>Accel. Time:</t>
  </si>
  <si>
    <t>Rated Torque:</t>
  </si>
  <si>
    <t>Fan / Pump</t>
  </si>
  <si>
    <t>1307.6 kg.m²</t>
  </si>
  <si>
    <t>Acceleration Data (FV V)</t>
  </si>
  <si>
    <t>11.8 (s)</t>
  </si>
  <si>
    <t>487.4 kg.m</t>
  </si>
  <si>
    <t>TOSHIBA INTERNATIONAL CORPORATION</t>
  </si>
  <si>
    <t>INDUCTION MOTOR DATA SHEET</t>
  </si>
  <si>
    <t>HRW / Model Number:</t>
  </si>
  <si>
    <t>Motor Type Selection</t>
  </si>
  <si>
    <t>Electrical Steel Table</t>
  </si>
  <si>
    <t>Motor Parameters</t>
  </si>
  <si>
    <t>PERFORMANCE</t>
  </si>
  <si>
    <t>DESIGN</t>
  </si>
  <si>
    <t>TEST</t>
  </si>
  <si>
    <t>EPACT</t>
  </si>
  <si>
    <t>M22 - 26Ga.</t>
  </si>
  <si>
    <t>NCB1 - 26Ga.</t>
  </si>
  <si>
    <t>NL &amp; Impedance Test</t>
  </si>
  <si>
    <t>EQP-III</t>
  </si>
  <si>
    <t>M36 - 26Ga.</t>
  </si>
  <si>
    <t>No load amps</t>
  </si>
  <si>
    <t>Exp.Prf.</t>
  </si>
  <si>
    <t>Stack length</t>
  </si>
  <si>
    <t>No load watts</t>
  </si>
  <si>
    <t>Exp.Prf.-EQPIII</t>
  </si>
  <si>
    <t>M43 - 26Ga.</t>
  </si>
  <si>
    <t>Number of turns per coil</t>
  </si>
  <si>
    <t>Impedance amps</t>
  </si>
  <si>
    <t>f</t>
  </si>
  <si>
    <t>Prem. Eff.</t>
  </si>
  <si>
    <t>M45 - 26Ga.</t>
  </si>
  <si>
    <t>Wire 1 (size &amp; number)</t>
  </si>
  <si>
    <t>Impedance volts</t>
  </si>
  <si>
    <t>OWP</t>
  </si>
  <si>
    <t>M54 - 26Ga.</t>
  </si>
  <si>
    <t>Wire 2 (size &amp; number)</t>
  </si>
  <si>
    <t>Impedance watts</t>
  </si>
  <si>
    <t>Dry Kiln</t>
  </si>
  <si>
    <r>
      <t xml:space="preserve">Slot fill - </t>
    </r>
    <r>
      <rPr>
        <i/>
        <sz val="9"/>
        <color indexed="8"/>
        <rFont val="Times New Roman"/>
        <family val="1"/>
      </rPr>
      <t>circle/square method (%)</t>
    </r>
  </si>
  <si>
    <t>Temperature Rise (°C)</t>
  </si>
  <si>
    <t>Winding</t>
  </si>
  <si>
    <t>80/115</t>
  </si>
  <si>
    <t>Allowance for ins. depth</t>
  </si>
  <si>
    <t xml:space="preserve">Bearing  PS/OS </t>
  </si>
  <si>
    <t>Allowance for ins. width</t>
  </si>
  <si>
    <t>Slot/Wire arrangement</t>
  </si>
  <si>
    <t>Nameplate Data</t>
  </si>
  <si>
    <t>Effective cross section for coil</t>
  </si>
  <si>
    <t>FLC (A)</t>
  </si>
  <si>
    <t>Coil grouping</t>
  </si>
  <si>
    <t>Coil pitch (slot number)</t>
  </si>
  <si>
    <t>CODE</t>
  </si>
  <si>
    <t>Method of coil connection</t>
  </si>
  <si>
    <t>S. F.</t>
  </si>
  <si>
    <t>Method of Connection</t>
  </si>
  <si>
    <t>Resistance per phase @ 20 °C</t>
  </si>
  <si>
    <t>Skip</t>
  </si>
  <si>
    <t>Coil Weight</t>
  </si>
  <si>
    <t>Wire1</t>
  </si>
  <si>
    <t xml:space="preserve">Nom.Eff. (%): </t>
  </si>
  <si>
    <t>Adjacent</t>
  </si>
  <si>
    <t>(lbs.)</t>
  </si>
  <si>
    <t>Wire2</t>
  </si>
  <si>
    <t xml:space="preserve">Min.Eff. (%): </t>
  </si>
  <si>
    <r>
      <t>Current Densities (A/cm</t>
    </r>
    <r>
      <rPr>
        <b/>
        <i/>
        <vertAlign val="superscript"/>
        <sz val="12"/>
        <color indexed="8"/>
        <rFont val="Times New Roman"/>
        <family val="1"/>
      </rPr>
      <t>2</t>
    </r>
    <r>
      <rPr>
        <b/>
        <i/>
        <sz val="12"/>
        <color indexed="8"/>
        <rFont val="Times New Roman"/>
        <family val="1"/>
      </rPr>
      <t>)</t>
    </r>
  </si>
  <si>
    <t>Bar / ER</t>
  </si>
  <si>
    <t xml:space="preserve">P.F. (%): </t>
  </si>
  <si>
    <t>FL / LR</t>
  </si>
  <si>
    <t>Stator Slot Shape                                          (Reference)</t>
  </si>
  <si>
    <t>Performance</t>
  </si>
  <si>
    <t>LRC (A)</t>
  </si>
  <si>
    <t>LRT (%)</t>
  </si>
  <si>
    <t>BDT (%)</t>
  </si>
  <si>
    <t>SLIP (%)</t>
  </si>
  <si>
    <t>IEEE-B</t>
  </si>
  <si>
    <t>Eff. (%)</t>
  </si>
  <si>
    <t>Rotor Slot Shape                                          (Reference)</t>
  </si>
  <si>
    <t>PF (%)</t>
  </si>
  <si>
    <t>Losses (Watts)</t>
  </si>
  <si>
    <t>Core</t>
  </si>
  <si>
    <t>F &amp; W</t>
  </si>
  <si>
    <t xml:space="preserve">Stray </t>
  </si>
  <si>
    <t>End Ring                                                      (Reference)</t>
  </si>
  <si>
    <t>Note</t>
  </si>
  <si>
    <t>Approved</t>
  </si>
  <si>
    <t>Design</t>
  </si>
  <si>
    <t>Date</t>
  </si>
  <si>
    <t>P</t>
  </si>
  <si>
    <t>T</t>
  </si>
  <si>
    <t>L</t>
  </si>
  <si>
    <t>PROJECT HISTORY</t>
  </si>
  <si>
    <t>E</t>
  </si>
  <si>
    <t>D</t>
  </si>
  <si>
    <t>I</t>
  </si>
  <si>
    <t>Y</t>
  </si>
  <si>
    <t>H</t>
  </si>
  <si>
    <t>R</t>
  </si>
  <si>
    <t>M</t>
  </si>
  <si>
    <t>F</t>
  </si>
  <si>
    <t>C</t>
  </si>
  <si>
    <t>U</t>
  </si>
  <si>
    <t>N</t>
  </si>
  <si>
    <t>A</t>
  </si>
  <si>
    <t>S</t>
  </si>
  <si>
    <t>V</t>
  </si>
  <si>
    <t>DATE</t>
  </si>
  <si>
    <t>PROJECT</t>
  </si>
  <si>
    <t>SMART NUMBER</t>
  </si>
  <si>
    <t>QTY</t>
  </si>
  <si>
    <t>CUSTOMER</t>
  </si>
  <si>
    <t>REMARKS</t>
  </si>
  <si>
    <t>LIMIT CODE</t>
  </si>
  <si>
    <t>REVISION HISTORY</t>
  </si>
  <si>
    <t>REV</t>
  </si>
  <si>
    <t>INIT</t>
  </si>
  <si>
    <t>CS6800U</t>
  </si>
  <si>
    <t>Type: TIKE - Form: FCW4 - 6 Pole - 800 HP - 4000 V - 60 Hz - 6811US - Class F</t>
  </si>
  <si>
    <t>20 x 2</t>
  </si>
  <si>
    <t>2 x Wye</t>
  </si>
  <si>
    <t xml:space="preserve"> - </t>
  </si>
  <si>
    <t>243 / 1569</t>
  </si>
  <si>
    <t>G</t>
  </si>
  <si>
    <t>253 / 219</t>
  </si>
  <si>
    <t>Speed Torque/Current Curve</t>
  </si>
  <si>
    <t>Model #:</t>
  </si>
  <si>
    <t>FLAmps:</t>
  </si>
  <si>
    <t>Enclosure:</t>
  </si>
  <si>
    <t>Voltage:</t>
  </si>
  <si>
    <t>Frame:</t>
  </si>
  <si>
    <t>Pole:</t>
  </si>
  <si>
    <t>Frequency:</t>
  </si>
  <si>
    <t>3 PH / 60 Hz</t>
  </si>
  <si>
    <t>Ins. Class:</t>
  </si>
  <si>
    <t>HP:</t>
  </si>
  <si>
    <t>Rotor Inertia:</t>
  </si>
  <si>
    <t>FLRPM:</t>
  </si>
  <si>
    <t>Locked Rotor Amps:</t>
  </si>
  <si>
    <t>Locked Rotor Torque:</t>
  </si>
  <si>
    <t>Starting at:</t>
  </si>
  <si>
    <t>Breakdown Torque:</t>
  </si>
  <si>
    <t>Comments:</t>
  </si>
  <si>
    <t>D.E.Curve #:</t>
  </si>
  <si>
    <t>Prepared by:</t>
  </si>
  <si>
    <t>Checked by:</t>
  </si>
  <si>
    <t>4000 V</t>
  </si>
  <si>
    <t>1348.7 lb-ft²</t>
  </si>
  <si>
    <t>7757.0 lb-ft²</t>
  </si>
  <si>
    <t>3531 lb-ft</t>
  </si>
  <si>
    <t>652 A</t>
  </si>
  <si>
    <t>Rating:</t>
  </si>
  <si>
    <t>Starting Performance</t>
  </si>
  <si>
    <t>Motor</t>
  </si>
  <si>
    <t xml:space="preserve">Load </t>
  </si>
  <si>
    <t>Accel.</t>
  </si>
  <si>
    <t xml:space="preserve"> Line</t>
  </si>
  <si>
    <t>Stator</t>
  </si>
  <si>
    <t>Rotor</t>
  </si>
  <si>
    <t>Speed Increment</t>
  </si>
  <si>
    <t>Time (s)</t>
  </si>
  <si>
    <t>kW / s</t>
  </si>
  <si>
    <t>Energy</t>
  </si>
  <si>
    <t>First Start</t>
  </si>
  <si>
    <t>Second Start</t>
  </si>
  <si>
    <t>Stator Winding Rise</t>
  </si>
  <si>
    <t>Rotor Bar Rise</t>
  </si>
  <si>
    <t>End Ring Rise</t>
  </si>
  <si>
    <t>Locked Rotor Thermal Capability</t>
  </si>
  <si>
    <t>Cold Condition</t>
  </si>
  <si>
    <t>Rate of Rise</t>
  </si>
  <si>
    <t>Power</t>
  </si>
  <si>
    <t>Rise Limit</t>
  </si>
  <si>
    <t>Max Time</t>
  </si>
  <si>
    <t>Stator Copper</t>
  </si>
  <si>
    <t>160°C</t>
  </si>
  <si>
    <t>Rotor Bar</t>
  </si>
  <si>
    <t>260°C</t>
  </si>
  <si>
    <t>Rotor ER</t>
  </si>
  <si>
    <t>180°C</t>
  </si>
  <si>
    <t>Hot Condition</t>
  </si>
  <si>
    <t>Hot Temp.</t>
  </si>
  <si>
    <t>Ambient</t>
  </si>
  <si>
    <t>Max.Time</t>
  </si>
  <si>
    <t>40°C</t>
  </si>
  <si>
    <t>=    200°C</t>
  </si>
  <si>
    <t>=    300°C</t>
  </si>
  <si>
    <t>=    220°C</t>
  </si>
  <si>
    <t>Cold Stall Time:</t>
  </si>
  <si>
    <t>Hot Stall Time:</t>
  </si>
  <si>
    <t>6 Pole - 800.0 HP - 1200 RPM - 4000 V - 60 Hz</t>
  </si>
  <si>
    <t>0~125</t>
  </si>
  <si>
    <t>125~250</t>
  </si>
  <si>
    <t>250~375</t>
  </si>
  <si>
    <t>375~500</t>
  </si>
  <si>
    <t>500~625</t>
  </si>
  <si>
    <t>625~750</t>
  </si>
  <si>
    <t>750~875</t>
  </si>
  <si>
    <t>875~1000</t>
  </si>
  <si>
    <t>1000~1063</t>
  </si>
  <si>
    <t>1063~1125</t>
  </si>
  <si>
    <t>1125~1188</t>
  </si>
  <si>
    <t>1188~1198</t>
  </si>
  <si>
    <t>1198~1200</t>
  </si>
  <si>
    <t>Load Type: Fan / Pump - 7757.0 lb-ft²</t>
  </si>
  <si>
    <t>110.0</t>
  </si>
  <si>
    <t>110.1</t>
  </si>
  <si>
    <t>110.2</t>
  </si>
  <si>
    <t>110.3</t>
  </si>
  <si>
    <t>110.6</t>
  </si>
  <si>
    <t>111.2</t>
  </si>
  <si>
    <t>112.2</t>
  </si>
  <si>
    <t>115.0</t>
  </si>
  <si>
    <t>121.5</t>
  </si>
  <si>
    <t>137.6</t>
  </si>
  <si>
    <t>196.7</t>
  </si>
  <si>
    <t>200.1</t>
  </si>
  <si>
    <t>128.1</t>
  </si>
  <si>
    <t>22.4</t>
  </si>
  <si>
    <t>11.3</t>
  </si>
  <si>
    <t>7.0</t>
  </si>
  <si>
    <t>7.6</t>
  </si>
  <si>
    <t>12.3</t>
  </si>
  <si>
    <t>20.2</t>
  </si>
  <si>
    <t>31.4</t>
  </si>
  <si>
    <t>47.7</t>
  </si>
  <si>
    <t>63.9</t>
  </si>
  <si>
    <t>77.1</t>
  </si>
  <si>
    <t>90.9</t>
  </si>
  <si>
    <t>98.8</t>
  </si>
  <si>
    <t>99.8</t>
  </si>
  <si>
    <t>1.197</t>
  </si>
  <si>
    <t>1.063</t>
  </si>
  <si>
    <t>1.019</t>
  </si>
  <si>
    <t>1.023</t>
  </si>
  <si>
    <t>1.068</t>
  </si>
  <si>
    <t>1.155</t>
  </si>
  <si>
    <t>1.300</t>
  </si>
  <si>
    <t>1.560</t>
  </si>
  <si>
    <t>0.910</t>
  </si>
  <si>
    <t>0.866</t>
  </si>
  <si>
    <t>0.496</t>
  </si>
  <si>
    <t>0.080</t>
  </si>
  <si>
    <t>0.071</t>
  </si>
  <si>
    <t>650.1</t>
  </si>
  <si>
    <t>645.9</t>
  </si>
  <si>
    <t>640.8</t>
  </si>
  <si>
    <t>634.6</t>
  </si>
  <si>
    <t>626.8</t>
  </si>
  <si>
    <t>617.0</t>
  </si>
  <si>
    <t>604.8</t>
  </si>
  <si>
    <t>589.6</t>
  </si>
  <si>
    <t>575.5</t>
  </si>
  <si>
    <t>560.0</t>
  </si>
  <si>
    <t>517.7</t>
  </si>
  <si>
    <t>332.0</t>
  </si>
  <si>
    <t>100.1</t>
  </si>
  <si>
    <t>281.2</t>
  </si>
  <si>
    <t>246.6</t>
  </si>
  <si>
    <t>233.0</t>
  </si>
  <si>
    <t>229.9</t>
  </si>
  <si>
    <t>235.0</t>
  </si>
  <si>
    <t>247.3</t>
  </si>
  <si>
    <t>268.5</t>
  </si>
  <si>
    <t>308.3</t>
  </si>
  <si>
    <t>169.8</t>
  </si>
  <si>
    <t>155.4</t>
  </si>
  <si>
    <t>83.0</t>
  </si>
  <si>
    <t>10.3</t>
  </si>
  <si>
    <t>0.4</t>
  </si>
  <si>
    <t>738.4</t>
  </si>
  <si>
    <t>587.3</t>
  </si>
  <si>
    <t>497.6</t>
  </si>
  <si>
    <t>434.3</t>
  </si>
  <si>
    <t>385.7</t>
  </si>
  <si>
    <t>343.8</t>
  </si>
  <si>
    <t>304.4</t>
  </si>
  <si>
    <t>267.0</t>
  </si>
  <si>
    <t>198.9</t>
  </si>
  <si>
    <t>139.6</t>
  </si>
  <si>
    <t>51.6</t>
  </si>
  <si>
    <t>14.2</t>
  </si>
  <si>
    <t>20.1</t>
  </si>
  <si>
    <t>2469 kW / s</t>
  </si>
  <si>
    <t>3466 kW / s</t>
  </si>
  <si>
    <t>517 kW / s</t>
  </si>
  <si>
    <t>18°C</t>
  </si>
  <si>
    <t>42°C</t>
  </si>
  <si>
    <t>33°C</t>
  </si>
  <si>
    <t>35°C</t>
  </si>
  <si>
    <t>85°C</t>
  </si>
  <si>
    <t>66°C</t>
  </si>
  <si>
    <t>Acceleration Time:  11.8 s</t>
  </si>
  <si>
    <t>2.0°C / s</t>
  </si>
  <si>
    <t>7.0°C / s</t>
  </si>
  <si>
    <t>5.4°C / s</t>
  </si>
  <si>
    <t>275.5 kW</t>
  </si>
  <si>
    <t>571.3 kW</t>
  </si>
  <si>
    <t>85.2 kW</t>
  </si>
  <si>
    <t>81.0 s</t>
  </si>
  <si>
    <t>37.2 s</t>
  </si>
  <si>
    <t>33.1 s</t>
  </si>
  <si>
    <t>70°C    +</t>
  </si>
  <si>
    <t>94°C    +</t>
  </si>
  <si>
    <t>90°C    +</t>
  </si>
  <si>
    <t>166°C   +</t>
  </si>
  <si>
    <t>86°C   +</t>
  </si>
  <si>
    <t>45.6 s</t>
  </si>
  <si>
    <t>23.8 s</t>
  </si>
  <si>
    <t>15.8 s</t>
  </si>
  <si>
    <t>73.4 s</t>
  </si>
  <si>
    <t>35.2 s</t>
  </si>
  <si>
    <t>Thermal Limit &amp; Acceleration Curves</t>
  </si>
  <si>
    <t>Design Values (For Reference Only)</t>
  </si>
  <si>
    <t>Cold</t>
  </si>
  <si>
    <t>Hot</t>
  </si>
  <si>
    <t>CURRENT (%)</t>
  </si>
  <si>
    <t>Accel. Time</t>
  </si>
  <si>
    <t>Winding Data Calculation</t>
  </si>
  <si>
    <t>MCL: 1367.0</t>
  </si>
  <si>
    <t>Coil Resistance</t>
  </si>
  <si>
    <t>Lead Resistance</t>
  </si>
  <si>
    <t xml:space="preserve">10T: </t>
  </si>
  <si>
    <t>0.0238 ~ 0.0228</t>
  </si>
  <si>
    <t>AWG. 02 x 3</t>
  </si>
  <si>
    <t/>
  </si>
  <si>
    <t>0.00156</t>
  </si>
  <si>
    <t>Coil Dimensions</t>
  </si>
  <si>
    <t>HM:</t>
  </si>
  <si>
    <t>10T: 22.57</t>
  </si>
  <si>
    <t>WM:</t>
  </si>
  <si>
    <t>10T: 10.76</t>
  </si>
  <si>
    <t>WT:</t>
  </si>
  <si>
    <t>14.30 ~ 13.90</t>
  </si>
  <si>
    <t>Insulation Allowance</t>
  </si>
  <si>
    <t>Wire Weight</t>
  </si>
  <si>
    <t>Depth:</t>
  </si>
  <si>
    <t>14.02</t>
  </si>
  <si>
    <t xml:space="preserve"> (.081"x.204")x 2: </t>
  </si>
  <si>
    <t>823 lbs.</t>
  </si>
  <si>
    <t>Width:</t>
  </si>
  <si>
    <t>3.44</t>
  </si>
  <si>
    <t>QC Resistance</t>
  </si>
  <si>
    <t xml:space="preserve">1-2, 2-3, 3-1: </t>
  </si>
  <si>
    <t>0.291 ~ 0.274</t>
  </si>
  <si>
    <t>8006FTQL11E-C</t>
  </si>
  <si>
    <t>A. Gracia</t>
  </si>
  <si>
    <t>70 / 93</t>
  </si>
  <si>
    <t xml:space="preserve"> -</t>
  </si>
  <si>
    <t>QC Limits: CS6800U</t>
  </si>
  <si>
    <t>N/A</t>
  </si>
  <si>
    <t>AG</t>
  </si>
  <si>
    <t>S.Hernandez</t>
  </si>
  <si>
    <t>SH</t>
  </si>
  <si>
    <t>LINK:</t>
  </si>
  <si>
    <t>H402130.rat with Testdata_H402130_Lab#1559_OD fan550.dat</t>
  </si>
  <si>
    <t>Run CS6800U.rat</t>
  </si>
  <si>
    <t>RSO2: 400-FA31-02P</t>
  </si>
  <si>
    <t>INDEX</t>
  </si>
  <si>
    <t>MPCF-1085</t>
  </si>
  <si>
    <t>Industrial Division / Houston Motor Plant</t>
  </si>
  <si>
    <t>SHEET NO.</t>
  </si>
  <si>
    <t>1 of 1</t>
  </si>
  <si>
    <t>ISSUED</t>
  </si>
  <si>
    <t>SUPERSEDES</t>
  </si>
  <si>
    <t>NEW</t>
  </si>
  <si>
    <t>REVISION</t>
  </si>
  <si>
    <t>INDUCTION MOTOR CERTIFIED SOUND TEST RESULTS</t>
  </si>
  <si>
    <t>WRITTEN BY</t>
  </si>
  <si>
    <t>MDC</t>
  </si>
  <si>
    <t>(PER ANSI S12.34)</t>
  </si>
  <si>
    <t>APPROVED BY</t>
  </si>
  <si>
    <t>Paul Anderson</t>
  </si>
  <si>
    <t>CUSTOMER :</t>
  </si>
  <si>
    <t>REF:</t>
  </si>
  <si>
    <t>H402130</t>
  </si>
  <si>
    <t>TIC SR No.:</t>
  </si>
  <si>
    <t>TERMINAL BOX LOCATION:</t>
  </si>
  <si>
    <t>F-1</t>
  </si>
  <si>
    <t>REFERENCE LAB 1559</t>
  </si>
  <si>
    <t>DATE of TEST:</t>
  </si>
  <si>
    <t>MOTOR SERIAL NUMBER:</t>
  </si>
  <si>
    <t>140401364</t>
  </si>
  <si>
    <t xml:space="preserve">TEFC 6P 900HP </t>
  </si>
  <si>
    <t xml:space="preserve"> READINGS TAKEN AT NO-LOAD IN A FREE FIELD AND REPORTED IN PRESSURE</t>
  </si>
  <si>
    <t xml:space="preserve">H402130 </t>
  </si>
  <si>
    <t>TESTED W/O SILENCER AND MOTOR COVER</t>
  </si>
  <si>
    <t>OVERALL dBA SUMMARY</t>
  </si>
  <si>
    <t>dBA</t>
  </si>
  <si>
    <t>LOG VALUES</t>
  </si>
  <si>
    <t xml:space="preserve">AVERAGE </t>
  </si>
  <si>
    <t>Position</t>
  </si>
  <si>
    <t>1)</t>
  </si>
  <si>
    <t>2)</t>
  </si>
  <si>
    <t>3)</t>
  </si>
  <si>
    <t>4)</t>
  </si>
  <si>
    <t>5)</t>
  </si>
  <si>
    <t>6)</t>
  </si>
  <si>
    <t>7)</t>
  </si>
  <si>
    <t>8)</t>
  </si>
  <si>
    <t>9)</t>
  </si>
  <si>
    <t>10)</t>
  </si>
  <si>
    <t>11)</t>
  </si>
  <si>
    <t>13)</t>
  </si>
  <si>
    <t>overall sound:</t>
  </si>
  <si>
    <t>14)</t>
  </si>
  <si>
    <t>15)</t>
  </si>
  <si>
    <t>16)</t>
  </si>
  <si>
    <t>17)</t>
  </si>
  <si>
    <t>18)</t>
  </si>
  <si>
    <t>FRAME</t>
  </si>
  <si>
    <t>Overall Sound :</t>
  </si>
  <si>
    <t>ENCL</t>
  </si>
  <si>
    <t>TEFC</t>
  </si>
  <si>
    <t>SOUND POWER</t>
  </si>
  <si>
    <t>NOTE: Data on Test From</t>
  </si>
  <si>
    <t>This</t>
  </si>
  <si>
    <t>Motor.</t>
  </si>
  <si>
    <t>(This or Duplicate)</t>
  </si>
  <si>
    <t>LAB NO.:</t>
  </si>
  <si>
    <t>CERTIFIED BY:</t>
  </si>
  <si>
    <t>JERRY R</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</si>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</sst>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0.0000"/>
    <numFmt numFmtId="165" formatCode="0.000"/>
    <numFmt numFmtId="166" formatCode="0.0"/>
    <numFmt numFmtId="167" formatCode="0.0%"/>
    <numFmt numFmtId="168" formatCode=".0000"/>
    <numFmt numFmtId="169" formatCode="mm/dd/yy"/>
    <numFmt numFmtId="170" formatCode="0.00_);\(0.00\)"/>
    <numFmt numFmtId="171" formatCode="General_)"/>
    <numFmt numFmtId="172" formatCode="m/d/yy"/>
    <numFmt numFmtId="173" formatCode="@\ &quot;Hz&quot;"/>
    <numFmt numFmtId="174" formatCode="0\°\C"/>
    <numFmt numFmtId="175" formatCode="0.0;[Red]0.0"/>
    <numFmt numFmtId="176" formatCode="@\ &quot;dBA&quot;"/>
    <numFmt numFmtId="177" formatCode="@&quot;Hz&quot;"/>
    <numFmt numFmtId="178" formatCode="@\ &quot;kHz&quot;"/>
  </numFmts>
  <fonts count="78">
    <font>
      <sz val="10"/>
      <name val="Arial"/>
    </font>
    <font>
      <sz val="10"/>
      <name val="Arial"/>
      <family val="2"/>
    </font>
    <font>
      <sz val="10"/>
      <name val="Times New Roman"/>
      <family val="1"/>
    </font>
    <font>
      <i/>
      <sz val="10"/>
      <name val="Times New Roman"/>
      <family val="1"/>
    </font>
    <font>
      <b/>
      <i/>
      <sz val="10"/>
      <name val="Times New Roman"/>
      <family val="1"/>
    </font>
    <font>
      <sz val="8"/>
      <name val="Times New Roman"/>
      <family val="1"/>
    </font>
    <font>
      <b/>
      <sz val="14"/>
      <name val="Times New Roman"/>
      <family val="1"/>
    </font>
    <font>
      <i/>
      <sz val="10"/>
      <name val="Times New Roman"/>
      <family val="1"/>
    </font>
    <font>
      <sz val="10"/>
      <name val="Times New Roman"/>
      <family val="1"/>
    </font>
    <font>
      <i/>
      <sz val="9"/>
      <name val="Times New Roman"/>
      <family val="1"/>
    </font>
    <font>
      <b/>
      <i/>
      <sz val="10"/>
      <name val="Times New Roman"/>
      <family val="1"/>
    </font>
    <font>
      <i/>
      <sz val="10"/>
      <name val="Times New Roman"/>
      <family val="1"/>
    </font>
    <font>
      <i/>
      <vertAlign val="superscript"/>
      <sz val="10"/>
      <name val="Times New Roman"/>
      <family val="1"/>
    </font>
    <font>
      <b/>
      <sz val="10"/>
      <name val="Times New Roman"/>
      <family val="1"/>
    </font>
    <font>
      <sz val="12"/>
      <name val="Univers (W1)"/>
    </font>
    <font>
      <b/>
      <sz val="16"/>
      <name val="Times New Roman"/>
      <family val="1"/>
    </font>
    <font>
      <sz val="9"/>
      <color indexed="8"/>
      <name val="Times New Roman"/>
      <family val="1"/>
    </font>
    <font>
      <sz val="12"/>
      <color indexed="8"/>
      <name val="Univers (W1)"/>
    </font>
    <font>
      <b/>
      <sz val="14"/>
      <color indexed="8"/>
      <name val="Times New Roman"/>
      <family val="1"/>
    </font>
    <font>
      <b/>
      <i/>
      <sz val="12"/>
      <color indexed="8"/>
      <name val="Times New Roman"/>
      <family val="1"/>
    </font>
    <font>
      <sz val="12"/>
      <color indexed="8"/>
      <name val="Times New Roman"/>
      <family val="1"/>
    </font>
    <font>
      <sz val="11"/>
      <color indexed="8"/>
      <name val="Times New Roman"/>
      <family val="1"/>
    </font>
    <font>
      <b/>
      <sz val="12"/>
      <name val="Times New Roman"/>
      <family val="1"/>
    </font>
    <font>
      <sz val="10"/>
      <color indexed="8"/>
      <name val="Times New Roman"/>
      <family val="1"/>
    </font>
    <font>
      <b/>
      <sz val="12"/>
      <color indexed="8"/>
      <name val="Times New Roman"/>
      <family val="1"/>
    </font>
    <font>
      <sz val="10"/>
      <color indexed="8"/>
      <name val="Univers (W1)"/>
    </font>
    <font>
      <b/>
      <i/>
      <sz val="11"/>
      <color indexed="8"/>
      <name val="Times New Roman"/>
      <family val="1"/>
    </font>
    <font>
      <sz val="8"/>
      <color indexed="8"/>
      <name val="Times New Roman"/>
      <family val="1"/>
    </font>
    <font>
      <i/>
      <sz val="10"/>
      <color indexed="8"/>
      <name val="Times New Roman"/>
      <family val="1"/>
    </font>
    <font>
      <b/>
      <sz val="11"/>
      <color indexed="8"/>
      <name val="Univers (W1)"/>
      <family val="2"/>
    </font>
    <font>
      <b/>
      <sz val="10"/>
      <color indexed="8"/>
      <name val="Univers (W1)"/>
    </font>
    <font>
      <i/>
      <sz val="11"/>
      <color indexed="8"/>
      <name val="Times New Roman"/>
      <family val="1"/>
    </font>
    <font>
      <b/>
      <i/>
      <sz val="11"/>
      <color indexed="8"/>
      <name val="Univers (W1)"/>
      <family val="2"/>
    </font>
    <font>
      <i/>
      <sz val="11"/>
      <color indexed="8"/>
      <name val="Symbol"/>
      <family val="1"/>
      <charset val="2"/>
    </font>
    <font>
      <i/>
      <sz val="9"/>
      <color indexed="8"/>
      <name val="Times New Roman"/>
      <family val="1"/>
    </font>
    <font>
      <i/>
      <sz val="8"/>
      <color indexed="8"/>
      <name val="Times New Roman"/>
      <family val="1"/>
    </font>
    <font>
      <b/>
      <sz val="10"/>
      <color indexed="8"/>
      <name val="Times New Roman"/>
      <family val="1"/>
    </font>
    <font>
      <b/>
      <i/>
      <vertAlign val="superscript"/>
      <sz val="12"/>
      <color indexed="8"/>
      <name val="Times New Roman"/>
      <family val="1"/>
    </font>
    <font>
      <b/>
      <i/>
      <sz val="10"/>
      <color indexed="8"/>
      <name val="Times New Roman"/>
      <family val="1"/>
    </font>
    <font>
      <u/>
      <sz val="10"/>
      <color indexed="8"/>
      <name val="Univers (W1)"/>
    </font>
    <font>
      <sz val="10"/>
      <color indexed="8"/>
      <name val="Univers"/>
      <family val="2"/>
    </font>
    <font>
      <sz val="10"/>
      <color indexed="8"/>
      <name val="WP Greek Century"/>
      <charset val="2"/>
    </font>
    <font>
      <b/>
      <i/>
      <sz val="12"/>
      <color indexed="8"/>
      <name val="Brush Script MT"/>
      <family val="4"/>
    </font>
    <font>
      <b/>
      <sz val="8"/>
      <color indexed="81"/>
      <name val="Tahoma"/>
      <family val="2"/>
    </font>
    <font>
      <sz val="8"/>
      <color indexed="81"/>
      <name val="Tahoma"/>
      <family val="2"/>
    </font>
    <font>
      <b/>
      <sz val="10"/>
      <name val="Arial"/>
      <family val="2"/>
    </font>
    <font>
      <b/>
      <sz val="14"/>
      <name val="Arial"/>
      <family val="2"/>
    </font>
    <font>
      <b/>
      <sz val="12"/>
      <name val="Arial"/>
      <family val="2"/>
    </font>
    <font>
      <sz val="14"/>
      <name val="Times New Roman"/>
      <family val="1"/>
    </font>
    <font>
      <b/>
      <u/>
      <sz val="22"/>
      <name val="Times New Roman"/>
      <family val="1"/>
    </font>
    <font>
      <b/>
      <u/>
      <sz val="16"/>
      <name val="Times New Roman"/>
      <family val="1"/>
    </font>
    <font>
      <b/>
      <i/>
      <sz val="14"/>
      <name val="Times New Roman"/>
      <family val="1"/>
    </font>
    <font>
      <sz val="12"/>
      <name val="Times New Roman"/>
      <family val="1"/>
    </font>
    <font>
      <i/>
      <sz val="12"/>
      <name val="Times New Roman"/>
      <family val="1"/>
    </font>
    <font>
      <b/>
      <i/>
      <sz val="12"/>
      <name val="Times New Roman"/>
      <family val="1"/>
    </font>
    <font>
      <b/>
      <i/>
      <u/>
      <sz val="14"/>
      <name val="Times New Roman"/>
      <family val="1"/>
    </font>
    <font>
      <sz val="10"/>
      <color indexed="9"/>
      <name val="Arial"/>
      <family val="2"/>
    </font>
    <font>
      <sz val="10"/>
      <color indexed="8"/>
      <name val="Arial"/>
      <family val="2"/>
    </font>
    <font>
      <sz val="10"/>
      <name val="Helv"/>
    </font>
    <font>
      <sz val="14"/>
      <name val="Univers (W1)"/>
      <family val="2"/>
    </font>
    <font>
      <sz val="8"/>
      <name val="Univers (W1)"/>
      <family val="2"/>
    </font>
    <font>
      <sz val="10"/>
      <name val="Univers (W1)"/>
      <family val="2"/>
    </font>
    <font>
      <sz val="15"/>
      <name val="Univers (W1)"/>
      <family val="2"/>
    </font>
    <font>
      <sz val="11"/>
      <name val="Univers (W1)"/>
    </font>
    <font>
      <sz val="12"/>
      <name val="Univers (W1)"/>
      <family val="2"/>
    </font>
    <font>
      <sz val="10"/>
      <name val="Script"/>
    </font>
    <font>
      <sz val="10"/>
      <name val="Univers (W1)"/>
    </font>
    <font>
      <b/>
      <sz val="12"/>
      <name val="Univers (W1)"/>
    </font>
    <font>
      <sz val="9"/>
      <name val="Univers (W1)"/>
      <family val="2"/>
    </font>
    <font>
      <sz val="13"/>
      <name val="Univers (W1)"/>
      <family val="2"/>
    </font>
    <font>
      <sz val="13"/>
      <name val="Univers (W1)"/>
    </font>
    <font>
      <sz val="9"/>
      <name val="Univers (W1)"/>
    </font>
    <font>
      <u/>
      <sz val="8"/>
      <name val="Univers (W1)"/>
    </font>
    <font>
      <b/>
      <sz val="10"/>
      <name val="Helv"/>
    </font>
    <font>
      <i/>
      <sz val="13"/>
      <name val="Univers (W1)"/>
      <family val="2"/>
    </font>
    <font>
      <i/>
      <sz val="13"/>
      <name val="Arial"/>
      <family val="2"/>
    </font>
    <font>
      <i/>
      <sz val="13"/>
      <name val="Univers (W1)"/>
    </font>
    <font>
      <b/>
      <sz val="13"/>
      <name val="Univers (W1)"/>
      <family val="2"/>
    </font>
  </fonts>
  <fills count="4">
    <fill>
      <patternFill patternType="none"/>
    </fill>
    <fill>
      <patternFill patternType="gray125"/>
    </fill>
    <fill>
      <patternFill patternType="solid">
        <fgColor indexed="9"/>
        <bgColor indexed="64"/>
      </patternFill>
    </fill>
    <fill>
      <patternFill patternType="solid">
        <fgColor indexed="26"/>
        <bgColor indexed="64"/>
      </patternFill>
    </fill>
  </fills>
  <borders count="13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right style="medium">
        <color indexed="64"/>
      </right>
      <top/>
      <bottom/>
      <diagonal/>
    </border>
    <border>
      <left style="thin">
        <color indexed="64"/>
      </left>
      <right style="thin">
        <color indexed="64"/>
      </right>
      <top style="medium">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bottom/>
      <diagonal/>
    </border>
    <border>
      <left style="thin">
        <color indexed="64"/>
      </left>
      <right/>
      <top/>
      <bottom/>
      <diagonal/>
    </border>
    <border>
      <left style="thin">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hair">
        <color indexed="23"/>
      </right>
      <top/>
      <bottom/>
      <diagonal/>
    </border>
    <border>
      <left style="hair">
        <color indexed="23"/>
      </left>
      <right style="hair">
        <color indexed="23"/>
      </right>
      <top/>
      <bottom/>
      <diagonal/>
    </border>
    <border>
      <left style="medium">
        <color indexed="64"/>
      </left>
      <right style="hair">
        <color indexed="23"/>
      </right>
      <top/>
      <bottom style="hair">
        <color indexed="23"/>
      </bottom>
      <diagonal/>
    </border>
    <border>
      <left style="hair">
        <color indexed="23"/>
      </left>
      <right style="hair">
        <color indexed="23"/>
      </right>
      <top/>
      <bottom style="hair">
        <color indexed="23"/>
      </bottom>
      <diagonal/>
    </border>
    <border>
      <left style="hair">
        <color indexed="23"/>
      </left>
      <right/>
      <top/>
      <bottom/>
      <diagonal/>
    </border>
    <border>
      <left style="thin">
        <color indexed="64"/>
      </left>
      <right/>
      <top style="thin">
        <color indexed="64"/>
      </top>
      <bottom/>
      <diagonal/>
    </border>
    <border>
      <left/>
      <right/>
      <top style="thin">
        <color indexed="64"/>
      </top>
      <bottom/>
      <diagonal/>
    </border>
    <border>
      <left style="medium">
        <color indexed="64"/>
      </left>
      <right style="hair">
        <color indexed="23"/>
      </right>
      <top style="hair">
        <color indexed="23"/>
      </top>
      <bottom style="hair">
        <color indexed="23"/>
      </bottom>
      <diagonal/>
    </border>
    <border>
      <left style="hair">
        <color indexed="23"/>
      </left>
      <right style="hair">
        <color indexed="23"/>
      </right>
      <top style="hair">
        <color indexed="23"/>
      </top>
      <bottom style="hair">
        <color indexed="23"/>
      </bottom>
      <diagonal/>
    </border>
    <border>
      <left style="hair">
        <color indexed="23"/>
      </left>
      <right/>
      <top style="hair">
        <color indexed="55"/>
      </top>
      <bottom style="hair">
        <color indexed="55"/>
      </bottom>
      <diagonal/>
    </border>
    <border>
      <left/>
      <right style="thin">
        <color indexed="64"/>
      </right>
      <top style="hair">
        <color indexed="55"/>
      </top>
      <bottom style="hair">
        <color indexed="55"/>
      </bottom>
      <diagonal/>
    </border>
    <border>
      <left style="thin">
        <color indexed="64"/>
      </left>
      <right/>
      <top style="hair">
        <color indexed="23"/>
      </top>
      <bottom style="hair">
        <color indexed="23"/>
      </bottom>
      <diagonal/>
    </border>
    <border>
      <left/>
      <right/>
      <top style="hair">
        <color indexed="23"/>
      </top>
      <bottom style="hair">
        <color indexed="23"/>
      </bottom>
      <diagonal/>
    </border>
    <border>
      <left/>
      <right style="hair">
        <color indexed="23"/>
      </right>
      <top style="hair">
        <color indexed="23"/>
      </top>
      <bottom style="hair">
        <color indexed="23"/>
      </bottom>
      <diagonal/>
    </border>
    <border>
      <left style="hair">
        <color indexed="23"/>
      </left>
      <right style="medium">
        <color indexed="64"/>
      </right>
      <top style="hair">
        <color indexed="23"/>
      </top>
      <bottom style="hair">
        <color indexed="23"/>
      </bottom>
      <diagonal/>
    </border>
    <border>
      <left style="thin">
        <color indexed="64"/>
      </left>
      <right/>
      <top/>
      <bottom style="hair">
        <color indexed="23"/>
      </bottom>
      <diagonal/>
    </border>
    <border>
      <left/>
      <right/>
      <top/>
      <bottom style="hair">
        <color indexed="23"/>
      </bottom>
      <diagonal/>
    </border>
    <border>
      <left/>
      <right style="hair">
        <color indexed="23"/>
      </right>
      <top/>
      <bottom style="hair">
        <color indexed="23"/>
      </bottom>
      <diagonal/>
    </border>
    <border>
      <left/>
      <right style="medium">
        <color indexed="64"/>
      </right>
      <top style="hair">
        <color indexed="23"/>
      </top>
      <bottom style="hair">
        <color indexed="23"/>
      </bottom>
      <diagonal/>
    </border>
    <border>
      <left style="medium">
        <color indexed="64"/>
      </left>
      <right/>
      <top style="hair">
        <color indexed="23"/>
      </top>
      <bottom style="hair">
        <color indexed="23"/>
      </bottom>
      <diagonal/>
    </border>
    <border>
      <left style="thin">
        <color indexed="64"/>
      </left>
      <right/>
      <top style="hair">
        <color indexed="23"/>
      </top>
      <bottom style="thin">
        <color indexed="64"/>
      </bottom>
      <diagonal/>
    </border>
    <border>
      <left/>
      <right/>
      <top style="hair">
        <color indexed="23"/>
      </top>
      <bottom style="thin">
        <color indexed="64"/>
      </bottom>
      <diagonal/>
    </border>
    <border>
      <left style="hair">
        <color indexed="23"/>
      </left>
      <right style="hair">
        <color indexed="23"/>
      </right>
      <top style="hair">
        <color indexed="23"/>
      </top>
      <bottom style="thin">
        <color indexed="64"/>
      </bottom>
      <diagonal/>
    </border>
    <border>
      <left/>
      <right style="medium">
        <color indexed="64"/>
      </right>
      <top style="hair">
        <color indexed="23"/>
      </top>
      <bottom style="thin">
        <color indexed="64"/>
      </bottom>
      <diagonal/>
    </border>
    <border>
      <left style="thin">
        <color indexed="64"/>
      </left>
      <right/>
      <top style="thin">
        <color indexed="64"/>
      </top>
      <bottom style="hair">
        <color indexed="23"/>
      </bottom>
      <diagonal/>
    </border>
    <border>
      <left/>
      <right/>
      <top style="thin">
        <color indexed="64"/>
      </top>
      <bottom style="hair">
        <color indexed="23"/>
      </bottom>
      <diagonal/>
    </border>
    <border>
      <left/>
      <right style="medium">
        <color indexed="64"/>
      </right>
      <top style="thin">
        <color indexed="64"/>
      </top>
      <bottom style="hair">
        <color indexed="23"/>
      </bottom>
      <diagonal/>
    </border>
    <border>
      <left/>
      <right style="medium">
        <color indexed="64"/>
      </right>
      <top/>
      <bottom style="hair">
        <color indexed="23"/>
      </bottom>
      <diagonal/>
    </border>
    <border>
      <left style="thin">
        <color indexed="64"/>
      </left>
      <right/>
      <top/>
      <bottom style="thin">
        <color indexed="64"/>
      </bottom>
      <diagonal/>
    </border>
    <border>
      <left style="hair">
        <color indexed="23"/>
      </left>
      <right/>
      <top style="hair">
        <color indexed="23"/>
      </top>
      <bottom style="hair">
        <color indexed="23"/>
      </bottom>
      <diagonal/>
    </border>
    <border>
      <left style="thin">
        <color indexed="64"/>
      </left>
      <right/>
      <top style="hair">
        <color indexed="23"/>
      </top>
      <bottom/>
      <diagonal/>
    </border>
    <border>
      <left/>
      <right/>
      <top style="hair">
        <color indexed="23"/>
      </top>
      <bottom/>
      <diagonal/>
    </border>
    <border>
      <left style="medium">
        <color indexed="64"/>
      </left>
      <right/>
      <top style="hair">
        <color indexed="55"/>
      </top>
      <bottom style="hair">
        <color indexed="55"/>
      </bottom>
      <diagonal/>
    </border>
    <border>
      <left/>
      <right/>
      <top style="hair">
        <color indexed="55"/>
      </top>
      <bottom style="hair">
        <color indexed="55"/>
      </bottom>
      <diagonal/>
    </border>
    <border>
      <left/>
      <right style="hair">
        <color indexed="55"/>
      </right>
      <top style="hair">
        <color indexed="55"/>
      </top>
      <bottom style="hair">
        <color indexed="55"/>
      </bottom>
      <diagonal/>
    </border>
    <border>
      <left style="hair">
        <color indexed="55"/>
      </left>
      <right/>
      <top style="hair">
        <color indexed="55"/>
      </top>
      <bottom style="hair">
        <color indexed="55"/>
      </bottom>
      <diagonal/>
    </border>
    <border>
      <left/>
      <right style="hair">
        <color indexed="55"/>
      </right>
      <top style="hair">
        <color indexed="55"/>
      </top>
      <bottom style="hair">
        <color indexed="23"/>
      </bottom>
      <diagonal/>
    </border>
    <border>
      <left style="medium">
        <color indexed="64"/>
      </left>
      <right style="hair">
        <color indexed="23"/>
      </right>
      <top/>
      <bottom/>
      <diagonal/>
    </border>
    <border>
      <left style="hair">
        <color indexed="23"/>
      </left>
      <right/>
      <top style="hair">
        <color indexed="23"/>
      </top>
      <bottom/>
      <diagonal/>
    </border>
    <border>
      <left/>
      <right style="hair">
        <color indexed="23"/>
      </right>
      <top style="hair">
        <color indexed="23"/>
      </top>
      <bottom/>
      <diagonal/>
    </border>
    <border>
      <left/>
      <right style="medium">
        <color indexed="64"/>
      </right>
      <top style="hair">
        <color indexed="23"/>
      </top>
      <bottom/>
      <diagonal/>
    </border>
    <border>
      <left style="medium">
        <color indexed="64"/>
      </left>
      <right style="hair">
        <color indexed="23"/>
      </right>
      <top/>
      <bottom style="thin">
        <color indexed="64"/>
      </bottom>
      <diagonal/>
    </border>
    <border>
      <left/>
      <right style="hair">
        <color indexed="23"/>
      </right>
      <top style="hair">
        <color indexed="23"/>
      </top>
      <bottom style="thin">
        <color indexed="64"/>
      </bottom>
      <diagonal/>
    </border>
    <border>
      <left style="hair">
        <color indexed="23"/>
      </left>
      <right/>
      <top style="hair">
        <color indexed="55"/>
      </top>
      <bottom style="thin">
        <color indexed="64"/>
      </bottom>
      <diagonal/>
    </border>
    <border>
      <left/>
      <right style="thin">
        <color indexed="64"/>
      </right>
      <top style="hair">
        <color indexed="55"/>
      </top>
      <bottom style="thin">
        <color indexed="64"/>
      </bottom>
      <diagonal/>
    </border>
    <border>
      <left style="medium">
        <color indexed="64"/>
      </left>
      <right/>
      <top style="thin">
        <color indexed="64"/>
      </top>
      <bottom/>
      <diagonal/>
    </border>
    <border>
      <left style="hair">
        <color indexed="23"/>
      </left>
      <right/>
      <top/>
      <bottom style="hair">
        <color indexed="23"/>
      </bottom>
      <diagonal/>
    </border>
    <border>
      <left style="medium">
        <color indexed="64"/>
      </left>
      <right/>
      <top style="hair">
        <color indexed="64"/>
      </top>
      <bottom style="thin">
        <color indexed="64"/>
      </bottom>
      <diagonal/>
    </border>
    <border>
      <left/>
      <right/>
      <top style="hair">
        <color indexed="64"/>
      </top>
      <bottom style="thin">
        <color indexed="64"/>
      </bottom>
      <diagonal/>
    </border>
    <border>
      <left/>
      <right style="hair">
        <color indexed="23"/>
      </right>
      <top style="hair">
        <color indexed="64"/>
      </top>
      <bottom style="thin">
        <color indexed="64"/>
      </bottom>
      <diagonal/>
    </border>
    <border>
      <left style="hair">
        <color indexed="23"/>
      </left>
      <right/>
      <top style="hair">
        <color indexed="23"/>
      </top>
      <bottom style="thin">
        <color indexed="64"/>
      </bottom>
      <diagonal/>
    </border>
    <border>
      <left style="medium">
        <color indexed="64"/>
      </left>
      <right/>
      <top/>
      <bottom style="thin">
        <color indexed="64"/>
      </bottom>
      <diagonal/>
    </border>
    <border>
      <left style="thin">
        <color indexed="64"/>
      </left>
      <right/>
      <top/>
      <bottom style="hair">
        <color indexed="55"/>
      </bottom>
      <diagonal/>
    </border>
    <border>
      <left/>
      <right style="hair">
        <color indexed="23"/>
      </right>
      <top/>
      <bottom style="hair">
        <color indexed="55"/>
      </bottom>
      <diagonal/>
    </border>
    <border>
      <left style="hair">
        <color indexed="23"/>
      </left>
      <right style="hair">
        <color indexed="23"/>
      </right>
      <top style="hair">
        <color indexed="23"/>
      </top>
      <bottom style="hair">
        <color indexed="55"/>
      </bottom>
      <diagonal/>
    </border>
    <border>
      <left style="hair">
        <color indexed="23"/>
      </left>
      <right style="medium">
        <color indexed="64"/>
      </right>
      <top style="hair">
        <color indexed="23"/>
      </top>
      <bottom style="hair">
        <color indexed="55"/>
      </bottom>
      <diagonal/>
    </border>
    <border>
      <left style="hair">
        <color indexed="23"/>
      </left>
      <right style="medium">
        <color indexed="64"/>
      </right>
      <top/>
      <bottom style="hair">
        <color indexed="23"/>
      </bottom>
      <diagonal/>
    </border>
    <border>
      <left style="hair">
        <color indexed="23"/>
      </left>
      <right style="medium">
        <color indexed="64"/>
      </right>
      <top style="hair">
        <color indexed="23"/>
      </top>
      <bottom style="thin">
        <color indexed="64"/>
      </bottom>
      <diagonal/>
    </border>
    <border>
      <left style="medium">
        <color indexed="64"/>
      </left>
      <right style="hair">
        <color indexed="23"/>
      </right>
      <top style="medium">
        <color indexed="64"/>
      </top>
      <bottom style="hair">
        <color indexed="64"/>
      </bottom>
      <diagonal/>
    </border>
    <border>
      <left style="hair">
        <color indexed="23"/>
      </left>
      <right/>
      <top style="medium">
        <color indexed="64"/>
      </top>
      <bottom style="hair">
        <color indexed="23"/>
      </bottom>
      <diagonal/>
    </border>
    <border>
      <left/>
      <right style="hair">
        <color indexed="23"/>
      </right>
      <top style="medium">
        <color indexed="64"/>
      </top>
      <bottom style="hair">
        <color indexed="23"/>
      </bottom>
      <diagonal/>
    </border>
    <border>
      <left/>
      <right/>
      <top style="medium">
        <color indexed="64"/>
      </top>
      <bottom style="hair">
        <color indexed="23"/>
      </bottom>
      <diagonal/>
    </border>
    <border>
      <left style="hair">
        <color indexed="64"/>
      </left>
      <right style="medium">
        <color indexed="64"/>
      </right>
      <top style="medium">
        <color indexed="64"/>
      </top>
      <bottom style="hair">
        <color indexed="23"/>
      </bottom>
      <diagonal/>
    </border>
    <border>
      <left style="medium">
        <color indexed="64"/>
      </left>
      <right style="hair">
        <color indexed="64"/>
      </right>
      <top/>
      <bottom style="medium">
        <color indexed="64"/>
      </bottom>
      <diagonal/>
    </border>
    <border>
      <left style="hair">
        <color indexed="64"/>
      </left>
      <right/>
      <top style="hair">
        <color indexed="23"/>
      </top>
      <bottom style="medium">
        <color indexed="64"/>
      </bottom>
      <diagonal/>
    </border>
    <border>
      <left/>
      <right style="hair">
        <color indexed="23"/>
      </right>
      <top style="hair">
        <color indexed="23"/>
      </top>
      <bottom style="medium">
        <color indexed="64"/>
      </bottom>
      <diagonal/>
    </border>
    <border>
      <left style="hair">
        <color indexed="23"/>
      </left>
      <right style="medium">
        <color indexed="64"/>
      </right>
      <top/>
      <bottom style="medium">
        <color indexed="64"/>
      </bottom>
      <diagonal/>
    </border>
    <border>
      <left/>
      <right/>
      <top style="hair">
        <color indexed="23"/>
      </top>
      <bottom style="medium">
        <color indexed="64"/>
      </bottom>
      <diagonal/>
    </border>
    <border>
      <left/>
      <right style="medium">
        <color indexed="64"/>
      </right>
      <top style="hair">
        <color indexed="23"/>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bottom style="double">
        <color indexed="64"/>
      </bottom>
      <diagonal/>
    </border>
    <border>
      <left/>
      <right/>
      <top/>
      <bottom style="thin">
        <color indexed="8"/>
      </bottom>
      <diagonal/>
    </border>
  </borders>
  <cellStyleXfs count="8">
    <xf numFmtId="0" fontId="0" fillId="0" borderId="0"/>
    <xf numFmtId="0" fontId="14" fillId="0" borderId="0"/>
    <xf numFmtId="0" fontId="14" fillId="0" borderId="0"/>
    <xf numFmtId="0" fontId="1" fillId="0" borderId="0"/>
    <xf numFmtId="0" fontId="1" fillId="0" borderId="0"/>
    <xf numFmtId="171" fontId="58" fillId="0" borderId="0"/>
    <xf numFmtId="0" fontId="1" fillId="0" borderId="0"/>
    <xf numFmtId="171" fontId="58" fillId="0" borderId="0"/>
  </cellStyleXfs>
  <cellXfs count="690">
    <xf numFmtId="0" fontId="0" fillId="0" borderId="0" xfId="0"/>
    <xf numFmtId="0" fontId="2" fillId="0" borderId="0" xfId="0" applyFont="1"/>
    <xf numFmtId="0" fontId="0" fillId="0" borderId="0" xfId="0" applyAlignment="1">
      <alignment horizontal="centerContinuous"/>
    </xf>
    <xf numFmtId="0" fontId="3" fillId="0" borderId="1" xfId="0" applyFont="1" applyBorder="1" applyAlignment="1">
      <alignment horizontal="center"/>
    </xf>
    <xf numFmtId="0" fontId="3" fillId="0" borderId="1" xfId="0" applyFont="1" applyBorder="1"/>
    <xf numFmtId="0" fontId="4" fillId="0" borderId="2" xfId="0" applyFont="1" applyBorder="1"/>
    <xf numFmtId="0" fontId="3" fillId="0" borderId="3" xfId="0" applyFont="1" applyBorder="1"/>
    <xf numFmtId="0" fontId="2" fillId="0" borderId="3" xfId="0" applyFont="1" applyBorder="1"/>
    <xf numFmtId="0" fontId="2" fillId="0" borderId="4" xfId="0" applyFont="1" applyBorder="1"/>
    <xf numFmtId="0" fontId="3" fillId="0" borderId="1"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4" fillId="0" borderId="5" xfId="0" applyFont="1" applyBorder="1" applyAlignment="1">
      <alignment horizontal="center"/>
    </xf>
    <xf numFmtId="0" fontId="4" fillId="0" borderId="6" xfId="0" applyFont="1" applyBorder="1"/>
    <xf numFmtId="0" fontId="2" fillId="0" borderId="7" xfId="0" applyFont="1" applyBorder="1"/>
    <xf numFmtId="0" fontId="2" fillId="0" borderId="8" xfId="0" applyFont="1" applyBorder="1"/>
    <xf numFmtId="0" fontId="3" fillId="0" borderId="9" xfId="0" applyFont="1" applyBorder="1" applyAlignment="1">
      <alignment horizontal="center"/>
    </xf>
    <xf numFmtId="0" fontId="3" fillId="0" borderId="4" xfId="0" applyFont="1" applyBorder="1"/>
    <xf numFmtId="0" fontId="2" fillId="0" borderId="0" xfId="0" applyFont="1" applyAlignment="1">
      <alignment horizontal="centerContinuous"/>
    </xf>
    <xf numFmtId="0" fontId="2" fillId="0" borderId="7" xfId="0" applyFont="1" applyBorder="1" applyAlignment="1">
      <alignment horizontal="centerContinuous"/>
    </xf>
    <xf numFmtId="0" fontId="2" fillId="0" borderId="10" xfId="0" applyFont="1" applyBorder="1"/>
    <xf numFmtId="0" fontId="3" fillId="0" borderId="11" xfId="0" applyFont="1" applyBorder="1" applyAlignment="1">
      <alignment horizontal="right"/>
    </xf>
    <xf numFmtId="0" fontId="3" fillId="0" borderId="7" xfId="0" applyFont="1" applyBorder="1" applyAlignment="1">
      <alignment horizontal="centerContinuous"/>
    </xf>
    <xf numFmtId="0" fontId="4" fillId="0" borderId="12" xfId="0" applyFont="1" applyBorder="1"/>
    <xf numFmtId="0" fontId="3" fillId="0" borderId="13" xfId="0" applyFont="1" applyBorder="1" applyAlignment="1">
      <alignment horizontal="center"/>
    </xf>
    <xf numFmtId="0" fontId="3" fillId="0" borderId="14" xfId="0" applyFont="1" applyBorder="1" applyAlignment="1">
      <alignment horizontal="center"/>
    </xf>
    <xf numFmtId="0" fontId="3" fillId="0" borderId="2" xfId="0" applyFont="1" applyBorder="1" applyAlignment="1">
      <alignment horizontal="right"/>
    </xf>
    <xf numFmtId="0" fontId="2" fillId="0" borderId="14" xfId="0" applyFont="1" applyBorder="1"/>
    <xf numFmtId="0" fontId="4" fillId="0" borderId="15" xfId="0" applyFont="1" applyBorder="1"/>
    <xf numFmtId="0" fontId="2" fillId="0" borderId="14" xfId="0" applyFont="1" applyBorder="1" applyAlignment="1">
      <alignment horizontal="centerContinuous"/>
    </xf>
    <xf numFmtId="0" fontId="2" fillId="0" borderId="16" xfId="0" applyFont="1" applyBorder="1" applyAlignment="1">
      <alignment horizontal="centerContinuous"/>
    </xf>
    <xf numFmtId="0" fontId="3" fillId="0" borderId="9" xfId="0" applyFont="1" applyBorder="1" applyAlignment="1">
      <alignment horizontal="centerContinuous"/>
    </xf>
    <xf numFmtId="0" fontId="5" fillId="0" borderId="0" xfId="0" applyFont="1"/>
    <xf numFmtId="0" fontId="3" fillId="0" borderId="11" xfId="0" applyFont="1" applyBorder="1"/>
    <xf numFmtId="0" fontId="6" fillId="0" borderId="0" xfId="0" applyFont="1" applyAlignment="1">
      <alignment horizontal="centerContinuous"/>
    </xf>
    <xf numFmtId="0" fontId="2" fillId="0" borderId="17" xfId="0" applyFont="1" applyBorder="1" applyAlignment="1">
      <alignment horizontal="right"/>
    </xf>
    <xf numFmtId="0" fontId="3" fillId="0" borderId="18" xfId="0" applyFont="1" applyBorder="1" applyAlignment="1">
      <alignment horizontal="right"/>
    </xf>
    <xf numFmtId="0" fontId="3" fillId="0" borderId="19" xfId="0" applyFont="1" applyBorder="1" applyAlignment="1">
      <alignment horizontal="right"/>
    </xf>
    <xf numFmtId="0" fontId="3" fillId="0" borderId="20" xfId="0" applyFont="1" applyBorder="1" applyAlignment="1">
      <alignment horizontal="right"/>
    </xf>
    <xf numFmtId="0" fontId="2" fillId="0" borderId="21" xfId="0" applyFont="1" applyBorder="1"/>
    <xf numFmtId="0" fontId="3" fillId="0" borderId="22" xfId="0" applyFont="1" applyBorder="1" applyAlignment="1">
      <alignment horizontal="center"/>
    </xf>
    <xf numFmtId="0" fontId="3" fillId="0" borderId="10" xfId="0" applyFont="1" applyBorder="1" applyAlignment="1">
      <alignment horizontal="center"/>
    </xf>
    <xf numFmtId="0" fontId="2" fillId="0" borderId="13" xfId="0" applyFont="1" applyBorder="1"/>
    <xf numFmtId="0" fontId="4" fillId="0" borderId="0" xfId="0" applyFont="1"/>
    <xf numFmtId="0" fontId="7" fillId="0" borderId="0" xfId="0" applyFont="1" applyAlignment="1">
      <alignment horizontal="left"/>
    </xf>
    <xf numFmtId="0" fontId="3" fillId="0" borderId="0" xfId="0" applyFont="1" applyAlignment="1">
      <alignment horizontal="left"/>
    </xf>
    <xf numFmtId="0" fontId="5" fillId="0" borderId="21" xfId="0" applyFont="1" applyBorder="1"/>
    <xf numFmtId="0" fontId="5" fillId="0" borderId="23" xfId="0" applyFont="1" applyBorder="1"/>
    <xf numFmtId="0" fontId="5" fillId="0" borderId="24" xfId="0" applyFont="1" applyBorder="1"/>
    <xf numFmtId="0" fontId="3" fillId="0" borderId="0" xfId="0" applyFont="1" applyAlignment="1">
      <alignment horizontal="right"/>
    </xf>
    <xf numFmtId="0" fontId="2" fillId="0" borderId="25" xfId="0" applyFont="1" applyBorder="1" applyAlignment="1">
      <alignment horizontal="center"/>
    </xf>
    <xf numFmtId="0" fontId="2" fillId="0" borderId="1" xfId="0" applyFont="1" applyBorder="1" applyAlignment="1">
      <alignment horizontal="center"/>
    </xf>
    <xf numFmtId="0" fontId="2" fillId="0" borderId="9" xfId="0" applyFont="1" applyBorder="1" applyAlignment="1">
      <alignment horizontal="center"/>
    </xf>
    <xf numFmtId="0" fontId="2" fillId="0" borderId="0" xfId="0" applyFont="1" applyAlignment="1">
      <alignment horizontal="center"/>
    </xf>
    <xf numFmtId="0" fontId="2" fillId="0" borderId="11" xfId="0" applyFont="1" applyBorder="1" applyAlignment="1">
      <alignment horizontal="center"/>
    </xf>
    <xf numFmtId="0" fontId="2" fillId="0" borderId="26" xfId="0" applyFont="1" applyBorder="1" applyAlignment="1">
      <alignment horizontal="center"/>
    </xf>
    <xf numFmtId="0" fontId="2" fillId="0" borderId="27" xfId="0" applyFont="1" applyBorder="1" applyAlignment="1">
      <alignment horizontal="center"/>
    </xf>
    <xf numFmtId="0" fontId="2" fillId="0" borderId="28" xfId="0" applyFont="1" applyBorder="1" applyAlignment="1">
      <alignment horizontal="center"/>
    </xf>
    <xf numFmtId="0" fontId="2" fillId="0" borderId="29" xfId="0" applyFont="1" applyBorder="1" applyAlignment="1">
      <alignment horizontal="center"/>
    </xf>
    <xf numFmtId="0" fontId="2" fillId="0" borderId="30" xfId="0" applyFont="1" applyBorder="1" applyAlignment="1">
      <alignment horizontal="center"/>
    </xf>
    <xf numFmtId="0" fontId="2" fillId="0" borderId="21" xfId="0" applyFont="1" applyBorder="1" applyAlignment="1">
      <alignment horizontal="center"/>
    </xf>
    <xf numFmtId="0" fontId="2" fillId="0" borderId="24" xfId="0" applyFont="1" applyBorder="1" applyAlignment="1">
      <alignment horizontal="center"/>
    </xf>
    <xf numFmtId="0" fontId="2" fillId="0" borderId="29" xfId="0" applyFont="1" applyBorder="1" applyAlignment="1">
      <alignment horizontal="centerContinuous"/>
    </xf>
    <xf numFmtId="0" fontId="2" fillId="0" borderId="31" xfId="0" applyFont="1" applyBorder="1" applyAlignment="1">
      <alignment horizontal="right"/>
    </xf>
    <xf numFmtId="0" fontId="3" fillId="0" borderId="26" xfId="0" applyFont="1" applyBorder="1" applyAlignment="1">
      <alignment horizontal="right"/>
    </xf>
    <xf numFmtId="0" fontId="3" fillId="0" borderId="30" xfId="0" applyFont="1" applyBorder="1" applyAlignment="1">
      <alignment horizontal="right"/>
    </xf>
    <xf numFmtId="0" fontId="3" fillId="0" borderId="28" xfId="0" applyFont="1" applyBorder="1" applyAlignment="1">
      <alignment horizontal="right"/>
    </xf>
    <xf numFmtId="164" fontId="2" fillId="0" borderId="1" xfId="0" applyNumberFormat="1" applyFont="1" applyBorder="1" applyAlignment="1">
      <alignment horizontal="center"/>
    </xf>
    <xf numFmtId="165" fontId="2" fillId="0" borderId="1" xfId="0" applyNumberFormat="1" applyFont="1" applyBorder="1" applyAlignment="1">
      <alignment horizontal="center"/>
    </xf>
    <xf numFmtId="2" fontId="2" fillId="0" borderId="1" xfId="0" applyNumberFormat="1" applyFont="1" applyBorder="1" applyAlignment="1">
      <alignment horizontal="center"/>
    </xf>
    <xf numFmtId="166" fontId="2" fillId="0" borderId="1" xfId="0" applyNumberFormat="1" applyFont="1" applyBorder="1" applyAlignment="1">
      <alignment horizontal="center"/>
    </xf>
    <xf numFmtId="164" fontId="2" fillId="0" borderId="9" xfId="0" applyNumberFormat="1" applyFont="1" applyBorder="1" applyAlignment="1">
      <alignment horizontal="center"/>
    </xf>
    <xf numFmtId="165" fontId="2" fillId="0" borderId="9" xfId="0" applyNumberFormat="1" applyFont="1" applyBorder="1" applyAlignment="1">
      <alignment horizontal="center"/>
    </xf>
    <xf numFmtId="2" fontId="2" fillId="0" borderId="9" xfId="0" applyNumberFormat="1" applyFont="1" applyBorder="1" applyAlignment="1">
      <alignment horizontal="center"/>
    </xf>
    <xf numFmtId="166" fontId="2" fillId="0" borderId="9" xfId="0" applyNumberFormat="1" applyFont="1" applyBorder="1" applyAlignment="1">
      <alignment horizontal="center"/>
    </xf>
    <xf numFmtId="2" fontId="2" fillId="0" borderId="16" xfId="0" applyNumberFormat="1" applyFont="1" applyBorder="1" applyAlignment="1">
      <alignment horizontal="center"/>
    </xf>
    <xf numFmtId="2" fontId="2" fillId="0" borderId="32" xfId="0" applyNumberFormat="1" applyFont="1" applyBorder="1" applyAlignment="1">
      <alignment horizontal="center"/>
    </xf>
    <xf numFmtId="165" fontId="2" fillId="0" borderId="25" xfId="0" applyNumberFormat="1" applyFont="1" applyBorder="1" applyAlignment="1">
      <alignment horizontal="center"/>
    </xf>
    <xf numFmtId="166" fontId="2" fillId="0" borderId="25" xfId="0" applyNumberFormat="1" applyFont="1" applyBorder="1" applyAlignment="1">
      <alignment horizontal="center"/>
    </xf>
    <xf numFmtId="165" fontId="2" fillId="0" borderId="11" xfId="0" applyNumberFormat="1" applyFont="1" applyBorder="1" applyAlignment="1">
      <alignment horizontal="center"/>
    </xf>
    <xf numFmtId="2" fontId="2" fillId="0" borderId="11" xfId="0" applyNumberFormat="1" applyFont="1" applyBorder="1" applyAlignment="1">
      <alignment horizontal="center"/>
    </xf>
    <xf numFmtId="165" fontId="2" fillId="0" borderId="33" xfId="0" applyNumberFormat="1" applyFont="1" applyBorder="1" applyAlignment="1">
      <alignment horizontal="center"/>
    </xf>
    <xf numFmtId="2" fontId="2" fillId="0" borderId="33" xfId="0" applyNumberFormat="1" applyFont="1" applyBorder="1" applyAlignment="1">
      <alignment horizontal="center"/>
    </xf>
    <xf numFmtId="166" fontId="2" fillId="0" borderId="33" xfId="0" applyNumberFormat="1" applyFont="1" applyBorder="1" applyAlignment="1">
      <alignment horizontal="center"/>
    </xf>
    <xf numFmtId="166" fontId="2" fillId="0" borderId="34" xfId="0" applyNumberFormat="1" applyFont="1" applyBorder="1" applyAlignment="1">
      <alignment horizontal="center"/>
    </xf>
    <xf numFmtId="166" fontId="2" fillId="0" borderId="10" xfId="0" applyNumberFormat="1" applyFont="1" applyBorder="1" applyAlignment="1">
      <alignment horizontal="center"/>
    </xf>
    <xf numFmtId="166" fontId="2" fillId="0" borderId="30" xfId="0" applyNumberFormat="1" applyFont="1" applyBorder="1" applyAlignment="1">
      <alignment horizontal="center"/>
    </xf>
    <xf numFmtId="166" fontId="2" fillId="0" borderId="35" xfId="0" applyNumberFormat="1" applyFont="1" applyBorder="1" applyAlignment="1">
      <alignment horizontal="center"/>
    </xf>
    <xf numFmtId="166" fontId="2" fillId="0" borderId="36" xfId="0" applyNumberFormat="1" applyFont="1" applyBorder="1" applyAlignment="1">
      <alignment horizontal="center"/>
    </xf>
    <xf numFmtId="166" fontId="2" fillId="0" borderId="37" xfId="0" applyNumberFormat="1" applyFont="1" applyBorder="1" applyAlignment="1">
      <alignment horizontal="center"/>
    </xf>
    <xf numFmtId="165" fontId="2" fillId="0" borderId="26" xfId="0" applyNumberFormat="1" applyFont="1" applyBorder="1" applyAlignment="1">
      <alignment horizontal="center"/>
    </xf>
    <xf numFmtId="166" fontId="2" fillId="0" borderId="38" xfId="0" applyNumberFormat="1" applyFont="1" applyBorder="1" applyAlignment="1">
      <alignment horizontal="center"/>
    </xf>
    <xf numFmtId="166" fontId="2" fillId="0" borderId="39" xfId="0" applyNumberFormat="1" applyFont="1" applyBorder="1" applyAlignment="1">
      <alignment horizontal="center"/>
    </xf>
    <xf numFmtId="166" fontId="2" fillId="0" borderId="26" xfId="0" applyNumberFormat="1" applyFont="1" applyBorder="1" applyAlignment="1">
      <alignment horizontal="center"/>
    </xf>
    <xf numFmtId="1" fontId="2" fillId="0" borderId="28" xfId="0" applyNumberFormat="1" applyFont="1" applyBorder="1" applyAlignment="1">
      <alignment horizontal="center"/>
    </xf>
    <xf numFmtId="2" fontId="2" fillId="0" borderId="21" xfId="0" applyNumberFormat="1" applyFont="1" applyBorder="1" applyAlignment="1">
      <alignment horizontal="center"/>
    </xf>
    <xf numFmtId="0" fontId="3" fillId="0" borderId="0" xfId="0" applyFont="1"/>
    <xf numFmtId="2" fontId="2" fillId="0" borderId="27" xfId="0" applyNumberFormat="1" applyFont="1" applyBorder="1" applyAlignment="1">
      <alignment horizontal="center"/>
    </xf>
    <xf numFmtId="2" fontId="8" fillId="0" borderId="40" xfId="0" applyNumberFormat="1" applyFont="1" applyBorder="1" applyAlignment="1">
      <alignment horizontal="centerContinuous"/>
    </xf>
    <xf numFmtId="0" fontId="8" fillId="0" borderId="40" xfId="0" applyFont="1" applyBorder="1" applyAlignment="1">
      <alignment horizontal="center"/>
    </xf>
    <xf numFmtId="0" fontId="8" fillId="0" borderId="29" xfId="0" applyFont="1" applyBorder="1" applyAlignment="1">
      <alignment horizontal="center"/>
    </xf>
    <xf numFmtId="0" fontId="8" fillId="0" borderId="23" xfId="0" applyFont="1" applyBorder="1" applyAlignment="1">
      <alignment horizontal="center"/>
    </xf>
    <xf numFmtId="0" fontId="3" fillId="0" borderId="3" xfId="0" applyFont="1" applyBorder="1" applyAlignment="1">
      <alignment horizontal="center"/>
    </xf>
    <xf numFmtId="0" fontId="3" fillId="0" borderId="41" xfId="0" applyFont="1" applyBorder="1" applyAlignment="1">
      <alignment horizontal="center"/>
    </xf>
    <xf numFmtId="166" fontId="2" fillId="0" borderId="42" xfId="0" applyNumberFormat="1" applyFont="1" applyBorder="1" applyAlignment="1">
      <alignment horizontal="center"/>
    </xf>
    <xf numFmtId="0" fontId="3" fillId="0" borderId="43" xfId="0" applyFont="1" applyBorder="1" applyAlignment="1">
      <alignment horizontal="center"/>
    </xf>
    <xf numFmtId="0" fontId="3" fillId="0" borderId="44" xfId="0" applyFont="1" applyBorder="1" applyAlignment="1">
      <alignment horizontal="center"/>
    </xf>
    <xf numFmtId="0" fontId="3" fillId="0" borderId="17" xfId="0" applyFont="1" applyBorder="1" applyAlignment="1">
      <alignment horizontal="centerContinuous"/>
    </xf>
    <xf numFmtId="0" fontId="4" fillId="0" borderId="12" xfId="0" applyFont="1" applyBorder="1" applyAlignment="1">
      <alignment horizontal="left"/>
    </xf>
    <xf numFmtId="0" fontId="3" fillId="0" borderId="45" xfId="0" applyFont="1" applyBorder="1"/>
    <xf numFmtId="0" fontId="2" fillId="0" borderId="16" xfId="0" applyFont="1" applyBorder="1" applyAlignment="1">
      <alignment horizontal="center"/>
    </xf>
    <xf numFmtId="0" fontId="3" fillId="0" borderId="0" xfId="0" applyFont="1" applyAlignment="1">
      <alignment horizontal="center"/>
    </xf>
    <xf numFmtId="165" fontId="2" fillId="0" borderId="0" xfId="0" applyNumberFormat="1" applyFont="1" applyAlignment="1">
      <alignment horizontal="center"/>
    </xf>
    <xf numFmtId="2" fontId="2" fillId="0" borderId="25" xfId="0" applyNumberFormat="1" applyFont="1" applyBorder="1" applyAlignment="1">
      <alignment horizontal="center"/>
    </xf>
    <xf numFmtId="0" fontId="2" fillId="0" borderId="29" xfId="0" applyFont="1" applyBorder="1" applyAlignment="1">
      <alignment horizontal="left"/>
    </xf>
    <xf numFmtId="0" fontId="2" fillId="0" borderId="21" xfId="0" applyFont="1" applyBorder="1" applyAlignment="1">
      <alignment horizontal="left"/>
    </xf>
    <xf numFmtId="0" fontId="2" fillId="0" borderId="9" xfId="0" applyFont="1" applyBorder="1" applyAlignment="1">
      <alignment horizontal="left"/>
    </xf>
    <xf numFmtId="0" fontId="2" fillId="0" borderId="30" xfId="0" applyFont="1" applyBorder="1" applyAlignment="1">
      <alignment horizontal="left"/>
    </xf>
    <xf numFmtId="0" fontId="2" fillId="0" borderId="28" xfId="0" applyFont="1" applyBorder="1" applyAlignment="1">
      <alignment horizontal="left"/>
    </xf>
    <xf numFmtId="0" fontId="5" fillId="0" borderId="12" xfId="0" applyFont="1" applyBorder="1"/>
    <xf numFmtId="0" fontId="5" fillId="0" borderId="13" xfId="0" applyFont="1" applyBorder="1"/>
    <xf numFmtId="0" fontId="5" fillId="0" borderId="14" xfId="0" applyFont="1" applyBorder="1"/>
    <xf numFmtId="0" fontId="5" fillId="0" borderId="45" xfId="0" applyFont="1" applyBorder="1"/>
    <xf numFmtId="0" fontId="5" fillId="0" borderId="46" xfId="0" applyFont="1" applyBorder="1"/>
    <xf numFmtId="0" fontId="2" fillId="0" borderId="1" xfId="0" applyFont="1" applyBorder="1" applyAlignment="1">
      <alignment horizontal="left"/>
    </xf>
    <xf numFmtId="0" fontId="3" fillId="0" borderId="0" xfId="0" applyFont="1" applyAlignment="1">
      <alignment horizontal="centerContinuous"/>
    </xf>
    <xf numFmtId="2" fontId="3" fillId="0" borderId="20" xfId="0" quotePrefix="1" applyNumberFormat="1" applyFont="1" applyBorder="1" applyAlignment="1">
      <alignment horizontal="center"/>
    </xf>
    <xf numFmtId="2" fontId="3" fillId="0" borderId="47" xfId="0" quotePrefix="1" applyNumberFormat="1" applyFont="1" applyBorder="1" applyAlignment="1">
      <alignment horizontal="center"/>
    </xf>
    <xf numFmtId="2" fontId="3" fillId="0" borderId="30" xfId="0" quotePrefix="1" applyNumberFormat="1" applyFont="1" applyBorder="1" applyAlignment="1">
      <alignment horizontal="center"/>
    </xf>
    <xf numFmtId="2" fontId="3" fillId="0" borderId="30" xfId="0" applyNumberFormat="1" applyFont="1" applyBorder="1" applyAlignment="1">
      <alignment horizontal="center"/>
    </xf>
    <xf numFmtId="165" fontId="3" fillId="0" borderId="20" xfId="0" quotePrefix="1" applyNumberFormat="1" applyFont="1" applyBorder="1" applyAlignment="1">
      <alignment horizontal="center"/>
    </xf>
    <xf numFmtId="0" fontId="9" fillId="0" borderId="0" xfId="0" applyFont="1" applyAlignment="1">
      <alignment horizontal="center"/>
    </xf>
    <xf numFmtId="0" fontId="10" fillId="0" borderId="7" xfId="0" applyFont="1" applyBorder="1" applyAlignment="1">
      <alignment horizontal="centerContinuous"/>
    </xf>
    <xf numFmtId="0" fontId="10" fillId="0" borderId="8" xfId="0" applyFont="1" applyBorder="1" applyAlignment="1">
      <alignment horizontal="centerContinuous"/>
    </xf>
    <xf numFmtId="0" fontId="11" fillId="0" borderId="47" xfId="0" applyFont="1" applyBorder="1"/>
    <xf numFmtId="2" fontId="2" fillId="0" borderId="48" xfId="0" applyNumberFormat="1" applyFont="1" applyBorder="1" applyAlignment="1">
      <alignment horizontal="center"/>
    </xf>
    <xf numFmtId="2" fontId="2" fillId="0" borderId="24" xfId="0" applyNumberFormat="1" applyFont="1" applyBorder="1" applyAlignment="1">
      <alignment horizontal="center"/>
    </xf>
    <xf numFmtId="0" fontId="2" fillId="0" borderId="7" xfId="0" applyFont="1" applyBorder="1" applyAlignment="1">
      <alignment horizontal="right"/>
    </xf>
    <xf numFmtId="167" fontId="2" fillId="0" borderId="1" xfId="0" applyNumberFormat="1" applyFont="1" applyBorder="1" applyAlignment="1">
      <alignment horizontal="center"/>
    </xf>
    <xf numFmtId="0" fontId="3" fillId="0" borderId="49" xfId="0" applyFont="1" applyBorder="1" applyAlignment="1">
      <alignment horizontal="right"/>
    </xf>
    <xf numFmtId="166" fontId="13" fillId="0" borderId="1" xfId="0" applyNumberFormat="1" applyFont="1" applyBorder="1" applyAlignment="1">
      <alignment horizontal="center"/>
    </xf>
    <xf numFmtId="166" fontId="2" fillId="0" borderId="7" xfId="0" applyNumberFormat="1" applyFont="1" applyBorder="1" applyAlignment="1">
      <alignment horizontal="center"/>
    </xf>
    <xf numFmtId="166" fontId="2" fillId="0" borderId="8" xfId="0" applyNumberFormat="1" applyFont="1" applyBorder="1" applyAlignment="1">
      <alignment horizontal="center"/>
    </xf>
    <xf numFmtId="1" fontId="2" fillId="0" borderId="25" xfId="0" applyNumberFormat="1" applyFont="1" applyBorder="1" applyAlignment="1">
      <alignment horizontal="center"/>
    </xf>
    <xf numFmtId="0" fontId="2" fillId="0" borderId="50" xfId="0" applyFont="1" applyBorder="1"/>
    <xf numFmtId="0" fontId="1" fillId="0" borderId="45" xfId="0" applyFont="1" applyBorder="1"/>
    <xf numFmtId="0" fontId="1" fillId="0" borderId="3" xfId="0" applyFont="1" applyBorder="1"/>
    <xf numFmtId="0" fontId="1" fillId="0" borderId="13" xfId="0" applyFont="1" applyBorder="1"/>
    <xf numFmtId="49" fontId="2" fillId="0" borderId="7" xfId="0" applyNumberFormat="1" applyFont="1" applyBorder="1" applyAlignment="1">
      <alignment horizontal="center"/>
    </xf>
    <xf numFmtId="14" fontId="3" fillId="0" borderId="0" xfId="0" applyNumberFormat="1" applyFont="1" applyAlignment="1">
      <alignment horizontal="center"/>
    </xf>
    <xf numFmtId="19" fontId="3" fillId="0" borderId="0" xfId="0" applyNumberFormat="1" applyFont="1"/>
    <xf numFmtId="166" fontId="2" fillId="0" borderId="0" xfId="0" applyNumberFormat="1" applyFont="1" applyAlignment="1">
      <alignment horizontal="center"/>
    </xf>
    <xf numFmtId="2" fontId="7" fillId="0" borderId="36" xfId="0" applyNumberFormat="1" applyFont="1" applyBorder="1" applyAlignment="1">
      <alignment horizontal="center"/>
    </xf>
    <xf numFmtId="166" fontId="2" fillId="0" borderId="53" xfId="0" applyNumberFormat="1" applyFont="1" applyBorder="1" applyAlignment="1">
      <alignment horizontal="center"/>
    </xf>
    <xf numFmtId="2" fontId="4" fillId="0" borderId="40" xfId="0" applyNumberFormat="1" applyFont="1" applyBorder="1" applyAlignment="1">
      <alignment horizontal="left"/>
    </xf>
    <xf numFmtId="166" fontId="13" fillId="0" borderId="40" xfId="0" applyNumberFormat="1" applyFont="1" applyBorder="1" applyAlignment="1">
      <alignment horizontal="left"/>
    </xf>
    <xf numFmtId="2" fontId="7" fillId="0" borderId="0" xfId="0" applyNumberFormat="1" applyFont="1" applyAlignment="1">
      <alignment horizontal="right"/>
    </xf>
    <xf numFmtId="2" fontId="7" fillId="0" borderId="23" xfId="0" applyNumberFormat="1" applyFont="1" applyBorder="1" applyAlignment="1">
      <alignment horizontal="right"/>
    </xf>
    <xf numFmtId="166" fontId="2" fillId="0" borderId="0" xfId="0" applyNumberFormat="1" applyFont="1" applyAlignment="1">
      <alignment horizontal="centerContinuous"/>
    </xf>
    <xf numFmtId="166" fontId="2" fillId="0" borderId="23" xfId="0" applyNumberFormat="1" applyFont="1" applyBorder="1" applyAlignment="1">
      <alignment horizontal="centerContinuous"/>
    </xf>
    <xf numFmtId="0" fontId="16" fillId="0" borderId="0" xfId="1" applyFont="1"/>
    <xf numFmtId="0" fontId="17" fillId="0" borderId="0" xfId="1" applyFont="1"/>
    <xf numFmtId="0" fontId="19" fillId="2" borderId="0" xfId="1" applyFont="1" applyFill="1" applyAlignment="1">
      <alignment horizontal="right"/>
    </xf>
    <xf numFmtId="0" fontId="20" fillId="2" borderId="0" xfId="1" applyFont="1" applyFill="1"/>
    <xf numFmtId="0" fontId="21" fillId="2" borderId="0" xfId="1" applyFont="1" applyFill="1"/>
    <xf numFmtId="0" fontId="18" fillId="2" borderId="0" xfId="1" applyFont="1" applyFill="1" applyAlignment="1">
      <alignment horizontal="center"/>
    </xf>
    <xf numFmtId="0" fontId="22" fillId="0" borderId="54" xfId="1" applyFont="1" applyBorder="1" applyAlignment="1">
      <alignment horizontal="left" vertical="center"/>
    </xf>
    <xf numFmtId="0" fontId="22" fillId="0" borderId="55" xfId="1" applyFont="1" applyBorder="1" applyAlignment="1">
      <alignment vertical="center"/>
    </xf>
    <xf numFmtId="0" fontId="14" fillId="0" borderId="55" xfId="1" applyBorder="1"/>
    <xf numFmtId="0" fontId="22" fillId="0" borderId="56" xfId="1" applyFont="1" applyBorder="1" applyAlignment="1">
      <alignment horizontal="right" vertical="center"/>
    </xf>
    <xf numFmtId="0" fontId="23" fillId="0" borderId="0" xfId="1" applyFont="1"/>
    <xf numFmtId="0" fontId="24" fillId="0" borderId="54" xfId="1" applyFont="1" applyBorder="1"/>
    <xf numFmtId="0" fontId="23" fillId="0" borderId="56" xfId="1" applyFont="1" applyBorder="1"/>
    <xf numFmtId="0" fontId="24" fillId="0" borderId="56" xfId="1" applyFont="1" applyBorder="1"/>
    <xf numFmtId="0" fontId="25" fillId="0" borderId="0" xfId="1" applyFont="1"/>
    <xf numFmtId="0" fontId="26" fillId="2" borderId="13" xfId="1" applyFont="1" applyFill="1" applyBorder="1" applyAlignment="1">
      <alignment horizontal="center"/>
    </xf>
    <xf numFmtId="0" fontId="26" fillId="2" borderId="57" xfId="1" applyFont="1" applyFill="1" applyBorder="1" applyAlignment="1">
      <alignment horizontal="center"/>
    </xf>
    <xf numFmtId="0" fontId="26" fillId="2" borderId="0" xfId="1" quotePrefix="1" applyFont="1" applyFill="1" applyAlignment="1">
      <alignment horizontal="left"/>
    </xf>
    <xf numFmtId="0" fontId="27" fillId="2" borderId="58" xfId="1" applyFont="1" applyFill="1" applyBorder="1" applyAlignment="1">
      <alignment horizontal="right"/>
    </xf>
    <xf numFmtId="0" fontId="26" fillId="2" borderId="59" xfId="1" applyFont="1" applyFill="1" applyBorder="1" applyAlignment="1">
      <alignment horizontal="center"/>
    </xf>
    <xf numFmtId="0" fontId="26" fillId="2" borderId="21" xfId="1" applyFont="1" applyFill="1" applyBorder="1" applyAlignment="1">
      <alignment horizontal="center"/>
    </xf>
    <xf numFmtId="0" fontId="24" fillId="0" borderId="45" xfId="1" applyFont="1" applyBorder="1"/>
    <xf numFmtId="0" fontId="23" fillId="0" borderId="21" xfId="1" applyFont="1" applyBorder="1"/>
    <xf numFmtId="0" fontId="24" fillId="0" borderId="21" xfId="1" applyFont="1" applyBorder="1"/>
    <xf numFmtId="0" fontId="28" fillId="2" borderId="69" xfId="1" applyFont="1" applyFill="1" applyBorder="1"/>
    <xf numFmtId="0" fontId="28" fillId="2" borderId="70" xfId="1" applyFont="1" applyFill="1" applyBorder="1"/>
    <xf numFmtId="0" fontId="31" fillId="2" borderId="70" xfId="1" applyFont="1" applyFill="1" applyBorder="1"/>
    <xf numFmtId="0" fontId="31" fillId="2" borderId="71" xfId="1" applyFont="1" applyFill="1" applyBorder="1"/>
    <xf numFmtId="166" fontId="30" fillId="2" borderId="66" xfId="1" applyNumberFormat="1" applyFont="1" applyFill="1" applyBorder="1" applyAlignment="1">
      <alignment horizontal="center"/>
    </xf>
    <xf numFmtId="0" fontId="30" fillId="2" borderId="72" xfId="1" applyFont="1" applyFill="1" applyBorder="1" applyAlignment="1">
      <alignment horizontal="center"/>
    </xf>
    <xf numFmtId="0" fontId="28" fillId="2" borderId="73" xfId="1" applyFont="1" applyFill="1" applyBorder="1"/>
    <xf numFmtId="0" fontId="28" fillId="2" borderId="74" xfId="1" applyFont="1" applyFill="1" applyBorder="1"/>
    <xf numFmtId="0" fontId="31" fillId="2" borderId="74" xfId="1" applyFont="1" applyFill="1" applyBorder="1"/>
    <xf numFmtId="0" fontId="31" fillId="2" borderId="75" xfId="1" applyFont="1" applyFill="1" applyBorder="1"/>
    <xf numFmtId="1" fontId="30" fillId="2" borderId="66" xfId="1" applyNumberFormat="1" applyFont="1" applyFill="1" applyBorder="1" applyAlignment="1">
      <alignment horizontal="center"/>
    </xf>
    <xf numFmtId="0" fontId="30" fillId="2" borderId="76" xfId="1" applyFont="1" applyFill="1" applyBorder="1" applyAlignment="1">
      <alignment horizontal="center"/>
    </xf>
    <xf numFmtId="0" fontId="32" fillId="2" borderId="70" xfId="1" applyFont="1" applyFill="1" applyBorder="1"/>
    <xf numFmtId="0" fontId="33" fillId="2" borderId="71" xfId="1" applyFont="1" applyFill="1" applyBorder="1" applyAlignment="1">
      <alignment horizontal="left"/>
    </xf>
    <xf numFmtId="0" fontId="30" fillId="2" borderId="66" xfId="1" applyFont="1" applyFill="1" applyBorder="1" applyAlignment="1">
      <alignment horizontal="center"/>
    </xf>
    <xf numFmtId="0" fontId="24" fillId="0" borderId="46" xfId="1" applyFont="1" applyBorder="1"/>
    <xf numFmtId="0" fontId="24" fillId="0" borderId="24" xfId="1" applyFont="1" applyBorder="1"/>
    <xf numFmtId="0" fontId="28" fillId="2" borderId="78" xfId="1" applyFont="1" applyFill="1" applyBorder="1"/>
    <xf numFmtId="0" fontId="28" fillId="2" borderId="79" xfId="1" applyFont="1" applyFill="1" applyBorder="1"/>
    <xf numFmtId="0" fontId="32" fillId="2" borderId="79" xfId="1" applyFont="1" applyFill="1" applyBorder="1"/>
    <xf numFmtId="0" fontId="30" fillId="2" borderId="80" xfId="1" applyFont="1" applyFill="1" applyBorder="1" applyAlignment="1">
      <alignment horizontal="center"/>
    </xf>
    <xf numFmtId="0" fontId="30" fillId="2" borderId="81" xfId="1" applyFont="1" applyFill="1" applyBorder="1" applyAlignment="1">
      <alignment horizontal="center"/>
    </xf>
    <xf numFmtId="0" fontId="23" fillId="0" borderId="24" xfId="1" applyFont="1" applyBorder="1"/>
    <xf numFmtId="0" fontId="28" fillId="2" borderId="65" xfId="1" quotePrefix="1" applyFont="1" applyFill="1" applyBorder="1" applyAlignment="1">
      <alignment horizontal="left"/>
    </xf>
    <xf numFmtId="0" fontId="25" fillId="0" borderId="71" xfId="1" applyFont="1" applyBorder="1"/>
    <xf numFmtId="0" fontId="28" fillId="2" borderId="52" xfId="1" quotePrefix="1" applyFont="1" applyFill="1" applyBorder="1" applyAlignment="1">
      <alignment horizontal="left"/>
    </xf>
    <xf numFmtId="0" fontId="28" fillId="2" borderId="61" xfId="1" applyFont="1" applyFill="1" applyBorder="1"/>
    <xf numFmtId="0" fontId="31" fillId="2" borderId="61" xfId="1" applyFont="1" applyFill="1" applyBorder="1"/>
    <xf numFmtId="0" fontId="35" fillId="2" borderId="61" xfId="1" applyFont="1" applyFill="1" applyBorder="1" applyAlignment="1">
      <alignment horizontal="right"/>
    </xf>
    <xf numFmtId="49" fontId="30" fillId="2" borderId="61" xfId="1" applyNumberFormat="1" applyFont="1" applyFill="1" applyBorder="1" applyAlignment="1">
      <alignment horizontal="center"/>
    </xf>
    <xf numFmtId="0" fontId="30" fillId="2" borderId="85" xfId="1" applyFont="1" applyFill="1" applyBorder="1" applyAlignment="1">
      <alignment horizontal="center"/>
    </xf>
    <xf numFmtId="0" fontId="28" fillId="2" borderId="66" xfId="1" applyFont="1" applyFill="1" applyBorder="1"/>
    <xf numFmtId="0" fontId="31" fillId="2" borderId="66" xfId="1" applyFont="1" applyFill="1" applyBorder="1"/>
    <xf numFmtId="0" fontId="28" fillId="2" borderId="86" xfId="1" quotePrefix="1" applyFont="1" applyFill="1" applyBorder="1" applyAlignment="1">
      <alignment horizontal="left"/>
    </xf>
    <xf numFmtId="0" fontId="28" fillId="2" borderId="80" xfId="1" applyFont="1" applyFill="1" applyBorder="1"/>
    <xf numFmtId="0" fontId="31" fillId="2" borderId="80" xfId="1" applyFont="1" applyFill="1" applyBorder="1"/>
    <xf numFmtId="0" fontId="28" fillId="2" borderId="65" xfId="1" applyFont="1" applyFill="1" applyBorder="1" applyAlignment="1">
      <alignment horizontal="left"/>
    </xf>
    <xf numFmtId="0" fontId="23" fillId="2" borderId="87" xfId="1" applyFont="1" applyFill="1" applyBorder="1"/>
    <xf numFmtId="0" fontId="23" fillId="2" borderId="71" xfId="1" applyFont="1" applyFill="1" applyBorder="1"/>
    <xf numFmtId="0" fontId="28" fillId="2" borderId="65" xfId="1" applyFont="1" applyFill="1" applyBorder="1"/>
    <xf numFmtId="0" fontId="23" fillId="2" borderId="70" xfId="1" applyFont="1" applyFill="1" applyBorder="1"/>
    <xf numFmtId="0" fontId="28" fillId="2" borderId="87" xfId="1" applyFont="1" applyFill="1" applyBorder="1"/>
    <xf numFmtId="0" fontId="35" fillId="2" borderId="71" xfId="1" applyFont="1" applyFill="1" applyBorder="1" applyAlignment="1">
      <alignment horizontal="right"/>
    </xf>
    <xf numFmtId="0" fontId="28" fillId="2" borderId="60" xfId="1" quotePrefix="1" applyFont="1" applyFill="1" applyBorder="1" applyAlignment="1">
      <alignment horizontal="left"/>
    </xf>
    <xf numFmtId="0" fontId="25" fillId="0" borderId="94" xfId="1" applyFont="1" applyBorder="1"/>
    <xf numFmtId="0" fontId="28" fillId="2" borderId="87" xfId="1" quotePrefix="1" applyFont="1" applyFill="1" applyBorder="1" applyAlignment="1">
      <alignment horizontal="left"/>
    </xf>
    <xf numFmtId="0" fontId="23" fillId="2" borderId="66" xfId="1" applyFont="1" applyFill="1" applyBorder="1"/>
    <xf numFmtId="0" fontId="28" fillId="2" borderId="95" xfId="1" applyFont="1" applyFill="1" applyBorder="1" applyAlignment="1">
      <alignment horizontal="left"/>
    </xf>
    <xf numFmtId="0" fontId="28" fillId="2" borderId="70" xfId="1" quotePrefix="1" applyFont="1" applyFill="1" applyBorder="1" applyAlignment="1">
      <alignment horizontal="center"/>
    </xf>
    <xf numFmtId="0" fontId="23" fillId="2" borderId="71" xfId="1" quotePrefix="1" applyFont="1" applyFill="1" applyBorder="1" applyAlignment="1">
      <alignment horizontal="center"/>
    </xf>
    <xf numFmtId="0" fontId="28" fillId="2" borderId="96" xfId="1" applyFont="1" applyFill="1" applyBorder="1"/>
    <xf numFmtId="0" fontId="25" fillId="0" borderId="97" xfId="1" applyFont="1" applyBorder="1"/>
    <xf numFmtId="0" fontId="30" fillId="0" borderId="97" xfId="1" applyFont="1" applyBorder="1" applyAlignment="1">
      <alignment horizontal="center"/>
    </xf>
    <xf numFmtId="0" fontId="30" fillId="0" borderId="98" xfId="1" applyFont="1" applyBorder="1" applyAlignment="1">
      <alignment horizontal="center"/>
    </xf>
    <xf numFmtId="0" fontId="28" fillId="2" borderId="99" xfId="1" applyFont="1" applyFill="1" applyBorder="1" applyAlignment="1">
      <alignment horizontal="center"/>
    </xf>
    <xf numFmtId="0" fontId="28" fillId="2" borderId="79" xfId="1" quotePrefix="1" applyFont="1" applyFill="1" applyBorder="1" applyAlignment="1">
      <alignment horizontal="center"/>
    </xf>
    <xf numFmtId="0" fontId="23" fillId="2" borderId="100" xfId="1" quotePrefix="1" applyFont="1" applyFill="1" applyBorder="1" applyAlignment="1">
      <alignment horizontal="center"/>
    </xf>
    <xf numFmtId="0" fontId="30" fillId="0" borderId="71" xfId="1" applyFont="1" applyBorder="1" applyAlignment="1">
      <alignment horizontal="center"/>
    </xf>
    <xf numFmtId="0" fontId="30" fillId="0" borderId="76" xfId="1" applyFont="1" applyBorder="1" applyAlignment="1">
      <alignment horizontal="center"/>
    </xf>
    <xf numFmtId="0" fontId="30" fillId="0" borderId="46" xfId="1" applyFont="1" applyBorder="1"/>
    <xf numFmtId="0" fontId="36" fillId="0" borderId="24" xfId="1" applyFont="1" applyBorder="1"/>
    <xf numFmtId="0" fontId="19" fillId="0" borderId="103" xfId="1" applyFont="1" applyBorder="1" applyAlignment="1">
      <alignment horizontal="left"/>
    </xf>
    <xf numFmtId="0" fontId="19" fillId="0" borderId="64" xfId="1" applyFont="1" applyBorder="1" applyAlignment="1">
      <alignment horizontal="left"/>
    </xf>
    <xf numFmtId="0" fontId="38" fillId="2" borderId="104" xfId="1" applyFont="1" applyFill="1" applyBorder="1" applyAlignment="1">
      <alignment horizontal="center"/>
    </xf>
    <xf numFmtId="166" fontId="30" fillId="0" borderId="71" xfId="1" applyNumberFormat="1" applyFont="1" applyBorder="1" applyAlignment="1">
      <alignment horizontal="center"/>
    </xf>
    <xf numFmtId="0" fontId="28" fillId="2" borderId="105" xfId="1" applyFont="1" applyFill="1" applyBorder="1" applyAlignment="1">
      <alignment horizontal="left"/>
    </xf>
    <xf numFmtId="0" fontId="23" fillId="2" borderId="106" xfId="1" applyFont="1" applyFill="1" applyBorder="1"/>
    <xf numFmtId="0" fontId="23" fillId="2" borderId="107" xfId="1" applyFont="1" applyFill="1" applyBorder="1"/>
    <xf numFmtId="0" fontId="30" fillId="2" borderId="108" xfId="1" applyFont="1" applyFill="1" applyBorder="1" applyAlignment="1">
      <alignment horizontal="center"/>
    </xf>
    <xf numFmtId="0" fontId="25" fillId="0" borderId="80" xfId="1" applyFont="1" applyBorder="1"/>
    <xf numFmtId="0" fontId="25" fillId="0" borderId="81" xfId="1" applyFont="1" applyBorder="1"/>
    <xf numFmtId="0" fontId="25" fillId="0" borderId="88" xfId="1" applyFont="1" applyBorder="1"/>
    <xf numFmtId="0" fontId="28" fillId="2" borderId="97" xfId="1" applyFont="1" applyFill="1" applyBorder="1"/>
    <xf numFmtId="0" fontId="35" fillId="2" borderId="66" xfId="1" applyFont="1" applyFill="1" applyBorder="1" applyAlignment="1">
      <alignment horizontal="right" shrinkToFit="1"/>
    </xf>
    <xf numFmtId="1" fontId="30" fillId="2" borderId="72" xfId="1" quotePrefix="1" applyNumberFormat="1" applyFont="1" applyFill="1" applyBorder="1" applyAlignment="1">
      <alignment horizontal="center"/>
    </xf>
    <xf numFmtId="2" fontId="25" fillId="0" borderId="0" xfId="1" applyNumberFormat="1" applyFont="1"/>
    <xf numFmtId="0" fontId="28" fillId="2" borderId="52" xfId="1" applyFont="1" applyFill="1" applyBorder="1"/>
    <xf numFmtId="0" fontId="28" fillId="2" borderId="58" xfId="1" applyFont="1" applyFill="1" applyBorder="1"/>
    <xf numFmtId="0" fontId="35" fillId="2" borderId="66" xfId="1" applyFont="1" applyFill="1" applyBorder="1" applyAlignment="1">
      <alignment horizontal="right"/>
    </xf>
    <xf numFmtId="2" fontId="30" fillId="2" borderId="72" xfId="1" quotePrefix="1" applyNumberFormat="1" applyFont="1" applyFill="1" applyBorder="1" applyAlignment="1">
      <alignment horizontal="center"/>
    </xf>
    <xf numFmtId="0" fontId="30" fillId="2" borderId="72" xfId="1" quotePrefix="1" applyFont="1" applyFill="1" applyBorder="1" applyAlignment="1">
      <alignment horizontal="center"/>
    </xf>
    <xf numFmtId="2" fontId="30" fillId="2" borderId="66" xfId="1" applyNumberFormat="1" applyFont="1" applyFill="1" applyBorder="1" applyAlignment="1">
      <alignment horizontal="center"/>
    </xf>
    <xf numFmtId="0" fontId="35" fillId="2" borderId="58" xfId="1" applyFont="1" applyFill="1" applyBorder="1" applyAlignment="1">
      <alignment horizontal="right"/>
    </xf>
    <xf numFmtId="0" fontId="35" fillId="2" borderId="66" xfId="1" applyFont="1" applyFill="1" applyBorder="1"/>
    <xf numFmtId="0" fontId="39" fillId="0" borderId="0" xfId="1" applyFont="1"/>
    <xf numFmtId="0" fontId="28" fillId="2" borderId="110" xfId="1" applyFont="1" applyFill="1" applyBorder="1"/>
    <xf numFmtId="0" fontId="28" fillId="2" borderId="111" xfId="1" applyFont="1" applyFill="1" applyBorder="1"/>
    <xf numFmtId="0" fontId="28" fillId="2" borderId="112" xfId="1" applyFont="1" applyFill="1" applyBorder="1"/>
    <xf numFmtId="0" fontId="35" fillId="2" borderId="112" xfId="1" applyFont="1" applyFill="1" applyBorder="1"/>
    <xf numFmtId="166" fontId="30" fillId="2" borderId="112" xfId="1" applyNumberFormat="1" applyFont="1" applyFill="1" applyBorder="1" applyAlignment="1">
      <alignment horizontal="center"/>
    </xf>
    <xf numFmtId="0" fontId="30" fillId="2" borderId="113" xfId="1" quotePrefix="1" applyFont="1" applyFill="1" applyBorder="1" applyAlignment="1">
      <alignment horizontal="center"/>
    </xf>
    <xf numFmtId="0" fontId="28" fillId="2" borderId="75" xfId="1" applyFont="1" applyFill="1" applyBorder="1"/>
    <xf numFmtId="0" fontId="28" fillId="2" borderId="104" xfId="1" applyFont="1" applyFill="1" applyBorder="1" applyAlignment="1">
      <alignment horizontal="left"/>
    </xf>
    <xf numFmtId="0" fontId="28" fillId="2" borderId="75" xfId="1" applyFont="1" applyFill="1" applyBorder="1" applyAlignment="1">
      <alignment horizontal="left"/>
    </xf>
    <xf numFmtId="1" fontId="30" fillId="2" borderId="61" xfId="1" applyNumberFormat="1" applyFont="1" applyFill="1" applyBorder="1" applyAlignment="1">
      <alignment horizontal="center"/>
    </xf>
    <xf numFmtId="0" fontId="30" fillId="2" borderId="114" xfId="1" applyFont="1" applyFill="1" applyBorder="1" applyAlignment="1">
      <alignment horizontal="center"/>
    </xf>
    <xf numFmtId="0" fontId="40" fillId="0" borderId="0" xfId="1" applyFont="1" applyAlignment="1">
      <alignment horizontal="right"/>
    </xf>
    <xf numFmtId="2" fontId="25" fillId="0" borderId="0" xfId="2" applyNumberFormat="1" applyFont="1"/>
    <xf numFmtId="0" fontId="28" fillId="2" borderId="0" xfId="1" applyFont="1" applyFill="1"/>
    <xf numFmtId="0" fontId="28" fillId="2" borderId="87" xfId="1" applyFont="1" applyFill="1" applyBorder="1" applyAlignment="1">
      <alignment horizontal="left"/>
    </xf>
    <xf numFmtId="0" fontId="28" fillId="2" borderId="71" xfId="1" applyFont="1" applyFill="1" applyBorder="1" applyAlignment="1">
      <alignment horizontal="left"/>
    </xf>
    <xf numFmtId="0" fontId="25" fillId="0" borderId="0" xfId="1" applyFont="1" applyAlignment="1">
      <alignment horizontal="right"/>
    </xf>
    <xf numFmtId="0" fontId="28" fillId="2" borderId="40" xfId="1" applyFont="1" applyFill="1" applyBorder="1"/>
    <xf numFmtId="0" fontId="28" fillId="2" borderId="108" xfId="1" applyFont="1" applyFill="1" applyBorder="1" applyAlignment="1">
      <alignment horizontal="left"/>
    </xf>
    <xf numFmtId="0" fontId="28" fillId="2" borderId="100" xfId="1" applyFont="1" applyFill="1" applyBorder="1" applyAlignment="1">
      <alignment horizontal="left"/>
    </xf>
    <xf numFmtId="1" fontId="30" fillId="2" borderId="80" xfId="1" applyNumberFormat="1" applyFont="1" applyFill="1" applyBorder="1" applyAlignment="1">
      <alignment horizontal="center"/>
    </xf>
    <xf numFmtId="0" fontId="30" fillId="2" borderId="115" xfId="1" applyFont="1" applyFill="1" applyBorder="1" applyAlignment="1">
      <alignment horizontal="center"/>
    </xf>
    <xf numFmtId="0" fontId="19" fillId="2" borderId="82" xfId="1" applyFont="1" applyFill="1" applyBorder="1" applyAlignment="1">
      <alignment horizontal="left"/>
    </xf>
    <xf numFmtId="0" fontId="19" fillId="2" borderId="83" xfId="1" applyFont="1" applyFill="1" applyBorder="1" applyAlignment="1">
      <alignment horizontal="left"/>
    </xf>
    <xf numFmtId="0" fontId="19" fillId="2" borderId="84" xfId="1" applyFont="1" applyFill="1" applyBorder="1" applyAlignment="1">
      <alignment horizontal="left"/>
    </xf>
    <xf numFmtId="0" fontId="21" fillId="2" borderId="52" xfId="1" applyFont="1" applyFill="1" applyBorder="1"/>
    <xf numFmtId="0" fontId="25" fillId="2" borderId="74" xfId="1" applyFont="1" applyFill="1" applyBorder="1" applyAlignment="1">
      <alignment horizontal="left"/>
    </xf>
    <xf numFmtId="0" fontId="25" fillId="2" borderId="85" xfId="1" applyFont="1" applyFill="1" applyBorder="1" applyAlignment="1">
      <alignment horizontal="left"/>
    </xf>
    <xf numFmtId="0" fontId="21" fillId="2" borderId="70" xfId="1" applyFont="1" applyFill="1" applyBorder="1" applyAlignment="1">
      <alignment horizontal="left"/>
    </xf>
    <xf numFmtId="0" fontId="21" fillId="2" borderId="76" xfId="1" applyFont="1" applyFill="1" applyBorder="1" applyAlignment="1">
      <alignment horizontal="left"/>
    </xf>
    <xf numFmtId="0" fontId="41" fillId="0" borderId="0" xfId="1" applyFont="1"/>
    <xf numFmtId="0" fontId="28" fillId="0" borderId="116" xfId="1" applyFont="1" applyBorder="1"/>
    <xf numFmtId="0" fontId="28" fillId="2" borderId="119" xfId="1" applyFont="1" applyFill="1" applyBorder="1"/>
    <xf numFmtId="0" fontId="21" fillId="2" borderId="45" xfId="1" applyFont="1" applyFill="1" applyBorder="1"/>
    <xf numFmtId="0" fontId="28" fillId="2" borderId="121" xfId="1" applyFont="1" applyFill="1" applyBorder="1"/>
    <xf numFmtId="0" fontId="28" fillId="2" borderId="23" xfId="1" applyFont="1" applyFill="1" applyBorder="1"/>
    <xf numFmtId="14" fontId="23" fillId="2" borderId="124" xfId="1" applyNumberFormat="1" applyFont="1" applyFill="1" applyBorder="1" applyAlignment="1">
      <alignment horizontal="center"/>
    </xf>
    <xf numFmtId="0" fontId="21" fillId="0" borderId="23" xfId="1" applyFont="1" applyBorder="1"/>
    <xf numFmtId="0" fontId="21" fillId="2" borderId="125" xfId="1" applyFont="1" applyFill="1" applyBorder="1" applyAlignment="1">
      <alignment horizontal="left"/>
    </xf>
    <xf numFmtId="0" fontId="21" fillId="2" borderId="126" xfId="1" applyFont="1" applyFill="1" applyBorder="1" applyAlignment="1">
      <alignment horizontal="left"/>
    </xf>
    <xf numFmtId="0" fontId="21" fillId="0" borderId="0" xfId="1" applyFont="1"/>
    <xf numFmtId="0" fontId="1" fillId="0" borderId="6" xfId="3" applyBorder="1"/>
    <xf numFmtId="0" fontId="1" fillId="0" borderId="7" xfId="3" applyBorder="1"/>
    <xf numFmtId="0" fontId="1" fillId="0" borderId="41" xfId="3" applyBorder="1"/>
    <xf numFmtId="0" fontId="1" fillId="0" borderId="41" xfId="3" applyBorder="1" applyAlignment="1">
      <alignment horizontal="center"/>
    </xf>
    <xf numFmtId="0" fontId="45" fillId="0" borderId="41" xfId="3" applyFont="1" applyBorder="1" applyAlignment="1">
      <alignment horizontal="center"/>
    </xf>
    <xf numFmtId="0" fontId="1" fillId="0" borderId="0" xfId="3"/>
    <xf numFmtId="0" fontId="46" fillId="0" borderId="127" xfId="3" applyFont="1" applyBorder="1" applyAlignment="1">
      <alignment horizontal="center"/>
    </xf>
    <xf numFmtId="0" fontId="1" fillId="0" borderId="127" xfId="3" applyBorder="1" applyAlignment="1">
      <alignment horizontal="center"/>
    </xf>
    <xf numFmtId="0" fontId="45" fillId="0" borderId="127" xfId="3" applyFont="1" applyBorder="1" applyAlignment="1">
      <alignment horizontal="center"/>
    </xf>
    <xf numFmtId="0" fontId="46" fillId="0" borderId="45" xfId="3" applyFont="1" applyBorder="1" applyAlignment="1">
      <alignment horizontal="center"/>
    </xf>
    <xf numFmtId="0" fontId="46" fillId="0" borderId="0" xfId="3" applyFont="1" applyAlignment="1">
      <alignment horizontal="center"/>
    </xf>
    <xf numFmtId="0" fontId="1" fillId="0" borderId="45" xfId="3" applyBorder="1"/>
    <xf numFmtId="0" fontId="47" fillId="0" borderId="0" xfId="3" applyFont="1"/>
    <xf numFmtId="0" fontId="1" fillId="0" borderId="127" xfId="3" applyBorder="1"/>
    <xf numFmtId="0" fontId="45" fillId="0" borderId="0" xfId="3" applyFont="1"/>
    <xf numFmtId="0" fontId="45" fillId="0" borderId="127" xfId="3" applyFont="1" applyBorder="1"/>
    <xf numFmtId="169" fontId="1" fillId="0" borderId="3" xfId="3" applyNumberFormat="1" applyBorder="1"/>
    <xf numFmtId="49" fontId="1" fillId="0" borderId="1" xfId="3" applyNumberFormat="1" applyBorder="1" applyAlignment="1">
      <alignment horizontal="center"/>
    </xf>
    <xf numFmtId="49" fontId="1" fillId="0" borderId="1" xfId="3" applyNumberFormat="1" applyBorder="1"/>
    <xf numFmtId="49" fontId="45" fillId="0" borderId="1" xfId="3" applyNumberFormat="1" applyFont="1" applyBorder="1"/>
    <xf numFmtId="170" fontId="45" fillId="0" borderId="1" xfId="3" applyNumberFormat="1" applyFont="1" applyBorder="1"/>
    <xf numFmtId="0" fontId="1" fillId="0" borderId="1" xfId="3" applyBorder="1"/>
    <xf numFmtId="0" fontId="1" fillId="0" borderId="9" xfId="3" applyBorder="1"/>
    <xf numFmtId="170" fontId="1" fillId="0" borderId="1" xfId="3" applyNumberFormat="1" applyBorder="1"/>
    <xf numFmtId="0" fontId="1" fillId="0" borderId="1" xfId="3" applyBorder="1" applyAlignment="1">
      <alignment horizontal="center"/>
    </xf>
    <xf numFmtId="169" fontId="1" fillId="0" borderId="18" xfId="3" applyNumberFormat="1" applyBorder="1"/>
    <xf numFmtId="49" fontId="1" fillId="0" borderId="26" xfId="3" applyNumberFormat="1" applyBorder="1"/>
    <xf numFmtId="170" fontId="1" fillId="0" borderId="26" xfId="3" applyNumberFormat="1" applyBorder="1"/>
    <xf numFmtId="0" fontId="1" fillId="0" borderId="26" xfId="3" applyBorder="1"/>
    <xf numFmtId="0" fontId="1" fillId="0" borderId="128" xfId="3" applyBorder="1"/>
    <xf numFmtId="0" fontId="45" fillId="0" borderId="129" xfId="3" applyFont="1" applyBorder="1" applyAlignment="1">
      <alignment horizontal="center"/>
    </xf>
    <xf numFmtId="0" fontId="45" fillId="0" borderId="130" xfId="3" applyFont="1" applyBorder="1" applyAlignment="1">
      <alignment horizontal="center"/>
    </xf>
    <xf numFmtId="49" fontId="45" fillId="0" borderId="2" xfId="3" applyNumberFormat="1" applyFont="1" applyBorder="1" applyAlignment="1">
      <alignment horizontal="center"/>
    </xf>
    <xf numFmtId="0" fontId="1" fillId="0" borderId="57" xfId="3" applyBorder="1" applyAlignment="1">
      <alignment horizontal="left"/>
    </xf>
    <xf numFmtId="49" fontId="1" fillId="0" borderId="3" xfId="3" applyNumberFormat="1" applyBorder="1"/>
    <xf numFmtId="0" fontId="1" fillId="0" borderId="132" xfId="3" applyBorder="1" applyAlignment="1">
      <alignment horizontal="left"/>
    </xf>
    <xf numFmtId="49" fontId="1" fillId="0" borderId="4" xfId="3" applyNumberFormat="1" applyBorder="1"/>
    <xf numFmtId="0" fontId="1" fillId="0" borderId="134" xfId="3" applyBorder="1" applyAlignment="1">
      <alignment horizontal="left"/>
    </xf>
    <xf numFmtId="0" fontId="48" fillId="0" borderId="63" xfId="4" applyFont="1" applyBorder="1"/>
    <xf numFmtId="0" fontId="48" fillId="0" borderId="64" xfId="4" applyFont="1" applyBorder="1"/>
    <xf numFmtId="0" fontId="48" fillId="0" borderId="38" xfId="4" applyFont="1" applyBorder="1"/>
    <xf numFmtId="0" fontId="1" fillId="0" borderId="0" xfId="4"/>
    <xf numFmtId="0" fontId="49" fillId="0" borderId="52" xfId="4" applyFont="1" applyBorder="1" applyAlignment="1">
      <alignment horizontal="centerContinuous"/>
    </xf>
    <xf numFmtId="0" fontId="48" fillId="0" borderId="0" xfId="4" applyFont="1" applyAlignment="1">
      <alignment horizontal="centerContinuous"/>
    </xf>
    <xf numFmtId="0" fontId="48" fillId="0" borderId="51" xfId="4" applyFont="1" applyBorder="1" applyAlignment="1">
      <alignment horizontal="centerContinuous"/>
    </xf>
    <xf numFmtId="0" fontId="50" fillId="0" borderId="52" xfId="4" applyFont="1" applyBorder="1" applyAlignment="1">
      <alignment horizontal="centerContinuous"/>
    </xf>
    <xf numFmtId="0" fontId="48" fillId="0" borderId="52" xfId="4" applyFont="1" applyBorder="1"/>
    <xf numFmtId="0" fontId="48" fillId="0" borderId="0" xfId="4" applyFont="1"/>
    <xf numFmtId="0" fontId="48" fillId="0" borderId="51" xfId="4" applyFont="1" applyBorder="1"/>
    <xf numFmtId="0" fontId="51" fillId="0" borderId="1" xfId="4" applyFont="1" applyBorder="1" applyAlignment="1">
      <alignment horizontal="right"/>
    </xf>
    <xf numFmtId="0" fontId="48" fillId="0" borderId="1" xfId="4" applyFont="1" applyBorder="1" applyAlignment="1">
      <alignment horizontal="center"/>
    </xf>
    <xf numFmtId="14" fontId="48" fillId="0" borderId="1" xfId="4" applyNumberFormat="1" applyFont="1" applyBorder="1" applyAlignment="1">
      <alignment horizontal="center"/>
    </xf>
    <xf numFmtId="0" fontId="51" fillId="0" borderId="0" xfId="4" applyFont="1" applyAlignment="1">
      <alignment horizontal="right"/>
    </xf>
    <xf numFmtId="0" fontId="48" fillId="0" borderId="0" xfId="4" applyFont="1" applyAlignment="1">
      <alignment horizontal="center"/>
    </xf>
    <xf numFmtId="9" fontId="48" fillId="0" borderId="0" xfId="4" applyNumberFormat="1" applyFont="1" applyAlignment="1">
      <alignment horizontal="center"/>
    </xf>
    <xf numFmtId="0" fontId="51" fillId="0" borderId="52" xfId="4" applyFont="1" applyBorder="1" applyAlignment="1">
      <alignment horizontal="right"/>
    </xf>
    <xf numFmtId="0" fontId="48" fillId="0" borderId="40" xfId="4" applyFont="1" applyBorder="1"/>
    <xf numFmtId="0" fontId="48" fillId="0" borderId="39" xfId="4" applyFont="1" applyBorder="1" applyAlignment="1">
      <alignment horizontal="center"/>
    </xf>
    <xf numFmtId="0" fontId="48" fillId="0" borderId="86" xfId="4" applyFont="1" applyBorder="1"/>
    <xf numFmtId="0" fontId="51" fillId="0" borderId="17" xfId="4" applyFont="1" applyBorder="1" applyAlignment="1">
      <alignment horizontal="right"/>
    </xf>
    <xf numFmtId="0" fontId="48" fillId="0" borderId="132" xfId="4" applyFont="1" applyBorder="1"/>
    <xf numFmtId="0" fontId="52" fillId="0" borderId="0" xfId="4" applyFont="1" applyAlignment="1">
      <alignment horizontal="center"/>
    </xf>
    <xf numFmtId="166" fontId="3" fillId="0" borderId="0" xfId="0" quotePrefix="1" applyNumberFormat="1" applyFont="1" applyAlignment="1">
      <alignment horizontal="center"/>
    </xf>
    <xf numFmtId="166" fontId="3" fillId="0" borderId="0" xfId="0" applyNumberFormat="1" applyFont="1" applyAlignment="1">
      <alignment horizontal="center"/>
    </xf>
    <xf numFmtId="0" fontId="6" fillId="0" borderId="0" xfId="4" applyFont="1" applyAlignment="1">
      <alignment horizontal="right"/>
    </xf>
    <xf numFmtId="0" fontId="15" fillId="0" borderId="0" xfId="4" applyFont="1"/>
    <xf numFmtId="0" fontId="52" fillId="0" borderId="0" xfId="4" applyFont="1"/>
    <xf numFmtId="0" fontId="53" fillId="0" borderId="26" xfId="4" applyFont="1" applyBorder="1" applyAlignment="1">
      <alignment horizontal="center"/>
    </xf>
    <xf numFmtId="0" fontId="53" fillId="0" borderId="28" xfId="4" applyFont="1" applyBorder="1" applyAlignment="1">
      <alignment horizontal="center"/>
    </xf>
    <xf numFmtId="0" fontId="52" fillId="0" borderId="1" xfId="4" applyFont="1" applyBorder="1" applyAlignment="1">
      <alignment horizontal="center"/>
    </xf>
    <xf numFmtId="0" fontId="53" fillId="0" borderId="1" xfId="4" applyFont="1" applyBorder="1" applyAlignment="1">
      <alignment horizontal="right"/>
    </xf>
    <xf numFmtId="0" fontId="53" fillId="0" borderId="1" xfId="4" applyFont="1" applyBorder="1" applyAlignment="1">
      <alignment horizontal="center"/>
    </xf>
    <xf numFmtId="0" fontId="52" fillId="0" borderId="131" xfId="4" applyFont="1" applyBorder="1" applyAlignment="1">
      <alignment horizontal="center"/>
    </xf>
    <xf numFmtId="0" fontId="52" fillId="0" borderId="132" xfId="4" quotePrefix="1" applyFont="1" applyBorder="1" applyAlignment="1">
      <alignment horizontal="center"/>
    </xf>
    <xf numFmtId="0" fontId="52" fillId="0" borderId="132" xfId="4" applyFont="1" applyBorder="1" applyAlignment="1">
      <alignment horizontal="center"/>
    </xf>
    <xf numFmtId="0" fontId="53" fillId="0" borderId="0" xfId="4" applyFont="1" applyAlignment="1">
      <alignment horizontal="right"/>
    </xf>
    <xf numFmtId="0" fontId="56" fillId="0" borderId="0" xfId="4" applyFont="1"/>
    <xf numFmtId="0" fontId="57" fillId="0" borderId="0" xfId="4" applyFont="1"/>
    <xf numFmtId="0" fontId="2" fillId="0" borderId="1" xfId="4" applyFont="1" applyBorder="1" applyAlignment="1">
      <alignment horizontal="center"/>
    </xf>
    <xf numFmtId="1" fontId="2" fillId="2" borderId="1" xfId="4" applyNumberFormat="1" applyFont="1" applyFill="1" applyBorder="1" applyAlignment="1">
      <alignment horizontal="center"/>
    </xf>
    <xf numFmtId="2" fontId="2" fillId="2" borderId="1" xfId="4" applyNumberFormat="1" applyFont="1" applyFill="1" applyBorder="1" applyAlignment="1">
      <alignment horizontal="center"/>
    </xf>
    <xf numFmtId="0" fontId="2" fillId="2" borderId="1" xfId="4" applyFont="1" applyFill="1" applyBorder="1" applyAlignment="1">
      <alignment horizontal="center"/>
    </xf>
    <xf numFmtId="0" fontId="52" fillId="0" borderId="0" xfId="0" applyFont="1"/>
    <xf numFmtId="0" fontId="54" fillId="0" borderId="20" xfId="0" applyFont="1" applyBorder="1" applyAlignment="1">
      <alignment horizontal="right"/>
    </xf>
    <xf numFmtId="0" fontId="54" fillId="0" borderId="47" xfId="0" applyFont="1" applyBorder="1" applyAlignment="1">
      <alignment horizontal="right"/>
    </xf>
    <xf numFmtId="0" fontId="54" fillId="0" borderId="103" xfId="0" applyFont="1" applyBorder="1" applyAlignment="1">
      <alignment horizontal="center"/>
    </xf>
    <xf numFmtId="0" fontId="22" fillId="0" borderId="38" xfId="0" applyFont="1" applyBorder="1" applyAlignment="1">
      <alignment horizontal="center"/>
    </xf>
    <xf numFmtId="0" fontId="54" fillId="0" borderId="63" xfId="0" applyFont="1" applyBorder="1" applyAlignment="1">
      <alignment horizontal="center"/>
    </xf>
    <xf numFmtId="0" fontId="22" fillId="0" borderId="38" xfId="0" applyFont="1" applyBorder="1"/>
    <xf numFmtId="0" fontId="0" fillId="0" borderId="46" xfId="0" applyBorder="1"/>
    <xf numFmtId="0" fontId="22" fillId="0" borderId="48" xfId="0" applyFont="1" applyBorder="1" applyAlignment="1">
      <alignment horizontal="center"/>
    </xf>
    <xf numFmtId="0" fontId="52" fillId="0" borderId="53" xfId="0" applyFont="1" applyBorder="1" applyAlignment="1">
      <alignment horizontal="center"/>
    </xf>
    <xf numFmtId="0" fontId="22" fillId="0" borderId="48" xfId="0" applyFont="1" applyBorder="1"/>
    <xf numFmtId="0" fontId="54" fillId="0" borderId="103" xfId="0" applyFont="1" applyBorder="1" applyAlignment="1">
      <alignment horizontal="right"/>
    </xf>
    <xf numFmtId="0" fontId="22" fillId="0" borderId="27" xfId="0" applyFont="1" applyBorder="1" applyAlignment="1">
      <alignment horizontal="center"/>
    </xf>
    <xf numFmtId="0" fontId="54" fillId="0" borderId="46" xfId="0" applyFont="1" applyBorder="1" applyAlignment="1">
      <alignment horizontal="right"/>
    </xf>
    <xf numFmtId="0" fontId="22" fillId="0" borderId="24" xfId="0" applyFont="1" applyBorder="1" applyAlignment="1">
      <alignment horizontal="center"/>
    </xf>
    <xf numFmtId="0" fontId="22" fillId="0" borderId="32" xfId="0" applyFont="1" applyBorder="1" applyAlignment="1">
      <alignment horizontal="center"/>
    </xf>
    <xf numFmtId="0" fontId="52" fillId="0" borderId="0" xfId="0" applyFont="1" applyAlignment="1">
      <alignment horizontal="center"/>
    </xf>
    <xf numFmtId="0" fontId="19" fillId="2" borderId="120" xfId="1" applyFont="1" applyFill="1" applyBorder="1" applyAlignment="1">
      <alignment horizontal="center" shrinkToFit="1"/>
    </xf>
    <xf numFmtId="0" fontId="19" fillId="0" borderId="103" xfId="1" applyFont="1" applyBorder="1" applyAlignment="1">
      <alignment horizontal="left"/>
    </xf>
    <xf numFmtId="0" fontId="19" fillId="0" borderId="64" xfId="1" applyFont="1" applyBorder="1" applyAlignment="1">
      <alignment horizontal="left"/>
    </xf>
    <xf numFmtId="0" fontId="19" fillId="2" borderId="63" xfId="1" applyFont="1" applyFill="1" applyBorder="1" applyAlignment="1">
      <alignment horizontal="left"/>
    </xf>
    <xf numFmtId="0" fontId="19" fillId="2" borderId="64" xfId="1" applyFont="1" applyFill="1" applyBorder="1" applyAlignment="1">
      <alignment horizontal="left"/>
    </xf>
    <xf numFmtId="0" fontId="19" fillId="2" borderId="27" xfId="1" applyFont="1" applyFill="1" applyBorder="1" applyAlignment="1">
      <alignment horizontal="left"/>
    </xf>
    <xf numFmtId="14" fontId="23" fillId="2" borderId="122" xfId="1" applyNumberFormat="1" applyFont="1" applyFill="1" applyBorder="1" applyAlignment="1">
      <alignment horizontal="center"/>
    </xf>
    <xf numFmtId="14" fontId="23" fillId="2" borderId="123" xfId="1" applyNumberFormat="1" applyFont="1" applyFill="1" applyBorder="1" applyAlignment="1">
      <alignment horizontal="center"/>
    </xf>
    <xf numFmtId="0" fontId="25" fillId="0" borderId="45" xfId="1" applyFont="1" applyBorder="1" applyAlignment="1">
      <alignment horizontal="center"/>
    </xf>
    <xf numFmtId="0" fontId="25" fillId="0" borderId="0" xfId="1" applyFont="1" applyAlignment="1">
      <alignment horizontal="center"/>
    </xf>
    <xf numFmtId="0" fontId="25" fillId="0" borderId="51" xfId="1" applyFont="1" applyBorder="1" applyAlignment="1">
      <alignment horizontal="center"/>
    </xf>
    <xf numFmtId="0" fontId="25" fillId="0" borderId="109" xfId="1" applyFont="1" applyBorder="1" applyAlignment="1">
      <alignment horizontal="center"/>
    </xf>
    <xf numFmtId="0" fontId="25" fillId="0" borderId="40" xfId="1" applyFont="1" applyBorder="1" applyAlignment="1">
      <alignment horizontal="center"/>
    </xf>
    <xf numFmtId="0" fontId="25" fillId="0" borderId="39" xfId="1" applyFont="1" applyBorder="1" applyAlignment="1">
      <alignment horizontal="center"/>
    </xf>
    <xf numFmtId="0" fontId="19" fillId="0" borderId="38" xfId="1" applyFont="1" applyBorder="1" applyAlignment="1">
      <alignment horizontal="left"/>
    </xf>
    <xf numFmtId="0" fontId="25" fillId="0" borderId="45" xfId="2" applyFont="1" applyBorder="1" applyAlignment="1">
      <alignment horizontal="center"/>
    </xf>
    <xf numFmtId="0" fontId="25" fillId="0" borderId="0" xfId="2" applyFont="1" applyAlignment="1">
      <alignment horizontal="center"/>
    </xf>
    <xf numFmtId="0" fontId="25" fillId="0" borderId="51" xfId="2" applyFont="1" applyBorder="1" applyAlignment="1">
      <alignment horizontal="center"/>
    </xf>
    <xf numFmtId="0" fontId="25" fillId="0" borderId="46" xfId="2" applyFont="1" applyBorder="1" applyAlignment="1">
      <alignment horizontal="center"/>
    </xf>
    <xf numFmtId="0" fontId="25" fillId="0" borderId="23" xfId="2" applyFont="1" applyBorder="1" applyAlignment="1">
      <alignment horizontal="center"/>
    </xf>
    <xf numFmtId="0" fontId="25" fillId="0" borderId="48" xfId="2" applyFont="1" applyBorder="1" applyAlignment="1">
      <alignment horizontal="center"/>
    </xf>
    <xf numFmtId="0" fontId="42" fillId="2" borderId="117" xfId="1" applyFont="1" applyFill="1" applyBorder="1" applyAlignment="1">
      <alignment horizontal="center"/>
    </xf>
    <xf numFmtId="0" fontId="42" fillId="2" borderId="118" xfId="1" applyFont="1" applyFill="1" applyBorder="1" applyAlignment="1">
      <alignment horizontal="center"/>
    </xf>
    <xf numFmtId="0" fontId="28" fillId="2" borderId="77" xfId="1" quotePrefix="1" applyFont="1" applyFill="1" applyBorder="1" applyAlignment="1">
      <alignment horizontal="left"/>
    </xf>
    <xf numFmtId="0" fontId="28" fillId="2" borderId="70" xfId="1" quotePrefix="1" applyFont="1" applyFill="1" applyBorder="1" applyAlignment="1">
      <alignment horizontal="left"/>
    </xf>
    <xf numFmtId="0" fontId="28" fillId="2" borderId="71" xfId="1" quotePrefix="1" applyFont="1" applyFill="1" applyBorder="1" applyAlignment="1">
      <alignment horizontal="left"/>
    </xf>
    <xf numFmtId="2" fontId="30" fillId="2" borderId="67" xfId="1" applyNumberFormat="1" applyFont="1" applyFill="1" applyBorder="1" applyAlignment="1">
      <alignment horizontal="center"/>
    </xf>
    <xf numFmtId="2" fontId="30" fillId="2" borderId="68" xfId="1" applyNumberFormat="1" applyFont="1" applyFill="1" applyBorder="1" applyAlignment="1">
      <alignment horizontal="center"/>
    </xf>
    <xf numFmtId="0" fontId="30" fillId="2" borderId="67" xfId="1" applyFont="1" applyFill="1" applyBorder="1" applyAlignment="1">
      <alignment horizontal="center"/>
    </xf>
    <xf numFmtId="0" fontId="30" fillId="2" borderId="68" xfId="1" applyFont="1" applyFill="1" applyBorder="1" applyAlignment="1">
      <alignment horizontal="center"/>
    </xf>
    <xf numFmtId="0" fontId="19" fillId="0" borderId="82" xfId="1" applyFont="1" applyBorder="1" applyAlignment="1">
      <alignment horizontal="left"/>
    </xf>
    <xf numFmtId="0" fontId="19" fillId="0" borderId="83" xfId="1" applyFont="1" applyBorder="1" applyAlignment="1">
      <alignment horizontal="left"/>
    </xf>
    <xf numFmtId="0" fontId="19" fillId="0" borderId="84" xfId="1" applyFont="1" applyBorder="1" applyAlignment="1">
      <alignment horizontal="left"/>
    </xf>
    <xf numFmtId="166" fontId="30" fillId="2" borderId="67" xfId="1" applyNumberFormat="1" applyFont="1" applyFill="1" applyBorder="1" applyAlignment="1">
      <alignment horizontal="center"/>
    </xf>
    <xf numFmtId="166" fontId="30" fillId="2" borderId="68" xfId="1" applyNumberFormat="1" applyFont="1" applyFill="1" applyBorder="1" applyAlignment="1">
      <alignment horizontal="center"/>
    </xf>
    <xf numFmtId="0" fontId="28" fillId="2" borderId="88" xfId="1" applyFont="1" applyFill="1" applyBorder="1" applyAlignment="1">
      <alignment horizontal="center"/>
    </xf>
    <xf numFmtId="0" fontId="28" fillId="2" borderId="89" xfId="1" applyFont="1" applyFill="1" applyBorder="1" applyAlignment="1">
      <alignment horizontal="center"/>
    </xf>
    <xf numFmtId="0" fontId="28" fillId="2" borderId="52" xfId="1" applyFont="1" applyFill="1" applyBorder="1" applyAlignment="1">
      <alignment horizontal="center"/>
    </xf>
    <xf numFmtId="0" fontId="28" fillId="2" borderId="0" xfId="1" applyFont="1" applyFill="1" applyAlignment="1">
      <alignment horizontal="center"/>
    </xf>
    <xf numFmtId="0" fontId="28" fillId="2" borderId="86" xfId="1" applyFont="1" applyFill="1" applyBorder="1" applyAlignment="1">
      <alignment horizontal="center"/>
    </xf>
    <xf numFmtId="0" fontId="28" fillId="2" borderId="40" xfId="1" applyFont="1" applyFill="1" applyBorder="1" applyAlignment="1">
      <alignment horizontal="center"/>
    </xf>
    <xf numFmtId="0" fontId="28" fillId="2" borderId="90" xfId="1" applyFont="1" applyFill="1" applyBorder="1" applyAlignment="1">
      <alignment horizontal="left"/>
    </xf>
    <xf numFmtId="0" fontId="28" fillId="2" borderId="91" xfId="1" applyFont="1" applyFill="1" applyBorder="1" applyAlignment="1">
      <alignment horizontal="left"/>
    </xf>
    <xf numFmtId="0" fontId="28" fillId="2" borderId="92" xfId="1" applyFont="1" applyFill="1" applyBorder="1" applyAlignment="1">
      <alignment horizontal="left"/>
    </xf>
    <xf numFmtId="0" fontId="30" fillId="2" borderId="93" xfId="1" applyFont="1" applyFill="1" applyBorder="1" applyAlignment="1">
      <alignment horizontal="center"/>
    </xf>
    <xf numFmtId="0" fontId="30" fillId="0" borderId="93" xfId="1" applyFont="1" applyBorder="1" applyAlignment="1">
      <alignment horizontal="center"/>
    </xf>
    <xf numFmtId="0" fontId="30" fillId="0" borderId="68" xfId="1" applyFont="1" applyBorder="1" applyAlignment="1">
      <alignment horizontal="center"/>
    </xf>
    <xf numFmtId="0" fontId="28" fillId="2" borderId="77" xfId="1" applyFont="1" applyFill="1" applyBorder="1" applyAlignment="1">
      <alignment horizontal="left"/>
    </xf>
    <xf numFmtId="0" fontId="28" fillId="2" borderId="70" xfId="1" applyFont="1" applyFill="1" applyBorder="1" applyAlignment="1">
      <alignment horizontal="left"/>
    </xf>
    <xf numFmtId="0" fontId="28" fillId="2" borderId="71" xfId="1" applyFont="1" applyFill="1" applyBorder="1" applyAlignment="1">
      <alignment horizontal="left"/>
    </xf>
    <xf numFmtId="0" fontId="30" fillId="0" borderId="67" xfId="1" applyFont="1" applyBorder="1" applyAlignment="1">
      <alignment horizontal="center"/>
    </xf>
    <xf numFmtId="168" fontId="30" fillId="2" borderId="67" xfId="1" applyNumberFormat="1" applyFont="1" applyFill="1" applyBorder="1" applyAlignment="1">
      <alignment horizontal="center"/>
    </xf>
    <xf numFmtId="168" fontId="30" fillId="2" borderId="68" xfId="1" applyNumberFormat="1" applyFont="1" applyFill="1" applyBorder="1" applyAlignment="1">
      <alignment horizontal="center"/>
    </xf>
    <xf numFmtId="1" fontId="30" fillId="2" borderId="67" xfId="1" applyNumberFormat="1" applyFont="1" applyFill="1" applyBorder="1" applyAlignment="1">
      <alignment horizontal="center"/>
    </xf>
    <xf numFmtId="1" fontId="30" fillId="2" borderId="68" xfId="1" applyNumberFormat="1" applyFont="1" applyFill="1" applyBorder="1" applyAlignment="1">
      <alignment horizontal="center"/>
    </xf>
    <xf numFmtId="1" fontId="30" fillId="2" borderId="101" xfId="1" applyNumberFormat="1" applyFont="1" applyFill="1" applyBorder="1" applyAlignment="1">
      <alignment horizontal="center"/>
    </xf>
    <xf numFmtId="1" fontId="30" fillId="2" borderId="102" xfId="1" applyNumberFormat="1" applyFont="1" applyFill="1" applyBorder="1" applyAlignment="1">
      <alignment horizontal="center"/>
    </xf>
    <xf numFmtId="0" fontId="25" fillId="0" borderId="108" xfId="1" applyFont="1" applyBorder="1" applyAlignment="1">
      <alignment horizontal="left"/>
    </xf>
    <xf numFmtId="0" fontId="25" fillId="0" borderId="79" xfId="1" applyFont="1" applyBorder="1" applyAlignment="1">
      <alignment horizontal="left"/>
    </xf>
    <xf numFmtId="0" fontId="28" fillId="0" borderId="77" xfId="1" applyFont="1" applyBorder="1" applyAlignment="1">
      <alignment horizontal="left"/>
    </xf>
    <xf numFmtId="0" fontId="28" fillId="0" borderId="70" xfId="1" applyFont="1" applyBorder="1" applyAlignment="1">
      <alignment horizontal="left"/>
    </xf>
    <xf numFmtId="0" fontId="28" fillId="0" borderId="71" xfId="1" applyFont="1" applyBorder="1" applyAlignment="1">
      <alignment horizontal="left"/>
    </xf>
    <xf numFmtId="166" fontId="30" fillId="0" borderId="67" xfId="1" applyNumberFormat="1" applyFont="1" applyBorder="1" applyAlignment="1">
      <alignment horizontal="center"/>
    </xf>
    <xf numFmtId="166" fontId="30" fillId="0" borderId="68" xfId="1" applyNumberFormat="1" applyFont="1" applyBorder="1" applyAlignment="1">
      <alignment horizontal="center"/>
    </xf>
    <xf numFmtId="0" fontId="28" fillId="0" borderId="65" xfId="1" applyFont="1" applyBorder="1" applyAlignment="1">
      <alignment horizontal="left"/>
    </xf>
    <xf numFmtId="0" fontId="28" fillId="0" borderId="66" xfId="1" applyFont="1" applyBorder="1" applyAlignment="1">
      <alignment horizontal="left"/>
    </xf>
    <xf numFmtId="2" fontId="30" fillId="0" borderId="67" xfId="1" applyNumberFormat="1" applyFont="1" applyBorder="1" applyAlignment="1">
      <alignment horizontal="center"/>
    </xf>
    <xf numFmtId="2" fontId="30" fillId="0" borderId="68" xfId="1" applyNumberFormat="1" applyFont="1" applyBorder="1" applyAlignment="1">
      <alignment horizontal="center"/>
    </xf>
    <xf numFmtId="0" fontId="15" fillId="0" borderId="0" xfId="1" applyFont="1" applyAlignment="1">
      <alignment horizontal="center"/>
    </xf>
    <xf numFmtId="0" fontId="18" fillId="2" borderId="0" xfId="1" applyFont="1" applyFill="1" applyAlignment="1">
      <alignment horizontal="center"/>
    </xf>
    <xf numFmtId="0" fontId="20" fillId="2" borderId="23" xfId="1" applyFont="1" applyFill="1" applyBorder="1" applyAlignment="1">
      <alignment horizontal="center"/>
    </xf>
    <xf numFmtId="0" fontId="26" fillId="2" borderId="12" xfId="1" applyFont="1" applyFill="1" applyBorder="1" applyAlignment="1">
      <alignment horizontal="left"/>
    </xf>
    <xf numFmtId="0" fontId="26" fillId="2" borderId="13" xfId="1" applyFont="1" applyFill="1" applyBorder="1" applyAlignment="1">
      <alignment horizontal="left"/>
    </xf>
    <xf numFmtId="0" fontId="28" fillId="0" borderId="60" xfId="1" applyFont="1" applyBorder="1" applyAlignment="1">
      <alignment horizontal="left"/>
    </xf>
    <xf numFmtId="0" fontId="28" fillId="0" borderId="61" xfId="1" applyFont="1" applyBorder="1" applyAlignment="1">
      <alignment horizontal="left"/>
    </xf>
    <xf numFmtId="0" fontId="29" fillId="2" borderId="62" xfId="1" applyFont="1" applyFill="1" applyBorder="1" applyAlignment="1">
      <alignment horizontal="center"/>
    </xf>
    <xf numFmtId="0" fontId="29" fillId="2" borderId="58" xfId="1" applyFont="1" applyFill="1" applyBorder="1" applyAlignment="1">
      <alignment horizontal="center"/>
    </xf>
    <xf numFmtId="0" fontId="1" fillId="0" borderId="17" xfId="3" applyBorder="1" applyAlignment="1">
      <alignment horizontal="left"/>
    </xf>
    <xf numFmtId="0" fontId="1" fillId="0" borderId="131" xfId="3" applyBorder="1" applyAlignment="1">
      <alignment horizontal="left"/>
    </xf>
    <xf numFmtId="169" fontId="1" fillId="0" borderId="17" xfId="3" applyNumberFormat="1" applyBorder="1" applyAlignment="1">
      <alignment horizontal="center"/>
    </xf>
    <xf numFmtId="169" fontId="1" fillId="0" borderId="131" xfId="3" applyNumberFormat="1" applyBorder="1" applyAlignment="1">
      <alignment horizontal="center"/>
    </xf>
    <xf numFmtId="169" fontId="1" fillId="0" borderId="132" xfId="3" applyNumberFormat="1" applyBorder="1" applyAlignment="1">
      <alignment horizontal="center"/>
    </xf>
    <xf numFmtId="49" fontId="1" fillId="0" borderId="17" xfId="3" applyNumberFormat="1" applyBorder="1" applyAlignment="1">
      <alignment horizontal="center"/>
    </xf>
    <xf numFmtId="49" fontId="1" fillId="0" borderId="131" xfId="3" applyNumberFormat="1" applyBorder="1" applyAlignment="1">
      <alignment horizontal="center"/>
    </xf>
    <xf numFmtId="49" fontId="1" fillId="0" borderId="16" xfId="3" applyNumberFormat="1" applyBorder="1" applyAlignment="1">
      <alignment horizontal="center"/>
    </xf>
    <xf numFmtId="0" fontId="1" fillId="0" borderId="31" xfId="3" applyBorder="1" applyAlignment="1">
      <alignment horizontal="left"/>
    </xf>
    <xf numFmtId="0" fontId="1" fillId="0" borderId="133" xfId="3" applyBorder="1" applyAlignment="1">
      <alignment horizontal="left"/>
    </xf>
    <xf numFmtId="169" fontId="1" fillId="0" borderId="31" xfId="3" applyNumberFormat="1" applyBorder="1" applyAlignment="1">
      <alignment horizontal="center"/>
    </xf>
    <xf numFmtId="169" fontId="1" fillId="0" borderId="133" xfId="3" applyNumberFormat="1" applyBorder="1" applyAlignment="1">
      <alignment horizontal="center"/>
    </xf>
    <xf numFmtId="169" fontId="1" fillId="0" borderId="134" xfId="3" applyNumberFormat="1" applyBorder="1" applyAlignment="1">
      <alignment horizontal="center"/>
    </xf>
    <xf numFmtId="49" fontId="1" fillId="0" borderId="31" xfId="3" applyNumberFormat="1" applyBorder="1" applyAlignment="1">
      <alignment horizontal="center"/>
    </xf>
    <xf numFmtId="49" fontId="1" fillId="0" borderId="133" xfId="3" applyNumberFormat="1" applyBorder="1" applyAlignment="1">
      <alignment horizontal="center"/>
    </xf>
    <xf numFmtId="49" fontId="1" fillId="0" borderId="32" xfId="3" applyNumberFormat="1" applyBorder="1" applyAlignment="1">
      <alignment horizontal="center"/>
    </xf>
    <xf numFmtId="0" fontId="1" fillId="0" borderId="50" xfId="3" applyBorder="1" applyAlignment="1">
      <alignment horizontal="left"/>
    </xf>
    <xf numFmtId="0" fontId="1" fillId="0" borderId="13" xfId="3" applyBorder="1" applyAlignment="1">
      <alignment horizontal="left"/>
    </xf>
    <xf numFmtId="169" fontId="1" fillId="0" borderId="50" xfId="3" applyNumberFormat="1" applyBorder="1" applyAlignment="1">
      <alignment horizontal="center"/>
    </xf>
    <xf numFmtId="169" fontId="1" fillId="0" borderId="13" xfId="3" applyNumberFormat="1" applyBorder="1" applyAlignment="1">
      <alignment horizontal="center"/>
    </xf>
    <xf numFmtId="169" fontId="1" fillId="0" borderId="57" xfId="3" applyNumberFormat="1" applyBorder="1" applyAlignment="1">
      <alignment horizontal="center"/>
    </xf>
    <xf numFmtId="49" fontId="1" fillId="0" borderId="50" xfId="3" applyNumberFormat="1" applyBorder="1" applyAlignment="1">
      <alignment horizontal="center"/>
    </xf>
    <xf numFmtId="49" fontId="1" fillId="0" borderId="13" xfId="3" applyNumberFormat="1" applyBorder="1" applyAlignment="1">
      <alignment horizontal="center"/>
    </xf>
    <xf numFmtId="49" fontId="1" fillId="0" borderId="14" xfId="3" applyNumberFormat="1" applyBorder="1" applyAlignment="1">
      <alignment horizontal="center"/>
    </xf>
    <xf numFmtId="0" fontId="46" fillId="0" borderId="45" xfId="3" applyFont="1" applyBorder="1" applyAlignment="1">
      <alignment horizontal="center"/>
    </xf>
    <xf numFmtId="0" fontId="46" fillId="0" borderId="0" xfId="3" applyFont="1" applyAlignment="1">
      <alignment horizontal="center"/>
    </xf>
    <xf numFmtId="0" fontId="46" fillId="0" borderId="55" xfId="3" applyFont="1" applyBorder="1" applyAlignment="1">
      <alignment horizontal="center"/>
    </xf>
    <xf numFmtId="0" fontId="45" fillId="0" borderId="15" xfId="3" applyFont="1" applyBorder="1" applyAlignment="1">
      <alignment horizontal="center"/>
    </xf>
    <xf numFmtId="0" fontId="45" fillId="0" borderId="7" xfId="3" applyFont="1" applyBorder="1" applyAlignment="1">
      <alignment horizontal="center"/>
    </xf>
    <xf numFmtId="0" fontId="45" fillId="0" borderId="130" xfId="3" applyFont="1" applyBorder="1" applyAlignment="1">
      <alignment horizontal="center"/>
    </xf>
    <xf numFmtId="0" fontId="45" fillId="0" borderId="8" xfId="3" applyFont="1" applyBorder="1" applyAlignment="1">
      <alignment horizontal="center"/>
    </xf>
    <xf numFmtId="0" fontId="15" fillId="0" borderId="0" xfId="0" applyFont="1" applyAlignment="1">
      <alignment horizontal="center"/>
    </xf>
    <xf numFmtId="0" fontId="6" fillId="0" borderId="0" xfId="0" applyFont="1" applyAlignment="1">
      <alignment horizontal="center"/>
    </xf>
    <xf numFmtId="0" fontId="51" fillId="0" borderId="12" xfId="0" applyFont="1" applyBorder="1" applyAlignment="1">
      <alignment horizontal="left"/>
    </xf>
    <xf numFmtId="0" fontId="51" fillId="0" borderId="13" xfId="0" applyFont="1" applyBorder="1" applyAlignment="1">
      <alignment horizontal="left"/>
    </xf>
    <xf numFmtId="0" fontId="51" fillId="0" borderId="14" xfId="0" applyFont="1" applyBorder="1" applyAlignment="1">
      <alignment horizontal="left"/>
    </xf>
    <xf numFmtId="0" fontId="22" fillId="0" borderId="63" xfId="0" applyFont="1" applyBorder="1" applyAlignment="1">
      <alignment horizontal="center"/>
    </xf>
    <xf numFmtId="0" fontId="22" fillId="0" borderId="27" xfId="0" applyFont="1" applyBorder="1" applyAlignment="1">
      <alignment horizontal="center"/>
    </xf>
    <xf numFmtId="0" fontId="54" fillId="0" borderId="103" xfId="0" applyFont="1" applyBorder="1" applyAlignment="1">
      <alignment horizontal="center"/>
    </xf>
    <xf numFmtId="0" fontId="54" fillId="0" borderId="64" xfId="0" applyFont="1" applyBorder="1" applyAlignment="1">
      <alignment horizontal="center"/>
    </xf>
    <xf numFmtId="0" fontId="54" fillId="0" borderId="27" xfId="0" applyFont="1" applyBorder="1" applyAlignment="1">
      <alignment horizontal="center"/>
    </xf>
    <xf numFmtId="0" fontId="4" fillId="0" borderId="135" xfId="0" applyFont="1" applyBorder="1" applyAlignment="1">
      <alignment horizontal="right"/>
    </xf>
    <xf numFmtId="0" fontId="4" fillId="0" borderId="133" xfId="0" applyFont="1" applyBorder="1" applyAlignment="1">
      <alignment horizontal="right"/>
    </xf>
    <xf numFmtId="0" fontId="22" fillId="0" borderId="133" xfId="0" applyFont="1" applyBorder="1" applyAlignment="1">
      <alignment horizontal="center"/>
    </xf>
    <xf numFmtId="0" fontId="22" fillId="0" borderId="36" xfId="0" applyFont="1" applyBorder="1" applyAlignment="1">
      <alignment horizontal="center"/>
    </xf>
    <xf numFmtId="0" fontId="22" fillId="0" borderId="37" xfId="0" applyFont="1" applyBorder="1" applyAlignment="1">
      <alignment horizontal="center"/>
    </xf>
    <xf numFmtId="0" fontId="22" fillId="0" borderId="46" xfId="0" applyFont="1" applyBorder="1" applyAlignment="1">
      <alignment horizontal="center"/>
    </xf>
    <xf numFmtId="0" fontId="22" fillId="0" borderId="23" xfId="0" applyFont="1" applyBorder="1" applyAlignment="1">
      <alignment horizontal="center"/>
    </xf>
    <xf numFmtId="0" fontId="22" fillId="0" borderId="24" xfId="0" applyFont="1" applyBorder="1" applyAlignment="1">
      <alignment horizontal="center"/>
    </xf>
    <xf numFmtId="0" fontId="54" fillId="0" borderId="63" xfId="0" applyFont="1" applyBorder="1" applyAlignment="1">
      <alignment horizontal="center"/>
    </xf>
    <xf numFmtId="0" fontId="0" fillId="0" borderId="27" xfId="0" applyBorder="1" applyAlignment="1">
      <alignment horizontal="center"/>
    </xf>
    <xf numFmtId="0" fontId="22" fillId="0" borderId="53" xfId="0" applyFont="1" applyBorder="1" applyAlignment="1">
      <alignment horizontal="center"/>
    </xf>
    <xf numFmtId="0" fontId="22" fillId="0" borderId="64" xfId="0" applyFont="1" applyBorder="1" applyAlignment="1">
      <alignment horizontal="center"/>
    </xf>
    <xf numFmtId="0" fontId="54" fillId="0" borderId="103" xfId="0" applyFont="1" applyBorder="1" applyAlignment="1">
      <alignment horizontal="right"/>
    </xf>
    <xf numFmtId="0" fontId="54" fillId="0" borderId="64" xfId="0" applyFont="1" applyBorder="1" applyAlignment="1">
      <alignment horizontal="right"/>
    </xf>
    <xf numFmtId="0" fontId="54" fillId="0" borderId="46" xfId="0" applyFont="1" applyBorder="1" applyAlignment="1">
      <alignment horizontal="right"/>
    </xf>
    <xf numFmtId="0" fontId="54" fillId="0" borderId="23" xfId="0" applyFont="1" applyBorder="1" applyAlignment="1">
      <alignment horizontal="right"/>
    </xf>
    <xf numFmtId="0" fontId="48" fillId="0" borderId="17" xfId="4" applyFont="1" applyBorder="1" applyAlignment="1">
      <alignment horizontal="center"/>
    </xf>
    <xf numFmtId="0" fontId="48" fillId="0" borderId="131" xfId="4" applyFont="1" applyBorder="1" applyAlignment="1">
      <alignment horizontal="center"/>
    </xf>
    <xf numFmtId="0" fontId="48" fillId="0" borderId="132" xfId="4" applyFont="1" applyBorder="1" applyAlignment="1">
      <alignment horizontal="center"/>
    </xf>
    <xf numFmtId="0" fontId="52" fillId="0" borderId="17" xfId="4" applyFont="1" applyBorder="1" applyAlignment="1">
      <alignment horizontal="right"/>
    </xf>
    <xf numFmtId="0" fontId="52" fillId="0" borderId="131" xfId="4" applyFont="1" applyBorder="1" applyAlignment="1">
      <alignment horizontal="right"/>
    </xf>
    <xf numFmtId="0" fontId="22" fillId="0" borderId="0" xfId="4" applyFont="1" applyAlignment="1">
      <alignment horizontal="center"/>
    </xf>
    <xf numFmtId="0" fontId="53" fillId="0" borderId="0" xfId="4" applyFont="1" applyAlignment="1">
      <alignment horizontal="right"/>
    </xf>
    <xf numFmtId="0" fontId="52" fillId="0" borderId="1" xfId="4" applyFont="1" applyBorder="1" applyAlignment="1">
      <alignment horizontal="center"/>
    </xf>
    <xf numFmtId="0" fontId="22" fillId="0" borderId="17" xfId="4" applyFont="1" applyBorder="1" applyAlignment="1">
      <alignment horizontal="center"/>
    </xf>
    <xf numFmtId="0" fontId="22" fillId="0" borderId="131" xfId="4" applyFont="1" applyBorder="1" applyAlignment="1">
      <alignment horizontal="center"/>
    </xf>
    <xf numFmtId="0" fontId="22" fillId="0" borderId="132" xfId="4" applyFont="1" applyBorder="1" applyAlignment="1">
      <alignment horizontal="center"/>
    </xf>
    <xf numFmtId="0" fontId="53" fillId="0" borderId="1" xfId="4" applyFont="1" applyBorder="1" applyAlignment="1">
      <alignment horizontal="center"/>
    </xf>
    <xf numFmtId="0" fontId="6" fillId="0" borderId="0" xfId="4" applyFont="1" applyAlignment="1">
      <alignment horizontal="center"/>
    </xf>
    <xf numFmtId="0" fontId="54" fillId="0" borderId="17" xfId="4" applyFont="1" applyBorder="1" applyAlignment="1">
      <alignment horizontal="center"/>
    </xf>
    <xf numFmtId="0" fontId="50" fillId="0" borderId="52" xfId="4" applyFont="1" applyBorder="1" applyAlignment="1">
      <alignment horizontal="center"/>
    </xf>
    <xf numFmtId="0" fontId="50" fillId="0" borderId="0" xfId="4" applyFont="1" applyAlignment="1">
      <alignment horizontal="center"/>
    </xf>
    <xf numFmtId="0" fontId="50" fillId="0" borderId="51" xfId="4" applyFont="1" applyBorder="1" applyAlignment="1">
      <alignment horizontal="center"/>
    </xf>
    <xf numFmtId="0" fontId="55" fillId="0" borderId="52" xfId="4" applyFont="1" applyBorder="1" applyAlignment="1">
      <alignment horizontal="center"/>
    </xf>
    <xf numFmtId="0" fontId="55" fillId="0" borderId="0" xfId="4" applyFont="1" applyAlignment="1">
      <alignment horizontal="center"/>
    </xf>
    <xf numFmtId="0" fontId="55" fillId="0" borderId="51" xfId="4" applyFont="1" applyBorder="1" applyAlignment="1">
      <alignment horizontal="center"/>
    </xf>
    <xf numFmtId="171" fontId="59" fillId="0" borderId="6" xfId="5" applyFont="1" applyBorder="1" applyAlignment="1">
      <alignment horizontal="centerContinuous"/>
    </xf>
    <xf numFmtId="171" fontId="59" fillId="0" borderId="7" xfId="5" applyFont="1" applyBorder="1" applyAlignment="1">
      <alignment horizontal="centerContinuous"/>
    </xf>
    <xf numFmtId="171" fontId="60" fillId="0" borderId="12" xfId="5" applyFont="1" applyBorder="1" applyAlignment="1">
      <alignment horizontal="left"/>
    </xf>
    <xf numFmtId="171" fontId="61" fillId="0" borderId="57" xfId="5" applyFont="1" applyBorder="1"/>
    <xf numFmtId="171" fontId="60" fillId="0" borderId="13" xfId="5" applyFont="1" applyBorder="1" applyAlignment="1">
      <alignment horizontal="centerContinuous"/>
    </xf>
    <xf numFmtId="171" fontId="61" fillId="0" borderId="14" xfId="5" applyFont="1" applyBorder="1" applyAlignment="1">
      <alignment horizontal="centerContinuous"/>
    </xf>
    <xf numFmtId="171" fontId="58" fillId="0" borderId="0" xfId="5"/>
    <xf numFmtId="171" fontId="59" fillId="0" borderId="45" xfId="5" applyFont="1" applyBorder="1" applyAlignment="1">
      <alignment horizontal="centerContinuous"/>
    </xf>
    <xf numFmtId="171" fontId="59" fillId="0" borderId="0" xfId="5" applyFont="1" applyAlignment="1">
      <alignment horizontal="centerContinuous"/>
    </xf>
    <xf numFmtId="171" fontId="60" fillId="0" borderId="109" xfId="5" applyFont="1" applyBorder="1" applyAlignment="1">
      <alignment horizontal="left"/>
    </xf>
    <xf numFmtId="171" fontId="61" fillId="0" borderId="39" xfId="5" applyFont="1" applyBorder="1"/>
    <xf numFmtId="171" fontId="60" fillId="0" borderId="40" xfId="5" applyFont="1" applyBorder="1" applyAlignment="1">
      <alignment horizontal="centerContinuous"/>
    </xf>
    <xf numFmtId="171" fontId="61" fillId="0" borderId="29" xfId="5" applyFont="1" applyBorder="1" applyAlignment="1">
      <alignment horizontal="centerContinuous"/>
    </xf>
    <xf numFmtId="171" fontId="61" fillId="0" borderId="45" xfId="5" applyFont="1" applyBorder="1" applyAlignment="1">
      <alignment horizontal="centerContinuous"/>
    </xf>
    <xf numFmtId="171" fontId="61" fillId="0" borderId="0" xfId="5" applyFont="1" applyAlignment="1">
      <alignment horizontal="centerContinuous"/>
    </xf>
    <xf numFmtId="0" fontId="60" fillId="0" borderId="40" xfId="5" quotePrefix="1" applyNumberFormat="1" applyFont="1" applyBorder="1" applyAlignment="1">
      <alignment horizontal="centerContinuous"/>
    </xf>
    <xf numFmtId="171" fontId="62" fillId="0" borderId="45" xfId="5" applyFont="1" applyBorder="1" applyAlignment="1">
      <alignment horizontal="centerContinuous"/>
    </xf>
    <xf numFmtId="171" fontId="63" fillId="0" borderId="45" xfId="5" applyFont="1" applyBorder="1" applyAlignment="1">
      <alignment horizontal="centerContinuous"/>
    </xf>
    <xf numFmtId="171" fontId="64" fillId="0" borderId="46" xfId="5" applyFont="1" applyBorder="1" applyAlignment="1">
      <alignment horizontal="centerContinuous"/>
    </xf>
    <xf numFmtId="171" fontId="61" fillId="0" borderId="23" xfId="5" applyFont="1" applyBorder="1" applyAlignment="1">
      <alignment horizontal="centerContinuous"/>
    </xf>
    <xf numFmtId="171" fontId="60" fillId="0" borderId="46" xfId="5" applyFont="1" applyBorder="1" applyAlignment="1">
      <alignment horizontal="left"/>
    </xf>
    <xf numFmtId="171" fontId="61" fillId="0" borderId="48" xfId="5" applyFont="1" applyBorder="1"/>
    <xf numFmtId="171" fontId="65" fillId="0" borderId="23" xfId="5" applyFont="1" applyBorder="1" applyAlignment="1">
      <alignment horizontal="centerContinuous"/>
    </xf>
    <xf numFmtId="171" fontId="61" fillId="0" borderId="24" xfId="5" applyFont="1" applyBorder="1" applyAlignment="1">
      <alignment horizontal="centerContinuous"/>
    </xf>
    <xf numFmtId="171" fontId="61" fillId="0" borderId="0" xfId="5" applyFont="1" applyAlignment="1">
      <alignment horizontal="right"/>
    </xf>
    <xf numFmtId="171" fontId="61" fillId="0" borderId="0" xfId="5" applyFont="1" applyAlignment="1">
      <alignment horizontal="left"/>
    </xf>
    <xf numFmtId="171" fontId="61" fillId="0" borderId="0" xfId="5" applyFont="1"/>
    <xf numFmtId="171" fontId="66" fillId="0" borderId="0" xfId="5" applyFont="1" applyAlignment="1">
      <alignment horizontal="right"/>
    </xf>
    <xf numFmtId="171" fontId="66" fillId="0" borderId="0" xfId="5" quotePrefix="1" applyFont="1" applyAlignment="1">
      <alignment horizontal="left"/>
    </xf>
    <xf numFmtId="171" fontId="66" fillId="0" borderId="0" xfId="6" applyNumberFormat="1" applyFont="1" applyAlignment="1">
      <alignment horizontal="centerContinuous"/>
    </xf>
    <xf numFmtId="171" fontId="66" fillId="0" borderId="0" xfId="6" applyNumberFormat="1" applyFont="1" applyAlignment="1">
      <alignment horizontal="right"/>
    </xf>
    <xf numFmtId="171" fontId="66" fillId="0" borderId="0" xfId="6" applyNumberFormat="1" applyFont="1" applyAlignment="1">
      <alignment horizontal="left"/>
    </xf>
    <xf numFmtId="171" fontId="61" fillId="0" borderId="0" xfId="6" applyNumberFormat="1" applyFont="1"/>
    <xf numFmtId="171" fontId="61" fillId="0" borderId="0" xfId="6" applyNumberFormat="1" applyFont="1" applyAlignment="1">
      <alignment horizontal="centerContinuous"/>
    </xf>
    <xf numFmtId="166" fontId="66" fillId="0" borderId="0" xfId="6" applyNumberFormat="1" applyFont="1" applyAlignment="1">
      <alignment horizontal="right"/>
    </xf>
    <xf numFmtId="171" fontId="61" fillId="0" borderId="0" xfId="6" applyNumberFormat="1" applyFont="1" applyAlignment="1">
      <alignment horizontal="left"/>
    </xf>
    <xf numFmtId="172" fontId="61" fillId="0" borderId="0" xfId="6" applyNumberFormat="1" applyFont="1" applyAlignment="1">
      <alignment horizontal="left"/>
    </xf>
    <xf numFmtId="172" fontId="61" fillId="0" borderId="0" xfId="6" applyNumberFormat="1" applyFont="1" applyAlignment="1">
      <alignment horizontal="left"/>
    </xf>
    <xf numFmtId="171" fontId="61" fillId="0" borderId="0" xfId="6" applyNumberFormat="1" applyFont="1" applyAlignment="1">
      <alignment horizontal="right"/>
    </xf>
    <xf numFmtId="171" fontId="61" fillId="0" borderId="0" xfId="6" quotePrefix="1" applyNumberFormat="1" applyFont="1" applyAlignment="1">
      <alignment horizontal="left"/>
    </xf>
    <xf numFmtId="171" fontId="61" fillId="0" borderId="0" xfId="6" applyNumberFormat="1" applyFont="1" applyAlignment="1">
      <alignment horizontal="left"/>
    </xf>
    <xf numFmtId="171" fontId="66" fillId="0" borderId="0" xfId="6" applyNumberFormat="1" applyFont="1" applyAlignment="1">
      <alignment horizontal="center"/>
    </xf>
    <xf numFmtId="166" fontId="66" fillId="0" borderId="0" xfId="6" applyNumberFormat="1" applyFont="1" applyAlignment="1">
      <alignment horizontal="right"/>
    </xf>
    <xf numFmtId="171" fontId="66" fillId="0" borderId="0" xfId="5" applyFont="1" applyAlignment="1">
      <alignment horizontal="center"/>
    </xf>
    <xf numFmtId="171" fontId="66" fillId="0" borderId="0" xfId="6" quotePrefix="1" applyNumberFormat="1" applyFont="1" applyAlignment="1">
      <alignment horizontal="left"/>
    </xf>
    <xf numFmtId="171" fontId="61" fillId="0" borderId="136" xfId="6" applyNumberFormat="1" applyFont="1" applyBorder="1" applyAlignment="1">
      <alignment horizontal="center"/>
    </xf>
    <xf numFmtId="171" fontId="14" fillId="0" borderId="0" xfId="6" applyNumberFormat="1" applyFont="1" applyAlignment="1">
      <alignment horizontal="right"/>
    </xf>
    <xf numFmtId="166" fontId="63" fillId="0" borderId="0" xfId="6" applyNumberFormat="1" applyFont="1" applyAlignment="1">
      <alignment horizontal="center"/>
    </xf>
    <xf numFmtId="171" fontId="67" fillId="0" borderId="6" xfId="6" applyNumberFormat="1" applyFont="1" applyBorder="1" applyAlignment="1">
      <alignment horizontal="center" vertical="center"/>
    </xf>
    <xf numFmtId="171" fontId="67" fillId="0" borderId="7" xfId="6" applyNumberFormat="1" applyFont="1" applyBorder="1" applyAlignment="1">
      <alignment horizontal="center" vertical="center"/>
    </xf>
    <xf numFmtId="171" fontId="67" fillId="0" borderId="8" xfId="6" applyNumberFormat="1" applyFont="1" applyBorder="1" applyAlignment="1">
      <alignment horizontal="center" vertical="center"/>
    </xf>
    <xf numFmtId="171" fontId="67" fillId="0" borderId="46" xfId="6" applyNumberFormat="1" applyFont="1" applyBorder="1" applyAlignment="1">
      <alignment horizontal="center" vertical="center"/>
    </xf>
    <xf numFmtId="171" fontId="67" fillId="0" borderId="23" xfId="6" applyNumberFormat="1" applyFont="1" applyBorder="1" applyAlignment="1">
      <alignment horizontal="center" vertical="center"/>
    </xf>
    <xf numFmtId="171" fontId="67" fillId="0" borderId="24" xfId="6" applyNumberFormat="1" applyFont="1" applyBorder="1" applyAlignment="1">
      <alignment horizontal="center" vertical="center"/>
    </xf>
    <xf numFmtId="171" fontId="66" fillId="0" borderId="0" xfId="6" applyNumberFormat="1" applyFont="1" applyAlignment="1">
      <alignment horizontal="right" vertical="center"/>
    </xf>
    <xf numFmtId="0" fontId="66" fillId="0" borderId="0" xfId="6" applyFont="1" applyAlignment="1">
      <alignment horizontal="center"/>
    </xf>
    <xf numFmtId="169" fontId="66" fillId="0" borderId="0" xfId="6" applyNumberFormat="1" applyFont="1" applyAlignment="1">
      <alignment horizontal="center"/>
    </xf>
    <xf numFmtId="171" fontId="66" fillId="0" borderId="0" xfId="6" quotePrefix="1" applyNumberFormat="1" applyFont="1" applyAlignment="1">
      <alignment horizontal="center"/>
    </xf>
    <xf numFmtId="171" fontId="68" fillId="0" borderId="0" xfId="6" applyNumberFormat="1" applyFont="1" applyAlignment="1">
      <alignment horizontal="left"/>
    </xf>
    <xf numFmtId="171" fontId="68" fillId="0" borderId="0" xfId="6" applyNumberFormat="1" applyFont="1"/>
    <xf numFmtId="171" fontId="68" fillId="0" borderId="0" xfId="6" applyNumberFormat="1" applyFont="1" applyAlignment="1">
      <alignment horizontal="right"/>
    </xf>
    <xf numFmtId="173" fontId="68" fillId="0" borderId="0" xfId="6" applyNumberFormat="1" applyFont="1" applyAlignment="1">
      <alignment horizontal="right"/>
    </xf>
    <xf numFmtId="169" fontId="66" fillId="0" borderId="0" xfId="6" applyNumberFormat="1" applyFont="1" applyAlignment="1">
      <alignment horizontal="left"/>
    </xf>
    <xf numFmtId="171" fontId="66" fillId="0" borderId="0" xfId="6" applyNumberFormat="1" applyFont="1"/>
    <xf numFmtId="171" fontId="66" fillId="0" borderId="23" xfId="6" applyNumberFormat="1" applyFont="1" applyBorder="1" applyAlignment="1">
      <alignment horizontal="center"/>
    </xf>
    <xf numFmtId="2" fontId="68" fillId="0" borderId="0" xfId="6" quotePrefix="1" applyNumberFormat="1" applyFont="1" applyAlignment="1">
      <alignment horizontal="left"/>
    </xf>
    <xf numFmtId="171" fontId="60" fillId="0" borderId="0" xfId="6" applyNumberFormat="1" applyFont="1"/>
    <xf numFmtId="171" fontId="60" fillId="0" borderId="0" xfId="6" applyNumberFormat="1" applyFont="1" applyAlignment="1">
      <alignment horizontal="right"/>
    </xf>
    <xf numFmtId="166" fontId="66" fillId="0" borderId="0" xfId="6" applyNumberFormat="1" applyFont="1" applyAlignment="1">
      <alignment horizontal="center"/>
    </xf>
    <xf numFmtId="174" fontId="68" fillId="0" borderId="0" xfId="6" applyNumberFormat="1" applyFont="1" applyAlignment="1">
      <alignment horizontal="left"/>
    </xf>
    <xf numFmtId="171" fontId="68" fillId="0" borderId="0" xfId="6" quotePrefix="1" applyNumberFormat="1" applyFont="1" applyAlignment="1">
      <alignment horizontal="right"/>
    </xf>
    <xf numFmtId="49" fontId="68" fillId="0" borderId="0" xfId="6" quotePrefix="1" applyNumberFormat="1" applyFont="1" applyAlignment="1">
      <alignment horizontal="left"/>
    </xf>
    <xf numFmtId="171" fontId="68" fillId="0" borderId="0" xfId="6" quotePrefix="1" applyNumberFormat="1" applyFont="1" applyAlignment="1">
      <alignment horizontal="left"/>
    </xf>
    <xf numFmtId="1" fontId="68" fillId="0" borderId="0" xfId="6" quotePrefix="1" applyNumberFormat="1" applyFont="1" applyAlignment="1">
      <alignment horizontal="left"/>
    </xf>
    <xf numFmtId="171" fontId="68" fillId="0" borderId="0" xfId="6" applyNumberFormat="1" applyFont="1" applyAlignment="1">
      <alignment horizontal="centerContinuous"/>
    </xf>
    <xf numFmtId="171" fontId="69" fillId="0" borderId="0" xfId="6" applyNumberFormat="1" applyFont="1" applyAlignment="1">
      <alignment horizontal="centerContinuous"/>
    </xf>
    <xf numFmtId="171" fontId="66" fillId="0" borderId="0" xfId="6" quotePrefix="1" applyNumberFormat="1" applyFont="1" applyAlignment="1">
      <alignment horizontal="right"/>
    </xf>
    <xf numFmtId="171" fontId="68" fillId="0" borderId="0" xfId="6" applyNumberFormat="1" applyFont="1" applyAlignment="1">
      <alignment horizontal="center"/>
    </xf>
    <xf numFmtId="166" fontId="68" fillId="0" borderId="0" xfId="6" applyNumberFormat="1" applyFont="1" applyAlignment="1">
      <alignment horizontal="center"/>
    </xf>
    <xf numFmtId="1" fontId="68" fillId="0" borderId="0" xfId="6" quotePrefix="1" applyNumberFormat="1" applyFont="1" applyAlignment="1">
      <alignment horizontal="center"/>
    </xf>
    <xf numFmtId="1" fontId="68" fillId="0" borderId="0" xfId="6" applyNumberFormat="1" applyFont="1" applyAlignment="1">
      <alignment horizontal="center"/>
    </xf>
    <xf numFmtId="39" fontId="68" fillId="0" borderId="0" xfId="6" applyNumberFormat="1" applyFont="1" applyAlignment="1">
      <alignment horizontal="center"/>
    </xf>
    <xf numFmtId="171" fontId="70" fillId="0" borderId="0" xfId="6" applyNumberFormat="1" applyFont="1" applyAlignment="1">
      <alignment horizontal="centerContinuous"/>
    </xf>
    <xf numFmtId="1" fontId="68" fillId="0" borderId="0" xfId="6" applyNumberFormat="1" applyFont="1" applyAlignment="1">
      <alignment horizontal="center"/>
    </xf>
    <xf numFmtId="1" fontId="66" fillId="0" borderId="0" xfId="6" applyNumberFormat="1" applyFont="1" applyAlignment="1">
      <alignment horizontal="left"/>
    </xf>
    <xf numFmtId="171" fontId="71" fillId="0" borderId="0" xfId="6" applyNumberFormat="1" applyFont="1"/>
    <xf numFmtId="39" fontId="66" fillId="0" borderId="0" xfId="6" applyNumberFormat="1" applyFont="1" applyAlignment="1">
      <alignment horizontal="center"/>
    </xf>
    <xf numFmtId="1" fontId="66" fillId="0" borderId="0" xfId="6" applyNumberFormat="1" applyFont="1" applyAlignment="1">
      <alignment horizontal="center"/>
    </xf>
    <xf numFmtId="171" fontId="72" fillId="0" borderId="0" xfId="6" applyNumberFormat="1" applyFont="1" applyAlignment="1">
      <alignment horizontal="center"/>
    </xf>
    <xf numFmtId="171" fontId="1" fillId="0" borderId="0" xfId="6" applyNumberFormat="1" applyAlignment="1">
      <alignment horizontal="center" vertical="center"/>
    </xf>
    <xf numFmtId="9" fontId="1" fillId="0" borderId="0" xfId="6" quotePrefix="1" applyNumberFormat="1" applyAlignment="1">
      <alignment horizontal="center"/>
    </xf>
    <xf numFmtId="9" fontId="68" fillId="0" borderId="0" xfId="6" applyNumberFormat="1" applyFont="1" applyAlignment="1">
      <alignment horizontal="center"/>
    </xf>
    <xf numFmtId="171" fontId="73" fillId="0" borderId="0" xfId="5" applyFont="1"/>
    <xf numFmtId="171" fontId="66" fillId="0" borderId="23" xfId="6" applyNumberFormat="1" applyFont="1" applyBorder="1" applyAlignment="1">
      <alignment horizontal="right"/>
    </xf>
    <xf numFmtId="175" fontId="66" fillId="0" borderId="23" xfId="6" applyNumberFormat="1" applyFont="1" applyBorder="1" applyAlignment="1">
      <alignment horizontal="center"/>
    </xf>
    <xf numFmtId="171" fontId="63" fillId="0" borderId="0" xfId="5" applyFont="1"/>
    <xf numFmtId="171" fontId="63" fillId="0" borderId="0" xfId="5" applyFont="1" applyAlignment="1">
      <alignment horizontal="center"/>
    </xf>
    <xf numFmtId="0" fontId="1" fillId="0" borderId="0" xfId="6"/>
    <xf numFmtId="0" fontId="74" fillId="0" borderId="0" xfId="6" quotePrefix="1" applyFont="1" applyAlignment="1">
      <alignment horizontal="right"/>
    </xf>
    <xf numFmtId="0" fontId="1" fillId="0" borderId="0" xfId="6" applyAlignment="1">
      <alignment horizontal="right"/>
    </xf>
    <xf numFmtId="171" fontId="74" fillId="3" borderId="40" xfId="7" applyFont="1" applyFill="1" applyBorder="1" applyAlignment="1">
      <alignment horizontal="center" vertical="center"/>
    </xf>
    <xf numFmtId="0" fontId="75" fillId="3" borderId="40" xfId="6" applyFont="1" applyFill="1" applyBorder="1" applyAlignment="1">
      <alignment horizontal="center" vertical="center"/>
    </xf>
    <xf numFmtId="171" fontId="76" fillId="0" borderId="0" xfId="7" applyFont="1"/>
    <xf numFmtId="171" fontId="71" fillId="0" borderId="0" xfId="7" applyFont="1"/>
    <xf numFmtId="171" fontId="61" fillId="0" borderId="0" xfId="7" applyFont="1"/>
    <xf numFmtId="171" fontId="61" fillId="0" borderId="0" xfId="7" applyFont="1" applyAlignment="1">
      <alignment horizontal="centerContinuous"/>
    </xf>
    <xf numFmtId="0" fontId="1" fillId="0" borderId="0" xfId="6" applyAlignment="1">
      <alignment horizontal="center"/>
    </xf>
    <xf numFmtId="176" fontId="71" fillId="0" borderId="0" xfId="7" applyNumberFormat="1" applyFont="1" applyAlignment="1">
      <alignment horizontal="center"/>
    </xf>
    <xf numFmtId="177" fontId="61" fillId="0" borderId="0" xfId="7" applyNumberFormat="1" applyFont="1"/>
    <xf numFmtId="2" fontId="61" fillId="0" borderId="0" xfId="7" applyNumberFormat="1" applyFont="1"/>
    <xf numFmtId="173" fontId="66" fillId="0" borderId="0" xfId="5" applyNumberFormat="1" applyFont="1" applyAlignment="1">
      <alignment horizontal="center"/>
    </xf>
    <xf numFmtId="171" fontId="77" fillId="0" borderId="0" xfId="7" applyFont="1" applyAlignment="1">
      <alignment horizontal="left"/>
    </xf>
    <xf numFmtId="1" fontId="58" fillId="0" borderId="0" xfId="7" applyNumberFormat="1" applyAlignment="1">
      <alignment horizontal="center"/>
    </xf>
    <xf numFmtId="1" fontId="64" fillId="3" borderId="40" xfId="7" quotePrefix="1" applyNumberFormat="1" applyFont="1" applyFill="1" applyBorder="1" applyAlignment="1">
      <alignment horizontal="center"/>
    </xf>
    <xf numFmtId="171" fontId="77" fillId="0" borderId="0" xfId="7" applyFont="1" applyAlignment="1">
      <alignment horizontal="right"/>
    </xf>
    <xf numFmtId="171" fontId="52" fillId="0" borderId="137" xfId="7" applyFont="1" applyBorder="1" applyAlignment="1">
      <alignment horizontal="center"/>
    </xf>
    <xf numFmtId="14" fontId="64" fillId="0" borderId="137" xfId="7" quotePrefix="1" applyNumberFormat="1" applyFont="1" applyBorder="1" applyAlignment="1">
      <alignment horizontal="center"/>
    </xf>
    <xf numFmtId="178" fontId="66" fillId="0" borderId="0" xfId="5" applyNumberFormat="1" applyFont="1" applyAlignment="1">
      <alignment horizontal="center"/>
    </xf>
    <xf numFmtId="178" fontId="61" fillId="0" borderId="0" xfId="5" applyNumberFormat="1" applyFont="1" applyAlignment="1">
      <alignment horizontal="center"/>
    </xf>
    <xf numFmtId="49" fontId="61" fillId="0" borderId="0" xfId="5" applyNumberFormat="1" applyFont="1"/>
    <xf numFmtId="2" fontId="61" fillId="0" borderId="0" xfId="5" applyNumberFormat="1" applyFont="1"/>
    <xf numFmtId="2" fontId="68" fillId="0" borderId="0" xfId="5" applyNumberFormat="1" applyFont="1" applyAlignment="1">
      <alignment horizontal="centerContinuous"/>
    </xf>
    <xf numFmtId="2" fontId="61" fillId="0" borderId="0" xfId="5" applyNumberFormat="1" applyFont="1" applyAlignment="1">
      <alignment horizontal="centerContinuous"/>
    </xf>
    <xf numFmtId="171" fontId="68" fillId="0" borderId="0" xfId="5" applyFont="1"/>
    <xf numFmtId="49" fontId="61" fillId="0" borderId="0" xfId="5" applyNumberFormat="1" applyFont="1" applyAlignment="1">
      <alignment horizontal="center"/>
    </xf>
    <xf numFmtId="171" fontId="61" fillId="0" borderId="0" xfId="5" applyFont="1" applyAlignment="1">
      <alignment horizontal="center"/>
    </xf>
    <xf numFmtId="171" fontId="68" fillId="0" borderId="0" xfId="5" applyFont="1" applyAlignment="1">
      <alignment horizontal="center"/>
    </xf>
  </cellXfs>
  <cellStyles count="8">
    <cellStyle name="Normal" xfId="0" builtinId="0"/>
    <cellStyle name="Normal 2" xfId="1" xr:uid="{00000000-0005-0000-0000-000001000000}"/>
    <cellStyle name="Normal 3" xfId="4" xr:uid="{00000000-0005-0000-0000-000002000000}"/>
    <cellStyle name="Normal 8" xfId="6" xr:uid="{03C7D5DF-648E-4EA3-8875-B633AC0B10E5}"/>
    <cellStyle name="Normal_OPTEST" xfId="2" xr:uid="{00000000-0005-0000-0000-000003000000}"/>
    <cellStyle name="Normal_PROJ_REV_HIST" xfId="3" xr:uid="{00000000-0005-0000-0000-000004000000}"/>
    <cellStyle name="Normal_SOUND" xfId="5" xr:uid="{BC935C8D-4B36-46AA-A007-DCB8C826E743}"/>
    <cellStyle name="Normal_TEST DATA" xfId="7" xr:uid="{D9DA579A-1879-47A7-9930-BD10E2702EC3}"/>
  </cellStyles>
  <dxfs count="2">
    <dxf>
      <fill>
        <patternFill>
          <bgColor rgb="FFFF0000"/>
        </patternFill>
      </fill>
    </dxf>
    <dxf>
      <fill>
        <patternFill>
          <bgColor theme="4" tint="0.59996337778862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 Type="http://schemas.openxmlformats.org/officeDocument/2006/relationships/worksheet" Target="worksheets/sheet2.xml"/><Relationship Id="rId16" Type="http://schemas.openxmlformats.org/officeDocument/2006/relationships/externalLink" Target="externalLinks/externalLink8.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23" Type="http://schemas.openxmlformats.org/officeDocument/2006/relationships/calcChain" Target="calcChain.xml"/><Relationship Id="rId10" Type="http://schemas.openxmlformats.org/officeDocument/2006/relationships/externalLink" Target="externalLinks/externalLink2.xml"/><Relationship Id="rId19"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sharedStrings" Target="sharedStrings.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1" u="none" strike="noStrike" baseline="0">
                <a:solidFill>
                  <a:srgbClr val="000000"/>
                </a:solidFill>
                <a:latin typeface="Times New Roman"/>
                <a:ea typeface="Times New Roman"/>
                <a:cs typeface="Times New Roman"/>
              </a:defRPr>
            </a:pPr>
            <a:r>
              <a:rPr lang="en-US"/>
              <a:t>S-T Curve Estimation</a:t>
            </a:r>
          </a:p>
        </c:rich>
      </c:tx>
      <c:layout>
        <c:manualLayout>
          <c:xMode val="edge"/>
          <c:yMode val="edge"/>
          <c:x val="0.33815076622161511"/>
          <c:y val="2.1008446462313021E-2"/>
        </c:manualLayout>
      </c:layout>
      <c:overlay val="0"/>
      <c:spPr>
        <a:noFill/>
        <a:ln w="25400">
          <a:noFill/>
        </a:ln>
      </c:spPr>
    </c:title>
    <c:autoTitleDeleted val="0"/>
    <c:plotArea>
      <c:layout>
        <c:manualLayout>
          <c:layoutTarget val="inner"/>
          <c:xMode val="edge"/>
          <c:yMode val="edge"/>
          <c:x val="0.17052047185534436"/>
          <c:y val="0.11344561089649031"/>
          <c:w val="0.67919170993230382"/>
          <c:h val="0.68067366537894192"/>
        </c:manualLayout>
      </c:layout>
      <c:scatterChart>
        <c:scatterStyle val="lineMarker"/>
        <c:varyColors val="0"/>
        <c:ser>
          <c:idx val="0"/>
          <c:order val="0"/>
          <c:spPr>
            <a:ln w="12700">
              <a:solidFill>
                <a:srgbClr val="000000"/>
              </a:solidFill>
              <a:prstDash val="solid"/>
            </a:ln>
          </c:spPr>
          <c:marker>
            <c:symbol val="none"/>
          </c:marker>
          <c:xVal>
            <c:numRef>
              <c:f>(DesignSheet!$A$59:$A$68,DesignSheet!$D$59:$D$62)</c:f>
              <c:numCache>
                <c:formatCode>0.000</c:formatCode>
                <c:ptCount val="14"/>
                <c:pt idx="0" formatCode="0.00">
                  <c:v>0</c:v>
                </c:pt>
                <c:pt idx="1">
                  <c:v>2.0000003278255463E-3</c:v>
                </c:pt>
                <c:pt idx="2">
                  <c:v>1.0000001639127731E-2</c:v>
                </c:pt>
                <c:pt idx="3" formatCode="0.00">
                  <c:v>6.2105264514684677E-2</c:v>
                </c:pt>
                <c:pt idx="4" formatCode="0.00">
                  <c:v>0.11421053111553192</c:v>
                </c:pt>
                <c:pt idx="5" formatCode="0.00">
                  <c:v>0.16631579399108887</c:v>
                </c:pt>
                <c:pt idx="6" formatCode="0.00">
                  <c:v>0.27052631974220276</c:v>
                </c:pt>
                <c:pt idx="7" formatCode="0.00">
                  <c:v>0.37473684549331665</c:v>
                </c:pt>
                <c:pt idx="8" formatCode="0.00">
                  <c:v>0.47894737124443054</c:v>
                </c:pt>
                <c:pt idx="9" formatCode="0.00">
                  <c:v>0.58315789699554443</c:v>
                </c:pt>
                <c:pt idx="10" formatCode="0.00">
                  <c:v>0.68736839294433594</c:v>
                </c:pt>
                <c:pt idx="11" formatCode="0.00">
                  <c:v>0.79157894849777222</c:v>
                </c:pt>
                <c:pt idx="12" formatCode="0.00">
                  <c:v>0.89578944444656372</c:v>
                </c:pt>
                <c:pt idx="13" formatCode="0.00">
                  <c:v>1</c:v>
                </c:pt>
              </c:numCache>
            </c:numRef>
          </c:xVal>
          <c:yVal>
            <c:numRef>
              <c:f>(DesignSheet!$B$59:$B$68,DesignSheet!$E$59:$E$62)</c:f>
              <c:numCache>
                <c:formatCode>0.0</c:formatCode>
                <c:ptCount val="14"/>
                <c:pt idx="0">
                  <c:v>0</c:v>
                </c:pt>
                <c:pt idx="1">
                  <c:v>156.14834607668786</c:v>
                </c:pt>
                <c:pt idx="2">
                  <c:v>244</c:v>
                </c:pt>
                <c:pt idx="3">
                  <c:v>149.44172053441937</c:v>
                </c:pt>
                <c:pt idx="4">
                  <c:v>125.83513443915938</c:v>
                </c:pt>
                <c:pt idx="5">
                  <c:v>117.22088098223787</c:v>
                </c:pt>
                <c:pt idx="6">
                  <c:v>112.84005071298898</c:v>
                </c:pt>
                <c:pt idx="7">
                  <c:v>111.47820878831283</c:v>
                </c:pt>
                <c:pt idx="8">
                  <c:v>110.82357040935855</c:v>
                </c:pt>
                <c:pt idx="9">
                  <c:v>110.44066288098858</c:v>
                </c:pt>
                <c:pt idx="10">
                  <c:v>110.21754928390658</c:v>
                </c:pt>
                <c:pt idx="11">
                  <c:v>110.09242164451938</c:v>
                </c:pt>
                <c:pt idx="12">
                  <c:v>110.02878215640398</c:v>
                </c:pt>
                <c:pt idx="13">
                  <c:v>110</c:v>
                </c:pt>
              </c:numCache>
            </c:numRef>
          </c:yVal>
          <c:smooth val="1"/>
          <c:extLst>
            <c:ext xmlns:c16="http://schemas.microsoft.com/office/drawing/2014/chart" uri="{C3380CC4-5D6E-409C-BE32-E72D297353CC}">
              <c16:uniqueId val="{00000000-80BE-4668-ADAC-BDC60A9C7A6E}"/>
            </c:ext>
          </c:extLst>
        </c:ser>
        <c:dLbls>
          <c:showLegendKey val="0"/>
          <c:showVal val="0"/>
          <c:showCatName val="0"/>
          <c:showSerName val="0"/>
          <c:showPercent val="0"/>
          <c:showBubbleSize val="0"/>
        </c:dLbls>
        <c:axId val="162328576"/>
        <c:axId val="162330496"/>
      </c:scatterChart>
      <c:scatterChart>
        <c:scatterStyle val="lineMarker"/>
        <c:varyColors val="0"/>
        <c:ser>
          <c:idx val="1"/>
          <c:order val="1"/>
          <c:spPr>
            <a:ln w="12700">
              <a:solidFill>
                <a:srgbClr val="000000"/>
              </a:solidFill>
              <a:prstDash val="sysDash"/>
            </a:ln>
          </c:spPr>
          <c:marker>
            <c:symbol val="none"/>
          </c:marker>
          <c:xVal>
            <c:numRef>
              <c:f>(DesignSheet!$A$59:$A$68,DesignSheet!$D$59:$D$62)</c:f>
              <c:numCache>
                <c:formatCode>0.000</c:formatCode>
                <c:ptCount val="14"/>
                <c:pt idx="0" formatCode="0.00">
                  <c:v>0</c:v>
                </c:pt>
                <c:pt idx="1">
                  <c:v>2.0000003278255463E-3</c:v>
                </c:pt>
                <c:pt idx="2">
                  <c:v>1.0000001639127731E-2</c:v>
                </c:pt>
                <c:pt idx="3" formatCode="0.00">
                  <c:v>6.2105264514684677E-2</c:v>
                </c:pt>
                <c:pt idx="4" formatCode="0.00">
                  <c:v>0.11421053111553192</c:v>
                </c:pt>
                <c:pt idx="5" formatCode="0.00">
                  <c:v>0.16631579399108887</c:v>
                </c:pt>
                <c:pt idx="6" formatCode="0.00">
                  <c:v>0.27052631974220276</c:v>
                </c:pt>
                <c:pt idx="7" formatCode="0.00">
                  <c:v>0.37473684549331665</c:v>
                </c:pt>
                <c:pt idx="8" formatCode="0.00">
                  <c:v>0.47894737124443054</c:v>
                </c:pt>
                <c:pt idx="9" formatCode="0.00">
                  <c:v>0.58315789699554443</c:v>
                </c:pt>
                <c:pt idx="10" formatCode="0.00">
                  <c:v>0.68736839294433594</c:v>
                </c:pt>
                <c:pt idx="11" formatCode="0.00">
                  <c:v>0.79157894849777222</c:v>
                </c:pt>
                <c:pt idx="12" formatCode="0.00">
                  <c:v>0.89578944444656372</c:v>
                </c:pt>
                <c:pt idx="13" formatCode="0.00">
                  <c:v>1</c:v>
                </c:pt>
              </c:numCache>
            </c:numRef>
          </c:xVal>
          <c:yVal>
            <c:numRef>
              <c:f>(DesignSheet!$C$59:$C$68,DesignSheet!$F$59:$F$62)</c:f>
              <c:numCache>
                <c:formatCode>0.0</c:formatCode>
                <c:ptCount val="14"/>
                <c:pt idx="0">
                  <c:v>0.21082784235477448</c:v>
                </c:pt>
                <c:pt idx="1">
                  <c:v>177.02201843261719</c:v>
                </c:pt>
                <c:pt idx="2">
                  <c:v>480.33084106445313</c:v>
                </c:pt>
                <c:pt idx="3">
                  <c:v>544.79266357421875</c:v>
                </c:pt>
                <c:pt idx="4">
                  <c:v>564.20428466796875</c:v>
                </c:pt>
                <c:pt idx="5">
                  <c:v>575.459716796875</c:v>
                </c:pt>
                <c:pt idx="6">
                  <c:v>592.12872314453125</c:v>
                </c:pt>
                <c:pt idx="7">
                  <c:v>605.47332763671875</c:v>
                </c:pt>
                <c:pt idx="8">
                  <c:v>616.29852294921875</c:v>
                </c:pt>
                <c:pt idx="9">
                  <c:v>624.86962890625</c:v>
                </c:pt>
                <c:pt idx="10">
                  <c:v>631.7330322265625</c:v>
                </c:pt>
                <c:pt idx="11">
                  <c:v>637.21026611328125</c:v>
                </c:pt>
                <c:pt idx="12">
                  <c:v>641.735107421875</c:v>
                </c:pt>
                <c:pt idx="13">
                  <c:v>645.5445556640625</c:v>
                </c:pt>
              </c:numCache>
            </c:numRef>
          </c:yVal>
          <c:smooth val="1"/>
          <c:extLst>
            <c:ext xmlns:c16="http://schemas.microsoft.com/office/drawing/2014/chart" uri="{C3380CC4-5D6E-409C-BE32-E72D297353CC}">
              <c16:uniqueId val="{00000001-80BE-4668-ADAC-BDC60A9C7A6E}"/>
            </c:ext>
          </c:extLst>
        </c:ser>
        <c:dLbls>
          <c:showLegendKey val="0"/>
          <c:showVal val="0"/>
          <c:showCatName val="0"/>
          <c:showSerName val="0"/>
          <c:showPercent val="0"/>
          <c:showBubbleSize val="0"/>
        </c:dLbls>
        <c:axId val="162004992"/>
        <c:axId val="162006528"/>
      </c:scatterChart>
      <c:valAx>
        <c:axId val="162328576"/>
        <c:scaling>
          <c:orientation val="maxMin"/>
          <c:max val="1"/>
        </c:scaling>
        <c:delete val="0"/>
        <c:axPos val="b"/>
        <c:majorGridlines>
          <c:spPr>
            <a:ln w="3175">
              <a:pattFill prst="pct25">
                <a:fgClr>
                  <a:srgbClr val="000000"/>
                </a:fgClr>
                <a:bgClr>
                  <a:srgbClr val="FFFFFF"/>
                </a:bgClr>
              </a:pattFill>
              <a:prstDash val="solid"/>
            </a:ln>
          </c:spPr>
        </c:majorGridlines>
        <c:title>
          <c:tx>
            <c:rich>
              <a:bodyPr/>
              <a:lstStyle/>
              <a:p>
                <a:pPr>
                  <a:defRPr sz="800" b="0" i="1" u="none" strike="noStrike" baseline="0">
                    <a:solidFill>
                      <a:srgbClr val="000000"/>
                    </a:solidFill>
                    <a:latin typeface="Times New Roman"/>
                    <a:ea typeface="Times New Roman"/>
                    <a:cs typeface="Times New Roman"/>
                  </a:defRPr>
                </a:pPr>
                <a:r>
                  <a:rPr lang="en-US"/>
                  <a:t>Slip (p.u.)</a:t>
                </a:r>
              </a:p>
            </c:rich>
          </c:tx>
          <c:layout>
            <c:manualLayout>
              <c:xMode val="edge"/>
              <c:yMode val="edge"/>
              <c:x val="0.43641680085011864"/>
              <c:y val="0.89075813000207216"/>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62330496"/>
        <c:crossesAt val="0"/>
        <c:crossBetween val="midCat"/>
        <c:majorUnit val="0.2"/>
        <c:minorUnit val="0.2"/>
      </c:valAx>
      <c:valAx>
        <c:axId val="162330496"/>
        <c:scaling>
          <c:orientation val="minMax"/>
        </c:scaling>
        <c:delete val="0"/>
        <c:axPos val="l"/>
        <c:majorGridlines>
          <c:spPr>
            <a:ln w="3175">
              <a:pattFill prst="pct25">
                <a:fgClr>
                  <a:srgbClr val="000000"/>
                </a:fgClr>
                <a:bgClr>
                  <a:srgbClr val="FFFFFF"/>
                </a:bgClr>
              </a:pattFill>
              <a:prstDash val="solid"/>
            </a:ln>
          </c:spPr>
        </c:majorGridlines>
        <c:title>
          <c:tx>
            <c:rich>
              <a:bodyPr/>
              <a:lstStyle/>
              <a:p>
                <a:pPr>
                  <a:defRPr sz="800" b="0" i="1" u="none" strike="noStrike" baseline="0">
                    <a:solidFill>
                      <a:srgbClr val="000000"/>
                    </a:solidFill>
                    <a:latin typeface="Times New Roman"/>
                    <a:ea typeface="Times New Roman"/>
                    <a:cs typeface="Times New Roman"/>
                  </a:defRPr>
                </a:pPr>
                <a:r>
                  <a:rPr lang="en-US"/>
                  <a:t>Torque (%) </a:t>
                </a:r>
              </a:p>
            </c:rich>
          </c:tx>
          <c:layout>
            <c:manualLayout>
              <c:xMode val="edge"/>
              <c:yMode val="edge"/>
              <c:x val="1.4450887445368167E-2"/>
              <c:y val="0.28991656117991971"/>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62328576"/>
        <c:crosses val="max"/>
        <c:crossBetween val="midCat"/>
        <c:majorUnit val="50"/>
        <c:minorUnit val="50"/>
      </c:valAx>
      <c:valAx>
        <c:axId val="162004992"/>
        <c:scaling>
          <c:orientation val="maxMin"/>
        </c:scaling>
        <c:delete val="1"/>
        <c:axPos val="b"/>
        <c:numFmt formatCode="0.00" sourceLinked="1"/>
        <c:majorTickMark val="out"/>
        <c:minorTickMark val="none"/>
        <c:tickLblPos val="nextTo"/>
        <c:crossAx val="162006528"/>
        <c:crosses val="autoZero"/>
        <c:crossBetween val="midCat"/>
      </c:valAx>
      <c:valAx>
        <c:axId val="162006528"/>
        <c:scaling>
          <c:orientation val="minMax"/>
        </c:scaling>
        <c:delete val="0"/>
        <c:axPos val="r"/>
        <c:title>
          <c:tx>
            <c:rich>
              <a:bodyPr/>
              <a:lstStyle/>
              <a:p>
                <a:pPr>
                  <a:defRPr sz="800" b="0" i="1" u="none" strike="noStrike" baseline="0">
                    <a:solidFill>
                      <a:srgbClr val="000000"/>
                    </a:solidFill>
                    <a:latin typeface="Times New Roman"/>
                    <a:ea typeface="Times New Roman"/>
                    <a:cs typeface="Times New Roman"/>
                  </a:defRPr>
                </a:pPr>
                <a:r>
                  <a:rPr lang="en-US"/>
                  <a:t>Current (%)</a:t>
                </a:r>
              </a:p>
            </c:rich>
          </c:tx>
          <c:layout>
            <c:manualLayout>
              <c:xMode val="edge"/>
              <c:yMode val="edge"/>
              <c:x val="0.92774697399263628"/>
              <c:y val="0.2563030468402188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62004992"/>
        <c:crosses val="autoZero"/>
        <c:crossBetween val="midCat"/>
      </c:valAx>
      <c:spPr>
        <a:solidFill>
          <a:srgbClr val="E3E3E3"/>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4" verticalDpi="300"/>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1" u="none" strike="noStrike" baseline="0">
                <a:solidFill>
                  <a:srgbClr val="000000"/>
                </a:solidFill>
                <a:latin typeface="Times New Roman"/>
                <a:ea typeface="Times New Roman"/>
                <a:cs typeface="Times New Roman"/>
              </a:defRPr>
            </a:pPr>
            <a:r>
              <a:rPr lang="en-US"/>
              <a:t>Design Values</a:t>
            </a:r>
          </a:p>
        </c:rich>
      </c:tx>
      <c:layout>
        <c:manualLayout>
          <c:xMode val="edge"/>
          <c:yMode val="edge"/>
          <c:x val="0.40058553207164893"/>
          <c:y val="6.3371356147021542E-4"/>
        </c:manualLayout>
      </c:layout>
      <c:overlay val="0"/>
      <c:spPr>
        <a:noFill/>
        <a:ln w="25400">
          <a:noFill/>
        </a:ln>
      </c:spPr>
    </c:title>
    <c:autoTitleDeleted val="0"/>
    <c:plotArea>
      <c:layout>
        <c:manualLayout>
          <c:layoutTarget val="inner"/>
          <c:xMode val="edge"/>
          <c:yMode val="edge"/>
          <c:x val="0.13859672868134712"/>
          <c:y val="0.14068454124263052"/>
          <c:w val="0.71228192208388519"/>
          <c:h val="0.63308043559183735"/>
        </c:manualLayout>
      </c:layout>
      <c:scatterChart>
        <c:scatterStyle val="smoothMarker"/>
        <c:varyColors val="0"/>
        <c:ser>
          <c:idx val="0"/>
          <c:order val="0"/>
          <c:tx>
            <c:v>Torque (FV)</c:v>
          </c:tx>
          <c:spPr>
            <a:ln w="25400">
              <a:solidFill>
                <a:srgbClr val="000000"/>
              </a:solidFill>
              <a:prstDash val="solid"/>
            </a:ln>
          </c:spPr>
          <c:marker>
            <c:symbol val="none"/>
          </c:marker>
          <c:xVal>
            <c:numRef>
              <c:f>STCurve!$A$54:$A$67</c:f>
              <c:numCache>
                <c:formatCode>0.0</c:formatCode>
                <c:ptCount val="14"/>
                <c:pt idx="0">
                  <c:v>100</c:v>
                </c:pt>
                <c:pt idx="1">
                  <c:v>99.799999967217445</c:v>
                </c:pt>
                <c:pt idx="2">
                  <c:v>98.999999836087227</c:v>
                </c:pt>
                <c:pt idx="3">
                  <c:v>93.789473548531532</c:v>
                </c:pt>
                <c:pt idx="4">
                  <c:v>88.578946888446808</c:v>
                </c:pt>
                <c:pt idx="5">
                  <c:v>83.368420600891113</c:v>
                </c:pt>
                <c:pt idx="6">
                  <c:v>72.947368025779724</c:v>
                </c:pt>
                <c:pt idx="7">
                  <c:v>62.526315450668335</c:v>
                </c:pt>
                <c:pt idx="8">
                  <c:v>52.105262875556946</c:v>
                </c:pt>
                <c:pt idx="9">
                  <c:v>41.684210300445557</c:v>
                </c:pt>
                <c:pt idx="10">
                  <c:v>31.263160705566406</c:v>
                </c:pt>
                <c:pt idx="11">
                  <c:v>20.842105150222778</c:v>
                </c:pt>
                <c:pt idx="12">
                  <c:v>10.421055555343628</c:v>
                </c:pt>
                <c:pt idx="13">
                  <c:v>0</c:v>
                </c:pt>
              </c:numCache>
            </c:numRef>
          </c:xVal>
          <c:yVal>
            <c:numRef>
              <c:f>STCurve!$B$54:$B$67</c:f>
              <c:numCache>
                <c:formatCode>0.0</c:formatCode>
                <c:ptCount val="14"/>
                <c:pt idx="0">
                  <c:v>0</c:v>
                </c:pt>
                <c:pt idx="1">
                  <c:v>156.14834607668786</c:v>
                </c:pt>
                <c:pt idx="2">
                  <c:v>244</c:v>
                </c:pt>
                <c:pt idx="3">
                  <c:v>149.44172053441937</c:v>
                </c:pt>
                <c:pt idx="4">
                  <c:v>125.83513443915938</c:v>
                </c:pt>
                <c:pt idx="5">
                  <c:v>117.22088098223787</c:v>
                </c:pt>
                <c:pt idx="6">
                  <c:v>112.84005071298898</c:v>
                </c:pt>
                <c:pt idx="7">
                  <c:v>111.47820878831283</c:v>
                </c:pt>
                <c:pt idx="8">
                  <c:v>110.82357040935855</c:v>
                </c:pt>
                <c:pt idx="9">
                  <c:v>110.44066288098858</c:v>
                </c:pt>
                <c:pt idx="10">
                  <c:v>110.21754928390658</c:v>
                </c:pt>
                <c:pt idx="11">
                  <c:v>110.09242164451938</c:v>
                </c:pt>
                <c:pt idx="12">
                  <c:v>110.02878215640398</c:v>
                </c:pt>
                <c:pt idx="13">
                  <c:v>110</c:v>
                </c:pt>
              </c:numCache>
            </c:numRef>
          </c:yVal>
          <c:smooth val="1"/>
          <c:extLst>
            <c:ext xmlns:c16="http://schemas.microsoft.com/office/drawing/2014/chart" uri="{C3380CC4-5D6E-409C-BE32-E72D297353CC}">
              <c16:uniqueId val="{00000000-7F0D-4BB5-91C0-8271393207AC}"/>
            </c:ext>
          </c:extLst>
        </c:ser>
        <c:dLbls>
          <c:showLegendKey val="0"/>
          <c:showVal val="0"/>
          <c:showCatName val="0"/>
          <c:showSerName val="0"/>
          <c:showPercent val="0"/>
          <c:showBubbleSize val="0"/>
        </c:dLbls>
        <c:axId val="83326080"/>
        <c:axId val="83328000"/>
      </c:scatterChart>
      <c:scatterChart>
        <c:scatterStyle val="lineMarker"/>
        <c:varyColors val="0"/>
        <c:ser>
          <c:idx val="1"/>
          <c:order val="1"/>
          <c:tx>
            <c:v>Current</c:v>
          </c:tx>
          <c:spPr>
            <a:ln w="25400">
              <a:solidFill>
                <a:srgbClr val="000000"/>
              </a:solidFill>
              <a:prstDash val="lgDash"/>
            </a:ln>
          </c:spPr>
          <c:marker>
            <c:symbol val="none"/>
          </c:marker>
          <c:xVal>
            <c:numRef>
              <c:f>STCurve!$A$54:$A$67</c:f>
              <c:numCache>
                <c:formatCode>0.0</c:formatCode>
                <c:ptCount val="14"/>
                <c:pt idx="0">
                  <c:v>100</c:v>
                </c:pt>
                <c:pt idx="1">
                  <c:v>99.799999967217445</c:v>
                </c:pt>
                <c:pt idx="2">
                  <c:v>98.999999836087227</c:v>
                </c:pt>
                <c:pt idx="3">
                  <c:v>93.789473548531532</c:v>
                </c:pt>
                <c:pt idx="4">
                  <c:v>88.578946888446808</c:v>
                </c:pt>
                <c:pt idx="5">
                  <c:v>83.368420600891113</c:v>
                </c:pt>
                <c:pt idx="6">
                  <c:v>72.947368025779724</c:v>
                </c:pt>
                <c:pt idx="7">
                  <c:v>62.526315450668335</c:v>
                </c:pt>
                <c:pt idx="8">
                  <c:v>52.105262875556946</c:v>
                </c:pt>
                <c:pt idx="9">
                  <c:v>41.684210300445557</c:v>
                </c:pt>
                <c:pt idx="10">
                  <c:v>31.263160705566406</c:v>
                </c:pt>
                <c:pt idx="11">
                  <c:v>20.842105150222778</c:v>
                </c:pt>
                <c:pt idx="12">
                  <c:v>10.421055555343628</c:v>
                </c:pt>
                <c:pt idx="13">
                  <c:v>0</c:v>
                </c:pt>
              </c:numCache>
            </c:numRef>
          </c:xVal>
          <c:yVal>
            <c:numRef>
              <c:f>STCurve!$C$54:$C$67</c:f>
              <c:numCache>
                <c:formatCode>0.0</c:formatCode>
                <c:ptCount val="14"/>
                <c:pt idx="0">
                  <c:v>0.21082784235477448</c:v>
                </c:pt>
                <c:pt idx="1">
                  <c:v>177.02201843261719</c:v>
                </c:pt>
                <c:pt idx="2">
                  <c:v>480.33084106445313</c:v>
                </c:pt>
                <c:pt idx="3">
                  <c:v>544.79266357421875</c:v>
                </c:pt>
                <c:pt idx="4">
                  <c:v>564.20428466796875</c:v>
                </c:pt>
                <c:pt idx="5">
                  <c:v>575.459716796875</c:v>
                </c:pt>
                <c:pt idx="6">
                  <c:v>592.12872314453125</c:v>
                </c:pt>
                <c:pt idx="7">
                  <c:v>605.47332763671875</c:v>
                </c:pt>
                <c:pt idx="8">
                  <c:v>616.29852294921875</c:v>
                </c:pt>
                <c:pt idx="9">
                  <c:v>624.86962890625</c:v>
                </c:pt>
                <c:pt idx="10">
                  <c:v>631.7330322265625</c:v>
                </c:pt>
                <c:pt idx="11">
                  <c:v>637.21026611328125</c:v>
                </c:pt>
                <c:pt idx="12">
                  <c:v>641.735107421875</c:v>
                </c:pt>
                <c:pt idx="13">
                  <c:v>645.5445556640625</c:v>
                </c:pt>
              </c:numCache>
            </c:numRef>
          </c:yVal>
          <c:smooth val="1"/>
          <c:extLst>
            <c:ext xmlns:c16="http://schemas.microsoft.com/office/drawing/2014/chart" uri="{C3380CC4-5D6E-409C-BE32-E72D297353CC}">
              <c16:uniqueId val="{00000001-7F0D-4BB5-91C0-8271393207AC}"/>
            </c:ext>
          </c:extLst>
        </c:ser>
        <c:dLbls>
          <c:showLegendKey val="0"/>
          <c:showVal val="0"/>
          <c:showCatName val="0"/>
          <c:showSerName val="0"/>
          <c:showPercent val="0"/>
          <c:showBubbleSize val="0"/>
        </c:dLbls>
        <c:axId val="83334272"/>
        <c:axId val="83335808"/>
      </c:scatterChart>
      <c:valAx>
        <c:axId val="83326080"/>
        <c:scaling>
          <c:orientation val="minMax"/>
          <c:max val="100"/>
        </c:scaling>
        <c:delete val="0"/>
        <c:axPos val="b"/>
        <c:majorGridlines>
          <c:spPr>
            <a:ln w="3175">
              <a:solidFill>
                <a:srgbClr val="000000"/>
              </a:solidFill>
              <a:prstDash val="solid"/>
            </a:ln>
          </c:spPr>
        </c:majorGridlines>
        <c:title>
          <c:tx>
            <c:rich>
              <a:bodyPr/>
              <a:lstStyle/>
              <a:p>
                <a:pPr>
                  <a:defRPr sz="1100" b="0" i="1" u="none" strike="noStrike" baseline="0">
                    <a:solidFill>
                      <a:srgbClr val="000000"/>
                    </a:solidFill>
                    <a:latin typeface="Times New Roman"/>
                    <a:ea typeface="Times New Roman"/>
                    <a:cs typeface="Times New Roman"/>
                  </a:defRPr>
                </a:pPr>
                <a:r>
                  <a:rPr lang="en-US"/>
                  <a:t>Percent Synchronous Speed</a:t>
                </a:r>
              </a:p>
            </c:rich>
          </c:tx>
          <c:layout>
            <c:manualLayout>
              <c:xMode val="edge"/>
              <c:yMode val="edge"/>
              <c:x val="0.33508827186075424"/>
              <c:y val="0.8460084029420276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Times New Roman"/>
                <a:ea typeface="Times New Roman"/>
                <a:cs typeface="Times New Roman"/>
              </a:defRPr>
            </a:pPr>
            <a:endParaRPr lang="en-US"/>
          </a:p>
        </c:txPr>
        <c:crossAx val="83328000"/>
        <c:crosses val="autoZero"/>
        <c:crossBetween val="midCat"/>
        <c:majorUnit val="20"/>
        <c:minorUnit val="20"/>
      </c:valAx>
      <c:valAx>
        <c:axId val="83328000"/>
        <c:scaling>
          <c:orientation val="minMax"/>
        </c:scaling>
        <c:delete val="0"/>
        <c:axPos val="l"/>
        <c:majorGridlines>
          <c:spPr>
            <a:ln w="3175">
              <a:solidFill>
                <a:srgbClr val="000000"/>
              </a:solidFill>
              <a:prstDash val="solid"/>
            </a:ln>
          </c:spPr>
        </c:majorGridlines>
        <c:title>
          <c:tx>
            <c:rich>
              <a:bodyPr/>
              <a:lstStyle/>
              <a:p>
                <a:pPr>
                  <a:defRPr sz="1100" b="0" i="1" u="none" strike="noStrike" baseline="0">
                    <a:solidFill>
                      <a:srgbClr val="000000"/>
                    </a:solidFill>
                    <a:latin typeface="Times New Roman"/>
                    <a:ea typeface="Times New Roman"/>
                    <a:cs typeface="Times New Roman"/>
                  </a:defRPr>
                </a:pPr>
                <a:r>
                  <a:rPr lang="en-US"/>
                  <a:t>Percent Full-Load Torque</a:t>
                </a:r>
              </a:p>
            </c:rich>
          </c:tx>
          <c:layout>
            <c:manualLayout>
              <c:xMode val="edge"/>
              <c:yMode val="edge"/>
              <c:x val="2.8070175438596492E-2"/>
              <c:y val="0.2965781463628833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Times New Roman"/>
                <a:ea typeface="Times New Roman"/>
                <a:cs typeface="Times New Roman"/>
              </a:defRPr>
            </a:pPr>
            <a:endParaRPr lang="en-US"/>
          </a:p>
        </c:txPr>
        <c:crossAx val="83326080"/>
        <c:crosses val="autoZero"/>
        <c:crossBetween val="midCat"/>
      </c:valAx>
      <c:valAx>
        <c:axId val="83334272"/>
        <c:scaling>
          <c:orientation val="minMax"/>
        </c:scaling>
        <c:delete val="1"/>
        <c:axPos val="b"/>
        <c:numFmt formatCode="0.0" sourceLinked="1"/>
        <c:majorTickMark val="out"/>
        <c:minorTickMark val="none"/>
        <c:tickLblPos val="nextTo"/>
        <c:crossAx val="83335808"/>
        <c:crosses val="autoZero"/>
        <c:crossBetween val="midCat"/>
      </c:valAx>
      <c:valAx>
        <c:axId val="83335808"/>
        <c:scaling>
          <c:orientation val="minMax"/>
          <c:max val="900"/>
        </c:scaling>
        <c:delete val="0"/>
        <c:axPos val="r"/>
        <c:title>
          <c:tx>
            <c:rich>
              <a:bodyPr/>
              <a:lstStyle/>
              <a:p>
                <a:pPr>
                  <a:defRPr sz="1100" b="0" i="1" u="none" strike="noStrike" baseline="0">
                    <a:solidFill>
                      <a:srgbClr val="000000"/>
                    </a:solidFill>
                    <a:latin typeface="Times New Roman"/>
                    <a:ea typeface="Times New Roman"/>
                    <a:cs typeface="Times New Roman"/>
                  </a:defRPr>
                </a:pPr>
                <a:r>
                  <a:rPr lang="en-US"/>
                  <a:t>Percent Full-Load Current</a:t>
                </a:r>
              </a:p>
            </c:rich>
          </c:tx>
          <c:layout>
            <c:manualLayout>
              <c:xMode val="edge"/>
              <c:yMode val="edge"/>
              <c:x val="0.92456306119629783"/>
              <c:y val="0.29277586499406205"/>
            </c:manualLayout>
          </c:layout>
          <c:overlay val="0"/>
          <c:spPr>
            <a:solidFill>
              <a:srgbClr val="FFFFFF"/>
            </a:solid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Times New Roman"/>
                <a:ea typeface="Times New Roman"/>
                <a:cs typeface="Times New Roman"/>
              </a:defRPr>
            </a:pPr>
            <a:endParaRPr lang="en-US"/>
          </a:p>
        </c:txPr>
        <c:crossAx val="83334272"/>
        <c:crosses val="max"/>
        <c:crossBetween val="midCat"/>
        <c:majorUnit val="150"/>
      </c:valAx>
      <c:spPr>
        <a:solidFill>
          <a:srgbClr val="FFFFFF"/>
        </a:solidFill>
        <a:ln w="12700">
          <a:solidFill>
            <a:srgbClr val="000000"/>
          </a:solidFill>
          <a:prstDash val="solid"/>
        </a:ln>
      </c:spPr>
    </c:plotArea>
    <c:legend>
      <c:legendPos val="r"/>
      <c:layout>
        <c:manualLayout>
          <c:xMode val="edge"/>
          <c:yMode val="edge"/>
          <c:x val="0.34210581572040333"/>
          <c:y val="0.94106543716255997"/>
          <c:w val="0.25090132154533312"/>
          <c:h val="5.8934562837439995E-2"/>
        </c:manualLayout>
      </c:layout>
      <c:overlay val="0"/>
      <c:spPr>
        <a:solidFill>
          <a:srgbClr val="FFFFFF"/>
        </a:solidFill>
        <a:ln w="25400">
          <a:noFill/>
        </a:ln>
      </c:spPr>
      <c:txPr>
        <a:bodyPr/>
        <a:lstStyle/>
        <a:p>
          <a:pPr>
            <a:defRPr sz="920"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horizontalDpi="0" verticalDpi="300"/>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82084690553746"/>
          <c:y val="2.3668656149350608E-2"/>
          <c:w val="0.81921824104234531"/>
          <c:h val="0.86834382247930042"/>
        </c:manualLayout>
      </c:layout>
      <c:scatterChart>
        <c:scatterStyle val="smoothMarker"/>
        <c:varyColors val="0"/>
        <c:ser>
          <c:idx val="0"/>
          <c:order val="0"/>
          <c:tx>
            <c:v>Cold Stall</c:v>
          </c:tx>
          <c:spPr>
            <a:ln w="25400">
              <a:solidFill>
                <a:srgbClr val="0080C0"/>
              </a:solidFill>
              <a:prstDash val="solid"/>
            </a:ln>
          </c:spPr>
          <c:marker>
            <c:symbol val="none"/>
          </c:marker>
          <c:xVal>
            <c:numRef>
              <c:f>Thermdam!$A$68:$A$71</c:f>
              <c:numCache>
                <c:formatCode>0</c:formatCode>
                <c:ptCount val="4"/>
                <c:pt idx="0">
                  <c:v>645.54455445544556</c:v>
                </c:pt>
                <c:pt idx="1">
                  <c:v>600</c:v>
                </c:pt>
                <c:pt idx="2">
                  <c:v>500</c:v>
                </c:pt>
                <c:pt idx="3">
                  <c:v>400</c:v>
                </c:pt>
              </c:numCache>
            </c:numRef>
          </c:xVal>
          <c:yVal>
            <c:numRef>
              <c:f>Thermdam!$B$68:$B$71</c:f>
              <c:numCache>
                <c:formatCode>0.00</c:formatCode>
                <c:ptCount val="4"/>
                <c:pt idx="0">
                  <c:v>35</c:v>
                </c:pt>
                <c:pt idx="1">
                  <c:v>40.515200034854978</c:v>
                </c:pt>
                <c:pt idx="2">
                  <c:v>58.341888050191159</c:v>
                </c:pt>
                <c:pt idx="3">
                  <c:v>91.159200078423694</c:v>
                </c:pt>
              </c:numCache>
            </c:numRef>
          </c:yVal>
          <c:smooth val="1"/>
          <c:extLst>
            <c:ext xmlns:c16="http://schemas.microsoft.com/office/drawing/2014/chart" uri="{C3380CC4-5D6E-409C-BE32-E72D297353CC}">
              <c16:uniqueId val="{00000000-DF84-41BA-AD28-0E7C1C8D1998}"/>
            </c:ext>
          </c:extLst>
        </c:ser>
        <c:ser>
          <c:idx val="1"/>
          <c:order val="1"/>
          <c:tx>
            <c:v>Hot Stall</c:v>
          </c:tx>
          <c:spPr>
            <a:ln w="25400">
              <a:solidFill>
                <a:srgbClr val="996666"/>
              </a:solidFill>
              <a:prstDash val="solid"/>
            </a:ln>
          </c:spPr>
          <c:marker>
            <c:symbol val="none"/>
          </c:marker>
          <c:xVal>
            <c:numRef>
              <c:f>Thermdam!$A$68:$A$71</c:f>
              <c:numCache>
                <c:formatCode>0</c:formatCode>
                <c:ptCount val="4"/>
                <c:pt idx="0">
                  <c:v>645.54455445544556</c:v>
                </c:pt>
                <c:pt idx="1">
                  <c:v>600</c:v>
                </c:pt>
                <c:pt idx="2">
                  <c:v>500</c:v>
                </c:pt>
                <c:pt idx="3">
                  <c:v>400</c:v>
                </c:pt>
              </c:numCache>
            </c:numRef>
          </c:xVal>
          <c:yVal>
            <c:numRef>
              <c:f>Thermdam!$C$68:$C$71</c:f>
              <c:numCache>
                <c:formatCode>0.00</c:formatCode>
                <c:ptCount val="4"/>
                <c:pt idx="0">
                  <c:v>15</c:v>
                </c:pt>
                <c:pt idx="1">
                  <c:v>17.363657157794989</c:v>
                </c:pt>
                <c:pt idx="2">
                  <c:v>25.003666307224783</c:v>
                </c:pt>
                <c:pt idx="3">
                  <c:v>39.068228605038726</c:v>
                </c:pt>
              </c:numCache>
            </c:numRef>
          </c:yVal>
          <c:smooth val="1"/>
          <c:extLst>
            <c:ext xmlns:c16="http://schemas.microsoft.com/office/drawing/2014/chart" uri="{C3380CC4-5D6E-409C-BE32-E72D297353CC}">
              <c16:uniqueId val="{00000001-DF84-41BA-AD28-0E7C1C8D1998}"/>
            </c:ext>
          </c:extLst>
        </c:ser>
        <c:ser>
          <c:idx val="2"/>
          <c:order val="2"/>
          <c:tx>
            <c:v>Running Condition</c:v>
          </c:tx>
          <c:spPr>
            <a:ln w="25400">
              <a:solidFill>
                <a:srgbClr val="000000"/>
              </a:solidFill>
              <a:prstDash val="solid"/>
            </a:ln>
          </c:spPr>
          <c:marker>
            <c:symbol val="none"/>
          </c:marker>
          <c:xVal>
            <c:numRef>
              <c:f>Thermdam!$A$72:$A$79</c:f>
              <c:numCache>
                <c:formatCode>0</c:formatCode>
                <c:ptCount val="8"/>
                <c:pt idx="0">
                  <c:v>300</c:v>
                </c:pt>
                <c:pt idx="1">
                  <c:v>200</c:v>
                </c:pt>
                <c:pt idx="2">
                  <c:v>244</c:v>
                </c:pt>
                <c:pt idx="3" formatCode="General">
                  <c:v>180</c:v>
                </c:pt>
                <c:pt idx="4" formatCode="General">
                  <c:v>120</c:v>
                </c:pt>
                <c:pt idx="5" formatCode="General">
                  <c:v>110</c:v>
                </c:pt>
                <c:pt idx="6" formatCode="General">
                  <c:v>110</c:v>
                </c:pt>
                <c:pt idx="7" formatCode="General">
                  <c:v>110</c:v>
                </c:pt>
              </c:numCache>
            </c:numRef>
          </c:xVal>
          <c:yVal>
            <c:numRef>
              <c:f>Thermdam!$C$72:$C$79</c:f>
              <c:numCache>
                <c:formatCode>0.00</c:formatCode>
                <c:ptCount val="8"/>
                <c:pt idx="2">
                  <c:v>104.99389574049643</c:v>
                </c:pt>
                <c:pt idx="3">
                  <c:v>192.92952397549988</c:v>
                </c:pt>
                <c:pt idx="4">
                  <c:v>434.09142894487468</c:v>
                </c:pt>
                <c:pt idx="5" formatCode="0">
                  <c:v>900</c:v>
                </c:pt>
                <c:pt idx="6" formatCode="0">
                  <c:v>1800</c:v>
                </c:pt>
                <c:pt idx="7" formatCode="General">
                  <c:v>10000</c:v>
                </c:pt>
              </c:numCache>
            </c:numRef>
          </c:yVal>
          <c:smooth val="1"/>
          <c:extLst>
            <c:ext xmlns:c16="http://schemas.microsoft.com/office/drawing/2014/chart" uri="{C3380CC4-5D6E-409C-BE32-E72D297353CC}">
              <c16:uniqueId val="{00000002-DF84-41BA-AD28-0E7C1C8D1998}"/>
            </c:ext>
          </c:extLst>
        </c:ser>
        <c:ser>
          <c:idx val="3"/>
          <c:order val="3"/>
          <c:tx>
            <c:v>Acceleration Curve</c:v>
          </c:tx>
          <c:spPr>
            <a:ln w="25400">
              <a:solidFill>
                <a:srgbClr val="336666"/>
              </a:solidFill>
              <a:prstDash val="solid"/>
            </a:ln>
          </c:spPr>
          <c:marker>
            <c:symbol val="none"/>
          </c:marker>
          <c:xVal>
            <c:numRef>
              <c:f>Thermdam!$E$68:$E$81</c:f>
              <c:numCache>
                <c:formatCode>0</c:formatCode>
                <c:ptCount val="14"/>
                <c:pt idx="0">
                  <c:v>645.54455445544556</c:v>
                </c:pt>
                <c:pt idx="1">
                  <c:v>643.66336633663366</c:v>
                </c:pt>
                <c:pt idx="2">
                  <c:v>639.50495049504946</c:v>
                </c:pt>
                <c:pt idx="3">
                  <c:v>634.45544554455444</c:v>
                </c:pt>
                <c:pt idx="4">
                  <c:v>628.31683168316829</c:v>
                </c:pt>
                <c:pt idx="5">
                  <c:v>620.59405940594047</c:v>
                </c:pt>
                <c:pt idx="6">
                  <c:v>610.89108910891093</c:v>
                </c:pt>
                <c:pt idx="7">
                  <c:v>598.81188118811872</c:v>
                </c:pt>
                <c:pt idx="8">
                  <c:v>583.76237623762381</c:v>
                </c:pt>
                <c:pt idx="9">
                  <c:v>569.80198019801981</c:v>
                </c:pt>
                <c:pt idx="10">
                  <c:v>554.45544554455444</c:v>
                </c:pt>
                <c:pt idx="11">
                  <c:v>512.57425742574264</c:v>
                </c:pt>
                <c:pt idx="12">
                  <c:v>328.71287128712873</c:v>
                </c:pt>
                <c:pt idx="13">
                  <c:v>0</c:v>
                </c:pt>
              </c:numCache>
            </c:numRef>
          </c:xVal>
          <c:yVal>
            <c:numRef>
              <c:f>Thermdam!$F$68:$F$81</c:f>
              <c:numCache>
                <c:formatCode>0.00</c:formatCode>
                <c:ptCount val="14"/>
                <c:pt idx="0">
                  <c:v>1E-4</c:v>
                </c:pt>
                <c:pt idx="1">
                  <c:v>1.1970000267028809</c:v>
                </c:pt>
                <c:pt idx="2">
                  <c:v>2.2599999904632568</c:v>
                </c:pt>
                <c:pt idx="3">
                  <c:v>3.2790000438690186</c:v>
                </c:pt>
                <c:pt idx="4">
                  <c:v>4.3020000457763672</c:v>
                </c:pt>
                <c:pt idx="5">
                  <c:v>5.369999885559082</c:v>
                </c:pt>
                <c:pt idx="6">
                  <c:v>6.5250000953674316</c:v>
                </c:pt>
                <c:pt idx="7">
                  <c:v>7.8250002861022949</c:v>
                </c:pt>
                <c:pt idx="8">
                  <c:v>9.3850002288818359</c:v>
                </c:pt>
                <c:pt idx="9">
                  <c:v>10.295000076293945</c:v>
                </c:pt>
                <c:pt idx="10">
                  <c:v>11.16100025177002</c:v>
                </c:pt>
                <c:pt idx="11">
                  <c:v>11.657000541687012</c:v>
                </c:pt>
                <c:pt idx="12">
                  <c:v>11.737000465393066</c:v>
                </c:pt>
                <c:pt idx="13">
                  <c:v>11.808000564575195</c:v>
                </c:pt>
              </c:numCache>
            </c:numRef>
          </c:yVal>
          <c:smooth val="1"/>
          <c:extLst>
            <c:ext xmlns:c16="http://schemas.microsoft.com/office/drawing/2014/chart" uri="{C3380CC4-5D6E-409C-BE32-E72D297353CC}">
              <c16:uniqueId val="{00000003-DF84-41BA-AD28-0E7C1C8D1998}"/>
            </c:ext>
          </c:extLst>
        </c:ser>
        <c:dLbls>
          <c:showLegendKey val="0"/>
          <c:showVal val="0"/>
          <c:showCatName val="0"/>
          <c:showSerName val="0"/>
          <c:showPercent val="0"/>
          <c:showBubbleSize val="0"/>
        </c:dLbls>
        <c:axId val="163362688"/>
        <c:axId val="163368960"/>
      </c:scatterChart>
      <c:valAx>
        <c:axId val="163362688"/>
        <c:scaling>
          <c:orientation val="minMax"/>
          <c:max val="1000"/>
          <c:min val="0"/>
        </c:scaling>
        <c:delete val="0"/>
        <c:axPos val="b"/>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200" b="1" i="0" u="none" strike="noStrike" baseline="0">
                    <a:solidFill>
                      <a:srgbClr val="000000"/>
                    </a:solidFill>
                    <a:latin typeface="Times New Roman"/>
                    <a:ea typeface="Times New Roman"/>
                    <a:cs typeface="Times New Roman"/>
                  </a:defRPr>
                </a:pPr>
                <a:r>
                  <a:rPr lang="en-US"/>
                  <a:t>Percent of Full Load Current</a:t>
                </a:r>
              </a:p>
            </c:rich>
          </c:tx>
          <c:layout>
            <c:manualLayout>
              <c:xMode val="edge"/>
              <c:yMode val="edge"/>
              <c:x val="0.41530944625407168"/>
              <c:y val="0.94970476323595643"/>
            </c:manualLayout>
          </c:layout>
          <c:overlay val="0"/>
          <c:spPr>
            <a:noFill/>
            <a:ln w="25400">
              <a:noFill/>
            </a:ln>
          </c:spPr>
        </c:title>
        <c:numFmt formatCode="0" sourceLinked="1"/>
        <c:majorTickMark val="out"/>
        <c:minorTickMark val="in"/>
        <c:tickLblPos val="nextTo"/>
        <c:spPr>
          <a:ln w="3175">
            <a:solidFill>
              <a:srgbClr val="000000"/>
            </a:solidFill>
            <a:prstDash val="solid"/>
          </a:ln>
        </c:spPr>
        <c:txPr>
          <a:bodyPr rot="0" vert="horz"/>
          <a:lstStyle/>
          <a:p>
            <a:pPr>
              <a:defRPr sz="875" b="0" i="0" u="none" strike="noStrike" baseline="0">
                <a:solidFill>
                  <a:srgbClr val="000000"/>
                </a:solidFill>
                <a:latin typeface="Arial"/>
                <a:ea typeface="Arial"/>
                <a:cs typeface="Arial"/>
              </a:defRPr>
            </a:pPr>
            <a:endParaRPr lang="en-US"/>
          </a:p>
        </c:txPr>
        <c:crossAx val="163368960"/>
        <c:crossesAt val="0.1"/>
        <c:crossBetween val="midCat"/>
        <c:majorUnit val="100"/>
      </c:valAx>
      <c:valAx>
        <c:axId val="163368960"/>
        <c:scaling>
          <c:logBase val="10"/>
          <c:orientation val="minMax"/>
          <c:max val="10000"/>
          <c:min val="1"/>
        </c:scaling>
        <c:delete val="0"/>
        <c:axPos val="l"/>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200" b="1" i="0" u="none" strike="noStrike" baseline="0">
                    <a:solidFill>
                      <a:srgbClr val="000000"/>
                    </a:solidFill>
                    <a:latin typeface="Times New Roman"/>
                    <a:ea typeface="Times New Roman"/>
                    <a:cs typeface="Times New Roman"/>
                  </a:defRPr>
                </a:pPr>
                <a:r>
                  <a:rPr lang="en-US"/>
                  <a:t>Time in Seconds</a:t>
                </a:r>
              </a:p>
            </c:rich>
          </c:tx>
          <c:layout>
            <c:manualLayout>
              <c:xMode val="edge"/>
              <c:yMode val="edge"/>
              <c:x val="3.5830618892508145E-2"/>
              <c:y val="0.3757399555824752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Arial"/>
                <a:ea typeface="Arial"/>
                <a:cs typeface="Arial"/>
              </a:defRPr>
            </a:pPr>
            <a:endParaRPr lang="en-US"/>
          </a:p>
        </c:txPr>
        <c:crossAx val="163362688"/>
        <c:crosses val="autoZero"/>
        <c:crossBetween val="midCat"/>
        <c:minorUnit val="10"/>
      </c:valAx>
      <c:spPr>
        <a:noFill/>
        <a:ln w="25400">
          <a:noFill/>
        </a:ln>
      </c:spPr>
    </c:plotArea>
    <c:plotVisOnly val="1"/>
    <c:dispBlanksAs val="gap"/>
    <c:showDLblsOverMax val="0"/>
  </c:chart>
  <c:spPr>
    <a:solidFill>
      <a:srgbClr val="FFFFFF"/>
    </a:solidFill>
    <a:ln w="9525">
      <a:noFill/>
    </a:ln>
  </c:spPr>
  <c:txPr>
    <a:bodyPr/>
    <a:lstStyle/>
    <a:p>
      <a:pPr>
        <a:defRPr sz="17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6</xdr:col>
      <xdr:colOff>9525</xdr:colOff>
      <xdr:row>56</xdr:row>
      <xdr:rowOff>9525</xdr:rowOff>
    </xdr:from>
    <xdr:to>
      <xdr:col>9</xdr:col>
      <xdr:colOff>809625</xdr:colOff>
      <xdr:row>67</xdr:row>
      <xdr:rowOff>180975</xdr:rowOff>
    </xdr:to>
    <xdr:graphicFrame macro="">
      <xdr:nvGraphicFramePr>
        <xdr:cNvPr id="2049" name="Chart 1">
          <a:extLst>
            <a:ext uri="{FF2B5EF4-FFF2-40B4-BE49-F238E27FC236}">
              <a16:creationId xmlns:a16="http://schemas.microsoft.com/office/drawing/2014/main" id="{00000000-0008-0000-0000-0000010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152400</xdr:colOff>
      <xdr:row>43</xdr:row>
      <xdr:rowOff>0</xdr:rowOff>
    </xdr:from>
    <xdr:to>
      <xdr:col>9</xdr:col>
      <xdr:colOff>361950</xdr:colOff>
      <xdr:row>43</xdr:row>
      <xdr:rowOff>0</xdr:rowOff>
    </xdr:to>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bwMode="auto">
        <a:xfrm>
          <a:off x="5610225" y="9896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19050</xdr:colOff>
      <xdr:row>43</xdr:row>
      <xdr:rowOff>0</xdr:rowOff>
    </xdr:from>
    <xdr:to>
      <xdr:col>9</xdr:col>
      <xdr:colOff>333375</xdr:colOff>
      <xdr:row>43</xdr:row>
      <xdr:rowOff>0</xdr:rowOff>
    </xdr:to>
    <xdr:sp macro="" textlink="">
      <xdr:nvSpPr>
        <xdr:cNvPr id="3" name="Rectangle 2">
          <a:extLst>
            <a:ext uri="{FF2B5EF4-FFF2-40B4-BE49-F238E27FC236}">
              <a16:creationId xmlns:a16="http://schemas.microsoft.com/office/drawing/2014/main" id="{00000000-0008-0000-0100-000003000000}"/>
            </a:ext>
          </a:extLst>
        </xdr:cNvPr>
        <xdr:cNvSpPr>
          <a:spLocks noChangeArrowheads="1"/>
        </xdr:cNvSpPr>
      </xdr:nvSpPr>
      <xdr:spPr bwMode="auto">
        <a:xfrm>
          <a:off x="5476875" y="989647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28575</xdr:colOff>
      <xdr:row>43</xdr:row>
      <xdr:rowOff>0</xdr:rowOff>
    </xdr:from>
    <xdr:to>
      <xdr:col>9</xdr:col>
      <xdr:colOff>342900</xdr:colOff>
      <xdr:row>43</xdr:row>
      <xdr:rowOff>0</xdr:rowOff>
    </xdr:to>
    <xdr:sp macro="" textlink="">
      <xdr:nvSpPr>
        <xdr:cNvPr id="4" name="Rectangle 3">
          <a:extLst>
            <a:ext uri="{FF2B5EF4-FFF2-40B4-BE49-F238E27FC236}">
              <a16:creationId xmlns:a16="http://schemas.microsoft.com/office/drawing/2014/main" id="{00000000-0008-0000-0100-000004000000}"/>
            </a:ext>
          </a:extLst>
        </xdr:cNvPr>
        <xdr:cNvSpPr>
          <a:spLocks noChangeArrowheads="1"/>
        </xdr:cNvSpPr>
      </xdr:nvSpPr>
      <xdr:spPr bwMode="auto">
        <a:xfrm>
          <a:off x="5486400" y="989647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0</xdr:colOff>
      <xdr:row>43</xdr:row>
      <xdr:rowOff>0</xdr:rowOff>
    </xdr:from>
    <xdr:to>
      <xdr:col>9</xdr:col>
      <xdr:colOff>409575</xdr:colOff>
      <xdr:row>43</xdr:row>
      <xdr:rowOff>0</xdr:rowOff>
    </xdr:to>
    <xdr:sp macro="" textlink="">
      <xdr:nvSpPr>
        <xdr:cNvPr id="5" name="Rectangle 4">
          <a:extLst>
            <a:ext uri="{FF2B5EF4-FFF2-40B4-BE49-F238E27FC236}">
              <a16:creationId xmlns:a16="http://schemas.microsoft.com/office/drawing/2014/main" id="{00000000-0008-0000-0100-000005000000}"/>
            </a:ext>
          </a:extLst>
        </xdr:cNvPr>
        <xdr:cNvSpPr>
          <a:spLocks noChangeArrowheads="1"/>
        </xdr:cNvSpPr>
      </xdr:nvSpPr>
      <xdr:spPr bwMode="auto">
        <a:xfrm>
          <a:off x="5457825" y="9896475"/>
          <a:ext cx="409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142875</xdr:colOff>
      <xdr:row>43</xdr:row>
      <xdr:rowOff>0</xdr:rowOff>
    </xdr:from>
    <xdr:to>
      <xdr:col>9</xdr:col>
      <xdr:colOff>361950</xdr:colOff>
      <xdr:row>43</xdr:row>
      <xdr:rowOff>0</xdr:rowOff>
    </xdr:to>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bwMode="auto">
        <a:xfrm>
          <a:off x="5600700" y="9896475"/>
          <a:ext cx="2190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238125</xdr:colOff>
      <xdr:row>35</xdr:row>
      <xdr:rowOff>114300</xdr:rowOff>
    </xdr:from>
    <xdr:to>
      <xdr:col>3</xdr:col>
      <xdr:colOff>542925</xdr:colOff>
      <xdr:row>36</xdr:row>
      <xdr:rowOff>9525</xdr:rowOff>
    </xdr:to>
    <xdr:sp macro="" textlink="">
      <xdr:nvSpPr>
        <xdr:cNvPr id="7" name="Depth2">
          <a:extLst>
            <a:ext uri="{FF2B5EF4-FFF2-40B4-BE49-F238E27FC236}">
              <a16:creationId xmlns:a16="http://schemas.microsoft.com/office/drawing/2014/main" id="{00000000-0008-0000-0100-000007000000}"/>
            </a:ext>
          </a:extLst>
        </xdr:cNvPr>
        <xdr:cNvSpPr txBox="1">
          <a:spLocks noChangeArrowheads="1"/>
        </xdr:cNvSpPr>
      </xdr:nvSpPr>
      <xdr:spPr bwMode="auto">
        <a:xfrm>
          <a:off x="1971675" y="8181975"/>
          <a:ext cx="304800" cy="12382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38.55</a:t>
          </a:r>
        </a:p>
      </xdr:txBody>
    </xdr:sp>
    <xdr:clientData/>
  </xdr:twoCellAnchor>
  <xdr:twoCellAnchor>
    <xdr:from>
      <xdr:col>1</xdr:col>
      <xdr:colOff>314325</xdr:colOff>
      <xdr:row>33</xdr:row>
      <xdr:rowOff>190500</xdr:rowOff>
    </xdr:from>
    <xdr:to>
      <xdr:col>2</xdr:col>
      <xdr:colOff>123825</xdr:colOff>
      <xdr:row>34</xdr:row>
      <xdr:rowOff>66675</xdr:rowOff>
    </xdr:to>
    <xdr:sp macro="" textlink="">
      <xdr:nvSpPr>
        <xdr:cNvPr id="8" name="Tip2">
          <a:extLst>
            <a:ext uri="{FF2B5EF4-FFF2-40B4-BE49-F238E27FC236}">
              <a16:creationId xmlns:a16="http://schemas.microsoft.com/office/drawing/2014/main" id="{00000000-0008-0000-0100-000008000000}"/>
            </a:ext>
          </a:extLst>
        </xdr:cNvPr>
        <xdr:cNvSpPr txBox="1">
          <a:spLocks noChangeArrowheads="1"/>
        </xdr:cNvSpPr>
      </xdr:nvSpPr>
      <xdr:spPr bwMode="auto">
        <a:xfrm>
          <a:off x="1123950" y="7800975"/>
          <a:ext cx="219075" cy="1047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3.50</a:t>
          </a:r>
        </a:p>
      </xdr:txBody>
    </xdr:sp>
    <xdr:clientData/>
  </xdr:twoCellAnchor>
  <xdr:twoCellAnchor>
    <xdr:from>
      <xdr:col>2</xdr:col>
      <xdr:colOff>228600</xdr:colOff>
      <xdr:row>33</xdr:row>
      <xdr:rowOff>57150</xdr:rowOff>
    </xdr:from>
    <xdr:to>
      <xdr:col>3</xdr:col>
      <xdr:colOff>38100</xdr:colOff>
      <xdr:row>33</xdr:row>
      <xdr:rowOff>152400</xdr:rowOff>
    </xdr:to>
    <xdr:sp macro="" textlink="">
      <xdr:nvSpPr>
        <xdr:cNvPr id="9" name="Opening">
          <a:extLst>
            <a:ext uri="{FF2B5EF4-FFF2-40B4-BE49-F238E27FC236}">
              <a16:creationId xmlns:a16="http://schemas.microsoft.com/office/drawing/2014/main" id="{00000000-0008-0000-0100-000009000000}"/>
            </a:ext>
          </a:extLst>
        </xdr:cNvPr>
        <xdr:cNvSpPr txBox="1">
          <a:spLocks noChangeArrowheads="1"/>
        </xdr:cNvSpPr>
      </xdr:nvSpPr>
      <xdr:spPr bwMode="auto">
        <a:xfrm>
          <a:off x="1447800" y="7667625"/>
          <a:ext cx="323850" cy="9525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3.50</a:t>
          </a:r>
        </a:p>
      </xdr:txBody>
    </xdr:sp>
    <xdr:clientData/>
  </xdr:twoCellAnchor>
  <xdr:twoCellAnchor>
    <xdr:from>
      <xdr:col>2</xdr:col>
      <xdr:colOff>180975</xdr:colOff>
      <xdr:row>36</xdr:row>
      <xdr:rowOff>171450</xdr:rowOff>
    </xdr:from>
    <xdr:to>
      <xdr:col>3</xdr:col>
      <xdr:colOff>38100</xdr:colOff>
      <xdr:row>37</xdr:row>
      <xdr:rowOff>38100</xdr:rowOff>
    </xdr:to>
    <xdr:sp macro="" textlink="">
      <xdr:nvSpPr>
        <xdr:cNvPr id="10" name="Width3">
          <a:extLst>
            <a:ext uri="{FF2B5EF4-FFF2-40B4-BE49-F238E27FC236}">
              <a16:creationId xmlns:a16="http://schemas.microsoft.com/office/drawing/2014/main" id="{00000000-0008-0000-0100-00000A000000}"/>
            </a:ext>
          </a:extLst>
        </xdr:cNvPr>
        <xdr:cNvSpPr txBox="1">
          <a:spLocks noChangeArrowheads="1"/>
        </xdr:cNvSpPr>
      </xdr:nvSpPr>
      <xdr:spPr bwMode="auto">
        <a:xfrm>
          <a:off x="1400175" y="8467725"/>
          <a:ext cx="371475" cy="9525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12.05</a:t>
          </a:r>
        </a:p>
      </xdr:txBody>
    </xdr:sp>
    <xdr:clientData/>
  </xdr:twoCellAnchor>
  <xdr:twoCellAnchor>
    <xdr:from>
      <xdr:col>2</xdr:col>
      <xdr:colOff>104775</xdr:colOff>
      <xdr:row>33</xdr:row>
      <xdr:rowOff>180975</xdr:rowOff>
    </xdr:from>
    <xdr:to>
      <xdr:col>3</xdr:col>
      <xdr:colOff>400050</xdr:colOff>
      <xdr:row>37</xdr:row>
      <xdr:rowOff>171450</xdr:rowOff>
    </xdr:to>
    <xdr:grpSp>
      <xdr:nvGrpSpPr>
        <xdr:cNvPr id="11" name="Group 155">
          <a:extLst>
            <a:ext uri="{FF2B5EF4-FFF2-40B4-BE49-F238E27FC236}">
              <a16:creationId xmlns:a16="http://schemas.microsoft.com/office/drawing/2014/main" id="{00000000-0008-0000-0100-00000B000000}"/>
            </a:ext>
          </a:extLst>
        </xdr:cNvPr>
        <xdr:cNvGrpSpPr>
          <a:grpSpLocks/>
        </xdr:cNvGrpSpPr>
      </xdr:nvGrpSpPr>
      <xdr:grpSpPr bwMode="auto">
        <a:xfrm>
          <a:off x="1354455" y="7778115"/>
          <a:ext cx="821055" cy="904875"/>
          <a:chOff x="133" y="794"/>
          <a:chExt cx="85" cy="95"/>
        </a:xfrm>
      </xdr:grpSpPr>
      <xdr:sp macro="" textlink="">
        <xdr:nvSpPr>
          <xdr:cNvPr id="12" name="Line 62">
            <a:extLst>
              <a:ext uri="{FF2B5EF4-FFF2-40B4-BE49-F238E27FC236}">
                <a16:creationId xmlns:a16="http://schemas.microsoft.com/office/drawing/2014/main" id="{00000000-0008-0000-0100-00000C000000}"/>
              </a:ext>
            </a:extLst>
          </xdr:cNvPr>
          <xdr:cNvSpPr>
            <a:spLocks noChangeShapeType="1"/>
          </xdr:cNvSpPr>
        </xdr:nvSpPr>
        <xdr:spPr bwMode="auto">
          <a:xfrm>
            <a:off x="134" y="794"/>
            <a:ext cx="2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 name="Line 63">
            <a:extLst>
              <a:ext uri="{FF2B5EF4-FFF2-40B4-BE49-F238E27FC236}">
                <a16:creationId xmlns:a16="http://schemas.microsoft.com/office/drawing/2014/main" id="{00000000-0008-0000-0100-00000D000000}"/>
              </a:ext>
            </a:extLst>
          </xdr:cNvPr>
          <xdr:cNvSpPr>
            <a:spLocks noChangeShapeType="1"/>
          </xdr:cNvSpPr>
        </xdr:nvSpPr>
        <xdr:spPr bwMode="auto">
          <a:xfrm flipH="1">
            <a:off x="170" y="794"/>
            <a:ext cx="2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 name="Line 64">
            <a:extLst>
              <a:ext uri="{FF2B5EF4-FFF2-40B4-BE49-F238E27FC236}">
                <a16:creationId xmlns:a16="http://schemas.microsoft.com/office/drawing/2014/main" id="{00000000-0008-0000-0100-00000E000000}"/>
              </a:ext>
            </a:extLst>
          </xdr:cNvPr>
          <xdr:cNvSpPr>
            <a:spLocks noChangeShapeType="1"/>
          </xdr:cNvSpPr>
        </xdr:nvSpPr>
        <xdr:spPr bwMode="auto">
          <a:xfrm flipH="1">
            <a:off x="133" y="876"/>
            <a:ext cx="20"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15" name="Line 65">
            <a:extLst>
              <a:ext uri="{FF2B5EF4-FFF2-40B4-BE49-F238E27FC236}">
                <a16:creationId xmlns:a16="http://schemas.microsoft.com/office/drawing/2014/main" id="{00000000-0008-0000-0100-00000F000000}"/>
              </a:ext>
            </a:extLst>
          </xdr:cNvPr>
          <xdr:cNvSpPr>
            <a:spLocks noChangeShapeType="1"/>
          </xdr:cNvSpPr>
        </xdr:nvSpPr>
        <xdr:spPr bwMode="auto">
          <a:xfrm>
            <a:off x="154" y="877"/>
            <a:ext cx="36"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16" name="Line 69">
            <a:extLst>
              <a:ext uri="{FF2B5EF4-FFF2-40B4-BE49-F238E27FC236}">
                <a16:creationId xmlns:a16="http://schemas.microsoft.com/office/drawing/2014/main" id="{00000000-0008-0000-0100-000010000000}"/>
              </a:ext>
            </a:extLst>
          </xdr:cNvPr>
          <xdr:cNvSpPr>
            <a:spLocks noChangeShapeType="1"/>
          </xdr:cNvSpPr>
        </xdr:nvSpPr>
        <xdr:spPr bwMode="auto">
          <a:xfrm flipV="1">
            <a:off x="200" y="889"/>
            <a:ext cx="1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 name="Line 70">
            <a:extLst>
              <a:ext uri="{FF2B5EF4-FFF2-40B4-BE49-F238E27FC236}">
                <a16:creationId xmlns:a16="http://schemas.microsoft.com/office/drawing/2014/main" id="{00000000-0008-0000-0100-000011000000}"/>
              </a:ext>
            </a:extLst>
          </xdr:cNvPr>
          <xdr:cNvSpPr>
            <a:spLocks noChangeShapeType="1"/>
          </xdr:cNvSpPr>
        </xdr:nvSpPr>
        <xdr:spPr bwMode="auto">
          <a:xfrm flipV="1">
            <a:off x="210" y="795"/>
            <a:ext cx="0" cy="36"/>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18" name="Line 71">
            <a:extLst>
              <a:ext uri="{FF2B5EF4-FFF2-40B4-BE49-F238E27FC236}">
                <a16:creationId xmlns:a16="http://schemas.microsoft.com/office/drawing/2014/main" id="{00000000-0008-0000-0100-000012000000}"/>
              </a:ext>
            </a:extLst>
          </xdr:cNvPr>
          <xdr:cNvSpPr>
            <a:spLocks noChangeShapeType="1"/>
          </xdr:cNvSpPr>
        </xdr:nvSpPr>
        <xdr:spPr bwMode="auto">
          <a:xfrm>
            <a:off x="210" y="847"/>
            <a:ext cx="0" cy="41"/>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19" name="Line 72">
            <a:extLst>
              <a:ext uri="{FF2B5EF4-FFF2-40B4-BE49-F238E27FC236}">
                <a16:creationId xmlns:a16="http://schemas.microsoft.com/office/drawing/2014/main" id="{00000000-0008-0000-0100-000013000000}"/>
              </a:ext>
            </a:extLst>
          </xdr:cNvPr>
          <xdr:cNvSpPr>
            <a:spLocks noChangeShapeType="1"/>
          </xdr:cNvSpPr>
        </xdr:nvSpPr>
        <xdr:spPr bwMode="auto">
          <a:xfrm>
            <a:off x="200" y="794"/>
            <a:ext cx="1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 name="Line 74">
            <a:extLst>
              <a:ext uri="{FF2B5EF4-FFF2-40B4-BE49-F238E27FC236}">
                <a16:creationId xmlns:a16="http://schemas.microsoft.com/office/drawing/2014/main" id="{00000000-0008-0000-0100-000014000000}"/>
              </a:ext>
            </a:extLst>
          </xdr:cNvPr>
          <xdr:cNvSpPr>
            <a:spLocks noChangeShapeType="1"/>
          </xdr:cNvSpPr>
        </xdr:nvSpPr>
        <xdr:spPr bwMode="auto">
          <a:xfrm flipV="1">
            <a:off x="133" y="871"/>
            <a:ext cx="0" cy="1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 name="Line 75">
            <a:extLst>
              <a:ext uri="{FF2B5EF4-FFF2-40B4-BE49-F238E27FC236}">
                <a16:creationId xmlns:a16="http://schemas.microsoft.com/office/drawing/2014/main" id="{00000000-0008-0000-0100-000015000000}"/>
              </a:ext>
            </a:extLst>
          </xdr:cNvPr>
          <xdr:cNvSpPr>
            <a:spLocks noChangeShapeType="1"/>
          </xdr:cNvSpPr>
        </xdr:nvSpPr>
        <xdr:spPr bwMode="auto">
          <a:xfrm flipV="1">
            <a:off x="190" y="868"/>
            <a:ext cx="0" cy="2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 name="Line 76">
            <a:extLst>
              <a:ext uri="{FF2B5EF4-FFF2-40B4-BE49-F238E27FC236}">
                <a16:creationId xmlns:a16="http://schemas.microsoft.com/office/drawing/2014/main" id="{00000000-0008-0000-0100-000016000000}"/>
              </a:ext>
            </a:extLst>
          </xdr:cNvPr>
          <xdr:cNvSpPr>
            <a:spLocks noChangeShapeType="1"/>
          </xdr:cNvSpPr>
        </xdr:nvSpPr>
        <xdr:spPr bwMode="auto">
          <a:xfrm flipV="1">
            <a:off x="133" y="805"/>
            <a:ext cx="21"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 name="Line 77">
            <a:extLst>
              <a:ext uri="{FF2B5EF4-FFF2-40B4-BE49-F238E27FC236}">
                <a16:creationId xmlns:a16="http://schemas.microsoft.com/office/drawing/2014/main" id="{00000000-0008-0000-0100-000017000000}"/>
              </a:ext>
            </a:extLst>
          </xdr:cNvPr>
          <xdr:cNvSpPr>
            <a:spLocks noChangeShapeType="1"/>
          </xdr:cNvSpPr>
        </xdr:nvSpPr>
        <xdr:spPr bwMode="auto">
          <a:xfrm flipH="1">
            <a:off x="133" y="805"/>
            <a:ext cx="0" cy="8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 name="Line 78">
            <a:extLst>
              <a:ext uri="{FF2B5EF4-FFF2-40B4-BE49-F238E27FC236}">
                <a16:creationId xmlns:a16="http://schemas.microsoft.com/office/drawing/2014/main" id="{00000000-0008-0000-0100-000018000000}"/>
              </a:ext>
            </a:extLst>
          </xdr:cNvPr>
          <xdr:cNvSpPr>
            <a:spLocks noChangeShapeType="1"/>
          </xdr:cNvSpPr>
        </xdr:nvSpPr>
        <xdr:spPr bwMode="auto">
          <a:xfrm flipV="1">
            <a:off x="154" y="794"/>
            <a:ext cx="0" cy="1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 name="Line 79">
            <a:extLst>
              <a:ext uri="{FF2B5EF4-FFF2-40B4-BE49-F238E27FC236}">
                <a16:creationId xmlns:a16="http://schemas.microsoft.com/office/drawing/2014/main" id="{00000000-0008-0000-0100-000019000000}"/>
              </a:ext>
            </a:extLst>
          </xdr:cNvPr>
          <xdr:cNvSpPr>
            <a:spLocks noChangeShapeType="1"/>
          </xdr:cNvSpPr>
        </xdr:nvSpPr>
        <xdr:spPr bwMode="auto">
          <a:xfrm>
            <a:off x="170" y="794"/>
            <a:ext cx="0" cy="1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 name="Line 81">
            <a:extLst>
              <a:ext uri="{FF2B5EF4-FFF2-40B4-BE49-F238E27FC236}">
                <a16:creationId xmlns:a16="http://schemas.microsoft.com/office/drawing/2014/main" id="{00000000-0008-0000-0100-00001A000000}"/>
              </a:ext>
            </a:extLst>
          </xdr:cNvPr>
          <xdr:cNvSpPr>
            <a:spLocks noChangeShapeType="1"/>
          </xdr:cNvSpPr>
        </xdr:nvSpPr>
        <xdr:spPr bwMode="auto">
          <a:xfrm>
            <a:off x="139" y="794"/>
            <a:ext cx="0" cy="1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 name="Line 82">
            <a:extLst>
              <a:ext uri="{FF2B5EF4-FFF2-40B4-BE49-F238E27FC236}">
                <a16:creationId xmlns:a16="http://schemas.microsoft.com/office/drawing/2014/main" id="{00000000-0008-0000-0100-00001B000000}"/>
              </a:ext>
            </a:extLst>
          </xdr:cNvPr>
          <xdr:cNvSpPr>
            <a:spLocks noChangeShapeType="1"/>
          </xdr:cNvSpPr>
        </xdr:nvSpPr>
        <xdr:spPr bwMode="auto">
          <a:xfrm flipH="1" flipV="1">
            <a:off x="139" y="794"/>
            <a:ext cx="2"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 name="Line 83">
            <a:extLst>
              <a:ext uri="{FF2B5EF4-FFF2-40B4-BE49-F238E27FC236}">
                <a16:creationId xmlns:a16="http://schemas.microsoft.com/office/drawing/2014/main" id="{00000000-0008-0000-0100-00001C000000}"/>
              </a:ext>
            </a:extLst>
          </xdr:cNvPr>
          <xdr:cNvSpPr>
            <a:spLocks noChangeShapeType="1"/>
          </xdr:cNvSpPr>
        </xdr:nvSpPr>
        <xdr:spPr bwMode="auto">
          <a:xfrm flipV="1">
            <a:off x="137" y="794"/>
            <a:ext cx="2"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 name="Line 84">
            <a:extLst>
              <a:ext uri="{FF2B5EF4-FFF2-40B4-BE49-F238E27FC236}">
                <a16:creationId xmlns:a16="http://schemas.microsoft.com/office/drawing/2014/main" id="{00000000-0008-0000-0100-00001D000000}"/>
              </a:ext>
            </a:extLst>
          </xdr:cNvPr>
          <xdr:cNvSpPr>
            <a:spLocks noChangeShapeType="1"/>
          </xdr:cNvSpPr>
        </xdr:nvSpPr>
        <xdr:spPr bwMode="auto">
          <a:xfrm flipV="1">
            <a:off x="139" y="801"/>
            <a:ext cx="2"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 name="Line 85">
            <a:extLst>
              <a:ext uri="{FF2B5EF4-FFF2-40B4-BE49-F238E27FC236}">
                <a16:creationId xmlns:a16="http://schemas.microsoft.com/office/drawing/2014/main" id="{00000000-0008-0000-0100-00001E000000}"/>
              </a:ext>
            </a:extLst>
          </xdr:cNvPr>
          <xdr:cNvSpPr>
            <a:spLocks noChangeShapeType="1"/>
          </xdr:cNvSpPr>
        </xdr:nvSpPr>
        <xdr:spPr bwMode="auto">
          <a:xfrm flipH="1" flipV="1">
            <a:off x="137" y="801"/>
            <a:ext cx="2"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 name="Line 86">
            <a:extLst>
              <a:ext uri="{FF2B5EF4-FFF2-40B4-BE49-F238E27FC236}">
                <a16:creationId xmlns:a16="http://schemas.microsoft.com/office/drawing/2014/main" id="{00000000-0008-0000-0100-00001F000000}"/>
              </a:ext>
            </a:extLst>
          </xdr:cNvPr>
          <xdr:cNvSpPr>
            <a:spLocks noChangeShapeType="1"/>
          </xdr:cNvSpPr>
        </xdr:nvSpPr>
        <xdr:spPr bwMode="auto">
          <a:xfrm>
            <a:off x="190" y="805"/>
            <a:ext cx="0" cy="8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 name="Line 87">
            <a:extLst>
              <a:ext uri="{FF2B5EF4-FFF2-40B4-BE49-F238E27FC236}">
                <a16:creationId xmlns:a16="http://schemas.microsoft.com/office/drawing/2014/main" id="{00000000-0008-0000-0100-000020000000}"/>
              </a:ext>
            </a:extLst>
          </xdr:cNvPr>
          <xdr:cNvSpPr>
            <a:spLocks noChangeShapeType="1"/>
          </xdr:cNvSpPr>
        </xdr:nvSpPr>
        <xdr:spPr bwMode="auto">
          <a:xfrm>
            <a:off x="169" y="805"/>
            <a:ext cx="21"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 name="Line 88">
            <a:extLst>
              <a:ext uri="{FF2B5EF4-FFF2-40B4-BE49-F238E27FC236}">
                <a16:creationId xmlns:a16="http://schemas.microsoft.com/office/drawing/2014/main" id="{00000000-0008-0000-0100-000021000000}"/>
              </a:ext>
            </a:extLst>
          </xdr:cNvPr>
          <xdr:cNvSpPr>
            <a:spLocks noChangeShapeType="1"/>
          </xdr:cNvSpPr>
        </xdr:nvSpPr>
        <xdr:spPr bwMode="auto">
          <a:xfrm>
            <a:off x="133" y="889"/>
            <a:ext cx="5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 name="Line 89">
            <a:extLst>
              <a:ext uri="{FF2B5EF4-FFF2-40B4-BE49-F238E27FC236}">
                <a16:creationId xmlns:a16="http://schemas.microsoft.com/office/drawing/2014/main" id="{00000000-0008-0000-0100-000022000000}"/>
              </a:ext>
            </a:extLst>
          </xdr:cNvPr>
          <xdr:cNvSpPr>
            <a:spLocks noChangeShapeType="1"/>
          </xdr:cNvSpPr>
        </xdr:nvSpPr>
        <xdr:spPr bwMode="auto">
          <a:xfrm>
            <a:off x="154" y="797"/>
            <a:ext cx="1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 name="Line 90">
            <a:extLst>
              <a:ext uri="{FF2B5EF4-FFF2-40B4-BE49-F238E27FC236}">
                <a16:creationId xmlns:a16="http://schemas.microsoft.com/office/drawing/2014/main" id="{00000000-0008-0000-0100-000023000000}"/>
              </a:ext>
            </a:extLst>
          </xdr:cNvPr>
          <xdr:cNvSpPr>
            <a:spLocks noChangeShapeType="1"/>
          </xdr:cNvSpPr>
        </xdr:nvSpPr>
        <xdr:spPr bwMode="auto">
          <a:xfrm flipH="1">
            <a:off x="154" y="795"/>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 name="Line 91">
            <a:extLst>
              <a:ext uri="{FF2B5EF4-FFF2-40B4-BE49-F238E27FC236}">
                <a16:creationId xmlns:a16="http://schemas.microsoft.com/office/drawing/2014/main" id="{00000000-0008-0000-0100-000024000000}"/>
              </a:ext>
            </a:extLst>
          </xdr:cNvPr>
          <xdr:cNvSpPr>
            <a:spLocks noChangeShapeType="1"/>
          </xdr:cNvSpPr>
        </xdr:nvSpPr>
        <xdr:spPr bwMode="auto">
          <a:xfrm flipH="1" flipV="1">
            <a:off x="154" y="797"/>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 name="Line 92">
            <a:extLst>
              <a:ext uri="{FF2B5EF4-FFF2-40B4-BE49-F238E27FC236}">
                <a16:creationId xmlns:a16="http://schemas.microsoft.com/office/drawing/2014/main" id="{00000000-0008-0000-0100-000025000000}"/>
              </a:ext>
            </a:extLst>
          </xdr:cNvPr>
          <xdr:cNvSpPr>
            <a:spLocks noChangeShapeType="1"/>
          </xdr:cNvSpPr>
        </xdr:nvSpPr>
        <xdr:spPr bwMode="auto">
          <a:xfrm flipH="1">
            <a:off x="154" y="795"/>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 name="Line 93">
            <a:extLst>
              <a:ext uri="{FF2B5EF4-FFF2-40B4-BE49-F238E27FC236}">
                <a16:creationId xmlns:a16="http://schemas.microsoft.com/office/drawing/2014/main" id="{00000000-0008-0000-0100-000026000000}"/>
              </a:ext>
            </a:extLst>
          </xdr:cNvPr>
          <xdr:cNvSpPr>
            <a:spLocks noChangeShapeType="1"/>
          </xdr:cNvSpPr>
        </xdr:nvSpPr>
        <xdr:spPr bwMode="auto">
          <a:xfrm flipV="1">
            <a:off x="167" y="797"/>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 name="Line 94">
            <a:extLst>
              <a:ext uri="{FF2B5EF4-FFF2-40B4-BE49-F238E27FC236}">
                <a16:creationId xmlns:a16="http://schemas.microsoft.com/office/drawing/2014/main" id="{00000000-0008-0000-0100-000027000000}"/>
              </a:ext>
            </a:extLst>
          </xdr:cNvPr>
          <xdr:cNvSpPr>
            <a:spLocks noChangeShapeType="1"/>
          </xdr:cNvSpPr>
        </xdr:nvSpPr>
        <xdr:spPr bwMode="auto">
          <a:xfrm>
            <a:off x="167" y="795"/>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xdr:col>
      <xdr:colOff>180975</xdr:colOff>
      <xdr:row>29</xdr:row>
      <xdr:rowOff>76200</xdr:rowOff>
    </xdr:from>
    <xdr:to>
      <xdr:col>3</xdr:col>
      <xdr:colOff>447675</xdr:colOff>
      <xdr:row>29</xdr:row>
      <xdr:rowOff>200025</xdr:rowOff>
    </xdr:to>
    <xdr:sp macro="" textlink="">
      <xdr:nvSpPr>
        <xdr:cNvPr id="40" name="Depth">
          <a:extLst>
            <a:ext uri="{FF2B5EF4-FFF2-40B4-BE49-F238E27FC236}">
              <a16:creationId xmlns:a16="http://schemas.microsoft.com/office/drawing/2014/main" id="{00000000-0008-0000-0100-000028000000}"/>
            </a:ext>
          </a:extLst>
        </xdr:cNvPr>
        <xdr:cNvSpPr txBox="1">
          <a:spLocks noChangeArrowheads="1"/>
        </xdr:cNvSpPr>
      </xdr:nvSpPr>
      <xdr:spPr bwMode="auto">
        <a:xfrm>
          <a:off x="1914525" y="6772275"/>
          <a:ext cx="266700" cy="12382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62.0</a:t>
          </a:r>
        </a:p>
      </xdr:txBody>
    </xdr:sp>
    <xdr:clientData/>
  </xdr:twoCellAnchor>
  <xdr:twoCellAnchor>
    <xdr:from>
      <xdr:col>1</xdr:col>
      <xdr:colOff>114300</xdr:colOff>
      <xdr:row>30</xdr:row>
      <xdr:rowOff>219075</xdr:rowOff>
    </xdr:from>
    <xdr:to>
      <xdr:col>2</xdr:col>
      <xdr:colOff>95250</xdr:colOff>
      <xdr:row>31</xdr:row>
      <xdr:rowOff>95250</xdr:rowOff>
    </xdr:to>
    <xdr:sp macro="" textlink="">
      <xdr:nvSpPr>
        <xdr:cNvPr id="41" name="Tip">
          <a:extLst>
            <a:ext uri="{FF2B5EF4-FFF2-40B4-BE49-F238E27FC236}">
              <a16:creationId xmlns:a16="http://schemas.microsoft.com/office/drawing/2014/main" id="{00000000-0008-0000-0100-000029000000}"/>
            </a:ext>
          </a:extLst>
        </xdr:cNvPr>
        <xdr:cNvSpPr txBox="1">
          <a:spLocks noChangeArrowheads="1"/>
        </xdr:cNvSpPr>
      </xdr:nvSpPr>
      <xdr:spPr bwMode="auto">
        <a:xfrm>
          <a:off x="923925" y="7143750"/>
          <a:ext cx="390525" cy="1047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2.83</a:t>
          </a:r>
        </a:p>
      </xdr:txBody>
    </xdr:sp>
    <xdr:clientData/>
  </xdr:twoCellAnchor>
  <xdr:twoCellAnchor>
    <xdr:from>
      <xdr:col>2</xdr:col>
      <xdr:colOff>238125</xdr:colOff>
      <xdr:row>26</xdr:row>
      <xdr:rowOff>190500</xdr:rowOff>
    </xdr:from>
    <xdr:to>
      <xdr:col>3</xdr:col>
      <xdr:colOff>28575</xdr:colOff>
      <xdr:row>27</xdr:row>
      <xdr:rowOff>57150</xdr:rowOff>
    </xdr:to>
    <xdr:sp macro="" textlink="">
      <xdr:nvSpPr>
        <xdr:cNvPr id="42" name="Width">
          <a:extLst>
            <a:ext uri="{FF2B5EF4-FFF2-40B4-BE49-F238E27FC236}">
              <a16:creationId xmlns:a16="http://schemas.microsoft.com/office/drawing/2014/main" id="{00000000-0008-0000-0100-00002A000000}"/>
            </a:ext>
          </a:extLst>
        </xdr:cNvPr>
        <xdr:cNvSpPr txBox="1">
          <a:spLocks noChangeArrowheads="1"/>
        </xdr:cNvSpPr>
      </xdr:nvSpPr>
      <xdr:spPr bwMode="auto">
        <a:xfrm>
          <a:off x="1457325" y="6200775"/>
          <a:ext cx="304800" cy="9525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14.2</a:t>
          </a:r>
        </a:p>
      </xdr:txBody>
    </xdr:sp>
    <xdr:clientData/>
  </xdr:twoCellAnchor>
  <xdr:twoCellAnchor>
    <xdr:from>
      <xdr:col>2</xdr:col>
      <xdr:colOff>0</xdr:colOff>
      <xdr:row>27</xdr:row>
      <xdr:rowOff>47625</xdr:rowOff>
    </xdr:from>
    <xdr:to>
      <xdr:col>3</xdr:col>
      <xdr:colOff>428625</xdr:colOff>
      <xdr:row>31</xdr:row>
      <xdr:rowOff>209550</xdr:rowOff>
    </xdr:to>
    <xdr:grpSp>
      <xdr:nvGrpSpPr>
        <xdr:cNvPr id="43" name="Group 209">
          <a:extLst>
            <a:ext uri="{FF2B5EF4-FFF2-40B4-BE49-F238E27FC236}">
              <a16:creationId xmlns:a16="http://schemas.microsoft.com/office/drawing/2014/main" id="{00000000-0008-0000-0100-00002B000000}"/>
            </a:ext>
          </a:extLst>
        </xdr:cNvPr>
        <xdr:cNvGrpSpPr>
          <a:grpSpLocks/>
        </xdr:cNvGrpSpPr>
      </xdr:nvGrpSpPr>
      <xdr:grpSpPr bwMode="auto">
        <a:xfrm>
          <a:off x="1249680" y="6273165"/>
          <a:ext cx="954405" cy="1076325"/>
          <a:chOff x="128" y="636"/>
          <a:chExt cx="99" cy="113"/>
        </a:xfrm>
      </xdr:grpSpPr>
      <xdr:sp macro="" textlink="">
        <xdr:nvSpPr>
          <xdr:cNvPr id="44" name="Line 162">
            <a:extLst>
              <a:ext uri="{FF2B5EF4-FFF2-40B4-BE49-F238E27FC236}">
                <a16:creationId xmlns:a16="http://schemas.microsoft.com/office/drawing/2014/main" id="{00000000-0008-0000-0100-00002C000000}"/>
              </a:ext>
            </a:extLst>
          </xdr:cNvPr>
          <xdr:cNvSpPr>
            <a:spLocks noChangeShapeType="1"/>
          </xdr:cNvSpPr>
        </xdr:nvSpPr>
        <xdr:spPr bwMode="auto">
          <a:xfrm flipH="1">
            <a:off x="192" y="650"/>
            <a:ext cx="1" cy="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5" name="Line 163">
            <a:extLst>
              <a:ext uri="{FF2B5EF4-FFF2-40B4-BE49-F238E27FC236}">
                <a16:creationId xmlns:a16="http://schemas.microsoft.com/office/drawing/2014/main" id="{00000000-0008-0000-0100-00002D000000}"/>
              </a:ext>
            </a:extLst>
          </xdr:cNvPr>
          <xdr:cNvSpPr>
            <a:spLocks noChangeShapeType="1"/>
          </xdr:cNvSpPr>
        </xdr:nvSpPr>
        <xdr:spPr bwMode="auto">
          <a:xfrm flipH="1">
            <a:off x="144" y="651"/>
            <a:ext cx="4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6" name="Line 164">
            <a:extLst>
              <a:ext uri="{FF2B5EF4-FFF2-40B4-BE49-F238E27FC236}">
                <a16:creationId xmlns:a16="http://schemas.microsoft.com/office/drawing/2014/main" id="{00000000-0008-0000-0100-00002E000000}"/>
              </a:ext>
            </a:extLst>
          </xdr:cNvPr>
          <xdr:cNvSpPr>
            <a:spLocks noChangeShapeType="1"/>
          </xdr:cNvSpPr>
        </xdr:nvSpPr>
        <xdr:spPr bwMode="auto">
          <a:xfrm>
            <a:off x="193" y="650"/>
            <a:ext cx="0" cy="7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7" name="Line 165">
            <a:extLst>
              <a:ext uri="{FF2B5EF4-FFF2-40B4-BE49-F238E27FC236}">
                <a16:creationId xmlns:a16="http://schemas.microsoft.com/office/drawing/2014/main" id="{00000000-0008-0000-0100-00002F000000}"/>
              </a:ext>
            </a:extLst>
          </xdr:cNvPr>
          <xdr:cNvSpPr>
            <a:spLocks noChangeShapeType="1"/>
          </xdr:cNvSpPr>
        </xdr:nvSpPr>
        <xdr:spPr bwMode="auto">
          <a:xfrm>
            <a:off x="146" y="651"/>
            <a:ext cx="0" cy="7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8" name="Line 166">
            <a:extLst>
              <a:ext uri="{FF2B5EF4-FFF2-40B4-BE49-F238E27FC236}">
                <a16:creationId xmlns:a16="http://schemas.microsoft.com/office/drawing/2014/main" id="{00000000-0008-0000-0100-000030000000}"/>
              </a:ext>
            </a:extLst>
          </xdr:cNvPr>
          <xdr:cNvSpPr>
            <a:spLocks noChangeShapeType="1"/>
          </xdr:cNvSpPr>
        </xdr:nvSpPr>
        <xdr:spPr bwMode="auto">
          <a:xfrm>
            <a:off x="140" y="723"/>
            <a:ext cx="0" cy="6"/>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 name="Line 167">
            <a:extLst>
              <a:ext uri="{FF2B5EF4-FFF2-40B4-BE49-F238E27FC236}">
                <a16:creationId xmlns:a16="http://schemas.microsoft.com/office/drawing/2014/main" id="{00000000-0008-0000-0100-000031000000}"/>
              </a:ext>
            </a:extLst>
          </xdr:cNvPr>
          <xdr:cNvSpPr>
            <a:spLocks noChangeShapeType="1"/>
          </xdr:cNvSpPr>
        </xdr:nvSpPr>
        <xdr:spPr bwMode="auto">
          <a:xfrm flipH="1">
            <a:off x="200" y="728"/>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0" name="Line 168">
            <a:extLst>
              <a:ext uri="{FF2B5EF4-FFF2-40B4-BE49-F238E27FC236}">
                <a16:creationId xmlns:a16="http://schemas.microsoft.com/office/drawing/2014/main" id="{00000000-0008-0000-0100-000032000000}"/>
              </a:ext>
            </a:extLst>
          </xdr:cNvPr>
          <xdr:cNvSpPr>
            <a:spLocks noChangeShapeType="1"/>
          </xdr:cNvSpPr>
        </xdr:nvSpPr>
        <xdr:spPr bwMode="auto">
          <a:xfrm>
            <a:off x="140" y="729"/>
            <a:ext cx="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1" name="Line 169">
            <a:extLst>
              <a:ext uri="{FF2B5EF4-FFF2-40B4-BE49-F238E27FC236}">
                <a16:creationId xmlns:a16="http://schemas.microsoft.com/office/drawing/2014/main" id="{00000000-0008-0000-0100-000033000000}"/>
              </a:ext>
            </a:extLst>
          </xdr:cNvPr>
          <xdr:cNvSpPr>
            <a:spLocks noChangeShapeType="1"/>
          </xdr:cNvSpPr>
        </xdr:nvSpPr>
        <xdr:spPr bwMode="auto">
          <a:xfrm>
            <a:off x="192" y="728"/>
            <a:ext cx="0" cy="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2" name="Line 170">
            <a:extLst>
              <a:ext uri="{FF2B5EF4-FFF2-40B4-BE49-F238E27FC236}">
                <a16:creationId xmlns:a16="http://schemas.microsoft.com/office/drawing/2014/main" id="{00000000-0008-0000-0100-000034000000}"/>
              </a:ext>
            </a:extLst>
          </xdr:cNvPr>
          <xdr:cNvSpPr>
            <a:spLocks noChangeShapeType="1"/>
          </xdr:cNvSpPr>
        </xdr:nvSpPr>
        <xdr:spPr bwMode="auto">
          <a:xfrm>
            <a:off x="147" y="730"/>
            <a:ext cx="0" cy="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3" name="Line 171">
            <a:extLst>
              <a:ext uri="{FF2B5EF4-FFF2-40B4-BE49-F238E27FC236}">
                <a16:creationId xmlns:a16="http://schemas.microsoft.com/office/drawing/2014/main" id="{00000000-0008-0000-0100-000035000000}"/>
              </a:ext>
            </a:extLst>
          </xdr:cNvPr>
          <xdr:cNvSpPr>
            <a:spLocks noChangeShapeType="1"/>
          </xdr:cNvSpPr>
        </xdr:nvSpPr>
        <xdr:spPr bwMode="auto">
          <a:xfrm>
            <a:off x="192" y="738"/>
            <a:ext cx="13"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4" name="Line 172">
            <a:extLst>
              <a:ext uri="{FF2B5EF4-FFF2-40B4-BE49-F238E27FC236}">
                <a16:creationId xmlns:a16="http://schemas.microsoft.com/office/drawing/2014/main" id="{00000000-0008-0000-0100-000036000000}"/>
              </a:ext>
            </a:extLst>
          </xdr:cNvPr>
          <xdr:cNvSpPr>
            <a:spLocks noChangeShapeType="1"/>
          </xdr:cNvSpPr>
        </xdr:nvSpPr>
        <xdr:spPr bwMode="auto">
          <a:xfrm flipH="1">
            <a:off x="131" y="738"/>
            <a:ext cx="1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5" name="Line 173">
            <a:extLst>
              <a:ext uri="{FF2B5EF4-FFF2-40B4-BE49-F238E27FC236}">
                <a16:creationId xmlns:a16="http://schemas.microsoft.com/office/drawing/2014/main" id="{00000000-0008-0000-0100-000037000000}"/>
              </a:ext>
            </a:extLst>
          </xdr:cNvPr>
          <xdr:cNvSpPr>
            <a:spLocks noChangeShapeType="1"/>
          </xdr:cNvSpPr>
        </xdr:nvSpPr>
        <xdr:spPr bwMode="auto">
          <a:xfrm>
            <a:off x="200" y="652"/>
            <a:ext cx="2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6" name="Line 174">
            <a:extLst>
              <a:ext uri="{FF2B5EF4-FFF2-40B4-BE49-F238E27FC236}">
                <a16:creationId xmlns:a16="http://schemas.microsoft.com/office/drawing/2014/main" id="{00000000-0008-0000-0100-000038000000}"/>
              </a:ext>
            </a:extLst>
          </xdr:cNvPr>
          <xdr:cNvSpPr>
            <a:spLocks noChangeShapeType="1"/>
          </xdr:cNvSpPr>
        </xdr:nvSpPr>
        <xdr:spPr bwMode="auto">
          <a:xfrm flipV="1">
            <a:off x="210" y="653"/>
            <a:ext cx="0" cy="31"/>
          </a:xfrm>
          <a:prstGeom prst="line">
            <a:avLst/>
          </a:prstGeom>
          <a:noFill/>
          <a:ln w="9525">
            <a:solidFill>
              <a:srgbClr val="000000"/>
            </a:solidFill>
            <a:round/>
            <a:headEnd/>
            <a:tailEnd type="arrow" w="med" len="sm"/>
          </a:ln>
          <a:extLst>
            <a:ext uri="{909E8E84-426E-40DD-AFC4-6F175D3DCCD1}">
              <a14:hiddenFill xmlns:a14="http://schemas.microsoft.com/office/drawing/2010/main">
                <a:noFill/>
              </a14:hiddenFill>
            </a:ext>
          </a:extLst>
        </xdr:spPr>
      </xdr:sp>
      <xdr:sp macro="" textlink="">
        <xdr:nvSpPr>
          <xdr:cNvPr id="57" name="Line 175">
            <a:extLst>
              <a:ext uri="{FF2B5EF4-FFF2-40B4-BE49-F238E27FC236}">
                <a16:creationId xmlns:a16="http://schemas.microsoft.com/office/drawing/2014/main" id="{00000000-0008-0000-0100-000039000000}"/>
              </a:ext>
            </a:extLst>
          </xdr:cNvPr>
          <xdr:cNvSpPr>
            <a:spLocks noChangeShapeType="1"/>
          </xdr:cNvSpPr>
        </xdr:nvSpPr>
        <xdr:spPr bwMode="auto">
          <a:xfrm>
            <a:off x="210" y="707"/>
            <a:ext cx="0" cy="29"/>
          </a:xfrm>
          <a:prstGeom prst="line">
            <a:avLst/>
          </a:prstGeom>
          <a:noFill/>
          <a:ln w="9525">
            <a:solidFill>
              <a:srgbClr val="000000"/>
            </a:solidFill>
            <a:round/>
            <a:headEnd/>
            <a:tailEnd type="arrow" w="med" len="sm"/>
          </a:ln>
          <a:extLst>
            <a:ext uri="{909E8E84-426E-40DD-AFC4-6F175D3DCCD1}">
              <a14:hiddenFill xmlns:a14="http://schemas.microsoft.com/office/drawing/2010/main">
                <a:noFill/>
              </a14:hiddenFill>
            </a:ext>
          </a:extLst>
        </xdr:spPr>
      </xdr:sp>
      <xdr:sp macro="" textlink="">
        <xdr:nvSpPr>
          <xdr:cNvPr id="58" name="Line 176">
            <a:extLst>
              <a:ext uri="{FF2B5EF4-FFF2-40B4-BE49-F238E27FC236}">
                <a16:creationId xmlns:a16="http://schemas.microsoft.com/office/drawing/2014/main" id="{00000000-0008-0000-0100-00003A000000}"/>
              </a:ext>
            </a:extLst>
          </xdr:cNvPr>
          <xdr:cNvSpPr>
            <a:spLocks noChangeShapeType="1"/>
          </xdr:cNvSpPr>
        </xdr:nvSpPr>
        <xdr:spPr bwMode="auto">
          <a:xfrm flipV="1">
            <a:off x="134" y="739"/>
            <a:ext cx="0" cy="1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59" name="Line 177">
            <a:extLst>
              <a:ext uri="{FF2B5EF4-FFF2-40B4-BE49-F238E27FC236}">
                <a16:creationId xmlns:a16="http://schemas.microsoft.com/office/drawing/2014/main" id="{00000000-0008-0000-0100-00003B000000}"/>
              </a:ext>
            </a:extLst>
          </xdr:cNvPr>
          <xdr:cNvSpPr>
            <a:spLocks noChangeShapeType="1"/>
          </xdr:cNvSpPr>
        </xdr:nvSpPr>
        <xdr:spPr bwMode="auto">
          <a:xfrm>
            <a:off x="132" y="713"/>
            <a:ext cx="0" cy="8"/>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60" name="Line 178">
            <a:extLst>
              <a:ext uri="{FF2B5EF4-FFF2-40B4-BE49-F238E27FC236}">
                <a16:creationId xmlns:a16="http://schemas.microsoft.com/office/drawing/2014/main" id="{00000000-0008-0000-0100-00003C000000}"/>
              </a:ext>
            </a:extLst>
          </xdr:cNvPr>
          <xdr:cNvSpPr>
            <a:spLocks noChangeShapeType="1"/>
          </xdr:cNvSpPr>
        </xdr:nvSpPr>
        <xdr:spPr bwMode="auto">
          <a:xfrm>
            <a:off x="128" y="723"/>
            <a:ext cx="1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1" name="Line 179">
            <a:extLst>
              <a:ext uri="{FF2B5EF4-FFF2-40B4-BE49-F238E27FC236}">
                <a16:creationId xmlns:a16="http://schemas.microsoft.com/office/drawing/2014/main" id="{00000000-0008-0000-0100-00003D000000}"/>
              </a:ext>
            </a:extLst>
          </xdr:cNvPr>
          <xdr:cNvSpPr>
            <a:spLocks noChangeShapeType="1"/>
          </xdr:cNvSpPr>
        </xdr:nvSpPr>
        <xdr:spPr bwMode="auto">
          <a:xfrm flipV="1">
            <a:off x="193" y="636"/>
            <a:ext cx="0" cy="1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2" name="Line 180">
            <a:extLst>
              <a:ext uri="{FF2B5EF4-FFF2-40B4-BE49-F238E27FC236}">
                <a16:creationId xmlns:a16="http://schemas.microsoft.com/office/drawing/2014/main" id="{00000000-0008-0000-0100-00003E000000}"/>
              </a:ext>
            </a:extLst>
          </xdr:cNvPr>
          <xdr:cNvSpPr>
            <a:spLocks noChangeShapeType="1"/>
          </xdr:cNvSpPr>
        </xdr:nvSpPr>
        <xdr:spPr bwMode="auto">
          <a:xfrm flipV="1">
            <a:off x="145" y="637"/>
            <a:ext cx="0" cy="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3" name="Line 181">
            <a:extLst>
              <a:ext uri="{FF2B5EF4-FFF2-40B4-BE49-F238E27FC236}">
                <a16:creationId xmlns:a16="http://schemas.microsoft.com/office/drawing/2014/main" id="{00000000-0008-0000-0100-00003F000000}"/>
              </a:ext>
            </a:extLst>
          </xdr:cNvPr>
          <xdr:cNvSpPr>
            <a:spLocks noChangeShapeType="1"/>
          </xdr:cNvSpPr>
        </xdr:nvSpPr>
        <xdr:spPr bwMode="auto">
          <a:xfrm>
            <a:off x="154" y="642"/>
            <a:ext cx="36"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64" name="Line 182">
            <a:extLst>
              <a:ext uri="{FF2B5EF4-FFF2-40B4-BE49-F238E27FC236}">
                <a16:creationId xmlns:a16="http://schemas.microsoft.com/office/drawing/2014/main" id="{00000000-0008-0000-0100-000040000000}"/>
              </a:ext>
            </a:extLst>
          </xdr:cNvPr>
          <xdr:cNvSpPr>
            <a:spLocks noChangeShapeType="1"/>
          </xdr:cNvSpPr>
        </xdr:nvSpPr>
        <xdr:spPr bwMode="auto">
          <a:xfrm flipH="1">
            <a:off x="149" y="642"/>
            <a:ext cx="6"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65" name="Line 183">
            <a:extLst>
              <a:ext uri="{FF2B5EF4-FFF2-40B4-BE49-F238E27FC236}">
                <a16:creationId xmlns:a16="http://schemas.microsoft.com/office/drawing/2014/main" id="{00000000-0008-0000-0100-000041000000}"/>
              </a:ext>
            </a:extLst>
          </xdr:cNvPr>
          <xdr:cNvSpPr>
            <a:spLocks noChangeShapeType="1"/>
          </xdr:cNvSpPr>
        </xdr:nvSpPr>
        <xdr:spPr bwMode="auto">
          <a:xfrm>
            <a:off x="140" y="723"/>
            <a:ext cx="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6" name="Line 184">
            <a:extLst>
              <a:ext uri="{FF2B5EF4-FFF2-40B4-BE49-F238E27FC236}">
                <a16:creationId xmlns:a16="http://schemas.microsoft.com/office/drawing/2014/main" id="{00000000-0008-0000-0100-000042000000}"/>
              </a:ext>
            </a:extLst>
          </xdr:cNvPr>
          <xdr:cNvSpPr>
            <a:spLocks noChangeShapeType="1"/>
          </xdr:cNvSpPr>
        </xdr:nvSpPr>
        <xdr:spPr bwMode="auto">
          <a:xfrm>
            <a:off x="192" y="729"/>
            <a:ext cx="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7" name="Line 185">
            <a:extLst>
              <a:ext uri="{FF2B5EF4-FFF2-40B4-BE49-F238E27FC236}">
                <a16:creationId xmlns:a16="http://schemas.microsoft.com/office/drawing/2014/main" id="{00000000-0008-0000-0100-000043000000}"/>
              </a:ext>
            </a:extLst>
          </xdr:cNvPr>
          <xdr:cNvSpPr>
            <a:spLocks noChangeShapeType="1"/>
          </xdr:cNvSpPr>
        </xdr:nvSpPr>
        <xdr:spPr bwMode="auto">
          <a:xfrm flipV="1">
            <a:off x="200" y="721"/>
            <a:ext cx="0" cy="6"/>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8" name="Line 186">
            <a:extLst>
              <a:ext uri="{FF2B5EF4-FFF2-40B4-BE49-F238E27FC236}">
                <a16:creationId xmlns:a16="http://schemas.microsoft.com/office/drawing/2014/main" id="{00000000-0008-0000-0100-000044000000}"/>
              </a:ext>
            </a:extLst>
          </xdr:cNvPr>
          <xdr:cNvSpPr>
            <a:spLocks noChangeShapeType="1"/>
          </xdr:cNvSpPr>
        </xdr:nvSpPr>
        <xdr:spPr bwMode="auto">
          <a:xfrm>
            <a:off x="193" y="722"/>
            <a:ext cx="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xdr:col>
      <xdr:colOff>95250</xdr:colOff>
      <xdr:row>42</xdr:row>
      <xdr:rowOff>133350</xdr:rowOff>
    </xdr:from>
    <xdr:to>
      <xdr:col>3</xdr:col>
      <xdr:colOff>419100</xdr:colOff>
      <xdr:row>43</xdr:row>
      <xdr:rowOff>28575</xdr:rowOff>
    </xdr:to>
    <xdr:sp macro="" textlink="">
      <xdr:nvSpPr>
        <xdr:cNvPr id="69" name="Radius">
          <a:extLst>
            <a:ext uri="{FF2B5EF4-FFF2-40B4-BE49-F238E27FC236}">
              <a16:creationId xmlns:a16="http://schemas.microsoft.com/office/drawing/2014/main" id="{00000000-0008-0000-0100-000045000000}"/>
            </a:ext>
          </a:extLst>
        </xdr:cNvPr>
        <xdr:cNvSpPr txBox="1">
          <a:spLocks noChangeArrowheads="1"/>
        </xdr:cNvSpPr>
      </xdr:nvSpPr>
      <xdr:spPr bwMode="auto">
        <a:xfrm>
          <a:off x="1828800" y="9801225"/>
          <a:ext cx="323850" cy="12382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endParaRPr lang="en-US" sz="600" b="1" i="0" u="none" strike="noStrike" baseline="0">
            <a:solidFill>
              <a:srgbClr val="000000"/>
            </a:solidFill>
            <a:latin typeface="Univers (W1)"/>
          </a:endParaRPr>
        </a:p>
      </xdr:txBody>
    </xdr:sp>
    <xdr:clientData/>
  </xdr:twoCellAnchor>
  <xdr:twoCellAnchor>
    <xdr:from>
      <xdr:col>3</xdr:col>
      <xdr:colOff>47625</xdr:colOff>
      <xdr:row>41</xdr:row>
      <xdr:rowOff>0</xdr:rowOff>
    </xdr:from>
    <xdr:to>
      <xdr:col>3</xdr:col>
      <xdr:colOff>314325</xdr:colOff>
      <xdr:row>41</xdr:row>
      <xdr:rowOff>95250</xdr:rowOff>
    </xdr:to>
    <xdr:sp macro="" textlink="">
      <xdr:nvSpPr>
        <xdr:cNvPr id="70" name="Height">
          <a:extLst>
            <a:ext uri="{FF2B5EF4-FFF2-40B4-BE49-F238E27FC236}">
              <a16:creationId xmlns:a16="http://schemas.microsoft.com/office/drawing/2014/main" id="{00000000-0008-0000-0100-000046000000}"/>
            </a:ext>
          </a:extLst>
        </xdr:cNvPr>
        <xdr:cNvSpPr txBox="1">
          <a:spLocks noChangeArrowheads="1"/>
        </xdr:cNvSpPr>
      </xdr:nvSpPr>
      <xdr:spPr bwMode="auto">
        <a:xfrm>
          <a:off x="1781175" y="9439275"/>
          <a:ext cx="266700" cy="9525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endParaRPr lang="en-US" sz="600" b="1" i="0" u="none" strike="noStrike" baseline="0">
            <a:solidFill>
              <a:srgbClr val="000000"/>
            </a:solidFill>
            <a:latin typeface="Univers (W1)"/>
          </a:endParaRPr>
        </a:p>
      </xdr:txBody>
    </xdr:sp>
    <xdr:clientData/>
  </xdr:twoCellAnchor>
  <xdr:twoCellAnchor>
    <xdr:from>
      <xdr:col>2</xdr:col>
      <xdr:colOff>180975</xdr:colOff>
      <xdr:row>41</xdr:row>
      <xdr:rowOff>85725</xdr:rowOff>
    </xdr:from>
    <xdr:to>
      <xdr:col>2</xdr:col>
      <xdr:colOff>438150</xdr:colOff>
      <xdr:row>41</xdr:row>
      <xdr:rowOff>200025</xdr:rowOff>
    </xdr:to>
    <xdr:sp macro="" textlink="">
      <xdr:nvSpPr>
        <xdr:cNvPr id="71" name="Clear">
          <a:extLst>
            <a:ext uri="{FF2B5EF4-FFF2-40B4-BE49-F238E27FC236}">
              <a16:creationId xmlns:a16="http://schemas.microsoft.com/office/drawing/2014/main" id="{00000000-0008-0000-0100-000047000000}"/>
            </a:ext>
          </a:extLst>
        </xdr:cNvPr>
        <xdr:cNvSpPr txBox="1">
          <a:spLocks noChangeArrowheads="1"/>
        </xdr:cNvSpPr>
      </xdr:nvSpPr>
      <xdr:spPr bwMode="auto">
        <a:xfrm>
          <a:off x="1400175" y="9525000"/>
          <a:ext cx="257175" cy="11430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endParaRPr lang="en-US" sz="600" b="1" i="0" u="none" strike="noStrike" baseline="0">
            <a:solidFill>
              <a:srgbClr val="000000"/>
            </a:solidFill>
            <a:latin typeface="Univers (W1)"/>
          </a:endParaRPr>
        </a:p>
      </xdr:txBody>
    </xdr:sp>
    <xdr:clientData/>
  </xdr:twoCellAnchor>
  <xdr:twoCellAnchor>
    <xdr:from>
      <xdr:col>9</xdr:col>
      <xdr:colOff>152400</xdr:colOff>
      <xdr:row>44</xdr:row>
      <xdr:rowOff>0</xdr:rowOff>
    </xdr:from>
    <xdr:to>
      <xdr:col>9</xdr:col>
      <xdr:colOff>361950</xdr:colOff>
      <xdr:row>44</xdr:row>
      <xdr:rowOff>0</xdr:rowOff>
    </xdr:to>
    <xdr:sp macro="" textlink="">
      <xdr:nvSpPr>
        <xdr:cNvPr id="91" name="Rectangle 210">
          <a:extLst>
            <a:ext uri="{FF2B5EF4-FFF2-40B4-BE49-F238E27FC236}">
              <a16:creationId xmlns:a16="http://schemas.microsoft.com/office/drawing/2014/main" id="{00000000-0008-0000-0100-00005B000000}"/>
            </a:ext>
          </a:extLst>
        </xdr:cNvPr>
        <xdr:cNvSpPr>
          <a:spLocks noChangeArrowheads="1"/>
        </xdr:cNvSpPr>
      </xdr:nvSpPr>
      <xdr:spPr bwMode="auto">
        <a:xfrm>
          <a:off x="5610225" y="101060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19050</xdr:colOff>
      <xdr:row>44</xdr:row>
      <xdr:rowOff>0</xdr:rowOff>
    </xdr:from>
    <xdr:to>
      <xdr:col>9</xdr:col>
      <xdr:colOff>333375</xdr:colOff>
      <xdr:row>44</xdr:row>
      <xdr:rowOff>0</xdr:rowOff>
    </xdr:to>
    <xdr:sp macro="" textlink="">
      <xdr:nvSpPr>
        <xdr:cNvPr id="92" name="Rectangle 211">
          <a:extLst>
            <a:ext uri="{FF2B5EF4-FFF2-40B4-BE49-F238E27FC236}">
              <a16:creationId xmlns:a16="http://schemas.microsoft.com/office/drawing/2014/main" id="{00000000-0008-0000-0100-00005C000000}"/>
            </a:ext>
          </a:extLst>
        </xdr:cNvPr>
        <xdr:cNvSpPr>
          <a:spLocks noChangeArrowheads="1"/>
        </xdr:cNvSpPr>
      </xdr:nvSpPr>
      <xdr:spPr bwMode="auto">
        <a:xfrm>
          <a:off x="5476875" y="1010602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28575</xdr:colOff>
      <xdr:row>44</xdr:row>
      <xdr:rowOff>0</xdr:rowOff>
    </xdr:from>
    <xdr:to>
      <xdr:col>9</xdr:col>
      <xdr:colOff>342900</xdr:colOff>
      <xdr:row>44</xdr:row>
      <xdr:rowOff>0</xdr:rowOff>
    </xdr:to>
    <xdr:sp macro="" textlink="">
      <xdr:nvSpPr>
        <xdr:cNvPr id="93" name="Rectangle 212">
          <a:extLst>
            <a:ext uri="{FF2B5EF4-FFF2-40B4-BE49-F238E27FC236}">
              <a16:creationId xmlns:a16="http://schemas.microsoft.com/office/drawing/2014/main" id="{00000000-0008-0000-0100-00005D000000}"/>
            </a:ext>
          </a:extLst>
        </xdr:cNvPr>
        <xdr:cNvSpPr>
          <a:spLocks noChangeArrowheads="1"/>
        </xdr:cNvSpPr>
      </xdr:nvSpPr>
      <xdr:spPr bwMode="auto">
        <a:xfrm>
          <a:off x="5486400" y="1010602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0</xdr:colOff>
      <xdr:row>44</xdr:row>
      <xdr:rowOff>0</xdr:rowOff>
    </xdr:from>
    <xdr:to>
      <xdr:col>9</xdr:col>
      <xdr:colOff>409575</xdr:colOff>
      <xdr:row>44</xdr:row>
      <xdr:rowOff>0</xdr:rowOff>
    </xdr:to>
    <xdr:sp macro="" textlink="">
      <xdr:nvSpPr>
        <xdr:cNvPr id="94" name="Rectangle 213">
          <a:extLst>
            <a:ext uri="{FF2B5EF4-FFF2-40B4-BE49-F238E27FC236}">
              <a16:creationId xmlns:a16="http://schemas.microsoft.com/office/drawing/2014/main" id="{00000000-0008-0000-0100-00005E000000}"/>
            </a:ext>
          </a:extLst>
        </xdr:cNvPr>
        <xdr:cNvSpPr>
          <a:spLocks noChangeArrowheads="1"/>
        </xdr:cNvSpPr>
      </xdr:nvSpPr>
      <xdr:spPr bwMode="auto">
        <a:xfrm>
          <a:off x="5457825" y="10106025"/>
          <a:ext cx="409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142875</xdr:colOff>
      <xdr:row>44</xdr:row>
      <xdr:rowOff>0</xdr:rowOff>
    </xdr:from>
    <xdr:to>
      <xdr:col>9</xdr:col>
      <xdr:colOff>361950</xdr:colOff>
      <xdr:row>44</xdr:row>
      <xdr:rowOff>0</xdr:rowOff>
    </xdr:to>
    <xdr:sp macro="" textlink="">
      <xdr:nvSpPr>
        <xdr:cNvPr id="95" name="Rectangle 214">
          <a:extLst>
            <a:ext uri="{FF2B5EF4-FFF2-40B4-BE49-F238E27FC236}">
              <a16:creationId xmlns:a16="http://schemas.microsoft.com/office/drawing/2014/main" id="{00000000-0008-0000-0100-00005F000000}"/>
            </a:ext>
          </a:extLst>
        </xdr:cNvPr>
        <xdr:cNvSpPr>
          <a:spLocks noChangeArrowheads="1"/>
        </xdr:cNvSpPr>
      </xdr:nvSpPr>
      <xdr:spPr bwMode="auto">
        <a:xfrm>
          <a:off x="5600700" y="10106025"/>
          <a:ext cx="2190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95250</xdr:colOff>
      <xdr:row>42</xdr:row>
      <xdr:rowOff>133350</xdr:rowOff>
    </xdr:from>
    <xdr:to>
      <xdr:col>3</xdr:col>
      <xdr:colOff>419100</xdr:colOff>
      <xdr:row>43</xdr:row>
      <xdr:rowOff>28575</xdr:rowOff>
    </xdr:to>
    <xdr:sp macro="" textlink="">
      <xdr:nvSpPr>
        <xdr:cNvPr id="96" name="Radius">
          <a:extLst>
            <a:ext uri="{FF2B5EF4-FFF2-40B4-BE49-F238E27FC236}">
              <a16:creationId xmlns:a16="http://schemas.microsoft.com/office/drawing/2014/main" id="{00000000-0008-0000-0100-000060000000}"/>
            </a:ext>
          </a:extLst>
        </xdr:cNvPr>
        <xdr:cNvSpPr txBox="1">
          <a:spLocks noChangeArrowheads="1"/>
        </xdr:cNvSpPr>
      </xdr:nvSpPr>
      <xdr:spPr bwMode="auto">
        <a:xfrm>
          <a:off x="1828800" y="9801225"/>
          <a:ext cx="323850" cy="12382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endParaRPr lang="en-US" sz="600" b="1" i="0" u="none" strike="noStrike" baseline="0">
            <a:solidFill>
              <a:srgbClr val="000000"/>
            </a:solidFill>
            <a:latin typeface="Univers (W1)"/>
          </a:endParaRPr>
        </a:p>
      </xdr:txBody>
    </xdr:sp>
    <xdr:clientData/>
  </xdr:twoCellAnchor>
  <xdr:twoCellAnchor>
    <xdr:from>
      <xdr:col>3</xdr:col>
      <xdr:colOff>47625</xdr:colOff>
      <xdr:row>41</xdr:row>
      <xdr:rowOff>0</xdr:rowOff>
    </xdr:from>
    <xdr:to>
      <xdr:col>3</xdr:col>
      <xdr:colOff>314325</xdr:colOff>
      <xdr:row>41</xdr:row>
      <xdr:rowOff>95250</xdr:rowOff>
    </xdr:to>
    <xdr:sp macro="" textlink="">
      <xdr:nvSpPr>
        <xdr:cNvPr id="97" name="Height">
          <a:extLst>
            <a:ext uri="{FF2B5EF4-FFF2-40B4-BE49-F238E27FC236}">
              <a16:creationId xmlns:a16="http://schemas.microsoft.com/office/drawing/2014/main" id="{00000000-0008-0000-0100-000061000000}"/>
            </a:ext>
          </a:extLst>
        </xdr:cNvPr>
        <xdr:cNvSpPr txBox="1">
          <a:spLocks noChangeArrowheads="1"/>
        </xdr:cNvSpPr>
      </xdr:nvSpPr>
      <xdr:spPr bwMode="auto">
        <a:xfrm>
          <a:off x="1781175" y="9439275"/>
          <a:ext cx="266700" cy="9525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endParaRPr lang="en-US" sz="600" b="1" i="0" u="none" strike="noStrike" baseline="0">
            <a:solidFill>
              <a:srgbClr val="000000"/>
            </a:solidFill>
            <a:latin typeface="Univers (W1)"/>
          </a:endParaRPr>
        </a:p>
      </xdr:txBody>
    </xdr:sp>
    <xdr:clientData/>
  </xdr:twoCellAnchor>
  <xdr:twoCellAnchor>
    <xdr:from>
      <xdr:col>2</xdr:col>
      <xdr:colOff>180975</xdr:colOff>
      <xdr:row>41</xdr:row>
      <xdr:rowOff>85725</xdr:rowOff>
    </xdr:from>
    <xdr:to>
      <xdr:col>2</xdr:col>
      <xdr:colOff>438150</xdr:colOff>
      <xdr:row>41</xdr:row>
      <xdr:rowOff>200025</xdr:rowOff>
    </xdr:to>
    <xdr:sp macro="" textlink="">
      <xdr:nvSpPr>
        <xdr:cNvPr id="98" name="Clear">
          <a:extLst>
            <a:ext uri="{FF2B5EF4-FFF2-40B4-BE49-F238E27FC236}">
              <a16:creationId xmlns:a16="http://schemas.microsoft.com/office/drawing/2014/main" id="{00000000-0008-0000-0100-000062000000}"/>
            </a:ext>
          </a:extLst>
        </xdr:cNvPr>
        <xdr:cNvSpPr txBox="1">
          <a:spLocks noChangeArrowheads="1"/>
        </xdr:cNvSpPr>
      </xdr:nvSpPr>
      <xdr:spPr bwMode="auto">
        <a:xfrm>
          <a:off x="1400175" y="9525000"/>
          <a:ext cx="257175" cy="11430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endParaRPr lang="en-US" sz="600" b="1" i="0" u="none" strike="noStrike" baseline="0">
            <a:solidFill>
              <a:srgbClr val="000000"/>
            </a:solidFill>
            <a:latin typeface="Univers (W1)"/>
          </a:endParaRPr>
        </a:p>
      </xdr:txBody>
    </xdr:sp>
    <xdr:clientData/>
  </xdr:twoCellAnchor>
  <xdr:twoCellAnchor>
    <xdr:from>
      <xdr:col>2</xdr:col>
      <xdr:colOff>476250</xdr:colOff>
      <xdr:row>42</xdr:row>
      <xdr:rowOff>0</xdr:rowOff>
    </xdr:from>
    <xdr:to>
      <xdr:col>3</xdr:col>
      <xdr:colOff>247650</xdr:colOff>
      <xdr:row>42</xdr:row>
      <xdr:rowOff>104775</xdr:rowOff>
    </xdr:to>
    <xdr:sp macro="" textlink="">
      <xdr:nvSpPr>
        <xdr:cNvPr id="99" name="Thickness">
          <a:extLst>
            <a:ext uri="{FF2B5EF4-FFF2-40B4-BE49-F238E27FC236}">
              <a16:creationId xmlns:a16="http://schemas.microsoft.com/office/drawing/2014/main" id="{00000000-0008-0000-0100-000063000000}"/>
            </a:ext>
          </a:extLst>
        </xdr:cNvPr>
        <xdr:cNvSpPr txBox="1">
          <a:spLocks noChangeArrowheads="1"/>
        </xdr:cNvSpPr>
      </xdr:nvSpPr>
      <xdr:spPr bwMode="auto">
        <a:xfrm>
          <a:off x="1695450" y="9667875"/>
          <a:ext cx="285750" cy="1047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endParaRPr lang="en-US" sz="600" b="1" i="0" u="none" strike="noStrike" baseline="0">
            <a:solidFill>
              <a:srgbClr val="000000"/>
            </a:solidFill>
            <a:latin typeface="Univers (W1)"/>
          </a:endParaRPr>
        </a:p>
      </xdr:txBody>
    </xdr:sp>
    <xdr:clientData/>
  </xdr:twoCellAnchor>
  <xdr:twoCellAnchor>
    <xdr:from>
      <xdr:col>3</xdr:col>
      <xdr:colOff>95250</xdr:colOff>
      <xdr:row>42</xdr:row>
      <xdr:rowOff>133350</xdr:rowOff>
    </xdr:from>
    <xdr:to>
      <xdr:col>3</xdr:col>
      <xdr:colOff>419100</xdr:colOff>
      <xdr:row>43</xdr:row>
      <xdr:rowOff>28575</xdr:rowOff>
    </xdr:to>
    <xdr:sp macro="" textlink="">
      <xdr:nvSpPr>
        <xdr:cNvPr id="100" name="Radius">
          <a:extLst>
            <a:ext uri="{FF2B5EF4-FFF2-40B4-BE49-F238E27FC236}">
              <a16:creationId xmlns:a16="http://schemas.microsoft.com/office/drawing/2014/main" id="{00000000-0008-0000-0100-000064000000}"/>
            </a:ext>
          </a:extLst>
        </xdr:cNvPr>
        <xdr:cNvSpPr txBox="1">
          <a:spLocks noChangeArrowheads="1"/>
        </xdr:cNvSpPr>
      </xdr:nvSpPr>
      <xdr:spPr bwMode="auto">
        <a:xfrm>
          <a:off x="1828800" y="9801225"/>
          <a:ext cx="323850" cy="12382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endParaRPr lang="en-US" sz="600" b="1" i="0" u="none" strike="noStrike" baseline="0">
            <a:solidFill>
              <a:srgbClr val="000000"/>
            </a:solidFill>
            <a:latin typeface="Univers (W1)"/>
          </a:endParaRPr>
        </a:p>
      </xdr:txBody>
    </xdr:sp>
    <xdr:clientData/>
  </xdr:twoCellAnchor>
  <xdr:twoCellAnchor>
    <xdr:from>
      <xdr:col>3</xdr:col>
      <xdr:colOff>47625</xdr:colOff>
      <xdr:row>41</xdr:row>
      <xdr:rowOff>0</xdr:rowOff>
    </xdr:from>
    <xdr:to>
      <xdr:col>3</xdr:col>
      <xdr:colOff>314325</xdr:colOff>
      <xdr:row>41</xdr:row>
      <xdr:rowOff>95250</xdr:rowOff>
    </xdr:to>
    <xdr:sp macro="" textlink="">
      <xdr:nvSpPr>
        <xdr:cNvPr id="101" name="Height">
          <a:extLst>
            <a:ext uri="{FF2B5EF4-FFF2-40B4-BE49-F238E27FC236}">
              <a16:creationId xmlns:a16="http://schemas.microsoft.com/office/drawing/2014/main" id="{00000000-0008-0000-0100-000065000000}"/>
            </a:ext>
          </a:extLst>
        </xdr:cNvPr>
        <xdr:cNvSpPr txBox="1">
          <a:spLocks noChangeArrowheads="1"/>
        </xdr:cNvSpPr>
      </xdr:nvSpPr>
      <xdr:spPr bwMode="auto">
        <a:xfrm>
          <a:off x="1781175" y="9439275"/>
          <a:ext cx="266700" cy="9525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endParaRPr lang="en-US" sz="600" b="1" i="0" u="none" strike="noStrike" baseline="0">
            <a:solidFill>
              <a:srgbClr val="000000"/>
            </a:solidFill>
            <a:latin typeface="Univers (W1)"/>
          </a:endParaRPr>
        </a:p>
      </xdr:txBody>
    </xdr:sp>
    <xdr:clientData/>
  </xdr:twoCellAnchor>
  <xdr:twoCellAnchor>
    <xdr:from>
      <xdr:col>2</xdr:col>
      <xdr:colOff>180975</xdr:colOff>
      <xdr:row>41</xdr:row>
      <xdr:rowOff>85725</xdr:rowOff>
    </xdr:from>
    <xdr:to>
      <xdr:col>2</xdr:col>
      <xdr:colOff>438150</xdr:colOff>
      <xdr:row>41</xdr:row>
      <xdr:rowOff>200025</xdr:rowOff>
    </xdr:to>
    <xdr:sp macro="" textlink="">
      <xdr:nvSpPr>
        <xdr:cNvPr id="102" name="Clear">
          <a:extLst>
            <a:ext uri="{FF2B5EF4-FFF2-40B4-BE49-F238E27FC236}">
              <a16:creationId xmlns:a16="http://schemas.microsoft.com/office/drawing/2014/main" id="{00000000-0008-0000-0100-000066000000}"/>
            </a:ext>
          </a:extLst>
        </xdr:cNvPr>
        <xdr:cNvSpPr txBox="1">
          <a:spLocks noChangeArrowheads="1"/>
        </xdr:cNvSpPr>
      </xdr:nvSpPr>
      <xdr:spPr bwMode="auto">
        <a:xfrm>
          <a:off x="1400175" y="9525000"/>
          <a:ext cx="257175" cy="11430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endParaRPr lang="en-US" sz="600" b="1" i="0" u="none" strike="noStrike" baseline="0">
            <a:solidFill>
              <a:srgbClr val="000000"/>
            </a:solidFill>
            <a:latin typeface="Univers (W1)"/>
          </a:endParaRPr>
        </a:p>
      </xdr:txBody>
    </xdr:sp>
    <xdr:clientData/>
  </xdr:twoCellAnchor>
  <xdr:twoCellAnchor>
    <xdr:from>
      <xdr:col>2</xdr:col>
      <xdr:colOff>476250</xdr:colOff>
      <xdr:row>42</xdr:row>
      <xdr:rowOff>0</xdr:rowOff>
    </xdr:from>
    <xdr:to>
      <xdr:col>3</xdr:col>
      <xdr:colOff>247650</xdr:colOff>
      <xdr:row>42</xdr:row>
      <xdr:rowOff>104775</xdr:rowOff>
    </xdr:to>
    <xdr:sp macro="" textlink="">
      <xdr:nvSpPr>
        <xdr:cNvPr id="103" name="Thickness">
          <a:extLst>
            <a:ext uri="{FF2B5EF4-FFF2-40B4-BE49-F238E27FC236}">
              <a16:creationId xmlns:a16="http://schemas.microsoft.com/office/drawing/2014/main" id="{00000000-0008-0000-0100-000067000000}"/>
            </a:ext>
          </a:extLst>
        </xdr:cNvPr>
        <xdr:cNvSpPr txBox="1">
          <a:spLocks noChangeArrowheads="1"/>
        </xdr:cNvSpPr>
      </xdr:nvSpPr>
      <xdr:spPr bwMode="auto">
        <a:xfrm>
          <a:off x="1695450" y="9667875"/>
          <a:ext cx="285750" cy="1047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endParaRPr lang="en-US" sz="600" b="1" i="0" u="none" strike="noStrike" baseline="0">
            <a:solidFill>
              <a:srgbClr val="000000"/>
            </a:solidFill>
            <a:latin typeface="Univers (W1)"/>
          </a:endParaRPr>
        </a:p>
      </xdr:txBody>
    </xdr:sp>
    <xdr:clientData/>
  </xdr:twoCellAnchor>
  <xdr:twoCellAnchor>
    <xdr:from>
      <xdr:col>3</xdr:col>
      <xdr:colOff>85725</xdr:colOff>
      <xdr:row>42</xdr:row>
      <xdr:rowOff>133350</xdr:rowOff>
    </xdr:from>
    <xdr:to>
      <xdr:col>3</xdr:col>
      <xdr:colOff>400050</xdr:colOff>
      <xdr:row>43</xdr:row>
      <xdr:rowOff>28575</xdr:rowOff>
    </xdr:to>
    <xdr:sp macro="" textlink="">
      <xdr:nvSpPr>
        <xdr:cNvPr id="104" name="Radius">
          <a:extLst>
            <a:ext uri="{FF2B5EF4-FFF2-40B4-BE49-F238E27FC236}">
              <a16:creationId xmlns:a16="http://schemas.microsoft.com/office/drawing/2014/main" id="{00000000-0008-0000-0100-000068000000}"/>
            </a:ext>
          </a:extLst>
        </xdr:cNvPr>
        <xdr:cNvSpPr txBox="1">
          <a:spLocks noChangeArrowheads="1"/>
        </xdr:cNvSpPr>
      </xdr:nvSpPr>
      <xdr:spPr bwMode="auto">
        <a:xfrm>
          <a:off x="1819275" y="9801225"/>
          <a:ext cx="314325" cy="12382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47625</xdr:colOff>
      <xdr:row>41</xdr:row>
      <xdr:rowOff>0</xdr:rowOff>
    </xdr:from>
    <xdr:to>
      <xdr:col>3</xdr:col>
      <xdr:colOff>295275</xdr:colOff>
      <xdr:row>41</xdr:row>
      <xdr:rowOff>95250</xdr:rowOff>
    </xdr:to>
    <xdr:sp macro="" textlink="">
      <xdr:nvSpPr>
        <xdr:cNvPr id="105" name="Height">
          <a:extLst>
            <a:ext uri="{FF2B5EF4-FFF2-40B4-BE49-F238E27FC236}">
              <a16:creationId xmlns:a16="http://schemas.microsoft.com/office/drawing/2014/main" id="{00000000-0008-0000-0100-000069000000}"/>
            </a:ext>
          </a:extLst>
        </xdr:cNvPr>
        <xdr:cNvSpPr txBox="1">
          <a:spLocks noChangeArrowheads="1"/>
        </xdr:cNvSpPr>
      </xdr:nvSpPr>
      <xdr:spPr bwMode="auto">
        <a:xfrm>
          <a:off x="1781175" y="9439275"/>
          <a:ext cx="247650" cy="9525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171450</xdr:colOff>
      <xdr:row>41</xdr:row>
      <xdr:rowOff>85725</xdr:rowOff>
    </xdr:from>
    <xdr:to>
      <xdr:col>2</xdr:col>
      <xdr:colOff>419100</xdr:colOff>
      <xdr:row>41</xdr:row>
      <xdr:rowOff>200025</xdr:rowOff>
    </xdr:to>
    <xdr:sp macro="" textlink="">
      <xdr:nvSpPr>
        <xdr:cNvPr id="106" name="Clear">
          <a:extLst>
            <a:ext uri="{FF2B5EF4-FFF2-40B4-BE49-F238E27FC236}">
              <a16:creationId xmlns:a16="http://schemas.microsoft.com/office/drawing/2014/main" id="{00000000-0008-0000-0100-00006A000000}"/>
            </a:ext>
          </a:extLst>
        </xdr:cNvPr>
        <xdr:cNvSpPr txBox="1">
          <a:spLocks noChangeArrowheads="1"/>
        </xdr:cNvSpPr>
      </xdr:nvSpPr>
      <xdr:spPr bwMode="auto">
        <a:xfrm>
          <a:off x="1390650" y="9525000"/>
          <a:ext cx="247650" cy="11430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447675</xdr:colOff>
      <xdr:row>42</xdr:row>
      <xdr:rowOff>0</xdr:rowOff>
    </xdr:from>
    <xdr:to>
      <xdr:col>3</xdr:col>
      <xdr:colOff>238125</xdr:colOff>
      <xdr:row>42</xdr:row>
      <xdr:rowOff>104775</xdr:rowOff>
    </xdr:to>
    <xdr:sp macro="" textlink="">
      <xdr:nvSpPr>
        <xdr:cNvPr id="107" name="Thickness">
          <a:extLst>
            <a:ext uri="{FF2B5EF4-FFF2-40B4-BE49-F238E27FC236}">
              <a16:creationId xmlns:a16="http://schemas.microsoft.com/office/drawing/2014/main" id="{00000000-0008-0000-0100-00006B000000}"/>
            </a:ext>
          </a:extLst>
        </xdr:cNvPr>
        <xdr:cNvSpPr txBox="1">
          <a:spLocks noChangeArrowheads="1"/>
        </xdr:cNvSpPr>
      </xdr:nvSpPr>
      <xdr:spPr bwMode="auto">
        <a:xfrm>
          <a:off x="1666875" y="9667875"/>
          <a:ext cx="304800" cy="1047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85725</xdr:colOff>
      <xdr:row>42</xdr:row>
      <xdr:rowOff>133350</xdr:rowOff>
    </xdr:from>
    <xdr:to>
      <xdr:col>3</xdr:col>
      <xdr:colOff>400050</xdr:colOff>
      <xdr:row>43</xdr:row>
      <xdr:rowOff>28575</xdr:rowOff>
    </xdr:to>
    <xdr:sp macro="" textlink="">
      <xdr:nvSpPr>
        <xdr:cNvPr id="108" name="Radius">
          <a:extLst>
            <a:ext uri="{FF2B5EF4-FFF2-40B4-BE49-F238E27FC236}">
              <a16:creationId xmlns:a16="http://schemas.microsoft.com/office/drawing/2014/main" id="{00000000-0008-0000-0100-00006C000000}"/>
            </a:ext>
          </a:extLst>
        </xdr:cNvPr>
        <xdr:cNvSpPr txBox="1">
          <a:spLocks noChangeArrowheads="1"/>
        </xdr:cNvSpPr>
      </xdr:nvSpPr>
      <xdr:spPr bwMode="auto">
        <a:xfrm>
          <a:off x="1819275" y="9801225"/>
          <a:ext cx="314325" cy="12382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47625</xdr:colOff>
      <xdr:row>41</xdr:row>
      <xdr:rowOff>0</xdr:rowOff>
    </xdr:from>
    <xdr:to>
      <xdr:col>3</xdr:col>
      <xdr:colOff>295275</xdr:colOff>
      <xdr:row>41</xdr:row>
      <xdr:rowOff>95250</xdr:rowOff>
    </xdr:to>
    <xdr:sp macro="" textlink="">
      <xdr:nvSpPr>
        <xdr:cNvPr id="109" name="Height">
          <a:extLst>
            <a:ext uri="{FF2B5EF4-FFF2-40B4-BE49-F238E27FC236}">
              <a16:creationId xmlns:a16="http://schemas.microsoft.com/office/drawing/2014/main" id="{00000000-0008-0000-0100-00006D000000}"/>
            </a:ext>
          </a:extLst>
        </xdr:cNvPr>
        <xdr:cNvSpPr txBox="1">
          <a:spLocks noChangeArrowheads="1"/>
        </xdr:cNvSpPr>
      </xdr:nvSpPr>
      <xdr:spPr bwMode="auto">
        <a:xfrm>
          <a:off x="1781175" y="9439275"/>
          <a:ext cx="247650" cy="9525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171450</xdr:colOff>
      <xdr:row>41</xdr:row>
      <xdr:rowOff>85725</xdr:rowOff>
    </xdr:from>
    <xdr:to>
      <xdr:col>2</xdr:col>
      <xdr:colOff>419100</xdr:colOff>
      <xdr:row>41</xdr:row>
      <xdr:rowOff>200025</xdr:rowOff>
    </xdr:to>
    <xdr:sp macro="" textlink="">
      <xdr:nvSpPr>
        <xdr:cNvPr id="110" name="Clear">
          <a:extLst>
            <a:ext uri="{FF2B5EF4-FFF2-40B4-BE49-F238E27FC236}">
              <a16:creationId xmlns:a16="http://schemas.microsoft.com/office/drawing/2014/main" id="{00000000-0008-0000-0100-00006E000000}"/>
            </a:ext>
          </a:extLst>
        </xdr:cNvPr>
        <xdr:cNvSpPr txBox="1">
          <a:spLocks noChangeArrowheads="1"/>
        </xdr:cNvSpPr>
      </xdr:nvSpPr>
      <xdr:spPr bwMode="auto">
        <a:xfrm>
          <a:off x="1390650" y="9525000"/>
          <a:ext cx="247650" cy="11430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447675</xdr:colOff>
      <xdr:row>42</xdr:row>
      <xdr:rowOff>0</xdr:rowOff>
    </xdr:from>
    <xdr:to>
      <xdr:col>3</xdr:col>
      <xdr:colOff>238125</xdr:colOff>
      <xdr:row>42</xdr:row>
      <xdr:rowOff>104775</xdr:rowOff>
    </xdr:to>
    <xdr:sp macro="" textlink="">
      <xdr:nvSpPr>
        <xdr:cNvPr id="111" name="Thickness">
          <a:extLst>
            <a:ext uri="{FF2B5EF4-FFF2-40B4-BE49-F238E27FC236}">
              <a16:creationId xmlns:a16="http://schemas.microsoft.com/office/drawing/2014/main" id="{00000000-0008-0000-0100-00006F000000}"/>
            </a:ext>
          </a:extLst>
        </xdr:cNvPr>
        <xdr:cNvSpPr txBox="1">
          <a:spLocks noChangeArrowheads="1"/>
        </xdr:cNvSpPr>
      </xdr:nvSpPr>
      <xdr:spPr bwMode="auto">
        <a:xfrm>
          <a:off x="1666875" y="9667875"/>
          <a:ext cx="304800" cy="1047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85725</xdr:colOff>
      <xdr:row>42</xdr:row>
      <xdr:rowOff>133350</xdr:rowOff>
    </xdr:from>
    <xdr:to>
      <xdr:col>3</xdr:col>
      <xdr:colOff>400050</xdr:colOff>
      <xdr:row>43</xdr:row>
      <xdr:rowOff>28575</xdr:rowOff>
    </xdr:to>
    <xdr:sp macro="" textlink="">
      <xdr:nvSpPr>
        <xdr:cNvPr id="112" name="Radius">
          <a:extLst>
            <a:ext uri="{FF2B5EF4-FFF2-40B4-BE49-F238E27FC236}">
              <a16:creationId xmlns:a16="http://schemas.microsoft.com/office/drawing/2014/main" id="{00000000-0008-0000-0100-000070000000}"/>
            </a:ext>
          </a:extLst>
        </xdr:cNvPr>
        <xdr:cNvSpPr txBox="1">
          <a:spLocks noChangeArrowheads="1"/>
        </xdr:cNvSpPr>
      </xdr:nvSpPr>
      <xdr:spPr bwMode="auto">
        <a:xfrm>
          <a:off x="1819275" y="9801225"/>
          <a:ext cx="314325" cy="12382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47625</xdr:colOff>
      <xdr:row>41</xdr:row>
      <xdr:rowOff>0</xdr:rowOff>
    </xdr:from>
    <xdr:to>
      <xdr:col>3</xdr:col>
      <xdr:colOff>295275</xdr:colOff>
      <xdr:row>41</xdr:row>
      <xdr:rowOff>95250</xdr:rowOff>
    </xdr:to>
    <xdr:sp macro="" textlink="">
      <xdr:nvSpPr>
        <xdr:cNvPr id="113" name="Height">
          <a:extLst>
            <a:ext uri="{FF2B5EF4-FFF2-40B4-BE49-F238E27FC236}">
              <a16:creationId xmlns:a16="http://schemas.microsoft.com/office/drawing/2014/main" id="{00000000-0008-0000-0100-000071000000}"/>
            </a:ext>
          </a:extLst>
        </xdr:cNvPr>
        <xdr:cNvSpPr txBox="1">
          <a:spLocks noChangeArrowheads="1"/>
        </xdr:cNvSpPr>
      </xdr:nvSpPr>
      <xdr:spPr bwMode="auto">
        <a:xfrm>
          <a:off x="1781175" y="9439275"/>
          <a:ext cx="247650" cy="9525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171450</xdr:colOff>
      <xdr:row>41</xdr:row>
      <xdr:rowOff>85725</xdr:rowOff>
    </xdr:from>
    <xdr:to>
      <xdr:col>2</xdr:col>
      <xdr:colOff>419100</xdr:colOff>
      <xdr:row>41</xdr:row>
      <xdr:rowOff>200025</xdr:rowOff>
    </xdr:to>
    <xdr:sp macro="" textlink="">
      <xdr:nvSpPr>
        <xdr:cNvPr id="114" name="Clear">
          <a:extLst>
            <a:ext uri="{FF2B5EF4-FFF2-40B4-BE49-F238E27FC236}">
              <a16:creationId xmlns:a16="http://schemas.microsoft.com/office/drawing/2014/main" id="{00000000-0008-0000-0100-000072000000}"/>
            </a:ext>
          </a:extLst>
        </xdr:cNvPr>
        <xdr:cNvSpPr txBox="1">
          <a:spLocks noChangeArrowheads="1"/>
        </xdr:cNvSpPr>
      </xdr:nvSpPr>
      <xdr:spPr bwMode="auto">
        <a:xfrm>
          <a:off x="1390650" y="9525000"/>
          <a:ext cx="247650" cy="11430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447675</xdr:colOff>
      <xdr:row>42</xdr:row>
      <xdr:rowOff>0</xdr:rowOff>
    </xdr:from>
    <xdr:to>
      <xdr:col>3</xdr:col>
      <xdr:colOff>238125</xdr:colOff>
      <xdr:row>42</xdr:row>
      <xdr:rowOff>104775</xdr:rowOff>
    </xdr:to>
    <xdr:sp macro="" textlink="">
      <xdr:nvSpPr>
        <xdr:cNvPr id="115" name="Thickness">
          <a:extLst>
            <a:ext uri="{FF2B5EF4-FFF2-40B4-BE49-F238E27FC236}">
              <a16:creationId xmlns:a16="http://schemas.microsoft.com/office/drawing/2014/main" id="{00000000-0008-0000-0100-000073000000}"/>
            </a:ext>
          </a:extLst>
        </xdr:cNvPr>
        <xdr:cNvSpPr txBox="1">
          <a:spLocks noChangeArrowheads="1"/>
        </xdr:cNvSpPr>
      </xdr:nvSpPr>
      <xdr:spPr bwMode="auto">
        <a:xfrm>
          <a:off x="1666875" y="9667875"/>
          <a:ext cx="304800" cy="1047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95250</xdr:colOff>
      <xdr:row>42</xdr:row>
      <xdr:rowOff>133350</xdr:rowOff>
    </xdr:from>
    <xdr:to>
      <xdr:col>3</xdr:col>
      <xdr:colOff>419100</xdr:colOff>
      <xdr:row>43</xdr:row>
      <xdr:rowOff>28575</xdr:rowOff>
    </xdr:to>
    <xdr:sp macro="" textlink="">
      <xdr:nvSpPr>
        <xdr:cNvPr id="116" name="Radius">
          <a:extLst>
            <a:ext uri="{FF2B5EF4-FFF2-40B4-BE49-F238E27FC236}">
              <a16:creationId xmlns:a16="http://schemas.microsoft.com/office/drawing/2014/main" id="{00000000-0008-0000-0100-000074000000}"/>
            </a:ext>
          </a:extLst>
        </xdr:cNvPr>
        <xdr:cNvSpPr txBox="1">
          <a:spLocks noChangeArrowheads="1"/>
        </xdr:cNvSpPr>
      </xdr:nvSpPr>
      <xdr:spPr bwMode="auto">
        <a:xfrm>
          <a:off x="1828800" y="9801225"/>
          <a:ext cx="323850" cy="12382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47625</xdr:colOff>
      <xdr:row>41</xdr:row>
      <xdr:rowOff>0</xdr:rowOff>
    </xdr:from>
    <xdr:to>
      <xdr:col>3</xdr:col>
      <xdr:colOff>314325</xdr:colOff>
      <xdr:row>41</xdr:row>
      <xdr:rowOff>95250</xdr:rowOff>
    </xdr:to>
    <xdr:sp macro="" textlink="">
      <xdr:nvSpPr>
        <xdr:cNvPr id="117" name="Height">
          <a:extLst>
            <a:ext uri="{FF2B5EF4-FFF2-40B4-BE49-F238E27FC236}">
              <a16:creationId xmlns:a16="http://schemas.microsoft.com/office/drawing/2014/main" id="{00000000-0008-0000-0100-000075000000}"/>
            </a:ext>
          </a:extLst>
        </xdr:cNvPr>
        <xdr:cNvSpPr txBox="1">
          <a:spLocks noChangeArrowheads="1"/>
        </xdr:cNvSpPr>
      </xdr:nvSpPr>
      <xdr:spPr bwMode="auto">
        <a:xfrm>
          <a:off x="1781175" y="9439275"/>
          <a:ext cx="266700" cy="9525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180975</xdr:colOff>
      <xdr:row>41</xdr:row>
      <xdr:rowOff>85725</xdr:rowOff>
    </xdr:from>
    <xdr:to>
      <xdr:col>2</xdr:col>
      <xdr:colOff>438150</xdr:colOff>
      <xdr:row>41</xdr:row>
      <xdr:rowOff>200025</xdr:rowOff>
    </xdr:to>
    <xdr:sp macro="" textlink="">
      <xdr:nvSpPr>
        <xdr:cNvPr id="118" name="Clear">
          <a:extLst>
            <a:ext uri="{FF2B5EF4-FFF2-40B4-BE49-F238E27FC236}">
              <a16:creationId xmlns:a16="http://schemas.microsoft.com/office/drawing/2014/main" id="{00000000-0008-0000-0100-000076000000}"/>
            </a:ext>
          </a:extLst>
        </xdr:cNvPr>
        <xdr:cNvSpPr txBox="1">
          <a:spLocks noChangeArrowheads="1"/>
        </xdr:cNvSpPr>
      </xdr:nvSpPr>
      <xdr:spPr bwMode="auto">
        <a:xfrm>
          <a:off x="1400175" y="9525000"/>
          <a:ext cx="257175" cy="11430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466725</xdr:colOff>
      <xdr:row>42</xdr:row>
      <xdr:rowOff>0</xdr:rowOff>
    </xdr:from>
    <xdr:to>
      <xdr:col>3</xdr:col>
      <xdr:colOff>247650</xdr:colOff>
      <xdr:row>42</xdr:row>
      <xdr:rowOff>104775</xdr:rowOff>
    </xdr:to>
    <xdr:sp macro="" textlink="">
      <xdr:nvSpPr>
        <xdr:cNvPr id="119" name="Thickness">
          <a:extLst>
            <a:ext uri="{FF2B5EF4-FFF2-40B4-BE49-F238E27FC236}">
              <a16:creationId xmlns:a16="http://schemas.microsoft.com/office/drawing/2014/main" id="{00000000-0008-0000-0100-000077000000}"/>
            </a:ext>
          </a:extLst>
        </xdr:cNvPr>
        <xdr:cNvSpPr txBox="1">
          <a:spLocks noChangeArrowheads="1"/>
        </xdr:cNvSpPr>
      </xdr:nvSpPr>
      <xdr:spPr bwMode="auto">
        <a:xfrm>
          <a:off x="1685925" y="9667875"/>
          <a:ext cx="295275" cy="1047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95250</xdr:colOff>
      <xdr:row>42</xdr:row>
      <xdr:rowOff>133350</xdr:rowOff>
    </xdr:from>
    <xdr:to>
      <xdr:col>3</xdr:col>
      <xdr:colOff>419100</xdr:colOff>
      <xdr:row>43</xdr:row>
      <xdr:rowOff>28575</xdr:rowOff>
    </xdr:to>
    <xdr:sp macro="" textlink="">
      <xdr:nvSpPr>
        <xdr:cNvPr id="120" name="Radius">
          <a:extLst>
            <a:ext uri="{FF2B5EF4-FFF2-40B4-BE49-F238E27FC236}">
              <a16:creationId xmlns:a16="http://schemas.microsoft.com/office/drawing/2014/main" id="{00000000-0008-0000-0100-000078000000}"/>
            </a:ext>
          </a:extLst>
        </xdr:cNvPr>
        <xdr:cNvSpPr txBox="1">
          <a:spLocks noChangeArrowheads="1"/>
        </xdr:cNvSpPr>
      </xdr:nvSpPr>
      <xdr:spPr bwMode="auto">
        <a:xfrm>
          <a:off x="1828800" y="9801225"/>
          <a:ext cx="323850" cy="12382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47625</xdr:colOff>
      <xdr:row>41</xdr:row>
      <xdr:rowOff>0</xdr:rowOff>
    </xdr:from>
    <xdr:to>
      <xdr:col>3</xdr:col>
      <xdr:colOff>314325</xdr:colOff>
      <xdr:row>41</xdr:row>
      <xdr:rowOff>95250</xdr:rowOff>
    </xdr:to>
    <xdr:sp macro="" textlink="">
      <xdr:nvSpPr>
        <xdr:cNvPr id="121" name="Height">
          <a:extLst>
            <a:ext uri="{FF2B5EF4-FFF2-40B4-BE49-F238E27FC236}">
              <a16:creationId xmlns:a16="http://schemas.microsoft.com/office/drawing/2014/main" id="{00000000-0008-0000-0100-000079000000}"/>
            </a:ext>
          </a:extLst>
        </xdr:cNvPr>
        <xdr:cNvSpPr txBox="1">
          <a:spLocks noChangeArrowheads="1"/>
        </xdr:cNvSpPr>
      </xdr:nvSpPr>
      <xdr:spPr bwMode="auto">
        <a:xfrm>
          <a:off x="1781175" y="9439275"/>
          <a:ext cx="266700" cy="9525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180975</xdr:colOff>
      <xdr:row>41</xdr:row>
      <xdr:rowOff>85725</xdr:rowOff>
    </xdr:from>
    <xdr:to>
      <xdr:col>2</xdr:col>
      <xdr:colOff>438150</xdr:colOff>
      <xdr:row>41</xdr:row>
      <xdr:rowOff>200025</xdr:rowOff>
    </xdr:to>
    <xdr:sp macro="" textlink="">
      <xdr:nvSpPr>
        <xdr:cNvPr id="122" name="Clear">
          <a:extLst>
            <a:ext uri="{FF2B5EF4-FFF2-40B4-BE49-F238E27FC236}">
              <a16:creationId xmlns:a16="http://schemas.microsoft.com/office/drawing/2014/main" id="{00000000-0008-0000-0100-00007A000000}"/>
            </a:ext>
          </a:extLst>
        </xdr:cNvPr>
        <xdr:cNvSpPr txBox="1">
          <a:spLocks noChangeArrowheads="1"/>
        </xdr:cNvSpPr>
      </xdr:nvSpPr>
      <xdr:spPr bwMode="auto">
        <a:xfrm>
          <a:off x="1400175" y="9525000"/>
          <a:ext cx="257175" cy="11430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466725</xdr:colOff>
      <xdr:row>42</xdr:row>
      <xdr:rowOff>0</xdr:rowOff>
    </xdr:from>
    <xdr:to>
      <xdr:col>3</xdr:col>
      <xdr:colOff>247650</xdr:colOff>
      <xdr:row>42</xdr:row>
      <xdr:rowOff>104775</xdr:rowOff>
    </xdr:to>
    <xdr:sp macro="" textlink="">
      <xdr:nvSpPr>
        <xdr:cNvPr id="123" name="Thickness">
          <a:extLst>
            <a:ext uri="{FF2B5EF4-FFF2-40B4-BE49-F238E27FC236}">
              <a16:creationId xmlns:a16="http://schemas.microsoft.com/office/drawing/2014/main" id="{00000000-0008-0000-0100-00007B000000}"/>
            </a:ext>
          </a:extLst>
        </xdr:cNvPr>
        <xdr:cNvSpPr txBox="1">
          <a:spLocks noChangeArrowheads="1"/>
        </xdr:cNvSpPr>
      </xdr:nvSpPr>
      <xdr:spPr bwMode="auto">
        <a:xfrm>
          <a:off x="1685925" y="9667875"/>
          <a:ext cx="295275" cy="1047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95250</xdr:colOff>
      <xdr:row>42</xdr:row>
      <xdr:rowOff>133350</xdr:rowOff>
    </xdr:from>
    <xdr:to>
      <xdr:col>3</xdr:col>
      <xdr:colOff>419100</xdr:colOff>
      <xdr:row>43</xdr:row>
      <xdr:rowOff>28575</xdr:rowOff>
    </xdr:to>
    <xdr:sp macro="" textlink="">
      <xdr:nvSpPr>
        <xdr:cNvPr id="124" name="Radius">
          <a:extLst>
            <a:ext uri="{FF2B5EF4-FFF2-40B4-BE49-F238E27FC236}">
              <a16:creationId xmlns:a16="http://schemas.microsoft.com/office/drawing/2014/main" id="{00000000-0008-0000-0100-00007C000000}"/>
            </a:ext>
          </a:extLst>
        </xdr:cNvPr>
        <xdr:cNvSpPr txBox="1">
          <a:spLocks noChangeArrowheads="1"/>
        </xdr:cNvSpPr>
      </xdr:nvSpPr>
      <xdr:spPr bwMode="auto">
        <a:xfrm>
          <a:off x="1828800" y="9801225"/>
          <a:ext cx="323850" cy="12382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47625</xdr:colOff>
      <xdr:row>41</xdr:row>
      <xdr:rowOff>0</xdr:rowOff>
    </xdr:from>
    <xdr:to>
      <xdr:col>3</xdr:col>
      <xdr:colOff>314325</xdr:colOff>
      <xdr:row>41</xdr:row>
      <xdr:rowOff>95250</xdr:rowOff>
    </xdr:to>
    <xdr:sp macro="" textlink="">
      <xdr:nvSpPr>
        <xdr:cNvPr id="125" name="Height">
          <a:extLst>
            <a:ext uri="{FF2B5EF4-FFF2-40B4-BE49-F238E27FC236}">
              <a16:creationId xmlns:a16="http://schemas.microsoft.com/office/drawing/2014/main" id="{00000000-0008-0000-0100-00007D000000}"/>
            </a:ext>
          </a:extLst>
        </xdr:cNvPr>
        <xdr:cNvSpPr txBox="1">
          <a:spLocks noChangeArrowheads="1"/>
        </xdr:cNvSpPr>
      </xdr:nvSpPr>
      <xdr:spPr bwMode="auto">
        <a:xfrm>
          <a:off x="1781175" y="9439275"/>
          <a:ext cx="266700" cy="9525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466725</xdr:colOff>
      <xdr:row>42</xdr:row>
      <xdr:rowOff>0</xdr:rowOff>
    </xdr:from>
    <xdr:to>
      <xdr:col>3</xdr:col>
      <xdr:colOff>247650</xdr:colOff>
      <xdr:row>42</xdr:row>
      <xdr:rowOff>104775</xdr:rowOff>
    </xdr:to>
    <xdr:sp macro="" textlink="">
      <xdr:nvSpPr>
        <xdr:cNvPr id="126" name="Thickness">
          <a:extLst>
            <a:ext uri="{FF2B5EF4-FFF2-40B4-BE49-F238E27FC236}">
              <a16:creationId xmlns:a16="http://schemas.microsoft.com/office/drawing/2014/main" id="{00000000-0008-0000-0100-00007E000000}"/>
            </a:ext>
          </a:extLst>
        </xdr:cNvPr>
        <xdr:cNvSpPr txBox="1">
          <a:spLocks noChangeArrowheads="1"/>
        </xdr:cNvSpPr>
      </xdr:nvSpPr>
      <xdr:spPr bwMode="auto">
        <a:xfrm>
          <a:off x="1685925" y="9667875"/>
          <a:ext cx="295275" cy="1047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180975</xdr:colOff>
      <xdr:row>41</xdr:row>
      <xdr:rowOff>85725</xdr:rowOff>
    </xdr:from>
    <xdr:to>
      <xdr:col>2</xdr:col>
      <xdr:colOff>438150</xdr:colOff>
      <xdr:row>41</xdr:row>
      <xdr:rowOff>200025</xdr:rowOff>
    </xdr:to>
    <xdr:sp macro="" textlink="">
      <xdr:nvSpPr>
        <xdr:cNvPr id="127" name="Clear">
          <a:extLst>
            <a:ext uri="{FF2B5EF4-FFF2-40B4-BE49-F238E27FC236}">
              <a16:creationId xmlns:a16="http://schemas.microsoft.com/office/drawing/2014/main" id="{00000000-0008-0000-0100-00007F000000}"/>
            </a:ext>
          </a:extLst>
        </xdr:cNvPr>
        <xdr:cNvSpPr txBox="1">
          <a:spLocks noChangeArrowheads="1"/>
        </xdr:cNvSpPr>
      </xdr:nvSpPr>
      <xdr:spPr bwMode="auto">
        <a:xfrm>
          <a:off x="1400175" y="9525000"/>
          <a:ext cx="257175" cy="11430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95250</xdr:colOff>
      <xdr:row>42</xdr:row>
      <xdr:rowOff>133350</xdr:rowOff>
    </xdr:from>
    <xdr:to>
      <xdr:col>3</xdr:col>
      <xdr:colOff>419100</xdr:colOff>
      <xdr:row>43</xdr:row>
      <xdr:rowOff>28575</xdr:rowOff>
    </xdr:to>
    <xdr:sp macro="" textlink="">
      <xdr:nvSpPr>
        <xdr:cNvPr id="128" name="Radius">
          <a:extLst>
            <a:ext uri="{FF2B5EF4-FFF2-40B4-BE49-F238E27FC236}">
              <a16:creationId xmlns:a16="http://schemas.microsoft.com/office/drawing/2014/main" id="{00000000-0008-0000-0100-000080000000}"/>
            </a:ext>
          </a:extLst>
        </xdr:cNvPr>
        <xdr:cNvSpPr txBox="1">
          <a:spLocks noChangeArrowheads="1"/>
        </xdr:cNvSpPr>
      </xdr:nvSpPr>
      <xdr:spPr bwMode="auto">
        <a:xfrm>
          <a:off x="1828800" y="9801225"/>
          <a:ext cx="323850" cy="12382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180975</xdr:colOff>
      <xdr:row>41</xdr:row>
      <xdr:rowOff>85725</xdr:rowOff>
    </xdr:from>
    <xdr:to>
      <xdr:col>2</xdr:col>
      <xdr:colOff>438150</xdr:colOff>
      <xdr:row>41</xdr:row>
      <xdr:rowOff>200025</xdr:rowOff>
    </xdr:to>
    <xdr:sp macro="" textlink="">
      <xdr:nvSpPr>
        <xdr:cNvPr id="129" name="Clear">
          <a:extLst>
            <a:ext uri="{FF2B5EF4-FFF2-40B4-BE49-F238E27FC236}">
              <a16:creationId xmlns:a16="http://schemas.microsoft.com/office/drawing/2014/main" id="{00000000-0008-0000-0100-000081000000}"/>
            </a:ext>
          </a:extLst>
        </xdr:cNvPr>
        <xdr:cNvSpPr txBox="1">
          <a:spLocks noChangeArrowheads="1"/>
        </xdr:cNvSpPr>
      </xdr:nvSpPr>
      <xdr:spPr bwMode="auto">
        <a:xfrm>
          <a:off x="1400175" y="9525000"/>
          <a:ext cx="257175" cy="11430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466725</xdr:colOff>
      <xdr:row>42</xdr:row>
      <xdr:rowOff>0</xdr:rowOff>
    </xdr:from>
    <xdr:to>
      <xdr:col>3</xdr:col>
      <xdr:colOff>247650</xdr:colOff>
      <xdr:row>42</xdr:row>
      <xdr:rowOff>104775</xdr:rowOff>
    </xdr:to>
    <xdr:sp macro="" textlink="">
      <xdr:nvSpPr>
        <xdr:cNvPr id="130" name="Thickness">
          <a:extLst>
            <a:ext uri="{FF2B5EF4-FFF2-40B4-BE49-F238E27FC236}">
              <a16:creationId xmlns:a16="http://schemas.microsoft.com/office/drawing/2014/main" id="{00000000-0008-0000-0100-000082000000}"/>
            </a:ext>
          </a:extLst>
        </xdr:cNvPr>
        <xdr:cNvSpPr txBox="1">
          <a:spLocks noChangeArrowheads="1"/>
        </xdr:cNvSpPr>
      </xdr:nvSpPr>
      <xdr:spPr bwMode="auto">
        <a:xfrm>
          <a:off x="1685925" y="9667875"/>
          <a:ext cx="295275" cy="1047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95250</xdr:colOff>
      <xdr:row>42</xdr:row>
      <xdr:rowOff>133350</xdr:rowOff>
    </xdr:from>
    <xdr:to>
      <xdr:col>3</xdr:col>
      <xdr:colOff>419100</xdr:colOff>
      <xdr:row>43</xdr:row>
      <xdr:rowOff>28575</xdr:rowOff>
    </xdr:to>
    <xdr:sp macro="" textlink="">
      <xdr:nvSpPr>
        <xdr:cNvPr id="131" name="Radius">
          <a:extLst>
            <a:ext uri="{FF2B5EF4-FFF2-40B4-BE49-F238E27FC236}">
              <a16:creationId xmlns:a16="http://schemas.microsoft.com/office/drawing/2014/main" id="{00000000-0008-0000-0100-000083000000}"/>
            </a:ext>
          </a:extLst>
        </xdr:cNvPr>
        <xdr:cNvSpPr txBox="1">
          <a:spLocks noChangeArrowheads="1"/>
        </xdr:cNvSpPr>
      </xdr:nvSpPr>
      <xdr:spPr bwMode="auto">
        <a:xfrm>
          <a:off x="1828800" y="9801225"/>
          <a:ext cx="323850" cy="12382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466725</xdr:colOff>
      <xdr:row>42</xdr:row>
      <xdr:rowOff>0</xdr:rowOff>
    </xdr:from>
    <xdr:to>
      <xdr:col>3</xdr:col>
      <xdr:colOff>247650</xdr:colOff>
      <xdr:row>42</xdr:row>
      <xdr:rowOff>104775</xdr:rowOff>
    </xdr:to>
    <xdr:sp macro="" textlink="">
      <xdr:nvSpPr>
        <xdr:cNvPr id="132" name="Thickness">
          <a:extLst>
            <a:ext uri="{FF2B5EF4-FFF2-40B4-BE49-F238E27FC236}">
              <a16:creationId xmlns:a16="http://schemas.microsoft.com/office/drawing/2014/main" id="{00000000-0008-0000-0100-000084000000}"/>
            </a:ext>
          </a:extLst>
        </xdr:cNvPr>
        <xdr:cNvSpPr txBox="1">
          <a:spLocks noChangeArrowheads="1"/>
        </xdr:cNvSpPr>
      </xdr:nvSpPr>
      <xdr:spPr bwMode="auto">
        <a:xfrm>
          <a:off x="1685925" y="9667875"/>
          <a:ext cx="295275" cy="1047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95250</xdr:colOff>
      <xdr:row>42</xdr:row>
      <xdr:rowOff>133350</xdr:rowOff>
    </xdr:from>
    <xdr:to>
      <xdr:col>3</xdr:col>
      <xdr:colOff>419100</xdr:colOff>
      <xdr:row>43</xdr:row>
      <xdr:rowOff>28575</xdr:rowOff>
    </xdr:to>
    <xdr:sp macro="" textlink="">
      <xdr:nvSpPr>
        <xdr:cNvPr id="133" name="Radius">
          <a:extLst>
            <a:ext uri="{FF2B5EF4-FFF2-40B4-BE49-F238E27FC236}">
              <a16:creationId xmlns:a16="http://schemas.microsoft.com/office/drawing/2014/main" id="{00000000-0008-0000-0100-000085000000}"/>
            </a:ext>
          </a:extLst>
        </xdr:cNvPr>
        <xdr:cNvSpPr txBox="1">
          <a:spLocks noChangeArrowheads="1"/>
        </xdr:cNvSpPr>
      </xdr:nvSpPr>
      <xdr:spPr bwMode="auto">
        <a:xfrm>
          <a:off x="1828800" y="9801225"/>
          <a:ext cx="323850" cy="12382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47625</xdr:colOff>
      <xdr:row>41</xdr:row>
      <xdr:rowOff>0</xdr:rowOff>
    </xdr:from>
    <xdr:to>
      <xdr:col>3</xdr:col>
      <xdr:colOff>314325</xdr:colOff>
      <xdr:row>41</xdr:row>
      <xdr:rowOff>95250</xdr:rowOff>
    </xdr:to>
    <xdr:sp macro="" textlink="">
      <xdr:nvSpPr>
        <xdr:cNvPr id="134" name="Height">
          <a:extLst>
            <a:ext uri="{FF2B5EF4-FFF2-40B4-BE49-F238E27FC236}">
              <a16:creationId xmlns:a16="http://schemas.microsoft.com/office/drawing/2014/main" id="{00000000-0008-0000-0100-000086000000}"/>
            </a:ext>
          </a:extLst>
        </xdr:cNvPr>
        <xdr:cNvSpPr txBox="1">
          <a:spLocks noChangeArrowheads="1"/>
        </xdr:cNvSpPr>
      </xdr:nvSpPr>
      <xdr:spPr bwMode="auto">
        <a:xfrm>
          <a:off x="1781175" y="9439275"/>
          <a:ext cx="266700" cy="9525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180975</xdr:colOff>
      <xdr:row>41</xdr:row>
      <xdr:rowOff>85725</xdr:rowOff>
    </xdr:from>
    <xdr:to>
      <xdr:col>2</xdr:col>
      <xdr:colOff>438150</xdr:colOff>
      <xdr:row>41</xdr:row>
      <xdr:rowOff>200025</xdr:rowOff>
    </xdr:to>
    <xdr:sp macro="" textlink="">
      <xdr:nvSpPr>
        <xdr:cNvPr id="135" name="Clear">
          <a:extLst>
            <a:ext uri="{FF2B5EF4-FFF2-40B4-BE49-F238E27FC236}">
              <a16:creationId xmlns:a16="http://schemas.microsoft.com/office/drawing/2014/main" id="{00000000-0008-0000-0100-000087000000}"/>
            </a:ext>
          </a:extLst>
        </xdr:cNvPr>
        <xdr:cNvSpPr txBox="1">
          <a:spLocks noChangeArrowheads="1"/>
        </xdr:cNvSpPr>
      </xdr:nvSpPr>
      <xdr:spPr bwMode="auto">
        <a:xfrm>
          <a:off x="1400175" y="9525000"/>
          <a:ext cx="257175" cy="11430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200025</xdr:colOff>
      <xdr:row>41</xdr:row>
      <xdr:rowOff>171450</xdr:rowOff>
    </xdr:from>
    <xdr:to>
      <xdr:col>3</xdr:col>
      <xdr:colOff>476250</xdr:colOff>
      <xdr:row>42</xdr:row>
      <xdr:rowOff>47625</xdr:rowOff>
    </xdr:to>
    <xdr:sp macro="" textlink="">
      <xdr:nvSpPr>
        <xdr:cNvPr id="136" name="Thickness">
          <a:extLst>
            <a:ext uri="{FF2B5EF4-FFF2-40B4-BE49-F238E27FC236}">
              <a16:creationId xmlns:a16="http://schemas.microsoft.com/office/drawing/2014/main" id="{00000000-0008-0000-0100-000088000000}"/>
            </a:ext>
          </a:extLst>
        </xdr:cNvPr>
        <xdr:cNvSpPr txBox="1">
          <a:spLocks noChangeArrowheads="1"/>
        </xdr:cNvSpPr>
      </xdr:nvSpPr>
      <xdr:spPr bwMode="auto">
        <a:xfrm>
          <a:off x="1933575" y="9610725"/>
          <a:ext cx="276225" cy="1047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552450</xdr:colOff>
      <xdr:row>42</xdr:row>
      <xdr:rowOff>114300</xdr:rowOff>
    </xdr:from>
    <xdr:to>
      <xdr:col>3</xdr:col>
      <xdr:colOff>876300</xdr:colOff>
      <xdr:row>43</xdr:row>
      <xdr:rowOff>9525</xdr:rowOff>
    </xdr:to>
    <xdr:sp macro="" textlink="">
      <xdr:nvSpPr>
        <xdr:cNvPr id="137" name="Radius">
          <a:extLst>
            <a:ext uri="{FF2B5EF4-FFF2-40B4-BE49-F238E27FC236}">
              <a16:creationId xmlns:a16="http://schemas.microsoft.com/office/drawing/2014/main" id="{00000000-0008-0000-0100-000089000000}"/>
            </a:ext>
          </a:extLst>
        </xdr:cNvPr>
        <xdr:cNvSpPr txBox="1">
          <a:spLocks noChangeArrowheads="1"/>
        </xdr:cNvSpPr>
      </xdr:nvSpPr>
      <xdr:spPr bwMode="auto">
        <a:xfrm>
          <a:off x="2286000" y="9782175"/>
          <a:ext cx="323850" cy="12382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47625</xdr:colOff>
      <xdr:row>41</xdr:row>
      <xdr:rowOff>0</xdr:rowOff>
    </xdr:from>
    <xdr:to>
      <xdr:col>3</xdr:col>
      <xdr:colOff>314325</xdr:colOff>
      <xdr:row>41</xdr:row>
      <xdr:rowOff>95250</xdr:rowOff>
    </xdr:to>
    <xdr:sp macro="" textlink="">
      <xdr:nvSpPr>
        <xdr:cNvPr id="138" name="Height">
          <a:extLst>
            <a:ext uri="{FF2B5EF4-FFF2-40B4-BE49-F238E27FC236}">
              <a16:creationId xmlns:a16="http://schemas.microsoft.com/office/drawing/2014/main" id="{00000000-0008-0000-0100-00008A000000}"/>
            </a:ext>
          </a:extLst>
        </xdr:cNvPr>
        <xdr:cNvSpPr txBox="1">
          <a:spLocks noChangeArrowheads="1"/>
        </xdr:cNvSpPr>
      </xdr:nvSpPr>
      <xdr:spPr bwMode="auto">
        <a:xfrm>
          <a:off x="1781175" y="9439275"/>
          <a:ext cx="266700" cy="9525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180975</xdr:colOff>
      <xdr:row>41</xdr:row>
      <xdr:rowOff>85725</xdr:rowOff>
    </xdr:from>
    <xdr:to>
      <xdr:col>2</xdr:col>
      <xdr:colOff>428625</xdr:colOff>
      <xdr:row>41</xdr:row>
      <xdr:rowOff>200025</xdr:rowOff>
    </xdr:to>
    <xdr:sp macro="" textlink="">
      <xdr:nvSpPr>
        <xdr:cNvPr id="139" name="Clear">
          <a:extLst>
            <a:ext uri="{FF2B5EF4-FFF2-40B4-BE49-F238E27FC236}">
              <a16:creationId xmlns:a16="http://schemas.microsoft.com/office/drawing/2014/main" id="{00000000-0008-0000-0100-00008B000000}"/>
            </a:ext>
          </a:extLst>
        </xdr:cNvPr>
        <xdr:cNvSpPr txBox="1">
          <a:spLocks noChangeArrowheads="1"/>
        </xdr:cNvSpPr>
      </xdr:nvSpPr>
      <xdr:spPr bwMode="auto">
        <a:xfrm>
          <a:off x="1400175" y="9525000"/>
          <a:ext cx="247650" cy="11430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381000</xdr:colOff>
      <xdr:row>42</xdr:row>
      <xdr:rowOff>133350</xdr:rowOff>
    </xdr:from>
    <xdr:to>
      <xdr:col>3</xdr:col>
      <xdr:colOff>504825</xdr:colOff>
      <xdr:row>43</xdr:row>
      <xdr:rowOff>0</xdr:rowOff>
    </xdr:to>
    <xdr:sp macro="" textlink="">
      <xdr:nvSpPr>
        <xdr:cNvPr id="140" name="Text 583">
          <a:extLst>
            <a:ext uri="{FF2B5EF4-FFF2-40B4-BE49-F238E27FC236}">
              <a16:creationId xmlns:a16="http://schemas.microsoft.com/office/drawing/2014/main" id="{00000000-0008-0000-0100-00008C000000}"/>
            </a:ext>
          </a:extLst>
        </xdr:cNvPr>
        <xdr:cNvSpPr txBox="1">
          <a:spLocks noChangeArrowheads="1"/>
        </xdr:cNvSpPr>
      </xdr:nvSpPr>
      <xdr:spPr bwMode="auto">
        <a:xfrm>
          <a:off x="2114550" y="9801225"/>
          <a:ext cx="123825" cy="9525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295275</xdr:colOff>
      <xdr:row>40</xdr:row>
      <xdr:rowOff>133350</xdr:rowOff>
    </xdr:from>
    <xdr:to>
      <xdr:col>3</xdr:col>
      <xdr:colOff>581025</xdr:colOff>
      <xdr:row>41</xdr:row>
      <xdr:rowOff>9525</xdr:rowOff>
    </xdr:to>
    <xdr:sp macro="" textlink="">
      <xdr:nvSpPr>
        <xdr:cNvPr id="141" name="Thickness">
          <a:extLst>
            <a:ext uri="{FF2B5EF4-FFF2-40B4-BE49-F238E27FC236}">
              <a16:creationId xmlns:a16="http://schemas.microsoft.com/office/drawing/2014/main" id="{00000000-0008-0000-0100-00008D000000}"/>
            </a:ext>
          </a:extLst>
        </xdr:cNvPr>
        <xdr:cNvSpPr txBox="1">
          <a:spLocks noChangeArrowheads="1"/>
        </xdr:cNvSpPr>
      </xdr:nvSpPr>
      <xdr:spPr bwMode="auto">
        <a:xfrm>
          <a:off x="2028825" y="9344025"/>
          <a:ext cx="285750" cy="1047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85725</xdr:colOff>
      <xdr:row>42</xdr:row>
      <xdr:rowOff>133350</xdr:rowOff>
    </xdr:from>
    <xdr:to>
      <xdr:col>3</xdr:col>
      <xdr:colOff>400050</xdr:colOff>
      <xdr:row>43</xdr:row>
      <xdr:rowOff>28575</xdr:rowOff>
    </xdr:to>
    <xdr:sp macro="" textlink="">
      <xdr:nvSpPr>
        <xdr:cNvPr id="142" name="Radius">
          <a:extLst>
            <a:ext uri="{FF2B5EF4-FFF2-40B4-BE49-F238E27FC236}">
              <a16:creationId xmlns:a16="http://schemas.microsoft.com/office/drawing/2014/main" id="{00000000-0008-0000-0100-00008E000000}"/>
            </a:ext>
          </a:extLst>
        </xdr:cNvPr>
        <xdr:cNvSpPr txBox="1">
          <a:spLocks noChangeArrowheads="1"/>
        </xdr:cNvSpPr>
      </xdr:nvSpPr>
      <xdr:spPr bwMode="auto">
        <a:xfrm>
          <a:off x="1819275" y="9801225"/>
          <a:ext cx="314325" cy="12382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47625</xdr:colOff>
      <xdr:row>41</xdr:row>
      <xdr:rowOff>0</xdr:rowOff>
    </xdr:from>
    <xdr:to>
      <xdr:col>3</xdr:col>
      <xdr:colOff>295275</xdr:colOff>
      <xdr:row>41</xdr:row>
      <xdr:rowOff>95250</xdr:rowOff>
    </xdr:to>
    <xdr:sp macro="" textlink="">
      <xdr:nvSpPr>
        <xdr:cNvPr id="143" name="Height">
          <a:extLst>
            <a:ext uri="{FF2B5EF4-FFF2-40B4-BE49-F238E27FC236}">
              <a16:creationId xmlns:a16="http://schemas.microsoft.com/office/drawing/2014/main" id="{00000000-0008-0000-0100-00008F000000}"/>
            </a:ext>
          </a:extLst>
        </xdr:cNvPr>
        <xdr:cNvSpPr txBox="1">
          <a:spLocks noChangeArrowheads="1"/>
        </xdr:cNvSpPr>
      </xdr:nvSpPr>
      <xdr:spPr bwMode="auto">
        <a:xfrm>
          <a:off x="1781175" y="9439275"/>
          <a:ext cx="247650" cy="9525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171450</xdr:colOff>
      <xdr:row>41</xdr:row>
      <xdr:rowOff>85725</xdr:rowOff>
    </xdr:from>
    <xdr:to>
      <xdr:col>2</xdr:col>
      <xdr:colOff>419100</xdr:colOff>
      <xdr:row>41</xdr:row>
      <xdr:rowOff>200025</xdr:rowOff>
    </xdr:to>
    <xdr:sp macro="" textlink="">
      <xdr:nvSpPr>
        <xdr:cNvPr id="144" name="Clear">
          <a:extLst>
            <a:ext uri="{FF2B5EF4-FFF2-40B4-BE49-F238E27FC236}">
              <a16:creationId xmlns:a16="http://schemas.microsoft.com/office/drawing/2014/main" id="{00000000-0008-0000-0100-000090000000}"/>
            </a:ext>
          </a:extLst>
        </xdr:cNvPr>
        <xdr:cNvSpPr txBox="1">
          <a:spLocks noChangeArrowheads="1"/>
        </xdr:cNvSpPr>
      </xdr:nvSpPr>
      <xdr:spPr bwMode="auto">
        <a:xfrm>
          <a:off x="1390650" y="9525000"/>
          <a:ext cx="247650" cy="11430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447675</xdr:colOff>
      <xdr:row>42</xdr:row>
      <xdr:rowOff>0</xdr:rowOff>
    </xdr:from>
    <xdr:to>
      <xdr:col>3</xdr:col>
      <xdr:colOff>238125</xdr:colOff>
      <xdr:row>42</xdr:row>
      <xdr:rowOff>104775</xdr:rowOff>
    </xdr:to>
    <xdr:sp macro="" textlink="">
      <xdr:nvSpPr>
        <xdr:cNvPr id="145" name="Thickness">
          <a:extLst>
            <a:ext uri="{FF2B5EF4-FFF2-40B4-BE49-F238E27FC236}">
              <a16:creationId xmlns:a16="http://schemas.microsoft.com/office/drawing/2014/main" id="{00000000-0008-0000-0100-000091000000}"/>
            </a:ext>
          </a:extLst>
        </xdr:cNvPr>
        <xdr:cNvSpPr txBox="1">
          <a:spLocks noChangeArrowheads="1"/>
        </xdr:cNvSpPr>
      </xdr:nvSpPr>
      <xdr:spPr bwMode="auto">
        <a:xfrm>
          <a:off x="1666875" y="9667875"/>
          <a:ext cx="304800" cy="1047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95250</xdr:colOff>
      <xdr:row>42</xdr:row>
      <xdr:rowOff>133350</xdr:rowOff>
    </xdr:from>
    <xdr:to>
      <xdr:col>3</xdr:col>
      <xdr:colOff>419100</xdr:colOff>
      <xdr:row>43</xdr:row>
      <xdr:rowOff>28575</xdr:rowOff>
    </xdr:to>
    <xdr:sp macro="" textlink="">
      <xdr:nvSpPr>
        <xdr:cNvPr id="146" name="Radius">
          <a:extLst>
            <a:ext uri="{FF2B5EF4-FFF2-40B4-BE49-F238E27FC236}">
              <a16:creationId xmlns:a16="http://schemas.microsoft.com/office/drawing/2014/main" id="{00000000-0008-0000-0100-000092000000}"/>
            </a:ext>
          </a:extLst>
        </xdr:cNvPr>
        <xdr:cNvSpPr txBox="1">
          <a:spLocks noChangeArrowheads="1"/>
        </xdr:cNvSpPr>
      </xdr:nvSpPr>
      <xdr:spPr bwMode="auto">
        <a:xfrm>
          <a:off x="1828800" y="9801225"/>
          <a:ext cx="323850" cy="12382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47625</xdr:colOff>
      <xdr:row>41</xdr:row>
      <xdr:rowOff>0</xdr:rowOff>
    </xdr:from>
    <xdr:to>
      <xdr:col>3</xdr:col>
      <xdr:colOff>314325</xdr:colOff>
      <xdr:row>41</xdr:row>
      <xdr:rowOff>95250</xdr:rowOff>
    </xdr:to>
    <xdr:sp macro="" textlink="">
      <xdr:nvSpPr>
        <xdr:cNvPr id="147" name="Height">
          <a:extLst>
            <a:ext uri="{FF2B5EF4-FFF2-40B4-BE49-F238E27FC236}">
              <a16:creationId xmlns:a16="http://schemas.microsoft.com/office/drawing/2014/main" id="{00000000-0008-0000-0100-000093000000}"/>
            </a:ext>
          </a:extLst>
        </xdr:cNvPr>
        <xdr:cNvSpPr txBox="1">
          <a:spLocks noChangeArrowheads="1"/>
        </xdr:cNvSpPr>
      </xdr:nvSpPr>
      <xdr:spPr bwMode="auto">
        <a:xfrm>
          <a:off x="1781175" y="9439275"/>
          <a:ext cx="266700" cy="9525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180975</xdr:colOff>
      <xdr:row>41</xdr:row>
      <xdr:rowOff>85725</xdr:rowOff>
    </xdr:from>
    <xdr:to>
      <xdr:col>2</xdr:col>
      <xdr:colOff>438150</xdr:colOff>
      <xdr:row>41</xdr:row>
      <xdr:rowOff>200025</xdr:rowOff>
    </xdr:to>
    <xdr:sp macro="" textlink="">
      <xdr:nvSpPr>
        <xdr:cNvPr id="148" name="Clear">
          <a:extLst>
            <a:ext uri="{FF2B5EF4-FFF2-40B4-BE49-F238E27FC236}">
              <a16:creationId xmlns:a16="http://schemas.microsoft.com/office/drawing/2014/main" id="{00000000-0008-0000-0100-000094000000}"/>
            </a:ext>
          </a:extLst>
        </xdr:cNvPr>
        <xdr:cNvSpPr txBox="1">
          <a:spLocks noChangeArrowheads="1"/>
        </xdr:cNvSpPr>
      </xdr:nvSpPr>
      <xdr:spPr bwMode="auto">
        <a:xfrm>
          <a:off x="1400175" y="9525000"/>
          <a:ext cx="257175" cy="11430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466725</xdr:colOff>
      <xdr:row>42</xdr:row>
      <xdr:rowOff>0</xdr:rowOff>
    </xdr:from>
    <xdr:to>
      <xdr:col>3</xdr:col>
      <xdr:colOff>247650</xdr:colOff>
      <xdr:row>42</xdr:row>
      <xdr:rowOff>104775</xdr:rowOff>
    </xdr:to>
    <xdr:sp macro="" textlink="">
      <xdr:nvSpPr>
        <xdr:cNvPr id="149" name="Thickness">
          <a:extLst>
            <a:ext uri="{FF2B5EF4-FFF2-40B4-BE49-F238E27FC236}">
              <a16:creationId xmlns:a16="http://schemas.microsoft.com/office/drawing/2014/main" id="{00000000-0008-0000-0100-000095000000}"/>
            </a:ext>
          </a:extLst>
        </xdr:cNvPr>
        <xdr:cNvSpPr txBox="1">
          <a:spLocks noChangeArrowheads="1"/>
        </xdr:cNvSpPr>
      </xdr:nvSpPr>
      <xdr:spPr bwMode="auto">
        <a:xfrm>
          <a:off x="1685925" y="9667875"/>
          <a:ext cx="295275" cy="1047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95250</xdr:colOff>
      <xdr:row>42</xdr:row>
      <xdr:rowOff>133350</xdr:rowOff>
    </xdr:from>
    <xdr:to>
      <xdr:col>3</xdr:col>
      <xdr:colOff>419100</xdr:colOff>
      <xdr:row>43</xdr:row>
      <xdr:rowOff>28575</xdr:rowOff>
    </xdr:to>
    <xdr:sp macro="" textlink="">
      <xdr:nvSpPr>
        <xdr:cNvPr id="150" name="Radius">
          <a:extLst>
            <a:ext uri="{FF2B5EF4-FFF2-40B4-BE49-F238E27FC236}">
              <a16:creationId xmlns:a16="http://schemas.microsoft.com/office/drawing/2014/main" id="{00000000-0008-0000-0100-000096000000}"/>
            </a:ext>
          </a:extLst>
        </xdr:cNvPr>
        <xdr:cNvSpPr txBox="1">
          <a:spLocks noChangeArrowheads="1"/>
        </xdr:cNvSpPr>
      </xdr:nvSpPr>
      <xdr:spPr bwMode="auto">
        <a:xfrm>
          <a:off x="1828800" y="9801225"/>
          <a:ext cx="323850" cy="12382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47625</xdr:colOff>
      <xdr:row>41</xdr:row>
      <xdr:rowOff>0</xdr:rowOff>
    </xdr:from>
    <xdr:to>
      <xdr:col>3</xdr:col>
      <xdr:colOff>314325</xdr:colOff>
      <xdr:row>41</xdr:row>
      <xdr:rowOff>95250</xdr:rowOff>
    </xdr:to>
    <xdr:sp macro="" textlink="">
      <xdr:nvSpPr>
        <xdr:cNvPr id="151" name="Height">
          <a:extLst>
            <a:ext uri="{FF2B5EF4-FFF2-40B4-BE49-F238E27FC236}">
              <a16:creationId xmlns:a16="http://schemas.microsoft.com/office/drawing/2014/main" id="{00000000-0008-0000-0100-000097000000}"/>
            </a:ext>
          </a:extLst>
        </xdr:cNvPr>
        <xdr:cNvSpPr txBox="1">
          <a:spLocks noChangeArrowheads="1"/>
        </xdr:cNvSpPr>
      </xdr:nvSpPr>
      <xdr:spPr bwMode="auto">
        <a:xfrm>
          <a:off x="1781175" y="9439275"/>
          <a:ext cx="266700" cy="9525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180975</xdr:colOff>
      <xdr:row>41</xdr:row>
      <xdr:rowOff>85725</xdr:rowOff>
    </xdr:from>
    <xdr:to>
      <xdr:col>2</xdr:col>
      <xdr:colOff>438150</xdr:colOff>
      <xdr:row>41</xdr:row>
      <xdr:rowOff>200025</xdr:rowOff>
    </xdr:to>
    <xdr:sp macro="" textlink="">
      <xdr:nvSpPr>
        <xdr:cNvPr id="152" name="Clear">
          <a:extLst>
            <a:ext uri="{FF2B5EF4-FFF2-40B4-BE49-F238E27FC236}">
              <a16:creationId xmlns:a16="http://schemas.microsoft.com/office/drawing/2014/main" id="{00000000-0008-0000-0100-000098000000}"/>
            </a:ext>
          </a:extLst>
        </xdr:cNvPr>
        <xdr:cNvSpPr txBox="1">
          <a:spLocks noChangeArrowheads="1"/>
        </xdr:cNvSpPr>
      </xdr:nvSpPr>
      <xdr:spPr bwMode="auto">
        <a:xfrm>
          <a:off x="1400175" y="9525000"/>
          <a:ext cx="257175" cy="11430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466725</xdr:colOff>
      <xdr:row>42</xdr:row>
      <xdr:rowOff>0</xdr:rowOff>
    </xdr:from>
    <xdr:to>
      <xdr:col>3</xdr:col>
      <xdr:colOff>247650</xdr:colOff>
      <xdr:row>42</xdr:row>
      <xdr:rowOff>104775</xdr:rowOff>
    </xdr:to>
    <xdr:sp macro="" textlink="">
      <xdr:nvSpPr>
        <xdr:cNvPr id="153" name="Thickness">
          <a:extLst>
            <a:ext uri="{FF2B5EF4-FFF2-40B4-BE49-F238E27FC236}">
              <a16:creationId xmlns:a16="http://schemas.microsoft.com/office/drawing/2014/main" id="{00000000-0008-0000-0100-000099000000}"/>
            </a:ext>
          </a:extLst>
        </xdr:cNvPr>
        <xdr:cNvSpPr txBox="1">
          <a:spLocks noChangeArrowheads="1"/>
        </xdr:cNvSpPr>
      </xdr:nvSpPr>
      <xdr:spPr bwMode="auto">
        <a:xfrm>
          <a:off x="1685925" y="9667875"/>
          <a:ext cx="295275" cy="1047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95250</xdr:colOff>
      <xdr:row>42</xdr:row>
      <xdr:rowOff>133350</xdr:rowOff>
    </xdr:from>
    <xdr:to>
      <xdr:col>3</xdr:col>
      <xdr:colOff>419100</xdr:colOff>
      <xdr:row>43</xdr:row>
      <xdr:rowOff>28575</xdr:rowOff>
    </xdr:to>
    <xdr:sp macro="" textlink="">
      <xdr:nvSpPr>
        <xdr:cNvPr id="154" name="Radius">
          <a:extLst>
            <a:ext uri="{FF2B5EF4-FFF2-40B4-BE49-F238E27FC236}">
              <a16:creationId xmlns:a16="http://schemas.microsoft.com/office/drawing/2014/main" id="{00000000-0008-0000-0100-00009A000000}"/>
            </a:ext>
          </a:extLst>
        </xdr:cNvPr>
        <xdr:cNvSpPr txBox="1">
          <a:spLocks noChangeArrowheads="1"/>
        </xdr:cNvSpPr>
      </xdr:nvSpPr>
      <xdr:spPr bwMode="auto">
        <a:xfrm>
          <a:off x="1828800" y="9801225"/>
          <a:ext cx="323850" cy="12382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47625</xdr:colOff>
      <xdr:row>41</xdr:row>
      <xdr:rowOff>0</xdr:rowOff>
    </xdr:from>
    <xdr:to>
      <xdr:col>3</xdr:col>
      <xdr:colOff>314325</xdr:colOff>
      <xdr:row>41</xdr:row>
      <xdr:rowOff>95250</xdr:rowOff>
    </xdr:to>
    <xdr:sp macro="" textlink="">
      <xdr:nvSpPr>
        <xdr:cNvPr id="155" name="Height">
          <a:extLst>
            <a:ext uri="{FF2B5EF4-FFF2-40B4-BE49-F238E27FC236}">
              <a16:creationId xmlns:a16="http://schemas.microsoft.com/office/drawing/2014/main" id="{00000000-0008-0000-0100-00009B000000}"/>
            </a:ext>
          </a:extLst>
        </xdr:cNvPr>
        <xdr:cNvSpPr txBox="1">
          <a:spLocks noChangeArrowheads="1"/>
        </xdr:cNvSpPr>
      </xdr:nvSpPr>
      <xdr:spPr bwMode="auto">
        <a:xfrm>
          <a:off x="1781175" y="9439275"/>
          <a:ext cx="266700" cy="9525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466725</xdr:colOff>
      <xdr:row>42</xdr:row>
      <xdr:rowOff>0</xdr:rowOff>
    </xdr:from>
    <xdr:to>
      <xdr:col>3</xdr:col>
      <xdr:colOff>247650</xdr:colOff>
      <xdr:row>42</xdr:row>
      <xdr:rowOff>104775</xdr:rowOff>
    </xdr:to>
    <xdr:sp macro="" textlink="">
      <xdr:nvSpPr>
        <xdr:cNvPr id="156" name="Thickness">
          <a:extLst>
            <a:ext uri="{FF2B5EF4-FFF2-40B4-BE49-F238E27FC236}">
              <a16:creationId xmlns:a16="http://schemas.microsoft.com/office/drawing/2014/main" id="{00000000-0008-0000-0100-00009C000000}"/>
            </a:ext>
          </a:extLst>
        </xdr:cNvPr>
        <xdr:cNvSpPr txBox="1">
          <a:spLocks noChangeArrowheads="1"/>
        </xdr:cNvSpPr>
      </xdr:nvSpPr>
      <xdr:spPr bwMode="auto">
        <a:xfrm>
          <a:off x="1685925" y="9667875"/>
          <a:ext cx="295275" cy="1047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180975</xdr:colOff>
      <xdr:row>41</xdr:row>
      <xdr:rowOff>85725</xdr:rowOff>
    </xdr:from>
    <xdr:to>
      <xdr:col>2</xdr:col>
      <xdr:colOff>438150</xdr:colOff>
      <xdr:row>41</xdr:row>
      <xdr:rowOff>200025</xdr:rowOff>
    </xdr:to>
    <xdr:sp macro="" textlink="">
      <xdr:nvSpPr>
        <xdr:cNvPr id="157" name="Clear">
          <a:extLst>
            <a:ext uri="{FF2B5EF4-FFF2-40B4-BE49-F238E27FC236}">
              <a16:creationId xmlns:a16="http://schemas.microsoft.com/office/drawing/2014/main" id="{00000000-0008-0000-0100-00009D000000}"/>
            </a:ext>
          </a:extLst>
        </xdr:cNvPr>
        <xdr:cNvSpPr txBox="1">
          <a:spLocks noChangeArrowheads="1"/>
        </xdr:cNvSpPr>
      </xdr:nvSpPr>
      <xdr:spPr bwMode="auto">
        <a:xfrm>
          <a:off x="1400175" y="9525000"/>
          <a:ext cx="257175" cy="11430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95250</xdr:colOff>
      <xdr:row>42</xdr:row>
      <xdr:rowOff>133350</xdr:rowOff>
    </xdr:from>
    <xdr:to>
      <xdr:col>3</xdr:col>
      <xdr:colOff>419100</xdr:colOff>
      <xdr:row>43</xdr:row>
      <xdr:rowOff>28575</xdr:rowOff>
    </xdr:to>
    <xdr:sp macro="" textlink="">
      <xdr:nvSpPr>
        <xdr:cNvPr id="158" name="Radius">
          <a:extLst>
            <a:ext uri="{FF2B5EF4-FFF2-40B4-BE49-F238E27FC236}">
              <a16:creationId xmlns:a16="http://schemas.microsoft.com/office/drawing/2014/main" id="{00000000-0008-0000-0100-00009E000000}"/>
            </a:ext>
          </a:extLst>
        </xdr:cNvPr>
        <xdr:cNvSpPr txBox="1">
          <a:spLocks noChangeArrowheads="1"/>
        </xdr:cNvSpPr>
      </xdr:nvSpPr>
      <xdr:spPr bwMode="auto">
        <a:xfrm>
          <a:off x="1828800" y="9801225"/>
          <a:ext cx="323850" cy="12382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180975</xdr:colOff>
      <xdr:row>41</xdr:row>
      <xdr:rowOff>85725</xdr:rowOff>
    </xdr:from>
    <xdr:to>
      <xdr:col>2</xdr:col>
      <xdr:colOff>438150</xdr:colOff>
      <xdr:row>41</xdr:row>
      <xdr:rowOff>200025</xdr:rowOff>
    </xdr:to>
    <xdr:sp macro="" textlink="">
      <xdr:nvSpPr>
        <xdr:cNvPr id="159" name="Clear">
          <a:extLst>
            <a:ext uri="{FF2B5EF4-FFF2-40B4-BE49-F238E27FC236}">
              <a16:creationId xmlns:a16="http://schemas.microsoft.com/office/drawing/2014/main" id="{00000000-0008-0000-0100-00009F000000}"/>
            </a:ext>
          </a:extLst>
        </xdr:cNvPr>
        <xdr:cNvSpPr txBox="1">
          <a:spLocks noChangeArrowheads="1"/>
        </xdr:cNvSpPr>
      </xdr:nvSpPr>
      <xdr:spPr bwMode="auto">
        <a:xfrm>
          <a:off x="1400175" y="9525000"/>
          <a:ext cx="257175" cy="11430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466725</xdr:colOff>
      <xdr:row>42</xdr:row>
      <xdr:rowOff>0</xdr:rowOff>
    </xdr:from>
    <xdr:to>
      <xdr:col>3</xdr:col>
      <xdr:colOff>247650</xdr:colOff>
      <xdr:row>42</xdr:row>
      <xdr:rowOff>104775</xdr:rowOff>
    </xdr:to>
    <xdr:sp macro="" textlink="">
      <xdr:nvSpPr>
        <xdr:cNvPr id="160" name="Thickness">
          <a:extLst>
            <a:ext uri="{FF2B5EF4-FFF2-40B4-BE49-F238E27FC236}">
              <a16:creationId xmlns:a16="http://schemas.microsoft.com/office/drawing/2014/main" id="{00000000-0008-0000-0100-0000A0000000}"/>
            </a:ext>
          </a:extLst>
        </xdr:cNvPr>
        <xdr:cNvSpPr txBox="1">
          <a:spLocks noChangeArrowheads="1"/>
        </xdr:cNvSpPr>
      </xdr:nvSpPr>
      <xdr:spPr bwMode="auto">
        <a:xfrm>
          <a:off x="1685925" y="9667875"/>
          <a:ext cx="295275" cy="1047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95250</xdr:colOff>
      <xdr:row>42</xdr:row>
      <xdr:rowOff>133350</xdr:rowOff>
    </xdr:from>
    <xdr:to>
      <xdr:col>3</xdr:col>
      <xdr:colOff>419100</xdr:colOff>
      <xdr:row>43</xdr:row>
      <xdr:rowOff>28575</xdr:rowOff>
    </xdr:to>
    <xdr:sp macro="" textlink="">
      <xdr:nvSpPr>
        <xdr:cNvPr id="161" name="Radius">
          <a:extLst>
            <a:ext uri="{FF2B5EF4-FFF2-40B4-BE49-F238E27FC236}">
              <a16:creationId xmlns:a16="http://schemas.microsoft.com/office/drawing/2014/main" id="{00000000-0008-0000-0100-0000A1000000}"/>
            </a:ext>
          </a:extLst>
        </xdr:cNvPr>
        <xdr:cNvSpPr txBox="1">
          <a:spLocks noChangeArrowheads="1"/>
        </xdr:cNvSpPr>
      </xdr:nvSpPr>
      <xdr:spPr bwMode="auto">
        <a:xfrm>
          <a:off x="1828800" y="9801225"/>
          <a:ext cx="323850" cy="12382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466725</xdr:colOff>
      <xdr:row>42</xdr:row>
      <xdr:rowOff>0</xdr:rowOff>
    </xdr:from>
    <xdr:to>
      <xdr:col>3</xdr:col>
      <xdr:colOff>247650</xdr:colOff>
      <xdr:row>42</xdr:row>
      <xdr:rowOff>104775</xdr:rowOff>
    </xdr:to>
    <xdr:sp macro="" textlink="">
      <xdr:nvSpPr>
        <xdr:cNvPr id="162" name="Thickness">
          <a:extLst>
            <a:ext uri="{FF2B5EF4-FFF2-40B4-BE49-F238E27FC236}">
              <a16:creationId xmlns:a16="http://schemas.microsoft.com/office/drawing/2014/main" id="{00000000-0008-0000-0100-0000A2000000}"/>
            </a:ext>
          </a:extLst>
        </xdr:cNvPr>
        <xdr:cNvSpPr txBox="1">
          <a:spLocks noChangeArrowheads="1"/>
        </xdr:cNvSpPr>
      </xdr:nvSpPr>
      <xdr:spPr bwMode="auto">
        <a:xfrm>
          <a:off x="1685925" y="9667875"/>
          <a:ext cx="295275" cy="1047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95250</xdr:colOff>
      <xdr:row>42</xdr:row>
      <xdr:rowOff>133350</xdr:rowOff>
    </xdr:from>
    <xdr:to>
      <xdr:col>3</xdr:col>
      <xdr:colOff>419100</xdr:colOff>
      <xdr:row>43</xdr:row>
      <xdr:rowOff>28575</xdr:rowOff>
    </xdr:to>
    <xdr:sp macro="" textlink="">
      <xdr:nvSpPr>
        <xdr:cNvPr id="163" name="Radius">
          <a:extLst>
            <a:ext uri="{FF2B5EF4-FFF2-40B4-BE49-F238E27FC236}">
              <a16:creationId xmlns:a16="http://schemas.microsoft.com/office/drawing/2014/main" id="{00000000-0008-0000-0100-0000A3000000}"/>
            </a:ext>
          </a:extLst>
        </xdr:cNvPr>
        <xdr:cNvSpPr txBox="1">
          <a:spLocks noChangeArrowheads="1"/>
        </xdr:cNvSpPr>
      </xdr:nvSpPr>
      <xdr:spPr bwMode="auto">
        <a:xfrm>
          <a:off x="1828800" y="9801225"/>
          <a:ext cx="323850" cy="12382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47625</xdr:colOff>
      <xdr:row>41</xdr:row>
      <xdr:rowOff>0</xdr:rowOff>
    </xdr:from>
    <xdr:to>
      <xdr:col>3</xdr:col>
      <xdr:colOff>314325</xdr:colOff>
      <xdr:row>41</xdr:row>
      <xdr:rowOff>95250</xdr:rowOff>
    </xdr:to>
    <xdr:sp macro="" textlink="">
      <xdr:nvSpPr>
        <xdr:cNvPr id="164" name="Height">
          <a:extLst>
            <a:ext uri="{FF2B5EF4-FFF2-40B4-BE49-F238E27FC236}">
              <a16:creationId xmlns:a16="http://schemas.microsoft.com/office/drawing/2014/main" id="{00000000-0008-0000-0100-0000A4000000}"/>
            </a:ext>
          </a:extLst>
        </xdr:cNvPr>
        <xdr:cNvSpPr txBox="1">
          <a:spLocks noChangeArrowheads="1"/>
        </xdr:cNvSpPr>
      </xdr:nvSpPr>
      <xdr:spPr bwMode="auto">
        <a:xfrm>
          <a:off x="1781175" y="9439275"/>
          <a:ext cx="266700" cy="9525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180975</xdr:colOff>
      <xdr:row>41</xdr:row>
      <xdr:rowOff>85725</xdr:rowOff>
    </xdr:from>
    <xdr:to>
      <xdr:col>2</xdr:col>
      <xdr:colOff>438150</xdr:colOff>
      <xdr:row>41</xdr:row>
      <xdr:rowOff>200025</xdr:rowOff>
    </xdr:to>
    <xdr:sp macro="" textlink="">
      <xdr:nvSpPr>
        <xdr:cNvPr id="165" name="Clear">
          <a:extLst>
            <a:ext uri="{FF2B5EF4-FFF2-40B4-BE49-F238E27FC236}">
              <a16:creationId xmlns:a16="http://schemas.microsoft.com/office/drawing/2014/main" id="{00000000-0008-0000-0100-0000A5000000}"/>
            </a:ext>
          </a:extLst>
        </xdr:cNvPr>
        <xdr:cNvSpPr txBox="1">
          <a:spLocks noChangeArrowheads="1"/>
        </xdr:cNvSpPr>
      </xdr:nvSpPr>
      <xdr:spPr bwMode="auto">
        <a:xfrm>
          <a:off x="1400175" y="9525000"/>
          <a:ext cx="257175" cy="11430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200025</xdr:colOff>
      <xdr:row>41</xdr:row>
      <xdr:rowOff>171450</xdr:rowOff>
    </xdr:from>
    <xdr:to>
      <xdr:col>3</xdr:col>
      <xdr:colOff>476250</xdr:colOff>
      <xdr:row>42</xdr:row>
      <xdr:rowOff>47625</xdr:rowOff>
    </xdr:to>
    <xdr:sp macro="" textlink="">
      <xdr:nvSpPr>
        <xdr:cNvPr id="166" name="Thickness">
          <a:extLst>
            <a:ext uri="{FF2B5EF4-FFF2-40B4-BE49-F238E27FC236}">
              <a16:creationId xmlns:a16="http://schemas.microsoft.com/office/drawing/2014/main" id="{00000000-0008-0000-0100-0000A6000000}"/>
            </a:ext>
          </a:extLst>
        </xdr:cNvPr>
        <xdr:cNvSpPr txBox="1">
          <a:spLocks noChangeArrowheads="1"/>
        </xdr:cNvSpPr>
      </xdr:nvSpPr>
      <xdr:spPr bwMode="auto">
        <a:xfrm>
          <a:off x="1933575" y="9610725"/>
          <a:ext cx="276225" cy="1047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739140</xdr:colOff>
      <xdr:row>40</xdr:row>
      <xdr:rowOff>47625</xdr:rowOff>
    </xdr:from>
    <xdr:to>
      <xdr:col>4</xdr:col>
      <xdr:colOff>765913</xdr:colOff>
      <xdr:row>40</xdr:row>
      <xdr:rowOff>209550</xdr:rowOff>
    </xdr:to>
    <xdr:sp macro="" textlink="">
      <xdr:nvSpPr>
        <xdr:cNvPr id="167" name="Text 219">
          <a:extLst>
            <a:ext uri="{FF2B5EF4-FFF2-40B4-BE49-F238E27FC236}">
              <a16:creationId xmlns:a16="http://schemas.microsoft.com/office/drawing/2014/main" id="{00000000-0008-0000-0100-0000A7000000}"/>
            </a:ext>
          </a:extLst>
        </xdr:cNvPr>
        <xdr:cNvSpPr txBox="1">
          <a:spLocks noChangeArrowheads="1"/>
        </xdr:cNvSpPr>
      </xdr:nvSpPr>
      <xdr:spPr bwMode="auto">
        <a:xfrm>
          <a:off x="2472690" y="9258300"/>
          <a:ext cx="903073" cy="161925"/>
        </a:xfrm>
        <a:prstGeom prst="rect">
          <a:avLst/>
        </a:prstGeom>
        <a:solidFill>
          <a:srgbClr val="FFFFFF"/>
        </a:solidFill>
        <a:ln w="1">
          <a:solidFill>
            <a:srgbClr val="0000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Times New Roman"/>
              <a:cs typeface="Times New Roman"/>
            </a:rPr>
            <a:t>051-FA31-01</a:t>
          </a:r>
        </a:p>
      </xdr:txBody>
    </xdr:sp>
    <xdr:clientData/>
  </xdr:twoCellAnchor>
  <xdr:twoCellAnchor>
    <xdr:from>
      <xdr:col>3</xdr:col>
      <xdr:colOff>550545</xdr:colOff>
      <xdr:row>42</xdr:row>
      <xdr:rowOff>114300</xdr:rowOff>
    </xdr:from>
    <xdr:to>
      <xdr:col>4</xdr:col>
      <xdr:colOff>3926</xdr:colOff>
      <xdr:row>43</xdr:row>
      <xdr:rowOff>9525</xdr:rowOff>
    </xdr:to>
    <xdr:sp macro="" textlink="">
      <xdr:nvSpPr>
        <xdr:cNvPr id="168" name="Radius">
          <a:extLst>
            <a:ext uri="{FF2B5EF4-FFF2-40B4-BE49-F238E27FC236}">
              <a16:creationId xmlns:a16="http://schemas.microsoft.com/office/drawing/2014/main" id="{00000000-0008-0000-0100-0000A8000000}"/>
            </a:ext>
          </a:extLst>
        </xdr:cNvPr>
        <xdr:cNvSpPr txBox="1">
          <a:spLocks noChangeArrowheads="1"/>
        </xdr:cNvSpPr>
      </xdr:nvSpPr>
      <xdr:spPr bwMode="auto">
        <a:xfrm>
          <a:off x="2284095" y="9782175"/>
          <a:ext cx="329681" cy="12382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426.8</a:t>
          </a:r>
        </a:p>
      </xdr:txBody>
    </xdr:sp>
    <xdr:clientData/>
  </xdr:twoCellAnchor>
  <xdr:twoCellAnchor>
    <xdr:from>
      <xdr:col>3</xdr:col>
      <xdr:colOff>47625</xdr:colOff>
      <xdr:row>41</xdr:row>
      <xdr:rowOff>0</xdr:rowOff>
    </xdr:from>
    <xdr:to>
      <xdr:col>3</xdr:col>
      <xdr:colOff>312486</xdr:colOff>
      <xdr:row>41</xdr:row>
      <xdr:rowOff>87923</xdr:rowOff>
    </xdr:to>
    <xdr:sp macro="" textlink="">
      <xdr:nvSpPr>
        <xdr:cNvPr id="169" name="Height">
          <a:extLst>
            <a:ext uri="{FF2B5EF4-FFF2-40B4-BE49-F238E27FC236}">
              <a16:creationId xmlns:a16="http://schemas.microsoft.com/office/drawing/2014/main" id="{00000000-0008-0000-0100-0000A9000000}"/>
            </a:ext>
          </a:extLst>
        </xdr:cNvPr>
        <xdr:cNvSpPr txBox="1">
          <a:spLocks noChangeArrowheads="1"/>
        </xdr:cNvSpPr>
      </xdr:nvSpPr>
      <xdr:spPr bwMode="auto">
        <a:xfrm>
          <a:off x="1781175" y="9439275"/>
          <a:ext cx="264861" cy="87923"/>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35.0</a:t>
          </a:r>
        </a:p>
      </xdr:txBody>
    </xdr:sp>
    <xdr:clientData/>
  </xdr:twoCellAnchor>
  <xdr:twoCellAnchor>
    <xdr:from>
      <xdr:col>2</xdr:col>
      <xdr:colOff>180975</xdr:colOff>
      <xdr:row>41</xdr:row>
      <xdr:rowOff>85725</xdr:rowOff>
    </xdr:from>
    <xdr:to>
      <xdr:col>2</xdr:col>
      <xdr:colOff>435909</xdr:colOff>
      <xdr:row>41</xdr:row>
      <xdr:rowOff>200025</xdr:rowOff>
    </xdr:to>
    <xdr:sp macro="" textlink="">
      <xdr:nvSpPr>
        <xdr:cNvPr id="170" name="Clear">
          <a:extLst>
            <a:ext uri="{FF2B5EF4-FFF2-40B4-BE49-F238E27FC236}">
              <a16:creationId xmlns:a16="http://schemas.microsoft.com/office/drawing/2014/main" id="{00000000-0008-0000-0100-0000AA000000}"/>
            </a:ext>
          </a:extLst>
        </xdr:cNvPr>
        <xdr:cNvSpPr txBox="1">
          <a:spLocks noChangeArrowheads="1"/>
        </xdr:cNvSpPr>
      </xdr:nvSpPr>
      <xdr:spPr bwMode="auto">
        <a:xfrm>
          <a:off x="1400175" y="9525000"/>
          <a:ext cx="254934" cy="11430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50.5</a:t>
          </a:r>
        </a:p>
      </xdr:txBody>
    </xdr:sp>
    <xdr:clientData/>
  </xdr:twoCellAnchor>
  <xdr:twoCellAnchor>
    <xdr:from>
      <xdr:col>2</xdr:col>
      <xdr:colOff>398145</xdr:colOff>
      <xdr:row>42</xdr:row>
      <xdr:rowOff>0</xdr:rowOff>
    </xdr:from>
    <xdr:to>
      <xdr:col>3</xdr:col>
      <xdr:colOff>321945</xdr:colOff>
      <xdr:row>42</xdr:row>
      <xdr:rowOff>104775</xdr:rowOff>
    </xdr:to>
    <xdr:sp macro="" textlink="">
      <xdr:nvSpPr>
        <xdr:cNvPr id="171" name="Thickness">
          <a:extLst>
            <a:ext uri="{FF2B5EF4-FFF2-40B4-BE49-F238E27FC236}">
              <a16:creationId xmlns:a16="http://schemas.microsoft.com/office/drawing/2014/main" id="{00000000-0008-0000-0100-0000AB000000}"/>
            </a:ext>
          </a:extLst>
        </xdr:cNvPr>
        <xdr:cNvSpPr txBox="1">
          <a:spLocks noChangeArrowheads="1"/>
        </xdr:cNvSpPr>
      </xdr:nvSpPr>
      <xdr:spPr bwMode="auto">
        <a:xfrm>
          <a:off x="1617345" y="9667875"/>
          <a:ext cx="438150" cy="1047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30.0</a:t>
          </a:r>
        </a:p>
      </xdr:txBody>
    </xdr:sp>
    <xdr:clientData/>
  </xdr:twoCellAnchor>
  <xdr:twoCellAnchor>
    <xdr:from>
      <xdr:col>2</xdr:col>
      <xdr:colOff>447675</xdr:colOff>
      <xdr:row>41</xdr:row>
      <xdr:rowOff>161925</xdr:rowOff>
    </xdr:from>
    <xdr:to>
      <xdr:col>2</xdr:col>
      <xdr:colOff>447675</xdr:colOff>
      <xdr:row>42</xdr:row>
      <xdr:rowOff>66675</xdr:rowOff>
    </xdr:to>
    <xdr:sp macro="" textlink="">
      <xdr:nvSpPr>
        <xdr:cNvPr id="172" name="Line 116">
          <a:extLst>
            <a:ext uri="{FF2B5EF4-FFF2-40B4-BE49-F238E27FC236}">
              <a16:creationId xmlns:a16="http://schemas.microsoft.com/office/drawing/2014/main" id="{00000000-0008-0000-0100-0000AC000000}"/>
            </a:ext>
          </a:extLst>
        </xdr:cNvPr>
        <xdr:cNvSpPr>
          <a:spLocks noChangeShapeType="1"/>
        </xdr:cNvSpPr>
      </xdr:nvSpPr>
      <xdr:spPr bwMode="auto">
        <a:xfrm flipV="1">
          <a:off x="1666875" y="9601200"/>
          <a:ext cx="0" cy="1333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247650</xdr:colOff>
      <xdr:row>41</xdr:row>
      <xdr:rowOff>171450</xdr:rowOff>
    </xdr:from>
    <xdr:to>
      <xdr:col>3</xdr:col>
      <xdr:colOff>247650</xdr:colOff>
      <xdr:row>42</xdr:row>
      <xdr:rowOff>76200</xdr:rowOff>
    </xdr:to>
    <xdr:sp macro="" textlink="">
      <xdr:nvSpPr>
        <xdr:cNvPr id="173" name="Line 117">
          <a:extLst>
            <a:ext uri="{FF2B5EF4-FFF2-40B4-BE49-F238E27FC236}">
              <a16:creationId xmlns:a16="http://schemas.microsoft.com/office/drawing/2014/main" id="{00000000-0008-0000-0100-0000AD000000}"/>
            </a:ext>
          </a:extLst>
        </xdr:cNvPr>
        <xdr:cNvSpPr>
          <a:spLocks noChangeShapeType="1"/>
        </xdr:cNvSpPr>
      </xdr:nvSpPr>
      <xdr:spPr bwMode="auto">
        <a:xfrm flipV="1">
          <a:off x="1981200" y="9610725"/>
          <a:ext cx="0" cy="1333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466725</xdr:colOff>
      <xdr:row>41</xdr:row>
      <xdr:rowOff>209550</xdr:rowOff>
    </xdr:from>
    <xdr:to>
      <xdr:col>3</xdr:col>
      <xdr:colOff>238125</xdr:colOff>
      <xdr:row>41</xdr:row>
      <xdr:rowOff>209550</xdr:rowOff>
    </xdr:to>
    <xdr:sp macro="" textlink="">
      <xdr:nvSpPr>
        <xdr:cNvPr id="174" name="Line 118">
          <a:extLst>
            <a:ext uri="{FF2B5EF4-FFF2-40B4-BE49-F238E27FC236}">
              <a16:creationId xmlns:a16="http://schemas.microsoft.com/office/drawing/2014/main" id="{00000000-0008-0000-0100-0000AE000000}"/>
            </a:ext>
          </a:extLst>
        </xdr:cNvPr>
        <xdr:cNvSpPr>
          <a:spLocks noChangeShapeType="1"/>
        </xdr:cNvSpPr>
      </xdr:nvSpPr>
      <xdr:spPr bwMode="auto">
        <a:xfrm flipV="1">
          <a:off x="1685925" y="9648825"/>
          <a:ext cx="285750" cy="0"/>
        </a:xfrm>
        <a:prstGeom prst="line">
          <a:avLst/>
        </a:prstGeom>
        <a:noFill/>
        <a:ln w="9525">
          <a:solidFill>
            <a:srgbClr val="000000"/>
          </a:solidFill>
          <a:round/>
          <a:headEnd type="arrow" w="sm" len="sm"/>
          <a:tailEnd type="arrow" w="sm" len="sm"/>
        </a:ln>
        <a:extLst>
          <a:ext uri="{909E8E84-426E-40DD-AFC4-6F175D3DCCD1}">
            <a14:hiddenFill xmlns:a14="http://schemas.microsoft.com/office/drawing/2010/main">
              <a:noFill/>
            </a14:hiddenFill>
          </a:ext>
        </a:extLst>
      </xdr:spPr>
    </xdr:sp>
    <xdr:clientData/>
  </xdr:twoCellAnchor>
  <xdr:twoCellAnchor>
    <xdr:from>
      <xdr:col>3</xdr:col>
      <xdr:colOff>19050</xdr:colOff>
      <xdr:row>40</xdr:row>
      <xdr:rowOff>180975</xdr:rowOff>
    </xdr:from>
    <xdr:to>
      <xdr:col>3</xdr:col>
      <xdr:colOff>19050</xdr:colOff>
      <xdr:row>41</xdr:row>
      <xdr:rowOff>142875</xdr:rowOff>
    </xdr:to>
    <xdr:sp macro="" textlink="">
      <xdr:nvSpPr>
        <xdr:cNvPr id="175" name="Line 119">
          <a:extLst>
            <a:ext uri="{FF2B5EF4-FFF2-40B4-BE49-F238E27FC236}">
              <a16:creationId xmlns:a16="http://schemas.microsoft.com/office/drawing/2014/main" id="{00000000-0008-0000-0100-0000AF000000}"/>
            </a:ext>
          </a:extLst>
        </xdr:cNvPr>
        <xdr:cNvSpPr>
          <a:spLocks noChangeShapeType="1"/>
        </xdr:cNvSpPr>
      </xdr:nvSpPr>
      <xdr:spPr bwMode="auto">
        <a:xfrm flipV="1">
          <a:off x="1752600" y="9391650"/>
          <a:ext cx="0" cy="190500"/>
        </a:xfrm>
        <a:prstGeom prst="line">
          <a:avLst/>
        </a:prstGeom>
        <a:noFill/>
        <a:ln w="9525">
          <a:solidFill>
            <a:srgbClr val="000000"/>
          </a:solidFill>
          <a:round/>
          <a:headEnd type="arrow" w="sm" len="sm"/>
          <a:tailEnd type="arrow" w="sm" len="sm"/>
        </a:ln>
        <a:extLst>
          <a:ext uri="{909E8E84-426E-40DD-AFC4-6F175D3DCCD1}">
            <a14:hiddenFill xmlns:a14="http://schemas.microsoft.com/office/drawing/2010/main">
              <a:noFill/>
            </a14:hiddenFill>
          </a:ext>
        </a:extLst>
      </xdr:spPr>
    </xdr:sp>
    <xdr:clientData/>
  </xdr:twoCellAnchor>
  <xdr:twoCellAnchor>
    <xdr:from>
      <xdr:col>3</xdr:col>
      <xdr:colOff>381000</xdr:colOff>
      <xdr:row>42</xdr:row>
      <xdr:rowOff>133350</xdr:rowOff>
    </xdr:from>
    <xdr:to>
      <xdr:col>3</xdr:col>
      <xdr:colOff>504825</xdr:colOff>
      <xdr:row>43</xdr:row>
      <xdr:rowOff>0</xdr:rowOff>
    </xdr:to>
    <xdr:sp macro="" textlink="">
      <xdr:nvSpPr>
        <xdr:cNvPr id="176" name="Text 583">
          <a:extLst>
            <a:ext uri="{FF2B5EF4-FFF2-40B4-BE49-F238E27FC236}">
              <a16:creationId xmlns:a16="http://schemas.microsoft.com/office/drawing/2014/main" id="{00000000-0008-0000-0100-0000B0000000}"/>
            </a:ext>
          </a:extLst>
        </xdr:cNvPr>
        <xdr:cNvSpPr txBox="1">
          <a:spLocks noChangeArrowheads="1"/>
        </xdr:cNvSpPr>
      </xdr:nvSpPr>
      <xdr:spPr bwMode="auto">
        <a:xfrm>
          <a:off x="2114550" y="9801225"/>
          <a:ext cx="123825" cy="9525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xdr:col>
      <xdr:colOff>276225</xdr:colOff>
      <xdr:row>39</xdr:row>
      <xdr:rowOff>161925</xdr:rowOff>
    </xdr:from>
    <xdr:to>
      <xdr:col>2</xdr:col>
      <xdr:colOff>161925</xdr:colOff>
      <xdr:row>39</xdr:row>
      <xdr:rowOff>161925</xdr:rowOff>
    </xdr:to>
    <xdr:sp macro="" textlink="">
      <xdr:nvSpPr>
        <xdr:cNvPr id="177" name="Line 121">
          <a:extLst>
            <a:ext uri="{FF2B5EF4-FFF2-40B4-BE49-F238E27FC236}">
              <a16:creationId xmlns:a16="http://schemas.microsoft.com/office/drawing/2014/main" id="{00000000-0008-0000-0100-0000B1000000}"/>
            </a:ext>
          </a:extLst>
        </xdr:cNvPr>
        <xdr:cNvSpPr>
          <a:spLocks noChangeShapeType="1"/>
        </xdr:cNvSpPr>
      </xdr:nvSpPr>
      <xdr:spPr bwMode="auto">
        <a:xfrm flipV="1">
          <a:off x="1085850" y="9144000"/>
          <a:ext cx="2952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161925</xdr:colOff>
      <xdr:row>39</xdr:row>
      <xdr:rowOff>161925</xdr:rowOff>
    </xdr:from>
    <xdr:to>
      <xdr:col>2</xdr:col>
      <xdr:colOff>161925</xdr:colOff>
      <xdr:row>42</xdr:row>
      <xdr:rowOff>209550</xdr:rowOff>
    </xdr:to>
    <xdr:sp macro="" textlink="">
      <xdr:nvSpPr>
        <xdr:cNvPr id="178" name="Line 122">
          <a:extLst>
            <a:ext uri="{FF2B5EF4-FFF2-40B4-BE49-F238E27FC236}">
              <a16:creationId xmlns:a16="http://schemas.microsoft.com/office/drawing/2014/main" id="{00000000-0008-0000-0100-0000B2000000}"/>
            </a:ext>
          </a:extLst>
        </xdr:cNvPr>
        <xdr:cNvSpPr>
          <a:spLocks noChangeShapeType="1"/>
        </xdr:cNvSpPr>
      </xdr:nvSpPr>
      <xdr:spPr bwMode="auto">
        <a:xfrm>
          <a:off x="1381125" y="9144000"/>
          <a:ext cx="0" cy="7334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171450</xdr:colOff>
      <xdr:row>41</xdr:row>
      <xdr:rowOff>57150</xdr:rowOff>
    </xdr:from>
    <xdr:to>
      <xdr:col>2</xdr:col>
      <xdr:colOff>447675</xdr:colOff>
      <xdr:row>41</xdr:row>
      <xdr:rowOff>57150</xdr:rowOff>
    </xdr:to>
    <xdr:sp macro="" textlink="">
      <xdr:nvSpPr>
        <xdr:cNvPr id="179" name="Line 123">
          <a:extLst>
            <a:ext uri="{FF2B5EF4-FFF2-40B4-BE49-F238E27FC236}">
              <a16:creationId xmlns:a16="http://schemas.microsoft.com/office/drawing/2014/main" id="{00000000-0008-0000-0100-0000B3000000}"/>
            </a:ext>
          </a:extLst>
        </xdr:cNvPr>
        <xdr:cNvSpPr>
          <a:spLocks noChangeShapeType="1"/>
        </xdr:cNvSpPr>
      </xdr:nvSpPr>
      <xdr:spPr bwMode="auto">
        <a:xfrm flipV="1">
          <a:off x="1390650" y="9496425"/>
          <a:ext cx="276225" cy="0"/>
        </a:xfrm>
        <a:prstGeom prst="line">
          <a:avLst/>
        </a:prstGeom>
        <a:noFill/>
        <a:ln w="9525">
          <a:solidFill>
            <a:srgbClr val="000000"/>
          </a:solidFill>
          <a:round/>
          <a:headEnd type="arrow" w="sm" len="sm"/>
          <a:tailEnd type="arrow" w="sm" len="sm"/>
        </a:ln>
        <a:extLst>
          <a:ext uri="{909E8E84-426E-40DD-AFC4-6F175D3DCCD1}">
            <a14:hiddenFill xmlns:a14="http://schemas.microsoft.com/office/drawing/2010/main">
              <a:noFill/>
            </a14:hiddenFill>
          </a:ext>
        </a:extLst>
      </xdr:spPr>
    </xdr:sp>
    <xdr:clientData/>
  </xdr:twoCellAnchor>
  <xdr:twoCellAnchor>
    <xdr:from>
      <xdr:col>2</xdr:col>
      <xdr:colOff>447675</xdr:colOff>
      <xdr:row>39</xdr:row>
      <xdr:rowOff>171450</xdr:rowOff>
    </xdr:from>
    <xdr:to>
      <xdr:col>3</xdr:col>
      <xdr:colOff>247650</xdr:colOff>
      <xdr:row>41</xdr:row>
      <xdr:rowOff>142875</xdr:rowOff>
    </xdr:to>
    <xdr:sp macro="" textlink="">
      <xdr:nvSpPr>
        <xdr:cNvPr id="180" name="Rectangle 124">
          <a:extLst>
            <a:ext uri="{FF2B5EF4-FFF2-40B4-BE49-F238E27FC236}">
              <a16:creationId xmlns:a16="http://schemas.microsoft.com/office/drawing/2014/main" id="{00000000-0008-0000-0100-0000B4000000}"/>
            </a:ext>
          </a:extLst>
        </xdr:cNvPr>
        <xdr:cNvSpPr>
          <a:spLocks noChangeArrowheads="1"/>
        </xdr:cNvSpPr>
      </xdr:nvSpPr>
      <xdr:spPr bwMode="auto">
        <a:xfrm>
          <a:off x="1666875" y="9153525"/>
          <a:ext cx="314325" cy="428625"/>
        </a:xfrm>
        <a:prstGeom prst="rect">
          <a:avLst/>
        </a:prstGeom>
        <a:solidFill>
          <a:srgbClr val="FFFFFF"/>
        </a:solidFill>
        <a:ln w="9525">
          <a:solidFill>
            <a:srgbClr val="000000"/>
          </a:solidFill>
          <a:miter lim="800000"/>
          <a:headEnd/>
          <a:tailEnd/>
        </a:ln>
      </xdr:spPr>
    </xdr:sp>
    <xdr:clientData/>
  </xdr:twoCellAnchor>
  <xdr:twoCellAnchor>
    <xdr:from>
      <xdr:col>2</xdr:col>
      <xdr:colOff>161925</xdr:colOff>
      <xdr:row>40</xdr:row>
      <xdr:rowOff>219075</xdr:rowOff>
    </xdr:from>
    <xdr:to>
      <xdr:col>2</xdr:col>
      <xdr:colOff>457200</xdr:colOff>
      <xdr:row>40</xdr:row>
      <xdr:rowOff>219075</xdr:rowOff>
    </xdr:to>
    <xdr:sp macro="" textlink="">
      <xdr:nvSpPr>
        <xdr:cNvPr id="181" name="Line 125">
          <a:extLst>
            <a:ext uri="{FF2B5EF4-FFF2-40B4-BE49-F238E27FC236}">
              <a16:creationId xmlns:a16="http://schemas.microsoft.com/office/drawing/2014/main" id="{00000000-0008-0000-0100-0000B5000000}"/>
            </a:ext>
          </a:extLst>
        </xdr:cNvPr>
        <xdr:cNvSpPr>
          <a:spLocks noChangeShapeType="1"/>
        </xdr:cNvSpPr>
      </xdr:nvSpPr>
      <xdr:spPr bwMode="auto">
        <a:xfrm>
          <a:off x="1381125" y="9429750"/>
          <a:ext cx="2952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161925</xdr:colOff>
      <xdr:row>39</xdr:row>
      <xdr:rowOff>190500</xdr:rowOff>
    </xdr:from>
    <xdr:to>
      <xdr:col>2</xdr:col>
      <xdr:colOff>457200</xdr:colOff>
      <xdr:row>39</xdr:row>
      <xdr:rowOff>190500</xdr:rowOff>
    </xdr:to>
    <xdr:sp macro="" textlink="">
      <xdr:nvSpPr>
        <xdr:cNvPr id="182" name="Line 126">
          <a:extLst>
            <a:ext uri="{FF2B5EF4-FFF2-40B4-BE49-F238E27FC236}">
              <a16:creationId xmlns:a16="http://schemas.microsoft.com/office/drawing/2014/main" id="{00000000-0008-0000-0100-0000B6000000}"/>
            </a:ext>
          </a:extLst>
        </xdr:cNvPr>
        <xdr:cNvSpPr>
          <a:spLocks noChangeShapeType="1"/>
        </xdr:cNvSpPr>
      </xdr:nvSpPr>
      <xdr:spPr bwMode="auto">
        <a:xfrm>
          <a:off x="1381125" y="9172575"/>
          <a:ext cx="2952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295275</xdr:colOff>
      <xdr:row>41</xdr:row>
      <xdr:rowOff>142875</xdr:rowOff>
    </xdr:from>
    <xdr:to>
      <xdr:col>3</xdr:col>
      <xdr:colOff>666750</xdr:colOff>
      <xdr:row>41</xdr:row>
      <xdr:rowOff>142875</xdr:rowOff>
    </xdr:to>
    <xdr:sp macro="" textlink="">
      <xdr:nvSpPr>
        <xdr:cNvPr id="183" name="Line 127">
          <a:extLst>
            <a:ext uri="{FF2B5EF4-FFF2-40B4-BE49-F238E27FC236}">
              <a16:creationId xmlns:a16="http://schemas.microsoft.com/office/drawing/2014/main" id="{00000000-0008-0000-0100-0000B7000000}"/>
            </a:ext>
          </a:extLst>
        </xdr:cNvPr>
        <xdr:cNvSpPr>
          <a:spLocks noChangeShapeType="1"/>
        </xdr:cNvSpPr>
      </xdr:nvSpPr>
      <xdr:spPr bwMode="auto">
        <a:xfrm>
          <a:off x="2028825" y="9582150"/>
          <a:ext cx="3714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628650</xdr:colOff>
      <xdr:row>41</xdr:row>
      <xdr:rowOff>142875</xdr:rowOff>
    </xdr:from>
    <xdr:to>
      <xdr:col>3</xdr:col>
      <xdr:colOff>628650</xdr:colOff>
      <xdr:row>42</xdr:row>
      <xdr:rowOff>95250</xdr:rowOff>
    </xdr:to>
    <xdr:sp macro="" textlink="">
      <xdr:nvSpPr>
        <xdr:cNvPr id="184" name="Line 128">
          <a:extLst>
            <a:ext uri="{FF2B5EF4-FFF2-40B4-BE49-F238E27FC236}">
              <a16:creationId xmlns:a16="http://schemas.microsoft.com/office/drawing/2014/main" id="{00000000-0008-0000-0100-0000B8000000}"/>
            </a:ext>
          </a:extLst>
        </xdr:cNvPr>
        <xdr:cNvSpPr>
          <a:spLocks noChangeShapeType="1"/>
        </xdr:cNvSpPr>
      </xdr:nvSpPr>
      <xdr:spPr bwMode="auto">
        <a:xfrm flipV="1">
          <a:off x="2362200" y="9582150"/>
          <a:ext cx="0" cy="180975"/>
        </a:xfrm>
        <a:prstGeom prst="line">
          <a:avLst/>
        </a:prstGeom>
        <a:noFill/>
        <a:ln w="9525">
          <a:solidFill>
            <a:srgbClr val="000000"/>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3</xdr:col>
      <xdr:colOff>276225</xdr:colOff>
      <xdr:row>39</xdr:row>
      <xdr:rowOff>171450</xdr:rowOff>
    </xdr:from>
    <xdr:to>
      <xdr:col>3</xdr:col>
      <xdr:colOff>495300</xdr:colOff>
      <xdr:row>39</xdr:row>
      <xdr:rowOff>171450</xdr:rowOff>
    </xdr:to>
    <xdr:sp macro="" textlink="">
      <xdr:nvSpPr>
        <xdr:cNvPr id="185" name="Line 129">
          <a:extLst>
            <a:ext uri="{FF2B5EF4-FFF2-40B4-BE49-F238E27FC236}">
              <a16:creationId xmlns:a16="http://schemas.microsoft.com/office/drawing/2014/main" id="{00000000-0008-0000-0100-0000B9000000}"/>
            </a:ext>
          </a:extLst>
        </xdr:cNvPr>
        <xdr:cNvSpPr>
          <a:spLocks noChangeShapeType="1"/>
        </xdr:cNvSpPr>
      </xdr:nvSpPr>
      <xdr:spPr bwMode="auto">
        <a:xfrm>
          <a:off x="2009775" y="9153525"/>
          <a:ext cx="2190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293370</xdr:colOff>
      <xdr:row>40</xdr:row>
      <xdr:rowOff>133350</xdr:rowOff>
    </xdr:from>
    <xdr:to>
      <xdr:col>3</xdr:col>
      <xdr:colOff>586843</xdr:colOff>
      <xdr:row>41</xdr:row>
      <xdr:rowOff>9525</xdr:rowOff>
    </xdr:to>
    <xdr:sp macro="" textlink="">
      <xdr:nvSpPr>
        <xdr:cNvPr id="186" name="Thickness">
          <a:extLst>
            <a:ext uri="{FF2B5EF4-FFF2-40B4-BE49-F238E27FC236}">
              <a16:creationId xmlns:a16="http://schemas.microsoft.com/office/drawing/2014/main" id="{00000000-0008-0000-0100-0000BA000000}"/>
            </a:ext>
          </a:extLst>
        </xdr:cNvPr>
        <xdr:cNvSpPr txBox="1">
          <a:spLocks noChangeArrowheads="1"/>
        </xdr:cNvSpPr>
      </xdr:nvSpPr>
      <xdr:spPr bwMode="auto">
        <a:xfrm>
          <a:off x="2026920" y="9344025"/>
          <a:ext cx="293473" cy="1047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50.0</a:t>
          </a:r>
        </a:p>
      </xdr:txBody>
    </xdr:sp>
    <xdr:clientData/>
  </xdr:twoCellAnchor>
  <xdr:twoCellAnchor>
    <xdr:from>
      <xdr:col>3</xdr:col>
      <xdr:colOff>428625</xdr:colOff>
      <xdr:row>39</xdr:row>
      <xdr:rowOff>171450</xdr:rowOff>
    </xdr:from>
    <xdr:to>
      <xdr:col>3</xdr:col>
      <xdr:colOff>428625</xdr:colOff>
      <xdr:row>40</xdr:row>
      <xdr:rowOff>85725</xdr:rowOff>
    </xdr:to>
    <xdr:sp macro="" textlink="">
      <xdr:nvSpPr>
        <xdr:cNvPr id="187" name="Line 131">
          <a:extLst>
            <a:ext uri="{FF2B5EF4-FFF2-40B4-BE49-F238E27FC236}">
              <a16:creationId xmlns:a16="http://schemas.microsoft.com/office/drawing/2014/main" id="{00000000-0008-0000-0100-0000BB000000}"/>
            </a:ext>
          </a:extLst>
        </xdr:cNvPr>
        <xdr:cNvSpPr>
          <a:spLocks noChangeShapeType="1"/>
        </xdr:cNvSpPr>
      </xdr:nvSpPr>
      <xdr:spPr bwMode="auto">
        <a:xfrm flipV="1">
          <a:off x="2162175" y="9153525"/>
          <a:ext cx="0" cy="142875"/>
        </a:xfrm>
        <a:prstGeom prst="line">
          <a:avLst/>
        </a:prstGeom>
        <a:noFill/>
        <a:ln w="9525">
          <a:solidFill>
            <a:srgbClr val="000000"/>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3</xdr:col>
      <xdr:colOff>438150</xdr:colOff>
      <xdr:row>41</xdr:row>
      <xdr:rowOff>19050</xdr:rowOff>
    </xdr:from>
    <xdr:to>
      <xdr:col>3</xdr:col>
      <xdr:colOff>438150</xdr:colOff>
      <xdr:row>41</xdr:row>
      <xdr:rowOff>142875</xdr:rowOff>
    </xdr:to>
    <xdr:sp macro="" textlink="">
      <xdr:nvSpPr>
        <xdr:cNvPr id="188" name="Line 132">
          <a:extLst>
            <a:ext uri="{FF2B5EF4-FFF2-40B4-BE49-F238E27FC236}">
              <a16:creationId xmlns:a16="http://schemas.microsoft.com/office/drawing/2014/main" id="{00000000-0008-0000-0100-0000BC000000}"/>
            </a:ext>
          </a:extLst>
        </xdr:cNvPr>
        <xdr:cNvSpPr>
          <a:spLocks noChangeShapeType="1"/>
        </xdr:cNvSpPr>
      </xdr:nvSpPr>
      <xdr:spPr bwMode="auto">
        <a:xfrm>
          <a:off x="2171700" y="9458325"/>
          <a:ext cx="0" cy="123825"/>
        </a:xfrm>
        <a:prstGeom prst="line">
          <a:avLst/>
        </a:prstGeom>
        <a:noFill/>
        <a:ln w="9525">
          <a:solidFill>
            <a:srgbClr val="000000"/>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3</xdr:col>
      <xdr:colOff>866775</xdr:colOff>
      <xdr:row>33</xdr:row>
      <xdr:rowOff>114300</xdr:rowOff>
    </xdr:from>
    <xdr:to>
      <xdr:col>4</xdr:col>
      <xdr:colOff>590550</xdr:colOff>
      <xdr:row>34</xdr:row>
      <xdr:rowOff>66675</xdr:rowOff>
    </xdr:to>
    <xdr:sp macro="" textlink="">
      <xdr:nvSpPr>
        <xdr:cNvPr id="189" name="Text 219">
          <a:extLst>
            <a:ext uri="{FF2B5EF4-FFF2-40B4-BE49-F238E27FC236}">
              <a16:creationId xmlns:a16="http://schemas.microsoft.com/office/drawing/2014/main" id="{00000000-0008-0000-0100-0000BD000000}"/>
            </a:ext>
          </a:extLst>
        </xdr:cNvPr>
        <xdr:cNvSpPr txBox="1">
          <a:spLocks noChangeArrowheads="1"/>
        </xdr:cNvSpPr>
      </xdr:nvSpPr>
      <xdr:spPr bwMode="auto">
        <a:xfrm>
          <a:off x="2600325" y="7724775"/>
          <a:ext cx="600075" cy="180975"/>
        </a:xfrm>
        <a:prstGeom prst="rect">
          <a:avLst/>
        </a:prstGeom>
        <a:solidFill>
          <a:srgbClr val="FFFFFF"/>
        </a:solidFill>
        <a:ln w="1">
          <a:solidFill>
            <a:srgbClr val="000000"/>
          </a:solidFill>
          <a:miter lim="800000"/>
          <a:headEnd/>
          <a:tailEnd/>
        </a:ln>
      </xdr:spPr>
      <xdr:txBody>
        <a:bodyPr vertOverflow="clip" wrap="square" lIns="27432" tIns="22860" rIns="27432" bIns="0" anchor="ctr" upright="1"/>
        <a:lstStyle/>
        <a:p>
          <a:pPr algn="ctr" rtl="0">
            <a:defRPr sz="1000"/>
          </a:pPr>
          <a:r>
            <a:rPr lang="en-US" sz="1000" b="0" i="0" u="none" strike="noStrike" baseline="0">
              <a:solidFill>
                <a:srgbClr val="000000"/>
              </a:solidFill>
              <a:latin typeface="Times New Roman"/>
              <a:cs typeface="Times New Roman"/>
            </a:rPr>
            <a:t>411-FA31</a:t>
          </a:r>
        </a:p>
      </xdr:txBody>
    </xdr:sp>
    <xdr:clientData/>
  </xdr:twoCellAnchor>
  <xdr:twoCellAnchor>
    <xdr:from>
      <xdr:col>4</xdr:col>
      <xdr:colOff>76200</xdr:colOff>
      <xdr:row>27</xdr:row>
      <xdr:rowOff>66675</xdr:rowOff>
    </xdr:from>
    <xdr:to>
      <xdr:col>4</xdr:col>
      <xdr:colOff>676275</xdr:colOff>
      <xdr:row>28</xdr:row>
      <xdr:rowOff>19050</xdr:rowOff>
    </xdr:to>
    <xdr:sp macro="" textlink="">
      <xdr:nvSpPr>
        <xdr:cNvPr id="190" name="Text 219">
          <a:extLst>
            <a:ext uri="{FF2B5EF4-FFF2-40B4-BE49-F238E27FC236}">
              <a16:creationId xmlns:a16="http://schemas.microsoft.com/office/drawing/2014/main" id="{00000000-0008-0000-0100-0000BE000000}"/>
            </a:ext>
          </a:extLst>
        </xdr:cNvPr>
        <xdr:cNvSpPr txBox="1">
          <a:spLocks noChangeArrowheads="1"/>
        </xdr:cNvSpPr>
      </xdr:nvSpPr>
      <xdr:spPr bwMode="auto">
        <a:xfrm>
          <a:off x="2686050" y="6305550"/>
          <a:ext cx="600075" cy="180975"/>
        </a:xfrm>
        <a:prstGeom prst="rect">
          <a:avLst/>
        </a:prstGeom>
        <a:solidFill>
          <a:srgbClr val="FFFFFF"/>
        </a:solidFill>
        <a:ln w="1">
          <a:solidFill>
            <a:srgbClr val="000000"/>
          </a:solidFill>
          <a:miter lim="800000"/>
          <a:headEnd/>
          <a:tailEnd/>
        </a:ln>
      </xdr:spPr>
      <xdr:txBody>
        <a:bodyPr vertOverflow="clip" wrap="square" lIns="27432" tIns="22860" rIns="27432" bIns="0" anchor="ctr" upright="1"/>
        <a:lstStyle/>
        <a:p>
          <a:pPr algn="ctr" rtl="0">
            <a:defRPr sz="1000"/>
          </a:pPr>
          <a:r>
            <a:rPr lang="en-US" sz="1000" b="0" i="0" u="none" strike="noStrike" baseline="0">
              <a:solidFill>
                <a:srgbClr val="000000"/>
              </a:solidFill>
              <a:latin typeface="Times New Roman"/>
              <a:cs typeface="Times New Roman"/>
            </a:rPr>
            <a:t>311-FA31</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8</xdr:row>
      <xdr:rowOff>0</xdr:rowOff>
    </xdr:from>
    <xdr:to>
      <xdr:col>7</xdr:col>
      <xdr:colOff>0</xdr:colOff>
      <xdr:row>8</xdr:row>
      <xdr:rowOff>0</xdr:rowOff>
    </xdr:to>
    <xdr:sp macro="" textlink="">
      <xdr:nvSpPr>
        <xdr:cNvPr id="2" name="Line 1">
          <a:extLst>
            <a:ext uri="{FF2B5EF4-FFF2-40B4-BE49-F238E27FC236}">
              <a16:creationId xmlns:a16="http://schemas.microsoft.com/office/drawing/2014/main" id="{00000000-0008-0000-0200-000002000000}"/>
            </a:ext>
          </a:extLst>
        </xdr:cNvPr>
        <xdr:cNvSpPr>
          <a:spLocks noChangeShapeType="1"/>
        </xdr:cNvSpPr>
      </xdr:nvSpPr>
      <xdr:spPr bwMode="auto">
        <a:xfrm>
          <a:off x="609600" y="1285875"/>
          <a:ext cx="9429750"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9</xdr:row>
      <xdr:rowOff>0</xdr:rowOff>
    </xdr:from>
    <xdr:to>
      <xdr:col>13</xdr:col>
      <xdr:colOff>381000</xdr:colOff>
      <xdr:row>9</xdr:row>
      <xdr:rowOff>9525</xdr:rowOff>
    </xdr:to>
    <xdr:sp macro="" textlink="">
      <xdr:nvSpPr>
        <xdr:cNvPr id="3" name="Line 2">
          <a:extLst>
            <a:ext uri="{FF2B5EF4-FFF2-40B4-BE49-F238E27FC236}">
              <a16:creationId xmlns:a16="http://schemas.microsoft.com/office/drawing/2014/main" id="{00000000-0008-0000-0200-000003000000}"/>
            </a:ext>
          </a:extLst>
        </xdr:cNvPr>
        <xdr:cNvSpPr>
          <a:spLocks noChangeShapeType="1"/>
        </xdr:cNvSpPr>
      </xdr:nvSpPr>
      <xdr:spPr bwMode="auto">
        <a:xfrm flipV="1">
          <a:off x="609600" y="1447800"/>
          <a:ext cx="11877675" cy="95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3</xdr:row>
      <xdr:rowOff>0</xdr:rowOff>
    </xdr:from>
    <xdr:to>
      <xdr:col>10</xdr:col>
      <xdr:colOff>0</xdr:colOff>
      <xdr:row>4</xdr:row>
      <xdr:rowOff>0</xdr:rowOff>
    </xdr:to>
    <xdr:sp macro="" textlink="">
      <xdr:nvSpPr>
        <xdr:cNvPr id="4" name="Line 3">
          <a:extLst>
            <a:ext uri="{FF2B5EF4-FFF2-40B4-BE49-F238E27FC236}">
              <a16:creationId xmlns:a16="http://schemas.microsoft.com/office/drawing/2014/main" id="{00000000-0008-0000-0200-000004000000}"/>
            </a:ext>
          </a:extLst>
        </xdr:cNvPr>
        <xdr:cNvSpPr>
          <a:spLocks noChangeShapeType="1"/>
        </xdr:cNvSpPr>
      </xdr:nvSpPr>
      <xdr:spPr bwMode="auto">
        <a:xfrm flipV="1">
          <a:off x="11858625" y="485775"/>
          <a:ext cx="0" cy="1619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3</xdr:row>
      <xdr:rowOff>0</xdr:rowOff>
    </xdr:from>
    <xdr:to>
      <xdr:col>10</xdr:col>
      <xdr:colOff>0</xdr:colOff>
      <xdr:row>4</xdr:row>
      <xdr:rowOff>0</xdr:rowOff>
    </xdr:to>
    <xdr:sp macro="" textlink="">
      <xdr:nvSpPr>
        <xdr:cNvPr id="5" name="Line 4">
          <a:extLst>
            <a:ext uri="{FF2B5EF4-FFF2-40B4-BE49-F238E27FC236}">
              <a16:creationId xmlns:a16="http://schemas.microsoft.com/office/drawing/2014/main" id="{00000000-0008-0000-0200-000005000000}"/>
            </a:ext>
          </a:extLst>
        </xdr:cNvPr>
        <xdr:cNvSpPr>
          <a:spLocks noChangeShapeType="1"/>
        </xdr:cNvSpPr>
      </xdr:nvSpPr>
      <xdr:spPr bwMode="auto">
        <a:xfrm flipV="1">
          <a:off x="11858625" y="485775"/>
          <a:ext cx="0" cy="1619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3</xdr:row>
      <xdr:rowOff>9525</xdr:rowOff>
    </xdr:from>
    <xdr:to>
      <xdr:col>1</xdr:col>
      <xdr:colOff>0</xdr:colOff>
      <xdr:row>7</xdr:row>
      <xdr:rowOff>152400</xdr:rowOff>
    </xdr:to>
    <xdr:sp macro="" textlink="">
      <xdr:nvSpPr>
        <xdr:cNvPr id="6" name="Line 5">
          <a:extLst>
            <a:ext uri="{FF2B5EF4-FFF2-40B4-BE49-F238E27FC236}">
              <a16:creationId xmlns:a16="http://schemas.microsoft.com/office/drawing/2014/main" id="{00000000-0008-0000-0200-000006000000}"/>
            </a:ext>
          </a:extLst>
        </xdr:cNvPr>
        <xdr:cNvSpPr>
          <a:spLocks noChangeShapeType="1"/>
        </xdr:cNvSpPr>
      </xdr:nvSpPr>
      <xdr:spPr bwMode="auto">
        <a:xfrm flipH="1">
          <a:off x="609600" y="495300"/>
          <a:ext cx="0" cy="78105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800100</xdr:colOff>
      <xdr:row>15</xdr:row>
      <xdr:rowOff>161925</xdr:rowOff>
    </xdr:from>
    <xdr:to>
      <xdr:col>5</xdr:col>
      <xdr:colOff>657225</xdr:colOff>
      <xdr:row>36</xdr:row>
      <xdr:rowOff>171450</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314325</xdr:colOff>
      <xdr:row>11</xdr:row>
      <xdr:rowOff>0</xdr:rowOff>
    </xdr:from>
    <xdr:to>
      <xdr:col>5</xdr:col>
      <xdr:colOff>590550</xdr:colOff>
      <xdr:row>38</xdr:row>
      <xdr:rowOff>9525</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0.673</cdr:x>
      <cdr:y>0.61549</cdr:y>
    </cdr:from>
    <cdr:to>
      <cdr:x>0.90885</cdr:x>
      <cdr:y>0.63618</cdr:y>
    </cdr:to>
    <cdr:sp macro="" textlink="">
      <cdr:nvSpPr>
        <cdr:cNvPr id="5133" name="Hot Stall"/>
        <cdr:cNvSpPr txBox="1">
          <a:spLocks xmlns:a="http://schemas.openxmlformats.org/drawingml/2006/main" noChangeArrowheads="1"/>
        </cdr:cNvSpPr>
      </cdr:nvSpPr>
      <cdr:spPr bwMode="auto">
        <a:xfrm xmlns:a="http://schemas.openxmlformats.org/drawingml/2006/main">
          <a:off x="3935959" y="3963055"/>
          <a:ext cx="1379333" cy="133221"/>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HOT STALL</a:t>
          </a:r>
        </a:p>
      </cdr:txBody>
    </cdr:sp>
  </cdr:relSizeAnchor>
  <cdr:relSizeAnchor xmlns:cdr="http://schemas.openxmlformats.org/drawingml/2006/chartDrawing">
    <cdr:from>
      <cdr:x>0.65346</cdr:x>
      <cdr:y>0.51869</cdr:y>
    </cdr:from>
    <cdr:to>
      <cdr:x>0.93628</cdr:x>
      <cdr:y>0.54382</cdr:y>
    </cdr:to>
    <cdr:sp macro="" textlink="">
      <cdr:nvSpPr>
        <cdr:cNvPr id="5134" name="Cold Stall"/>
        <cdr:cNvSpPr txBox="1">
          <a:spLocks xmlns:a="http://schemas.openxmlformats.org/drawingml/2006/main" noChangeArrowheads="1"/>
        </cdr:cNvSpPr>
      </cdr:nvSpPr>
      <cdr:spPr bwMode="auto">
        <a:xfrm xmlns:a="http://schemas.openxmlformats.org/drawingml/2006/main">
          <a:off x="3821659" y="3339806"/>
          <a:ext cx="1654030" cy="161810"/>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COLD (AMBIENT) STALL</a:t>
          </a:r>
        </a:p>
      </cdr:txBody>
    </cdr:sp>
  </cdr:relSizeAnchor>
  <cdr:relSizeAnchor xmlns:cdr="http://schemas.openxmlformats.org/drawingml/2006/chartDrawing">
    <cdr:from>
      <cdr:x>0.66822</cdr:x>
      <cdr:y>0.76059</cdr:y>
    </cdr:from>
    <cdr:to>
      <cdr:x>0.91366</cdr:x>
      <cdr:y>0.78572</cdr:y>
    </cdr:to>
    <cdr:sp macro="" textlink="">
      <cdr:nvSpPr>
        <cdr:cNvPr id="5135" name="Acceleration"/>
        <cdr:cNvSpPr txBox="1">
          <a:spLocks xmlns:a="http://schemas.openxmlformats.org/drawingml/2006/main" noChangeArrowheads="1"/>
        </cdr:cNvSpPr>
      </cdr:nvSpPr>
      <cdr:spPr bwMode="auto">
        <a:xfrm xmlns:a="http://schemas.openxmlformats.org/drawingml/2006/main">
          <a:off x="3917521" y="4907802"/>
          <a:ext cx="1437775" cy="16200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ACCELERATION CURVE</a:t>
          </a:r>
        </a:p>
      </cdr:txBody>
    </cdr:sp>
  </cdr:relSizeAnchor>
  <cdr:relSizeAnchor xmlns:cdr="http://schemas.openxmlformats.org/drawingml/2006/chartDrawing">
    <cdr:from>
      <cdr:x>0.29932</cdr:x>
      <cdr:y>0.36182</cdr:y>
    </cdr:from>
    <cdr:to>
      <cdr:x>0.62444</cdr:x>
      <cdr:y>0.3899</cdr:y>
    </cdr:to>
    <cdr:sp macro="" textlink="">
      <cdr:nvSpPr>
        <cdr:cNvPr id="5136" name="Running"/>
        <cdr:cNvSpPr txBox="1">
          <a:spLocks xmlns:a="http://schemas.openxmlformats.org/drawingml/2006/main" noChangeArrowheads="1"/>
        </cdr:cNvSpPr>
      </cdr:nvSpPr>
      <cdr:spPr bwMode="auto">
        <a:xfrm xmlns:a="http://schemas.openxmlformats.org/drawingml/2006/main">
          <a:off x="1756537" y="2336355"/>
          <a:ext cx="1904548" cy="181065"/>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RUNNING CONDITION</a:t>
          </a:r>
        </a:p>
      </cdr:txBody>
    </cdr:sp>
  </cdr:relSizeAnchor>
  <cdr:relSizeAnchor xmlns:cdr="http://schemas.openxmlformats.org/drawingml/2006/chartDrawing">
    <cdr:from>
      <cdr:x>0.6242</cdr:x>
      <cdr:y>0.19532</cdr:y>
    </cdr:from>
    <cdr:to>
      <cdr:x>0.94932</cdr:x>
      <cdr:y>0.2234</cdr:y>
    </cdr:to>
    <cdr:sp macro="" textlink="">
      <cdr:nvSpPr>
        <cdr:cNvPr id="5137" name="Load Type"/>
        <cdr:cNvSpPr txBox="1">
          <a:spLocks xmlns:a="http://schemas.openxmlformats.org/drawingml/2006/main" noChangeArrowheads="1"/>
        </cdr:cNvSpPr>
      </cdr:nvSpPr>
      <cdr:spPr bwMode="auto">
        <a:xfrm xmlns:a="http://schemas.openxmlformats.org/drawingml/2006/main">
          <a:off x="3659644" y="1262668"/>
          <a:ext cx="1904547" cy="18106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a:lstStyle xmlns:a="http://schemas.openxmlformats.org/drawingml/2006/main"/>
        <a:p xmlns:a="http://schemas.openxmlformats.org/drawingml/2006/main">
          <a:r>
            <a:rPr lang="en-US"/>
            <a:t>LOAD TYPE: FAN / PUMP</a:t>
          </a:r>
        </a:p>
      </cdr:txBody>
    </cdr:sp>
  </cdr:relSizeAnchor>
</c:userShapes>
</file>

<file path=xl/drawings/drawing7.xml><?xml version="1.0" encoding="utf-8"?>
<xdr:wsDr xmlns:xdr="http://schemas.openxmlformats.org/drawingml/2006/spreadsheetDrawing" xmlns:a="http://schemas.openxmlformats.org/drawingml/2006/main">
  <xdr:twoCellAnchor editAs="oneCell">
    <xdr:from>
      <xdr:col>6</xdr:col>
      <xdr:colOff>152400</xdr:colOff>
      <xdr:row>16</xdr:row>
      <xdr:rowOff>99060</xdr:rowOff>
    </xdr:from>
    <xdr:to>
      <xdr:col>12</xdr:col>
      <xdr:colOff>990600</xdr:colOff>
      <xdr:row>41</xdr:row>
      <xdr:rowOff>30480</xdr:rowOff>
    </xdr:to>
    <xdr:pic>
      <xdr:nvPicPr>
        <xdr:cNvPr id="2" name="Picture 4">
          <a:extLst>
            <a:ext uri="{FF2B5EF4-FFF2-40B4-BE49-F238E27FC236}">
              <a16:creationId xmlns:a16="http://schemas.microsoft.com/office/drawing/2014/main" id="{46431052-C9BE-41F7-A164-76D0BD3270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28294" r="27284"/>
        <a:stretch>
          <a:fillRect/>
        </a:stretch>
      </xdr:blipFill>
      <xdr:spPr bwMode="auto">
        <a:xfrm>
          <a:off x="2964180" y="2994660"/>
          <a:ext cx="3535680" cy="419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OCUME~1/&#38596;&#21496;/LOCALS~1/Temp/QUOTE.lzh%20&#12398;&#19968;&#26178;&#12487;&#12451;&#12524;&#12463;&#12488;&#12522;%204/QDB7.2.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N:\DESPRO\BASE%20HRW%20DESIGNS\H140139.xlsx" TargetMode="External"/><Relationship Id="rId1" Type="http://schemas.openxmlformats.org/officeDocument/2006/relationships/externalLinkPath" Target="/DESPRO/BASE%20HRW%20DESIGNS/H140139.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QUOTE/QDB12.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QUOTE/myQuotation/TMGA/drawing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211;&#31309;&#38306;&#20418;/&#35211;&#31309;/B&#12471;&#12522;&#12540;&#12474;/BAD3473/&#35211;&#31309;&#38306;&#20418;/&#35211;&#31309;&#36039;&#26009;/&#31038;&#20869;&#20844;&#20849;&#29256;rev%206.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QUOTE/QDB11.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QUOTE/myQuotation/TMGA/QUOTE.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5211;&#31309;&#38306;&#20418;/&#35211;&#31309;&#36039;&#26009;/&#35211;&#31309;&#36039;&#26009;(&#26087;)/PAINT/RAL551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5211;&#31309;&#38306;&#20418;/&#35211;&#31309;&#36039;&#26009;/&#31038;&#20869;&amp;&#20844;&#20849;&#29256;&#65420;&#65387;&#65392;&#65423;&#65391;&#65412;(REC).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QUOTE/QDB7.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5211;&#31309;&#38306;&#20418;/&#35211;&#31309;&#36039;&#26009;/&#35211;&#31309;&#12484;&#12540;&#12523;rev9.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基本構造変換"/>
      <sheetName val="OPTION"/>
      <sheetName val="本体価格TM21"/>
      <sheetName val="図面特性DATA"/>
      <sheetName val="特殊値増"/>
      <sheetName val="JPENG"/>
      <sheetName val="標準軸受"/>
      <sheetName val="防爆出力及業種"/>
      <sheetName val="騒音構造付"/>
      <sheetName val="許容ベルト荷重"/>
      <sheetName val="許容ｽﾗｽﾄ"/>
      <sheetName val="温度"/>
      <sheetName val="時津範囲"/>
      <sheetName val="変更履歴"/>
      <sheetName val="防爆出力,業種"/>
      <sheetName val="DV&amp;CL"/>
      <sheetName val="入力補助"/>
      <sheetName val="Miscellanou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esignSheet 80%V"/>
      <sheetName val="DesignSheet"/>
      <sheetName val="Data Sheet"/>
      <sheetName val="LoginSheet"/>
      <sheetName val="Performance Data Sheet"/>
      <sheetName val="STCurve"/>
      <sheetName val="Thermdam"/>
      <sheetName val="Performance"/>
      <sheetName val="Circuit Param."/>
      <sheetName val="CONT."/>
      <sheetName val="MPCF-1202 SOUND"/>
      <sheetName val="StallTim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基本構造変換"/>
      <sheetName val="OPTION"/>
      <sheetName val="本体価格TM21"/>
      <sheetName val="特性DATA"/>
      <sheetName val="外形図DATA"/>
      <sheetName val="防爆出力及業種"/>
      <sheetName val="特殊値増"/>
      <sheetName val="JPENG"/>
      <sheetName val="標準軸受"/>
      <sheetName val="騒音構造付"/>
      <sheetName val="許容ベルト荷重"/>
      <sheetName val="許容ｽﾗｽﾄ"/>
      <sheetName val="温度"/>
      <sheetName val="補助データ"/>
      <sheetName val="時津範囲"/>
      <sheetName val="入力補助"/>
      <sheetName val="DVCL"/>
      <sheetName val="見積補助"/>
      <sheetName val="変更履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arings"/>
      <sheetName val="Accessories"/>
      <sheetName val="Conduit box"/>
      <sheetName val="F II Drawings"/>
      <sheetName val="M II Drawings"/>
      <sheetName val="Appendix"/>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sheetName val="JPN SPEC."/>
      <sheetName val="特性表"/>
      <sheetName val="DV&amp;CL"/>
      <sheetName val="INPUT"/>
      <sheetName val="ENG SPEC."/>
      <sheetName val="DATA"/>
      <sheetName val="DV&amp;CL辞書"/>
      <sheetName val="内訳"/>
      <sheetName val="OL"/>
      <sheetName val="LBﾊﾟﾗﾒｰ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基本構造変換"/>
      <sheetName val="OPTION"/>
      <sheetName val="本体価格TM21"/>
      <sheetName val="図面特性DATA"/>
      <sheetName val="防爆出力及業種"/>
      <sheetName val="特殊値増"/>
      <sheetName val="JPENG"/>
      <sheetName val="標準軸受"/>
      <sheetName val="騒音構造付"/>
      <sheetName val="許容ベルト荷重"/>
      <sheetName val="許容ｽﾗｽﾄ"/>
      <sheetName val="温度"/>
      <sheetName val="補助データ"/>
      <sheetName val="時津範囲"/>
      <sheetName val="入力補助"/>
      <sheetName val="DVCL"/>
      <sheetName val="見積補助"/>
      <sheetName val="変更履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REPLY"/>
      <sheetName val="CALC"/>
      <sheetName val="LB"/>
      <sheetName val="値増"/>
      <sheetName val="本体価格"/>
      <sheetName val="計算判断基準"/>
      <sheetName val="COMMENT"/>
      <sheetName val="プログラム論理説明"/>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見積回答書"/>
      <sheetName val="JPN SPEC."/>
      <sheetName val="ENG SPEC."/>
      <sheetName val="DV&amp;CL"/>
      <sheetName val="TEST"/>
      <sheetName val="PP (1)"/>
      <sheetName val="INPUT"/>
      <sheetName val="特性表"/>
      <sheetName val="DATA"/>
      <sheetName val="内訳"/>
      <sheetName val="OL"/>
      <sheetName val="DV&amp;CL辞書"/>
      <sheetName val="LBﾊﾟﾗﾒｰﾀ"/>
      <sheetName val="変更履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sheetName val="ENG SPEC."/>
      <sheetName val="JPN SPEC."/>
      <sheetName val="DATA"/>
      <sheetName val="ﾃﾞｰﾀ"/>
      <sheetName val="始動特性1"/>
      <sheetName val="始動特性2"/>
      <sheetName val="始動特性3"/>
      <sheetName val="STI"/>
      <sheetName val="STI (2)"/>
      <sheetName val="STI (3)"/>
      <sheetName val="グラフ"/>
      <sheetName val="dwg"/>
      <sheetName val="DV&amp;CL"/>
      <sheetName val="cost"/>
      <sheetName val="INPUT"/>
      <sheetName val="内訳"/>
      <sheetName val="LBﾊﾟﾗﾒｰ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基本構造変換"/>
      <sheetName val="OPTION"/>
      <sheetName val="本体価格TM21"/>
      <sheetName val="特殊値増"/>
      <sheetName val="JPENG"/>
      <sheetName val="標準軸受"/>
      <sheetName val="防爆出力,業種"/>
      <sheetName val="騒音構造付"/>
      <sheetName val="許容ベルト荷重"/>
      <sheetName val="許容ｽﾗｽﾄ"/>
      <sheetName val="図面特性DATA"/>
      <sheetName val="変更履歴"/>
      <sheetName val="防爆出力及業種"/>
      <sheetName val="温度"/>
      <sheetName val="時津範囲"/>
      <sheetName val="DV&amp;CL"/>
      <sheetName val="入力補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
      <sheetName val="入力整理"/>
      <sheetName val="見積回答社外"/>
      <sheetName val="PRICE社内"/>
      <sheetName val="HOU Quotation sheet"/>
      <sheetName val="JPN SPEC."/>
      <sheetName val="特性"/>
      <sheetName val="ENG SPEC."/>
      <sheetName val="DATA"/>
      <sheetName val="STI"/>
      <sheetName val="始動特性１"/>
      <sheetName val="STI (2)"/>
      <sheetName val="OL"/>
      <sheetName val="thermal"/>
      <sheetName val="DV&amp;CL"/>
      <sheetName val="API541 3rd COMMENT"/>
      <sheetName val="API541 4th COMMENT"/>
      <sheetName val="cost "/>
      <sheetName val="内訳"/>
      <sheetName val="図面特性"/>
      <sheetName val="提出形式へ変更"/>
      <sheetName val="LBﾊﾟﾗﾒｰ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pageSetUpPr fitToPage="1"/>
  </sheetPr>
  <dimension ref="A1:J113"/>
  <sheetViews>
    <sheetView zoomScale="95" zoomScaleNormal="95" workbookViewId="0">
      <selection activeCell="B3" sqref="B3"/>
    </sheetView>
  </sheetViews>
  <sheetFormatPr defaultRowHeight="13.2"/>
  <cols>
    <col min="1" max="6" width="12.33203125" customWidth="1"/>
    <col min="7" max="7" width="12.44140625" customWidth="1"/>
    <col min="8" max="8" width="12.6640625" customWidth="1"/>
    <col min="9" max="10" width="12.33203125" customWidth="1"/>
  </cols>
  <sheetData>
    <row r="1" spans="1:10" ht="17.399999999999999">
      <c r="A1" s="34" t="s">
        <v>167</v>
      </c>
      <c r="B1" s="2"/>
      <c r="C1" s="2"/>
      <c r="D1" s="2"/>
      <c r="E1" s="2"/>
      <c r="F1" s="2"/>
      <c r="G1" s="2"/>
      <c r="H1" s="2"/>
      <c r="I1" s="125" t="s">
        <v>0</v>
      </c>
      <c r="J1" s="125" t="s">
        <v>202</v>
      </c>
    </row>
    <row r="2" spans="1:10" ht="17.399999999999999">
      <c r="A2" s="34" t="s">
        <v>173</v>
      </c>
      <c r="B2" s="2"/>
      <c r="C2" s="2"/>
      <c r="D2" s="2"/>
      <c r="E2" s="2"/>
      <c r="F2" s="2"/>
      <c r="G2" s="2"/>
      <c r="H2" s="2"/>
      <c r="I2" s="2"/>
      <c r="J2" s="131" t="s">
        <v>203</v>
      </c>
    </row>
    <row r="3" spans="1:10" ht="15" customHeight="1" thickBot="1">
      <c r="A3" s="49" t="s">
        <v>1</v>
      </c>
      <c r="B3" s="96" t="s">
        <v>201</v>
      </c>
      <c r="C3" s="1"/>
      <c r="D3" s="49"/>
      <c r="E3" s="1"/>
      <c r="F3" s="1"/>
      <c r="G3" s="49" t="s">
        <v>2</v>
      </c>
      <c r="H3" s="149">
        <v>41873</v>
      </c>
      <c r="I3" s="49" t="s">
        <v>3</v>
      </c>
      <c r="J3" s="150">
        <v>0.38741898148148146</v>
      </c>
    </row>
    <row r="4" spans="1:10" ht="15" customHeight="1">
      <c r="A4" s="12" t="s">
        <v>4</v>
      </c>
      <c r="B4" s="12" t="s">
        <v>171</v>
      </c>
      <c r="C4" s="12" t="s">
        <v>5</v>
      </c>
      <c r="D4" s="12" t="s">
        <v>172</v>
      </c>
      <c r="E4" s="12" t="s">
        <v>6</v>
      </c>
      <c r="F4" s="12" t="s">
        <v>7</v>
      </c>
      <c r="G4" s="12" t="s">
        <v>175</v>
      </c>
      <c r="H4" s="12" t="s">
        <v>8</v>
      </c>
      <c r="I4" s="12" t="s">
        <v>9</v>
      </c>
      <c r="J4" s="12" t="s">
        <v>10</v>
      </c>
    </row>
    <row r="5" spans="1:10" ht="15" customHeight="1" thickBot="1">
      <c r="A5" s="50">
        <v>6</v>
      </c>
      <c r="B5" s="113">
        <v>799.99998363668738</v>
      </c>
      <c r="C5" s="143">
        <v>1200</v>
      </c>
      <c r="D5" s="50" t="s">
        <v>176</v>
      </c>
      <c r="E5" s="143">
        <v>4000</v>
      </c>
      <c r="F5" s="143">
        <v>60</v>
      </c>
      <c r="G5" s="50">
        <v>105</v>
      </c>
      <c r="H5" s="78" t="s">
        <v>236</v>
      </c>
      <c r="I5" s="77" t="s">
        <v>241</v>
      </c>
      <c r="J5" s="50" t="s">
        <v>177</v>
      </c>
    </row>
    <row r="6" spans="1:10" ht="15" customHeight="1" thickBot="1">
      <c r="A6" s="23" t="s">
        <v>11</v>
      </c>
      <c r="B6" s="24"/>
      <c r="C6" s="25"/>
      <c r="D6" s="108" t="s">
        <v>12</v>
      </c>
      <c r="E6" s="42"/>
      <c r="F6" s="14"/>
      <c r="G6" s="15"/>
      <c r="H6" s="43" t="s">
        <v>13</v>
      </c>
      <c r="I6" s="18"/>
      <c r="J6" s="29"/>
    </row>
    <row r="7" spans="1:10" ht="15" customHeight="1" thickBot="1">
      <c r="A7" s="145"/>
      <c r="B7" s="3" t="s">
        <v>14</v>
      </c>
      <c r="C7" s="16" t="s">
        <v>15</v>
      </c>
      <c r="D7" s="145"/>
      <c r="E7" s="18"/>
      <c r="F7" s="3" t="s">
        <v>16</v>
      </c>
      <c r="G7" s="16" t="s">
        <v>17</v>
      </c>
      <c r="H7" s="10" t="s">
        <v>18</v>
      </c>
      <c r="I7" s="68">
        <v>23.169226249999998</v>
      </c>
      <c r="J7" s="106" t="s">
        <v>19</v>
      </c>
    </row>
    <row r="8" spans="1:10" ht="15" customHeight="1">
      <c r="A8" s="6" t="s">
        <v>20</v>
      </c>
      <c r="B8" s="69">
        <v>2.0999999046325684</v>
      </c>
      <c r="C8" s="52"/>
      <c r="D8" s="6"/>
      <c r="E8" s="51"/>
      <c r="F8" s="3"/>
      <c r="G8" s="16"/>
      <c r="H8" s="10" t="s">
        <v>21</v>
      </c>
      <c r="I8" s="68">
        <v>28.534303665503632</v>
      </c>
      <c r="J8" s="103" t="s">
        <v>22</v>
      </c>
    </row>
    <row r="9" spans="1:10" ht="15" customHeight="1" thickBot="1">
      <c r="A9" s="6" t="s">
        <v>23</v>
      </c>
      <c r="B9" s="69">
        <v>0.93000000715255737</v>
      </c>
      <c r="C9" s="52"/>
      <c r="D9" s="6" t="s">
        <v>24</v>
      </c>
      <c r="E9" s="53" t="s">
        <v>183</v>
      </c>
      <c r="F9" s="107" t="s">
        <v>25</v>
      </c>
      <c r="G9" s="30"/>
      <c r="H9" s="10" t="s">
        <v>26</v>
      </c>
      <c r="I9" s="69">
        <v>25.851764957751815</v>
      </c>
      <c r="J9" s="104">
        <v>830.33437234434678</v>
      </c>
    </row>
    <row r="10" spans="1:10" ht="15" customHeight="1">
      <c r="A10" s="6" t="s">
        <v>27</v>
      </c>
      <c r="B10" s="69">
        <v>820</v>
      </c>
      <c r="C10" s="73">
        <v>820</v>
      </c>
      <c r="D10" s="6"/>
      <c r="E10" s="51"/>
      <c r="F10" s="117" t="s">
        <v>197</v>
      </c>
      <c r="G10" s="115" t="s">
        <v>198</v>
      </c>
      <c r="H10" s="10" t="s">
        <v>28</v>
      </c>
      <c r="I10" s="68">
        <v>13.501985411758477</v>
      </c>
      <c r="J10" s="103" t="s">
        <v>29</v>
      </c>
    </row>
    <row r="11" spans="1:10" ht="15" customHeight="1" thickBot="1">
      <c r="A11" s="6" t="s">
        <v>30</v>
      </c>
      <c r="B11" s="69">
        <v>770</v>
      </c>
      <c r="C11" s="73">
        <v>526.80000019073486</v>
      </c>
      <c r="D11" s="6" t="s">
        <v>31</v>
      </c>
      <c r="E11" s="68">
        <v>0.83324999999999994</v>
      </c>
      <c r="F11" s="118"/>
      <c r="G11" s="114"/>
      <c r="H11" s="10" t="s">
        <v>32</v>
      </c>
      <c r="I11" s="68">
        <v>27.695072914842616</v>
      </c>
      <c r="J11" s="104">
        <v>20367.722566434149</v>
      </c>
    </row>
    <row r="12" spans="1:10" ht="15" customHeight="1">
      <c r="A12" s="6" t="s">
        <v>33</v>
      </c>
      <c r="B12" s="69">
        <v>531</v>
      </c>
      <c r="C12" s="73">
        <v>200</v>
      </c>
      <c r="D12" s="6" t="s">
        <v>34</v>
      </c>
      <c r="E12" s="138" t="s">
        <v>174</v>
      </c>
      <c r="F12" s="124" t="s">
        <v>190</v>
      </c>
      <c r="G12" s="116" t="s">
        <v>189</v>
      </c>
      <c r="H12" s="10" t="s">
        <v>35</v>
      </c>
      <c r="I12" s="68">
        <v>1.2383659221730949</v>
      </c>
      <c r="J12" s="103" t="s">
        <v>36</v>
      </c>
    </row>
    <row r="13" spans="1:10" ht="15" customHeight="1" thickBot="1">
      <c r="A13" s="6" t="s">
        <v>37</v>
      </c>
      <c r="B13" s="69">
        <v>57.5</v>
      </c>
      <c r="C13" s="73">
        <v>124.85000085830688</v>
      </c>
      <c r="D13" s="6" t="s">
        <v>38</v>
      </c>
      <c r="E13" s="70">
        <v>20</v>
      </c>
      <c r="F13" s="124"/>
      <c r="G13" s="116" t="s">
        <v>191</v>
      </c>
      <c r="H13" s="10" t="s">
        <v>40</v>
      </c>
      <c r="I13" s="68">
        <v>1.0303025290181218</v>
      </c>
      <c r="J13" s="104">
        <v>99.744644165039063</v>
      </c>
    </row>
    <row r="14" spans="1:10" ht="15" customHeight="1" thickBot="1">
      <c r="A14" s="134" t="s">
        <v>41</v>
      </c>
      <c r="B14" s="135">
        <v>762.5999755859375</v>
      </c>
      <c r="C14" s="136">
        <v>762.5999755859375</v>
      </c>
      <c r="D14" s="6" t="s">
        <v>42</v>
      </c>
      <c r="E14" s="51" t="s">
        <v>184</v>
      </c>
      <c r="F14" s="51" t="s">
        <v>193</v>
      </c>
      <c r="G14" s="116" t="s">
        <v>192</v>
      </c>
      <c r="H14" s="49" t="s">
        <v>43</v>
      </c>
      <c r="I14" s="68">
        <v>1.2758915414647982</v>
      </c>
      <c r="J14" s="103" t="s">
        <v>44</v>
      </c>
    </row>
    <row r="15" spans="1:10" ht="15" customHeight="1" thickBot="1">
      <c r="A15" s="13" t="s">
        <v>45</v>
      </c>
      <c r="B15" s="141"/>
      <c r="C15" s="142"/>
      <c r="D15" s="6" t="s">
        <v>46</v>
      </c>
      <c r="E15" s="51" t="s">
        <v>174</v>
      </c>
      <c r="F15" s="51"/>
      <c r="G15" s="116"/>
      <c r="H15" s="10" t="s">
        <v>47</v>
      </c>
      <c r="I15" s="68">
        <v>0.96589165240170005</v>
      </c>
      <c r="J15" s="104">
        <v>19.245572916666667</v>
      </c>
    </row>
    <row r="16" spans="1:10" ht="15" customHeight="1">
      <c r="A16" s="6" t="s">
        <v>48</v>
      </c>
      <c r="B16" s="51">
        <v>72</v>
      </c>
      <c r="C16" s="52">
        <v>58</v>
      </c>
      <c r="D16" s="6" t="s">
        <v>49</v>
      </c>
      <c r="E16" s="51">
        <v>2</v>
      </c>
      <c r="F16" s="51"/>
      <c r="G16" s="116"/>
      <c r="H16" s="10" t="s">
        <v>50</v>
      </c>
      <c r="I16" s="68">
        <v>0.95749474318512517</v>
      </c>
      <c r="J16" s="105" t="s">
        <v>51</v>
      </c>
    </row>
    <row r="17" spans="1:10" ht="15" customHeight="1" thickBot="1">
      <c r="A17" s="6" t="s">
        <v>52</v>
      </c>
      <c r="B17" s="51" t="s">
        <v>178</v>
      </c>
      <c r="C17" s="52" t="s">
        <v>179</v>
      </c>
      <c r="D17" s="96" t="s">
        <v>53</v>
      </c>
      <c r="E17" s="51" t="s">
        <v>185</v>
      </c>
      <c r="F17" s="51"/>
      <c r="G17" s="116"/>
      <c r="H17" s="10" t="s">
        <v>54</v>
      </c>
      <c r="I17" s="68">
        <v>0.92483617966102194</v>
      </c>
      <c r="J17" s="104">
        <v>430.50485626398103</v>
      </c>
    </row>
    <row r="18" spans="1:10" ht="15" customHeight="1">
      <c r="A18" s="6" t="s">
        <v>55</v>
      </c>
      <c r="B18" s="51" t="s">
        <v>174</v>
      </c>
      <c r="C18" s="73">
        <v>0</v>
      </c>
      <c r="D18" s="6" t="s">
        <v>56</v>
      </c>
      <c r="E18" s="140">
        <v>1367</v>
      </c>
      <c r="F18" s="70">
        <v>951</v>
      </c>
      <c r="G18" s="74"/>
      <c r="H18" s="13" t="s">
        <v>57</v>
      </c>
      <c r="I18" s="132" t="s">
        <v>199</v>
      </c>
      <c r="J18" s="133"/>
    </row>
    <row r="19" spans="1:10" ht="15" customHeight="1">
      <c r="A19" s="6" t="s">
        <v>58</v>
      </c>
      <c r="B19" s="69">
        <v>62</v>
      </c>
      <c r="C19" s="73">
        <v>38.549999237060547</v>
      </c>
      <c r="D19" s="6" t="s">
        <v>59</v>
      </c>
      <c r="E19" s="70">
        <v>240</v>
      </c>
      <c r="F19" s="51"/>
      <c r="G19" s="52"/>
      <c r="H19" s="146"/>
      <c r="I19" s="3" t="s">
        <v>60</v>
      </c>
      <c r="J19" s="31" t="s">
        <v>61</v>
      </c>
    </row>
    <row r="20" spans="1:10" ht="15" customHeight="1">
      <c r="A20" s="6" t="s">
        <v>62</v>
      </c>
      <c r="B20" s="69" t="s">
        <v>180</v>
      </c>
      <c r="C20" s="73">
        <v>12.050000190734863</v>
      </c>
      <c r="D20" s="6" t="s">
        <v>166</v>
      </c>
      <c r="E20" s="67">
        <v>0.13802589849672636</v>
      </c>
      <c r="F20" s="51"/>
      <c r="G20" s="52"/>
      <c r="H20" s="10" t="s">
        <v>63</v>
      </c>
      <c r="I20" s="68">
        <v>17.994585037231445</v>
      </c>
      <c r="J20" s="72">
        <v>17.994585037231445</v>
      </c>
    </row>
    <row r="21" spans="1:10" ht="15" customHeight="1">
      <c r="A21" s="6" t="s">
        <v>64</v>
      </c>
      <c r="B21" s="69">
        <v>14.199999809265137</v>
      </c>
      <c r="C21" s="73">
        <v>3.5</v>
      </c>
      <c r="D21" s="10" t="s">
        <v>186</v>
      </c>
      <c r="E21" s="67">
        <v>0.18412492157028917</v>
      </c>
      <c r="F21" s="67">
        <v>0.13535270094871521</v>
      </c>
      <c r="G21" s="71">
        <v>2.017599053416911E-2</v>
      </c>
      <c r="H21" s="10" t="s">
        <v>65</v>
      </c>
      <c r="I21" s="68">
        <v>19.290695190429688</v>
      </c>
      <c r="J21" s="72">
        <v>13.827546119689941</v>
      </c>
    </row>
    <row r="22" spans="1:10" ht="15" customHeight="1">
      <c r="A22" s="6" t="s">
        <v>66</v>
      </c>
      <c r="B22" s="69">
        <v>2.8299999237060547</v>
      </c>
      <c r="C22" s="73">
        <v>3.5</v>
      </c>
      <c r="D22" s="6" t="s">
        <v>67</v>
      </c>
      <c r="E22" s="51" t="s">
        <v>187</v>
      </c>
      <c r="F22" s="51" t="s">
        <v>188</v>
      </c>
      <c r="G22" s="52" t="s">
        <v>188</v>
      </c>
      <c r="H22" s="10" t="s">
        <v>68</v>
      </c>
      <c r="I22" s="68">
        <v>5.7038311958312988</v>
      </c>
      <c r="J22" s="72">
        <v>5.2560439109802246</v>
      </c>
    </row>
    <row r="23" spans="1:10" ht="15" customHeight="1">
      <c r="A23" s="6" t="s">
        <v>69</v>
      </c>
      <c r="B23" s="69">
        <v>8.9692268371582031</v>
      </c>
      <c r="C23" s="73">
        <v>12.313919067382813</v>
      </c>
      <c r="D23" s="6" t="s">
        <v>70</v>
      </c>
      <c r="E23" s="68">
        <v>1.7419999837875366</v>
      </c>
      <c r="F23" s="68">
        <v>1.7239999771118164</v>
      </c>
      <c r="G23" s="72">
        <v>1.7239999771118164</v>
      </c>
      <c r="H23" s="10" t="s">
        <v>71</v>
      </c>
      <c r="I23" s="68">
        <v>5.727910023287154</v>
      </c>
      <c r="J23" s="16" t="s">
        <v>200</v>
      </c>
    </row>
    <row r="24" spans="1:10" ht="15" customHeight="1">
      <c r="A24" s="6" t="s">
        <v>72</v>
      </c>
      <c r="B24" s="69">
        <v>0</v>
      </c>
      <c r="C24" s="73">
        <v>0.80000001192092896</v>
      </c>
      <c r="D24" s="6" t="s">
        <v>73</v>
      </c>
      <c r="E24" s="68">
        <v>8.8900003433227539</v>
      </c>
      <c r="F24" s="68">
        <v>8.8900003433227539</v>
      </c>
      <c r="G24" s="72">
        <v>8.8900003433227539</v>
      </c>
      <c r="H24" s="10" t="s">
        <v>74</v>
      </c>
      <c r="I24" s="68">
        <v>3.5214854515373335</v>
      </c>
      <c r="J24" s="72">
        <v>3.310813220490096</v>
      </c>
    </row>
    <row r="25" spans="1:10" ht="15" customHeight="1">
      <c r="A25" s="6" t="s">
        <v>75</v>
      </c>
      <c r="B25" s="51" t="s">
        <v>174</v>
      </c>
      <c r="C25" s="73">
        <v>0.80000001192092896</v>
      </c>
      <c r="D25" s="109" t="s">
        <v>76</v>
      </c>
      <c r="E25" s="53"/>
      <c r="F25" s="53"/>
      <c r="G25" s="60"/>
      <c r="H25" s="10" t="s">
        <v>77</v>
      </c>
      <c r="I25" s="68">
        <v>0.3396536111831665</v>
      </c>
      <c r="J25" s="72">
        <v>0.68240475654602051</v>
      </c>
    </row>
    <row r="26" spans="1:10" ht="15" customHeight="1">
      <c r="A26" s="6" t="s">
        <v>78</v>
      </c>
      <c r="B26" s="53" t="s">
        <v>181</v>
      </c>
      <c r="C26" s="60" t="s">
        <v>182</v>
      </c>
      <c r="D26" s="10" t="s">
        <v>79</v>
      </c>
      <c r="E26" s="69">
        <v>362.30148050553265</v>
      </c>
      <c r="F26" s="69">
        <v>212.44576060443876</v>
      </c>
      <c r="G26" s="73">
        <v>40.615364667603743</v>
      </c>
      <c r="H26" s="10" t="s">
        <v>80</v>
      </c>
      <c r="I26" s="68">
        <v>5.3968968391418457</v>
      </c>
      <c r="J26" s="72">
        <v>4.7576608657836914</v>
      </c>
    </row>
    <row r="27" spans="1:10" ht="15" customHeight="1" thickBot="1">
      <c r="A27" s="6" t="s">
        <v>81</v>
      </c>
      <c r="B27" s="51" t="s">
        <v>174</v>
      </c>
      <c r="C27" s="52" t="s">
        <v>174</v>
      </c>
      <c r="D27" s="11" t="s">
        <v>82</v>
      </c>
      <c r="E27" s="80" t="s">
        <v>174</v>
      </c>
      <c r="F27" s="80" t="s">
        <v>174</v>
      </c>
      <c r="G27" s="82" t="s">
        <v>174</v>
      </c>
      <c r="H27" s="11" t="s">
        <v>83</v>
      </c>
      <c r="I27" s="79">
        <v>5.4075746536254883</v>
      </c>
      <c r="J27" s="81">
        <v>4.8063516616821289</v>
      </c>
    </row>
    <row r="28" spans="1:10" ht="15" customHeight="1">
      <c r="A28" s="6" t="s">
        <v>84</v>
      </c>
      <c r="B28" s="1"/>
      <c r="C28" s="39"/>
      <c r="D28" s="13" t="s">
        <v>85</v>
      </c>
      <c r="E28" s="22"/>
      <c r="F28" s="19"/>
      <c r="G28" s="42"/>
      <c r="H28" s="15"/>
      <c r="I28" s="28" t="s">
        <v>86</v>
      </c>
      <c r="J28" s="15"/>
    </row>
    <row r="29" spans="1:10" ht="15" customHeight="1">
      <c r="A29" s="7"/>
      <c r="B29" s="35" t="s">
        <v>87</v>
      </c>
      <c r="C29" s="75">
        <v>35.000967785669218</v>
      </c>
      <c r="D29" s="7"/>
      <c r="E29" s="3" t="s">
        <v>88</v>
      </c>
      <c r="F29" s="3" t="s">
        <v>89</v>
      </c>
      <c r="G29" s="3" t="s">
        <v>90</v>
      </c>
      <c r="H29" s="16" t="s">
        <v>91</v>
      </c>
      <c r="I29" s="3" t="s">
        <v>92</v>
      </c>
      <c r="J29" s="16" t="s">
        <v>93</v>
      </c>
    </row>
    <row r="30" spans="1:10" ht="15" customHeight="1" thickBot="1">
      <c r="A30" s="8"/>
      <c r="B30" s="63" t="s">
        <v>94</v>
      </c>
      <c r="C30" s="76">
        <v>35.035971137034089</v>
      </c>
      <c r="D30" s="10" t="s">
        <v>95</v>
      </c>
      <c r="E30" s="69">
        <v>20.158535833333332</v>
      </c>
      <c r="F30" s="69">
        <v>876.98997192382819</v>
      </c>
      <c r="G30" s="69">
        <v>8.9071175751631557</v>
      </c>
      <c r="H30" s="74">
        <v>61.510568823313456</v>
      </c>
      <c r="I30" s="70">
        <v>98151.966735051392</v>
      </c>
      <c r="J30" s="74">
        <v>2886.9361847437231</v>
      </c>
    </row>
    <row r="31" spans="1:10" ht="15" customHeight="1">
      <c r="A31" s="23" t="s">
        <v>96</v>
      </c>
      <c r="B31" s="147"/>
      <c r="C31" s="27"/>
      <c r="D31" s="10" t="s">
        <v>97</v>
      </c>
      <c r="E31" s="69">
        <v>6.2</v>
      </c>
      <c r="F31" s="69">
        <v>820.79186004498979</v>
      </c>
      <c r="G31" s="69">
        <v>9.5169715641873047</v>
      </c>
      <c r="H31" s="74">
        <v>22.063454671521921</v>
      </c>
      <c r="I31" s="70">
        <v>30533.457193673621</v>
      </c>
      <c r="J31" s="74">
        <v>999.78802038327149</v>
      </c>
    </row>
    <row r="32" spans="1:10" ht="15" customHeight="1">
      <c r="A32" s="6" t="s">
        <v>98</v>
      </c>
      <c r="B32" s="68" t="s">
        <v>243</v>
      </c>
      <c r="C32" s="110"/>
      <c r="D32" s="10" t="s">
        <v>99</v>
      </c>
      <c r="E32" s="69">
        <v>11.773108569940806</v>
      </c>
      <c r="F32" s="69">
        <v>1904.2121521289821</v>
      </c>
      <c r="G32" s="69">
        <v>4.1021966924384294</v>
      </c>
      <c r="H32" s="74">
        <v>11.842489228422949</v>
      </c>
      <c r="I32" s="9" t="s">
        <v>100</v>
      </c>
      <c r="J32" s="74">
        <v>3886.7242051269945</v>
      </c>
    </row>
    <row r="33" spans="1:10" ht="15" customHeight="1">
      <c r="A33" s="6" t="s">
        <v>101</v>
      </c>
      <c r="B33" s="68" t="s">
        <v>244</v>
      </c>
      <c r="C33" s="111" t="s">
        <v>102</v>
      </c>
      <c r="D33" s="10" t="s">
        <v>97</v>
      </c>
      <c r="E33" s="69">
        <v>3.854999923706055</v>
      </c>
      <c r="F33" s="69">
        <v>907.75745674815653</v>
      </c>
      <c r="G33" s="69">
        <v>8.6052201875018497</v>
      </c>
      <c r="H33" s="74">
        <v>10.874434292431236</v>
      </c>
      <c r="I33" s="9" t="s">
        <v>103</v>
      </c>
      <c r="J33" s="73" t="s">
        <v>211</v>
      </c>
    </row>
    <row r="34" spans="1:10" ht="15" customHeight="1" thickBot="1">
      <c r="A34" s="17" t="s">
        <v>104</v>
      </c>
      <c r="B34" s="79" t="s">
        <v>245</v>
      </c>
      <c r="C34" s="112">
        <v>7.8114527921645731</v>
      </c>
      <c r="D34" s="11" t="s">
        <v>20</v>
      </c>
      <c r="E34" s="79">
        <v>0.20999999046325685</v>
      </c>
      <c r="F34" s="80">
        <v>1786.8696428401715</v>
      </c>
      <c r="G34" s="80">
        <v>4.3715851480629118</v>
      </c>
      <c r="H34" s="83">
        <v>730.54793862544659</v>
      </c>
      <c r="I34" s="9" t="s">
        <v>105</v>
      </c>
      <c r="J34" s="73">
        <v>6.0500001907348633</v>
      </c>
    </row>
    <row r="35" spans="1:10" ht="15" customHeight="1">
      <c r="A35" s="13" t="s">
        <v>106</v>
      </c>
      <c r="B35" s="14"/>
      <c r="C35" s="14"/>
      <c r="D35" s="137" t="s">
        <v>213</v>
      </c>
      <c r="E35" s="148" t="s">
        <v>212</v>
      </c>
      <c r="F35" s="15"/>
      <c r="G35" s="26" t="s">
        <v>107</v>
      </c>
      <c r="H35" s="85" t="s">
        <v>206</v>
      </c>
      <c r="I35" s="10" t="s">
        <v>108</v>
      </c>
      <c r="J35" s="74" t="s">
        <v>210</v>
      </c>
    </row>
    <row r="36" spans="1:10" ht="15" customHeight="1">
      <c r="A36" s="6" t="s">
        <v>109</v>
      </c>
      <c r="B36" s="3">
        <v>25</v>
      </c>
      <c r="C36" s="3">
        <v>50</v>
      </c>
      <c r="D36" s="3">
        <v>75</v>
      </c>
      <c r="E36" s="3">
        <v>100</v>
      </c>
      <c r="F36" s="16">
        <v>125</v>
      </c>
      <c r="G36" s="10" t="s">
        <v>110</v>
      </c>
      <c r="H36" s="74" t="s">
        <v>204</v>
      </c>
      <c r="I36" s="10" t="s">
        <v>111</v>
      </c>
      <c r="J36" s="74" t="s">
        <v>209</v>
      </c>
    </row>
    <row r="37" spans="1:10" ht="15" customHeight="1" thickBot="1">
      <c r="A37" s="6" t="s">
        <v>112</v>
      </c>
      <c r="B37" s="69" t="s">
        <v>225</v>
      </c>
      <c r="C37" s="69" t="s">
        <v>226</v>
      </c>
      <c r="D37" s="69" t="s">
        <v>227</v>
      </c>
      <c r="E37" s="69" t="s">
        <v>228</v>
      </c>
      <c r="F37" s="73" t="s">
        <v>229</v>
      </c>
      <c r="G37" s="10" t="s">
        <v>113</v>
      </c>
      <c r="H37" s="74" t="s">
        <v>205</v>
      </c>
      <c r="I37" s="11" t="s">
        <v>114</v>
      </c>
      <c r="J37" s="83" t="s">
        <v>208</v>
      </c>
    </row>
    <row r="38" spans="1:10" ht="15" customHeight="1" thickBot="1">
      <c r="A38" s="6" t="s">
        <v>115</v>
      </c>
      <c r="B38" s="68" t="s">
        <v>215</v>
      </c>
      <c r="C38" s="68" t="s">
        <v>216</v>
      </c>
      <c r="D38" s="68" t="s">
        <v>217</v>
      </c>
      <c r="E38" s="68" t="s">
        <v>218</v>
      </c>
      <c r="F38" s="72" t="s">
        <v>219</v>
      </c>
      <c r="G38" s="17" t="s">
        <v>116</v>
      </c>
      <c r="H38" s="83" t="s">
        <v>207</v>
      </c>
      <c r="I38" s="139" t="s">
        <v>214</v>
      </c>
      <c r="J38" s="84">
        <v>7956.40673828125</v>
      </c>
    </row>
    <row r="39" spans="1:10" ht="15" customHeight="1">
      <c r="A39" s="6" t="s">
        <v>117</v>
      </c>
      <c r="B39" s="68" t="s">
        <v>220</v>
      </c>
      <c r="C39" s="68" t="s">
        <v>221</v>
      </c>
      <c r="D39" s="68" t="s">
        <v>222</v>
      </c>
      <c r="E39" s="68" t="s">
        <v>223</v>
      </c>
      <c r="F39" s="72" t="s">
        <v>224</v>
      </c>
      <c r="G39" s="13" t="s">
        <v>118</v>
      </c>
      <c r="H39" s="14"/>
      <c r="I39" s="40" t="s">
        <v>119</v>
      </c>
      <c r="J39" s="41" t="s">
        <v>120</v>
      </c>
    </row>
    <row r="40" spans="1:10" ht="15" customHeight="1">
      <c r="A40" s="6" t="s">
        <v>119</v>
      </c>
      <c r="B40" s="67" t="s">
        <v>238</v>
      </c>
      <c r="C40" s="67" t="s">
        <v>239</v>
      </c>
      <c r="D40" s="67" t="s">
        <v>240</v>
      </c>
      <c r="E40" s="67" t="s">
        <v>241</v>
      </c>
      <c r="F40" s="71" t="s">
        <v>242</v>
      </c>
      <c r="G40" s="36" t="s">
        <v>121</v>
      </c>
      <c r="H40" s="91" t="s">
        <v>246</v>
      </c>
      <c r="I40" s="55"/>
      <c r="J40" s="56"/>
    </row>
    <row r="41" spans="1:10" ht="15" customHeight="1">
      <c r="A41" s="6" t="s">
        <v>5</v>
      </c>
      <c r="B41" s="70" t="s">
        <v>233</v>
      </c>
      <c r="C41" s="70" t="s">
        <v>234</v>
      </c>
      <c r="D41" s="70" t="s">
        <v>235</v>
      </c>
      <c r="E41" s="70" t="s">
        <v>236</v>
      </c>
      <c r="F41" s="74" t="s">
        <v>237</v>
      </c>
      <c r="G41" s="37" t="s">
        <v>122</v>
      </c>
      <c r="H41" s="92" t="s">
        <v>247</v>
      </c>
      <c r="I41" s="57"/>
      <c r="J41" s="58"/>
    </row>
    <row r="42" spans="1:10" ht="15" customHeight="1">
      <c r="A42" s="6" t="s">
        <v>123</v>
      </c>
      <c r="B42" s="68">
        <v>11.274032045728219</v>
      </c>
      <c r="C42" s="68">
        <v>11.274032045728219</v>
      </c>
      <c r="D42" s="68">
        <v>11.274032045728219</v>
      </c>
      <c r="E42" s="68">
        <v>11.274032045728219</v>
      </c>
      <c r="F42" s="72">
        <v>11.274032045728219</v>
      </c>
      <c r="G42" s="36" t="s">
        <v>124</v>
      </c>
      <c r="H42" s="91" t="s">
        <v>248</v>
      </c>
      <c r="I42" s="55"/>
      <c r="J42" s="97">
        <v>0.14198401216754725</v>
      </c>
    </row>
    <row r="43" spans="1:10" ht="15" customHeight="1" thickBot="1">
      <c r="A43" s="17" t="s">
        <v>125</v>
      </c>
      <c r="B43" s="79">
        <v>11.274032045728219</v>
      </c>
      <c r="C43" s="79"/>
      <c r="D43" s="79" t="s">
        <v>251</v>
      </c>
      <c r="E43" s="79"/>
      <c r="F43" s="81"/>
      <c r="G43" s="37" t="s">
        <v>122</v>
      </c>
      <c r="H43" s="92" t="s">
        <v>249</v>
      </c>
      <c r="I43" s="57"/>
      <c r="J43" s="58"/>
    </row>
    <row r="44" spans="1:10" ht="15" customHeight="1">
      <c r="A44" s="5" t="s">
        <v>126</v>
      </c>
      <c r="B44" s="144"/>
      <c r="C44" s="1"/>
      <c r="D44" s="1"/>
      <c r="E44" s="5" t="s">
        <v>127</v>
      </c>
      <c r="F44" s="20"/>
      <c r="G44" s="36" t="s">
        <v>128</v>
      </c>
      <c r="H44" s="93">
        <v>1362.3990654429226</v>
      </c>
      <c r="I44" s="90">
        <v>2.8801413107328654E-2</v>
      </c>
      <c r="J44" s="97">
        <v>0.64218372339174012</v>
      </c>
    </row>
    <row r="45" spans="1:10" ht="15" customHeight="1">
      <c r="A45" s="6" t="s">
        <v>129</v>
      </c>
      <c r="B45" s="68">
        <v>0.2318776547908783</v>
      </c>
      <c r="C45" s="4" t="s">
        <v>130</v>
      </c>
      <c r="D45" s="72">
        <v>7.9609788954257965E-3</v>
      </c>
      <c r="E45" s="6" t="s">
        <v>131</v>
      </c>
      <c r="F45" s="74">
        <v>580.93108315610743</v>
      </c>
      <c r="G45" s="38" t="s">
        <v>122</v>
      </c>
      <c r="H45" s="86" t="s">
        <v>250</v>
      </c>
      <c r="I45" s="59"/>
      <c r="J45" s="60"/>
    </row>
    <row r="46" spans="1:10" ht="15" customHeight="1">
      <c r="A46" s="6" t="s">
        <v>132</v>
      </c>
      <c r="B46" s="68">
        <v>0.21429796516895294</v>
      </c>
      <c r="C46" s="4" t="s">
        <v>133</v>
      </c>
      <c r="D46" s="72">
        <v>6.1756749637424946E-3</v>
      </c>
      <c r="E46" s="6" t="s">
        <v>134</v>
      </c>
      <c r="F46" s="74">
        <v>1010.0428465860005</v>
      </c>
      <c r="G46" s="37" t="s">
        <v>135</v>
      </c>
      <c r="H46" s="94">
        <v>297.38546641583105</v>
      </c>
      <c r="I46" s="57"/>
      <c r="J46" s="58"/>
    </row>
    <row r="47" spans="1:10" ht="15" customHeight="1">
      <c r="A47" s="6" t="s">
        <v>136</v>
      </c>
      <c r="B47" s="68">
        <v>0.44617563486099243</v>
      </c>
      <c r="C47" s="4" t="s">
        <v>137</v>
      </c>
      <c r="D47" s="72">
        <v>2.5134049355983734E-2</v>
      </c>
      <c r="E47" s="6" t="s">
        <v>138</v>
      </c>
      <c r="F47" s="74">
        <v>802.93104628196249</v>
      </c>
      <c r="G47" s="64" t="s">
        <v>139</v>
      </c>
      <c r="H47" s="93">
        <v>1323.7436899802503</v>
      </c>
      <c r="I47" s="90">
        <v>2.7957183314091649E-2</v>
      </c>
      <c r="J47" s="95">
        <v>0.65223473514768693</v>
      </c>
    </row>
    <row r="48" spans="1:10" ht="15" customHeight="1">
      <c r="A48" s="6" t="s">
        <v>140</v>
      </c>
      <c r="B48" s="68">
        <v>1.1242997832596302E-2</v>
      </c>
      <c r="C48" s="4" t="s">
        <v>100</v>
      </c>
      <c r="D48" s="72">
        <v>5.0513699650764465E-2</v>
      </c>
      <c r="E48" s="6" t="s">
        <v>141</v>
      </c>
      <c r="F48" s="74">
        <v>7.3191677616053399</v>
      </c>
      <c r="G48" s="65" t="s">
        <v>122</v>
      </c>
      <c r="H48" s="86">
        <v>221.80692309924444</v>
      </c>
      <c r="I48" s="59"/>
      <c r="J48" s="60"/>
    </row>
    <row r="49" spans="1:10" ht="15" customHeight="1" thickBot="1">
      <c r="A49" s="8"/>
      <c r="B49" s="54"/>
      <c r="C49" s="33" t="s">
        <v>142</v>
      </c>
      <c r="D49" s="81">
        <v>0.94948631525039673</v>
      </c>
      <c r="E49" s="17" t="s">
        <v>143</v>
      </c>
      <c r="F49" s="83">
        <v>15.847928585580112</v>
      </c>
      <c r="G49" s="66" t="s">
        <v>135</v>
      </c>
      <c r="H49" s="94">
        <v>292.93187701999602</v>
      </c>
      <c r="I49" s="57"/>
      <c r="J49" s="61"/>
    </row>
    <row r="50" spans="1:10" ht="15" customHeight="1">
      <c r="A50" s="13" t="s">
        <v>196</v>
      </c>
      <c r="B50" s="14"/>
      <c r="C50" s="14"/>
      <c r="D50" s="14"/>
      <c r="E50" s="14"/>
      <c r="F50" s="15"/>
      <c r="G50" s="13" t="s">
        <v>144</v>
      </c>
      <c r="H50" s="14"/>
      <c r="I50" s="42"/>
      <c r="J50" s="27"/>
    </row>
    <row r="51" spans="1:10" ht="15" customHeight="1">
      <c r="A51" s="10" t="s">
        <v>145</v>
      </c>
      <c r="B51" s="51">
        <v>58</v>
      </c>
      <c r="C51" s="9" t="s">
        <v>146</v>
      </c>
      <c r="D51" s="69" t="s">
        <v>174</v>
      </c>
      <c r="E51" s="9" t="s">
        <v>147</v>
      </c>
      <c r="F51" s="73" t="s">
        <v>174</v>
      </c>
      <c r="G51" s="9" t="s">
        <v>148</v>
      </c>
      <c r="H51" s="67">
        <v>3.5789261912907072E-2</v>
      </c>
      <c r="I51" s="45" t="s">
        <v>149</v>
      </c>
      <c r="J51" s="39"/>
    </row>
    <row r="52" spans="1:10" ht="15" customHeight="1">
      <c r="A52" s="10" t="s">
        <v>58</v>
      </c>
      <c r="B52" s="69">
        <v>38.549999237060547</v>
      </c>
      <c r="C52" s="9" t="s">
        <v>150</v>
      </c>
      <c r="D52" s="69" t="s">
        <v>174</v>
      </c>
      <c r="E52" s="9" t="s">
        <v>151</v>
      </c>
      <c r="F52" s="73" t="s">
        <v>174</v>
      </c>
      <c r="G52" s="9" t="s">
        <v>168</v>
      </c>
      <c r="H52" s="69">
        <v>227564.95696478579</v>
      </c>
      <c r="I52" s="98" t="s">
        <v>230</v>
      </c>
      <c r="J52" s="62"/>
    </row>
    <row r="53" spans="1:10" ht="15" customHeight="1">
      <c r="A53" s="10" t="s">
        <v>64</v>
      </c>
      <c r="B53" s="69">
        <v>3.5</v>
      </c>
      <c r="C53" s="9" t="s">
        <v>152</v>
      </c>
      <c r="D53" s="69" t="s">
        <v>174</v>
      </c>
      <c r="E53" s="9" t="s">
        <v>153</v>
      </c>
      <c r="F53" s="73" t="s">
        <v>174</v>
      </c>
      <c r="G53" s="9" t="s">
        <v>169</v>
      </c>
      <c r="H53" s="68">
        <v>227.35232897500683</v>
      </c>
      <c r="I53" s="44" t="s">
        <v>154</v>
      </c>
      <c r="J53" s="39"/>
    </row>
    <row r="54" spans="1:10" ht="15" customHeight="1">
      <c r="A54" s="10" t="s">
        <v>66</v>
      </c>
      <c r="B54" s="69">
        <v>3.5</v>
      </c>
      <c r="C54" s="9" t="s">
        <v>155</v>
      </c>
      <c r="D54" s="69" t="s">
        <v>174</v>
      </c>
      <c r="E54" s="9" t="s">
        <v>153</v>
      </c>
      <c r="F54" s="73" t="s">
        <v>174</v>
      </c>
      <c r="G54" s="9" t="s">
        <v>170</v>
      </c>
      <c r="H54" s="70">
        <v>486178</v>
      </c>
      <c r="I54" s="99" t="s">
        <v>231</v>
      </c>
      <c r="J54" s="100" t="s">
        <v>194</v>
      </c>
    </row>
    <row r="55" spans="1:10" ht="15" customHeight="1">
      <c r="A55" s="10" t="s">
        <v>156</v>
      </c>
      <c r="B55" s="69">
        <v>12.050000190734863</v>
      </c>
      <c r="C55" s="9" t="s">
        <v>157</v>
      </c>
      <c r="D55" s="69" t="s">
        <v>174</v>
      </c>
      <c r="E55" s="9" t="s">
        <v>158</v>
      </c>
      <c r="F55" s="73" t="s">
        <v>174</v>
      </c>
      <c r="G55" s="9" t="s">
        <v>159</v>
      </c>
      <c r="H55" s="69">
        <v>1</v>
      </c>
      <c r="I55" s="44" t="s">
        <v>160</v>
      </c>
      <c r="J55" s="39"/>
    </row>
    <row r="56" spans="1:10" ht="15" customHeight="1" thickBot="1">
      <c r="A56" s="11" t="s">
        <v>161</v>
      </c>
      <c r="B56" s="80" t="s">
        <v>174</v>
      </c>
      <c r="C56" s="21" t="s">
        <v>162</v>
      </c>
      <c r="D56" s="80" t="s">
        <v>174</v>
      </c>
      <c r="E56" s="21" t="s">
        <v>163</v>
      </c>
      <c r="F56" s="82" t="s">
        <v>174</v>
      </c>
      <c r="G56" s="21" t="s">
        <v>164</v>
      </c>
      <c r="H56" s="79">
        <v>0.87493749999999992</v>
      </c>
      <c r="I56" s="101" t="s">
        <v>232</v>
      </c>
      <c r="J56" s="61" t="s">
        <v>195</v>
      </c>
    </row>
    <row r="57" spans="1:10" ht="15" customHeight="1">
      <c r="A57" s="23" t="s">
        <v>252</v>
      </c>
      <c r="B57" s="42"/>
      <c r="C57" s="42"/>
      <c r="D57" s="42"/>
      <c r="E57" s="42"/>
      <c r="F57" s="27"/>
      <c r="G57" s="119"/>
      <c r="H57" s="120"/>
      <c r="I57" s="120"/>
      <c r="J57" s="121"/>
    </row>
    <row r="58" spans="1:10" ht="15" customHeight="1">
      <c r="A58" s="102" t="s">
        <v>119</v>
      </c>
      <c r="B58" s="3" t="s">
        <v>165</v>
      </c>
      <c r="C58" s="16" t="s">
        <v>253</v>
      </c>
      <c r="D58" s="3" t="s">
        <v>119</v>
      </c>
      <c r="E58" s="3" t="s">
        <v>165</v>
      </c>
      <c r="F58" s="16" t="s">
        <v>254</v>
      </c>
      <c r="G58" s="122"/>
      <c r="H58" s="32"/>
      <c r="I58" s="32"/>
      <c r="J58" s="46"/>
    </row>
    <row r="59" spans="1:10" ht="15" customHeight="1">
      <c r="A59" s="126">
        <v>0</v>
      </c>
      <c r="B59" s="86">
        <v>0</v>
      </c>
      <c r="C59" s="87">
        <v>0.21082784235477448</v>
      </c>
      <c r="D59" s="128">
        <v>0.68736839294433594</v>
      </c>
      <c r="E59" s="86">
        <v>110.21754928390658</v>
      </c>
      <c r="F59" s="87">
        <v>631.7330322265625</v>
      </c>
      <c r="G59" s="122"/>
      <c r="H59" s="32"/>
      <c r="I59" s="32"/>
      <c r="J59" s="46"/>
    </row>
    <row r="60" spans="1:10" ht="15" customHeight="1">
      <c r="A60" s="130">
        <v>2.0000003278255463E-3</v>
      </c>
      <c r="B60" s="86">
        <v>156.14834607668786</v>
      </c>
      <c r="C60" s="87">
        <v>177.02201843261719</v>
      </c>
      <c r="D60" s="128">
        <v>0.79157894849777222</v>
      </c>
      <c r="E60" s="86">
        <v>110.09242164451938</v>
      </c>
      <c r="F60" s="87">
        <v>637.21026611328125</v>
      </c>
      <c r="G60" s="122"/>
      <c r="H60" s="32"/>
      <c r="I60" s="32"/>
      <c r="J60" s="46"/>
    </row>
    <row r="61" spans="1:10" ht="15" customHeight="1">
      <c r="A61" s="130">
        <v>1.0000001639127731E-2</v>
      </c>
      <c r="B61" s="86">
        <v>244</v>
      </c>
      <c r="C61" s="87">
        <v>480.33084106445313</v>
      </c>
      <c r="D61" s="128">
        <v>0.89578944444656372</v>
      </c>
      <c r="E61" s="86">
        <v>110.02878215640398</v>
      </c>
      <c r="F61" s="87">
        <v>641.735107421875</v>
      </c>
      <c r="G61" s="122"/>
      <c r="H61" s="32"/>
      <c r="I61" s="32"/>
      <c r="J61" s="46"/>
    </row>
    <row r="62" spans="1:10" ht="15" customHeight="1">
      <c r="A62" s="126">
        <v>6.2105264514684677E-2</v>
      </c>
      <c r="B62" s="86">
        <v>149.44172053441937</v>
      </c>
      <c r="C62" s="87">
        <v>544.79266357421875</v>
      </c>
      <c r="D62" s="129">
        <v>1</v>
      </c>
      <c r="E62" s="86">
        <v>110</v>
      </c>
      <c r="F62" s="87">
        <v>645.5445556640625</v>
      </c>
      <c r="G62" s="122"/>
      <c r="H62" s="32"/>
      <c r="I62" s="32"/>
      <c r="J62" s="46"/>
    </row>
    <row r="63" spans="1:10" ht="15" customHeight="1" thickBot="1">
      <c r="A63" s="126">
        <v>0.11421053111553192</v>
      </c>
      <c r="B63" s="86">
        <v>125.83513443915938</v>
      </c>
      <c r="C63" s="87">
        <v>564.20428466796875</v>
      </c>
      <c r="D63" s="152"/>
      <c r="E63" s="88"/>
      <c r="F63" s="153"/>
      <c r="G63" s="122"/>
      <c r="H63" s="32"/>
      <c r="I63" s="32"/>
      <c r="J63" s="46"/>
    </row>
    <row r="64" spans="1:10" ht="15" customHeight="1">
      <c r="A64" s="126">
        <v>0.16631579399108887</v>
      </c>
      <c r="B64" s="86">
        <v>117.22088098223787</v>
      </c>
      <c r="C64" s="87">
        <v>575.459716796875</v>
      </c>
      <c r="D64" s="154" t="s">
        <v>262</v>
      </c>
      <c r="E64" s="155"/>
      <c r="F64" s="155"/>
      <c r="G64" s="122"/>
      <c r="H64" s="32"/>
      <c r="I64" s="32"/>
      <c r="J64" s="46"/>
    </row>
    <row r="65" spans="1:10" ht="15" customHeight="1">
      <c r="A65" s="126">
        <v>0.27052631974220276</v>
      </c>
      <c r="B65" s="86">
        <v>112.84005071298898</v>
      </c>
      <c r="C65" s="87">
        <v>592.12872314453125</v>
      </c>
      <c r="D65" s="156" t="s">
        <v>256</v>
      </c>
      <c r="E65" s="158" t="s">
        <v>260</v>
      </c>
      <c r="F65" s="158"/>
      <c r="G65" s="122"/>
      <c r="H65" s="32"/>
      <c r="I65" s="32"/>
      <c r="J65" s="46"/>
    </row>
    <row r="66" spans="1:10" ht="15" customHeight="1">
      <c r="A66" s="126">
        <v>0.37473684549331665</v>
      </c>
      <c r="B66" s="86">
        <v>111.47820878831283</v>
      </c>
      <c r="C66" s="87">
        <v>605.47332763671875</v>
      </c>
      <c r="D66" s="156" t="s">
        <v>257</v>
      </c>
      <c r="E66" s="158" t="s">
        <v>261</v>
      </c>
      <c r="F66" s="158"/>
      <c r="G66" s="122"/>
      <c r="H66" s="32"/>
      <c r="I66" s="32"/>
      <c r="J66" s="46"/>
    </row>
    <row r="67" spans="1:10" ht="15" customHeight="1">
      <c r="A67" s="126">
        <v>0.47894737124443054</v>
      </c>
      <c r="B67" s="86">
        <v>110.82357040935855</v>
      </c>
      <c r="C67" s="87">
        <v>616.29852294921875</v>
      </c>
      <c r="D67" s="156" t="s">
        <v>258</v>
      </c>
      <c r="E67" s="158" t="s">
        <v>263</v>
      </c>
      <c r="F67" s="158"/>
      <c r="G67" s="122"/>
      <c r="H67" s="32"/>
      <c r="I67" s="32"/>
      <c r="J67" s="46"/>
    </row>
    <row r="68" spans="1:10" ht="15" customHeight="1" thickBot="1">
      <c r="A68" s="127">
        <v>0.58315789699554443</v>
      </c>
      <c r="B68" s="88">
        <v>110.44066288098858</v>
      </c>
      <c r="C68" s="89">
        <v>624.86962890625</v>
      </c>
      <c r="D68" s="157" t="s">
        <v>259</v>
      </c>
      <c r="E68" s="159" t="s">
        <v>264</v>
      </c>
      <c r="F68" s="159"/>
      <c r="G68" s="123"/>
      <c r="H68" s="47"/>
      <c r="I68" s="47"/>
      <c r="J68" s="48"/>
    </row>
    <row r="69" spans="1:10" ht="15" customHeight="1">
      <c r="A69" s="32"/>
      <c r="B69" s="32"/>
      <c r="C69" s="32"/>
      <c r="D69" s="32"/>
      <c r="E69" s="32"/>
      <c r="F69" s="32"/>
      <c r="G69" s="32"/>
      <c r="H69" s="32"/>
      <c r="I69" s="32"/>
      <c r="J69" s="32"/>
    </row>
    <row r="70" spans="1:10" ht="15" customHeight="1">
      <c r="A70" s="32"/>
      <c r="B70" s="32"/>
      <c r="C70" s="32"/>
      <c r="D70" s="32"/>
      <c r="E70" s="32"/>
      <c r="F70" s="32"/>
      <c r="G70" s="32"/>
      <c r="H70" s="32"/>
      <c r="I70" s="32"/>
      <c r="J70" s="32"/>
    </row>
    <row r="71" spans="1:10">
      <c r="A71" s="1"/>
      <c r="B71" s="1"/>
      <c r="C71" s="1"/>
      <c r="D71" s="1"/>
      <c r="E71" s="1"/>
      <c r="F71" s="1"/>
      <c r="G71" s="1"/>
      <c r="H71" s="1"/>
      <c r="I71" s="1"/>
      <c r="J71" s="1"/>
    </row>
    <row r="99" spans="1:9">
      <c r="A99" s="151" t="s">
        <v>255</v>
      </c>
      <c r="B99" s="151"/>
      <c r="C99" s="151"/>
      <c r="D99" s="151"/>
      <c r="E99" s="151"/>
      <c r="F99" s="151"/>
      <c r="G99" s="151"/>
      <c r="H99" s="151"/>
      <c r="I99" s="151"/>
    </row>
    <row r="100" spans="1:9">
      <c r="A100" s="151">
        <v>100</v>
      </c>
      <c r="B100" s="151"/>
      <c r="C100" s="151"/>
      <c r="D100" s="151"/>
      <c r="E100" s="151"/>
      <c r="F100" s="151"/>
      <c r="G100" s="151"/>
      <c r="H100" s="151"/>
      <c r="I100" s="151"/>
    </row>
    <row r="101" spans="1:9">
      <c r="A101" s="151">
        <v>99.599998474121094</v>
      </c>
      <c r="B101" s="151"/>
      <c r="C101" s="151"/>
      <c r="D101" s="151"/>
      <c r="E101" s="151"/>
      <c r="F101" s="151"/>
      <c r="G101" s="151"/>
      <c r="H101" s="151"/>
      <c r="I101" s="151"/>
    </row>
    <row r="102" spans="1:9">
      <c r="A102" s="151">
        <v>98</v>
      </c>
      <c r="B102" s="151"/>
      <c r="C102" s="151"/>
      <c r="D102" s="151"/>
      <c r="E102" s="151"/>
      <c r="F102" s="151"/>
      <c r="G102" s="151"/>
      <c r="H102" s="151"/>
      <c r="I102" s="151"/>
    </row>
    <row r="103" spans="1:9">
      <c r="A103" s="151">
        <v>83.852630615234375</v>
      </c>
      <c r="B103" s="151"/>
      <c r="C103" s="151"/>
      <c r="D103" s="151"/>
      <c r="E103" s="151"/>
      <c r="F103" s="151"/>
      <c r="G103" s="151"/>
      <c r="H103" s="151"/>
      <c r="I103" s="151"/>
    </row>
    <row r="104" spans="1:9">
      <c r="A104" s="151">
        <v>70.305259704589844</v>
      </c>
      <c r="B104" s="151"/>
      <c r="C104" s="151"/>
      <c r="D104" s="151"/>
      <c r="E104" s="151"/>
      <c r="F104" s="151"/>
      <c r="G104" s="151"/>
      <c r="H104" s="151"/>
      <c r="I104" s="151"/>
    </row>
    <row r="105" spans="1:9">
      <c r="A105" s="151">
        <v>57.410526275634766</v>
      </c>
      <c r="B105" s="151"/>
      <c r="C105" s="151"/>
      <c r="D105" s="151"/>
      <c r="E105" s="151"/>
      <c r="F105" s="151"/>
      <c r="G105" s="151"/>
      <c r="H105" s="151"/>
      <c r="I105" s="151"/>
    </row>
    <row r="106" spans="1:9">
      <c r="A106" s="151">
        <v>38.010524749755859</v>
      </c>
      <c r="B106" s="151"/>
      <c r="C106" s="151"/>
      <c r="D106" s="151"/>
      <c r="E106" s="151"/>
      <c r="F106" s="151"/>
      <c r="G106" s="151"/>
      <c r="H106" s="151"/>
      <c r="I106" s="151"/>
    </row>
    <row r="107" spans="1:9">
      <c r="A107" s="151">
        <v>24.778947830200195</v>
      </c>
      <c r="B107" s="151"/>
      <c r="C107" s="151"/>
      <c r="D107" s="151"/>
      <c r="E107" s="151"/>
      <c r="F107" s="151"/>
      <c r="G107" s="151"/>
      <c r="H107" s="151"/>
      <c r="I107" s="151"/>
    </row>
    <row r="108" spans="1:9">
      <c r="A108" s="151">
        <v>15.684209823608398</v>
      </c>
      <c r="B108" s="151"/>
      <c r="C108" s="151"/>
      <c r="D108" s="151"/>
      <c r="E108" s="151"/>
      <c r="F108" s="151"/>
      <c r="G108" s="151"/>
      <c r="H108" s="151"/>
      <c r="I108" s="151"/>
    </row>
    <row r="109" spans="1:9">
      <c r="A109" s="151">
        <v>9.0105257034301758</v>
      </c>
      <c r="B109" s="151"/>
      <c r="C109" s="151"/>
      <c r="D109" s="151"/>
      <c r="E109" s="151"/>
      <c r="F109" s="151"/>
      <c r="G109" s="151"/>
      <c r="H109" s="151"/>
      <c r="I109" s="151"/>
    </row>
    <row r="110" spans="1:9">
      <c r="A110" s="151">
        <v>6.2526321411132813</v>
      </c>
      <c r="B110" s="151"/>
      <c r="C110" s="151"/>
      <c r="D110" s="151"/>
      <c r="E110" s="151"/>
      <c r="F110" s="151"/>
      <c r="G110" s="151"/>
      <c r="H110" s="151"/>
      <c r="I110" s="151"/>
    </row>
    <row r="111" spans="1:9">
      <c r="A111" s="151">
        <v>7.8315787315368652</v>
      </c>
      <c r="B111" s="151"/>
      <c r="C111" s="151"/>
      <c r="D111" s="151"/>
      <c r="E111" s="151"/>
      <c r="F111" s="151"/>
      <c r="G111" s="151"/>
      <c r="H111" s="151"/>
      <c r="I111" s="151"/>
    </row>
    <row r="112" spans="1:9">
      <c r="A112" s="151">
        <v>14.70526123046875</v>
      </c>
      <c r="B112" s="151"/>
      <c r="C112" s="151"/>
      <c r="D112" s="151"/>
      <c r="E112" s="151"/>
      <c r="F112" s="151"/>
      <c r="G112" s="151"/>
      <c r="H112" s="151"/>
      <c r="I112" s="151"/>
    </row>
    <row r="113" spans="1:9">
      <c r="A113" s="151">
        <v>30</v>
      </c>
      <c r="B113" s="151"/>
      <c r="C113" s="151"/>
      <c r="D113" s="151"/>
      <c r="E113" s="151"/>
      <c r="F113" s="151"/>
      <c r="G113" s="151"/>
      <c r="H113" s="151"/>
      <c r="I113" s="151"/>
    </row>
  </sheetData>
  <printOptions horizontalCentered="1"/>
  <pageMargins left="0.86614173228346503" right="0" top="0.23622047244094499" bottom="0.23622047244094499" header="0" footer="0"/>
  <pageSetup scale="75" orientation="portrait" horizontalDpi="1200" verticalDpi="1200"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53"/>
  <sheetViews>
    <sheetView workbookViewId="0">
      <selection activeCell="G43" sqref="G43"/>
    </sheetView>
  </sheetViews>
  <sheetFormatPr defaultColWidth="9.109375" defaultRowHeight="15"/>
  <cols>
    <col min="1" max="1" width="12.109375" style="309" customWidth="1"/>
    <col min="2" max="2" width="6.109375" style="309" customWidth="1"/>
    <col min="3" max="3" width="7.6640625" style="309" customWidth="1"/>
    <col min="4" max="5" width="13.109375" style="309" customWidth="1"/>
    <col min="6" max="6" width="9.44140625" style="309" customWidth="1"/>
    <col min="7" max="7" width="5.6640625" style="309" customWidth="1"/>
    <col min="8" max="8" width="7.88671875" style="309" customWidth="1"/>
    <col min="9" max="9" width="6.5546875" style="309" customWidth="1"/>
    <col min="10" max="11" width="12" style="309" customWidth="1"/>
    <col min="12" max="12" width="16" style="160" customWidth="1"/>
    <col min="13" max="26" width="9.109375" style="160"/>
    <col min="27" max="16384" width="9.109375" style="161"/>
  </cols>
  <sheetData>
    <row r="1" spans="1:26" ht="20.25" customHeight="1">
      <c r="A1" s="477" t="s">
        <v>265</v>
      </c>
      <c r="B1" s="477"/>
      <c r="C1" s="477"/>
      <c r="D1" s="477"/>
      <c r="E1" s="477"/>
      <c r="F1" s="477"/>
      <c r="G1" s="477"/>
      <c r="H1" s="477"/>
      <c r="I1" s="477"/>
      <c r="J1" s="477"/>
      <c r="K1" s="477"/>
    </row>
    <row r="2" spans="1:26" ht="20.25" customHeight="1">
      <c r="A2" s="478" t="s">
        <v>266</v>
      </c>
      <c r="B2" s="478"/>
      <c r="C2" s="478"/>
      <c r="D2" s="478"/>
      <c r="E2" s="478"/>
      <c r="F2" s="478"/>
      <c r="G2" s="478"/>
      <c r="H2" s="478"/>
      <c r="I2" s="478"/>
      <c r="J2" s="478"/>
      <c r="K2" s="478"/>
    </row>
    <row r="3" spans="1:26" ht="18.75" customHeight="1" thickBot="1">
      <c r="A3" s="162" t="s">
        <v>1</v>
      </c>
      <c r="B3" s="163" t="s">
        <v>375</v>
      </c>
      <c r="C3" s="164"/>
      <c r="D3" s="164"/>
      <c r="E3" s="164"/>
      <c r="F3" s="165"/>
      <c r="G3" s="164"/>
      <c r="H3" s="164"/>
      <c r="I3" s="162" t="s">
        <v>267</v>
      </c>
      <c r="J3" s="479" t="s">
        <v>603</v>
      </c>
      <c r="K3" s="479"/>
    </row>
    <row r="4" spans="1:26" s="174" customFormat="1" ht="18.45" customHeight="1" thickBot="1">
      <c r="A4" s="166" t="s">
        <v>376</v>
      </c>
      <c r="B4" s="167"/>
      <c r="C4" s="168"/>
      <c r="D4" s="168"/>
      <c r="E4" s="168"/>
      <c r="F4" s="168"/>
      <c r="G4" s="168"/>
      <c r="H4" s="168"/>
      <c r="I4" s="168"/>
      <c r="J4" s="168"/>
      <c r="K4" s="169"/>
      <c r="L4" s="170"/>
      <c r="M4" s="170"/>
      <c r="N4" s="170"/>
      <c r="O4" s="170"/>
      <c r="P4" s="170"/>
      <c r="Q4" s="171" t="s">
        <v>268</v>
      </c>
      <c r="R4" s="172"/>
      <c r="S4" s="170"/>
      <c r="T4" s="171" t="s">
        <v>269</v>
      </c>
      <c r="U4" s="173"/>
      <c r="V4" s="170"/>
      <c r="W4" s="170"/>
      <c r="X4" s="170"/>
      <c r="Y4" s="170"/>
      <c r="Z4" s="170"/>
    </row>
    <row r="5" spans="1:26" s="174" customFormat="1" ht="18.45" customHeight="1">
      <c r="A5" s="480" t="s">
        <v>270</v>
      </c>
      <c r="B5" s="481"/>
      <c r="C5" s="481"/>
      <c r="D5" s="175"/>
      <c r="E5" s="176"/>
      <c r="F5" s="177" t="s">
        <v>271</v>
      </c>
      <c r="G5" s="164"/>
      <c r="H5" s="164"/>
      <c r="I5" s="178"/>
      <c r="J5" s="179" t="s">
        <v>272</v>
      </c>
      <c r="K5" s="180" t="s">
        <v>273</v>
      </c>
      <c r="L5" s="170"/>
      <c r="M5" s="170"/>
      <c r="N5" s="170"/>
      <c r="O5" s="170"/>
      <c r="P5" s="170"/>
      <c r="Q5" s="181" t="s">
        <v>274</v>
      </c>
      <c r="R5" s="182"/>
      <c r="S5" s="170"/>
      <c r="T5" s="181" t="s">
        <v>275</v>
      </c>
      <c r="U5" s="183"/>
      <c r="V5" s="170"/>
      <c r="W5" s="170"/>
      <c r="X5" s="170"/>
      <c r="Y5" s="170"/>
      <c r="Z5" s="170"/>
    </row>
    <row r="6" spans="1:26" s="174" customFormat="1" ht="18.45" customHeight="1">
      <c r="A6" s="482" t="s">
        <v>67</v>
      </c>
      <c r="B6" s="483"/>
      <c r="C6" s="483"/>
      <c r="D6" s="484" t="s">
        <v>279</v>
      </c>
      <c r="E6" s="485"/>
      <c r="F6" s="412" t="s">
        <v>277</v>
      </c>
      <c r="G6" s="413"/>
      <c r="H6" s="413"/>
      <c r="I6" s="413"/>
      <c r="J6" s="413"/>
      <c r="K6" s="414"/>
      <c r="L6" s="170"/>
      <c r="M6" s="170"/>
      <c r="N6" s="170"/>
      <c r="O6" s="170"/>
      <c r="P6" s="170"/>
      <c r="Q6" s="181" t="s">
        <v>278</v>
      </c>
      <c r="R6" s="182"/>
      <c r="S6" s="170"/>
      <c r="T6" s="181" t="s">
        <v>279</v>
      </c>
      <c r="U6" s="183"/>
      <c r="V6" s="170"/>
      <c r="W6" s="170"/>
      <c r="X6" s="170"/>
      <c r="Y6" s="170"/>
      <c r="Z6" s="170"/>
    </row>
    <row r="7" spans="1:26" s="174" customFormat="1" ht="18.45" customHeight="1">
      <c r="A7" s="473" t="s">
        <v>20</v>
      </c>
      <c r="B7" s="474"/>
      <c r="C7" s="474"/>
      <c r="D7" s="475">
        <v>2.0999999046325701</v>
      </c>
      <c r="E7" s="476"/>
      <c r="F7" s="184" t="s">
        <v>280</v>
      </c>
      <c r="G7" s="185"/>
      <c r="H7" s="186"/>
      <c r="I7" s="187"/>
      <c r="J7" s="188">
        <v>26</v>
      </c>
      <c r="K7" s="189" t="s">
        <v>174</v>
      </c>
      <c r="L7" s="170"/>
      <c r="M7" s="170"/>
      <c r="N7" s="170"/>
      <c r="O7" s="170"/>
      <c r="P7" s="170"/>
      <c r="Q7" s="181" t="s">
        <v>281</v>
      </c>
      <c r="R7" s="182"/>
      <c r="S7" s="170"/>
      <c r="T7" s="181" t="s">
        <v>276</v>
      </c>
      <c r="U7" s="183"/>
      <c r="V7" s="170"/>
      <c r="W7" s="170"/>
      <c r="X7" s="170"/>
      <c r="Y7" s="170"/>
      <c r="Z7" s="170"/>
    </row>
    <row r="8" spans="1:26" s="174" customFormat="1" ht="18.45" customHeight="1">
      <c r="A8" s="473" t="s">
        <v>282</v>
      </c>
      <c r="B8" s="474"/>
      <c r="C8" s="474"/>
      <c r="D8" s="459">
        <v>820</v>
      </c>
      <c r="E8" s="455"/>
      <c r="F8" s="190" t="s">
        <v>283</v>
      </c>
      <c r="G8" s="191"/>
      <c r="H8" s="192"/>
      <c r="I8" s="193"/>
      <c r="J8" s="194">
        <v>7834</v>
      </c>
      <c r="K8" s="195" t="s">
        <v>174</v>
      </c>
      <c r="L8" s="170"/>
      <c r="M8" s="170"/>
      <c r="N8" s="170"/>
      <c r="O8" s="170"/>
      <c r="P8" s="170"/>
      <c r="Q8" s="181" t="s">
        <v>284</v>
      </c>
      <c r="R8" s="182"/>
      <c r="S8" s="170"/>
      <c r="T8" s="181" t="s">
        <v>285</v>
      </c>
      <c r="U8" s="183"/>
      <c r="V8" s="170"/>
      <c r="W8" s="170"/>
      <c r="X8" s="170"/>
      <c r="Y8" s="170"/>
      <c r="Z8" s="170"/>
    </row>
    <row r="9" spans="1:26" s="174" customFormat="1" ht="18.45" customHeight="1">
      <c r="A9" s="468" t="s">
        <v>286</v>
      </c>
      <c r="B9" s="469"/>
      <c r="C9" s="470"/>
      <c r="D9" s="459">
        <v>10</v>
      </c>
      <c r="E9" s="455"/>
      <c r="F9" s="184" t="s">
        <v>287</v>
      </c>
      <c r="G9" s="185"/>
      <c r="H9" s="196">
        <v>3</v>
      </c>
      <c r="I9" s="197" t="s">
        <v>288</v>
      </c>
      <c r="J9" s="198">
        <v>138</v>
      </c>
      <c r="K9" s="195" t="s">
        <v>174</v>
      </c>
      <c r="L9" s="170"/>
      <c r="M9" s="170"/>
      <c r="N9" s="170"/>
      <c r="O9" s="170"/>
      <c r="P9" s="170"/>
      <c r="Q9" s="181" t="s">
        <v>289</v>
      </c>
      <c r="R9" s="182"/>
      <c r="S9" s="170"/>
      <c r="T9" s="181" t="s">
        <v>290</v>
      </c>
      <c r="U9" s="183"/>
      <c r="V9" s="170"/>
      <c r="W9" s="170"/>
      <c r="X9" s="170"/>
      <c r="Y9" s="170"/>
      <c r="Z9" s="170"/>
    </row>
    <row r="10" spans="1:26" s="174" customFormat="1" ht="18.45" customHeight="1" thickBot="1">
      <c r="A10" s="468" t="s">
        <v>291</v>
      </c>
      <c r="B10" s="469"/>
      <c r="C10" s="470"/>
      <c r="D10" s="442" t="s">
        <v>184</v>
      </c>
      <c r="E10" s="443"/>
      <c r="F10" s="184" t="s">
        <v>292</v>
      </c>
      <c r="G10" s="185"/>
      <c r="H10" s="196">
        <v>3</v>
      </c>
      <c r="I10" s="197" t="s">
        <v>288</v>
      </c>
      <c r="J10" s="198">
        <v>1150</v>
      </c>
      <c r="K10" s="195" t="s">
        <v>174</v>
      </c>
      <c r="L10" s="170"/>
      <c r="M10" s="170"/>
      <c r="N10" s="170"/>
      <c r="O10" s="170"/>
      <c r="P10" s="170"/>
      <c r="Q10" s="181" t="s">
        <v>293</v>
      </c>
      <c r="R10" s="182"/>
      <c r="S10" s="170"/>
      <c r="T10" s="199" t="s">
        <v>294</v>
      </c>
      <c r="U10" s="200"/>
      <c r="V10" s="170"/>
      <c r="W10" s="170"/>
      <c r="X10" s="170"/>
      <c r="Y10" s="170"/>
      <c r="Z10" s="170"/>
    </row>
    <row r="11" spans="1:26" s="174" customFormat="1" ht="18.45" customHeight="1" thickBot="1">
      <c r="A11" s="468" t="s">
        <v>295</v>
      </c>
      <c r="B11" s="469"/>
      <c r="C11" s="470"/>
      <c r="D11" s="437" t="s">
        <v>174</v>
      </c>
      <c r="E11" s="438"/>
      <c r="F11" s="201" t="s">
        <v>296</v>
      </c>
      <c r="G11" s="202"/>
      <c r="H11" s="203">
        <v>3</v>
      </c>
      <c r="I11" s="197" t="s">
        <v>288</v>
      </c>
      <c r="J11" s="204">
        <v>20368</v>
      </c>
      <c r="K11" s="205" t="s">
        <v>174</v>
      </c>
      <c r="L11" s="170"/>
      <c r="M11" s="170"/>
      <c r="N11" s="170"/>
      <c r="O11" s="170"/>
      <c r="P11" s="170"/>
      <c r="Q11" s="199" t="s">
        <v>297</v>
      </c>
      <c r="R11" s="206"/>
      <c r="S11" s="170"/>
      <c r="T11" s="170"/>
      <c r="U11" s="170"/>
      <c r="V11" s="170"/>
      <c r="W11" s="170"/>
      <c r="X11" s="170"/>
      <c r="Y11" s="170"/>
      <c r="Z11" s="170"/>
    </row>
    <row r="12" spans="1:26" s="174" customFormat="1" ht="18.45" customHeight="1">
      <c r="A12" s="207" t="s">
        <v>298</v>
      </c>
      <c r="C12" s="208"/>
      <c r="D12" s="471" t="s">
        <v>174</v>
      </c>
      <c r="E12" s="472"/>
      <c r="F12" s="439" t="s">
        <v>299</v>
      </c>
      <c r="G12" s="440"/>
      <c r="H12" s="440"/>
      <c r="I12" s="440"/>
      <c r="J12" s="440"/>
      <c r="K12" s="441"/>
      <c r="L12" s="170"/>
      <c r="M12" s="170"/>
      <c r="N12" s="170"/>
      <c r="O12" s="170"/>
      <c r="P12" s="170"/>
      <c r="Q12" s="170"/>
      <c r="R12" s="170"/>
      <c r="S12" s="170"/>
      <c r="T12" s="170"/>
      <c r="U12" s="170"/>
      <c r="V12" s="170"/>
      <c r="W12" s="170"/>
      <c r="X12" s="170"/>
      <c r="Y12" s="170"/>
      <c r="Z12" s="170"/>
    </row>
    <row r="13" spans="1:26" s="174" customFormat="1" ht="18.45" customHeight="1">
      <c r="A13" s="468" t="s">
        <v>53</v>
      </c>
      <c r="B13" s="469"/>
      <c r="C13" s="470"/>
      <c r="D13" s="462" t="s">
        <v>378</v>
      </c>
      <c r="E13" s="463"/>
      <c r="F13" s="209"/>
      <c r="G13" s="210" t="s">
        <v>300</v>
      </c>
      <c r="H13" s="211"/>
      <c r="I13" s="212" t="s">
        <v>301</v>
      </c>
      <c r="J13" s="213" t="s">
        <v>605</v>
      </c>
      <c r="K13" s="214" t="s">
        <v>174</v>
      </c>
      <c r="L13" s="170"/>
      <c r="M13" s="170"/>
      <c r="N13" s="170"/>
      <c r="O13" s="170"/>
      <c r="P13" s="170"/>
      <c r="Q13" s="170"/>
      <c r="R13" s="170"/>
      <c r="S13" s="170"/>
      <c r="T13" s="170"/>
      <c r="U13" s="170"/>
      <c r="V13" s="170"/>
      <c r="W13" s="170"/>
      <c r="X13" s="170"/>
      <c r="Y13" s="170"/>
      <c r="Z13" s="170"/>
    </row>
    <row r="14" spans="1:26" s="174" customFormat="1" ht="18.45" customHeight="1">
      <c r="A14" s="468" t="s">
        <v>56</v>
      </c>
      <c r="B14" s="469"/>
      <c r="C14" s="470"/>
      <c r="D14" s="471">
        <v>1367</v>
      </c>
      <c r="E14" s="472"/>
      <c r="F14" s="209"/>
      <c r="G14" s="215" t="s">
        <v>10</v>
      </c>
      <c r="H14" s="216"/>
      <c r="I14" s="216"/>
      <c r="J14" s="198" t="s">
        <v>174</v>
      </c>
      <c r="K14" s="195" t="s">
        <v>174</v>
      </c>
      <c r="L14" s="170"/>
      <c r="M14" s="170"/>
      <c r="N14" s="170"/>
      <c r="O14" s="170"/>
      <c r="P14" s="170"/>
      <c r="Q14" s="170"/>
      <c r="R14" s="170"/>
      <c r="S14" s="170"/>
      <c r="T14" s="170"/>
      <c r="U14" s="170"/>
      <c r="V14" s="170"/>
      <c r="W14" s="170"/>
      <c r="X14" s="170"/>
      <c r="Y14" s="170"/>
      <c r="Z14" s="170"/>
    </row>
    <row r="15" spans="1:26" s="174" customFormat="1" ht="18.45" customHeight="1">
      <c r="A15" s="456" t="s">
        <v>302</v>
      </c>
      <c r="B15" s="457"/>
      <c r="C15" s="458"/>
      <c r="D15" s="435">
        <v>14.022000312805176</v>
      </c>
      <c r="E15" s="436"/>
      <c r="F15" s="209"/>
      <c r="G15" s="215" t="s">
        <v>303</v>
      </c>
      <c r="H15" s="216"/>
      <c r="I15" s="216"/>
      <c r="J15" s="198" t="s">
        <v>174</v>
      </c>
      <c r="K15" s="195" t="s">
        <v>174</v>
      </c>
      <c r="L15" s="170"/>
      <c r="M15" s="170"/>
      <c r="N15" s="170"/>
      <c r="O15" s="170"/>
      <c r="P15" s="170"/>
      <c r="Q15" s="170"/>
      <c r="R15" s="170"/>
      <c r="S15" s="170"/>
      <c r="T15" s="170"/>
      <c r="U15" s="170"/>
      <c r="V15" s="170"/>
      <c r="W15" s="170"/>
      <c r="X15" s="170"/>
      <c r="Y15" s="170"/>
      <c r="Z15" s="170"/>
    </row>
    <row r="16" spans="1:26" s="174" customFormat="1" ht="18.45" customHeight="1">
      <c r="A16" s="432" t="s">
        <v>304</v>
      </c>
      <c r="B16" s="433"/>
      <c r="C16" s="434"/>
      <c r="D16" s="435">
        <v>3.4367997646331787</v>
      </c>
      <c r="E16" s="436"/>
      <c r="F16" s="217"/>
      <c r="G16" s="218" t="s">
        <v>17</v>
      </c>
      <c r="H16" s="219"/>
      <c r="I16" s="219"/>
      <c r="J16" s="204" t="s">
        <v>174</v>
      </c>
      <c r="K16" s="205" t="s">
        <v>174</v>
      </c>
      <c r="L16" s="170"/>
      <c r="M16" s="170"/>
      <c r="N16" s="170"/>
      <c r="O16" s="170"/>
      <c r="P16" s="170"/>
      <c r="Q16" s="170"/>
      <c r="R16" s="170"/>
      <c r="S16" s="170"/>
      <c r="T16" s="170"/>
      <c r="U16" s="170"/>
      <c r="V16" s="170"/>
      <c r="W16" s="170"/>
      <c r="X16" s="170"/>
      <c r="Y16" s="170"/>
      <c r="Z16" s="170"/>
    </row>
    <row r="17" spans="1:26" s="174" customFormat="1" ht="18.45" customHeight="1">
      <c r="A17" s="220" t="s">
        <v>305</v>
      </c>
      <c r="B17" s="221"/>
      <c r="C17" s="222"/>
      <c r="D17" s="437" t="s">
        <v>377</v>
      </c>
      <c r="E17" s="438"/>
      <c r="F17" s="439" t="s">
        <v>306</v>
      </c>
      <c r="G17" s="440"/>
      <c r="H17" s="440"/>
      <c r="I17" s="440"/>
      <c r="J17" s="440"/>
      <c r="K17" s="441"/>
      <c r="L17" s="170"/>
      <c r="M17" s="170"/>
      <c r="N17" s="170"/>
      <c r="O17" s="170"/>
      <c r="P17" s="170"/>
      <c r="Q17" s="170"/>
      <c r="R17" s="170"/>
      <c r="S17" s="170"/>
      <c r="T17" s="170"/>
      <c r="U17" s="170"/>
      <c r="V17" s="170"/>
      <c r="W17" s="170"/>
      <c r="X17" s="170"/>
      <c r="Y17" s="170"/>
      <c r="Z17" s="170"/>
    </row>
    <row r="18" spans="1:26" s="174" customFormat="1" ht="18.45" customHeight="1">
      <c r="A18" s="223" t="s">
        <v>307</v>
      </c>
      <c r="B18" s="224"/>
      <c r="C18" s="222"/>
      <c r="D18" s="442" t="s">
        <v>174</v>
      </c>
      <c r="E18" s="443"/>
      <c r="F18" s="444"/>
      <c r="G18" s="445"/>
      <c r="H18" s="225" t="s">
        <v>308</v>
      </c>
      <c r="I18" s="226"/>
      <c r="J18" s="194">
        <v>101</v>
      </c>
      <c r="K18" s="195"/>
      <c r="L18" s="170"/>
      <c r="M18" s="170">
        <f>J18*6.5</f>
        <v>656.5</v>
      </c>
      <c r="N18" s="170"/>
      <c r="O18" s="170"/>
      <c r="P18" s="170"/>
      <c r="Q18" s="170"/>
      <c r="R18" s="170"/>
      <c r="S18" s="170"/>
      <c r="T18" s="170"/>
      <c r="U18" s="170"/>
      <c r="V18" s="170"/>
      <c r="W18" s="170"/>
      <c r="X18" s="170"/>
      <c r="Y18" s="170"/>
      <c r="Z18" s="170"/>
    </row>
    <row r="19" spans="1:26" s="174" customFormat="1" ht="18.45" customHeight="1">
      <c r="A19" s="450" t="s">
        <v>309</v>
      </c>
      <c r="B19" s="451"/>
      <c r="C19" s="452"/>
      <c r="D19" s="453" t="s">
        <v>174</v>
      </c>
      <c r="E19" s="438"/>
      <c r="F19" s="446"/>
      <c r="G19" s="447"/>
      <c r="H19" s="225" t="s">
        <v>5</v>
      </c>
      <c r="I19" s="187"/>
      <c r="J19" s="194">
        <v>1192</v>
      </c>
      <c r="K19" s="195"/>
      <c r="L19" s="170"/>
      <c r="M19" s="170"/>
      <c r="N19" s="170"/>
      <c r="O19" s="170"/>
      <c r="P19" s="170"/>
      <c r="Q19" s="170"/>
      <c r="R19" s="170"/>
      <c r="S19" s="170"/>
      <c r="T19" s="170"/>
      <c r="U19" s="170"/>
      <c r="V19" s="170"/>
      <c r="W19" s="170"/>
      <c r="X19" s="170"/>
      <c r="Y19" s="170"/>
      <c r="Z19" s="170"/>
    </row>
    <row r="20" spans="1:26" s="174" customFormat="1" ht="18.45" customHeight="1" thickBot="1">
      <c r="A20" s="227" t="s">
        <v>310</v>
      </c>
      <c r="C20" s="228"/>
      <c r="D20" s="454" t="s">
        <v>183</v>
      </c>
      <c r="E20" s="455"/>
      <c r="F20" s="446"/>
      <c r="G20" s="447"/>
      <c r="H20" s="225" t="s">
        <v>311</v>
      </c>
      <c r="I20" s="187"/>
      <c r="J20" s="198" t="s">
        <v>381</v>
      </c>
      <c r="K20" s="195"/>
      <c r="L20" s="170"/>
      <c r="M20" s="170"/>
      <c r="N20" s="170"/>
      <c r="O20" s="170"/>
      <c r="P20" s="170"/>
      <c r="Q20" s="170"/>
      <c r="R20" s="170"/>
      <c r="S20" s="170"/>
      <c r="T20" s="170"/>
      <c r="U20" s="170"/>
      <c r="V20" s="170"/>
      <c r="W20" s="170"/>
      <c r="X20" s="170"/>
      <c r="Y20" s="170"/>
      <c r="Z20" s="170"/>
    </row>
    <row r="21" spans="1:26" s="174" customFormat="1" ht="18.45" customHeight="1" thickBot="1">
      <c r="A21" s="456" t="s">
        <v>312</v>
      </c>
      <c r="B21" s="457"/>
      <c r="C21" s="458"/>
      <c r="D21" s="459" t="s">
        <v>174</v>
      </c>
      <c r="E21" s="455"/>
      <c r="F21" s="446"/>
      <c r="G21" s="447"/>
      <c r="H21" s="229" t="s">
        <v>313</v>
      </c>
      <c r="I21" s="187"/>
      <c r="J21" s="198">
        <v>1.1499999999999999</v>
      </c>
      <c r="K21" s="195"/>
      <c r="L21" s="170"/>
      <c r="M21" s="170"/>
      <c r="N21" s="170"/>
      <c r="O21" s="170"/>
      <c r="P21" s="170"/>
      <c r="Q21" s="171" t="s">
        <v>314</v>
      </c>
      <c r="R21" s="173"/>
      <c r="S21" s="170"/>
      <c r="T21" s="170"/>
      <c r="U21" s="170"/>
      <c r="V21" s="170"/>
      <c r="W21" s="170"/>
      <c r="X21" s="170"/>
      <c r="Y21" s="170"/>
      <c r="Z21" s="170"/>
    </row>
    <row r="22" spans="1:26" s="174" customFormat="1" ht="18.45" customHeight="1">
      <c r="A22" s="223" t="s">
        <v>315</v>
      </c>
      <c r="B22" s="230"/>
      <c r="C22" s="230"/>
      <c r="D22" s="460">
        <v>0.14124999999999999</v>
      </c>
      <c r="E22" s="461"/>
      <c r="F22" s="446"/>
      <c r="G22" s="447"/>
      <c r="H22" s="225" t="s">
        <v>272</v>
      </c>
      <c r="I22" s="187"/>
      <c r="J22" s="198" t="s">
        <v>606</v>
      </c>
      <c r="K22" s="195"/>
      <c r="L22" s="170"/>
      <c r="M22" s="170"/>
      <c r="N22" s="170"/>
      <c r="O22" s="170"/>
      <c r="P22" s="170"/>
      <c r="Q22" s="181" t="s">
        <v>316</v>
      </c>
      <c r="R22" s="183"/>
      <c r="S22" s="170"/>
      <c r="T22" s="170"/>
      <c r="U22" s="170"/>
      <c r="V22" s="170"/>
      <c r="W22" s="170"/>
      <c r="X22" s="170"/>
      <c r="Y22" s="170"/>
      <c r="Z22" s="170"/>
    </row>
    <row r="23" spans="1:26" s="174" customFormat="1" ht="18.45" customHeight="1">
      <c r="A23" s="231" t="s">
        <v>317</v>
      </c>
      <c r="B23" s="232" t="s">
        <v>318</v>
      </c>
      <c r="C23" s="233"/>
      <c r="D23" s="462">
        <v>823</v>
      </c>
      <c r="E23" s="463"/>
      <c r="F23" s="446"/>
      <c r="G23" s="447"/>
      <c r="H23" s="234" t="s">
        <v>319</v>
      </c>
      <c r="I23" s="235"/>
      <c r="J23" s="236"/>
      <c r="K23" s="237"/>
      <c r="L23" s="170"/>
      <c r="Q23" s="181" t="s">
        <v>320</v>
      </c>
      <c r="R23" s="183"/>
      <c r="S23" s="170"/>
      <c r="T23" s="170"/>
      <c r="U23" s="170"/>
      <c r="V23" s="170"/>
      <c r="W23" s="170"/>
      <c r="X23" s="170"/>
      <c r="Y23" s="170"/>
      <c r="Z23" s="170"/>
    </row>
    <row r="24" spans="1:26" s="174" customFormat="1" ht="18.45" customHeight="1" thickBot="1">
      <c r="A24" s="238" t="s">
        <v>321</v>
      </c>
      <c r="B24" s="239" t="s">
        <v>322</v>
      </c>
      <c r="C24" s="240"/>
      <c r="D24" s="464" t="s">
        <v>174</v>
      </c>
      <c r="E24" s="465"/>
      <c r="F24" s="446"/>
      <c r="G24" s="447"/>
      <c r="H24" s="225" t="s">
        <v>323</v>
      </c>
      <c r="I24" s="208"/>
      <c r="J24" s="241"/>
      <c r="K24" s="242"/>
      <c r="Q24" s="243" t="s">
        <v>174</v>
      </c>
      <c r="R24" s="244"/>
      <c r="S24" s="170"/>
      <c r="T24" s="170"/>
      <c r="U24" s="170"/>
      <c r="V24" s="170"/>
      <c r="W24" s="170"/>
      <c r="X24" s="170"/>
      <c r="Y24" s="170"/>
      <c r="Z24" s="170"/>
    </row>
    <row r="25" spans="1:26" s="174" customFormat="1" ht="18.45" customHeight="1">
      <c r="A25" s="245" t="s">
        <v>324</v>
      </c>
      <c r="B25" s="246"/>
      <c r="C25" s="246"/>
      <c r="D25" s="247"/>
      <c r="E25" s="247" t="s">
        <v>325</v>
      </c>
      <c r="F25" s="446"/>
      <c r="G25" s="447"/>
      <c r="H25" s="225" t="s">
        <v>326</v>
      </c>
      <c r="I25" s="208"/>
      <c r="J25" s="248"/>
      <c r="K25" s="242"/>
      <c r="R25" s="170"/>
      <c r="S25" s="170"/>
      <c r="T25" s="170"/>
      <c r="U25" s="170"/>
      <c r="V25" s="170"/>
      <c r="W25" s="170"/>
      <c r="X25" s="170"/>
      <c r="Y25" s="170"/>
      <c r="Z25" s="170"/>
    </row>
    <row r="26" spans="1:26" s="174" customFormat="1" ht="18.45" customHeight="1">
      <c r="A26" s="249" t="s">
        <v>327</v>
      </c>
      <c r="B26" s="250"/>
      <c r="C26" s="251"/>
      <c r="D26" s="252" t="s">
        <v>380</v>
      </c>
      <c r="E26" s="252" t="s">
        <v>382</v>
      </c>
      <c r="F26" s="448"/>
      <c r="G26" s="449"/>
      <c r="H26" s="466"/>
      <c r="I26" s="467"/>
      <c r="J26" s="253"/>
      <c r="K26" s="254"/>
      <c r="R26" s="170"/>
      <c r="S26" s="170"/>
      <c r="T26" s="170"/>
      <c r="U26" s="170"/>
      <c r="V26" s="170"/>
      <c r="W26" s="170"/>
      <c r="X26" s="170"/>
      <c r="Y26" s="170"/>
      <c r="Z26" s="170"/>
    </row>
    <row r="27" spans="1:26" s="174" customFormat="1" ht="18.45" customHeight="1">
      <c r="A27" s="410" t="s">
        <v>328</v>
      </c>
      <c r="B27" s="411"/>
      <c r="C27" s="411"/>
      <c r="D27" s="411"/>
      <c r="E27" s="411"/>
      <c r="F27" s="412" t="s">
        <v>329</v>
      </c>
      <c r="G27" s="413"/>
      <c r="H27" s="413"/>
      <c r="I27" s="413"/>
      <c r="J27" s="413"/>
      <c r="K27" s="414"/>
      <c r="R27" s="170"/>
      <c r="S27" s="170"/>
      <c r="T27" s="170"/>
      <c r="U27" s="170"/>
      <c r="V27" s="170"/>
      <c r="W27" s="170"/>
      <c r="X27" s="170"/>
      <c r="Y27" s="170"/>
      <c r="Z27" s="170"/>
    </row>
    <row r="28" spans="1:26" s="174" customFormat="1" ht="18.45" customHeight="1">
      <c r="A28" s="417"/>
      <c r="B28" s="418"/>
      <c r="C28" s="418"/>
      <c r="D28" s="418"/>
      <c r="E28" s="419"/>
      <c r="F28" s="255"/>
      <c r="G28" s="256"/>
      <c r="H28" s="215" t="s">
        <v>330</v>
      </c>
      <c r="I28" s="257" t="s">
        <v>379</v>
      </c>
      <c r="J28" s="194">
        <v>652</v>
      </c>
      <c r="K28" s="258" t="s">
        <v>174</v>
      </c>
      <c r="M28" s="174">
        <f>(J28/J18)*100</f>
        <v>645.54455445544556</v>
      </c>
      <c r="N28" s="259"/>
      <c r="O28" s="259"/>
      <c r="R28" s="170"/>
      <c r="S28" s="170"/>
      <c r="T28" s="170"/>
      <c r="U28" s="170"/>
      <c r="V28" s="170"/>
      <c r="W28" s="170"/>
      <c r="X28" s="170"/>
      <c r="Y28" s="170"/>
      <c r="Z28" s="170"/>
    </row>
    <row r="29" spans="1:26" s="174" customFormat="1" ht="18.45" customHeight="1">
      <c r="A29" s="417"/>
      <c r="B29" s="418"/>
      <c r="C29" s="418"/>
      <c r="D29" s="418"/>
      <c r="E29" s="419"/>
      <c r="F29" s="260"/>
      <c r="G29" s="261"/>
      <c r="H29" s="215" t="s">
        <v>331</v>
      </c>
      <c r="I29" s="262">
        <v>60</v>
      </c>
      <c r="J29" s="194">
        <v>110</v>
      </c>
      <c r="K29" s="263" t="s">
        <v>174</v>
      </c>
      <c r="Q29" s="170"/>
      <c r="R29" s="170"/>
      <c r="S29" s="170"/>
      <c r="T29" s="170"/>
      <c r="U29" s="170"/>
      <c r="V29" s="170"/>
      <c r="W29" s="170"/>
      <c r="X29" s="170"/>
      <c r="Y29" s="170"/>
      <c r="Z29" s="170"/>
    </row>
    <row r="30" spans="1:26" s="174" customFormat="1" ht="18.45" customHeight="1">
      <c r="A30" s="417"/>
      <c r="B30" s="418"/>
      <c r="C30" s="418"/>
      <c r="D30" s="418"/>
      <c r="E30" s="419"/>
      <c r="F30" s="260"/>
      <c r="G30" s="261"/>
      <c r="H30" s="215" t="s">
        <v>332</v>
      </c>
      <c r="I30" s="262">
        <v>175</v>
      </c>
      <c r="J30" s="194">
        <v>244</v>
      </c>
      <c r="K30" s="264" t="s">
        <v>174</v>
      </c>
      <c r="L30" s="170"/>
      <c r="R30" s="170"/>
      <c r="S30" s="170"/>
      <c r="T30" s="170"/>
      <c r="U30" s="170"/>
      <c r="V30" s="170"/>
      <c r="W30" s="170"/>
      <c r="X30" s="170"/>
      <c r="Y30" s="170"/>
      <c r="Z30" s="170"/>
    </row>
    <row r="31" spans="1:26" s="174" customFormat="1" ht="18.45" customHeight="1">
      <c r="A31" s="417"/>
      <c r="B31" s="418"/>
      <c r="C31" s="418"/>
      <c r="D31" s="418"/>
      <c r="E31" s="419"/>
      <c r="F31" s="260"/>
      <c r="G31" s="261"/>
      <c r="H31" s="215" t="s">
        <v>333</v>
      </c>
      <c r="I31" s="216"/>
      <c r="J31" s="265">
        <v>0.65</v>
      </c>
      <c r="K31" s="189" t="s">
        <v>174</v>
      </c>
      <c r="L31" s="170"/>
      <c r="R31" s="170"/>
      <c r="S31" s="170"/>
      <c r="T31" s="170"/>
      <c r="U31" s="170"/>
      <c r="V31" s="170"/>
      <c r="W31" s="170"/>
      <c r="X31" s="170"/>
      <c r="Y31" s="170"/>
      <c r="Z31" s="170"/>
    </row>
    <row r="32" spans="1:26" s="174" customFormat="1" ht="18.45" customHeight="1">
      <c r="A32" s="420"/>
      <c r="B32" s="421"/>
      <c r="C32" s="421"/>
      <c r="D32" s="421"/>
      <c r="E32" s="422"/>
      <c r="F32" s="260"/>
      <c r="G32" s="266" t="s">
        <v>334</v>
      </c>
      <c r="H32" s="215" t="s">
        <v>335</v>
      </c>
      <c r="I32" s="267"/>
      <c r="J32" s="188">
        <v>96</v>
      </c>
      <c r="K32" s="263" t="s">
        <v>174</v>
      </c>
      <c r="L32" s="170"/>
      <c r="N32" s="268"/>
      <c r="R32" s="170"/>
      <c r="S32" s="170"/>
      <c r="T32" s="170"/>
      <c r="U32" s="170"/>
      <c r="V32" s="170"/>
      <c r="W32" s="170"/>
      <c r="X32" s="170"/>
      <c r="Y32" s="170"/>
      <c r="Z32" s="170"/>
    </row>
    <row r="33" spans="1:26" s="174" customFormat="1" ht="18.45" customHeight="1">
      <c r="A33" s="410" t="s">
        <v>336</v>
      </c>
      <c r="B33" s="411"/>
      <c r="C33" s="411"/>
      <c r="D33" s="411"/>
      <c r="E33" s="423"/>
      <c r="F33" s="269"/>
      <c r="G33" s="270"/>
      <c r="H33" s="271" t="s">
        <v>337</v>
      </c>
      <c r="I33" s="272"/>
      <c r="J33" s="273">
        <v>89</v>
      </c>
      <c r="K33" s="274" t="s">
        <v>174</v>
      </c>
      <c r="L33" s="170"/>
      <c r="R33" s="170"/>
      <c r="S33" s="170"/>
      <c r="T33" s="170"/>
      <c r="U33" s="170"/>
      <c r="V33" s="170"/>
      <c r="W33" s="170"/>
      <c r="X33" s="170"/>
      <c r="Y33" s="170"/>
      <c r="Z33" s="170"/>
    </row>
    <row r="34" spans="1:26" s="174" customFormat="1" ht="18.45" customHeight="1">
      <c r="A34" s="417"/>
      <c r="B34" s="418"/>
      <c r="C34" s="418"/>
      <c r="D34" s="418"/>
      <c r="E34" s="419"/>
      <c r="F34" s="190" t="s">
        <v>338</v>
      </c>
      <c r="G34" s="275"/>
      <c r="H34" s="276" t="s">
        <v>14</v>
      </c>
      <c r="I34" s="277"/>
      <c r="J34" s="278">
        <v>5626</v>
      </c>
      <c r="K34" s="279" t="s">
        <v>174</v>
      </c>
      <c r="L34" s="280"/>
      <c r="M34" s="281"/>
      <c r="R34" s="170"/>
      <c r="S34" s="170"/>
      <c r="T34" s="170"/>
      <c r="U34" s="170"/>
      <c r="V34" s="170"/>
      <c r="W34" s="170"/>
      <c r="X34" s="170"/>
      <c r="Y34" s="170"/>
      <c r="Z34" s="170"/>
    </row>
    <row r="35" spans="1:26" s="174" customFormat="1" ht="18.45" customHeight="1">
      <c r="A35" s="417"/>
      <c r="B35" s="418"/>
      <c r="C35" s="418"/>
      <c r="D35" s="418"/>
      <c r="E35" s="419"/>
      <c r="F35" s="209"/>
      <c r="G35" s="282"/>
      <c r="H35" s="283" t="s">
        <v>15</v>
      </c>
      <c r="I35" s="284"/>
      <c r="J35" s="194">
        <v>3943</v>
      </c>
      <c r="K35" s="189" t="s">
        <v>174</v>
      </c>
      <c r="L35" s="285"/>
      <c r="M35" s="281"/>
      <c r="R35" s="170"/>
      <c r="S35" s="170"/>
      <c r="T35" s="170"/>
      <c r="U35" s="170"/>
      <c r="V35" s="170"/>
      <c r="W35" s="170"/>
      <c r="X35" s="170"/>
      <c r="Y35" s="170"/>
      <c r="Z35" s="170"/>
    </row>
    <row r="36" spans="1:26" s="174" customFormat="1" ht="18.45" customHeight="1">
      <c r="A36" s="417"/>
      <c r="B36" s="418"/>
      <c r="C36" s="418"/>
      <c r="D36" s="418"/>
      <c r="E36" s="419"/>
      <c r="F36" s="209"/>
      <c r="G36" s="282"/>
      <c r="H36" s="283" t="s">
        <v>339</v>
      </c>
      <c r="I36" s="284"/>
      <c r="J36" s="194">
        <v>3754</v>
      </c>
      <c r="K36" s="189" t="s">
        <v>174</v>
      </c>
      <c r="L36" s="285"/>
      <c r="M36" s="259"/>
      <c r="Q36" s="170"/>
      <c r="R36" s="170"/>
      <c r="S36" s="170"/>
      <c r="T36" s="170"/>
      <c r="U36" s="170"/>
      <c r="V36" s="170"/>
      <c r="W36" s="170"/>
      <c r="X36" s="170"/>
      <c r="Y36" s="170"/>
      <c r="Z36" s="170"/>
    </row>
    <row r="37" spans="1:26" s="174" customFormat="1" ht="18.45" customHeight="1">
      <c r="A37" s="417"/>
      <c r="B37" s="418"/>
      <c r="C37" s="418"/>
      <c r="D37" s="418"/>
      <c r="E37" s="419"/>
      <c r="F37" s="260"/>
      <c r="G37" s="282"/>
      <c r="H37" s="283" t="s">
        <v>340</v>
      </c>
      <c r="I37" s="284"/>
      <c r="J37" s="194">
        <v>3794</v>
      </c>
      <c r="K37" s="189" t="s">
        <v>174</v>
      </c>
      <c r="L37" s="285"/>
      <c r="M37" s="259"/>
      <c r="N37" s="285"/>
      <c r="R37" s="170"/>
      <c r="S37" s="170"/>
      <c r="T37" s="170"/>
      <c r="U37" s="170"/>
      <c r="V37" s="170"/>
      <c r="W37" s="170"/>
      <c r="X37" s="170"/>
      <c r="Y37" s="170"/>
      <c r="Z37" s="170"/>
    </row>
    <row r="38" spans="1:26" s="174" customFormat="1" ht="18.45" customHeight="1">
      <c r="A38" s="420"/>
      <c r="B38" s="421"/>
      <c r="C38" s="421"/>
      <c r="D38" s="421"/>
      <c r="E38" s="422"/>
      <c r="F38" s="217"/>
      <c r="G38" s="286"/>
      <c r="H38" s="287" t="s">
        <v>341</v>
      </c>
      <c r="I38" s="288"/>
      <c r="J38" s="289">
        <v>7956</v>
      </c>
      <c r="K38" s="290" t="s">
        <v>174</v>
      </c>
      <c r="R38" s="170"/>
      <c r="S38" s="170"/>
      <c r="T38" s="170"/>
      <c r="U38" s="170"/>
      <c r="V38" s="170"/>
      <c r="W38" s="170"/>
      <c r="X38" s="170"/>
      <c r="Y38" s="170"/>
      <c r="Z38" s="170"/>
    </row>
    <row r="39" spans="1:26" s="174" customFormat="1" ht="18.45" customHeight="1">
      <c r="A39" s="410" t="s">
        <v>342</v>
      </c>
      <c r="B39" s="411"/>
      <c r="C39" s="411"/>
      <c r="D39" s="411"/>
      <c r="E39" s="411"/>
      <c r="F39" s="291" t="s">
        <v>343</v>
      </c>
      <c r="G39" s="292"/>
      <c r="H39" s="292"/>
      <c r="I39" s="292"/>
      <c r="J39" s="292"/>
      <c r="K39" s="293"/>
      <c r="R39" s="170"/>
      <c r="S39" s="170"/>
      <c r="T39" s="170"/>
      <c r="U39" s="170"/>
      <c r="V39" s="170"/>
      <c r="W39" s="170"/>
      <c r="X39" s="170"/>
      <c r="Y39" s="170"/>
      <c r="Z39" s="170"/>
    </row>
    <row r="40" spans="1:26" s="174" customFormat="1" ht="18.45" customHeight="1">
      <c r="A40" s="424"/>
      <c r="B40" s="425"/>
      <c r="C40" s="425"/>
      <c r="D40" s="425"/>
      <c r="E40" s="426"/>
      <c r="F40" s="294" t="s">
        <v>612</v>
      </c>
      <c r="G40" s="174" t="s">
        <v>613</v>
      </c>
      <c r="H40" s="295"/>
      <c r="I40" s="295"/>
      <c r="J40" s="295"/>
      <c r="K40" s="296"/>
      <c r="R40" s="170"/>
      <c r="S40" s="170"/>
      <c r="T40" s="170"/>
      <c r="U40" s="170"/>
      <c r="V40" s="170"/>
      <c r="W40" s="170"/>
      <c r="X40" s="170"/>
      <c r="Y40" s="170"/>
      <c r="Z40" s="170"/>
    </row>
    <row r="41" spans="1:26" s="174" customFormat="1" ht="18.45" customHeight="1">
      <c r="A41" s="424"/>
      <c r="B41" s="425"/>
      <c r="C41" s="425"/>
      <c r="D41" s="425"/>
      <c r="E41" s="426"/>
      <c r="F41" s="294"/>
      <c r="G41" s="297" t="s">
        <v>614</v>
      </c>
      <c r="H41" s="297"/>
      <c r="I41" s="297"/>
      <c r="J41" s="297"/>
      <c r="K41" s="298"/>
      <c r="L41" s="299"/>
      <c r="R41" s="170"/>
      <c r="S41" s="170"/>
      <c r="T41" s="170"/>
      <c r="U41" s="170"/>
      <c r="V41" s="170"/>
      <c r="W41" s="170"/>
      <c r="X41" s="170"/>
      <c r="Y41" s="170"/>
      <c r="Z41" s="170"/>
    </row>
    <row r="42" spans="1:26" s="174" customFormat="1" ht="18.45" customHeight="1">
      <c r="A42" s="424"/>
      <c r="B42" s="425"/>
      <c r="C42" s="425"/>
      <c r="D42" s="425"/>
      <c r="E42" s="426"/>
      <c r="F42" s="294"/>
      <c r="G42" s="295" t="s">
        <v>607</v>
      </c>
      <c r="H42" s="297"/>
      <c r="I42" s="297"/>
      <c r="J42" s="297"/>
      <c r="K42" s="298"/>
      <c r="L42" s="170"/>
      <c r="M42" s="170"/>
      <c r="N42" s="170"/>
      <c r="O42" s="170"/>
      <c r="P42" s="170"/>
      <c r="Q42" s="170"/>
      <c r="R42" s="170"/>
      <c r="S42" s="170"/>
      <c r="T42" s="170"/>
      <c r="U42" s="170"/>
      <c r="V42" s="170"/>
      <c r="W42" s="170"/>
      <c r="X42" s="170"/>
      <c r="Y42" s="170"/>
      <c r="Z42" s="170"/>
    </row>
    <row r="43" spans="1:26" s="174" customFormat="1" ht="18.45" customHeight="1">
      <c r="A43" s="424"/>
      <c r="B43" s="425"/>
      <c r="C43" s="425"/>
      <c r="D43" s="425"/>
      <c r="E43" s="426"/>
      <c r="F43" s="294"/>
      <c r="G43" s="297" t="s">
        <v>615</v>
      </c>
      <c r="H43" s="297"/>
      <c r="I43" s="297"/>
      <c r="J43" s="297"/>
      <c r="K43" s="298"/>
      <c r="L43" s="170"/>
      <c r="M43" s="170"/>
      <c r="N43" s="170"/>
      <c r="O43" s="170"/>
      <c r="P43" s="170"/>
      <c r="Q43" s="170"/>
      <c r="R43" s="170"/>
      <c r="S43" s="170"/>
      <c r="T43" s="170"/>
      <c r="U43" s="170"/>
      <c r="V43" s="170"/>
      <c r="W43" s="170"/>
      <c r="X43" s="170"/>
      <c r="Y43" s="170"/>
      <c r="Z43" s="170"/>
    </row>
    <row r="44" spans="1:26" s="174" customFormat="1" ht="17.100000000000001" customHeight="1" thickBot="1">
      <c r="A44" s="427"/>
      <c r="B44" s="428"/>
      <c r="C44" s="428"/>
      <c r="D44" s="428"/>
      <c r="E44" s="429"/>
      <c r="F44" s="294"/>
      <c r="G44" s="297"/>
      <c r="H44" s="297"/>
      <c r="I44" s="297"/>
      <c r="J44" s="297"/>
      <c r="K44" s="298"/>
      <c r="L44" s="170"/>
      <c r="M44" s="170"/>
      <c r="N44" s="170"/>
      <c r="O44" s="170"/>
      <c r="P44" s="170"/>
      <c r="Q44" s="170"/>
      <c r="R44" s="170"/>
      <c r="S44" s="170"/>
      <c r="T44" s="170"/>
      <c r="U44" s="170"/>
      <c r="V44" s="170"/>
      <c r="W44" s="170"/>
      <c r="X44" s="170"/>
      <c r="Y44" s="170"/>
      <c r="Z44" s="170"/>
    </row>
    <row r="45" spans="1:26" s="174" customFormat="1" ht="17.100000000000001" customHeight="1">
      <c r="A45" s="300" t="s">
        <v>344</v>
      </c>
      <c r="B45" s="430" t="s">
        <v>610</v>
      </c>
      <c r="C45" s="431"/>
      <c r="D45" s="301" t="s">
        <v>345</v>
      </c>
      <c r="E45" s="409" t="s">
        <v>604</v>
      </c>
      <c r="F45" s="302"/>
      <c r="G45" s="297"/>
      <c r="H45" s="297"/>
      <c r="I45" s="297"/>
      <c r="J45" s="297"/>
      <c r="K45" s="298"/>
      <c r="L45" s="170"/>
      <c r="M45" s="170"/>
      <c r="N45" s="170"/>
      <c r="O45" s="170"/>
      <c r="P45" s="170"/>
      <c r="Q45" s="170"/>
      <c r="R45" s="170"/>
      <c r="S45" s="170"/>
      <c r="T45" s="170"/>
      <c r="U45" s="170"/>
      <c r="V45" s="170"/>
      <c r="W45" s="170"/>
      <c r="X45" s="170"/>
      <c r="Y45" s="170"/>
      <c r="Z45" s="170"/>
    </row>
    <row r="46" spans="1:26" s="174" customFormat="1" ht="17.100000000000001" customHeight="1" thickBot="1">
      <c r="A46" s="303" t="s">
        <v>346</v>
      </c>
      <c r="B46" s="415">
        <v>41873</v>
      </c>
      <c r="C46" s="416"/>
      <c r="D46" s="304" t="s">
        <v>346</v>
      </c>
      <c r="E46" s="305">
        <v>41873</v>
      </c>
      <c r="F46" s="306"/>
      <c r="G46" s="307"/>
      <c r="H46" s="307"/>
      <c r="I46" s="307"/>
      <c r="J46" s="307"/>
      <c r="K46" s="308"/>
      <c r="L46" s="170"/>
      <c r="M46" s="170"/>
      <c r="N46" s="170"/>
      <c r="O46" s="170"/>
      <c r="P46" s="170"/>
      <c r="Q46" s="170"/>
      <c r="R46" s="170"/>
      <c r="S46" s="170"/>
      <c r="T46" s="170"/>
      <c r="U46" s="170"/>
      <c r="V46" s="170"/>
      <c r="W46" s="170"/>
      <c r="X46" s="170"/>
      <c r="Y46" s="170"/>
      <c r="Z46" s="170"/>
    </row>
    <row r="47" spans="1:26" s="174" customFormat="1" ht="17.100000000000001" customHeight="1">
      <c r="F47" s="309"/>
      <c r="G47" s="170"/>
      <c r="H47" s="170"/>
      <c r="I47" s="170"/>
      <c r="J47" s="170"/>
      <c r="K47" s="170"/>
      <c r="L47" s="170"/>
      <c r="M47" s="170"/>
      <c r="N47" s="170"/>
      <c r="O47" s="170"/>
      <c r="P47" s="170"/>
      <c r="Q47" s="170"/>
      <c r="R47" s="170"/>
      <c r="S47" s="170"/>
      <c r="T47" s="170"/>
      <c r="U47" s="170"/>
    </row>
    <row r="48" spans="1:26" s="174" customFormat="1" ht="17.100000000000001" customHeight="1">
      <c r="F48" s="170"/>
      <c r="G48" s="170"/>
      <c r="H48" s="170"/>
      <c r="I48" s="170"/>
      <c r="J48" s="170"/>
      <c r="K48" s="170"/>
    </row>
    <row r="49" spans="2:26" ht="17.100000000000001" customHeight="1">
      <c r="F49" s="160"/>
      <c r="G49" s="160"/>
      <c r="H49" s="160"/>
      <c r="I49" s="160"/>
      <c r="J49" s="160"/>
      <c r="K49" s="160"/>
      <c r="L49" s="161"/>
      <c r="M49" s="161"/>
      <c r="N49" s="161"/>
      <c r="O49" s="161"/>
      <c r="P49" s="161"/>
      <c r="Q49" s="161"/>
      <c r="R49" s="161"/>
      <c r="S49" s="161"/>
      <c r="T49" s="161"/>
      <c r="U49" s="161"/>
      <c r="V49" s="161"/>
      <c r="W49" s="161"/>
      <c r="X49" s="161"/>
      <c r="Y49" s="161"/>
      <c r="Z49" s="161"/>
    </row>
    <row r="50" spans="2:26">
      <c r="F50" s="160"/>
      <c r="G50" s="160"/>
      <c r="H50" s="160"/>
      <c r="I50" s="160"/>
      <c r="J50" s="160"/>
      <c r="K50" s="160"/>
      <c r="L50" s="161"/>
      <c r="M50" s="161"/>
      <c r="N50" s="161"/>
      <c r="O50" s="161"/>
      <c r="P50" s="161"/>
      <c r="Q50" s="161"/>
      <c r="R50" s="161"/>
      <c r="S50" s="161"/>
      <c r="T50" s="161"/>
      <c r="U50" s="161"/>
      <c r="V50" s="161"/>
      <c r="W50" s="161"/>
      <c r="X50" s="161"/>
      <c r="Y50" s="161"/>
      <c r="Z50" s="161"/>
    </row>
    <row r="51" spans="2:26">
      <c r="F51" s="160"/>
      <c r="G51" s="160"/>
      <c r="H51" s="160"/>
      <c r="I51" s="160"/>
      <c r="J51" s="160"/>
      <c r="K51" s="160"/>
      <c r="L51" s="161"/>
      <c r="M51" s="161"/>
      <c r="N51" s="161"/>
      <c r="O51" s="161"/>
      <c r="P51" s="161"/>
      <c r="Q51" s="161"/>
      <c r="R51" s="161"/>
      <c r="S51" s="161"/>
      <c r="T51" s="161"/>
      <c r="U51" s="161"/>
      <c r="V51" s="161"/>
      <c r="W51" s="161"/>
      <c r="X51" s="161"/>
      <c r="Y51" s="161"/>
      <c r="Z51" s="161"/>
    </row>
    <row r="52" spans="2:26">
      <c r="B52" s="160"/>
      <c r="C52" s="160"/>
      <c r="D52" s="160"/>
      <c r="E52" s="160"/>
      <c r="F52" s="160"/>
      <c r="G52" s="160"/>
      <c r="H52" s="160"/>
      <c r="I52" s="160"/>
      <c r="J52" s="160"/>
      <c r="K52" s="160"/>
      <c r="Q52" s="161"/>
      <c r="R52" s="161"/>
      <c r="S52" s="161"/>
      <c r="T52" s="161"/>
      <c r="U52" s="161"/>
      <c r="V52" s="161"/>
      <c r="W52" s="161"/>
      <c r="X52" s="161"/>
      <c r="Y52" s="161"/>
      <c r="Z52" s="161"/>
    </row>
    <row r="53" spans="2:26">
      <c r="F53" s="160"/>
      <c r="G53" s="160"/>
      <c r="H53" s="160"/>
      <c r="I53" s="160"/>
      <c r="J53" s="160"/>
      <c r="K53" s="160"/>
      <c r="Q53" s="161"/>
      <c r="R53" s="161"/>
      <c r="S53" s="161"/>
      <c r="T53" s="161"/>
      <c r="U53" s="161"/>
      <c r="V53" s="161"/>
      <c r="W53" s="161"/>
      <c r="X53" s="161"/>
      <c r="Y53" s="161"/>
      <c r="Z53" s="161"/>
    </row>
  </sheetData>
  <mergeCells count="49">
    <mergeCell ref="A1:K1"/>
    <mergeCell ref="A2:K2"/>
    <mergeCell ref="J3:K3"/>
    <mergeCell ref="A5:C5"/>
    <mergeCell ref="A6:C6"/>
    <mergeCell ref="D6:E6"/>
    <mergeCell ref="F6:K6"/>
    <mergeCell ref="F12:K12"/>
    <mergeCell ref="A7:C7"/>
    <mergeCell ref="D7:E7"/>
    <mergeCell ref="A8:C8"/>
    <mergeCell ref="D8:E8"/>
    <mergeCell ref="A9:C9"/>
    <mergeCell ref="D9:E9"/>
    <mergeCell ref="A10:C10"/>
    <mergeCell ref="D10:E10"/>
    <mergeCell ref="A11:C11"/>
    <mergeCell ref="D11:E11"/>
    <mergeCell ref="D12:E12"/>
    <mergeCell ref="A13:C13"/>
    <mergeCell ref="D13:E13"/>
    <mergeCell ref="A14:C14"/>
    <mergeCell ref="D14:E14"/>
    <mergeCell ref="A15:C15"/>
    <mergeCell ref="D15:E15"/>
    <mergeCell ref="A16:C16"/>
    <mergeCell ref="D16:E16"/>
    <mergeCell ref="D17:E17"/>
    <mergeCell ref="F17:K17"/>
    <mergeCell ref="D18:E18"/>
    <mergeCell ref="F18:G26"/>
    <mergeCell ref="A19:C19"/>
    <mergeCell ref="D19:E19"/>
    <mergeCell ref="D20:E20"/>
    <mergeCell ref="A21:C21"/>
    <mergeCell ref="D21:E21"/>
    <mergeCell ref="D22:E22"/>
    <mergeCell ref="D23:E23"/>
    <mergeCell ref="D24:E24"/>
    <mergeCell ref="H26:I26"/>
    <mergeCell ref="A27:E27"/>
    <mergeCell ref="F27:K27"/>
    <mergeCell ref="B46:C46"/>
    <mergeCell ref="A28:E32"/>
    <mergeCell ref="A33:E33"/>
    <mergeCell ref="A34:E38"/>
    <mergeCell ref="A39:E39"/>
    <mergeCell ref="A40:E44"/>
    <mergeCell ref="B45:C45"/>
  </mergeCells>
  <dataValidations disablePrompts="1" count="3">
    <dataValidation type="list" allowBlank="1" showInputMessage="1" sqref="D6:E6" xr:uid="{00000000-0002-0000-0100-000000000000}">
      <formula1>$T$5:$T$10</formula1>
    </dataValidation>
    <dataValidation type="list" allowBlank="1" showErrorMessage="1" error="Choose from list!" sqref="D21" xr:uid="{00000000-0002-0000-0100-000001000000}">
      <formula1>$Q$22:$Q$24</formula1>
    </dataValidation>
    <dataValidation type="list" allowBlank="1" showInputMessage="1" errorTitle="Hold on!" error="Enter a valid motor type!" prompt="Motor Type  Select one from the list or input name" sqref="K4" xr:uid="{00000000-0002-0000-0100-000002000000}">
      <formula1>$Q$5:$Q$11</formula1>
    </dataValidation>
  </dataValidations>
  <printOptions horizontalCentered="1" verticalCentered="1"/>
  <pageMargins left="0.25" right="0.25" top="0.5" bottom="0.5" header="0.5" footer="0.5"/>
  <pageSetup scale="88" orientation="portrait" blackAndWhite="1"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N79"/>
  <sheetViews>
    <sheetView topLeftCell="A16" zoomScale="75" zoomScaleNormal="75" workbookViewId="0"/>
  </sheetViews>
  <sheetFormatPr defaultColWidth="9.109375" defaultRowHeight="13.2"/>
  <cols>
    <col min="1" max="1" width="9.109375" style="315" customWidth="1"/>
    <col min="2" max="2" width="18.109375" style="315" customWidth="1"/>
    <col min="3" max="3" width="21.5546875" style="315" customWidth="1"/>
    <col min="4" max="4" width="21.33203125" style="315" bestFit="1" customWidth="1"/>
    <col min="5" max="5" width="6.88671875" style="315" bestFit="1" customWidth="1"/>
    <col min="6" max="6" width="29.88671875" style="315" customWidth="1"/>
    <col min="7" max="7" width="43.6640625" style="315" customWidth="1"/>
    <col min="8" max="8" width="17.109375" style="315" customWidth="1"/>
    <col min="9" max="9" width="7.88671875" style="315" customWidth="1"/>
    <col min="10" max="10" width="2.33203125" style="315" bestFit="1" customWidth="1"/>
    <col min="11" max="12" width="2.33203125" style="315" customWidth="1"/>
    <col min="13" max="13" width="2.5546875" style="315" bestFit="1" customWidth="1"/>
    <col min="14" max="14" width="2.33203125" style="315" bestFit="1" customWidth="1"/>
    <col min="15" max="16384" width="9.109375" style="315"/>
  </cols>
  <sheetData>
    <row r="1" spans="2:14" ht="12.75" customHeight="1">
      <c r="B1" s="310"/>
      <c r="C1" s="311"/>
      <c r="D1" s="311"/>
      <c r="E1" s="311"/>
      <c r="F1" s="311"/>
      <c r="G1" s="311"/>
      <c r="H1" s="312"/>
      <c r="I1" s="313"/>
      <c r="J1" s="314" t="s">
        <v>347</v>
      </c>
      <c r="K1" s="314" t="s">
        <v>348</v>
      </c>
      <c r="L1" s="314" t="s">
        <v>349</v>
      </c>
      <c r="M1" s="314" t="s">
        <v>348</v>
      </c>
      <c r="N1" s="314"/>
    </row>
    <row r="2" spans="2:14" ht="12.75" customHeight="1">
      <c r="B2" s="510" t="s">
        <v>350</v>
      </c>
      <c r="C2" s="511"/>
      <c r="D2" s="511"/>
      <c r="E2" s="511"/>
      <c r="F2" s="511"/>
      <c r="G2" s="511"/>
      <c r="H2" s="316"/>
      <c r="I2" s="317"/>
      <c r="J2" s="318" t="s">
        <v>351</v>
      </c>
      <c r="K2" s="318" t="s">
        <v>352</v>
      </c>
      <c r="L2" s="318" t="s">
        <v>353</v>
      </c>
      <c r="M2" s="318" t="s">
        <v>354</v>
      </c>
      <c r="N2" s="318" t="s">
        <v>355</v>
      </c>
    </row>
    <row r="3" spans="2:14" ht="12.75" customHeight="1">
      <c r="B3" s="510"/>
      <c r="C3" s="511"/>
      <c r="D3" s="511"/>
      <c r="E3" s="511"/>
      <c r="F3" s="511"/>
      <c r="G3" s="511"/>
      <c r="H3" s="316"/>
      <c r="I3" s="317"/>
      <c r="J3" s="318" t="s">
        <v>356</v>
      </c>
      <c r="K3" s="318"/>
      <c r="L3" s="318" t="s">
        <v>357</v>
      </c>
      <c r="M3" s="318" t="s">
        <v>347</v>
      </c>
      <c r="N3" s="318"/>
    </row>
    <row r="4" spans="2:14" ht="12.75" customHeight="1">
      <c r="B4" s="510"/>
      <c r="C4" s="511"/>
      <c r="D4" s="511"/>
      <c r="E4" s="511"/>
      <c r="F4" s="511"/>
      <c r="G4" s="511"/>
      <c r="H4" s="316"/>
      <c r="I4" s="317"/>
      <c r="J4" s="318" t="s">
        <v>358</v>
      </c>
      <c r="K4" s="318"/>
      <c r="L4" s="318" t="s">
        <v>353</v>
      </c>
      <c r="M4" s="318" t="s">
        <v>351</v>
      </c>
      <c r="N4" s="318"/>
    </row>
    <row r="5" spans="2:14" ht="12.75" customHeight="1">
      <c r="B5" s="319"/>
      <c r="C5" s="320"/>
      <c r="D5" s="320"/>
      <c r="E5" s="320"/>
      <c r="F5" s="320"/>
      <c r="G5" s="320"/>
      <c r="H5" s="316"/>
      <c r="I5" s="317"/>
      <c r="J5" s="318"/>
      <c r="K5" s="318" t="s">
        <v>359</v>
      </c>
      <c r="L5" s="318" t="s">
        <v>348</v>
      </c>
      <c r="M5" s="318"/>
      <c r="N5" s="318" t="s">
        <v>353</v>
      </c>
    </row>
    <row r="6" spans="2:14" ht="12" customHeight="1">
      <c r="B6" s="321"/>
      <c r="C6" s="322"/>
      <c r="D6" s="322"/>
      <c r="F6" s="322"/>
      <c r="H6" s="323"/>
      <c r="I6" s="317"/>
      <c r="J6" s="318" t="s">
        <v>352</v>
      </c>
      <c r="K6" s="318" t="s">
        <v>360</v>
      </c>
      <c r="L6" s="318"/>
      <c r="M6" s="318" t="s">
        <v>348</v>
      </c>
      <c r="N6" s="318" t="s">
        <v>361</v>
      </c>
    </row>
    <row r="7" spans="2:14" ht="12.75" customHeight="1">
      <c r="B7" s="321"/>
      <c r="D7" s="324"/>
      <c r="H7" s="323"/>
      <c r="I7" s="317"/>
      <c r="J7" s="318" t="s">
        <v>362</v>
      </c>
      <c r="K7" s="318" t="s">
        <v>356</v>
      </c>
      <c r="L7" s="318" t="s">
        <v>356</v>
      </c>
      <c r="M7" s="318" t="s">
        <v>351</v>
      </c>
      <c r="N7" s="318" t="s">
        <v>363</v>
      </c>
    </row>
    <row r="8" spans="2:14" ht="12.75" customHeight="1">
      <c r="B8" s="321"/>
      <c r="G8" s="324"/>
      <c r="H8" s="325"/>
      <c r="I8" s="318" t="s">
        <v>363</v>
      </c>
      <c r="J8" s="318" t="s">
        <v>348</v>
      </c>
      <c r="K8" s="318" t="s">
        <v>364</v>
      </c>
      <c r="L8" s="318" t="s">
        <v>351</v>
      </c>
      <c r="M8" s="318" t="s">
        <v>363</v>
      </c>
      <c r="N8" s="318" t="s">
        <v>360</v>
      </c>
    </row>
    <row r="9" spans="2:14">
      <c r="B9" s="318" t="s">
        <v>365</v>
      </c>
      <c r="C9" s="325" t="s">
        <v>366</v>
      </c>
      <c r="D9" s="325" t="s">
        <v>367</v>
      </c>
      <c r="E9" s="325" t="s">
        <v>368</v>
      </c>
      <c r="F9" s="318" t="s">
        <v>369</v>
      </c>
      <c r="G9" s="318" t="s">
        <v>370</v>
      </c>
      <c r="H9" s="318" t="s">
        <v>371</v>
      </c>
      <c r="I9" s="318" t="s">
        <v>358</v>
      </c>
      <c r="J9" s="318" t="s">
        <v>362</v>
      </c>
      <c r="K9" s="318" t="s">
        <v>351</v>
      </c>
      <c r="L9" s="318" t="s">
        <v>364</v>
      </c>
      <c r="M9" s="318" t="s">
        <v>348</v>
      </c>
      <c r="N9" s="318" t="s">
        <v>349</v>
      </c>
    </row>
    <row r="10" spans="2:14" ht="15" customHeight="1">
      <c r="B10" s="326"/>
      <c r="C10" s="327"/>
      <c r="D10" s="327"/>
      <c r="E10" s="327"/>
      <c r="F10" s="328"/>
      <c r="G10" s="329"/>
      <c r="H10" s="329"/>
      <c r="I10" s="330"/>
      <c r="J10" s="331"/>
      <c r="K10" s="331"/>
      <c r="L10" s="331"/>
      <c r="M10" s="331"/>
      <c r="N10" s="332"/>
    </row>
    <row r="11" spans="2:14" ht="15" customHeight="1">
      <c r="B11" s="326"/>
      <c r="C11" s="328"/>
      <c r="D11" s="328"/>
      <c r="E11" s="328"/>
      <c r="F11" s="328"/>
      <c r="G11" s="328"/>
      <c r="H11" s="328"/>
      <c r="I11" s="333"/>
      <c r="J11" s="331"/>
      <c r="K11" s="331"/>
      <c r="L11" s="331"/>
      <c r="M11" s="331"/>
      <c r="N11" s="332"/>
    </row>
    <row r="12" spans="2:14" ht="15" customHeight="1">
      <c r="B12" s="326"/>
      <c r="C12" s="328"/>
      <c r="D12" s="328"/>
      <c r="E12" s="328"/>
      <c r="F12" s="328"/>
      <c r="G12" s="328"/>
      <c r="H12" s="328"/>
      <c r="I12" s="333"/>
      <c r="J12" s="334"/>
      <c r="K12" s="331"/>
      <c r="L12" s="331"/>
      <c r="M12" s="331"/>
      <c r="N12" s="332"/>
    </row>
    <row r="13" spans="2:14" ht="15" customHeight="1">
      <c r="B13" s="326"/>
      <c r="C13" s="328"/>
      <c r="D13" s="328"/>
      <c r="E13" s="328"/>
      <c r="F13" s="328"/>
      <c r="G13" s="328"/>
      <c r="H13" s="328"/>
      <c r="I13" s="333"/>
      <c r="J13" s="331"/>
      <c r="K13" s="331"/>
      <c r="L13" s="331"/>
      <c r="M13" s="331"/>
      <c r="N13" s="332"/>
    </row>
    <row r="14" spans="2:14" ht="15" customHeight="1">
      <c r="B14" s="326"/>
      <c r="C14" s="328"/>
      <c r="D14" s="328"/>
      <c r="E14" s="328"/>
      <c r="F14" s="328"/>
      <c r="G14" s="328"/>
      <c r="H14" s="328"/>
      <c r="I14" s="333"/>
      <c r="J14" s="331"/>
      <c r="K14" s="331"/>
      <c r="L14" s="331"/>
      <c r="M14" s="331"/>
      <c r="N14" s="332"/>
    </row>
    <row r="15" spans="2:14" ht="15" customHeight="1">
      <c r="B15" s="326"/>
      <c r="C15" s="328"/>
      <c r="D15" s="328"/>
      <c r="E15" s="328"/>
      <c r="F15" s="328"/>
      <c r="G15" s="328"/>
      <c r="H15" s="328"/>
      <c r="I15" s="333"/>
      <c r="J15" s="331"/>
      <c r="K15" s="331"/>
      <c r="L15" s="331"/>
      <c r="M15" s="331"/>
      <c r="N15" s="332"/>
    </row>
    <row r="16" spans="2:14" ht="15" customHeight="1">
      <c r="B16" s="326"/>
      <c r="C16" s="328"/>
      <c r="D16" s="328"/>
      <c r="E16" s="328"/>
      <c r="F16" s="328"/>
      <c r="G16" s="328"/>
      <c r="H16" s="328"/>
      <c r="I16" s="333"/>
      <c r="J16" s="331"/>
      <c r="K16" s="331"/>
      <c r="L16" s="331"/>
      <c r="M16" s="331"/>
      <c r="N16" s="332"/>
    </row>
    <row r="17" spans="2:14" ht="15" customHeight="1">
      <c r="B17" s="326"/>
      <c r="C17" s="328"/>
      <c r="D17" s="328"/>
      <c r="E17" s="328"/>
      <c r="F17" s="328"/>
      <c r="G17" s="328"/>
      <c r="H17" s="328"/>
      <c r="I17" s="333"/>
      <c r="J17" s="331"/>
      <c r="K17" s="331"/>
      <c r="L17" s="331"/>
      <c r="M17" s="331"/>
      <c r="N17" s="332"/>
    </row>
    <row r="18" spans="2:14" ht="15" customHeight="1">
      <c r="B18" s="326"/>
      <c r="C18" s="328"/>
      <c r="D18" s="328"/>
      <c r="E18" s="328"/>
      <c r="F18" s="328"/>
      <c r="G18" s="328"/>
      <c r="H18" s="328"/>
      <c r="I18" s="333"/>
      <c r="J18" s="331"/>
      <c r="K18" s="331"/>
      <c r="L18" s="331"/>
      <c r="M18" s="331"/>
      <c r="N18" s="332"/>
    </row>
    <row r="19" spans="2:14" ht="15" customHeight="1">
      <c r="B19" s="326"/>
      <c r="C19" s="328"/>
      <c r="D19" s="328"/>
      <c r="E19" s="328"/>
      <c r="F19" s="328"/>
      <c r="G19" s="328"/>
      <c r="H19" s="328"/>
      <c r="I19" s="333"/>
      <c r="J19" s="331"/>
      <c r="K19" s="331"/>
      <c r="L19" s="331"/>
      <c r="M19" s="331"/>
      <c r="N19" s="332"/>
    </row>
    <row r="20" spans="2:14" ht="15" customHeight="1">
      <c r="B20" s="326"/>
      <c r="C20" s="328"/>
      <c r="D20" s="328"/>
      <c r="E20" s="328"/>
      <c r="F20" s="328"/>
      <c r="G20" s="328"/>
      <c r="H20" s="328"/>
      <c r="I20" s="333"/>
      <c r="J20" s="331"/>
      <c r="K20" s="331"/>
      <c r="L20" s="331"/>
      <c r="M20" s="331"/>
      <c r="N20" s="332"/>
    </row>
    <row r="21" spans="2:14" ht="15" customHeight="1">
      <c r="B21" s="326"/>
      <c r="C21" s="328"/>
      <c r="D21" s="328"/>
      <c r="E21" s="328"/>
      <c r="F21" s="328"/>
      <c r="G21" s="328"/>
      <c r="H21" s="328"/>
      <c r="I21" s="333"/>
      <c r="J21" s="331"/>
      <c r="K21" s="331"/>
      <c r="L21" s="331"/>
      <c r="M21" s="331"/>
      <c r="N21" s="332"/>
    </row>
    <row r="22" spans="2:14" ht="15" customHeight="1">
      <c r="B22" s="326"/>
      <c r="C22" s="328"/>
      <c r="D22" s="328"/>
      <c r="E22" s="328"/>
      <c r="F22" s="328"/>
      <c r="G22" s="328"/>
      <c r="H22" s="328"/>
      <c r="I22" s="333"/>
      <c r="J22" s="331"/>
      <c r="K22" s="331"/>
      <c r="L22" s="331"/>
      <c r="M22" s="331"/>
      <c r="N22" s="332"/>
    </row>
    <row r="23" spans="2:14" ht="15" customHeight="1">
      <c r="B23" s="326"/>
      <c r="C23" s="328"/>
      <c r="D23" s="328"/>
      <c r="E23" s="328"/>
      <c r="F23" s="328"/>
      <c r="G23" s="328"/>
      <c r="H23" s="328"/>
      <c r="I23" s="333"/>
      <c r="J23" s="331"/>
      <c r="K23" s="331"/>
      <c r="L23" s="331"/>
      <c r="M23" s="331"/>
      <c r="N23" s="332"/>
    </row>
    <row r="24" spans="2:14" ht="15" customHeight="1">
      <c r="B24" s="326"/>
      <c r="C24" s="328"/>
      <c r="D24" s="328"/>
      <c r="E24" s="328"/>
      <c r="F24" s="328"/>
      <c r="G24" s="328"/>
      <c r="H24" s="328"/>
      <c r="I24" s="333"/>
      <c r="J24" s="331"/>
      <c r="K24" s="331"/>
      <c r="L24" s="331"/>
      <c r="M24" s="331"/>
      <c r="N24" s="332"/>
    </row>
    <row r="25" spans="2:14" ht="15" customHeight="1">
      <c r="B25" s="326"/>
      <c r="C25" s="328"/>
      <c r="D25" s="328"/>
      <c r="E25" s="328"/>
      <c r="F25" s="328"/>
      <c r="G25" s="328"/>
      <c r="H25" s="328"/>
      <c r="I25" s="333"/>
      <c r="J25" s="331"/>
      <c r="K25" s="331"/>
      <c r="L25" s="331"/>
      <c r="M25" s="331"/>
      <c r="N25" s="332"/>
    </row>
    <row r="26" spans="2:14" ht="15" customHeight="1">
      <c r="B26" s="326"/>
      <c r="C26" s="328"/>
      <c r="D26" s="328"/>
      <c r="E26" s="328"/>
      <c r="F26" s="328"/>
      <c r="G26" s="328"/>
      <c r="H26" s="328"/>
      <c r="I26" s="333"/>
      <c r="J26" s="331"/>
      <c r="K26" s="331"/>
      <c r="L26" s="331"/>
      <c r="M26" s="331"/>
      <c r="N26" s="332"/>
    </row>
    <row r="27" spans="2:14" ht="15" customHeight="1">
      <c r="B27" s="326"/>
      <c r="C27" s="328"/>
      <c r="D27" s="328"/>
      <c r="E27" s="328"/>
      <c r="F27" s="328"/>
      <c r="G27" s="328"/>
      <c r="H27" s="328"/>
      <c r="I27" s="333"/>
      <c r="J27" s="331"/>
      <c r="K27" s="331"/>
      <c r="L27" s="331"/>
      <c r="M27" s="331"/>
      <c r="N27" s="332"/>
    </row>
    <row r="28" spans="2:14" ht="15" customHeight="1">
      <c r="B28" s="326"/>
      <c r="C28" s="328"/>
      <c r="D28" s="328"/>
      <c r="E28" s="328"/>
      <c r="F28" s="328"/>
      <c r="G28" s="328"/>
      <c r="H28" s="328"/>
      <c r="I28" s="333"/>
      <c r="J28" s="331"/>
      <c r="K28" s="331"/>
      <c r="L28" s="331"/>
      <c r="M28" s="331"/>
      <c r="N28" s="332"/>
    </row>
    <row r="29" spans="2:14" ht="15" customHeight="1">
      <c r="B29" s="326"/>
      <c r="C29" s="328"/>
      <c r="D29" s="328"/>
      <c r="E29" s="328"/>
      <c r="F29" s="328"/>
      <c r="G29" s="328"/>
      <c r="H29" s="328"/>
      <c r="I29" s="333"/>
      <c r="J29" s="331"/>
      <c r="K29" s="331"/>
      <c r="L29" s="331"/>
      <c r="M29" s="331"/>
      <c r="N29" s="332"/>
    </row>
    <row r="30" spans="2:14" ht="15" customHeight="1">
      <c r="B30" s="326"/>
      <c r="C30" s="328"/>
      <c r="D30" s="328"/>
      <c r="E30" s="328"/>
      <c r="F30" s="328"/>
      <c r="G30" s="328"/>
      <c r="H30" s="328"/>
      <c r="I30" s="333"/>
      <c r="J30" s="331"/>
      <c r="K30" s="331"/>
      <c r="L30" s="331"/>
      <c r="M30" s="331"/>
      <c r="N30" s="332"/>
    </row>
    <row r="31" spans="2:14" ht="15" customHeight="1">
      <c r="B31" s="326"/>
      <c r="C31" s="328"/>
      <c r="D31" s="328"/>
      <c r="E31" s="328"/>
      <c r="F31" s="328"/>
      <c r="G31" s="328"/>
      <c r="H31" s="328"/>
      <c r="I31" s="333"/>
      <c r="J31" s="331"/>
      <c r="K31" s="331"/>
      <c r="L31" s="331"/>
      <c r="M31" s="331"/>
      <c r="N31" s="332"/>
    </row>
    <row r="32" spans="2:14" ht="15" customHeight="1">
      <c r="B32" s="326"/>
      <c r="C32" s="328"/>
      <c r="D32" s="328"/>
      <c r="E32" s="328"/>
      <c r="F32" s="328"/>
      <c r="G32" s="328"/>
      <c r="H32" s="328"/>
      <c r="I32" s="333"/>
      <c r="J32" s="331"/>
      <c r="K32" s="331"/>
      <c r="L32" s="331"/>
      <c r="M32" s="331"/>
      <c r="N32" s="332"/>
    </row>
    <row r="33" spans="2:14" ht="15" customHeight="1">
      <c r="B33" s="326"/>
      <c r="C33" s="328"/>
      <c r="D33" s="328"/>
      <c r="E33" s="328"/>
      <c r="F33" s="328"/>
      <c r="G33" s="328"/>
      <c r="H33" s="328"/>
      <c r="I33" s="333"/>
      <c r="J33" s="331"/>
      <c r="K33" s="331"/>
      <c r="L33" s="331"/>
      <c r="M33" s="331"/>
      <c r="N33" s="332"/>
    </row>
    <row r="34" spans="2:14" ht="15" customHeight="1">
      <c r="B34" s="326"/>
      <c r="C34" s="328"/>
      <c r="D34" s="328"/>
      <c r="E34" s="328"/>
      <c r="F34" s="328"/>
      <c r="G34" s="328"/>
      <c r="H34" s="328"/>
      <c r="I34" s="333"/>
      <c r="J34" s="331"/>
      <c r="K34" s="331"/>
      <c r="L34" s="331"/>
      <c r="M34" s="331"/>
      <c r="N34" s="332"/>
    </row>
    <row r="35" spans="2:14" ht="15" customHeight="1">
      <c r="B35" s="326"/>
      <c r="C35" s="328"/>
      <c r="D35" s="328"/>
      <c r="E35" s="328"/>
      <c r="F35" s="328"/>
      <c r="G35" s="328"/>
      <c r="H35" s="328"/>
      <c r="I35" s="333"/>
      <c r="J35" s="331"/>
      <c r="K35" s="331"/>
      <c r="L35" s="331"/>
      <c r="M35" s="331"/>
      <c r="N35" s="332"/>
    </row>
    <row r="36" spans="2:14" ht="15" customHeight="1">
      <c r="B36" s="326"/>
      <c r="C36" s="328"/>
      <c r="D36" s="328"/>
      <c r="E36" s="328"/>
      <c r="F36" s="328"/>
      <c r="G36" s="328"/>
      <c r="H36" s="328"/>
      <c r="I36" s="333"/>
      <c r="J36" s="331"/>
      <c r="K36" s="331"/>
      <c r="L36" s="331"/>
      <c r="M36" s="331"/>
      <c r="N36" s="332"/>
    </row>
    <row r="37" spans="2:14" ht="15" customHeight="1">
      <c r="B37" s="326"/>
      <c r="C37" s="328"/>
      <c r="D37" s="328"/>
      <c r="E37" s="328"/>
      <c r="F37" s="328"/>
      <c r="G37" s="328"/>
      <c r="H37" s="328"/>
      <c r="I37" s="333"/>
      <c r="J37" s="331"/>
      <c r="K37" s="331"/>
      <c r="L37" s="331"/>
      <c r="M37" s="331"/>
      <c r="N37" s="332"/>
    </row>
    <row r="38" spans="2:14" ht="15" customHeight="1">
      <c r="B38" s="326"/>
      <c r="C38" s="328"/>
      <c r="D38" s="328"/>
      <c r="E38" s="328"/>
      <c r="F38" s="328"/>
      <c r="G38" s="328"/>
      <c r="H38" s="328"/>
      <c r="I38" s="333"/>
      <c r="J38" s="331"/>
      <c r="K38" s="331"/>
      <c r="L38" s="331"/>
      <c r="M38" s="331"/>
      <c r="N38" s="332"/>
    </row>
    <row r="39" spans="2:14" ht="15" customHeight="1">
      <c r="B39" s="326"/>
      <c r="C39" s="328"/>
      <c r="D39" s="328"/>
      <c r="E39" s="328"/>
      <c r="F39" s="328"/>
      <c r="G39" s="328"/>
      <c r="H39" s="328"/>
      <c r="I39" s="333"/>
      <c r="J39" s="331"/>
      <c r="K39" s="331"/>
      <c r="L39" s="331"/>
      <c r="M39" s="331"/>
      <c r="N39" s="332"/>
    </row>
    <row r="40" spans="2:14" ht="15" customHeight="1">
      <c r="B40" s="326"/>
      <c r="C40" s="328"/>
      <c r="D40" s="328"/>
      <c r="E40" s="328"/>
      <c r="F40" s="328"/>
      <c r="G40" s="328"/>
      <c r="H40" s="328"/>
      <c r="I40" s="333"/>
      <c r="J40" s="331"/>
      <c r="K40" s="331"/>
      <c r="L40" s="331"/>
      <c r="M40" s="331"/>
      <c r="N40" s="332"/>
    </row>
    <row r="41" spans="2:14" ht="15" customHeight="1">
      <c r="B41" s="326"/>
      <c r="C41" s="328"/>
      <c r="D41" s="328"/>
      <c r="E41" s="328"/>
      <c r="F41" s="328"/>
      <c r="G41" s="328"/>
      <c r="H41" s="328"/>
      <c r="I41" s="333"/>
      <c r="J41" s="331"/>
      <c r="K41" s="331"/>
      <c r="L41" s="331"/>
      <c r="M41" s="331"/>
      <c r="N41" s="332"/>
    </row>
    <row r="42" spans="2:14" ht="15" customHeight="1">
      <c r="B42" s="326"/>
      <c r="C42" s="328"/>
      <c r="D42" s="328"/>
      <c r="E42" s="328"/>
      <c r="F42" s="328"/>
      <c r="G42" s="328"/>
      <c r="H42" s="328"/>
      <c r="I42" s="333"/>
      <c r="J42" s="331"/>
      <c r="K42" s="331"/>
      <c r="L42" s="331"/>
      <c r="M42" s="331"/>
      <c r="N42" s="332"/>
    </row>
    <row r="43" spans="2:14" ht="15" customHeight="1">
      <c r="B43" s="326"/>
      <c r="C43" s="328"/>
      <c r="D43" s="328"/>
      <c r="E43" s="328"/>
      <c r="F43" s="328"/>
      <c r="G43" s="328"/>
      <c r="H43" s="328"/>
      <c r="I43" s="333"/>
      <c r="J43" s="331"/>
      <c r="K43" s="331"/>
      <c r="L43" s="331"/>
      <c r="M43" s="331"/>
      <c r="N43" s="332"/>
    </row>
    <row r="44" spans="2:14" ht="15" customHeight="1">
      <c r="B44" s="326"/>
      <c r="C44" s="328"/>
      <c r="D44" s="328"/>
      <c r="E44" s="328"/>
      <c r="F44" s="328"/>
      <c r="G44" s="328"/>
      <c r="H44" s="328"/>
      <c r="I44" s="333"/>
      <c r="J44" s="331"/>
      <c r="K44" s="331"/>
      <c r="L44" s="331"/>
      <c r="M44" s="331"/>
      <c r="N44" s="332"/>
    </row>
    <row r="45" spans="2:14" ht="15" customHeight="1">
      <c r="B45" s="326"/>
      <c r="C45" s="328"/>
      <c r="D45" s="328"/>
      <c r="E45" s="328"/>
      <c r="F45" s="328"/>
      <c r="G45" s="328"/>
      <c r="H45" s="328"/>
      <c r="I45" s="333"/>
      <c r="J45" s="331"/>
      <c r="K45" s="331"/>
      <c r="L45" s="331"/>
      <c r="M45" s="331"/>
      <c r="N45" s="332"/>
    </row>
    <row r="46" spans="2:14" ht="15" customHeight="1">
      <c r="B46" s="326"/>
      <c r="C46" s="328"/>
      <c r="D46" s="328"/>
      <c r="E46" s="328"/>
      <c r="F46" s="328"/>
      <c r="G46" s="328"/>
      <c r="H46" s="328"/>
      <c r="I46" s="333"/>
      <c r="J46" s="331"/>
      <c r="K46" s="331"/>
      <c r="L46" s="331"/>
      <c r="M46" s="331"/>
      <c r="N46" s="332"/>
    </row>
    <row r="47" spans="2:14" ht="15" customHeight="1">
      <c r="B47" s="326"/>
      <c r="C47" s="328"/>
      <c r="D47" s="328"/>
      <c r="E47" s="328"/>
      <c r="F47" s="328"/>
      <c r="G47" s="328"/>
      <c r="H47" s="328"/>
      <c r="I47" s="333"/>
      <c r="J47" s="331"/>
      <c r="K47" s="331"/>
      <c r="L47" s="331"/>
      <c r="M47" s="331"/>
      <c r="N47" s="332"/>
    </row>
    <row r="48" spans="2:14" ht="15" customHeight="1">
      <c r="B48" s="326"/>
      <c r="C48" s="328"/>
      <c r="D48" s="328"/>
      <c r="E48" s="328"/>
      <c r="F48" s="328"/>
      <c r="G48" s="328"/>
      <c r="H48" s="328"/>
      <c r="I48" s="333"/>
      <c r="J48" s="331"/>
      <c r="K48" s="331"/>
      <c r="L48" s="331"/>
      <c r="M48" s="331"/>
      <c r="N48" s="332"/>
    </row>
    <row r="49" spans="2:14" ht="15" customHeight="1">
      <c r="B49" s="326"/>
      <c r="C49" s="328"/>
      <c r="D49" s="328"/>
      <c r="E49" s="328"/>
      <c r="F49" s="328"/>
      <c r="G49" s="328"/>
      <c r="H49" s="328"/>
      <c r="I49" s="333"/>
      <c r="J49" s="331"/>
      <c r="K49" s="331"/>
      <c r="L49" s="331"/>
      <c r="M49" s="331"/>
      <c r="N49" s="332"/>
    </row>
    <row r="50" spans="2:14" ht="15" customHeight="1">
      <c r="B50" s="326"/>
      <c r="C50" s="328"/>
      <c r="D50" s="328"/>
      <c r="E50" s="328"/>
      <c r="F50" s="328"/>
      <c r="G50" s="328"/>
      <c r="H50" s="328"/>
      <c r="I50" s="333"/>
      <c r="J50" s="331"/>
      <c r="K50" s="331"/>
      <c r="L50" s="331"/>
      <c r="M50" s="331"/>
      <c r="N50" s="332"/>
    </row>
    <row r="51" spans="2:14" ht="15" customHeight="1">
      <c r="B51" s="326"/>
      <c r="C51" s="328"/>
      <c r="D51" s="328"/>
      <c r="E51" s="328"/>
      <c r="F51" s="328"/>
      <c r="G51" s="328"/>
      <c r="H51" s="328"/>
      <c r="I51" s="333"/>
      <c r="J51" s="331"/>
      <c r="K51" s="331"/>
      <c r="L51" s="331"/>
      <c r="M51" s="331"/>
      <c r="N51" s="332"/>
    </row>
    <row r="52" spans="2:14" ht="15" customHeight="1" thickBot="1">
      <c r="B52" s="335"/>
      <c r="C52" s="336"/>
      <c r="D52" s="336"/>
      <c r="E52" s="336"/>
      <c r="F52" s="336"/>
      <c r="G52" s="336"/>
      <c r="H52" s="336"/>
      <c r="I52" s="337"/>
      <c r="J52" s="338"/>
      <c r="K52" s="338"/>
      <c r="L52" s="338"/>
      <c r="M52" s="338"/>
      <c r="N52" s="339"/>
    </row>
    <row r="53" spans="2:14" ht="20.25" customHeight="1" thickBot="1">
      <c r="B53" s="512" t="s">
        <v>372</v>
      </c>
      <c r="C53" s="512"/>
      <c r="D53" s="512"/>
      <c r="E53" s="512"/>
      <c r="F53" s="512"/>
      <c r="G53" s="512"/>
      <c r="H53" s="512"/>
      <c r="I53" s="512"/>
      <c r="J53" s="512"/>
      <c r="K53" s="512"/>
      <c r="L53" s="512"/>
      <c r="M53" s="512"/>
      <c r="N53" s="512"/>
    </row>
    <row r="54" spans="2:14" ht="15" customHeight="1" thickBot="1">
      <c r="B54" s="340" t="s">
        <v>373</v>
      </c>
      <c r="C54" s="513" t="s">
        <v>370</v>
      </c>
      <c r="D54" s="514"/>
      <c r="E54" s="514"/>
      <c r="F54" s="514"/>
      <c r="G54" s="514"/>
      <c r="H54" s="341"/>
      <c r="I54" s="513" t="s">
        <v>365</v>
      </c>
      <c r="J54" s="514"/>
      <c r="K54" s="515"/>
      <c r="L54" s="513" t="s">
        <v>374</v>
      </c>
      <c r="M54" s="514"/>
      <c r="N54" s="516"/>
    </row>
    <row r="55" spans="2:14" ht="15" customHeight="1">
      <c r="B55" s="342"/>
      <c r="C55" s="502"/>
      <c r="D55" s="503"/>
      <c r="E55" s="503"/>
      <c r="F55" s="503"/>
      <c r="G55" s="503"/>
      <c r="H55" s="343"/>
      <c r="I55" s="504"/>
      <c r="J55" s="505"/>
      <c r="K55" s="506"/>
      <c r="L55" s="507"/>
      <c r="M55" s="508"/>
      <c r="N55" s="509"/>
    </row>
    <row r="56" spans="2:14" ht="15" customHeight="1">
      <c r="B56" s="344"/>
      <c r="C56" s="486"/>
      <c r="D56" s="487"/>
      <c r="E56" s="487"/>
      <c r="F56" s="487"/>
      <c r="G56" s="487"/>
      <c r="H56" s="345"/>
      <c r="I56" s="488"/>
      <c r="J56" s="489"/>
      <c r="K56" s="490"/>
      <c r="L56" s="491"/>
      <c r="M56" s="492"/>
      <c r="N56" s="493"/>
    </row>
    <row r="57" spans="2:14" ht="15" customHeight="1">
      <c r="B57" s="344"/>
      <c r="C57" s="486"/>
      <c r="D57" s="487"/>
      <c r="E57" s="487"/>
      <c r="F57" s="487"/>
      <c r="G57" s="487"/>
      <c r="H57" s="345"/>
      <c r="I57" s="488"/>
      <c r="J57" s="489"/>
      <c r="K57" s="490"/>
      <c r="L57" s="491"/>
      <c r="M57" s="492"/>
      <c r="N57" s="493"/>
    </row>
    <row r="58" spans="2:14" ht="15" customHeight="1">
      <c r="B58" s="344"/>
      <c r="C58" s="486"/>
      <c r="D58" s="487"/>
      <c r="E58" s="487"/>
      <c r="F58" s="487"/>
      <c r="G58" s="487"/>
      <c r="H58" s="345"/>
      <c r="I58" s="488"/>
      <c r="J58" s="489"/>
      <c r="K58" s="490"/>
      <c r="L58" s="491"/>
      <c r="M58" s="492"/>
      <c r="N58" s="493"/>
    </row>
    <row r="59" spans="2:14" ht="15" customHeight="1">
      <c r="B59" s="344"/>
      <c r="C59" s="486"/>
      <c r="D59" s="487"/>
      <c r="E59" s="487"/>
      <c r="F59" s="487"/>
      <c r="G59" s="487"/>
      <c r="H59" s="345"/>
      <c r="I59" s="488"/>
      <c r="J59" s="489"/>
      <c r="K59" s="490"/>
      <c r="L59" s="491"/>
      <c r="M59" s="492"/>
      <c r="N59" s="493"/>
    </row>
    <row r="60" spans="2:14" ht="15" customHeight="1">
      <c r="B60" s="344"/>
      <c r="C60" s="486"/>
      <c r="D60" s="487"/>
      <c r="E60" s="487"/>
      <c r="F60" s="487"/>
      <c r="G60" s="487"/>
      <c r="H60" s="345"/>
      <c r="I60" s="488"/>
      <c r="J60" s="489"/>
      <c r="K60" s="490"/>
      <c r="L60" s="491"/>
      <c r="M60" s="492"/>
      <c r="N60" s="493"/>
    </row>
    <row r="61" spans="2:14" ht="15" customHeight="1">
      <c r="B61" s="344"/>
      <c r="C61" s="486"/>
      <c r="D61" s="487"/>
      <c r="E61" s="487"/>
      <c r="F61" s="487"/>
      <c r="G61" s="487"/>
      <c r="H61" s="345"/>
      <c r="I61" s="488"/>
      <c r="J61" s="489"/>
      <c r="K61" s="490"/>
      <c r="L61" s="491"/>
      <c r="M61" s="492"/>
      <c r="N61" s="493"/>
    </row>
    <row r="62" spans="2:14" ht="15" customHeight="1">
      <c r="B62" s="344"/>
      <c r="C62" s="486"/>
      <c r="D62" s="487"/>
      <c r="E62" s="487"/>
      <c r="F62" s="487"/>
      <c r="G62" s="487"/>
      <c r="H62" s="345"/>
      <c r="I62" s="488"/>
      <c r="J62" s="489"/>
      <c r="K62" s="490"/>
      <c r="L62" s="491"/>
      <c r="M62" s="492"/>
      <c r="N62" s="493"/>
    </row>
    <row r="63" spans="2:14" ht="15" customHeight="1">
      <c r="B63" s="344"/>
      <c r="C63" s="486"/>
      <c r="D63" s="487"/>
      <c r="E63" s="487"/>
      <c r="F63" s="487"/>
      <c r="G63" s="487"/>
      <c r="H63" s="345"/>
      <c r="I63" s="488"/>
      <c r="J63" s="489"/>
      <c r="K63" s="490"/>
      <c r="L63" s="491"/>
      <c r="M63" s="492"/>
      <c r="N63" s="493"/>
    </row>
    <row r="64" spans="2:14" ht="15" customHeight="1">
      <c r="B64" s="344"/>
      <c r="C64" s="486"/>
      <c r="D64" s="487"/>
      <c r="E64" s="487"/>
      <c r="F64" s="487"/>
      <c r="G64" s="487"/>
      <c r="H64" s="345"/>
      <c r="I64" s="488"/>
      <c r="J64" s="489"/>
      <c r="K64" s="490"/>
      <c r="L64" s="491"/>
      <c r="M64" s="492"/>
      <c r="N64" s="493"/>
    </row>
    <row r="65" spans="2:14" ht="15" customHeight="1">
      <c r="B65" s="344"/>
      <c r="C65" s="486"/>
      <c r="D65" s="487"/>
      <c r="E65" s="487"/>
      <c r="F65" s="487"/>
      <c r="G65" s="487"/>
      <c r="H65" s="345"/>
      <c r="I65" s="488"/>
      <c r="J65" s="489"/>
      <c r="K65" s="490"/>
      <c r="L65" s="491"/>
      <c r="M65" s="492"/>
      <c r="N65" s="493"/>
    </row>
    <row r="66" spans="2:14" ht="15" customHeight="1">
      <c r="B66" s="344"/>
      <c r="C66" s="486"/>
      <c r="D66" s="487"/>
      <c r="E66" s="487"/>
      <c r="F66" s="487"/>
      <c r="G66" s="487"/>
      <c r="H66" s="345"/>
      <c r="I66" s="488"/>
      <c r="J66" s="489"/>
      <c r="K66" s="490"/>
      <c r="L66" s="491"/>
      <c r="M66" s="492"/>
      <c r="N66" s="493"/>
    </row>
    <row r="67" spans="2:14" ht="15" customHeight="1">
      <c r="B67" s="344"/>
      <c r="C67" s="486"/>
      <c r="D67" s="487"/>
      <c r="E67" s="487"/>
      <c r="F67" s="487"/>
      <c r="G67" s="487"/>
      <c r="H67" s="345"/>
      <c r="I67" s="488"/>
      <c r="J67" s="489"/>
      <c r="K67" s="490"/>
      <c r="L67" s="491"/>
      <c r="M67" s="492"/>
      <c r="N67" s="493"/>
    </row>
    <row r="68" spans="2:14" ht="15" customHeight="1">
      <c r="B68" s="344"/>
      <c r="C68" s="486"/>
      <c r="D68" s="487"/>
      <c r="E68" s="487"/>
      <c r="F68" s="487"/>
      <c r="G68" s="487"/>
      <c r="H68" s="345"/>
      <c r="I68" s="488"/>
      <c r="J68" s="489"/>
      <c r="K68" s="490"/>
      <c r="L68" s="491"/>
      <c r="M68" s="492"/>
      <c r="N68" s="493"/>
    </row>
    <row r="69" spans="2:14" ht="15" customHeight="1">
      <c r="B69" s="344"/>
      <c r="C69" s="486"/>
      <c r="D69" s="487"/>
      <c r="E69" s="487"/>
      <c r="F69" s="487"/>
      <c r="G69" s="487"/>
      <c r="H69" s="345"/>
      <c r="I69" s="488"/>
      <c r="J69" s="489"/>
      <c r="K69" s="490"/>
      <c r="L69" s="491"/>
      <c r="M69" s="492"/>
      <c r="N69" s="493"/>
    </row>
    <row r="70" spans="2:14" ht="15" customHeight="1">
      <c r="B70" s="344"/>
      <c r="C70" s="486"/>
      <c r="D70" s="487"/>
      <c r="E70" s="487"/>
      <c r="F70" s="487"/>
      <c r="G70" s="487"/>
      <c r="H70" s="345"/>
      <c r="I70" s="488"/>
      <c r="J70" s="489"/>
      <c r="K70" s="490"/>
      <c r="L70" s="491"/>
      <c r="M70" s="492"/>
      <c r="N70" s="493"/>
    </row>
    <row r="71" spans="2:14" ht="15" customHeight="1">
      <c r="B71" s="344"/>
      <c r="C71" s="486"/>
      <c r="D71" s="487"/>
      <c r="E71" s="487"/>
      <c r="F71" s="487"/>
      <c r="G71" s="487"/>
      <c r="H71" s="345"/>
      <c r="I71" s="488"/>
      <c r="J71" s="489"/>
      <c r="K71" s="490"/>
      <c r="L71" s="491"/>
      <c r="M71" s="492"/>
      <c r="N71" s="493"/>
    </row>
    <row r="72" spans="2:14">
      <c r="B72" s="344"/>
      <c r="C72" s="486"/>
      <c r="D72" s="487"/>
      <c r="E72" s="487"/>
      <c r="F72" s="487"/>
      <c r="G72" s="487"/>
      <c r="H72" s="345"/>
      <c r="I72" s="488"/>
      <c r="J72" s="489"/>
      <c r="K72" s="490"/>
      <c r="L72" s="491"/>
      <c r="M72" s="492"/>
      <c r="N72" s="493"/>
    </row>
    <row r="73" spans="2:14">
      <c r="B73" s="344"/>
      <c r="C73" s="486"/>
      <c r="D73" s="487"/>
      <c r="E73" s="487"/>
      <c r="F73" s="487"/>
      <c r="G73" s="487"/>
      <c r="H73" s="345"/>
      <c r="I73" s="488"/>
      <c r="J73" s="489"/>
      <c r="K73" s="490"/>
      <c r="L73" s="491"/>
      <c r="M73" s="492"/>
      <c r="N73" s="493"/>
    </row>
    <row r="74" spans="2:14">
      <c r="B74" s="344"/>
      <c r="C74" s="486"/>
      <c r="D74" s="487"/>
      <c r="E74" s="487"/>
      <c r="F74" s="487"/>
      <c r="G74" s="487"/>
      <c r="H74" s="345"/>
      <c r="I74" s="488"/>
      <c r="J74" s="489"/>
      <c r="K74" s="490"/>
      <c r="L74" s="491"/>
      <c r="M74" s="492"/>
      <c r="N74" s="493"/>
    </row>
    <row r="75" spans="2:14">
      <c r="B75" s="344"/>
      <c r="C75" s="486"/>
      <c r="D75" s="487"/>
      <c r="E75" s="487"/>
      <c r="F75" s="487"/>
      <c r="G75" s="487"/>
      <c r="H75" s="345"/>
      <c r="I75" s="488"/>
      <c r="J75" s="489"/>
      <c r="K75" s="490"/>
      <c r="L75" s="491"/>
      <c r="M75" s="492"/>
      <c r="N75" s="493"/>
    </row>
    <row r="76" spans="2:14">
      <c r="B76" s="344"/>
      <c r="C76" s="486"/>
      <c r="D76" s="487"/>
      <c r="E76" s="487"/>
      <c r="F76" s="487"/>
      <c r="G76" s="487"/>
      <c r="H76" s="345"/>
      <c r="I76" s="488"/>
      <c r="J76" s="489"/>
      <c r="K76" s="490"/>
      <c r="L76" s="491"/>
      <c r="M76" s="492"/>
      <c r="N76" s="493"/>
    </row>
    <row r="77" spans="2:14">
      <c r="B77" s="344"/>
      <c r="C77" s="486"/>
      <c r="D77" s="487"/>
      <c r="E77" s="487"/>
      <c r="F77" s="487"/>
      <c r="G77" s="487"/>
      <c r="H77" s="345"/>
      <c r="I77" s="488"/>
      <c r="J77" s="489"/>
      <c r="K77" s="490"/>
      <c r="L77" s="491"/>
      <c r="M77" s="492"/>
      <c r="N77" s="493"/>
    </row>
    <row r="78" spans="2:14">
      <c r="B78" s="344"/>
      <c r="C78" s="486"/>
      <c r="D78" s="487"/>
      <c r="E78" s="487"/>
      <c r="F78" s="487"/>
      <c r="G78" s="487"/>
      <c r="H78" s="345"/>
      <c r="I78" s="488"/>
      <c r="J78" s="489"/>
      <c r="K78" s="490"/>
      <c r="L78" s="491"/>
      <c r="M78" s="492"/>
      <c r="N78" s="493"/>
    </row>
    <row r="79" spans="2:14" ht="13.8" thickBot="1">
      <c r="B79" s="346"/>
      <c r="C79" s="494"/>
      <c r="D79" s="495"/>
      <c r="E79" s="495"/>
      <c r="F79" s="495"/>
      <c r="G79" s="495"/>
      <c r="H79" s="347"/>
      <c r="I79" s="496"/>
      <c r="J79" s="497"/>
      <c r="K79" s="498"/>
      <c r="L79" s="499"/>
      <c r="M79" s="500"/>
      <c r="N79" s="501"/>
    </row>
  </sheetData>
  <mergeCells count="80">
    <mergeCell ref="C55:G55"/>
    <mergeCell ref="I55:K55"/>
    <mergeCell ref="L55:N55"/>
    <mergeCell ref="B2:G4"/>
    <mergeCell ref="B53:N53"/>
    <mergeCell ref="C54:G54"/>
    <mergeCell ref="I54:K54"/>
    <mergeCell ref="L54:N54"/>
    <mergeCell ref="C56:G56"/>
    <mergeCell ref="I56:K56"/>
    <mergeCell ref="L56:N56"/>
    <mergeCell ref="C57:G57"/>
    <mergeCell ref="I57:K57"/>
    <mergeCell ref="L57:N57"/>
    <mergeCell ref="C58:G58"/>
    <mergeCell ref="I58:K58"/>
    <mergeCell ref="L58:N58"/>
    <mergeCell ref="C59:G59"/>
    <mergeCell ref="I59:K59"/>
    <mergeCell ref="L59:N59"/>
    <mergeCell ref="C60:G60"/>
    <mergeCell ref="I60:K60"/>
    <mergeCell ref="L60:N60"/>
    <mergeCell ref="C61:G61"/>
    <mergeCell ref="I61:K61"/>
    <mergeCell ref="L61:N61"/>
    <mergeCell ref="C62:G62"/>
    <mergeCell ref="I62:K62"/>
    <mergeCell ref="L62:N62"/>
    <mergeCell ref="C63:G63"/>
    <mergeCell ref="I63:K63"/>
    <mergeCell ref="L63:N63"/>
    <mergeCell ref="C64:G64"/>
    <mergeCell ref="I64:K64"/>
    <mergeCell ref="L64:N64"/>
    <mergeCell ref="C65:G65"/>
    <mergeCell ref="I65:K65"/>
    <mergeCell ref="L65:N65"/>
    <mergeCell ref="C66:G66"/>
    <mergeCell ref="I66:K66"/>
    <mergeCell ref="L66:N66"/>
    <mergeCell ref="C67:G67"/>
    <mergeCell ref="I67:K67"/>
    <mergeCell ref="L67:N67"/>
    <mergeCell ref="C68:G68"/>
    <mergeCell ref="I68:K68"/>
    <mergeCell ref="L68:N68"/>
    <mergeCell ref="C69:G69"/>
    <mergeCell ref="I69:K69"/>
    <mergeCell ref="L69:N69"/>
    <mergeCell ref="C70:G70"/>
    <mergeCell ref="I70:K70"/>
    <mergeCell ref="L70:N70"/>
    <mergeCell ref="C71:G71"/>
    <mergeCell ref="I71:K71"/>
    <mergeCell ref="L71:N71"/>
    <mergeCell ref="C72:G72"/>
    <mergeCell ref="I72:K72"/>
    <mergeCell ref="L72:N72"/>
    <mergeCell ref="C73:G73"/>
    <mergeCell ref="I73:K73"/>
    <mergeCell ref="L73:N73"/>
    <mergeCell ref="C74:G74"/>
    <mergeCell ref="I74:K74"/>
    <mergeCell ref="L74:N74"/>
    <mergeCell ref="C75:G75"/>
    <mergeCell ref="I75:K75"/>
    <mergeCell ref="L75:N75"/>
    <mergeCell ref="C76:G76"/>
    <mergeCell ref="I76:K76"/>
    <mergeCell ref="L76:N76"/>
    <mergeCell ref="C77:G77"/>
    <mergeCell ref="I77:K77"/>
    <mergeCell ref="L77:N77"/>
    <mergeCell ref="C78:G78"/>
    <mergeCell ref="I78:K78"/>
    <mergeCell ref="L78:N78"/>
    <mergeCell ref="C79:G79"/>
    <mergeCell ref="I79:K79"/>
    <mergeCell ref="L79:N79"/>
  </mergeCells>
  <printOptions horizontalCentered="1"/>
  <pageMargins left="0" right="0" top="0.5" bottom="0.5" header="0.5" footer="0.5"/>
  <pageSetup scale="53"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31"/>
  <sheetViews>
    <sheetView workbookViewId="0">
      <selection activeCell="N21" sqref="N21"/>
    </sheetView>
  </sheetViews>
  <sheetFormatPr defaultRowHeight="13.2"/>
  <cols>
    <col min="1" max="6" width="14.6640625" customWidth="1"/>
  </cols>
  <sheetData>
    <row r="1" spans="1:7" ht="20.399999999999999">
      <c r="A1" s="517" t="s">
        <v>576</v>
      </c>
      <c r="B1" s="517"/>
      <c r="C1" s="517"/>
      <c r="D1" s="517"/>
      <c r="E1" s="517"/>
      <c r="F1" s="517"/>
    </row>
    <row r="2" spans="1:7" ht="18" thickBot="1">
      <c r="A2" s="392"/>
      <c r="B2" s="392"/>
      <c r="C2" s="518" t="s">
        <v>577</v>
      </c>
      <c r="D2" s="518"/>
      <c r="E2" s="392"/>
      <c r="F2" s="392"/>
      <c r="G2" s="392"/>
    </row>
    <row r="3" spans="1:7" ht="18">
      <c r="A3" s="519" t="s">
        <v>578</v>
      </c>
      <c r="B3" s="520"/>
      <c r="C3" s="521"/>
      <c r="D3" s="519" t="s">
        <v>579</v>
      </c>
      <c r="E3" s="520"/>
      <c r="F3" s="521"/>
      <c r="G3" s="392"/>
    </row>
    <row r="4" spans="1:7" ht="16.2">
      <c r="A4" s="393" t="s">
        <v>580</v>
      </c>
      <c r="B4" s="522" t="s">
        <v>581</v>
      </c>
      <c r="C4" s="523"/>
      <c r="D4" s="524" t="s">
        <v>582</v>
      </c>
      <c r="E4" s="525"/>
      <c r="F4" s="526"/>
      <c r="G4" s="392"/>
    </row>
    <row r="5" spans="1:7" ht="16.8" thickBot="1">
      <c r="A5" s="394" t="s">
        <v>583</v>
      </c>
      <c r="B5" s="530" t="s">
        <v>583</v>
      </c>
      <c r="C5" s="531"/>
      <c r="D5" s="532" t="s">
        <v>584</v>
      </c>
      <c r="E5" s="533"/>
      <c r="F5" s="534"/>
      <c r="G5" s="392"/>
    </row>
    <row r="6" spans="1:7" ht="18">
      <c r="A6" s="519" t="s">
        <v>585</v>
      </c>
      <c r="B6" s="520"/>
      <c r="C6" s="520"/>
      <c r="D6" s="520"/>
      <c r="E6" s="520"/>
      <c r="F6" s="521"/>
      <c r="G6" s="392"/>
    </row>
    <row r="7" spans="1:7" ht="16.2">
      <c r="A7" s="395" t="s">
        <v>586</v>
      </c>
      <c r="B7" s="396" t="s">
        <v>587</v>
      </c>
      <c r="C7" s="397" t="s">
        <v>588</v>
      </c>
      <c r="D7" s="398" t="s">
        <v>589</v>
      </c>
      <c r="E7" s="535" t="s">
        <v>590</v>
      </c>
      <c r="F7" s="536"/>
      <c r="G7" s="392"/>
    </row>
    <row r="8" spans="1:7" ht="16.2" thickBot="1">
      <c r="A8" s="399"/>
      <c r="B8" s="400" t="s">
        <v>583</v>
      </c>
      <c r="C8" s="401"/>
      <c r="D8" s="402" t="s">
        <v>583</v>
      </c>
      <c r="E8" s="537" t="s">
        <v>591</v>
      </c>
      <c r="F8" s="534"/>
      <c r="G8" s="392"/>
    </row>
    <row r="9" spans="1:7" ht="18">
      <c r="A9" s="519" t="s">
        <v>592</v>
      </c>
      <c r="B9" s="520"/>
      <c r="C9" s="521"/>
      <c r="D9" s="519" t="s">
        <v>593</v>
      </c>
      <c r="E9" s="520"/>
      <c r="F9" s="521"/>
      <c r="G9" s="392"/>
    </row>
    <row r="10" spans="1:7" ht="16.2">
      <c r="A10" s="403" t="s">
        <v>594</v>
      </c>
      <c r="B10" s="538" t="s">
        <v>595</v>
      </c>
      <c r="C10" s="523"/>
      <c r="D10" s="539" t="s">
        <v>596</v>
      </c>
      <c r="E10" s="540"/>
      <c r="F10" s="404" t="s">
        <v>597</v>
      </c>
      <c r="G10" s="392"/>
    </row>
    <row r="11" spans="1:7" ht="16.8" thickBot="1">
      <c r="A11" s="405" t="s">
        <v>598</v>
      </c>
      <c r="B11" s="533" t="s">
        <v>599</v>
      </c>
      <c r="C11" s="534"/>
      <c r="D11" s="541"/>
      <c r="E11" s="542"/>
      <c r="F11" s="406" t="s">
        <v>583</v>
      </c>
      <c r="G11" s="392"/>
    </row>
    <row r="12" spans="1:7" ht="18">
      <c r="A12" s="519" t="s">
        <v>600</v>
      </c>
      <c r="B12" s="520"/>
      <c r="C12" s="520"/>
      <c r="D12" s="520"/>
      <c r="E12" s="520"/>
      <c r="F12" s="521"/>
      <c r="G12" s="392"/>
    </row>
    <row r="13" spans="1:7" ht="16.2" thickBot="1">
      <c r="A13" s="527" t="s">
        <v>601</v>
      </c>
      <c r="B13" s="528"/>
      <c r="C13" s="529" t="s">
        <v>602</v>
      </c>
      <c r="D13" s="529"/>
      <c r="E13" s="529"/>
      <c r="F13" s="407"/>
      <c r="G13" s="392"/>
    </row>
    <row r="14" spans="1:7" ht="18.899999999999999" customHeight="1">
      <c r="A14" s="408"/>
      <c r="B14" s="408"/>
      <c r="C14" s="408"/>
      <c r="D14" s="408"/>
      <c r="E14" s="408"/>
      <c r="F14" s="408"/>
      <c r="G14" s="392"/>
    </row>
    <row r="15" spans="1:7" ht="15.6">
      <c r="G15" s="392"/>
    </row>
    <row r="16" spans="1:7" ht="15.6">
      <c r="G16" s="392"/>
    </row>
    <row r="17" spans="7:7" ht="15.6">
      <c r="G17" s="392"/>
    </row>
    <row r="18" spans="7:7" ht="15.6">
      <c r="G18" s="392"/>
    </row>
    <row r="19" spans="7:7" ht="15.6">
      <c r="G19" s="392"/>
    </row>
    <row r="20" spans="7:7" ht="15.6">
      <c r="G20" s="392"/>
    </row>
    <row r="21" spans="7:7" ht="15.6">
      <c r="G21" s="392"/>
    </row>
    <row r="22" spans="7:7" ht="15.6">
      <c r="G22" s="392"/>
    </row>
    <row r="23" spans="7:7" ht="15.6">
      <c r="G23" s="392"/>
    </row>
    <row r="24" spans="7:7" ht="15.6">
      <c r="G24" s="392"/>
    </row>
    <row r="25" spans="7:7" ht="15.6">
      <c r="G25" s="392"/>
    </row>
    <row r="26" spans="7:7" ht="15.6">
      <c r="G26" s="392"/>
    </row>
    <row r="27" spans="7:7" ht="18.899999999999999" customHeight="1">
      <c r="G27" s="392"/>
    </row>
    <row r="28" spans="7:7" ht="15.6">
      <c r="G28" s="392"/>
    </row>
    <row r="29" spans="7:7" ht="15.6">
      <c r="G29" s="392"/>
    </row>
    <row r="30" spans="7:7" ht="15.6">
      <c r="G30" s="392"/>
    </row>
    <row r="31" spans="7:7" ht="15.6">
      <c r="G31" s="392"/>
    </row>
  </sheetData>
  <mergeCells count="20">
    <mergeCell ref="A13:B13"/>
    <mergeCell ref="C13:E13"/>
    <mergeCell ref="B5:C5"/>
    <mergeCell ref="D5:F5"/>
    <mergeCell ref="A6:F6"/>
    <mergeCell ref="E7:F7"/>
    <mergeCell ref="E8:F8"/>
    <mergeCell ref="A9:C9"/>
    <mergeCell ref="D9:F9"/>
    <mergeCell ref="B10:C10"/>
    <mergeCell ref="D10:E10"/>
    <mergeCell ref="B11:C11"/>
    <mergeCell ref="D11:E11"/>
    <mergeCell ref="A12:F12"/>
    <mergeCell ref="A1:F1"/>
    <mergeCell ref="C2:D2"/>
    <mergeCell ref="A3:C3"/>
    <mergeCell ref="D3:F3"/>
    <mergeCell ref="B4:C4"/>
    <mergeCell ref="D4:F4"/>
  </mergeCells>
  <printOptions horizontalCentered="1"/>
  <pageMargins left="0.75" right="0.75" top="1" bottom="1" header="0.5" footer="0.5"/>
  <pageSetup orientation="portrait"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L67"/>
  <sheetViews>
    <sheetView topLeftCell="A19" workbookViewId="0">
      <selection activeCell="F43" sqref="F43"/>
    </sheetView>
  </sheetViews>
  <sheetFormatPr defaultColWidth="9.109375" defaultRowHeight="13.2"/>
  <cols>
    <col min="1" max="6" width="16.6640625" style="351" customWidth="1"/>
    <col min="7" max="16384" width="9.109375" style="351"/>
  </cols>
  <sheetData>
    <row r="1" spans="1:6" ht="18.899999999999999" customHeight="1">
      <c r="A1" s="348"/>
      <c r="B1" s="349"/>
      <c r="C1" s="349"/>
      <c r="D1" s="349"/>
      <c r="E1" s="349"/>
      <c r="F1" s="350"/>
    </row>
    <row r="2" spans="1:6" ht="26.1" customHeight="1">
      <c r="A2" s="352" t="s">
        <v>265</v>
      </c>
      <c r="B2" s="353"/>
      <c r="C2" s="353"/>
      <c r="D2" s="353"/>
      <c r="E2" s="353"/>
      <c r="F2" s="354"/>
    </row>
    <row r="3" spans="1:6" ht="18.899999999999999" customHeight="1">
      <c r="A3" s="355" t="s">
        <v>383</v>
      </c>
      <c r="B3" s="353"/>
      <c r="C3" s="353"/>
      <c r="D3" s="353"/>
      <c r="E3" s="353"/>
      <c r="F3" s="354"/>
    </row>
    <row r="4" spans="1:6" ht="18.899999999999999" customHeight="1">
      <c r="A4" s="356"/>
      <c r="B4" s="357"/>
      <c r="C4" s="357"/>
      <c r="D4" s="357"/>
      <c r="E4" s="357"/>
      <c r="F4" s="358"/>
    </row>
    <row r="5" spans="1:6" ht="18.899999999999999" customHeight="1">
      <c r="A5" s="356"/>
      <c r="B5" s="357"/>
      <c r="C5" s="357"/>
      <c r="D5" s="357"/>
      <c r="E5" s="357"/>
      <c r="F5" s="358"/>
    </row>
    <row r="6" spans="1:6" ht="18.899999999999999" customHeight="1">
      <c r="A6" s="359" t="s">
        <v>384</v>
      </c>
      <c r="B6" s="543" t="s">
        <v>603</v>
      </c>
      <c r="C6" s="544"/>
      <c r="D6" s="545"/>
      <c r="E6" s="359" t="s">
        <v>385</v>
      </c>
      <c r="F6" s="360">
        <v>101</v>
      </c>
    </row>
    <row r="7" spans="1:6" ht="18.899999999999999" customHeight="1">
      <c r="A7" s="359" t="s">
        <v>386</v>
      </c>
      <c r="B7" s="360" t="s">
        <v>176</v>
      </c>
      <c r="C7" s="359" t="s">
        <v>387</v>
      </c>
      <c r="D7" s="360" t="s">
        <v>404</v>
      </c>
      <c r="E7" s="359" t="s">
        <v>388</v>
      </c>
      <c r="F7" s="360" t="s">
        <v>177</v>
      </c>
    </row>
    <row r="8" spans="1:6" ht="18.899999999999999" customHeight="1">
      <c r="A8" s="359" t="s">
        <v>389</v>
      </c>
      <c r="B8" s="360">
        <v>6</v>
      </c>
      <c r="C8" s="359" t="s">
        <v>390</v>
      </c>
      <c r="D8" s="360" t="s">
        <v>391</v>
      </c>
      <c r="E8" s="359" t="s">
        <v>392</v>
      </c>
      <c r="F8" s="360" t="s">
        <v>358</v>
      </c>
    </row>
    <row r="9" spans="1:6" ht="18.899999999999999" customHeight="1">
      <c r="A9" s="359" t="s">
        <v>393</v>
      </c>
      <c r="B9" s="360">
        <v>800</v>
      </c>
      <c r="C9" s="359" t="s">
        <v>394</v>
      </c>
      <c r="D9" s="360" t="s">
        <v>405</v>
      </c>
      <c r="E9" s="359" t="s">
        <v>2</v>
      </c>
      <c r="F9" s="361">
        <v>41873</v>
      </c>
    </row>
    <row r="10" spans="1:6" ht="18.899999999999999" customHeight="1">
      <c r="A10" s="359" t="s">
        <v>395</v>
      </c>
      <c r="B10" s="360">
        <v>1192</v>
      </c>
      <c r="C10" s="359" t="s">
        <v>257</v>
      </c>
      <c r="D10" s="360" t="s">
        <v>608</v>
      </c>
      <c r="E10" s="359" t="s">
        <v>1</v>
      </c>
      <c r="F10" s="360" t="s">
        <v>375</v>
      </c>
    </row>
    <row r="11" spans="1:6" ht="18.899999999999999" customHeight="1">
      <c r="A11" s="356"/>
      <c r="B11" s="357"/>
      <c r="C11" s="357"/>
      <c r="D11" s="357"/>
      <c r="E11" s="357"/>
      <c r="F11" s="358"/>
    </row>
    <row r="12" spans="1:6" ht="18.899999999999999" customHeight="1">
      <c r="A12" s="356"/>
      <c r="B12" s="362" t="s">
        <v>396</v>
      </c>
      <c r="C12" s="363" t="s">
        <v>408</v>
      </c>
      <c r="D12" s="362" t="s">
        <v>256</v>
      </c>
      <c r="E12" s="363" t="s">
        <v>608</v>
      </c>
      <c r="F12" s="358"/>
    </row>
    <row r="13" spans="1:6" ht="18.899999999999999" customHeight="1">
      <c r="A13" s="356"/>
      <c r="B13" s="362" t="s">
        <v>397</v>
      </c>
      <c r="C13" s="364">
        <v>1.1000000000000001</v>
      </c>
      <c r="D13" s="362" t="s">
        <v>398</v>
      </c>
      <c r="E13" s="371" t="s">
        <v>608</v>
      </c>
      <c r="F13" s="358"/>
    </row>
    <row r="14" spans="1:6" ht="18.899999999999999" customHeight="1">
      <c r="A14" s="356"/>
      <c r="B14" s="362" t="s">
        <v>399</v>
      </c>
      <c r="C14" s="364">
        <v>2.44</v>
      </c>
      <c r="D14" s="362" t="s">
        <v>258</v>
      </c>
      <c r="E14" s="371" t="s">
        <v>608</v>
      </c>
      <c r="F14" s="358"/>
    </row>
    <row r="15" spans="1:6" ht="18.899999999999999" customHeight="1">
      <c r="A15" s="356"/>
      <c r="B15" s="362" t="s">
        <v>259</v>
      </c>
      <c r="C15" s="363" t="s">
        <v>407</v>
      </c>
      <c r="D15" s="357"/>
      <c r="E15" s="357"/>
      <c r="F15" s="358"/>
    </row>
    <row r="16" spans="1:6" ht="18.899999999999999" customHeight="1">
      <c r="A16" s="356"/>
      <c r="B16" s="357"/>
      <c r="C16" s="357"/>
      <c r="D16" s="357"/>
      <c r="E16" s="357"/>
      <c r="F16" s="358"/>
    </row>
    <row r="17" spans="1:6" ht="18.899999999999999" customHeight="1">
      <c r="A17" s="356"/>
      <c r="B17" s="357"/>
      <c r="C17" s="357"/>
      <c r="D17" s="357"/>
      <c r="E17" s="357"/>
      <c r="F17" s="358"/>
    </row>
    <row r="18" spans="1:6" ht="18.899999999999999" customHeight="1">
      <c r="A18" s="356"/>
      <c r="B18" s="357"/>
      <c r="C18" s="357"/>
      <c r="D18" s="357"/>
      <c r="E18" s="357"/>
      <c r="F18" s="358"/>
    </row>
    <row r="19" spans="1:6" ht="18.899999999999999" customHeight="1">
      <c r="A19" s="356"/>
      <c r="B19" s="357"/>
      <c r="C19" s="357"/>
      <c r="D19" s="357"/>
      <c r="E19" s="357"/>
      <c r="F19" s="358"/>
    </row>
    <row r="20" spans="1:6" ht="18.899999999999999" customHeight="1">
      <c r="A20" s="356"/>
      <c r="B20" s="357"/>
      <c r="C20" s="357"/>
      <c r="D20" s="357"/>
      <c r="E20" s="357"/>
      <c r="F20" s="358"/>
    </row>
    <row r="21" spans="1:6" ht="18.899999999999999" customHeight="1">
      <c r="A21" s="356"/>
      <c r="B21" s="357"/>
      <c r="C21" s="357"/>
      <c r="D21" s="357"/>
      <c r="E21" s="357"/>
      <c r="F21" s="358"/>
    </row>
    <row r="22" spans="1:6" ht="18.899999999999999" customHeight="1">
      <c r="A22" s="356"/>
      <c r="B22" s="357"/>
      <c r="C22" s="357"/>
      <c r="D22" s="357"/>
      <c r="E22" s="357"/>
      <c r="F22" s="358"/>
    </row>
    <row r="23" spans="1:6" ht="18.899999999999999" customHeight="1">
      <c r="A23" s="356"/>
      <c r="B23" s="357"/>
      <c r="C23" s="357"/>
      <c r="D23" s="357"/>
      <c r="E23" s="357"/>
      <c r="F23" s="358"/>
    </row>
    <row r="24" spans="1:6" ht="18.899999999999999" customHeight="1">
      <c r="A24" s="356"/>
      <c r="B24" s="357"/>
      <c r="C24" s="357"/>
      <c r="D24" s="357"/>
      <c r="E24" s="357"/>
      <c r="F24" s="358"/>
    </row>
    <row r="25" spans="1:6" ht="18.899999999999999" customHeight="1">
      <c r="A25" s="356"/>
      <c r="B25" s="357"/>
      <c r="C25" s="357"/>
      <c r="D25" s="357"/>
      <c r="E25" s="357"/>
      <c r="F25" s="358"/>
    </row>
    <row r="26" spans="1:6" ht="18.899999999999999" customHeight="1">
      <c r="A26" s="356"/>
      <c r="B26" s="357"/>
      <c r="C26" s="357"/>
      <c r="D26" s="357"/>
      <c r="E26" s="357"/>
      <c r="F26" s="358"/>
    </row>
    <row r="27" spans="1:6" ht="18.899999999999999" customHeight="1">
      <c r="A27" s="356"/>
      <c r="B27" s="357"/>
      <c r="C27" s="357"/>
      <c r="D27" s="357"/>
      <c r="E27" s="357"/>
      <c r="F27" s="358"/>
    </row>
    <row r="28" spans="1:6" ht="18.899999999999999" customHeight="1">
      <c r="A28" s="356"/>
      <c r="B28" s="357"/>
      <c r="C28" s="357"/>
      <c r="D28" s="357"/>
      <c r="E28" s="357"/>
      <c r="F28" s="358"/>
    </row>
    <row r="29" spans="1:6" ht="18.899999999999999" customHeight="1">
      <c r="A29" s="356"/>
      <c r="B29" s="357"/>
      <c r="C29" s="357"/>
      <c r="D29" s="357"/>
      <c r="E29" s="357"/>
      <c r="F29" s="358"/>
    </row>
    <row r="30" spans="1:6" ht="18.899999999999999" customHeight="1">
      <c r="A30" s="356"/>
      <c r="B30" s="357"/>
      <c r="C30" s="357"/>
      <c r="D30" s="357"/>
      <c r="E30" s="357"/>
      <c r="F30" s="358"/>
    </row>
    <row r="31" spans="1:6" ht="18.899999999999999" customHeight="1">
      <c r="A31" s="356"/>
      <c r="B31" s="357"/>
      <c r="C31" s="357"/>
      <c r="D31" s="357"/>
      <c r="E31" s="357"/>
      <c r="F31" s="358"/>
    </row>
    <row r="32" spans="1:6" ht="18.899999999999999" customHeight="1">
      <c r="A32" s="356"/>
      <c r="B32" s="357"/>
      <c r="C32" s="357"/>
      <c r="D32" s="357"/>
      <c r="E32" s="357"/>
      <c r="F32" s="358"/>
    </row>
    <row r="33" spans="1:6" ht="18.899999999999999" customHeight="1">
      <c r="A33" s="356"/>
      <c r="B33" s="357"/>
      <c r="C33" s="357"/>
      <c r="D33" s="357"/>
      <c r="E33" s="357"/>
      <c r="F33" s="358"/>
    </row>
    <row r="34" spans="1:6" ht="18.899999999999999" customHeight="1">
      <c r="A34" s="356"/>
      <c r="B34" s="357"/>
      <c r="C34" s="357"/>
      <c r="D34" s="357"/>
      <c r="E34" s="357"/>
      <c r="F34" s="358"/>
    </row>
    <row r="35" spans="1:6" ht="18.899999999999999" customHeight="1">
      <c r="A35" s="356"/>
      <c r="B35" s="357"/>
      <c r="C35" s="357"/>
      <c r="D35" s="357"/>
      <c r="E35" s="357"/>
      <c r="F35" s="358"/>
    </row>
    <row r="36" spans="1:6" ht="18.899999999999999" customHeight="1">
      <c r="A36" s="356"/>
      <c r="B36" s="357"/>
      <c r="C36" s="357"/>
      <c r="D36" s="357"/>
      <c r="E36" s="357"/>
      <c r="F36" s="358"/>
    </row>
    <row r="37" spans="1:6" ht="18.899999999999999" customHeight="1">
      <c r="A37" s="356"/>
      <c r="B37" s="357"/>
      <c r="C37" s="357"/>
      <c r="D37" s="357"/>
      <c r="E37" s="357"/>
      <c r="F37" s="358"/>
    </row>
    <row r="38" spans="1:6" ht="18.899999999999999" customHeight="1">
      <c r="A38" s="356"/>
      <c r="B38" s="357"/>
      <c r="C38" s="357"/>
      <c r="D38" s="357"/>
      <c r="E38" s="357"/>
      <c r="F38" s="358"/>
    </row>
    <row r="39" spans="1:6" ht="18.899999999999999" customHeight="1">
      <c r="A39" s="365" t="s">
        <v>400</v>
      </c>
      <c r="B39" s="366"/>
      <c r="C39" s="366"/>
      <c r="D39" s="357"/>
      <c r="E39" s="362" t="s">
        <v>401</v>
      </c>
      <c r="F39" s="367"/>
    </row>
    <row r="40" spans="1:6" ht="18.899999999999999" customHeight="1">
      <c r="A40" s="356"/>
      <c r="B40" s="366"/>
      <c r="C40" s="366"/>
      <c r="D40" s="357"/>
      <c r="E40" s="357"/>
      <c r="F40" s="358"/>
    </row>
    <row r="41" spans="1:6" ht="18.899999999999999" customHeight="1">
      <c r="A41" s="356"/>
      <c r="B41" s="366"/>
      <c r="C41" s="366"/>
      <c r="D41" s="357"/>
      <c r="E41" s="357"/>
      <c r="F41" s="358"/>
    </row>
    <row r="42" spans="1:6" ht="18.899999999999999" customHeight="1">
      <c r="A42" s="356"/>
      <c r="B42" s="357"/>
      <c r="C42" s="357"/>
      <c r="D42" s="357"/>
      <c r="E42" s="357"/>
      <c r="F42" s="358"/>
    </row>
    <row r="43" spans="1:6" ht="18.899999999999999" customHeight="1">
      <c r="A43" s="368"/>
      <c r="B43" s="366"/>
      <c r="C43" s="369" t="s">
        <v>402</v>
      </c>
      <c r="D43" s="370" t="s">
        <v>609</v>
      </c>
      <c r="E43" s="369" t="s">
        <v>403</v>
      </c>
      <c r="F43" s="370" t="s">
        <v>611</v>
      </c>
    </row>
    <row r="44" spans="1:6" ht="15" customHeight="1"/>
    <row r="45" spans="1:6" ht="15" customHeight="1"/>
    <row r="46" spans="1:6" ht="15" customHeight="1"/>
    <row r="47" spans="1:6" ht="15" customHeight="1"/>
    <row r="48" spans="1:6" ht="15" customHeight="1"/>
    <row r="49" spans="1:12" ht="15" customHeight="1"/>
    <row r="50" spans="1:12" ht="15" customHeight="1"/>
    <row r="51" spans="1:12" ht="15" customHeight="1"/>
    <row r="52" spans="1:12" ht="15" customHeight="1"/>
    <row r="53" spans="1:12" ht="15" customHeight="1">
      <c r="D53" s="151" t="s">
        <v>255</v>
      </c>
      <c r="E53" s="151"/>
      <c r="F53" s="151"/>
      <c r="G53" s="151"/>
      <c r="H53" s="151"/>
      <c r="I53" s="151"/>
      <c r="J53" s="151"/>
      <c r="K53" s="151"/>
      <c r="L53" s="151"/>
    </row>
    <row r="54" spans="1:12" ht="15" customHeight="1">
      <c r="A54" s="372">
        <v>100</v>
      </c>
      <c r="B54" s="151">
        <v>0</v>
      </c>
      <c r="C54" s="151">
        <v>0.21082784235477448</v>
      </c>
      <c r="D54" s="151">
        <v>100</v>
      </c>
      <c r="E54" s="151"/>
      <c r="F54" s="151"/>
      <c r="G54" s="151"/>
      <c r="H54" s="151"/>
      <c r="I54" s="151"/>
      <c r="J54" s="151"/>
      <c r="K54" s="151"/>
      <c r="L54" s="151"/>
    </row>
    <row r="55" spans="1:12" ht="15" customHeight="1">
      <c r="A55" s="372">
        <v>99.799999967217445</v>
      </c>
      <c r="B55" s="151">
        <v>156.14834607668786</v>
      </c>
      <c r="C55" s="151">
        <v>177.02201843261719</v>
      </c>
      <c r="D55" s="151">
        <v>99.599998474121094</v>
      </c>
      <c r="E55" s="151"/>
      <c r="F55" s="151"/>
      <c r="G55" s="151"/>
      <c r="H55" s="151"/>
      <c r="I55" s="151"/>
      <c r="J55" s="151"/>
      <c r="K55" s="151"/>
      <c r="L55" s="151"/>
    </row>
    <row r="56" spans="1:12" ht="15" customHeight="1">
      <c r="A56" s="372">
        <v>98.999999836087227</v>
      </c>
      <c r="B56" s="151">
        <v>244</v>
      </c>
      <c r="C56" s="151">
        <v>480.33084106445313</v>
      </c>
      <c r="D56" s="151">
        <v>98</v>
      </c>
      <c r="E56" s="151"/>
      <c r="F56" s="151"/>
      <c r="G56" s="151"/>
      <c r="H56" s="151"/>
      <c r="I56" s="151"/>
      <c r="J56" s="151"/>
      <c r="K56" s="151"/>
      <c r="L56" s="151"/>
    </row>
    <row r="57" spans="1:12">
      <c r="A57" s="372">
        <v>93.789473548531532</v>
      </c>
      <c r="B57" s="151">
        <v>149.44172053441937</v>
      </c>
      <c r="C57" s="151">
        <v>544.79266357421875</v>
      </c>
      <c r="D57" s="151">
        <v>83.852630615234375</v>
      </c>
      <c r="E57" s="151"/>
      <c r="F57" s="151"/>
      <c r="G57" s="151"/>
      <c r="H57" s="151"/>
      <c r="I57" s="151"/>
      <c r="J57" s="151"/>
      <c r="K57" s="151"/>
      <c r="L57" s="151"/>
    </row>
    <row r="58" spans="1:12">
      <c r="A58" s="372">
        <v>88.578946888446808</v>
      </c>
      <c r="B58" s="151">
        <v>125.83513443915938</v>
      </c>
      <c r="C58" s="151">
        <v>564.20428466796875</v>
      </c>
      <c r="D58" s="151">
        <v>70.305259704589844</v>
      </c>
      <c r="E58" s="151"/>
      <c r="F58" s="151"/>
      <c r="G58" s="151"/>
      <c r="H58" s="151"/>
      <c r="I58" s="151"/>
      <c r="J58" s="151"/>
      <c r="K58" s="151"/>
      <c r="L58" s="151"/>
    </row>
    <row r="59" spans="1:12">
      <c r="A59" s="372">
        <v>83.368420600891113</v>
      </c>
      <c r="B59" s="151">
        <v>117.22088098223787</v>
      </c>
      <c r="C59" s="151">
        <v>575.459716796875</v>
      </c>
      <c r="D59" s="151">
        <v>57.410526275634766</v>
      </c>
      <c r="E59" s="151"/>
      <c r="F59" s="151"/>
      <c r="G59" s="151"/>
      <c r="H59" s="151"/>
      <c r="I59" s="151"/>
      <c r="J59" s="151"/>
      <c r="K59" s="151"/>
      <c r="L59" s="151"/>
    </row>
    <row r="60" spans="1:12">
      <c r="A60" s="372">
        <v>72.947368025779724</v>
      </c>
      <c r="B60" s="151">
        <v>112.84005071298898</v>
      </c>
      <c r="C60" s="151">
        <v>592.12872314453125</v>
      </c>
      <c r="D60" s="151">
        <v>38.010524749755859</v>
      </c>
      <c r="E60" s="151"/>
      <c r="F60" s="151"/>
      <c r="G60" s="151"/>
      <c r="H60" s="151"/>
      <c r="I60" s="151"/>
      <c r="J60" s="151"/>
      <c r="K60" s="151"/>
      <c r="L60" s="151"/>
    </row>
    <row r="61" spans="1:12">
      <c r="A61" s="372">
        <v>62.526315450668335</v>
      </c>
      <c r="B61" s="151">
        <v>111.47820878831283</v>
      </c>
      <c r="C61" s="151">
        <v>605.47332763671875</v>
      </c>
      <c r="D61" s="151">
        <v>24.778947830200195</v>
      </c>
      <c r="E61" s="151"/>
      <c r="F61" s="151"/>
      <c r="G61" s="151"/>
      <c r="H61" s="151"/>
      <c r="I61" s="151"/>
      <c r="J61" s="151"/>
      <c r="K61" s="151"/>
      <c r="L61" s="151"/>
    </row>
    <row r="62" spans="1:12">
      <c r="A62" s="372">
        <v>52.105262875556946</v>
      </c>
      <c r="B62" s="151">
        <v>110.82357040935855</v>
      </c>
      <c r="C62" s="151">
        <v>616.29852294921875</v>
      </c>
      <c r="D62" s="151">
        <v>15.684209823608398</v>
      </c>
      <c r="E62" s="151"/>
      <c r="F62" s="151"/>
      <c r="G62" s="151"/>
      <c r="H62" s="151"/>
      <c r="I62" s="151"/>
      <c r="J62" s="151"/>
      <c r="K62" s="151"/>
      <c r="L62" s="151"/>
    </row>
    <row r="63" spans="1:12">
      <c r="A63" s="372">
        <v>41.684210300445557</v>
      </c>
      <c r="B63" s="151">
        <v>110.44066288098858</v>
      </c>
      <c r="C63" s="151">
        <v>624.86962890625</v>
      </c>
      <c r="D63" s="151">
        <v>9.0105257034301758</v>
      </c>
      <c r="E63" s="151"/>
      <c r="F63" s="151"/>
      <c r="G63" s="151"/>
      <c r="H63" s="151"/>
      <c r="I63" s="151"/>
      <c r="J63" s="151"/>
      <c r="K63" s="151"/>
      <c r="L63" s="151"/>
    </row>
    <row r="64" spans="1:12">
      <c r="A64" s="372">
        <v>31.263160705566406</v>
      </c>
      <c r="B64" s="151">
        <v>110.21754928390658</v>
      </c>
      <c r="C64" s="151">
        <v>631.7330322265625</v>
      </c>
      <c r="D64" s="151">
        <v>6.2526321411132813</v>
      </c>
      <c r="E64" s="151"/>
      <c r="F64" s="151"/>
      <c r="G64" s="151"/>
      <c r="H64" s="151"/>
      <c r="I64" s="151"/>
      <c r="J64" s="151"/>
      <c r="K64" s="151"/>
      <c r="L64" s="151"/>
    </row>
    <row r="65" spans="1:12">
      <c r="A65" s="372">
        <v>20.842105150222778</v>
      </c>
      <c r="B65" s="151">
        <v>110.09242164451938</v>
      </c>
      <c r="C65" s="151">
        <v>637.21026611328125</v>
      </c>
      <c r="D65" s="151">
        <v>7.8315787315368652</v>
      </c>
      <c r="E65" s="151"/>
      <c r="F65" s="151"/>
      <c r="G65" s="151"/>
      <c r="H65" s="151"/>
      <c r="I65" s="151"/>
      <c r="J65" s="151"/>
      <c r="K65" s="151"/>
      <c r="L65" s="151"/>
    </row>
    <row r="66" spans="1:12">
      <c r="A66" s="372">
        <v>10.421055555343628</v>
      </c>
      <c r="B66" s="151">
        <v>110.02878215640398</v>
      </c>
      <c r="C66" s="151">
        <v>641.735107421875</v>
      </c>
      <c r="D66" s="151">
        <v>14.70526123046875</v>
      </c>
      <c r="E66" s="151"/>
      <c r="F66" s="151"/>
      <c r="G66" s="151"/>
      <c r="H66" s="151"/>
      <c r="I66" s="151"/>
      <c r="J66" s="151"/>
      <c r="K66" s="151"/>
      <c r="L66" s="151"/>
    </row>
    <row r="67" spans="1:12">
      <c r="A67" s="373">
        <v>0</v>
      </c>
      <c r="B67" s="151">
        <v>110</v>
      </c>
      <c r="C67" s="151">
        <v>645.5445556640625</v>
      </c>
      <c r="D67" s="151">
        <v>30</v>
      </c>
      <c r="E67" s="151"/>
      <c r="F67" s="151"/>
      <c r="G67" s="151"/>
      <c r="H67" s="151"/>
      <c r="I67" s="151"/>
      <c r="J67" s="151"/>
      <c r="K67" s="151"/>
      <c r="L67" s="151"/>
    </row>
  </sheetData>
  <mergeCells count="1">
    <mergeCell ref="B6:D6"/>
  </mergeCells>
  <printOptions horizontalCentered="1" verticalCentered="1"/>
  <pageMargins left="0.59055118110236204" right="0.59055118110236204" top="0.59055118110236204" bottom="0.59055118110236204" header="0" footer="0"/>
  <pageSetup scale="88" orientation="portrait" verticalDpi="3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L61"/>
  <sheetViews>
    <sheetView workbookViewId="0"/>
  </sheetViews>
  <sheetFormatPr defaultColWidth="9.109375" defaultRowHeight="13.2"/>
  <cols>
    <col min="1" max="1" width="19.6640625" style="351" customWidth="1"/>
    <col min="2" max="7" width="10.6640625" style="351" customWidth="1"/>
    <col min="8" max="16384" width="9.109375" style="351"/>
  </cols>
  <sheetData>
    <row r="1" spans="1:12" ht="21" customHeight="1">
      <c r="A1" s="374" t="s">
        <v>409</v>
      </c>
      <c r="B1" s="555" t="s">
        <v>448</v>
      </c>
      <c r="C1" s="555"/>
      <c r="D1" s="555"/>
      <c r="E1" s="555"/>
      <c r="F1" s="555"/>
      <c r="G1" s="555"/>
    </row>
    <row r="2" spans="1:12" ht="15" customHeight="1"/>
    <row r="3" spans="1:12" ht="20.399999999999999">
      <c r="A3" s="375" t="s">
        <v>410</v>
      </c>
    </row>
    <row r="4" spans="1:12" ht="12" customHeight="1">
      <c r="A4" s="376"/>
      <c r="B4" s="376"/>
      <c r="C4" s="376"/>
      <c r="D4" s="376" t="s">
        <v>462</v>
      </c>
      <c r="E4" s="376"/>
      <c r="F4" s="376"/>
      <c r="G4" s="376"/>
      <c r="H4" s="376"/>
      <c r="I4" s="376"/>
      <c r="J4" s="376"/>
      <c r="K4" s="376"/>
      <c r="L4" s="376"/>
    </row>
    <row r="5" spans="1:12" ht="15.6" customHeight="1">
      <c r="A5" s="377" t="s">
        <v>5</v>
      </c>
      <c r="B5" s="377" t="s">
        <v>411</v>
      </c>
      <c r="C5" s="377" t="s">
        <v>412</v>
      </c>
      <c r="D5" s="377" t="s">
        <v>413</v>
      </c>
      <c r="E5" s="377" t="s">
        <v>414</v>
      </c>
      <c r="F5" s="377" t="s">
        <v>415</v>
      </c>
      <c r="G5" s="377" t="s">
        <v>416</v>
      </c>
      <c r="H5" s="376"/>
      <c r="I5" s="376"/>
      <c r="J5" s="376"/>
      <c r="K5" s="376"/>
      <c r="L5" s="376"/>
    </row>
    <row r="6" spans="1:12" ht="15.6" customHeight="1">
      <c r="A6" s="378" t="s">
        <v>417</v>
      </c>
      <c r="B6" s="378" t="s">
        <v>165</v>
      </c>
      <c r="C6" s="378" t="s">
        <v>165</v>
      </c>
      <c r="D6" s="378" t="s">
        <v>418</v>
      </c>
      <c r="E6" s="378" t="s">
        <v>135</v>
      </c>
      <c r="F6" s="378" t="s">
        <v>419</v>
      </c>
      <c r="G6" s="378" t="s">
        <v>419</v>
      </c>
      <c r="H6" s="376"/>
      <c r="I6" s="376"/>
      <c r="J6" s="376"/>
      <c r="K6" s="376"/>
      <c r="L6" s="376"/>
    </row>
    <row r="7" spans="1:12" ht="15.9" customHeight="1">
      <c r="A7" s="379" t="s">
        <v>449</v>
      </c>
      <c r="B7" s="379" t="s">
        <v>463</v>
      </c>
      <c r="C7" s="379" t="s">
        <v>476</v>
      </c>
      <c r="D7" s="379" t="s">
        <v>489</v>
      </c>
      <c r="E7" s="379" t="s">
        <v>502</v>
      </c>
      <c r="F7" s="379" t="s">
        <v>515</v>
      </c>
      <c r="G7" s="379" t="s">
        <v>528</v>
      </c>
      <c r="H7" s="376"/>
      <c r="I7" s="376"/>
      <c r="J7" s="376"/>
      <c r="K7" s="376"/>
      <c r="L7" s="376"/>
    </row>
    <row r="8" spans="1:12" ht="15.9" customHeight="1">
      <c r="A8" s="379" t="s">
        <v>450</v>
      </c>
      <c r="B8" s="379" t="s">
        <v>464</v>
      </c>
      <c r="C8" s="379" t="s">
        <v>477</v>
      </c>
      <c r="D8" s="379" t="s">
        <v>490</v>
      </c>
      <c r="E8" s="379" t="s">
        <v>503</v>
      </c>
      <c r="F8" s="379" t="s">
        <v>516</v>
      </c>
      <c r="G8" s="379" t="s">
        <v>529</v>
      </c>
      <c r="H8" s="376"/>
      <c r="I8" s="376"/>
      <c r="J8" s="376"/>
      <c r="K8" s="376"/>
      <c r="L8" s="376"/>
    </row>
    <row r="9" spans="1:12" ht="15.9" customHeight="1">
      <c r="A9" s="379" t="s">
        <v>451</v>
      </c>
      <c r="B9" s="379" t="s">
        <v>465</v>
      </c>
      <c r="C9" s="379" t="s">
        <v>478</v>
      </c>
      <c r="D9" s="379" t="s">
        <v>491</v>
      </c>
      <c r="E9" s="379" t="s">
        <v>504</v>
      </c>
      <c r="F9" s="379" t="s">
        <v>517</v>
      </c>
      <c r="G9" s="379" t="s">
        <v>530</v>
      </c>
      <c r="H9" s="376"/>
      <c r="I9" s="376"/>
      <c r="J9" s="376"/>
      <c r="K9" s="376"/>
      <c r="L9" s="376"/>
    </row>
    <row r="10" spans="1:12" ht="15.9" customHeight="1">
      <c r="A10" s="379" t="s">
        <v>452</v>
      </c>
      <c r="B10" s="379" t="s">
        <v>466</v>
      </c>
      <c r="C10" s="379" t="s">
        <v>479</v>
      </c>
      <c r="D10" s="379" t="s">
        <v>492</v>
      </c>
      <c r="E10" s="379" t="s">
        <v>505</v>
      </c>
      <c r="F10" s="379" t="s">
        <v>518</v>
      </c>
      <c r="G10" s="379" t="s">
        <v>531</v>
      </c>
      <c r="H10" s="376"/>
      <c r="I10" s="376"/>
      <c r="J10" s="376"/>
      <c r="K10" s="376"/>
      <c r="L10" s="376"/>
    </row>
    <row r="11" spans="1:12" ht="15.9" customHeight="1">
      <c r="A11" s="379" t="s">
        <v>453</v>
      </c>
      <c r="B11" s="379" t="s">
        <v>467</v>
      </c>
      <c r="C11" s="379" t="s">
        <v>480</v>
      </c>
      <c r="D11" s="379" t="s">
        <v>493</v>
      </c>
      <c r="E11" s="379" t="s">
        <v>506</v>
      </c>
      <c r="F11" s="379" t="s">
        <v>519</v>
      </c>
      <c r="G11" s="379" t="s">
        <v>532</v>
      </c>
      <c r="H11" s="376"/>
      <c r="I11" s="376"/>
      <c r="J11" s="376"/>
      <c r="K11" s="376"/>
      <c r="L11" s="376"/>
    </row>
    <row r="12" spans="1:12" ht="15.9" customHeight="1">
      <c r="A12" s="379" t="s">
        <v>454</v>
      </c>
      <c r="B12" s="379" t="s">
        <v>468</v>
      </c>
      <c r="C12" s="379" t="s">
        <v>481</v>
      </c>
      <c r="D12" s="379" t="s">
        <v>494</v>
      </c>
      <c r="E12" s="379" t="s">
        <v>507</v>
      </c>
      <c r="F12" s="379" t="s">
        <v>520</v>
      </c>
      <c r="G12" s="379" t="s">
        <v>533</v>
      </c>
      <c r="H12" s="376"/>
      <c r="I12" s="376"/>
      <c r="J12" s="376"/>
      <c r="K12" s="376"/>
      <c r="L12" s="376"/>
    </row>
    <row r="13" spans="1:12" ht="15.9" customHeight="1">
      <c r="A13" s="379" t="s">
        <v>455</v>
      </c>
      <c r="B13" s="379" t="s">
        <v>469</v>
      </c>
      <c r="C13" s="379" t="s">
        <v>482</v>
      </c>
      <c r="D13" s="379" t="s">
        <v>495</v>
      </c>
      <c r="E13" s="379" t="s">
        <v>508</v>
      </c>
      <c r="F13" s="379" t="s">
        <v>521</v>
      </c>
      <c r="G13" s="379" t="s">
        <v>534</v>
      </c>
      <c r="H13" s="376"/>
      <c r="I13" s="376"/>
      <c r="J13" s="376"/>
      <c r="K13" s="376"/>
      <c r="L13" s="376"/>
    </row>
    <row r="14" spans="1:12" ht="15.9" customHeight="1">
      <c r="A14" s="379" t="s">
        <v>456</v>
      </c>
      <c r="B14" s="379" t="s">
        <v>470</v>
      </c>
      <c r="C14" s="379" t="s">
        <v>483</v>
      </c>
      <c r="D14" s="379" t="s">
        <v>496</v>
      </c>
      <c r="E14" s="379" t="s">
        <v>509</v>
      </c>
      <c r="F14" s="379" t="s">
        <v>522</v>
      </c>
      <c r="G14" s="379" t="s">
        <v>535</v>
      </c>
      <c r="H14" s="376"/>
      <c r="I14" s="376"/>
      <c r="J14" s="376"/>
      <c r="K14" s="376"/>
      <c r="L14" s="376"/>
    </row>
    <row r="15" spans="1:12" ht="15.9" customHeight="1">
      <c r="A15" s="379" t="s">
        <v>457</v>
      </c>
      <c r="B15" s="379" t="s">
        <v>471</v>
      </c>
      <c r="C15" s="379" t="s">
        <v>484</v>
      </c>
      <c r="D15" s="379" t="s">
        <v>497</v>
      </c>
      <c r="E15" s="379" t="s">
        <v>510</v>
      </c>
      <c r="F15" s="379" t="s">
        <v>523</v>
      </c>
      <c r="G15" s="379" t="s">
        <v>536</v>
      </c>
      <c r="H15" s="376"/>
      <c r="I15" s="376"/>
      <c r="J15" s="376"/>
      <c r="K15" s="376"/>
      <c r="L15" s="376"/>
    </row>
    <row r="16" spans="1:12" ht="15.9" customHeight="1">
      <c r="A16" s="379" t="s">
        <v>458</v>
      </c>
      <c r="B16" s="379" t="s">
        <v>472</v>
      </c>
      <c r="C16" s="379" t="s">
        <v>485</v>
      </c>
      <c r="D16" s="379" t="s">
        <v>498</v>
      </c>
      <c r="E16" s="379" t="s">
        <v>511</v>
      </c>
      <c r="F16" s="379" t="s">
        <v>524</v>
      </c>
      <c r="G16" s="379" t="s">
        <v>537</v>
      </c>
      <c r="H16" s="376"/>
      <c r="I16" s="376"/>
      <c r="J16" s="376"/>
      <c r="K16" s="376"/>
      <c r="L16" s="376"/>
    </row>
    <row r="17" spans="1:12" ht="15.9" customHeight="1">
      <c r="A17" s="379" t="s">
        <v>459</v>
      </c>
      <c r="B17" s="379" t="s">
        <v>473</v>
      </c>
      <c r="C17" s="379" t="s">
        <v>486</v>
      </c>
      <c r="D17" s="379" t="s">
        <v>499</v>
      </c>
      <c r="E17" s="379" t="s">
        <v>512</v>
      </c>
      <c r="F17" s="379" t="s">
        <v>525</v>
      </c>
      <c r="G17" s="379" t="s">
        <v>538</v>
      </c>
      <c r="H17" s="376"/>
      <c r="I17" s="376"/>
      <c r="J17" s="376"/>
      <c r="K17" s="376"/>
      <c r="L17" s="376"/>
    </row>
    <row r="18" spans="1:12" ht="15.9" customHeight="1">
      <c r="A18" s="379" t="s">
        <v>460</v>
      </c>
      <c r="B18" s="379" t="s">
        <v>474</v>
      </c>
      <c r="C18" s="379" t="s">
        <v>487</v>
      </c>
      <c r="D18" s="379" t="s">
        <v>500</v>
      </c>
      <c r="E18" s="379" t="s">
        <v>513</v>
      </c>
      <c r="F18" s="379" t="s">
        <v>526</v>
      </c>
      <c r="G18" s="379" t="s">
        <v>539</v>
      </c>
      <c r="H18" s="376"/>
      <c r="I18" s="376"/>
      <c r="J18" s="376"/>
      <c r="K18" s="376"/>
      <c r="L18" s="376"/>
    </row>
    <row r="19" spans="1:12" ht="15.9" customHeight="1">
      <c r="A19" s="379" t="s">
        <v>461</v>
      </c>
      <c r="B19" s="379" t="s">
        <v>475</v>
      </c>
      <c r="C19" s="379" t="s">
        <v>488</v>
      </c>
      <c r="D19" s="379" t="s">
        <v>501</v>
      </c>
      <c r="E19" s="379" t="s">
        <v>514</v>
      </c>
      <c r="F19" s="379" t="s">
        <v>527</v>
      </c>
      <c r="G19" s="379" t="s">
        <v>540</v>
      </c>
      <c r="H19" s="376"/>
      <c r="I19" s="376"/>
      <c r="J19" s="376"/>
      <c r="K19" s="376"/>
      <c r="L19" s="376"/>
    </row>
    <row r="20" spans="1:12" ht="15.6">
      <c r="A20" s="376"/>
      <c r="B20" s="376"/>
      <c r="C20" s="376"/>
      <c r="D20" s="376"/>
      <c r="E20" s="376"/>
      <c r="F20" s="376"/>
      <c r="G20" s="376"/>
      <c r="H20" s="376"/>
      <c r="I20" s="376"/>
      <c r="J20" s="376"/>
      <c r="K20" s="376"/>
      <c r="L20" s="376"/>
    </row>
    <row r="21" spans="1:12" ht="16.2">
      <c r="A21" s="376"/>
      <c r="B21" s="376"/>
      <c r="C21" s="376"/>
      <c r="D21" s="556" t="s">
        <v>550</v>
      </c>
      <c r="E21" s="552"/>
      <c r="F21" s="552"/>
      <c r="G21" s="553"/>
      <c r="H21" s="376"/>
      <c r="I21" s="376"/>
      <c r="J21" s="376"/>
      <c r="K21" s="376"/>
      <c r="L21" s="376"/>
    </row>
    <row r="22" spans="1:12" ht="17.25" customHeight="1">
      <c r="A22" s="376"/>
      <c r="B22" s="554" t="s">
        <v>420</v>
      </c>
      <c r="C22" s="554"/>
      <c r="D22" s="554" t="s">
        <v>421</v>
      </c>
      <c r="E22" s="554"/>
      <c r="F22" s="554" t="s">
        <v>422</v>
      </c>
      <c r="G22" s="554"/>
      <c r="H22" s="376"/>
      <c r="I22" s="376"/>
      <c r="J22" s="376"/>
      <c r="K22" s="376"/>
      <c r="L22" s="376"/>
    </row>
    <row r="23" spans="1:12" ht="15.6">
      <c r="A23" s="380" t="s">
        <v>423</v>
      </c>
      <c r="B23" s="550" t="s">
        <v>541</v>
      </c>
      <c r="C23" s="550"/>
      <c r="D23" s="550" t="s">
        <v>544</v>
      </c>
      <c r="E23" s="550"/>
      <c r="F23" s="550" t="s">
        <v>547</v>
      </c>
      <c r="G23" s="550"/>
      <c r="H23" s="376"/>
      <c r="I23" s="376"/>
      <c r="J23" s="376"/>
      <c r="K23" s="376"/>
      <c r="L23" s="376"/>
    </row>
    <row r="24" spans="1:12" ht="18" customHeight="1">
      <c r="A24" s="380" t="s">
        <v>424</v>
      </c>
      <c r="B24" s="550" t="s">
        <v>542</v>
      </c>
      <c r="C24" s="550"/>
      <c r="D24" s="550" t="s">
        <v>545</v>
      </c>
      <c r="E24" s="550"/>
      <c r="F24" s="550" t="s">
        <v>548</v>
      </c>
      <c r="G24" s="550"/>
      <c r="H24" s="376"/>
      <c r="I24" s="376"/>
      <c r="J24" s="376"/>
      <c r="K24" s="376"/>
      <c r="L24" s="376"/>
    </row>
    <row r="25" spans="1:12" ht="15.6">
      <c r="A25" s="380" t="s">
        <v>425</v>
      </c>
      <c r="B25" s="550" t="s">
        <v>543</v>
      </c>
      <c r="C25" s="550"/>
      <c r="D25" s="550" t="s">
        <v>546</v>
      </c>
      <c r="E25" s="550"/>
      <c r="F25" s="550" t="s">
        <v>549</v>
      </c>
      <c r="G25" s="550"/>
      <c r="H25" s="376"/>
      <c r="I25" s="376"/>
      <c r="J25" s="376"/>
      <c r="K25" s="376"/>
      <c r="L25" s="376"/>
    </row>
    <row r="26" spans="1:12" ht="15.6">
      <c r="A26" s="376"/>
      <c r="B26" s="376"/>
      <c r="C26" s="376"/>
      <c r="D26" s="376"/>
      <c r="E26" s="376"/>
      <c r="F26" s="376"/>
      <c r="G26" s="376"/>
      <c r="H26" s="376"/>
      <c r="I26" s="376"/>
      <c r="J26" s="376"/>
      <c r="K26" s="376"/>
      <c r="L26" s="376"/>
    </row>
    <row r="27" spans="1:12" ht="20.399999999999999">
      <c r="A27" s="375" t="s">
        <v>426</v>
      </c>
      <c r="B27" s="376"/>
      <c r="C27" s="376"/>
      <c r="D27" s="376"/>
      <c r="E27" s="376"/>
      <c r="F27" s="376"/>
      <c r="G27" s="376"/>
      <c r="H27" s="376"/>
      <c r="I27" s="376"/>
      <c r="J27" s="376"/>
      <c r="K27" s="376"/>
      <c r="L27" s="376"/>
    </row>
    <row r="28" spans="1:12" ht="15.6">
      <c r="A28" s="376"/>
      <c r="B28" s="376"/>
      <c r="C28" s="376"/>
      <c r="D28" s="376"/>
      <c r="E28" s="551" t="s">
        <v>427</v>
      </c>
      <c r="F28" s="552"/>
      <c r="G28" s="553"/>
      <c r="H28" s="376"/>
      <c r="I28" s="376"/>
      <c r="J28" s="376"/>
      <c r="K28" s="376"/>
      <c r="L28" s="376"/>
    </row>
    <row r="29" spans="1:12" ht="15.6">
      <c r="A29" s="376"/>
      <c r="B29" s="554" t="s">
        <v>428</v>
      </c>
      <c r="C29" s="554"/>
      <c r="D29" s="381" t="s">
        <v>429</v>
      </c>
      <c r="E29" s="381" t="s">
        <v>430</v>
      </c>
      <c r="F29" s="554" t="s">
        <v>431</v>
      </c>
      <c r="G29" s="554"/>
      <c r="H29" s="376"/>
      <c r="I29" s="376"/>
      <c r="J29" s="376"/>
      <c r="K29" s="376"/>
      <c r="L29" s="376"/>
    </row>
    <row r="30" spans="1:12" ht="15.6">
      <c r="A30" s="380" t="s">
        <v>432</v>
      </c>
      <c r="B30" s="550" t="s">
        <v>551</v>
      </c>
      <c r="C30" s="550"/>
      <c r="D30" s="379" t="s">
        <v>554</v>
      </c>
      <c r="E30" s="379" t="s">
        <v>433</v>
      </c>
      <c r="F30" s="550" t="s">
        <v>557</v>
      </c>
      <c r="G30" s="550"/>
      <c r="H30" s="376"/>
      <c r="I30" s="376"/>
      <c r="J30" s="376"/>
      <c r="K30" s="376"/>
      <c r="L30" s="376"/>
    </row>
    <row r="31" spans="1:12" ht="15.6">
      <c r="A31" s="380" t="s">
        <v>434</v>
      </c>
      <c r="B31" s="550" t="s">
        <v>552</v>
      </c>
      <c r="C31" s="550"/>
      <c r="D31" s="379" t="s">
        <v>555</v>
      </c>
      <c r="E31" s="379" t="s">
        <v>435</v>
      </c>
      <c r="F31" s="550" t="s">
        <v>558</v>
      </c>
      <c r="G31" s="550"/>
      <c r="H31" s="376"/>
      <c r="I31" s="376"/>
      <c r="J31" s="376"/>
      <c r="K31" s="376"/>
      <c r="L31" s="376"/>
    </row>
    <row r="32" spans="1:12" ht="15.6">
      <c r="A32" s="380" t="s">
        <v>436</v>
      </c>
      <c r="B32" s="550" t="s">
        <v>553</v>
      </c>
      <c r="C32" s="550"/>
      <c r="D32" s="379" t="s">
        <v>556</v>
      </c>
      <c r="E32" s="379" t="s">
        <v>437</v>
      </c>
      <c r="F32" s="550" t="s">
        <v>559</v>
      </c>
      <c r="G32" s="550"/>
      <c r="H32" s="376"/>
      <c r="I32" s="376"/>
      <c r="J32" s="376"/>
      <c r="K32" s="376"/>
      <c r="L32" s="376"/>
    </row>
    <row r="33" spans="1:12" ht="15.6">
      <c r="A33" s="376"/>
      <c r="B33" s="376"/>
      <c r="C33" s="376"/>
      <c r="D33" s="376"/>
      <c r="E33" s="376"/>
      <c r="F33" s="376"/>
      <c r="G33" s="376"/>
      <c r="H33" s="376"/>
      <c r="I33" s="376"/>
      <c r="J33" s="376"/>
      <c r="K33" s="376"/>
      <c r="L33" s="376"/>
    </row>
    <row r="34" spans="1:12" ht="15.6">
      <c r="A34" s="376"/>
      <c r="B34" s="376"/>
      <c r="C34" s="376"/>
      <c r="D34" s="376"/>
      <c r="E34" s="551" t="s">
        <v>438</v>
      </c>
      <c r="F34" s="552"/>
      <c r="G34" s="553"/>
      <c r="H34" s="376"/>
      <c r="I34" s="376"/>
      <c r="J34" s="376"/>
      <c r="K34" s="376"/>
      <c r="L34" s="376"/>
    </row>
    <row r="35" spans="1:12" ht="15.6">
      <c r="A35" s="376"/>
      <c r="B35" s="554" t="s">
        <v>439</v>
      </c>
      <c r="C35" s="554"/>
      <c r="D35" s="381" t="s">
        <v>430</v>
      </c>
      <c r="E35" s="381" t="s">
        <v>440</v>
      </c>
      <c r="F35" s="381" t="s">
        <v>100</v>
      </c>
      <c r="G35" s="381" t="s">
        <v>441</v>
      </c>
      <c r="H35" s="376"/>
      <c r="I35" s="376"/>
      <c r="J35" s="376"/>
      <c r="K35" s="376"/>
      <c r="L35" s="376"/>
    </row>
    <row r="36" spans="1:12" ht="15.6">
      <c r="A36" s="380" t="s">
        <v>432</v>
      </c>
      <c r="B36" s="546" t="s">
        <v>560</v>
      </c>
      <c r="C36" s="547"/>
      <c r="D36" s="382" t="s">
        <v>562</v>
      </c>
      <c r="E36" s="382" t="s">
        <v>442</v>
      </c>
      <c r="F36" s="383" t="s">
        <v>443</v>
      </c>
      <c r="G36" s="379" t="s">
        <v>565</v>
      </c>
      <c r="H36" s="376"/>
      <c r="I36" s="376"/>
      <c r="J36" s="376"/>
      <c r="K36" s="376"/>
      <c r="L36" s="376"/>
    </row>
    <row r="37" spans="1:12" ht="15.6">
      <c r="A37" s="380" t="s">
        <v>434</v>
      </c>
      <c r="B37" s="546" t="s">
        <v>561</v>
      </c>
      <c r="C37" s="547"/>
      <c r="D37" s="382" t="s">
        <v>563</v>
      </c>
      <c r="E37" s="382" t="s">
        <v>442</v>
      </c>
      <c r="F37" s="383" t="s">
        <v>444</v>
      </c>
      <c r="G37" s="384" t="s">
        <v>566</v>
      </c>
      <c r="H37" s="376"/>
      <c r="I37" s="376"/>
      <c r="J37" s="376"/>
      <c r="K37" s="376"/>
      <c r="L37" s="376"/>
    </row>
    <row r="38" spans="1:12" ht="15.6">
      <c r="A38" s="380" t="s">
        <v>436</v>
      </c>
      <c r="B38" s="546" t="s">
        <v>561</v>
      </c>
      <c r="C38" s="547"/>
      <c r="D38" s="382" t="s">
        <v>564</v>
      </c>
      <c r="E38" s="382" t="s">
        <v>442</v>
      </c>
      <c r="F38" s="383" t="s">
        <v>445</v>
      </c>
      <c r="G38" s="379" t="s">
        <v>567</v>
      </c>
      <c r="H38" s="376"/>
      <c r="I38" s="376"/>
      <c r="J38" s="376"/>
      <c r="K38" s="376"/>
      <c r="L38" s="376"/>
    </row>
    <row r="39" spans="1:12" ht="15.6">
      <c r="A39" s="376"/>
      <c r="B39" s="376"/>
      <c r="C39" s="376"/>
      <c r="D39" s="376"/>
      <c r="E39" s="376"/>
      <c r="F39" s="376"/>
      <c r="G39" s="376"/>
      <c r="H39" s="376"/>
      <c r="I39" s="376"/>
      <c r="J39" s="376"/>
      <c r="K39" s="376"/>
      <c r="L39" s="376"/>
    </row>
    <row r="40" spans="1:12" ht="15.6">
      <c r="A40" s="385" t="s">
        <v>446</v>
      </c>
      <c r="B40" s="548" t="s">
        <v>568</v>
      </c>
      <c r="C40" s="548"/>
      <c r="D40" s="549" t="s">
        <v>447</v>
      </c>
      <c r="E40" s="549"/>
      <c r="F40" s="548" t="s">
        <v>569</v>
      </c>
      <c r="G40" s="548"/>
      <c r="H40" s="376"/>
      <c r="I40" s="376"/>
      <c r="J40" s="376"/>
      <c r="K40" s="376"/>
      <c r="L40" s="376"/>
    </row>
    <row r="41" spans="1:12" ht="15.6">
      <c r="A41" s="376"/>
      <c r="B41" s="376"/>
      <c r="C41" s="376"/>
      <c r="D41" s="376"/>
      <c r="E41" s="376"/>
      <c r="F41" s="376"/>
      <c r="G41" s="376"/>
      <c r="H41" s="376"/>
      <c r="I41" s="376"/>
      <c r="J41" s="376"/>
      <c r="K41" s="376"/>
      <c r="L41" s="376"/>
    </row>
    <row r="42" spans="1:12" ht="15.6">
      <c r="A42" s="376"/>
      <c r="B42" s="376"/>
      <c r="C42" s="376"/>
      <c r="D42" s="376"/>
      <c r="E42" s="376"/>
      <c r="F42" s="376"/>
      <c r="G42" s="376"/>
      <c r="H42" s="376"/>
      <c r="I42" s="376"/>
      <c r="J42" s="376"/>
      <c r="K42" s="376"/>
      <c r="L42" s="376"/>
    </row>
    <row r="43" spans="1:12" ht="15.6">
      <c r="A43" s="376"/>
      <c r="B43" s="376"/>
      <c r="C43" s="376"/>
      <c r="D43" s="376"/>
      <c r="E43" s="376"/>
      <c r="F43" s="376"/>
      <c r="G43" s="376"/>
      <c r="H43" s="376"/>
      <c r="I43" s="376"/>
      <c r="J43" s="376"/>
      <c r="K43" s="376"/>
      <c r="L43" s="376"/>
    </row>
    <row r="44" spans="1:12" ht="15.6">
      <c r="A44" s="376"/>
      <c r="B44" s="376"/>
      <c r="C44" s="376"/>
      <c r="D44" s="376"/>
      <c r="E44" s="376"/>
      <c r="F44" s="376"/>
      <c r="G44" s="376"/>
      <c r="H44" s="376"/>
      <c r="I44" s="376"/>
      <c r="J44" s="376"/>
      <c r="K44" s="376"/>
      <c r="L44" s="376"/>
    </row>
    <row r="45" spans="1:12" ht="15.6">
      <c r="A45" s="376"/>
      <c r="B45" s="376"/>
      <c r="C45" s="376"/>
      <c r="D45" s="376"/>
      <c r="E45" s="376"/>
      <c r="F45" s="376"/>
      <c r="G45" s="376"/>
      <c r="H45" s="376"/>
      <c r="I45" s="376"/>
      <c r="J45" s="376"/>
      <c r="K45" s="376"/>
      <c r="L45" s="376"/>
    </row>
    <row r="46" spans="1:12" ht="15.6">
      <c r="A46" s="376"/>
      <c r="B46" s="376"/>
      <c r="C46" s="376"/>
      <c r="D46" s="376"/>
      <c r="E46" s="376"/>
      <c r="F46" s="376"/>
      <c r="G46" s="376"/>
      <c r="H46" s="376"/>
      <c r="I46" s="376"/>
      <c r="J46" s="376"/>
      <c r="K46" s="376"/>
      <c r="L46" s="376"/>
    </row>
    <row r="47" spans="1:12" ht="15.6">
      <c r="A47" s="376"/>
      <c r="B47" s="376"/>
      <c r="C47" s="376"/>
      <c r="D47" s="376"/>
      <c r="E47" s="376"/>
      <c r="F47" s="376"/>
      <c r="G47" s="376"/>
      <c r="H47" s="376"/>
      <c r="I47" s="376"/>
      <c r="J47" s="376"/>
      <c r="K47" s="376"/>
      <c r="L47" s="376"/>
    </row>
    <row r="48" spans="1:12" ht="15.6">
      <c r="A48" s="376"/>
      <c r="B48" s="376"/>
      <c r="C48" s="376"/>
      <c r="D48" s="376"/>
      <c r="E48" s="376"/>
      <c r="F48" s="376"/>
      <c r="G48" s="376"/>
      <c r="H48" s="376"/>
      <c r="I48" s="376"/>
      <c r="J48" s="376"/>
      <c r="K48" s="376"/>
      <c r="L48" s="376"/>
    </row>
    <row r="49" spans="1:12" ht="15.6">
      <c r="A49" s="376"/>
      <c r="B49" s="376"/>
      <c r="C49" s="376"/>
      <c r="D49" s="376"/>
      <c r="E49" s="376"/>
      <c r="F49" s="376"/>
      <c r="G49" s="376"/>
      <c r="H49" s="376"/>
      <c r="I49" s="376"/>
      <c r="J49" s="376"/>
      <c r="K49" s="376"/>
      <c r="L49" s="376"/>
    </row>
    <row r="50" spans="1:12" ht="15.6">
      <c r="A50" s="376"/>
      <c r="B50" s="376"/>
      <c r="C50" s="376"/>
      <c r="D50" s="376"/>
      <c r="E50" s="376"/>
      <c r="F50" s="376"/>
      <c r="G50" s="376"/>
      <c r="H50" s="376"/>
      <c r="I50" s="376"/>
      <c r="J50" s="376"/>
      <c r="K50" s="376"/>
      <c r="L50" s="376"/>
    </row>
    <row r="51" spans="1:12" ht="15.6">
      <c r="A51" s="376"/>
      <c r="B51" s="376"/>
      <c r="C51" s="376"/>
      <c r="D51" s="376"/>
      <c r="E51" s="376"/>
      <c r="F51" s="376"/>
      <c r="G51" s="376"/>
      <c r="H51" s="376"/>
      <c r="I51" s="376"/>
      <c r="J51" s="376"/>
      <c r="K51" s="376"/>
      <c r="L51" s="376"/>
    </row>
    <row r="52" spans="1:12" ht="15.6">
      <c r="A52" s="376"/>
      <c r="B52" s="376"/>
      <c r="C52" s="376"/>
      <c r="D52" s="376"/>
      <c r="E52" s="376"/>
      <c r="F52" s="376"/>
      <c r="G52" s="376"/>
      <c r="H52" s="376"/>
      <c r="I52" s="376"/>
      <c r="J52" s="376"/>
      <c r="K52" s="376"/>
      <c r="L52" s="376"/>
    </row>
    <row r="53" spans="1:12" ht="15.6">
      <c r="A53" s="376"/>
      <c r="B53" s="376"/>
      <c r="C53" s="376"/>
      <c r="D53" s="376"/>
      <c r="E53" s="376"/>
      <c r="F53" s="376"/>
      <c r="G53" s="376"/>
      <c r="H53" s="376"/>
      <c r="I53" s="376"/>
      <c r="J53" s="376"/>
      <c r="K53" s="376"/>
      <c r="L53" s="376"/>
    </row>
    <row r="54" spans="1:12" ht="15.6">
      <c r="A54" s="376"/>
      <c r="B54" s="376"/>
      <c r="C54" s="376"/>
      <c r="D54" s="376"/>
      <c r="E54" s="376"/>
      <c r="F54" s="376"/>
      <c r="G54" s="376"/>
      <c r="H54" s="376"/>
      <c r="I54" s="376"/>
      <c r="J54" s="376"/>
      <c r="K54" s="376"/>
      <c r="L54" s="376"/>
    </row>
    <row r="55" spans="1:12" ht="15.6">
      <c r="A55" s="376"/>
      <c r="B55" s="376"/>
      <c r="C55" s="376"/>
      <c r="D55" s="376"/>
      <c r="E55" s="376"/>
      <c r="F55" s="376"/>
      <c r="G55" s="376"/>
      <c r="H55" s="376"/>
      <c r="I55" s="376"/>
      <c r="J55" s="376"/>
      <c r="K55" s="376"/>
      <c r="L55" s="376"/>
    </row>
    <row r="56" spans="1:12" ht="15.6">
      <c r="A56" s="376"/>
      <c r="B56" s="376"/>
      <c r="C56" s="376"/>
      <c r="D56" s="376"/>
      <c r="E56" s="376"/>
      <c r="F56" s="376"/>
      <c r="G56" s="376"/>
      <c r="H56" s="376"/>
      <c r="I56" s="376"/>
      <c r="J56" s="376"/>
      <c r="K56" s="376"/>
      <c r="L56" s="376"/>
    </row>
    <row r="57" spans="1:12" ht="15.6">
      <c r="A57" s="376"/>
      <c r="B57" s="376"/>
      <c r="C57" s="376"/>
      <c r="D57" s="376"/>
      <c r="E57" s="376"/>
      <c r="F57" s="376"/>
      <c r="G57" s="376"/>
      <c r="H57" s="376"/>
      <c r="I57" s="376"/>
      <c r="J57" s="376"/>
      <c r="K57" s="376"/>
      <c r="L57" s="376"/>
    </row>
    <row r="58" spans="1:12" ht="15.6">
      <c r="A58" s="376"/>
      <c r="B58" s="376"/>
      <c r="C58" s="376"/>
      <c r="D58" s="376"/>
      <c r="E58" s="376"/>
      <c r="F58" s="376"/>
      <c r="G58" s="376"/>
      <c r="H58" s="376"/>
      <c r="I58" s="376"/>
      <c r="J58" s="376"/>
      <c r="K58" s="376"/>
      <c r="L58" s="376"/>
    </row>
    <row r="59" spans="1:12" ht="15.6">
      <c r="A59" s="376"/>
      <c r="B59" s="376"/>
      <c r="C59" s="376"/>
      <c r="D59" s="376"/>
      <c r="E59" s="376"/>
      <c r="F59" s="376"/>
      <c r="G59" s="376"/>
      <c r="H59" s="376"/>
      <c r="I59" s="376"/>
      <c r="J59" s="376"/>
      <c r="K59" s="376"/>
      <c r="L59" s="376"/>
    </row>
    <row r="60" spans="1:12" ht="15.6">
      <c r="A60" s="376"/>
      <c r="B60" s="376"/>
      <c r="C60" s="376"/>
      <c r="D60" s="376"/>
      <c r="E60" s="376"/>
      <c r="F60" s="376"/>
      <c r="G60" s="376"/>
      <c r="H60" s="376"/>
      <c r="I60" s="376"/>
      <c r="J60" s="376"/>
      <c r="K60" s="376"/>
      <c r="L60" s="376"/>
    </row>
    <row r="61" spans="1:12" ht="15.6">
      <c r="A61" s="376"/>
      <c r="B61" s="376"/>
      <c r="C61" s="376"/>
      <c r="D61" s="376"/>
      <c r="E61" s="376"/>
      <c r="F61" s="376"/>
      <c r="G61" s="376"/>
      <c r="H61" s="376"/>
      <c r="I61" s="376"/>
      <c r="J61" s="376"/>
      <c r="K61" s="376"/>
      <c r="L61" s="376"/>
    </row>
  </sheetData>
  <mergeCells count="31">
    <mergeCell ref="B23:C23"/>
    <mergeCell ref="D23:E23"/>
    <mergeCell ref="F23:G23"/>
    <mergeCell ref="B1:G1"/>
    <mergeCell ref="D21:G21"/>
    <mergeCell ref="B22:C22"/>
    <mergeCell ref="D22:E22"/>
    <mergeCell ref="F22:G22"/>
    <mergeCell ref="B31:C31"/>
    <mergeCell ref="F31:G31"/>
    <mergeCell ref="B24:C24"/>
    <mergeCell ref="D24:E24"/>
    <mergeCell ref="F24:G24"/>
    <mergeCell ref="B25:C25"/>
    <mergeCell ref="D25:E25"/>
    <mergeCell ref="F25:G25"/>
    <mergeCell ref="E28:G28"/>
    <mergeCell ref="B29:C29"/>
    <mergeCell ref="F29:G29"/>
    <mergeCell ref="B30:C30"/>
    <mergeCell ref="F30:G30"/>
    <mergeCell ref="B38:C38"/>
    <mergeCell ref="B40:C40"/>
    <mergeCell ref="D40:E40"/>
    <mergeCell ref="F40:G40"/>
    <mergeCell ref="B32:C32"/>
    <mergeCell ref="F32:G32"/>
    <mergeCell ref="E34:G34"/>
    <mergeCell ref="B35:C35"/>
    <mergeCell ref="B36:C36"/>
    <mergeCell ref="B37:C37"/>
  </mergeCells>
  <printOptions horizontalCentered="1"/>
  <pageMargins left="0.75" right="0.75" top="1" bottom="1" header="0.5" footer="0.5"/>
  <pageSetup orientation="portrait" verticalDpi="3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81"/>
  <sheetViews>
    <sheetView topLeftCell="A19" workbookViewId="0">
      <selection activeCell="D48" sqref="D48"/>
    </sheetView>
  </sheetViews>
  <sheetFormatPr defaultColWidth="9.109375" defaultRowHeight="13.2"/>
  <cols>
    <col min="1" max="6" width="16.6640625" style="351" customWidth="1"/>
    <col min="7" max="16384" width="9.109375" style="351"/>
  </cols>
  <sheetData>
    <row r="1" spans="1:6" ht="18.899999999999999" customHeight="1">
      <c r="A1" s="348"/>
      <c r="B1" s="349"/>
      <c r="C1" s="349"/>
      <c r="D1" s="349"/>
      <c r="E1" s="349"/>
      <c r="F1" s="350"/>
    </row>
    <row r="2" spans="1:6" ht="26.1" customHeight="1">
      <c r="A2" s="352" t="s">
        <v>265</v>
      </c>
      <c r="B2" s="353"/>
      <c r="C2" s="353"/>
      <c r="D2" s="353"/>
      <c r="E2" s="353"/>
      <c r="F2" s="354"/>
    </row>
    <row r="3" spans="1:6" ht="18.899999999999999" customHeight="1">
      <c r="A3" s="557" t="s">
        <v>570</v>
      </c>
      <c r="B3" s="558"/>
      <c r="C3" s="558"/>
      <c r="D3" s="558"/>
      <c r="E3" s="558"/>
      <c r="F3" s="559"/>
    </row>
    <row r="4" spans="1:6" ht="18.899999999999999" customHeight="1">
      <c r="A4" s="560" t="s">
        <v>571</v>
      </c>
      <c r="B4" s="561"/>
      <c r="C4" s="561"/>
      <c r="D4" s="561"/>
      <c r="E4" s="561"/>
      <c r="F4" s="562"/>
    </row>
    <row r="5" spans="1:6" ht="18.899999999999999" customHeight="1">
      <c r="A5" s="356"/>
      <c r="B5" s="357"/>
      <c r="C5" s="357"/>
      <c r="D5" s="357"/>
      <c r="E5" s="357"/>
      <c r="F5" s="358"/>
    </row>
    <row r="6" spans="1:6" ht="18.899999999999999" customHeight="1">
      <c r="A6" s="359" t="s">
        <v>384</v>
      </c>
      <c r="B6" s="543" t="s">
        <v>603</v>
      </c>
      <c r="C6" s="544"/>
      <c r="D6" s="545"/>
      <c r="E6" s="359" t="s">
        <v>385</v>
      </c>
      <c r="F6" s="360">
        <v>101</v>
      </c>
    </row>
    <row r="7" spans="1:6" ht="18.899999999999999" customHeight="1">
      <c r="A7" s="359" t="s">
        <v>386</v>
      </c>
      <c r="B7" s="360" t="s">
        <v>176</v>
      </c>
      <c r="C7" s="359" t="s">
        <v>387</v>
      </c>
      <c r="D7" s="360" t="s">
        <v>404</v>
      </c>
      <c r="E7" s="359" t="s">
        <v>388</v>
      </c>
      <c r="F7" s="360" t="s">
        <v>177</v>
      </c>
    </row>
    <row r="8" spans="1:6" ht="18.899999999999999" customHeight="1">
      <c r="A8" s="359" t="s">
        <v>389</v>
      </c>
      <c r="B8" s="360">
        <v>6</v>
      </c>
      <c r="C8" s="359" t="s">
        <v>390</v>
      </c>
      <c r="D8" s="360" t="s">
        <v>391</v>
      </c>
      <c r="E8" s="359" t="s">
        <v>392</v>
      </c>
      <c r="F8" s="360" t="s">
        <v>358</v>
      </c>
    </row>
    <row r="9" spans="1:6" ht="18.899999999999999" customHeight="1">
      <c r="A9" s="359" t="s">
        <v>393</v>
      </c>
      <c r="B9" s="360">
        <v>800</v>
      </c>
      <c r="C9" s="359" t="s">
        <v>394</v>
      </c>
      <c r="D9" s="360" t="s">
        <v>405</v>
      </c>
      <c r="E9" s="359" t="s">
        <v>2</v>
      </c>
      <c r="F9" s="361">
        <v>41873</v>
      </c>
    </row>
    <row r="10" spans="1:6" ht="18.899999999999999" customHeight="1">
      <c r="A10" s="359" t="s">
        <v>395</v>
      </c>
      <c r="B10" s="360">
        <v>1192</v>
      </c>
      <c r="C10" s="359" t="s">
        <v>257</v>
      </c>
      <c r="D10" s="360" t="s">
        <v>406</v>
      </c>
      <c r="E10" s="359" t="s">
        <v>1</v>
      </c>
      <c r="F10" s="360" t="s">
        <v>375</v>
      </c>
    </row>
    <row r="11" spans="1:6" ht="18.899999999999999" customHeight="1">
      <c r="A11" s="356"/>
      <c r="B11" s="357"/>
      <c r="C11" s="357"/>
      <c r="D11" s="357"/>
      <c r="E11" s="357"/>
      <c r="F11" s="358"/>
    </row>
    <row r="12" spans="1:6" ht="18.899999999999999" customHeight="1">
      <c r="A12" s="356"/>
      <c r="B12" s="362"/>
      <c r="C12" s="363"/>
      <c r="D12" s="362"/>
      <c r="E12" s="363"/>
      <c r="F12" s="358"/>
    </row>
    <row r="13" spans="1:6" ht="18.899999999999999" customHeight="1">
      <c r="A13" s="356"/>
      <c r="B13" s="362"/>
      <c r="C13" s="364"/>
      <c r="D13" s="362"/>
      <c r="E13" s="363"/>
      <c r="F13" s="358"/>
    </row>
    <row r="14" spans="1:6" ht="18.899999999999999" customHeight="1">
      <c r="A14" s="356"/>
      <c r="B14" s="362"/>
      <c r="C14" s="364"/>
      <c r="D14" s="362"/>
      <c r="E14" s="363"/>
      <c r="F14" s="358"/>
    </row>
    <row r="15" spans="1:6" ht="18.899999999999999" customHeight="1">
      <c r="A15" s="356"/>
      <c r="B15" s="362"/>
      <c r="C15" s="363"/>
      <c r="D15" s="357"/>
      <c r="E15" s="357"/>
      <c r="F15" s="358"/>
    </row>
    <row r="16" spans="1:6" ht="18.899999999999999" customHeight="1">
      <c r="A16" s="356"/>
      <c r="B16" s="357"/>
      <c r="C16" s="357"/>
      <c r="D16" s="357"/>
      <c r="E16" s="357"/>
      <c r="F16" s="358"/>
    </row>
    <row r="17" spans="1:6" ht="18.899999999999999" customHeight="1">
      <c r="A17" s="356"/>
      <c r="B17" s="357"/>
      <c r="C17" s="357"/>
      <c r="D17" s="357"/>
      <c r="E17" s="357"/>
      <c r="F17" s="358"/>
    </row>
    <row r="18" spans="1:6" ht="18.899999999999999" customHeight="1">
      <c r="A18" s="356"/>
      <c r="B18" s="357"/>
      <c r="C18" s="357"/>
      <c r="D18" s="357"/>
      <c r="E18" s="357"/>
      <c r="F18" s="358"/>
    </row>
    <row r="19" spans="1:6" ht="18.899999999999999" customHeight="1">
      <c r="A19" s="356"/>
      <c r="B19" s="357"/>
      <c r="C19" s="357"/>
      <c r="D19" s="357"/>
      <c r="E19" s="357"/>
      <c r="F19" s="358"/>
    </row>
    <row r="20" spans="1:6" ht="18.899999999999999" customHeight="1">
      <c r="A20" s="356"/>
      <c r="B20" s="357"/>
      <c r="C20" s="357"/>
      <c r="D20" s="357"/>
      <c r="E20" s="357"/>
      <c r="F20" s="358"/>
    </row>
    <row r="21" spans="1:6" ht="18.899999999999999" customHeight="1">
      <c r="A21" s="356"/>
      <c r="B21" s="357"/>
      <c r="C21" s="357"/>
      <c r="D21" s="357"/>
      <c r="E21" s="357"/>
      <c r="F21" s="358"/>
    </row>
    <row r="22" spans="1:6" ht="18.899999999999999" customHeight="1">
      <c r="A22" s="356"/>
      <c r="B22" s="357"/>
      <c r="C22" s="357"/>
      <c r="D22" s="357"/>
      <c r="E22" s="357"/>
      <c r="F22" s="358"/>
    </row>
    <row r="23" spans="1:6" ht="18.899999999999999" customHeight="1">
      <c r="A23" s="356"/>
      <c r="B23" s="357"/>
      <c r="C23" s="357"/>
      <c r="D23" s="357"/>
      <c r="E23" s="357"/>
      <c r="F23" s="358"/>
    </row>
    <row r="24" spans="1:6" ht="18.899999999999999" customHeight="1">
      <c r="A24" s="356"/>
      <c r="B24" s="357"/>
      <c r="C24" s="357"/>
      <c r="D24" s="357"/>
      <c r="E24" s="357"/>
      <c r="F24" s="358"/>
    </row>
    <row r="25" spans="1:6" ht="18.899999999999999" customHeight="1">
      <c r="A25" s="356"/>
      <c r="B25" s="357"/>
      <c r="C25" s="357"/>
      <c r="D25" s="357"/>
      <c r="E25" s="357"/>
      <c r="F25" s="358"/>
    </row>
    <row r="26" spans="1:6" ht="18.899999999999999" customHeight="1">
      <c r="A26" s="356"/>
      <c r="B26" s="357"/>
      <c r="C26" s="357"/>
      <c r="D26" s="357"/>
      <c r="E26" s="357"/>
      <c r="F26" s="358"/>
    </row>
    <row r="27" spans="1:6" ht="18.899999999999999" customHeight="1">
      <c r="A27" s="356"/>
      <c r="B27" s="357"/>
      <c r="C27" s="357"/>
      <c r="D27" s="357"/>
      <c r="E27" s="357"/>
      <c r="F27" s="358"/>
    </row>
    <row r="28" spans="1:6" ht="18.899999999999999" customHeight="1">
      <c r="A28" s="356"/>
      <c r="B28" s="357"/>
      <c r="C28" s="357"/>
      <c r="D28" s="357"/>
      <c r="E28" s="357"/>
      <c r="F28" s="358"/>
    </row>
    <row r="29" spans="1:6" ht="18.899999999999999" customHeight="1">
      <c r="A29" s="356"/>
      <c r="B29" s="357"/>
      <c r="C29" s="357"/>
      <c r="D29" s="357"/>
      <c r="E29" s="357"/>
      <c r="F29" s="358"/>
    </row>
    <row r="30" spans="1:6" ht="18.899999999999999" customHeight="1">
      <c r="A30" s="356"/>
      <c r="B30" s="357"/>
      <c r="C30" s="357"/>
      <c r="D30" s="357"/>
      <c r="E30" s="357"/>
      <c r="F30" s="358"/>
    </row>
    <row r="31" spans="1:6" ht="18.899999999999999" customHeight="1">
      <c r="A31" s="356"/>
      <c r="B31" s="357"/>
      <c r="C31" s="357"/>
      <c r="D31" s="357"/>
      <c r="E31" s="357"/>
      <c r="F31" s="358"/>
    </row>
    <row r="32" spans="1:6" ht="18.899999999999999" customHeight="1">
      <c r="A32" s="356"/>
      <c r="B32" s="357"/>
      <c r="C32" s="357"/>
      <c r="D32" s="357"/>
      <c r="E32" s="357"/>
      <c r="F32" s="358"/>
    </row>
    <row r="33" spans="1:6" ht="18.899999999999999" customHeight="1">
      <c r="A33" s="356"/>
      <c r="B33" s="357"/>
      <c r="C33" s="357"/>
      <c r="D33" s="357"/>
      <c r="E33" s="357"/>
      <c r="F33" s="358"/>
    </row>
    <row r="34" spans="1:6" ht="18.899999999999999" customHeight="1">
      <c r="A34" s="356"/>
      <c r="B34" s="357"/>
      <c r="C34" s="357"/>
      <c r="D34" s="357"/>
      <c r="E34" s="357"/>
      <c r="F34" s="358"/>
    </row>
    <row r="35" spans="1:6" ht="18.899999999999999" customHeight="1">
      <c r="A35" s="356"/>
      <c r="B35" s="357"/>
      <c r="C35" s="357"/>
      <c r="D35" s="357"/>
      <c r="E35" s="357"/>
      <c r="F35" s="358"/>
    </row>
    <row r="36" spans="1:6" ht="18.899999999999999" customHeight="1">
      <c r="A36" s="356"/>
      <c r="B36" s="357"/>
      <c r="C36" s="357"/>
      <c r="D36" s="357"/>
      <c r="E36" s="357"/>
      <c r="F36" s="358"/>
    </row>
    <row r="37" spans="1:6" ht="18.899999999999999" customHeight="1">
      <c r="A37" s="356"/>
      <c r="B37" s="357"/>
      <c r="C37" s="357"/>
      <c r="D37" s="357"/>
      <c r="E37" s="357"/>
      <c r="F37" s="358"/>
    </row>
    <row r="38" spans="1:6" ht="18.899999999999999" customHeight="1">
      <c r="A38" s="356"/>
      <c r="B38" s="357"/>
      <c r="C38" s="357"/>
      <c r="D38" s="357"/>
      <c r="E38" s="357"/>
      <c r="F38" s="358"/>
    </row>
    <row r="39" spans="1:6" ht="18.899999999999999" customHeight="1">
      <c r="A39" s="365" t="s">
        <v>400</v>
      </c>
      <c r="B39" s="366"/>
      <c r="C39" s="366"/>
      <c r="D39" s="357"/>
      <c r="E39" s="362" t="s">
        <v>401</v>
      </c>
      <c r="F39" s="367"/>
    </row>
    <row r="40" spans="1:6" ht="18.899999999999999" customHeight="1">
      <c r="A40" s="356"/>
      <c r="B40" s="366"/>
      <c r="C40" s="366"/>
      <c r="D40" s="357"/>
      <c r="E40" s="357"/>
      <c r="F40" s="358"/>
    </row>
    <row r="41" spans="1:6" ht="18.899999999999999" customHeight="1">
      <c r="A41" s="356"/>
      <c r="B41" s="366"/>
      <c r="C41" s="366"/>
      <c r="D41" s="357"/>
      <c r="E41" s="357"/>
      <c r="F41" s="358"/>
    </row>
    <row r="42" spans="1:6" ht="18.899999999999999" customHeight="1">
      <c r="A42" s="356"/>
      <c r="B42" s="357"/>
      <c r="C42" s="357"/>
      <c r="D42" s="357"/>
      <c r="E42" s="357"/>
      <c r="F42" s="358"/>
    </row>
    <row r="43" spans="1:6" ht="18.899999999999999" customHeight="1">
      <c r="A43" s="368"/>
      <c r="B43" s="366"/>
      <c r="C43" s="369" t="s">
        <v>402</v>
      </c>
      <c r="D43" s="370" t="s">
        <v>609</v>
      </c>
      <c r="E43" s="369" t="s">
        <v>403</v>
      </c>
      <c r="F43" s="370" t="s">
        <v>611</v>
      </c>
    </row>
    <row r="44" spans="1:6" ht="15" customHeight="1"/>
    <row r="45" spans="1:6" ht="15" customHeight="1"/>
    <row r="46" spans="1:6" ht="15" customHeight="1"/>
    <row r="47" spans="1:6" ht="15" customHeight="1"/>
    <row r="48" spans="1:6" ht="15" customHeight="1"/>
    <row r="49" spans="6:9" ht="15" customHeight="1"/>
    <row r="50" spans="6:9" ht="15" customHeight="1">
      <c r="F50" s="386" t="e">
        <f>5252.1*B50/D53</f>
        <v>#DIV/0!</v>
      </c>
      <c r="G50" s="386"/>
    </row>
    <row r="51" spans="6:9" ht="15" customHeight="1"/>
    <row r="52" spans="6:9" ht="15" customHeight="1"/>
    <row r="53" spans="6:9" ht="15" customHeight="1"/>
    <row r="54" spans="6:9" ht="15" customHeight="1"/>
    <row r="55" spans="6:9" ht="15" customHeight="1"/>
    <row r="56" spans="6:9" ht="15" customHeight="1"/>
    <row r="62" spans="6:9">
      <c r="I62" s="387"/>
    </row>
    <row r="63" spans="6:9">
      <c r="I63" s="351" t="s">
        <v>39</v>
      </c>
    </row>
    <row r="66" spans="1:6">
      <c r="D66" s="386" t="e">
        <f>D65/D64</f>
        <v>#DIV/0!</v>
      </c>
    </row>
    <row r="67" spans="1:6">
      <c r="A67" s="388" t="s">
        <v>253</v>
      </c>
      <c r="B67" s="388" t="s">
        <v>572</v>
      </c>
      <c r="C67" s="388" t="s">
        <v>573</v>
      </c>
      <c r="E67" s="388" t="s">
        <v>574</v>
      </c>
      <c r="F67" s="388" t="s">
        <v>575</v>
      </c>
    </row>
    <row r="68" spans="1:6">
      <c r="A68" s="389">
        <v>645.54455445544556</v>
      </c>
      <c r="B68" s="390">
        <v>35</v>
      </c>
      <c r="C68" s="390">
        <v>15</v>
      </c>
      <c r="E68" s="389">
        <f>A68</f>
        <v>645.54455445544556</v>
      </c>
      <c r="F68" s="390">
        <v>1E-4</v>
      </c>
    </row>
    <row r="69" spans="1:6">
      <c r="A69" s="389">
        <f>FLOOR(A68,100)</f>
        <v>600</v>
      </c>
      <c r="B69" s="390">
        <f>((A68/A69)^2)*B68</f>
        <v>40.515200034854978</v>
      </c>
      <c r="C69" s="390">
        <f>((A68/A69)^2)*C68</f>
        <v>17.363657157794989</v>
      </c>
      <c r="E69" s="389">
        <v>643.66336633663366</v>
      </c>
      <c r="F69" s="390">
        <v>1.1970000267028809</v>
      </c>
    </row>
    <row r="70" spans="1:6">
      <c r="A70" s="389">
        <f>A69-100</f>
        <v>500</v>
      </c>
      <c r="B70" s="390">
        <f>((A68/A70)^2)*B68</f>
        <v>58.341888050191159</v>
      </c>
      <c r="C70" s="390">
        <f>((A68/A70)^2)*C68</f>
        <v>25.003666307224783</v>
      </c>
      <c r="E70" s="389">
        <v>639.50495049504946</v>
      </c>
      <c r="F70" s="390">
        <v>2.2599999904632568</v>
      </c>
    </row>
    <row r="71" spans="1:6">
      <c r="A71" s="389">
        <f>A70-100</f>
        <v>400</v>
      </c>
      <c r="B71" s="390">
        <f>((A68/A71)^2)*B68</f>
        <v>91.159200078423694</v>
      </c>
      <c r="C71" s="390">
        <f>((A68/A71)^2)*C68</f>
        <v>39.068228605038726</v>
      </c>
      <c r="E71" s="389">
        <v>634.45544554455444</v>
      </c>
      <c r="F71" s="390">
        <v>3.2790000438690186</v>
      </c>
    </row>
    <row r="72" spans="1:6">
      <c r="A72" s="389">
        <f>A71-100</f>
        <v>300</v>
      </c>
      <c r="B72" s="390">
        <f>((A68/A72)^2)*B68</f>
        <v>162.06080013941991</v>
      </c>
      <c r="C72" s="390"/>
      <c r="E72" s="389">
        <v>628.31683168316829</v>
      </c>
      <c r="F72" s="390">
        <v>4.3020000457763672</v>
      </c>
    </row>
    <row r="73" spans="1:6">
      <c r="A73" s="389">
        <f>A72-100</f>
        <v>200</v>
      </c>
      <c r="B73" s="390">
        <f>((A68/A73)^2)*B68</f>
        <v>364.63680031369478</v>
      </c>
      <c r="C73" s="390"/>
      <c r="E73" s="389">
        <v>620.59405940594047</v>
      </c>
      <c r="F73" s="390">
        <v>5.369999885559082</v>
      </c>
    </row>
    <row r="74" spans="1:6">
      <c r="A74" s="389">
        <v>244</v>
      </c>
      <c r="B74" s="390">
        <f>((A68/A74)^2)*B68</f>
        <v>244.98575672782499</v>
      </c>
      <c r="C74" s="390">
        <f>((A68/A74)^2)*C68</f>
        <v>104.99389574049643</v>
      </c>
      <c r="E74" s="389">
        <v>610.89108910891093</v>
      </c>
      <c r="F74" s="390">
        <v>6.5250000953674316</v>
      </c>
    </row>
    <row r="75" spans="1:6">
      <c r="A75" s="391">
        <v>180</v>
      </c>
      <c r="B75" s="390">
        <f>((A68/A75)^2)*B69</f>
        <v>521.10521709978173</v>
      </c>
      <c r="C75" s="390">
        <f>((A68/A75)^2)*C68</f>
        <v>192.92952397549988</v>
      </c>
      <c r="E75" s="389">
        <v>598.81188118811872</v>
      </c>
      <c r="F75" s="390">
        <v>7.8250002861022949</v>
      </c>
    </row>
    <row r="76" spans="1:6">
      <c r="A76" s="391">
        <v>120</v>
      </c>
      <c r="B76" s="390">
        <f>((A68/A76)^2)*B68</f>
        <v>1012.8800008713742</v>
      </c>
      <c r="C76" s="390">
        <f>((A68/A76)^2)*C68</f>
        <v>434.09142894487468</v>
      </c>
      <c r="E76" s="389">
        <v>583.76237623762381</v>
      </c>
      <c r="F76" s="390">
        <v>9.3850002288818359</v>
      </c>
    </row>
    <row r="77" spans="1:6">
      <c r="A77" s="391">
        <v>110</v>
      </c>
      <c r="B77" s="390"/>
      <c r="C77" s="389">
        <f>CEILING(C76*2,100)</f>
        <v>900</v>
      </c>
      <c r="E77" s="389">
        <v>569.80198019801981</v>
      </c>
      <c r="F77" s="390">
        <v>10.295000076293945</v>
      </c>
    </row>
    <row r="78" spans="1:6">
      <c r="A78" s="391">
        <v>110</v>
      </c>
      <c r="B78" s="390"/>
      <c r="C78" s="389">
        <f>2*C77</f>
        <v>1800</v>
      </c>
      <c r="E78" s="389">
        <v>554.45544554455444</v>
      </c>
      <c r="F78" s="390">
        <v>11.16100025177002</v>
      </c>
    </row>
    <row r="79" spans="1:6">
      <c r="A79" s="391">
        <v>110</v>
      </c>
      <c r="B79" s="391"/>
      <c r="C79" s="391">
        <v>10000</v>
      </c>
      <c r="E79" s="389">
        <v>512.57425742574264</v>
      </c>
      <c r="F79" s="390">
        <v>11.657000541687012</v>
      </c>
    </row>
    <row r="80" spans="1:6">
      <c r="E80" s="389">
        <v>328.71287128712873</v>
      </c>
      <c r="F80" s="390">
        <v>11.737000465393066</v>
      </c>
    </row>
    <row r="81" spans="5:6">
      <c r="E81" s="389">
        <v>0</v>
      </c>
      <c r="F81" s="390">
        <v>11.808000564575195</v>
      </c>
    </row>
  </sheetData>
  <mergeCells count="3">
    <mergeCell ref="A3:F3"/>
    <mergeCell ref="A4:F4"/>
    <mergeCell ref="B6:D6"/>
  </mergeCells>
  <printOptions horizontalCentered="1" verticalCentered="1"/>
  <pageMargins left="0.59055118110236204" right="0.59055118110236204" top="0.59055118110236204" bottom="0.59055118110236204" header="0" footer="0"/>
  <pageSetup scale="88" orientation="portrait" verticalDpi="300"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CA1E6-DF35-4D1B-9916-3DB6F5207F98}">
  <sheetPr syncVertical="1" syncRef="A1" transitionEvaluation="1">
    <pageSetUpPr fitToPage="1"/>
  </sheetPr>
  <dimension ref="A1:Z67"/>
  <sheetViews>
    <sheetView showGridLines="0" tabSelected="1" zoomScaleNormal="100" workbookViewId="0">
      <selection activeCell="J62" sqref="J62"/>
    </sheetView>
  </sheetViews>
  <sheetFormatPr defaultColWidth="9.6640625" defaultRowHeight="12.6"/>
  <cols>
    <col min="1" max="1" width="7.88671875" style="569" customWidth="1"/>
    <col min="2" max="2" width="5.88671875" style="569" customWidth="1"/>
    <col min="3" max="3" width="7.5546875" style="569" customWidth="1"/>
    <col min="4" max="12" width="6.5546875" style="569" customWidth="1"/>
    <col min="13" max="13" width="15.6640625" style="569" customWidth="1"/>
    <col min="14" max="14" width="6.44140625" style="569" customWidth="1"/>
    <col min="15" max="15" width="8.33203125" style="569" customWidth="1"/>
    <col min="16" max="16" width="7.88671875" style="569" hidden="1" customWidth="1"/>
    <col min="17" max="17" width="5" style="569" hidden="1" customWidth="1"/>
    <col min="18" max="18" width="5.109375" style="569" hidden="1" customWidth="1"/>
    <col min="19" max="19" width="4.33203125" style="569" hidden="1" customWidth="1"/>
    <col min="20" max="20" width="4" style="569" hidden="1" customWidth="1"/>
    <col min="21" max="21" width="6.109375" style="569" hidden="1" customWidth="1"/>
    <col min="22" max="256" width="9.6640625" style="569"/>
    <col min="257" max="257" width="7.88671875" style="569" customWidth="1"/>
    <col min="258" max="258" width="5.88671875" style="569" customWidth="1"/>
    <col min="259" max="259" width="7.5546875" style="569" customWidth="1"/>
    <col min="260" max="268" width="6.5546875" style="569" customWidth="1"/>
    <col min="269" max="269" width="15.6640625" style="569" customWidth="1"/>
    <col min="270" max="270" width="6.44140625" style="569" customWidth="1"/>
    <col min="271" max="271" width="8.33203125" style="569" customWidth="1"/>
    <col min="272" max="277" width="0" style="569" hidden="1" customWidth="1"/>
    <col min="278" max="512" width="9.6640625" style="569"/>
    <col min="513" max="513" width="7.88671875" style="569" customWidth="1"/>
    <col min="514" max="514" width="5.88671875" style="569" customWidth="1"/>
    <col min="515" max="515" width="7.5546875" style="569" customWidth="1"/>
    <col min="516" max="524" width="6.5546875" style="569" customWidth="1"/>
    <col min="525" max="525" width="15.6640625" style="569" customWidth="1"/>
    <col min="526" max="526" width="6.44140625" style="569" customWidth="1"/>
    <col min="527" max="527" width="8.33203125" style="569" customWidth="1"/>
    <col min="528" max="533" width="0" style="569" hidden="1" customWidth="1"/>
    <col min="534" max="768" width="9.6640625" style="569"/>
    <col min="769" max="769" width="7.88671875" style="569" customWidth="1"/>
    <col min="770" max="770" width="5.88671875" style="569" customWidth="1"/>
    <col min="771" max="771" width="7.5546875" style="569" customWidth="1"/>
    <col min="772" max="780" width="6.5546875" style="569" customWidth="1"/>
    <col min="781" max="781" width="15.6640625" style="569" customWidth="1"/>
    <col min="782" max="782" width="6.44140625" style="569" customWidth="1"/>
    <col min="783" max="783" width="8.33203125" style="569" customWidth="1"/>
    <col min="784" max="789" width="0" style="569" hidden="1" customWidth="1"/>
    <col min="790" max="1024" width="9.6640625" style="569"/>
    <col min="1025" max="1025" width="7.88671875" style="569" customWidth="1"/>
    <col min="1026" max="1026" width="5.88671875" style="569" customWidth="1"/>
    <col min="1027" max="1027" width="7.5546875" style="569" customWidth="1"/>
    <col min="1028" max="1036" width="6.5546875" style="569" customWidth="1"/>
    <col min="1037" max="1037" width="15.6640625" style="569" customWidth="1"/>
    <col min="1038" max="1038" width="6.44140625" style="569" customWidth="1"/>
    <col min="1039" max="1039" width="8.33203125" style="569" customWidth="1"/>
    <col min="1040" max="1045" width="0" style="569" hidden="1" customWidth="1"/>
    <col min="1046" max="1280" width="9.6640625" style="569"/>
    <col min="1281" max="1281" width="7.88671875" style="569" customWidth="1"/>
    <col min="1282" max="1282" width="5.88671875" style="569" customWidth="1"/>
    <col min="1283" max="1283" width="7.5546875" style="569" customWidth="1"/>
    <col min="1284" max="1292" width="6.5546875" style="569" customWidth="1"/>
    <col min="1293" max="1293" width="15.6640625" style="569" customWidth="1"/>
    <col min="1294" max="1294" width="6.44140625" style="569" customWidth="1"/>
    <col min="1295" max="1295" width="8.33203125" style="569" customWidth="1"/>
    <col min="1296" max="1301" width="0" style="569" hidden="1" customWidth="1"/>
    <col min="1302" max="1536" width="9.6640625" style="569"/>
    <col min="1537" max="1537" width="7.88671875" style="569" customWidth="1"/>
    <col min="1538" max="1538" width="5.88671875" style="569" customWidth="1"/>
    <col min="1539" max="1539" width="7.5546875" style="569" customWidth="1"/>
    <col min="1540" max="1548" width="6.5546875" style="569" customWidth="1"/>
    <col min="1549" max="1549" width="15.6640625" style="569" customWidth="1"/>
    <col min="1550" max="1550" width="6.44140625" style="569" customWidth="1"/>
    <col min="1551" max="1551" width="8.33203125" style="569" customWidth="1"/>
    <col min="1552" max="1557" width="0" style="569" hidden="1" customWidth="1"/>
    <col min="1558" max="1792" width="9.6640625" style="569"/>
    <col min="1793" max="1793" width="7.88671875" style="569" customWidth="1"/>
    <col min="1794" max="1794" width="5.88671875" style="569" customWidth="1"/>
    <col min="1795" max="1795" width="7.5546875" style="569" customWidth="1"/>
    <col min="1796" max="1804" width="6.5546875" style="569" customWidth="1"/>
    <col min="1805" max="1805" width="15.6640625" style="569" customWidth="1"/>
    <col min="1806" max="1806" width="6.44140625" style="569" customWidth="1"/>
    <col min="1807" max="1807" width="8.33203125" style="569" customWidth="1"/>
    <col min="1808" max="1813" width="0" style="569" hidden="1" customWidth="1"/>
    <col min="1814" max="2048" width="9.6640625" style="569"/>
    <col min="2049" max="2049" width="7.88671875" style="569" customWidth="1"/>
    <col min="2050" max="2050" width="5.88671875" style="569" customWidth="1"/>
    <col min="2051" max="2051" width="7.5546875" style="569" customWidth="1"/>
    <col min="2052" max="2060" width="6.5546875" style="569" customWidth="1"/>
    <col min="2061" max="2061" width="15.6640625" style="569" customWidth="1"/>
    <col min="2062" max="2062" width="6.44140625" style="569" customWidth="1"/>
    <col min="2063" max="2063" width="8.33203125" style="569" customWidth="1"/>
    <col min="2064" max="2069" width="0" style="569" hidden="1" customWidth="1"/>
    <col min="2070" max="2304" width="9.6640625" style="569"/>
    <col min="2305" max="2305" width="7.88671875" style="569" customWidth="1"/>
    <col min="2306" max="2306" width="5.88671875" style="569" customWidth="1"/>
    <col min="2307" max="2307" width="7.5546875" style="569" customWidth="1"/>
    <col min="2308" max="2316" width="6.5546875" style="569" customWidth="1"/>
    <col min="2317" max="2317" width="15.6640625" style="569" customWidth="1"/>
    <col min="2318" max="2318" width="6.44140625" style="569" customWidth="1"/>
    <col min="2319" max="2319" width="8.33203125" style="569" customWidth="1"/>
    <col min="2320" max="2325" width="0" style="569" hidden="1" customWidth="1"/>
    <col min="2326" max="2560" width="9.6640625" style="569"/>
    <col min="2561" max="2561" width="7.88671875" style="569" customWidth="1"/>
    <col min="2562" max="2562" width="5.88671875" style="569" customWidth="1"/>
    <col min="2563" max="2563" width="7.5546875" style="569" customWidth="1"/>
    <col min="2564" max="2572" width="6.5546875" style="569" customWidth="1"/>
    <col min="2573" max="2573" width="15.6640625" style="569" customWidth="1"/>
    <col min="2574" max="2574" width="6.44140625" style="569" customWidth="1"/>
    <col min="2575" max="2575" width="8.33203125" style="569" customWidth="1"/>
    <col min="2576" max="2581" width="0" style="569" hidden="1" customWidth="1"/>
    <col min="2582" max="2816" width="9.6640625" style="569"/>
    <col min="2817" max="2817" width="7.88671875" style="569" customWidth="1"/>
    <col min="2818" max="2818" width="5.88671875" style="569" customWidth="1"/>
    <col min="2819" max="2819" width="7.5546875" style="569" customWidth="1"/>
    <col min="2820" max="2828" width="6.5546875" style="569" customWidth="1"/>
    <col min="2829" max="2829" width="15.6640625" style="569" customWidth="1"/>
    <col min="2830" max="2830" width="6.44140625" style="569" customWidth="1"/>
    <col min="2831" max="2831" width="8.33203125" style="569" customWidth="1"/>
    <col min="2832" max="2837" width="0" style="569" hidden="1" customWidth="1"/>
    <col min="2838" max="3072" width="9.6640625" style="569"/>
    <col min="3073" max="3073" width="7.88671875" style="569" customWidth="1"/>
    <col min="3074" max="3074" width="5.88671875" style="569" customWidth="1"/>
    <col min="3075" max="3075" width="7.5546875" style="569" customWidth="1"/>
    <col min="3076" max="3084" width="6.5546875" style="569" customWidth="1"/>
    <col min="3085" max="3085" width="15.6640625" style="569" customWidth="1"/>
    <col min="3086" max="3086" width="6.44140625" style="569" customWidth="1"/>
    <col min="3087" max="3087" width="8.33203125" style="569" customWidth="1"/>
    <col min="3088" max="3093" width="0" style="569" hidden="1" customWidth="1"/>
    <col min="3094" max="3328" width="9.6640625" style="569"/>
    <col min="3329" max="3329" width="7.88671875" style="569" customWidth="1"/>
    <col min="3330" max="3330" width="5.88671875" style="569" customWidth="1"/>
    <col min="3331" max="3331" width="7.5546875" style="569" customWidth="1"/>
    <col min="3332" max="3340" width="6.5546875" style="569" customWidth="1"/>
    <col min="3341" max="3341" width="15.6640625" style="569" customWidth="1"/>
    <col min="3342" max="3342" width="6.44140625" style="569" customWidth="1"/>
    <col min="3343" max="3343" width="8.33203125" style="569" customWidth="1"/>
    <col min="3344" max="3349" width="0" style="569" hidden="1" customWidth="1"/>
    <col min="3350" max="3584" width="9.6640625" style="569"/>
    <col min="3585" max="3585" width="7.88671875" style="569" customWidth="1"/>
    <col min="3586" max="3586" width="5.88671875" style="569" customWidth="1"/>
    <col min="3587" max="3587" width="7.5546875" style="569" customWidth="1"/>
    <col min="3588" max="3596" width="6.5546875" style="569" customWidth="1"/>
    <col min="3597" max="3597" width="15.6640625" style="569" customWidth="1"/>
    <col min="3598" max="3598" width="6.44140625" style="569" customWidth="1"/>
    <col min="3599" max="3599" width="8.33203125" style="569" customWidth="1"/>
    <col min="3600" max="3605" width="0" style="569" hidden="1" customWidth="1"/>
    <col min="3606" max="3840" width="9.6640625" style="569"/>
    <col min="3841" max="3841" width="7.88671875" style="569" customWidth="1"/>
    <col min="3842" max="3842" width="5.88671875" style="569" customWidth="1"/>
    <col min="3843" max="3843" width="7.5546875" style="569" customWidth="1"/>
    <col min="3844" max="3852" width="6.5546875" style="569" customWidth="1"/>
    <col min="3853" max="3853" width="15.6640625" style="569" customWidth="1"/>
    <col min="3854" max="3854" width="6.44140625" style="569" customWidth="1"/>
    <col min="3855" max="3855" width="8.33203125" style="569" customWidth="1"/>
    <col min="3856" max="3861" width="0" style="569" hidden="1" customWidth="1"/>
    <col min="3862" max="4096" width="9.6640625" style="569"/>
    <col min="4097" max="4097" width="7.88671875" style="569" customWidth="1"/>
    <col min="4098" max="4098" width="5.88671875" style="569" customWidth="1"/>
    <col min="4099" max="4099" width="7.5546875" style="569" customWidth="1"/>
    <col min="4100" max="4108" width="6.5546875" style="569" customWidth="1"/>
    <col min="4109" max="4109" width="15.6640625" style="569" customWidth="1"/>
    <col min="4110" max="4110" width="6.44140625" style="569" customWidth="1"/>
    <col min="4111" max="4111" width="8.33203125" style="569" customWidth="1"/>
    <col min="4112" max="4117" width="0" style="569" hidden="1" customWidth="1"/>
    <col min="4118" max="4352" width="9.6640625" style="569"/>
    <col min="4353" max="4353" width="7.88671875" style="569" customWidth="1"/>
    <col min="4354" max="4354" width="5.88671875" style="569" customWidth="1"/>
    <col min="4355" max="4355" width="7.5546875" style="569" customWidth="1"/>
    <col min="4356" max="4364" width="6.5546875" style="569" customWidth="1"/>
    <col min="4365" max="4365" width="15.6640625" style="569" customWidth="1"/>
    <col min="4366" max="4366" width="6.44140625" style="569" customWidth="1"/>
    <col min="4367" max="4367" width="8.33203125" style="569" customWidth="1"/>
    <col min="4368" max="4373" width="0" style="569" hidden="1" customWidth="1"/>
    <col min="4374" max="4608" width="9.6640625" style="569"/>
    <col min="4609" max="4609" width="7.88671875" style="569" customWidth="1"/>
    <col min="4610" max="4610" width="5.88671875" style="569" customWidth="1"/>
    <col min="4611" max="4611" width="7.5546875" style="569" customWidth="1"/>
    <col min="4612" max="4620" width="6.5546875" style="569" customWidth="1"/>
    <col min="4621" max="4621" width="15.6640625" style="569" customWidth="1"/>
    <col min="4622" max="4622" width="6.44140625" style="569" customWidth="1"/>
    <col min="4623" max="4623" width="8.33203125" style="569" customWidth="1"/>
    <col min="4624" max="4629" width="0" style="569" hidden="1" customWidth="1"/>
    <col min="4630" max="4864" width="9.6640625" style="569"/>
    <col min="4865" max="4865" width="7.88671875" style="569" customWidth="1"/>
    <col min="4866" max="4866" width="5.88671875" style="569" customWidth="1"/>
    <col min="4867" max="4867" width="7.5546875" style="569" customWidth="1"/>
    <col min="4868" max="4876" width="6.5546875" style="569" customWidth="1"/>
    <col min="4877" max="4877" width="15.6640625" style="569" customWidth="1"/>
    <col min="4878" max="4878" width="6.44140625" style="569" customWidth="1"/>
    <col min="4879" max="4879" width="8.33203125" style="569" customWidth="1"/>
    <col min="4880" max="4885" width="0" style="569" hidden="1" customWidth="1"/>
    <col min="4886" max="5120" width="9.6640625" style="569"/>
    <col min="5121" max="5121" width="7.88671875" style="569" customWidth="1"/>
    <col min="5122" max="5122" width="5.88671875" style="569" customWidth="1"/>
    <col min="5123" max="5123" width="7.5546875" style="569" customWidth="1"/>
    <col min="5124" max="5132" width="6.5546875" style="569" customWidth="1"/>
    <col min="5133" max="5133" width="15.6640625" style="569" customWidth="1"/>
    <col min="5134" max="5134" width="6.44140625" style="569" customWidth="1"/>
    <col min="5135" max="5135" width="8.33203125" style="569" customWidth="1"/>
    <col min="5136" max="5141" width="0" style="569" hidden="1" customWidth="1"/>
    <col min="5142" max="5376" width="9.6640625" style="569"/>
    <col min="5377" max="5377" width="7.88671875" style="569" customWidth="1"/>
    <col min="5378" max="5378" width="5.88671875" style="569" customWidth="1"/>
    <col min="5379" max="5379" width="7.5546875" style="569" customWidth="1"/>
    <col min="5380" max="5388" width="6.5546875" style="569" customWidth="1"/>
    <col min="5389" max="5389" width="15.6640625" style="569" customWidth="1"/>
    <col min="5390" max="5390" width="6.44140625" style="569" customWidth="1"/>
    <col min="5391" max="5391" width="8.33203125" style="569" customWidth="1"/>
    <col min="5392" max="5397" width="0" style="569" hidden="1" customWidth="1"/>
    <col min="5398" max="5632" width="9.6640625" style="569"/>
    <col min="5633" max="5633" width="7.88671875" style="569" customWidth="1"/>
    <col min="5634" max="5634" width="5.88671875" style="569" customWidth="1"/>
    <col min="5635" max="5635" width="7.5546875" style="569" customWidth="1"/>
    <col min="5636" max="5644" width="6.5546875" style="569" customWidth="1"/>
    <col min="5645" max="5645" width="15.6640625" style="569" customWidth="1"/>
    <col min="5646" max="5646" width="6.44140625" style="569" customWidth="1"/>
    <col min="5647" max="5647" width="8.33203125" style="569" customWidth="1"/>
    <col min="5648" max="5653" width="0" style="569" hidden="1" customWidth="1"/>
    <col min="5654" max="5888" width="9.6640625" style="569"/>
    <col min="5889" max="5889" width="7.88671875" style="569" customWidth="1"/>
    <col min="5890" max="5890" width="5.88671875" style="569" customWidth="1"/>
    <col min="5891" max="5891" width="7.5546875" style="569" customWidth="1"/>
    <col min="5892" max="5900" width="6.5546875" style="569" customWidth="1"/>
    <col min="5901" max="5901" width="15.6640625" style="569" customWidth="1"/>
    <col min="5902" max="5902" width="6.44140625" style="569" customWidth="1"/>
    <col min="5903" max="5903" width="8.33203125" style="569" customWidth="1"/>
    <col min="5904" max="5909" width="0" style="569" hidden="1" customWidth="1"/>
    <col min="5910" max="6144" width="9.6640625" style="569"/>
    <col min="6145" max="6145" width="7.88671875" style="569" customWidth="1"/>
    <col min="6146" max="6146" width="5.88671875" style="569" customWidth="1"/>
    <col min="6147" max="6147" width="7.5546875" style="569" customWidth="1"/>
    <col min="6148" max="6156" width="6.5546875" style="569" customWidth="1"/>
    <col min="6157" max="6157" width="15.6640625" style="569" customWidth="1"/>
    <col min="6158" max="6158" width="6.44140625" style="569" customWidth="1"/>
    <col min="6159" max="6159" width="8.33203125" style="569" customWidth="1"/>
    <col min="6160" max="6165" width="0" style="569" hidden="1" customWidth="1"/>
    <col min="6166" max="6400" width="9.6640625" style="569"/>
    <col min="6401" max="6401" width="7.88671875" style="569" customWidth="1"/>
    <col min="6402" max="6402" width="5.88671875" style="569" customWidth="1"/>
    <col min="6403" max="6403" width="7.5546875" style="569" customWidth="1"/>
    <col min="6404" max="6412" width="6.5546875" style="569" customWidth="1"/>
    <col min="6413" max="6413" width="15.6640625" style="569" customWidth="1"/>
    <col min="6414" max="6414" width="6.44140625" style="569" customWidth="1"/>
    <col min="6415" max="6415" width="8.33203125" style="569" customWidth="1"/>
    <col min="6416" max="6421" width="0" style="569" hidden="1" customWidth="1"/>
    <col min="6422" max="6656" width="9.6640625" style="569"/>
    <col min="6657" max="6657" width="7.88671875" style="569" customWidth="1"/>
    <col min="6658" max="6658" width="5.88671875" style="569" customWidth="1"/>
    <col min="6659" max="6659" width="7.5546875" style="569" customWidth="1"/>
    <col min="6660" max="6668" width="6.5546875" style="569" customWidth="1"/>
    <col min="6669" max="6669" width="15.6640625" style="569" customWidth="1"/>
    <col min="6670" max="6670" width="6.44140625" style="569" customWidth="1"/>
    <col min="6671" max="6671" width="8.33203125" style="569" customWidth="1"/>
    <col min="6672" max="6677" width="0" style="569" hidden="1" customWidth="1"/>
    <col min="6678" max="6912" width="9.6640625" style="569"/>
    <col min="6913" max="6913" width="7.88671875" style="569" customWidth="1"/>
    <col min="6914" max="6914" width="5.88671875" style="569" customWidth="1"/>
    <col min="6915" max="6915" width="7.5546875" style="569" customWidth="1"/>
    <col min="6916" max="6924" width="6.5546875" style="569" customWidth="1"/>
    <col min="6925" max="6925" width="15.6640625" style="569" customWidth="1"/>
    <col min="6926" max="6926" width="6.44140625" style="569" customWidth="1"/>
    <col min="6927" max="6927" width="8.33203125" style="569" customWidth="1"/>
    <col min="6928" max="6933" width="0" style="569" hidden="1" customWidth="1"/>
    <col min="6934" max="7168" width="9.6640625" style="569"/>
    <col min="7169" max="7169" width="7.88671875" style="569" customWidth="1"/>
    <col min="7170" max="7170" width="5.88671875" style="569" customWidth="1"/>
    <col min="7171" max="7171" width="7.5546875" style="569" customWidth="1"/>
    <col min="7172" max="7180" width="6.5546875" style="569" customWidth="1"/>
    <col min="7181" max="7181" width="15.6640625" style="569" customWidth="1"/>
    <col min="7182" max="7182" width="6.44140625" style="569" customWidth="1"/>
    <col min="7183" max="7183" width="8.33203125" style="569" customWidth="1"/>
    <col min="7184" max="7189" width="0" style="569" hidden="1" customWidth="1"/>
    <col min="7190" max="7424" width="9.6640625" style="569"/>
    <col min="7425" max="7425" width="7.88671875" style="569" customWidth="1"/>
    <col min="7426" max="7426" width="5.88671875" style="569" customWidth="1"/>
    <col min="7427" max="7427" width="7.5546875" style="569" customWidth="1"/>
    <col min="7428" max="7436" width="6.5546875" style="569" customWidth="1"/>
    <col min="7437" max="7437" width="15.6640625" style="569" customWidth="1"/>
    <col min="7438" max="7438" width="6.44140625" style="569" customWidth="1"/>
    <col min="7439" max="7439" width="8.33203125" style="569" customWidth="1"/>
    <col min="7440" max="7445" width="0" style="569" hidden="1" customWidth="1"/>
    <col min="7446" max="7680" width="9.6640625" style="569"/>
    <col min="7681" max="7681" width="7.88671875" style="569" customWidth="1"/>
    <col min="7682" max="7682" width="5.88671875" style="569" customWidth="1"/>
    <col min="7683" max="7683" width="7.5546875" style="569" customWidth="1"/>
    <col min="7684" max="7692" width="6.5546875" style="569" customWidth="1"/>
    <col min="7693" max="7693" width="15.6640625" style="569" customWidth="1"/>
    <col min="7694" max="7694" width="6.44140625" style="569" customWidth="1"/>
    <col min="7695" max="7695" width="8.33203125" style="569" customWidth="1"/>
    <col min="7696" max="7701" width="0" style="569" hidden="1" customWidth="1"/>
    <col min="7702" max="7936" width="9.6640625" style="569"/>
    <col min="7937" max="7937" width="7.88671875" style="569" customWidth="1"/>
    <col min="7938" max="7938" width="5.88671875" style="569" customWidth="1"/>
    <col min="7939" max="7939" width="7.5546875" style="569" customWidth="1"/>
    <col min="7940" max="7948" width="6.5546875" style="569" customWidth="1"/>
    <col min="7949" max="7949" width="15.6640625" style="569" customWidth="1"/>
    <col min="7950" max="7950" width="6.44140625" style="569" customWidth="1"/>
    <col min="7951" max="7951" width="8.33203125" style="569" customWidth="1"/>
    <col min="7952" max="7957" width="0" style="569" hidden="1" customWidth="1"/>
    <col min="7958" max="8192" width="9.6640625" style="569"/>
    <col min="8193" max="8193" width="7.88671875" style="569" customWidth="1"/>
    <col min="8194" max="8194" width="5.88671875" style="569" customWidth="1"/>
    <col min="8195" max="8195" width="7.5546875" style="569" customWidth="1"/>
    <col min="8196" max="8204" width="6.5546875" style="569" customWidth="1"/>
    <col min="8205" max="8205" width="15.6640625" style="569" customWidth="1"/>
    <col min="8206" max="8206" width="6.44140625" style="569" customWidth="1"/>
    <col min="8207" max="8207" width="8.33203125" style="569" customWidth="1"/>
    <col min="8208" max="8213" width="0" style="569" hidden="1" customWidth="1"/>
    <col min="8214" max="8448" width="9.6640625" style="569"/>
    <col min="8449" max="8449" width="7.88671875" style="569" customWidth="1"/>
    <col min="8450" max="8450" width="5.88671875" style="569" customWidth="1"/>
    <col min="8451" max="8451" width="7.5546875" style="569" customWidth="1"/>
    <col min="8452" max="8460" width="6.5546875" style="569" customWidth="1"/>
    <col min="8461" max="8461" width="15.6640625" style="569" customWidth="1"/>
    <col min="8462" max="8462" width="6.44140625" style="569" customWidth="1"/>
    <col min="8463" max="8463" width="8.33203125" style="569" customWidth="1"/>
    <col min="8464" max="8469" width="0" style="569" hidden="1" customWidth="1"/>
    <col min="8470" max="8704" width="9.6640625" style="569"/>
    <col min="8705" max="8705" width="7.88671875" style="569" customWidth="1"/>
    <col min="8706" max="8706" width="5.88671875" style="569" customWidth="1"/>
    <col min="8707" max="8707" width="7.5546875" style="569" customWidth="1"/>
    <col min="8708" max="8716" width="6.5546875" style="569" customWidth="1"/>
    <col min="8717" max="8717" width="15.6640625" style="569" customWidth="1"/>
    <col min="8718" max="8718" width="6.44140625" style="569" customWidth="1"/>
    <col min="8719" max="8719" width="8.33203125" style="569" customWidth="1"/>
    <col min="8720" max="8725" width="0" style="569" hidden="1" customWidth="1"/>
    <col min="8726" max="8960" width="9.6640625" style="569"/>
    <col min="8961" max="8961" width="7.88671875" style="569" customWidth="1"/>
    <col min="8962" max="8962" width="5.88671875" style="569" customWidth="1"/>
    <col min="8963" max="8963" width="7.5546875" style="569" customWidth="1"/>
    <col min="8964" max="8972" width="6.5546875" style="569" customWidth="1"/>
    <col min="8973" max="8973" width="15.6640625" style="569" customWidth="1"/>
    <col min="8974" max="8974" width="6.44140625" style="569" customWidth="1"/>
    <col min="8975" max="8975" width="8.33203125" style="569" customWidth="1"/>
    <col min="8976" max="8981" width="0" style="569" hidden="1" customWidth="1"/>
    <col min="8982" max="9216" width="9.6640625" style="569"/>
    <col min="9217" max="9217" width="7.88671875" style="569" customWidth="1"/>
    <col min="9218" max="9218" width="5.88671875" style="569" customWidth="1"/>
    <col min="9219" max="9219" width="7.5546875" style="569" customWidth="1"/>
    <col min="9220" max="9228" width="6.5546875" style="569" customWidth="1"/>
    <col min="9229" max="9229" width="15.6640625" style="569" customWidth="1"/>
    <col min="9230" max="9230" width="6.44140625" style="569" customWidth="1"/>
    <col min="9231" max="9231" width="8.33203125" style="569" customWidth="1"/>
    <col min="9232" max="9237" width="0" style="569" hidden="1" customWidth="1"/>
    <col min="9238" max="9472" width="9.6640625" style="569"/>
    <col min="9473" max="9473" width="7.88671875" style="569" customWidth="1"/>
    <col min="9474" max="9474" width="5.88671875" style="569" customWidth="1"/>
    <col min="9475" max="9475" width="7.5546875" style="569" customWidth="1"/>
    <col min="9476" max="9484" width="6.5546875" style="569" customWidth="1"/>
    <col min="9485" max="9485" width="15.6640625" style="569" customWidth="1"/>
    <col min="9486" max="9486" width="6.44140625" style="569" customWidth="1"/>
    <col min="9487" max="9487" width="8.33203125" style="569" customWidth="1"/>
    <col min="9488" max="9493" width="0" style="569" hidden="1" customWidth="1"/>
    <col min="9494" max="9728" width="9.6640625" style="569"/>
    <col min="9729" max="9729" width="7.88671875" style="569" customWidth="1"/>
    <col min="9730" max="9730" width="5.88671875" style="569" customWidth="1"/>
    <col min="9731" max="9731" width="7.5546875" style="569" customWidth="1"/>
    <col min="9732" max="9740" width="6.5546875" style="569" customWidth="1"/>
    <col min="9741" max="9741" width="15.6640625" style="569" customWidth="1"/>
    <col min="9742" max="9742" width="6.44140625" style="569" customWidth="1"/>
    <col min="9743" max="9743" width="8.33203125" style="569" customWidth="1"/>
    <col min="9744" max="9749" width="0" style="569" hidden="1" customWidth="1"/>
    <col min="9750" max="9984" width="9.6640625" style="569"/>
    <col min="9985" max="9985" width="7.88671875" style="569" customWidth="1"/>
    <col min="9986" max="9986" width="5.88671875" style="569" customWidth="1"/>
    <col min="9987" max="9987" width="7.5546875" style="569" customWidth="1"/>
    <col min="9988" max="9996" width="6.5546875" style="569" customWidth="1"/>
    <col min="9997" max="9997" width="15.6640625" style="569" customWidth="1"/>
    <col min="9998" max="9998" width="6.44140625" style="569" customWidth="1"/>
    <col min="9999" max="9999" width="8.33203125" style="569" customWidth="1"/>
    <col min="10000" max="10005" width="0" style="569" hidden="1" customWidth="1"/>
    <col min="10006" max="10240" width="9.6640625" style="569"/>
    <col min="10241" max="10241" width="7.88671875" style="569" customWidth="1"/>
    <col min="10242" max="10242" width="5.88671875" style="569" customWidth="1"/>
    <col min="10243" max="10243" width="7.5546875" style="569" customWidth="1"/>
    <col min="10244" max="10252" width="6.5546875" style="569" customWidth="1"/>
    <col min="10253" max="10253" width="15.6640625" style="569" customWidth="1"/>
    <col min="10254" max="10254" width="6.44140625" style="569" customWidth="1"/>
    <col min="10255" max="10255" width="8.33203125" style="569" customWidth="1"/>
    <col min="10256" max="10261" width="0" style="569" hidden="1" customWidth="1"/>
    <col min="10262" max="10496" width="9.6640625" style="569"/>
    <col min="10497" max="10497" width="7.88671875" style="569" customWidth="1"/>
    <col min="10498" max="10498" width="5.88671875" style="569" customWidth="1"/>
    <col min="10499" max="10499" width="7.5546875" style="569" customWidth="1"/>
    <col min="10500" max="10508" width="6.5546875" style="569" customWidth="1"/>
    <col min="10509" max="10509" width="15.6640625" style="569" customWidth="1"/>
    <col min="10510" max="10510" width="6.44140625" style="569" customWidth="1"/>
    <col min="10511" max="10511" width="8.33203125" style="569" customWidth="1"/>
    <col min="10512" max="10517" width="0" style="569" hidden="1" customWidth="1"/>
    <col min="10518" max="10752" width="9.6640625" style="569"/>
    <col min="10753" max="10753" width="7.88671875" style="569" customWidth="1"/>
    <col min="10754" max="10754" width="5.88671875" style="569" customWidth="1"/>
    <col min="10755" max="10755" width="7.5546875" style="569" customWidth="1"/>
    <col min="10756" max="10764" width="6.5546875" style="569" customWidth="1"/>
    <col min="10765" max="10765" width="15.6640625" style="569" customWidth="1"/>
    <col min="10766" max="10766" width="6.44140625" style="569" customWidth="1"/>
    <col min="10767" max="10767" width="8.33203125" style="569" customWidth="1"/>
    <col min="10768" max="10773" width="0" style="569" hidden="1" customWidth="1"/>
    <col min="10774" max="11008" width="9.6640625" style="569"/>
    <col min="11009" max="11009" width="7.88671875" style="569" customWidth="1"/>
    <col min="11010" max="11010" width="5.88671875" style="569" customWidth="1"/>
    <col min="11011" max="11011" width="7.5546875" style="569" customWidth="1"/>
    <col min="11012" max="11020" width="6.5546875" style="569" customWidth="1"/>
    <col min="11021" max="11021" width="15.6640625" style="569" customWidth="1"/>
    <col min="11022" max="11022" width="6.44140625" style="569" customWidth="1"/>
    <col min="11023" max="11023" width="8.33203125" style="569" customWidth="1"/>
    <col min="11024" max="11029" width="0" style="569" hidden="1" customWidth="1"/>
    <col min="11030" max="11264" width="9.6640625" style="569"/>
    <col min="11265" max="11265" width="7.88671875" style="569" customWidth="1"/>
    <col min="11266" max="11266" width="5.88671875" style="569" customWidth="1"/>
    <col min="11267" max="11267" width="7.5546875" style="569" customWidth="1"/>
    <col min="11268" max="11276" width="6.5546875" style="569" customWidth="1"/>
    <col min="11277" max="11277" width="15.6640625" style="569" customWidth="1"/>
    <col min="11278" max="11278" width="6.44140625" style="569" customWidth="1"/>
    <col min="11279" max="11279" width="8.33203125" style="569" customWidth="1"/>
    <col min="11280" max="11285" width="0" style="569" hidden="1" customWidth="1"/>
    <col min="11286" max="11520" width="9.6640625" style="569"/>
    <col min="11521" max="11521" width="7.88671875" style="569" customWidth="1"/>
    <col min="11522" max="11522" width="5.88671875" style="569" customWidth="1"/>
    <col min="11523" max="11523" width="7.5546875" style="569" customWidth="1"/>
    <col min="11524" max="11532" width="6.5546875" style="569" customWidth="1"/>
    <col min="11533" max="11533" width="15.6640625" style="569" customWidth="1"/>
    <col min="11534" max="11534" width="6.44140625" style="569" customWidth="1"/>
    <col min="11535" max="11535" width="8.33203125" style="569" customWidth="1"/>
    <col min="11536" max="11541" width="0" style="569" hidden="1" customWidth="1"/>
    <col min="11542" max="11776" width="9.6640625" style="569"/>
    <col min="11777" max="11777" width="7.88671875" style="569" customWidth="1"/>
    <col min="11778" max="11778" width="5.88671875" style="569" customWidth="1"/>
    <col min="11779" max="11779" width="7.5546875" style="569" customWidth="1"/>
    <col min="11780" max="11788" width="6.5546875" style="569" customWidth="1"/>
    <col min="11789" max="11789" width="15.6640625" style="569" customWidth="1"/>
    <col min="11790" max="11790" width="6.44140625" style="569" customWidth="1"/>
    <col min="11791" max="11791" width="8.33203125" style="569" customWidth="1"/>
    <col min="11792" max="11797" width="0" style="569" hidden="1" customWidth="1"/>
    <col min="11798" max="12032" width="9.6640625" style="569"/>
    <col min="12033" max="12033" width="7.88671875" style="569" customWidth="1"/>
    <col min="12034" max="12034" width="5.88671875" style="569" customWidth="1"/>
    <col min="12035" max="12035" width="7.5546875" style="569" customWidth="1"/>
    <col min="12036" max="12044" width="6.5546875" style="569" customWidth="1"/>
    <col min="12045" max="12045" width="15.6640625" style="569" customWidth="1"/>
    <col min="12046" max="12046" width="6.44140625" style="569" customWidth="1"/>
    <col min="12047" max="12047" width="8.33203125" style="569" customWidth="1"/>
    <col min="12048" max="12053" width="0" style="569" hidden="1" customWidth="1"/>
    <col min="12054" max="12288" width="9.6640625" style="569"/>
    <col min="12289" max="12289" width="7.88671875" style="569" customWidth="1"/>
    <col min="12290" max="12290" width="5.88671875" style="569" customWidth="1"/>
    <col min="12291" max="12291" width="7.5546875" style="569" customWidth="1"/>
    <col min="12292" max="12300" width="6.5546875" style="569" customWidth="1"/>
    <col min="12301" max="12301" width="15.6640625" style="569" customWidth="1"/>
    <col min="12302" max="12302" width="6.44140625" style="569" customWidth="1"/>
    <col min="12303" max="12303" width="8.33203125" style="569" customWidth="1"/>
    <col min="12304" max="12309" width="0" style="569" hidden="1" customWidth="1"/>
    <col min="12310" max="12544" width="9.6640625" style="569"/>
    <col min="12545" max="12545" width="7.88671875" style="569" customWidth="1"/>
    <col min="12546" max="12546" width="5.88671875" style="569" customWidth="1"/>
    <col min="12547" max="12547" width="7.5546875" style="569" customWidth="1"/>
    <col min="12548" max="12556" width="6.5546875" style="569" customWidth="1"/>
    <col min="12557" max="12557" width="15.6640625" style="569" customWidth="1"/>
    <col min="12558" max="12558" width="6.44140625" style="569" customWidth="1"/>
    <col min="12559" max="12559" width="8.33203125" style="569" customWidth="1"/>
    <col min="12560" max="12565" width="0" style="569" hidden="1" customWidth="1"/>
    <col min="12566" max="12800" width="9.6640625" style="569"/>
    <col min="12801" max="12801" width="7.88671875" style="569" customWidth="1"/>
    <col min="12802" max="12802" width="5.88671875" style="569" customWidth="1"/>
    <col min="12803" max="12803" width="7.5546875" style="569" customWidth="1"/>
    <col min="12804" max="12812" width="6.5546875" style="569" customWidth="1"/>
    <col min="12813" max="12813" width="15.6640625" style="569" customWidth="1"/>
    <col min="12814" max="12814" width="6.44140625" style="569" customWidth="1"/>
    <col min="12815" max="12815" width="8.33203125" style="569" customWidth="1"/>
    <col min="12816" max="12821" width="0" style="569" hidden="1" customWidth="1"/>
    <col min="12822" max="13056" width="9.6640625" style="569"/>
    <col min="13057" max="13057" width="7.88671875" style="569" customWidth="1"/>
    <col min="13058" max="13058" width="5.88671875" style="569" customWidth="1"/>
    <col min="13059" max="13059" width="7.5546875" style="569" customWidth="1"/>
    <col min="13060" max="13068" width="6.5546875" style="569" customWidth="1"/>
    <col min="13069" max="13069" width="15.6640625" style="569" customWidth="1"/>
    <col min="13070" max="13070" width="6.44140625" style="569" customWidth="1"/>
    <col min="13071" max="13071" width="8.33203125" style="569" customWidth="1"/>
    <col min="13072" max="13077" width="0" style="569" hidden="1" customWidth="1"/>
    <col min="13078" max="13312" width="9.6640625" style="569"/>
    <col min="13313" max="13313" width="7.88671875" style="569" customWidth="1"/>
    <col min="13314" max="13314" width="5.88671875" style="569" customWidth="1"/>
    <col min="13315" max="13315" width="7.5546875" style="569" customWidth="1"/>
    <col min="13316" max="13324" width="6.5546875" style="569" customWidth="1"/>
    <col min="13325" max="13325" width="15.6640625" style="569" customWidth="1"/>
    <col min="13326" max="13326" width="6.44140625" style="569" customWidth="1"/>
    <col min="13327" max="13327" width="8.33203125" style="569" customWidth="1"/>
    <col min="13328" max="13333" width="0" style="569" hidden="1" customWidth="1"/>
    <col min="13334" max="13568" width="9.6640625" style="569"/>
    <col min="13569" max="13569" width="7.88671875" style="569" customWidth="1"/>
    <col min="13570" max="13570" width="5.88671875" style="569" customWidth="1"/>
    <col min="13571" max="13571" width="7.5546875" style="569" customWidth="1"/>
    <col min="13572" max="13580" width="6.5546875" style="569" customWidth="1"/>
    <col min="13581" max="13581" width="15.6640625" style="569" customWidth="1"/>
    <col min="13582" max="13582" width="6.44140625" style="569" customWidth="1"/>
    <col min="13583" max="13583" width="8.33203125" style="569" customWidth="1"/>
    <col min="13584" max="13589" width="0" style="569" hidden="1" customWidth="1"/>
    <col min="13590" max="13824" width="9.6640625" style="569"/>
    <col min="13825" max="13825" width="7.88671875" style="569" customWidth="1"/>
    <col min="13826" max="13826" width="5.88671875" style="569" customWidth="1"/>
    <col min="13827" max="13827" width="7.5546875" style="569" customWidth="1"/>
    <col min="13828" max="13836" width="6.5546875" style="569" customWidth="1"/>
    <col min="13837" max="13837" width="15.6640625" style="569" customWidth="1"/>
    <col min="13838" max="13838" width="6.44140625" style="569" customWidth="1"/>
    <col min="13839" max="13839" width="8.33203125" style="569" customWidth="1"/>
    <col min="13840" max="13845" width="0" style="569" hidden="1" customWidth="1"/>
    <col min="13846" max="14080" width="9.6640625" style="569"/>
    <col min="14081" max="14081" width="7.88671875" style="569" customWidth="1"/>
    <col min="14082" max="14082" width="5.88671875" style="569" customWidth="1"/>
    <col min="14083" max="14083" width="7.5546875" style="569" customWidth="1"/>
    <col min="14084" max="14092" width="6.5546875" style="569" customWidth="1"/>
    <col min="14093" max="14093" width="15.6640625" style="569" customWidth="1"/>
    <col min="14094" max="14094" width="6.44140625" style="569" customWidth="1"/>
    <col min="14095" max="14095" width="8.33203125" style="569" customWidth="1"/>
    <col min="14096" max="14101" width="0" style="569" hidden="1" customWidth="1"/>
    <col min="14102" max="14336" width="9.6640625" style="569"/>
    <col min="14337" max="14337" width="7.88671875" style="569" customWidth="1"/>
    <col min="14338" max="14338" width="5.88671875" style="569" customWidth="1"/>
    <col min="14339" max="14339" width="7.5546875" style="569" customWidth="1"/>
    <col min="14340" max="14348" width="6.5546875" style="569" customWidth="1"/>
    <col min="14349" max="14349" width="15.6640625" style="569" customWidth="1"/>
    <col min="14350" max="14350" width="6.44140625" style="569" customWidth="1"/>
    <col min="14351" max="14351" width="8.33203125" style="569" customWidth="1"/>
    <col min="14352" max="14357" width="0" style="569" hidden="1" customWidth="1"/>
    <col min="14358" max="14592" width="9.6640625" style="569"/>
    <col min="14593" max="14593" width="7.88671875" style="569" customWidth="1"/>
    <col min="14594" max="14594" width="5.88671875" style="569" customWidth="1"/>
    <col min="14595" max="14595" width="7.5546875" style="569" customWidth="1"/>
    <col min="14596" max="14604" width="6.5546875" style="569" customWidth="1"/>
    <col min="14605" max="14605" width="15.6640625" style="569" customWidth="1"/>
    <col min="14606" max="14606" width="6.44140625" style="569" customWidth="1"/>
    <col min="14607" max="14607" width="8.33203125" style="569" customWidth="1"/>
    <col min="14608" max="14613" width="0" style="569" hidden="1" customWidth="1"/>
    <col min="14614" max="14848" width="9.6640625" style="569"/>
    <col min="14849" max="14849" width="7.88671875" style="569" customWidth="1"/>
    <col min="14850" max="14850" width="5.88671875" style="569" customWidth="1"/>
    <col min="14851" max="14851" width="7.5546875" style="569" customWidth="1"/>
    <col min="14852" max="14860" width="6.5546875" style="569" customWidth="1"/>
    <col min="14861" max="14861" width="15.6640625" style="569" customWidth="1"/>
    <col min="14862" max="14862" width="6.44140625" style="569" customWidth="1"/>
    <col min="14863" max="14863" width="8.33203125" style="569" customWidth="1"/>
    <col min="14864" max="14869" width="0" style="569" hidden="1" customWidth="1"/>
    <col min="14870" max="15104" width="9.6640625" style="569"/>
    <col min="15105" max="15105" width="7.88671875" style="569" customWidth="1"/>
    <col min="15106" max="15106" width="5.88671875" style="569" customWidth="1"/>
    <col min="15107" max="15107" width="7.5546875" style="569" customWidth="1"/>
    <col min="15108" max="15116" width="6.5546875" style="569" customWidth="1"/>
    <col min="15117" max="15117" width="15.6640625" style="569" customWidth="1"/>
    <col min="15118" max="15118" width="6.44140625" style="569" customWidth="1"/>
    <col min="15119" max="15119" width="8.33203125" style="569" customWidth="1"/>
    <col min="15120" max="15125" width="0" style="569" hidden="1" customWidth="1"/>
    <col min="15126" max="15360" width="9.6640625" style="569"/>
    <col min="15361" max="15361" width="7.88671875" style="569" customWidth="1"/>
    <col min="15362" max="15362" width="5.88671875" style="569" customWidth="1"/>
    <col min="15363" max="15363" width="7.5546875" style="569" customWidth="1"/>
    <col min="15364" max="15372" width="6.5546875" style="569" customWidth="1"/>
    <col min="15373" max="15373" width="15.6640625" style="569" customWidth="1"/>
    <col min="15374" max="15374" width="6.44140625" style="569" customWidth="1"/>
    <col min="15375" max="15375" width="8.33203125" style="569" customWidth="1"/>
    <col min="15376" max="15381" width="0" style="569" hidden="1" customWidth="1"/>
    <col min="15382" max="15616" width="9.6640625" style="569"/>
    <col min="15617" max="15617" width="7.88671875" style="569" customWidth="1"/>
    <col min="15618" max="15618" width="5.88671875" style="569" customWidth="1"/>
    <col min="15619" max="15619" width="7.5546875" style="569" customWidth="1"/>
    <col min="15620" max="15628" width="6.5546875" style="569" customWidth="1"/>
    <col min="15629" max="15629" width="15.6640625" style="569" customWidth="1"/>
    <col min="15630" max="15630" width="6.44140625" style="569" customWidth="1"/>
    <col min="15631" max="15631" width="8.33203125" style="569" customWidth="1"/>
    <col min="15632" max="15637" width="0" style="569" hidden="1" customWidth="1"/>
    <col min="15638" max="15872" width="9.6640625" style="569"/>
    <col min="15873" max="15873" width="7.88671875" style="569" customWidth="1"/>
    <col min="15874" max="15874" width="5.88671875" style="569" customWidth="1"/>
    <col min="15875" max="15875" width="7.5546875" style="569" customWidth="1"/>
    <col min="15876" max="15884" width="6.5546875" style="569" customWidth="1"/>
    <col min="15885" max="15885" width="15.6640625" style="569" customWidth="1"/>
    <col min="15886" max="15886" width="6.44140625" style="569" customWidth="1"/>
    <col min="15887" max="15887" width="8.33203125" style="569" customWidth="1"/>
    <col min="15888" max="15893" width="0" style="569" hidden="1" customWidth="1"/>
    <col min="15894" max="16128" width="9.6640625" style="569"/>
    <col min="16129" max="16129" width="7.88671875" style="569" customWidth="1"/>
    <col min="16130" max="16130" width="5.88671875" style="569" customWidth="1"/>
    <col min="16131" max="16131" width="7.5546875" style="569" customWidth="1"/>
    <col min="16132" max="16140" width="6.5546875" style="569" customWidth="1"/>
    <col min="16141" max="16141" width="15.6640625" style="569" customWidth="1"/>
    <col min="16142" max="16142" width="6.44140625" style="569" customWidth="1"/>
    <col min="16143" max="16143" width="8.33203125" style="569" customWidth="1"/>
    <col min="16144" max="16149" width="0" style="569" hidden="1" customWidth="1"/>
    <col min="16150" max="16384" width="9.6640625" style="569"/>
  </cols>
  <sheetData>
    <row r="1" spans="1:26" ht="17.100000000000001" customHeight="1">
      <c r="A1" s="563" t="s">
        <v>265</v>
      </c>
      <c r="B1" s="564"/>
      <c r="C1" s="564"/>
      <c r="D1" s="564"/>
      <c r="E1" s="564"/>
      <c r="F1" s="564"/>
      <c r="G1" s="564"/>
      <c r="H1" s="564"/>
      <c r="I1" s="564"/>
      <c r="J1" s="565" t="s">
        <v>616</v>
      </c>
      <c r="K1" s="566"/>
      <c r="L1" s="567" t="s">
        <v>617</v>
      </c>
      <c r="M1" s="568"/>
    </row>
    <row r="2" spans="1:26" ht="17.100000000000001" customHeight="1">
      <c r="A2" s="570" t="s">
        <v>618</v>
      </c>
      <c r="B2" s="571"/>
      <c r="C2" s="571"/>
      <c r="D2" s="571"/>
      <c r="E2" s="571"/>
      <c r="F2" s="571"/>
      <c r="G2" s="571"/>
      <c r="H2" s="571"/>
      <c r="I2" s="571"/>
      <c r="J2" s="572" t="s">
        <v>619</v>
      </c>
      <c r="K2" s="573"/>
      <c r="L2" s="574" t="s">
        <v>620</v>
      </c>
      <c r="M2" s="575"/>
    </row>
    <row r="3" spans="1:26" ht="15.9" customHeight="1">
      <c r="A3" s="576"/>
      <c r="B3" s="577"/>
      <c r="C3" s="577"/>
      <c r="D3" s="577"/>
      <c r="E3" s="577"/>
      <c r="F3" s="577"/>
      <c r="G3" s="577"/>
      <c r="H3" s="577"/>
      <c r="I3" s="577"/>
      <c r="J3" s="572" t="s">
        <v>621</v>
      </c>
      <c r="K3" s="573"/>
      <c r="L3" s="578">
        <v>37432</v>
      </c>
      <c r="M3" s="575"/>
    </row>
    <row r="4" spans="1:26" ht="15.9" customHeight="1">
      <c r="A4" s="579"/>
      <c r="B4" s="577"/>
      <c r="C4" s="577"/>
      <c r="D4" s="577"/>
      <c r="E4" s="577"/>
      <c r="F4" s="577"/>
      <c r="G4" s="577"/>
      <c r="H4" s="577"/>
      <c r="I4" s="577"/>
      <c r="J4" s="572" t="s">
        <v>622</v>
      </c>
      <c r="K4" s="573"/>
      <c r="L4" s="574" t="s">
        <v>623</v>
      </c>
      <c r="M4" s="575"/>
    </row>
    <row r="5" spans="1:26" ht="15.9" customHeight="1">
      <c r="A5" s="576"/>
      <c r="B5" s="577"/>
      <c r="C5" s="577"/>
      <c r="D5" s="577"/>
      <c r="E5" s="577"/>
      <c r="F5" s="577"/>
      <c r="G5" s="577"/>
      <c r="H5" s="577"/>
      <c r="I5" s="577"/>
      <c r="J5" s="572" t="s">
        <v>624</v>
      </c>
      <c r="K5" s="573"/>
      <c r="L5" s="574">
        <v>0</v>
      </c>
      <c r="M5" s="575"/>
    </row>
    <row r="6" spans="1:26" ht="15.9" customHeight="1">
      <c r="A6" s="580" t="s">
        <v>625</v>
      </c>
      <c r="B6" s="577"/>
      <c r="C6" s="577"/>
      <c r="D6" s="577"/>
      <c r="E6" s="577"/>
      <c r="F6" s="577"/>
      <c r="G6" s="577"/>
      <c r="H6" s="577"/>
      <c r="I6" s="577"/>
      <c r="J6" s="572" t="s">
        <v>626</v>
      </c>
      <c r="K6" s="573"/>
      <c r="L6" s="574" t="s">
        <v>627</v>
      </c>
      <c r="M6" s="575"/>
    </row>
    <row r="7" spans="1:26" ht="15.9" customHeight="1" thickBot="1">
      <c r="A7" s="581" t="s">
        <v>628</v>
      </c>
      <c r="B7" s="582"/>
      <c r="C7" s="582"/>
      <c r="D7" s="582"/>
      <c r="E7" s="582"/>
      <c r="F7" s="582"/>
      <c r="G7" s="582"/>
      <c r="H7" s="582"/>
      <c r="I7" s="582"/>
      <c r="J7" s="583" t="s">
        <v>629</v>
      </c>
      <c r="K7" s="584"/>
      <c r="L7" s="585" t="s">
        <v>630</v>
      </c>
      <c r="M7" s="586"/>
    </row>
    <row r="8" spans="1:26" ht="12" customHeight="1">
      <c r="A8" s="577"/>
      <c r="B8" s="577"/>
      <c r="C8" s="577"/>
      <c r="D8" s="577"/>
      <c r="E8" s="577"/>
      <c r="F8" s="577"/>
      <c r="G8" s="577"/>
      <c r="H8" s="577"/>
      <c r="I8" s="587"/>
      <c r="J8" s="588"/>
      <c r="K8" s="589"/>
      <c r="L8" s="590"/>
      <c r="M8" s="590"/>
      <c r="N8" s="590"/>
      <c r="O8" s="590"/>
      <c r="P8" s="591"/>
      <c r="Q8" s="590"/>
    </row>
    <row r="9" spans="1:26" ht="12.75" customHeight="1">
      <c r="A9" s="592"/>
      <c r="B9" s="593" t="s">
        <v>631</v>
      </c>
      <c r="C9" s="594"/>
      <c r="D9" s="595"/>
      <c r="E9" s="596"/>
      <c r="F9" s="597"/>
      <c r="G9" s="597"/>
      <c r="H9" s="597"/>
      <c r="I9" s="597"/>
      <c r="J9" s="597"/>
      <c r="K9" s="598"/>
      <c r="L9" s="599"/>
      <c r="M9" s="599"/>
    </row>
    <row r="10" spans="1:26" ht="12.75" customHeight="1">
      <c r="A10" s="592"/>
      <c r="B10" s="593" t="s">
        <v>632</v>
      </c>
      <c r="C10" s="594" t="s">
        <v>633</v>
      </c>
      <c r="D10" s="595"/>
      <c r="E10" s="596"/>
      <c r="F10" s="597"/>
      <c r="G10" s="597"/>
      <c r="H10" s="597"/>
      <c r="I10" s="597"/>
      <c r="J10" s="597"/>
      <c r="K10" s="597"/>
      <c r="L10" s="598"/>
      <c r="M10" s="600"/>
    </row>
    <row r="11" spans="1:26" ht="11.25" customHeight="1">
      <c r="A11" s="595"/>
      <c r="B11" s="601" t="s">
        <v>634</v>
      </c>
      <c r="C11" s="602"/>
      <c r="D11" s="603"/>
      <c r="E11" s="604"/>
      <c r="F11" s="604"/>
      <c r="G11" s="605" t="s">
        <v>635</v>
      </c>
      <c r="H11" s="605"/>
      <c r="I11" s="605"/>
      <c r="J11" s="605"/>
      <c r="K11" s="605"/>
      <c r="L11" s="598" t="s">
        <v>636</v>
      </c>
      <c r="M11" s="604"/>
      <c r="N11" s="606"/>
      <c r="Z11" s="569" t="s">
        <v>637</v>
      </c>
    </row>
    <row r="12" spans="1:26" ht="12.75" customHeight="1">
      <c r="A12" s="595"/>
      <c r="B12" s="601" t="s">
        <v>638</v>
      </c>
      <c r="C12" s="599">
        <v>41856</v>
      </c>
      <c r="D12" s="599"/>
      <c r="E12" s="593"/>
      <c r="F12" s="604"/>
      <c r="G12" s="593"/>
      <c r="H12" s="593"/>
      <c r="I12" s="593"/>
      <c r="J12" s="593"/>
      <c r="K12" s="593" t="s">
        <v>639</v>
      </c>
      <c r="L12" s="607" t="s">
        <v>640</v>
      </c>
      <c r="M12" s="593"/>
      <c r="N12" s="591"/>
      <c r="Z12" s="569" t="s">
        <v>641</v>
      </c>
    </row>
    <row r="13" spans="1:26" ht="13.8" thickBot="1">
      <c r="A13" s="608" t="s">
        <v>642</v>
      </c>
      <c r="B13" s="608"/>
      <c r="C13" s="608"/>
      <c r="D13" s="608"/>
      <c r="E13" s="608"/>
      <c r="F13" s="608"/>
      <c r="G13" s="608"/>
      <c r="H13" s="608"/>
      <c r="I13" s="608"/>
      <c r="J13" s="608"/>
      <c r="K13" s="608"/>
      <c r="L13" s="608"/>
      <c r="M13" s="608"/>
      <c r="N13" s="589"/>
      <c r="Z13" s="569" t="s">
        <v>643</v>
      </c>
    </row>
    <row r="14" spans="1:26" ht="16.2" thickTop="1" thickBot="1">
      <c r="A14" s="609"/>
      <c r="B14" s="597"/>
      <c r="C14" s="610"/>
      <c r="D14" s="597"/>
      <c r="E14" s="595"/>
      <c r="F14" s="595"/>
      <c r="G14" s="595"/>
      <c r="H14" s="595"/>
      <c r="I14" s="595"/>
      <c r="J14" s="595"/>
      <c r="K14" s="595"/>
      <c r="L14" s="595"/>
      <c r="M14" s="595"/>
      <c r="N14" s="589"/>
      <c r="R14" s="569">
        <f>SUMIF(P20:P36,"&gt;1",P20:P36)</f>
        <v>1508605086.4517808</v>
      </c>
      <c r="S14" s="569">
        <f>COUNTIF(P20:P36,"&gt;1")</f>
        <v>12</v>
      </c>
      <c r="T14" s="569">
        <f>R14/S14</f>
        <v>125717090.53764839</v>
      </c>
      <c r="Z14" s="569" t="s">
        <v>644</v>
      </c>
    </row>
    <row r="15" spans="1:26" ht="12.75" customHeight="1">
      <c r="A15" s="611" t="s">
        <v>645</v>
      </c>
      <c r="B15" s="612"/>
      <c r="C15" s="612"/>
      <c r="D15" s="612"/>
      <c r="E15" s="612"/>
      <c r="F15" s="613"/>
      <c r="G15" s="595"/>
      <c r="H15" s="595"/>
      <c r="I15" s="595"/>
      <c r="J15" s="595"/>
      <c r="K15" s="595"/>
      <c r="L15" s="595"/>
      <c r="M15" s="595"/>
      <c r="N15" s="589"/>
    </row>
    <row r="16" spans="1:26" ht="13.5" customHeight="1" thickBot="1">
      <c r="A16" s="614"/>
      <c r="B16" s="615"/>
      <c r="C16" s="615"/>
      <c r="D16" s="615"/>
      <c r="E16" s="615"/>
      <c r="F16" s="616"/>
      <c r="G16" s="596"/>
      <c r="H16" s="596"/>
      <c r="I16" s="596"/>
      <c r="J16" s="596"/>
      <c r="K16" s="596"/>
      <c r="L16" s="596"/>
      <c r="M16" s="596"/>
    </row>
    <row r="17" spans="1:21" ht="12.9" customHeight="1">
      <c r="A17" s="617" t="s">
        <v>440</v>
      </c>
      <c r="B17" s="618">
        <v>56</v>
      </c>
      <c r="C17" s="619" t="s">
        <v>646</v>
      </c>
      <c r="D17" s="620"/>
      <c r="E17" s="604"/>
      <c r="F17" s="621"/>
      <c r="G17" s="622"/>
      <c r="H17" s="623"/>
      <c r="I17" s="624"/>
      <c r="J17" s="622"/>
      <c r="K17" s="622"/>
      <c r="L17" s="623"/>
      <c r="M17" s="621"/>
    </row>
    <row r="18" spans="1:21" ht="12.9" customHeight="1">
      <c r="A18" s="593"/>
      <c r="B18" s="618"/>
      <c r="C18" s="619"/>
      <c r="D18" s="625"/>
      <c r="E18" s="626"/>
      <c r="F18" s="621"/>
      <c r="G18" s="622"/>
      <c r="H18" s="623"/>
      <c r="I18" s="621"/>
      <c r="J18" s="622"/>
      <c r="K18" s="622"/>
      <c r="L18" s="623"/>
      <c r="M18" s="621"/>
      <c r="P18" s="569" t="s">
        <v>647</v>
      </c>
      <c r="R18" s="569" t="s">
        <v>648</v>
      </c>
    </row>
    <row r="19" spans="1:21" ht="12.9" customHeight="1" thickBot="1">
      <c r="A19" s="627" t="s">
        <v>649</v>
      </c>
      <c r="B19" s="604"/>
      <c r="C19" s="620"/>
      <c r="D19" s="625"/>
      <c r="E19" s="626"/>
      <c r="F19" s="628"/>
      <c r="G19" s="629"/>
      <c r="H19" s="630"/>
      <c r="I19" s="621"/>
      <c r="J19" s="622"/>
      <c r="K19" s="622"/>
      <c r="L19" s="623"/>
      <c r="M19" s="621"/>
    </row>
    <row r="20" spans="1:21" ht="12.9" customHeight="1">
      <c r="A20" s="593" t="s">
        <v>650</v>
      </c>
      <c r="B20" s="631">
        <v>82.1</v>
      </c>
      <c r="C20" s="619" t="s">
        <v>646</v>
      </c>
      <c r="D20" s="625"/>
      <c r="E20" s="592"/>
      <c r="F20" s="632"/>
      <c r="G20" s="622"/>
      <c r="H20" s="633"/>
      <c r="I20" s="621"/>
      <c r="J20" s="622"/>
      <c r="K20" s="622"/>
      <c r="L20" s="623"/>
      <c r="M20" s="621"/>
      <c r="P20" s="569">
        <f t="shared" ref="P20:P36" si="0">10^(B20/10)</f>
        <v>162181009.73589295</v>
      </c>
      <c r="R20" s="569">
        <f>R14/S14</f>
        <v>125717090.53764839</v>
      </c>
    </row>
    <row r="21" spans="1:21" ht="12.9" customHeight="1">
      <c r="A21" s="593" t="s">
        <v>651</v>
      </c>
      <c r="B21" s="631" t="s">
        <v>174</v>
      </c>
      <c r="C21" s="619" t="s">
        <v>646</v>
      </c>
      <c r="D21" s="625"/>
      <c r="E21" s="593"/>
      <c r="F21" s="621"/>
      <c r="G21" s="622"/>
      <c r="H21" s="623"/>
      <c r="I21" s="634"/>
      <c r="J21" s="634"/>
      <c r="K21" s="634"/>
      <c r="L21" s="623"/>
      <c r="M21" s="621"/>
      <c r="P21" s="569">
        <f t="shared" si="0"/>
        <v>1</v>
      </c>
    </row>
    <row r="22" spans="1:21" ht="12.9" customHeight="1">
      <c r="A22" s="593" t="s">
        <v>652</v>
      </c>
      <c r="B22" s="631">
        <v>83.3</v>
      </c>
      <c r="C22" s="619" t="s">
        <v>646</v>
      </c>
      <c r="D22" s="625"/>
      <c r="E22" s="593"/>
      <c r="F22" s="635"/>
      <c r="G22" s="622"/>
      <c r="H22" s="633"/>
      <c r="I22" s="636"/>
      <c r="J22" s="622"/>
      <c r="K22" s="637"/>
      <c r="L22" s="637"/>
      <c r="M22" s="621"/>
      <c r="P22" s="569">
        <f t="shared" si="0"/>
        <v>213796208.95022365</v>
      </c>
    </row>
    <row r="23" spans="1:21" ht="13.2">
      <c r="A23" s="593" t="s">
        <v>653</v>
      </c>
      <c r="B23" s="631" t="s">
        <v>174</v>
      </c>
      <c r="C23" s="619" t="s">
        <v>646</v>
      </c>
      <c r="D23" s="625"/>
      <c r="E23" s="593"/>
      <c r="F23" s="595"/>
      <c r="G23" s="596"/>
      <c r="H23" s="596"/>
      <c r="I23" s="595"/>
      <c r="J23" s="595"/>
      <c r="K23" s="596"/>
      <c r="L23" s="596"/>
      <c r="M23" s="595"/>
      <c r="N23" s="589"/>
      <c r="P23" s="569">
        <f t="shared" si="0"/>
        <v>1</v>
      </c>
    </row>
    <row r="24" spans="1:21" ht="13.2">
      <c r="A24" s="593" t="s">
        <v>654</v>
      </c>
      <c r="B24" s="631" t="s">
        <v>174</v>
      </c>
      <c r="C24" s="619" t="s">
        <v>646</v>
      </c>
      <c r="D24" s="625"/>
      <c r="E24" s="593"/>
      <c r="F24" s="596"/>
      <c r="G24" s="596"/>
      <c r="H24" s="596"/>
      <c r="I24" s="596"/>
      <c r="J24" s="596"/>
      <c r="K24" s="596"/>
      <c r="L24" s="596"/>
      <c r="M24" s="596"/>
      <c r="N24" s="589"/>
      <c r="P24" s="569">
        <f t="shared" si="0"/>
        <v>1</v>
      </c>
    </row>
    <row r="25" spans="1:21" ht="16.8">
      <c r="A25" s="593" t="s">
        <v>655</v>
      </c>
      <c r="B25" s="631" t="s">
        <v>174</v>
      </c>
      <c r="C25" s="619" t="s">
        <v>646</v>
      </c>
      <c r="D25" s="625"/>
      <c r="E25" s="626"/>
      <c r="F25" s="596"/>
      <c r="G25" s="596"/>
      <c r="H25" s="596"/>
      <c r="I25" s="595"/>
      <c r="J25" s="638"/>
      <c r="K25" s="596"/>
      <c r="L25" s="596"/>
      <c r="M25" s="596"/>
      <c r="P25" s="569">
        <f t="shared" si="0"/>
        <v>1</v>
      </c>
      <c r="U25" s="569">
        <f>IF(R37=56,R35+9.2,IF(AND(OR(R37=143,R37=145),R38="TEFC"),R35+9.1,IF(AND(OR(R37=182,R37=184),R38="TEFC"),R35+9.3,IF(AND(OR(R37=213,R37=215),R38="TEFC"),R35+9.6,IF(AND(OR(R37=254,R37=256),R38="TEFC"),R35+9.9,IF(AND(OR(R37=284,R37=286),R38="TEFC"),R35+10.1,U26))))))</f>
        <v>92.293943216132334</v>
      </c>
    </row>
    <row r="26" spans="1:21" ht="12.9" customHeight="1">
      <c r="A26" s="593" t="s">
        <v>656</v>
      </c>
      <c r="B26" s="631">
        <v>82</v>
      </c>
      <c r="C26" s="619" t="s">
        <v>646</v>
      </c>
      <c r="D26" s="625"/>
      <c r="E26" s="639"/>
      <c r="F26" s="640"/>
      <c r="G26" s="640"/>
      <c r="H26" s="640"/>
      <c r="I26" s="595"/>
      <c r="J26" s="596"/>
      <c r="K26" s="596"/>
      <c r="L26" s="596"/>
      <c r="M26" s="596"/>
      <c r="P26" s="569">
        <f t="shared" si="0"/>
        <v>158489319.24611133</v>
      </c>
      <c r="U26" s="569">
        <f>IF(AND(OR(R37=324,R37=326),R38="TEFC"),R35+10.3,IF(AND(OR(R37=364,R37=365),R38="TEFC"),R35+10.6,IF(AND(OR(R37=404,R37=405),R38="TEFC"),R35+10.9,IF(AND(OR(R37=444,R37=445),R38="TEFC"),R35+11.3,IF(AND(R37=447,R38="TEFC"),R35+11.4,IF(AND(R37=449,R38="TEFC"),R35+11.7,U27))))))</f>
        <v>92.293943216132334</v>
      </c>
    </row>
    <row r="27" spans="1:21" ht="12.9" customHeight="1">
      <c r="A27" s="593" t="s">
        <v>657</v>
      </c>
      <c r="B27" s="631" t="s">
        <v>174</v>
      </c>
      <c r="C27" s="619" t="s">
        <v>646</v>
      </c>
      <c r="D27" s="625"/>
      <c r="E27" s="626"/>
      <c r="F27" s="641"/>
      <c r="G27" s="641"/>
      <c r="H27" s="641"/>
      <c r="I27" s="595"/>
      <c r="J27" s="642"/>
      <c r="K27" s="643"/>
      <c r="L27" s="643"/>
      <c r="M27" s="643"/>
      <c r="P27" s="569">
        <f t="shared" si="0"/>
        <v>1</v>
      </c>
      <c r="U27" s="569" t="str">
        <f>IF(AND(R37="N449",R38="TEFC"),R35+11.9,IF(AND(R37=505,R38="TEFC"),R35+11.6,IF(AND(R37="N587",R38="TEFC"),R35+12,IF(AND(R37=5010,R38="TEFC"),R35+12.1,IF(AND(R37=5810,R38="TEFC"),R35+12.7,IF(AND(OR(R37=143,R37=145),R38="ODP"),R35+9,U28))))))</f>
        <v>ERROR</v>
      </c>
    </row>
    <row r="28" spans="1:21" ht="12.9" customHeight="1">
      <c r="A28" s="593" t="s">
        <v>658</v>
      </c>
      <c r="B28" s="631">
        <v>79.3</v>
      </c>
      <c r="C28" s="619" t="s">
        <v>646</v>
      </c>
      <c r="D28" s="625"/>
      <c r="E28" s="592"/>
      <c r="F28" s="641"/>
      <c r="G28" s="641"/>
      <c r="H28" s="641"/>
      <c r="I28" s="595"/>
      <c r="J28" s="595"/>
      <c r="K28" s="596"/>
      <c r="L28" s="596"/>
      <c r="M28" s="595"/>
      <c r="N28" s="589"/>
      <c r="P28" s="569">
        <f t="shared" si="0"/>
        <v>85113803.820237845</v>
      </c>
      <c r="U28" s="569" t="str">
        <f>IF(AND(OR(R37=182,R37=184),R38="ODP"),R35+9.2,IF(AND(OR(R37=213,R37=215),R38="ODP"),R35+9.5,IF(AND(OR(R37=254,R37=256),R38="ODP"),R35+9.9,IF(AND(OR(R37=284,R37=286),R38="ODP"),R35+10,IF(AND(OR(R37=324,R37=326),R38="ODP"),R35+10.2,U29)))))</f>
        <v>ERROR</v>
      </c>
    </row>
    <row r="29" spans="1:21" ht="12.9" customHeight="1">
      <c r="A29" s="593" t="s">
        <v>659</v>
      </c>
      <c r="B29" s="631">
        <v>80.2</v>
      </c>
      <c r="C29" s="619" t="s">
        <v>646</v>
      </c>
      <c r="D29" s="625"/>
      <c r="E29" s="592"/>
      <c r="F29" s="641"/>
      <c r="G29" s="641"/>
      <c r="H29" s="641"/>
      <c r="I29" s="595"/>
      <c r="J29" s="595"/>
      <c r="K29" s="596"/>
      <c r="L29" s="596"/>
      <c r="M29" s="595"/>
      <c r="N29" s="589"/>
      <c r="P29" s="569">
        <f t="shared" si="0"/>
        <v>104712854.80509011</v>
      </c>
      <c r="U29" s="569" t="str">
        <f>IF(AND(OR(R37=364,R37=365),R38="ODP"),R35+10.4,IF(AND(R37=404,R38="ODP"),R35+10.6,IF(AND(R37=405,R38="ODP"),R35+10.7,IF(AND(R37=444,R38="ODP"),R35+10.9,IF(AND(R37=445,R38="ODP"),R35+11,U30)))))</f>
        <v>ERROR</v>
      </c>
    </row>
    <row r="30" spans="1:21" ht="15.75" customHeight="1">
      <c r="A30" s="593" t="s">
        <v>660</v>
      </c>
      <c r="B30" s="631">
        <v>74.400000000000006</v>
      </c>
      <c r="C30" s="619" t="s">
        <v>646</v>
      </c>
      <c r="D30" s="625"/>
      <c r="E30" s="604"/>
      <c r="F30" s="644"/>
      <c r="G30" s="644"/>
      <c r="H30" s="644"/>
      <c r="I30" s="595"/>
      <c r="J30" s="645"/>
      <c r="K30" s="596"/>
      <c r="L30" s="596"/>
      <c r="M30" s="596"/>
      <c r="N30" s="589"/>
      <c r="P30" s="569">
        <f t="shared" si="0"/>
        <v>27542287.03338176</v>
      </c>
      <c r="U30" s="569" t="str">
        <f>IF(AND(R37=447,R38="ODP"),R35+11.1,IF(AND(OR(R37=449,R37=505),R38="ODP"),R35+11.3,IF(AND(R37=507,R38="ODP"),R35+11.4,IF(AND(R37=509,R38="ODP"),R35+11.8,"ERROR"))))</f>
        <v>ERROR</v>
      </c>
    </row>
    <row r="31" spans="1:21" ht="15" customHeight="1">
      <c r="A31" s="593" t="s">
        <v>661</v>
      </c>
      <c r="B31" s="631">
        <v>80.3</v>
      </c>
      <c r="C31" s="619" t="s">
        <v>646</v>
      </c>
      <c r="D31" s="625"/>
      <c r="E31" s="631"/>
      <c r="F31" s="646"/>
      <c r="G31" s="646"/>
      <c r="H31" s="646"/>
      <c r="I31" s="595"/>
      <c r="J31" s="594"/>
      <c r="K31" s="596"/>
      <c r="L31" s="596"/>
      <c r="M31" s="596"/>
      <c r="N31" s="589"/>
      <c r="P31" s="569">
        <f t="shared" si="0"/>
        <v>107151930.5237608</v>
      </c>
      <c r="R31" s="569" t="s">
        <v>662</v>
      </c>
    </row>
    <row r="32" spans="1:21" ht="15" customHeight="1">
      <c r="A32" s="593" t="s">
        <v>663</v>
      </c>
      <c r="B32" s="631">
        <v>79.900000000000006</v>
      </c>
      <c r="C32" s="619" t="s">
        <v>646</v>
      </c>
      <c r="D32" s="625"/>
      <c r="E32" s="631"/>
      <c r="F32" s="641"/>
      <c r="G32" s="641"/>
      <c r="H32" s="641"/>
      <c r="I32" s="595"/>
      <c r="J32" s="647"/>
      <c r="K32" s="646"/>
      <c r="L32" s="646"/>
      <c r="M32" s="646"/>
      <c r="N32" s="589"/>
      <c r="P32" s="569">
        <f t="shared" si="0"/>
        <v>97723722.095581248</v>
      </c>
    </row>
    <row r="33" spans="1:18" ht="13.2">
      <c r="A33" s="593" t="s">
        <v>664</v>
      </c>
      <c r="B33" s="631">
        <v>81.3</v>
      </c>
      <c r="C33" s="619" t="s">
        <v>646</v>
      </c>
      <c r="D33" s="625"/>
      <c r="E33" s="631"/>
      <c r="F33" s="648"/>
      <c r="G33" s="648"/>
      <c r="H33" s="648"/>
      <c r="I33" s="595"/>
      <c r="J33" s="595"/>
      <c r="K33" s="595"/>
      <c r="L33" s="595"/>
      <c r="M33" s="595"/>
      <c r="N33" s="589"/>
      <c r="P33" s="569">
        <f t="shared" si="0"/>
        <v>134896288.25916544</v>
      </c>
      <c r="R33" s="569">
        <f>LOG10(R20)</f>
        <v>8.099394321613234</v>
      </c>
    </row>
    <row r="34" spans="1:18" ht="13.2">
      <c r="A34" s="593" t="s">
        <v>665</v>
      </c>
      <c r="B34" s="631">
        <v>79</v>
      </c>
      <c r="C34" s="619" t="s">
        <v>646</v>
      </c>
      <c r="D34" s="625"/>
      <c r="E34" s="649"/>
      <c r="F34" s="595"/>
      <c r="G34" s="595"/>
      <c r="H34" s="595"/>
      <c r="I34" s="595"/>
      <c r="J34" s="595"/>
      <c r="K34" s="595"/>
      <c r="L34" s="595"/>
      <c r="M34" s="595"/>
      <c r="N34" s="589"/>
      <c r="P34" s="569">
        <f t="shared" si="0"/>
        <v>79432823.472428367</v>
      </c>
    </row>
    <row r="35" spans="1:18" ht="13.2">
      <c r="A35" s="593" t="s">
        <v>666</v>
      </c>
      <c r="B35" s="631">
        <v>82.7</v>
      </c>
      <c r="C35" s="619" t="s">
        <v>646</v>
      </c>
      <c r="D35" s="625"/>
      <c r="E35" s="650"/>
      <c r="F35" s="596"/>
      <c r="G35" s="596"/>
      <c r="H35" s="596"/>
      <c r="I35" s="596"/>
      <c r="J35" s="596"/>
      <c r="K35" s="596"/>
      <c r="L35" s="596"/>
      <c r="M35" s="596"/>
      <c r="P35" s="569">
        <f t="shared" si="0"/>
        <v>186208713.66628659</v>
      </c>
      <c r="R35" s="569">
        <f>R33*10</f>
        <v>80.993943216132337</v>
      </c>
    </row>
    <row r="36" spans="1:18" ht="12.9" customHeight="1">
      <c r="A36" s="593" t="s">
        <v>667</v>
      </c>
      <c r="B36" s="631">
        <v>81.8</v>
      </c>
      <c r="C36" s="619" t="s">
        <v>646</v>
      </c>
      <c r="D36" s="631"/>
      <c r="E36" s="631"/>
      <c r="F36" s="651"/>
      <c r="G36" s="651"/>
      <c r="H36" s="651"/>
      <c r="I36" s="651"/>
      <c r="J36" s="651"/>
      <c r="K36" s="651"/>
      <c r="L36" s="651"/>
      <c r="M36" s="651"/>
      <c r="P36" s="569">
        <f t="shared" si="0"/>
        <v>151356124.84362081</v>
      </c>
    </row>
    <row r="37" spans="1:18" ht="12.9" customHeight="1">
      <c r="A37" s="593"/>
      <c r="B37" s="618"/>
      <c r="C37" s="619"/>
      <c r="D37" s="626"/>
      <c r="E37" s="626"/>
      <c r="F37" s="652"/>
      <c r="G37" s="653"/>
      <c r="H37" s="653"/>
      <c r="I37" s="654"/>
      <c r="J37" s="654"/>
      <c r="K37" s="653"/>
      <c r="L37" s="654"/>
      <c r="M37" s="654"/>
      <c r="P37" s="655" t="s">
        <v>668</v>
      </c>
      <c r="R37" s="569">
        <v>445</v>
      </c>
    </row>
    <row r="38" spans="1:18" ht="13.8" thickBot="1">
      <c r="A38" s="656" t="s">
        <v>669</v>
      </c>
      <c r="B38" s="656"/>
      <c r="C38" s="657">
        <f>R35</f>
        <v>80.993943216132337</v>
      </c>
      <c r="D38" s="657"/>
      <c r="E38" s="626"/>
      <c r="F38" s="652"/>
      <c r="G38" s="595"/>
      <c r="H38" s="595"/>
      <c r="I38" s="595"/>
      <c r="J38" s="595"/>
      <c r="K38" s="595"/>
      <c r="L38" s="595"/>
      <c r="M38" s="595"/>
      <c r="N38" s="589"/>
      <c r="P38" s="655" t="s">
        <v>670</v>
      </c>
      <c r="R38" s="569" t="s">
        <v>671</v>
      </c>
    </row>
    <row r="39" spans="1:18" ht="14.25" customHeight="1">
      <c r="A39" s="658"/>
      <c r="B39" s="659"/>
      <c r="C39" s="659"/>
      <c r="D39" s="659"/>
      <c r="E39" s="659"/>
      <c r="F39" s="589"/>
      <c r="G39" s="589"/>
      <c r="H39" s="589"/>
      <c r="I39" s="589"/>
      <c r="J39" s="589"/>
      <c r="K39" s="589"/>
      <c r="L39" s="589"/>
      <c r="M39" s="589"/>
      <c r="N39" s="589"/>
      <c r="P39" s="655" t="s">
        <v>672</v>
      </c>
      <c r="R39" s="569">
        <f>ROUNDUP(U25,0)</f>
        <v>93</v>
      </c>
    </row>
    <row r="40" spans="1:18" ht="16.5" customHeight="1">
      <c r="A40" s="660"/>
      <c r="B40" s="660"/>
      <c r="C40" s="660"/>
      <c r="D40" s="660"/>
      <c r="E40" s="660"/>
      <c r="F40" s="660"/>
      <c r="G40" s="660"/>
      <c r="H40" s="660"/>
      <c r="I40" s="660"/>
      <c r="J40" s="660"/>
      <c r="K40" s="660"/>
      <c r="L40" s="660"/>
      <c r="M40" s="660"/>
    </row>
    <row r="41" spans="1:18" ht="12.9" customHeight="1">
      <c r="A41" s="660"/>
      <c r="B41" s="660"/>
      <c r="C41" s="660"/>
      <c r="D41" s="660"/>
      <c r="E41" s="660"/>
      <c r="F41" s="660"/>
      <c r="G41" s="660"/>
      <c r="H41" s="660"/>
      <c r="I41" s="660"/>
      <c r="J41" s="660"/>
      <c r="K41" s="660"/>
      <c r="L41" s="660"/>
      <c r="M41" s="660"/>
    </row>
    <row r="42" spans="1:18" ht="12.9" customHeight="1">
      <c r="A42" s="660"/>
      <c r="B42" s="660"/>
      <c r="C42" s="660"/>
      <c r="D42" s="660"/>
      <c r="E42" s="660"/>
      <c r="F42" s="660"/>
      <c r="G42" s="660"/>
      <c r="H42" s="660"/>
      <c r="I42" s="660"/>
      <c r="J42" s="660"/>
      <c r="K42" s="660"/>
      <c r="L42" s="660"/>
      <c r="M42" s="660"/>
    </row>
    <row r="43" spans="1:18" ht="12.9" customHeight="1">
      <c r="A43" s="660"/>
      <c r="B43" s="660"/>
      <c r="C43" s="660"/>
      <c r="D43" s="660"/>
      <c r="E43" s="660"/>
      <c r="F43" s="660"/>
      <c r="G43" s="660"/>
      <c r="H43" s="660"/>
      <c r="I43" s="660"/>
      <c r="J43" s="660"/>
      <c r="K43" s="660"/>
      <c r="L43" s="660"/>
      <c r="M43" s="660"/>
    </row>
    <row r="44" spans="1:18" ht="12.9" customHeight="1">
      <c r="A44" s="660"/>
      <c r="B44" s="660"/>
      <c r="C44" s="660"/>
      <c r="D44" s="660"/>
      <c r="E44" s="660"/>
      <c r="F44" s="660"/>
      <c r="G44" s="660"/>
      <c r="H44" s="660"/>
      <c r="I44" s="660"/>
      <c r="J44" s="660"/>
      <c r="K44" s="660"/>
      <c r="L44" s="660"/>
      <c r="M44" s="660"/>
    </row>
    <row r="45" spans="1:18" ht="12.9" customHeight="1">
      <c r="A45" s="660"/>
      <c r="B45" s="660"/>
      <c r="C45" s="660"/>
      <c r="D45" s="660"/>
      <c r="E45" s="660"/>
      <c r="F45" s="660"/>
      <c r="G45" s="660"/>
      <c r="H45" s="660"/>
      <c r="I45" s="660"/>
      <c r="J45" s="660"/>
      <c r="K45" s="660"/>
      <c r="L45" s="660"/>
      <c r="M45" s="660"/>
    </row>
    <row r="46" spans="1:18" ht="12.9" customHeight="1">
      <c r="A46" s="660"/>
      <c r="B46" s="660"/>
      <c r="C46" s="660"/>
      <c r="D46" s="660"/>
      <c r="E46" s="660"/>
      <c r="F46" s="660"/>
      <c r="G46" s="660"/>
      <c r="H46" s="660"/>
      <c r="I46" s="660"/>
      <c r="J46" s="660"/>
      <c r="K46" s="660"/>
      <c r="L46" s="660"/>
      <c r="M46" s="660"/>
    </row>
    <row r="47" spans="1:18" ht="12.9" customHeight="1">
      <c r="A47" s="660"/>
      <c r="B47" s="660"/>
      <c r="C47" s="660"/>
      <c r="D47" s="660"/>
      <c r="E47" s="660"/>
      <c r="F47" s="660"/>
      <c r="G47" s="660"/>
      <c r="H47" s="660"/>
      <c r="I47" s="660"/>
      <c r="J47" s="660"/>
      <c r="K47" s="660"/>
      <c r="L47" s="660"/>
      <c r="M47" s="660"/>
    </row>
    <row r="48" spans="1:18" ht="12.9" customHeight="1">
      <c r="A48" s="660"/>
      <c r="B48" s="660"/>
      <c r="C48" s="660"/>
      <c r="D48" s="660"/>
      <c r="E48" s="660"/>
      <c r="F48" s="660"/>
      <c r="G48" s="660"/>
      <c r="H48" s="660"/>
      <c r="I48" s="660"/>
      <c r="J48" s="660"/>
      <c r="K48" s="660"/>
      <c r="L48" s="660"/>
      <c r="M48" s="660"/>
    </row>
    <row r="49" spans="1:24" ht="12.9" customHeight="1">
      <c r="A49" s="660"/>
      <c r="B49" s="660"/>
      <c r="C49" s="660"/>
      <c r="D49" s="660"/>
      <c r="E49" s="660"/>
      <c r="F49" s="660"/>
      <c r="G49" s="660"/>
      <c r="H49" s="660"/>
      <c r="I49" s="660"/>
      <c r="J49" s="660"/>
      <c r="K49" s="660"/>
      <c r="L49" s="660"/>
      <c r="M49" s="660"/>
    </row>
    <row r="50" spans="1:24" ht="12.9" customHeight="1">
      <c r="A50" s="660"/>
      <c r="B50" s="660"/>
      <c r="C50" s="660"/>
      <c r="D50" s="660"/>
      <c r="E50" s="660"/>
      <c r="F50" s="660"/>
      <c r="G50" s="660"/>
      <c r="H50" s="660"/>
      <c r="I50" s="660"/>
      <c r="J50" s="660"/>
      <c r="K50" s="660"/>
      <c r="L50" s="660"/>
      <c r="M50" s="660"/>
    </row>
    <row r="51" spans="1:24" ht="12.9" customHeight="1">
      <c r="A51" s="660"/>
      <c r="B51" s="660"/>
      <c r="C51" s="660"/>
      <c r="D51" s="660"/>
      <c r="E51" s="660"/>
      <c r="F51" s="660"/>
      <c r="G51" s="660"/>
      <c r="H51" s="660"/>
      <c r="I51" s="660"/>
      <c r="J51" s="660"/>
      <c r="K51" s="660"/>
      <c r="L51" s="660"/>
      <c r="M51" s="660"/>
    </row>
    <row r="52" spans="1:24" ht="15.9" customHeight="1">
      <c r="A52" s="660"/>
      <c r="B52" s="660"/>
      <c r="C52" s="660"/>
      <c r="D52" s="660"/>
      <c r="E52" s="660"/>
      <c r="F52" s="660"/>
      <c r="G52" s="660"/>
      <c r="H52" s="660"/>
      <c r="I52" s="660"/>
      <c r="J52" s="660"/>
      <c r="K52" s="660"/>
      <c r="L52" s="660"/>
      <c r="M52" s="660"/>
      <c r="N52" s="577"/>
    </row>
    <row r="53" spans="1:24" ht="15.9" customHeight="1">
      <c r="A53" s="661" t="s">
        <v>673</v>
      </c>
      <c r="B53" s="662"/>
      <c r="C53" s="662"/>
      <c r="D53" s="662"/>
      <c r="E53" s="662"/>
      <c r="F53" s="663" t="s">
        <v>674</v>
      </c>
      <c r="G53" s="664"/>
      <c r="H53" s="665" t="s">
        <v>675</v>
      </c>
      <c r="I53" s="666"/>
      <c r="J53" s="667"/>
      <c r="K53" s="667"/>
      <c r="L53" s="667"/>
      <c r="M53" s="668"/>
      <c r="N53" s="577"/>
    </row>
    <row r="54" spans="1:24" ht="15.9" customHeight="1">
      <c r="A54" s="667"/>
      <c r="B54" s="667"/>
      <c r="C54" s="667"/>
      <c r="D54" s="667"/>
      <c r="E54" s="669" t="s">
        <v>676</v>
      </c>
      <c r="F54" s="669"/>
      <c r="G54" s="669"/>
      <c r="H54" s="669"/>
      <c r="I54" s="670"/>
      <c r="J54" s="667"/>
      <c r="K54" s="667"/>
      <c r="L54" s="667"/>
      <c r="M54" s="668"/>
      <c r="N54" s="577"/>
    </row>
    <row r="55" spans="1:24" ht="15.9" customHeight="1">
      <c r="A55" s="671"/>
      <c r="B55" s="672"/>
      <c r="C55" s="672"/>
      <c r="D55" s="672"/>
      <c r="E55" s="672"/>
      <c r="F55" s="672"/>
      <c r="G55" s="672"/>
      <c r="H55" s="667"/>
      <c r="I55" s="667"/>
      <c r="J55" s="667"/>
      <c r="K55" s="667"/>
      <c r="L55" s="667"/>
      <c r="M55" s="667"/>
      <c r="N55" s="577"/>
      <c r="P55" s="673"/>
      <c r="Q55" s="673"/>
      <c r="R55" s="606"/>
      <c r="S55" s="606"/>
      <c r="T55" s="606"/>
      <c r="U55" s="606"/>
      <c r="V55" s="606"/>
      <c r="W55" s="606"/>
      <c r="X55" s="606"/>
    </row>
    <row r="56" spans="1:24" ht="15.9" customHeight="1">
      <c r="A56" s="674" t="s">
        <v>677</v>
      </c>
      <c r="B56" s="667"/>
      <c r="C56" s="675"/>
      <c r="D56" s="676">
        <v>1559</v>
      </c>
      <c r="E56" s="667"/>
      <c r="F56" s="667"/>
      <c r="N56" s="660"/>
      <c r="O56" s="660"/>
      <c r="P56" s="673"/>
      <c r="Q56" s="673"/>
      <c r="R56" s="606"/>
      <c r="S56" s="606"/>
      <c r="T56" s="606"/>
      <c r="U56" s="606"/>
      <c r="V56" s="606"/>
      <c r="W56" s="606"/>
      <c r="X56" s="606"/>
    </row>
    <row r="57" spans="1:24" ht="15.9" customHeight="1">
      <c r="A57" s="667"/>
      <c r="B57" s="667"/>
      <c r="C57" s="667"/>
      <c r="D57" s="667"/>
      <c r="E57" s="667"/>
      <c r="F57" s="667"/>
      <c r="N57" s="660"/>
      <c r="O57" s="660"/>
      <c r="P57" s="673"/>
      <c r="Q57" s="673"/>
      <c r="R57" s="606"/>
      <c r="S57" s="606"/>
      <c r="T57" s="606"/>
      <c r="U57" s="606"/>
      <c r="V57" s="606"/>
      <c r="W57" s="606"/>
      <c r="X57" s="606"/>
    </row>
    <row r="58" spans="1:24" ht="15.9" customHeight="1">
      <c r="A58" s="667"/>
      <c r="B58" s="667"/>
      <c r="C58" s="667"/>
      <c r="D58" s="667"/>
      <c r="E58" s="667"/>
      <c r="F58" s="667"/>
      <c r="N58" s="660"/>
      <c r="O58" s="660"/>
      <c r="P58" s="673"/>
      <c r="Q58" s="673"/>
      <c r="R58" s="606"/>
      <c r="S58" s="606"/>
      <c r="T58" s="606"/>
      <c r="U58" s="606"/>
      <c r="V58" s="606"/>
      <c r="W58" s="606"/>
      <c r="X58" s="606"/>
    </row>
    <row r="59" spans="1:24" ht="15.9" customHeight="1">
      <c r="A59" s="660"/>
      <c r="B59" s="660"/>
      <c r="C59" s="660"/>
      <c r="D59" s="660"/>
      <c r="E59" s="660"/>
      <c r="F59" s="660"/>
      <c r="G59" s="667"/>
      <c r="H59" s="668"/>
      <c r="I59" s="677" t="s">
        <v>678</v>
      </c>
      <c r="J59" s="678" t="s">
        <v>679</v>
      </c>
      <c r="K59" s="678"/>
      <c r="L59" s="678"/>
      <c r="M59" s="678"/>
      <c r="N59" s="660"/>
      <c r="O59" s="660"/>
      <c r="P59" s="673"/>
      <c r="Q59" s="673"/>
      <c r="R59" s="606"/>
      <c r="S59" s="606"/>
      <c r="T59" s="606"/>
      <c r="U59" s="606"/>
      <c r="V59" s="606"/>
      <c r="W59" s="606"/>
      <c r="X59" s="606"/>
    </row>
    <row r="60" spans="1:24" ht="15.9" customHeight="1">
      <c r="A60" s="660"/>
      <c r="B60" s="660"/>
      <c r="C60" s="660"/>
      <c r="D60" s="660"/>
      <c r="E60" s="660"/>
      <c r="F60" s="660"/>
      <c r="G60" s="667"/>
      <c r="H60" s="667"/>
      <c r="I60" s="667"/>
      <c r="J60" s="668"/>
      <c r="K60" s="668"/>
      <c r="L60" s="668"/>
      <c r="M60" s="668"/>
      <c r="N60" s="660"/>
      <c r="O60" s="660"/>
      <c r="P60" s="673"/>
      <c r="Q60" s="673"/>
      <c r="R60" s="606"/>
      <c r="S60" s="606"/>
      <c r="T60" s="606"/>
      <c r="U60" s="606"/>
      <c r="V60" s="606"/>
      <c r="W60" s="606"/>
      <c r="X60" s="606"/>
    </row>
    <row r="61" spans="1:24" ht="16.8">
      <c r="A61" s="660"/>
      <c r="B61" s="660"/>
      <c r="C61" s="660"/>
      <c r="D61" s="660"/>
      <c r="E61" s="660"/>
      <c r="F61" s="660"/>
      <c r="G61" s="667"/>
      <c r="H61" s="668"/>
      <c r="I61" s="677" t="s">
        <v>680</v>
      </c>
      <c r="J61" s="679">
        <v>45219</v>
      </c>
      <c r="K61" s="679"/>
      <c r="L61" s="679"/>
      <c r="M61" s="679"/>
      <c r="N61" s="660"/>
      <c r="O61" s="660"/>
      <c r="P61" s="680"/>
      <c r="Q61" s="680"/>
      <c r="R61" s="606"/>
      <c r="S61" s="606"/>
      <c r="T61" s="606"/>
      <c r="U61" s="606"/>
      <c r="V61" s="606"/>
      <c r="W61" s="606"/>
      <c r="X61" s="606"/>
    </row>
    <row r="62" spans="1:24" ht="13.2">
      <c r="A62" s="660"/>
      <c r="B62" s="660"/>
      <c r="C62" s="660"/>
      <c r="D62" s="660"/>
      <c r="E62" s="660"/>
      <c r="F62" s="660"/>
      <c r="G62" s="660"/>
      <c r="H62" s="660"/>
      <c r="I62" s="660"/>
      <c r="J62" s="660"/>
      <c r="K62" s="660"/>
      <c r="L62" s="660"/>
      <c r="M62" s="660"/>
      <c r="N62" s="660"/>
      <c r="O62" s="660"/>
      <c r="P62" s="680"/>
      <c r="Q62" s="680"/>
      <c r="R62" s="606"/>
      <c r="S62" s="606"/>
      <c r="T62" s="606"/>
      <c r="U62" s="606"/>
      <c r="V62" s="606"/>
      <c r="W62" s="606"/>
      <c r="X62" s="606"/>
    </row>
    <row r="63" spans="1:24" ht="13.2">
      <c r="P63" s="680"/>
      <c r="Q63" s="680"/>
      <c r="R63" s="606"/>
      <c r="S63" s="606"/>
      <c r="T63" s="606"/>
      <c r="U63" s="606"/>
      <c r="V63" s="606"/>
      <c r="W63" s="606"/>
      <c r="X63" s="606"/>
    </row>
    <row r="64" spans="1:24" ht="13.2">
      <c r="P64" s="680"/>
      <c r="Q64" s="680"/>
      <c r="R64" s="606"/>
      <c r="S64" s="606"/>
      <c r="T64" s="606"/>
      <c r="U64" s="606"/>
      <c r="V64" s="606"/>
      <c r="W64" s="606"/>
      <c r="X64" s="606"/>
    </row>
    <row r="65" spans="16:24" ht="13.2">
      <c r="P65" s="681"/>
      <c r="Q65" s="681"/>
      <c r="R65" s="606"/>
      <c r="S65" s="606"/>
      <c r="T65" s="606"/>
      <c r="U65" s="606"/>
      <c r="V65" s="606"/>
      <c r="W65" s="606"/>
      <c r="X65" s="606"/>
    </row>
    <row r="66" spans="16:24" ht="13.2">
      <c r="P66" s="682"/>
      <c r="Q66" s="683"/>
      <c r="R66" s="683"/>
      <c r="S66" s="683"/>
      <c r="T66" s="683"/>
      <c r="U66" s="684"/>
      <c r="V66" s="685"/>
      <c r="W66" s="686"/>
      <c r="X66" s="589"/>
    </row>
    <row r="67" spans="16:24" ht="13.2">
      <c r="P67" s="687"/>
      <c r="Q67" s="687"/>
      <c r="R67" s="688"/>
      <c r="S67" s="688"/>
      <c r="T67" s="688"/>
      <c r="U67" s="689"/>
      <c r="V67" s="689"/>
      <c r="W67" s="689"/>
      <c r="X67" s="689"/>
    </row>
  </sheetData>
  <sheetProtection selectLockedCells="1"/>
  <mergeCells count="16">
    <mergeCell ref="E54:H54"/>
    <mergeCell ref="J59:M59"/>
    <mergeCell ref="J61:M61"/>
    <mergeCell ref="I21:K21"/>
    <mergeCell ref="J27:K27"/>
    <mergeCell ref="L27:M27"/>
    <mergeCell ref="A38:B38"/>
    <mergeCell ref="C38:D38"/>
    <mergeCell ref="A53:E53"/>
    <mergeCell ref="F53:G53"/>
    <mergeCell ref="L9:M9"/>
    <mergeCell ref="C11:D11"/>
    <mergeCell ref="G11:K11"/>
    <mergeCell ref="C12:D12"/>
    <mergeCell ref="A13:M13"/>
    <mergeCell ref="A15:F16"/>
  </mergeCells>
  <conditionalFormatting sqref="L51:M51">
    <cfRule type="cellIs" dxfId="1" priority="1" operator="equal">
      <formula>"Acceptable"</formula>
    </cfRule>
    <cfRule type="cellIs" dxfId="0" priority="2" operator="equal">
      <formula>"Unacceptable"</formula>
    </cfRule>
  </conditionalFormatting>
  <dataValidations count="2">
    <dataValidation type="list" allowBlank="1" showInputMessage="1" showErrorMessage="1" sqref="F53:G53 JB53:JC53 SX53:SY53 ACT53:ACU53 AMP53:AMQ53 AWL53:AWM53 BGH53:BGI53 BQD53:BQE53 BZZ53:CAA53 CJV53:CJW53 CTR53:CTS53 DDN53:DDO53 DNJ53:DNK53 DXF53:DXG53 EHB53:EHC53 EQX53:EQY53 FAT53:FAU53 FKP53:FKQ53 FUL53:FUM53 GEH53:GEI53 GOD53:GOE53 GXZ53:GYA53 HHV53:HHW53 HRR53:HRS53 IBN53:IBO53 ILJ53:ILK53 IVF53:IVG53 JFB53:JFC53 JOX53:JOY53 JYT53:JYU53 KIP53:KIQ53 KSL53:KSM53 LCH53:LCI53 LMD53:LME53 LVZ53:LWA53 MFV53:MFW53 MPR53:MPS53 MZN53:MZO53 NJJ53:NJK53 NTF53:NTG53 ODB53:ODC53 OMX53:OMY53 OWT53:OWU53 PGP53:PGQ53 PQL53:PQM53 QAH53:QAI53 QKD53:QKE53 QTZ53:QUA53 RDV53:RDW53 RNR53:RNS53 RXN53:RXO53 SHJ53:SHK53 SRF53:SRG53 TBB53:TBC53 TKX53:TKY53 TUT53:TUU53 UEP53:UEQ53 UOL53:UOM53 UYH53:UYI53 VID53:VIE53 VRZ53:VSA53 WBV53:WBW53 WLR53:WLS53 WVN53:WVO53 F65589:G65589 JB65589:JC65589 SX65589:SY65589 ACT65589:ACU65589 AMP65589:AMQ65589 AWL65589:AWM65589 BGH65589:BGI65589 BQD65589:BQE65589 BZZ65589:CAA65589 CJV65589:CJW65589 CTR65589:CTS65589 DDN65589:DDO65589 DNJ65589:DNK65589 DXF65589:DXG65589 EHB65589:EHC65589 EQX65589:EQY65589 FAT65589:FAU65589 FKP65589:FKQ65589 FUL65589:FUM65589 GEH65589:GEI65589 GOD65589:GOE65589 GXZ65589:GYA65589 HHV65589:HHW65589 HRR65589:HRS65589 IBN65589:IBO65589 ILJ65589:ILK65589 IVF65589:IVG65589 JFB65589:JFC65589 JOX65589:JOY65589 JYT65589:JYU65589 KIP65589:KIQ65589 KSL65589:KSM65589 LCH65589:LCI65589 LMD65589:LME65589 LVZ65589:LWA65589 MFV65589:MFW65589 MPR65589:MPS65589 MZN65589:MZO65589 NJJ65589:NJK65589 NTF65589:NTG65589 ODB65589:ODC65589 OMX65589:OMY65589 OWT65589:OWU65589 PGP65589:PGQ65589 PQL65589:PQM65589 QAH65589:QAI65589 QKD65589:QKE65589 QTZ65589:QUA65589 RDV65589:RDW65589 RNR65589:RNS65589 RXN65589:RXO65589 SHJ65589:SHK65589 SRF65589:SRG65589 TBB65589:TBC65589 TKX65589:TKY65589 TUT65589:TUU65589 UEP65589:UEQ65589 UOL65589:UOM65589 UYH65589:UYI65589 VID65589:VIE65589 VRZ65589:VSA65589 WBV65589:WBW65589 WLR65589:WLS65589 WVN65589:WVO65589 F131125:G131125 JB131125:JC131125 SX131125:SY131125 ACT131125:ACU131125 AMP131125:AMQ131125 AWL131125:AWM131125 BGH131125:BGI131125 BQD131125:BQE131125 BZZ131125:CAA131125 CJV131125:CJW131125 CTR131125:CTS131125 DDN131125:DDO131125 DNJ131125:DNK131125 DXF131125:DXG131125 EHB131125:EHC131125 EQX131125:EQY131125 FAT131125:FAU131125 FKP131125:FKQ131125 FUL131125:FUM131125 GEH131125:GEI131125 GOD131125:GOE131125 GXZ131125:GYA131125 HHV131125:HHW131125 HRR131125:HRS131125 IBN131125:IBO131125 ILJ131125:ILK131125 IVF131125:IVG131125 JFB131125:JFC131125 JOX131125:JOY131125 JYT131125:JYU131125 KIP131125:KIQ131125 KSL131125:KSM131125 LCH131125:LCI131125 LMD131125:LME131125 LVZ131125:LWA131125 MFV131125:MFW131125 MPR131125:MPS131125 MZN131125:MZO131125 NJJ131125:NJK131125 NTF131125:NTG131125 ODB131125:ODC131125 OMX131125:OMY131125 OWT131125:OWU131125 PGP131125:PGQ131125 PQL131125:PQM131125 QAH131125:QAI131125 QKD131125:QKE131125 QTZ131125:QUA131125 RDV131125:RDW131125 RNR131125:RNS131125 RXN131125:RXO131125 SHJ131125:SHK131125 SRF131125:SRG131125 TBB131125:TBC131125 TKX131125:TKY131125 TUT131125:TUU131125 UEP131125:UEQ131125 UOL131125:UOM131125 UYH131125:UYI131125 VID131125:VIE131125 VRZ131125:VSA131125 WBV131125:WBW131125 WLR131125:WLS131125 WVN131125:WVO131125 F196661:G196661 JB196661:JC196661 SX196661:SY196661 ACT196661:ACU196661 AMP196661:AMQ196661 AWL196661:AWM196661 BGH196661:BGI196661 BQD196661:BQE196661 BZZ196661:CAA196661 CJV196661:CJW196661 CTR196661:CTS196661 DDN196661:DDO196661 DNJ196661:DNK196661 DXF196661:DXG196661 EHB196661:EHC196661 EQX196661:EQY196661 FAT196661:FAU196661 FKP196661:FKQ196661 FUL196661:FUM196661 GEH196661:GEI196661 GOD196661:GOE196661 GXZ196661:GYA196661 HHV196661:HHW196661 HRR196661:HRS196661 IBN196661:IBO196661 ILJ196661:ILK196661 IVF196661:IVG196661 JFB196661:JFC196661 JOX196661:JOY196661 JYT196661:JYU196661 KIP196661:KIQ196661 KSL196661:KSM196661 LCH196661:LCI196661 LMD196661:LME196661 LVZ196661:LWA196661 MFV196661:MFW196661 MPR196661:MPS196661 MZN196661:MZO196661 NJJ196661:NJK196661 NTF196661:NTG196661 ODB196661:ODC196661 OMX196661:OMY196661 OWT196661:OWU196661 PGP196661:PGQ196661 PQL196661:PQM196661 QAH196661:QAI196661 QKD196661:QKE196661 QTZ196661:QUA196661 RDV196661:RDW196661 RNR196661:RNS196661 RXN196661:RXO196661 SHJ196661:SHK196661 SRF196661:SRG196661 TBB196661:TBC196661 TKX196661:TKY196661 TUT196661:TUU196661 UEP196661:UEQ196661 UOL196661:UOM196661 UYH196661:UYI196661 VID196661:VIE196661 VRZ196661:VSA196661 WBV196661:WBW196661 WLR196661:WLS196661 WVN196661:WVO196661 F262197:G262197 JB262197:JC262197 SX262197:SY262197 ACT262197:ACU262197 AMP262197:AMQ262197 AWL262197:AWM262197 BGH262197:BGI262197 BQD262197:BQE262197 BZZ262197:CAA262197 CJV262197:CJW262197 CTR262197:CTS262197 DDN262197:DDO262197 DNJ262197:DNK262197 DXF262197:DXG262197 EHB262197:EHC262197 EQX262197:EQY262197 FAT262197:FAU262197 FKP262197:FKQ262197 FUL262197:FUM262197 GEH262197:GEI262197 GOD262197:GOE262197 GXZ262197:GYA262197 HHV262197:HHW262197 HRR262197:HRS262197 IBN262197:IBO262197 ILJ262197:ILK262197 IVF262197:IVG262197 JFB262197:JFC262197 JOX262197:JOY262197 JYT262197:JYU262197 KIP262197:KIQ262197 KSL262197:KSM262197 LCH262197:LCI262197 LMD262197:LME262197 LVZ262197:LWA262197 MFV262197:MFW262197 MPR262197:MPS262197 MZN262197:MZO262197 NJJ262197:NJK262197 NTF262197:NTG262197 ODB262197:ODC262197 OMX262197:OMY262197 OWT262197:OWU262197 PGP262197:PGQ262197 PQL262197:PQM262197 QAH262197:QAI262197 QKD262197:QKE262197 QTZ262197:QUA262197 RDV262197:RDW262197 RNR262197:RNS262197 RXN262197:RXO262197 SHJ262197:SHK262197 SRF262197:SRG262197 TBB262197:TBC262197 TKX262197:TKY262197 TUT262197:TUU262197 UEP262197:UEQ262197 UOL262197:UOM262197 UYH262197:UYI262197 VID262197:VIE262197 VRZ262197:VSA262197 WBV262197:WBW262197 WLR262197:WLS262197 WVN262197:WVO262197 F327733:G327733 JB327733:JC327733 SX327733:SY327733 ACT327733:ACU327733 AMP327733:AMQ327733 AWL327733:AWM327733 BGH327733:BGI327733 BQD327733:BQE327733 BZZ327733:CAA327733 CJV327733:CJW327733 CTR327733:CTS327733 DDN327733:DDO327733 DNJ327733:DNK327733 DXF327733:DXG327733 EHB327733:EHC327733 EQX327733:EQY327733 FAT327733:FAU327733 FKP327733:FKQ327733 FUL327733:FUM327733 GEH327733:GEI327733 GOD327733:GOE327733 GXZ327733:GYA327733 HHV327733:HHW327733 HRR327733:HRS327733 IBN327733:IBO327733 ILJ327733:ILK327733 IVF327733:IVG327733 JFB327733:JFC327733 JOX327733:JOY327733 JYT327733:JYU327733 KIP327733:KIQ327733 KSL327733:KSM327733 LCH327733:LCI327733 LMD327733:LME327733 LVZ327733:LWA327733 MFV327733:MFW327733 MPR327733:MPS327733 MZN327733:MZO327733 NJJ327733:NJK327733 NTF327733:NTG327733 ODB327733:ODC327733 OMX327733:OMY327733 OWT327733:OWU327733 PGP327733:PGQ327733 PQL327733:PQM327733 QAH327733:QAI327733 QKD327733:QKE327733 QTZ327733:QUA327733 RDV327733:RDW327733 RNR327733:RNS327733 RXN327733:RXO327733 SHJ327733:SHK327733 SRF327733:SRG327733 TBB327733:TBC327733 TKX327733:TKY327733 TUT327733:TUU327733 UEP327733:UEQ327733 UOL327733:UOM327733 UYH327733:UYI327733 VID327733:VIE327733 VRZ327733:VSA327733 WBV327733:WBW327733 WLR327733:WLS327733 WVN327733:WVO327733 F393269:G393269 JB393269:JC393269 SX393269:SY393269 ACT393269:ACU393269 AMP393269:AMQ393269 AWL393269:AWM393269 BGH393269:BGI393269 BQD393269:BQE393269 BZZ393269:CAA393269 CJV393269:CJW393269 CTR393269:CTS393269 DDN393269:DDO393269 DNJ393269:DNK393269 DXF393269:DXG393269 EHB393269:EHC393269 EQX393269:EQY393269 FAT393269:FAU393269 FKP393269:FKQ393269 FUL393269:FUM393269 GEH393269:GEI393269 GOD393269:GOE393269 GXZ393269:GYA393269 HHV393269:HHW393269 HRR393269:HRS393269 IBN393269:IBO393269 ILJ393269:ILK393269 IVF393269:IVG393269 JFB393269:JFC393269 JOX393269:JOY393269 JYT393269:JYU393269 KIP393269:KIQ393269 KSL393269:KSM393269 LCH393269:LCI393269 LMD393269:LME393269 LVZ393269:LWA393269 MFV393269:MFW393269 MPR393269:MPS393269 MZN393269:MZO393269 NJJ393269:NJK393269 NTF393269:NTG393269 ODB393269:ODC393269 OMX393269:OMY393269 OWT393269:OWU393269 PGP393269:PGQ393269 PQL393269:PQM393269 QAH393269:QAI393269 QKD393269:QKE393269 QTZ393269:QUA393269 RDV393269:RDW393269 RNR393269:RNS393269 RXN393269:RXO393269 SHJ393269:SHK393269 SRF393269:SRG393269 TBB393269:TBC393269 TKX393269:TKY393269 TUT393269:TUU393269 UEP393269:UEQ393269 UOL393269:UOM393269 UYH393269:UYI393269 VID393269:VIE393269 VRZ393269:VSA393269 WBV393269:WBW393269 WLR393269:WLS393269 WVN393269:WVO393269 F458805:G458805 JB458805:JC458805 SX458805:SY458805 ACT458805:ACU458805 AMP458805:AMQ458805 AWL458805:AWM458805 BGH458805:BGI458805 BQD458805:BQE458805 BZZ458805:CAA458805 CJV458805:CJW458805 CTR458805:CTS458805 DDN458805:DDO458805 DNJ458805:DNK458805 DXF458805:DXG458805 EHB458805:EHC458805 EQX458805:EQY458805 FAT458805:FAU458805 FKP458805:FKQ458805 FUL458805:FUM458805 GEH458805:GEI458805 GOD458805:GOE458805 GXZ458805:GYA458805 HHV458805:HHW458805 HRR458805:HRS458805 IBN458805:IBO458805 ILJ458805:ILK458805 IVF458805:IVG458805 JFB458805:JFC458805 JOX458805:JOY458805 JYT458805:JYU458805 KIP458805:KIQ458805 KSL458805:KSM458805 LCH458805:LCI458805 LMD458805:LME458805 LVZ458805:LWA458805 MFV458805:MFW458805 MPR458805:MPS458805 MZN458805:MZO458805 NJJ458805:NJK458805 NTF458805:NTG458805 ODB458805:ODC458805 OMX458805:OMY458805 OWT458805:OWU458805 PGP458805:PGQ458805 PQL458805:PQM458805 QAH458805:QAI458805 QKD458805:QKE458805 QTZ458805:QUA458805 RDV458805:RDW458805 RNR458805:RNS458805 RXN458805:RXO458805 SHJ458805:SHK458805 SRF458805:SRG458805 TBB458805:TBC458805 TKX458805:TKY458805 TUT458805:TUU458805 UEP458805:UEQ458805 UOL458805:UOM458805 UYH458805:UYI458805 VID458805:VIE458805 VRZ458805:VSA458805 WBV458805:WBW458805 WLR458805:WLS458805 WVN458805:WVO458805 F524341:G524341 JB524341:JC524341 SX524341:SY524341 ACT524341:ACU524341 AMP524341:AMQ524341 AWL524341:AWM524341 BGH524341:BGI524341 BQD524341:BQE524341 BZZ524341:CAA524341 CJV524341:CJW524341 CTR524341:CTS524341 DDN524341:DDO524341 DNJ524341:DNK524341 DXF524341:DXG524341 EHB524341:EHC524341 EQX524341:EQY524341 FAT524341:FAU524341 FKP524341:FKQ524341 FUL524341:FUM524341 GEH524341:GEI524341 GOD524341:GOE524341 GXZ524341:GYA524341 HHV524341:HHW524341 HRR524341:HRS524341 IBN524341:IBO524341 ILJ524341:ILK524341 IVF524341:IVG524341 JFB524341:JFC524341 JOX524341:JOY524341 JYT524341:JYU524341 KIP524341:KIQ524341 KSL524341:KSM524341 LCH524341:LCI524341 LMD524341:LME524341 LVZ524341:LWA524341 MFV524341:MFW524341 MPR524341:MPS524341 MZN524341:MZO524341 NJJ524341:NJK524341 NTF524341:NTG524341 ODB524341:ODC524341 OMX524341:OMY524341 OWT524341:OWU524341 PGP524341:PGQ524341 PQL524341:PQM524341 QAH524341:QAI524341 QKD524341:QKE524341 QTZ524341:QUA524341 RDV524341:RDW524341 RNR524341:RNS524341 RXN524341:RXO524341 SHJ524341:SHK524341 SRF524341:SRG524341 TBB524341:TBC524341 TKX524341:TKY524341 TUT524341:TUU524341 UEP524341:UEQ524341 UOL524341:UOM524341 UYH524341:UYI524341 VID524341:VIE524341 VRZ524341:VSA524341 WBV524341:WBW524341 WLR524341:WLS524341 WVN524341:WVO524341 F589877:G589877 JB589877:JC589877 SX589877:SY589877 ACT589877:ACU589877 AMP589877:AMQ589877 AWL589877:AWM589877 BGH589877:BGI589877 BQD589877:BQE589877 BZZ589877:CAA589877 CJV589877:CJW589877 CTR589877:CTS589877 DDN589877:DDO589877 DNJ589877:DNK589877 DXF589877:DXG589877 EHB589877:EHC589877 EQX589877:EQY589877 FAT589877:FAU589877 FKP589877:FKQ589877 FUL589877:FUM589877 GEH589877:GEI589877 GOD589877:GOE589877 GXZ589877:GYA589877 HHV589877:HHW589877 HRR589877:HRS589877 IBN589877:IBO589877 ILJ589877:ILK589877 IVF589877:IVG589877 JFB589877:JFC589877 JOX589877:JOY589877 JYT589877:JYU589877 KIP589877:KIQ589877 KSL589877:KSM589877 LCH589877:LCI589877 LMD589877:LME589877 LVZ589877:LWA589877 MFV589877:MFW589877 MPR589877:MPS589877 MZN589877:MZO589877 NJJ589877:NJK589877 NTF589877:NTG589877 ODB589877:ODC589877 OMX589877:OMY589877 OWT589877:OWU589877 PGP589877:PGQ589877 PQL589877:PQM589877 QAH589877:QAI589877 QKD589877:QKE589877 QTZ589877:QUA589877 RDV589877:RDW589877 RNR589877:RNS589877 RXN589877:RXO589877 SHJ589877:SHK589877 SRF589877:SRG589877 TBB589877:TBC589877 TKX589877:TKY589877 TUT589877:TUU589877 UEP589877:UEQ589877 UOL589877:UOM589877 UYH589877:UYI589877 VID589877:VIE589877 VRZ589877:VSA589877 WBV589877:WBW589877 WLR589877:WLS589877 WVN589877:WVO589877 F655413:G655413 JB655413:JC655413 SX655413:SY655413 ACT655413:ACU655413 AMP655413:AMQ655413 AWL655413:AWM655413 BGH655413:BGI655413 BQD655413:BQE655413 BZZ655413:CAA655413 CJV655413:CJW655413 CTR655413:CTS655413 DDN655413:DDO655413 DNJ655413:DNK655413 DXF655413:DXG655413 EHB655413:EHC655413 EQX655413:EQY655413 FAT655413:FAU655413 FKP655413:FKQ655413 FUL655413:FUM655413 GEH655413:GEI655413 GOD655413:GOE655413 GXZ655413:GYA655413 HHV655413:HHW655413 HRR655413:HRS655413 IBN655413:IBO655413 ILJ655413:ILK655413 IVF655413:IVG655413 JFB655413:JFC655413 JOX655413:JOY655413 JYT655413:JYU655413 KIP655413:KIQ655413 KSL655413:KSM655413 LCH655413:LCI655413 LMD655413:LME655413 LVZ655413:LWA655413 MFV655413:MFW655413 MPR655413:MPS655413 MZN655413:MZO655413 NJJ655413:NJK655413 NTF655413:NTG655413 ODB655413:ODC655413 OMX655413:OMY655413 OWT655413:OWU655413 PGP655413:PGQ655413 PQL655413:PQM655413 QAH655413:QAI655413 QKD655413:QKE655413 QTZ655413:QUA655413 RDV655413:RDW655413 RNR655413:RNS655413 RXN655413:RXO655413 SHJ655413:SHK655413 SRF655413:SRG655413 TBB655413:TBC655413 TKX655413:TKY655413 TUT655413:TUU655413 UEP655413:UEQ655413 UOL655413:UOM655413 UYH655413:UYI655413 VID655413:VIE655413 VRZ655413:VSA655413 WBV655413:WBW655413 WLR655413:WLS655413 WVN655413:WVO655413 F720949:G720949 JB720949:JC720949 SX720949:SY720949 ACT720949:ACU720949 AMP720949:AMQ720949 AWL720949:AWM720949 BGH720949:BGI720949 BQD720949:BQE720949 BZZ720949:CAA720949 CJV720949:CJW720949 CTR720949:CTS720949 DDN720949:DDO720949 DNJ720949:DNK720949 DXF720949:DXG720949 EHB720949:EHC720949 EQX720949:EQY720949 FAT720949:FAU720949 FKP720949:FKQ720949 FUL720949:FUM720949 GEH720949:GEI720949 GOD720949:GOE720949 GXZ720949:GYA720949 HHV720949:HHW720949 HRR720949:HRS720949 IBN720949:IBO720949 ILJ720949:ILK720949 IVF720949:IVG720949 JFB720949:JFC720949 JOX720949:JOY720949 JYT720949:JYU720949 KIP720949:KIQ720949 KSL720949:KSM720949 LCH720949:LCI720949 LMD720949:LME720949 LVZ720949:LWA720949 MFV720949:MFW720949 MPR720949:MPS720949 MZN720949:MZO720949 NJJ720949:NJK720949 NTF720949:NTG720949 ODB720949:ODC720949 OMX720949:OMY720949 OWT720949:OWU720949 PGP720949:PGQ720949 PQL720949:PQM720949 QAH720949:QAI720949 QKD720949:QKE720949 QTZ720949:QUA720949 RDV720949:RDW720949 RNR720949:RNS720949 RXN720949:RXO720949 SHJ720949:SHK720949 SRF720949:SRG720949 TBB720949:TBC720949 TKX720949:TKY720949 TUT720949:TUU720949 UEP720949:UEQ720949 UOL720949:UOM720949 UYH720949:UYI720949 VID720949:VIE720949 VRZ720949:VSA720949 WBV720949:WBW720949 WLR720949:WLS720949 WVN720949:WVO720949 F786485:G786485 JB786485:JC786485 SX786485:SY786485 ACT786485:ACU786485 AMP786485:AMQ786485 AWL786485:AWM786485 BGH786485:BGI786485 BQD786485:BQE786485 BZZ786485:CAA786485 CJV786485:CJW786485 CTR786485:CTS786485 DDN786485:DDO786485 DNJ786485:DNK786485 DXF786485:DXG786485 EHB786485:EHC786485 EQX786485:EQY786485 FAT786485:FAU786485 FKP786485:FKQ786485 FUL786485:FUM786485 GEH786485:GEI786485 GOD786485:GOE786485 GXZ786485:GYA786485 HHV786485:HHW786485 HRR786485:HRS786485 IBN786485:IBO786485 ILJ786485:ILK786485 IVF786485:IVG786485 JFB786485:JFC786485 JOX786485:JOY786485 JYT786485:JYU786485 KIP786485:KIQ786485 KSL786485:KSM786485 LCH786485:LCI786485 LMD786485:LME786485 LVZ786485:LWA786485 MFV786485:MFW786485 MPR786485:MPS786485 MZN786485:MZO786485 NJJ786485:NJK786485 NTF786485:NTG786485 ODB786485:ODC786485 OMX786485:OMY786485 OWT786485:OWU786485 PGP786485:PGQ786485 PQL786485:PQM786485 QAH786485:QAI786485 QKD786485:QKE786485 QTZ786485:QUA786485 RDV786485:RDW786485 RNR786485:RNS786485 RXN786485:RXO786485 SHJ786485:SHK786485 SRF786485:SRG786485 TBB786485:TBC786485 TKX786485:TKY786485 TUT786485:TUU786485 UEP786485:UEQ786485 UOL786485:UOM786485 UYH786485:UYI786485 VID786485:VIE786485 VRZ786485:VSA786485 WBV786485:WBW786485 WLR786485:WLS786485 WVN786485:WVO786485 F852021:G852021 JB852021:JC852021 SX852021:SY852021 ACT852021:ACU852021 AMP852021:AMQ852021 AWL852021:AWM852021 BGH852021:BGI852021 BQD852021:BQE852021 BZZ852021:CAA852021 CJV852021:CJW852021 CTR852021:CTS852021 DDN852021:DDO852021 DNJ852021:DNK852021 DXF852021:DXG852021 EHB852021:EHC852021 EQX852021:EQY852021 FAT852021:FAU852021 FKP852021:FKQ852021 FUL852021:FUM852021 GEH852021:GEI852021 GOD852021:GOE852021 GXZ852021:GYA852021 HHV852021:HHW852021 HRR852021:HRS852021 IBN852021:IBO852021 ILJ852021:ILK852021 IVF852021:IVG852021 JFB852021:JFC852021 JOX852021:JOY852021 JYT852021:JYU852021 KIP852021:KIQ852021 KSL852021:KSM852021 LCH852021:LCI852021 LMD852021:LME852021 LVZ852021:LWA852021 MFV852021:MFW852021 MPR852021:MPS852021 MZN852021:MZO852021 NJJ852021:NJK852021 NTF852021:NTG852021 ODB852021:ODC852021 OMX852021:OMY852021 OWT852021:OWU852021 PGP852021:PGQ852021 PQL852021:PQM852021 QAH852021:QAI852021 QKD852021:QKE852021 QTZ852021:QUA852021 RDV852021:RDW852021 RNR852021:RNS852021 RXN852021:RXO852021 SHJ852021:SHK852021 SRF852021:SRG852021 TBB852021:TBC852021 TKX852021:TKY852021 TUT852021:TUU852021 UEP852021:UEQ852021 UOL852021:UOM852021 UYH852021:UYI852021 VID852021:VIE852021 VRZ852021:VSA852021 WBV852021:WBW852021 WLR852021:WLS852021 WVN852021:WVO852021 F917557:G917557 JB917557:JC917557 SX917557:SY917557 ACT917557:ACU917557 AMP917557:AMQ917557 AWL917557:AWM917557 BGH917557:BGI917557 BQD917557:BQE917557 BZZ917557:CAA917557 CJV917557:CJW917557 CTR917557:CTS917557 DDN917557:DDO917557 DNJ917557:DNK917557 DXF917557:DXG917557 EHB917557:EHC917557 EQX917557:EQY917557 FAT917557:FAU917557 FKP917557:FKQ917557 FUL917557:FUM917557 GEH917557:GEI917557 GOD917557:GOE917557 GXZ917557:GYA917557 HHV917557:HHW917557 HRR917557:HRS917557 IBN917557:IBO917557 ILJ917557:ILK917557 IVF917557:IVG917557 JFB917557:JFC917557 JOX917557:JOY917557 JYT917557:JYU917557 KIP917557:KIQ917557 KSL917557:KSM917557 LCH917557:LCI917557 LMD917557:LME917557 LVZ917557:LWA917557 MFV917557:MFW917557 MPR917557:MPS917557 MZN917557:MZO917557 NJJ917557:NJK917557 NTF917557:NTG917557 ODB917557:ODC917557 OMX917557:OMY917557 OWT917557:OWU917557 PGP917557:PGQ917557 PQL917557:PQM917557 QAH917557:QAI917557 QKD917557:QKE917557 QTZ917557:QUA917557 RDV917557:RDW917557 RNR917557:RNS917557 RXN917557:RXO917557 SHJ917557:SHK917557 SRF917557:SRG917557 TBB917557:TBC917557 TKX917557:TKY917557 TUT917557:TUU917557 UEP917557:UEQ917557 UOL917557:UOM917557 UYH917557:UYI917557 VID917557:VIE917557 VRZ917557:VSA917557 WBV917557:WBW917557 WLR917557:WLS917557 WVN917557:WVO917557 F983093:G983093 JB983093:JC983093 SX983093:SY983093 ACT983093:ACU983093 AMP983093:AMQ983093 AWL983093:AWM983093 BGH983093:BGI983093 BQD983093:BQE983093 BZZ983093:CAA983093 CJV983093:CJW983093 CTR983093:CTS983093 DDN983093:DDO983093 DNJ983093:DNK983093 DXF983093:DXG983093 EHB983093:EHC983093 EQX983093:EQY983093 FAT983093:FAU983093 FKP983093:FKQ983093 FUL983093:FUM983093 GEH983093:GEI983093 GOD983093:GOE983093 GXZ983093:GYA983093 HHV983093:HHW983093 HRR983093:HRS983093 IBN983093:IBO983093 ILJ983093:ILK983093 IVF983093:IVG983093 JFB983093:JFC983093 JOX983093:JOY983093 JYT983093:JYU983093 KIP983093:KIQ983093 KSL983093:KSM983093 LCH983093:LCI983093 LMD983093:LME983093 LVZ983093:LWA983093 MFV983093:MFW983093 MPR983093:MPS983093 MZN983093:MZO983093 NJJ983093:NJK983093 NTF983093:NTG983093 ODB983093:ODC983093 OMX983093:OMY983093 OWT983093:OWU983093 PGP983093:PGQ983093 PQL983093:PQM983093 QAH983093:QAI983093 QKD983093:QKE983093 QTZ983093:QUA983093 RDV983093:RDW983093 RNR983093:RNS983093 RXN983093:RXO983093 SHJ983093:SHK983093 SRF983093:SRG983093 TBB983093:TBC983093 TKX983093:TKY983093 TUT983093:TUU983093 UEP983093:UEQ983093 UOL983093:UOM983093 UYH983093:UYI983093 VID983093:VIE983093 VRZ983093:VSA983093 WBV983093:WBW983093 WLR983093:WLS983093 WVN983093:WVO983093" xr:uid="{81A4A971-5DEA-48A2-A7D7-00E71CFDF666}">
      <formula1>"This, Duplicate"</formula1>
    </dataValidation>
    <dataValidation type="list" showInputMessage="1" showErrorMessage="1" sqref="R38 JN38 TJ38 ADF38 ANB38 AWX38 BGT38 BQP38 CAL38 CKH38 CUD38 DDZ38 DNV38 DXR38 EHN38 ERJ38 FBF38 FLB38 FUX38 GET38 GOP38 GYL38 HIH38 HSD38 IBZ38 ILV38 IVR38 JFN38 JPJ38 JZF38 KJB38 KSX38 LCT38 LMP38 LWL38 MGH38 MQD38 MZZ38 NJV38 NTR38 ODN38 ONJ38 OXF38 PHB38 PQX38 QAT38 QKP38 QUL38 REH38 ROD38 RXZ38 SHV38 SRR38 TBN38 TLJ38 TVF38 UFB38 UOX38 UYT38 VIP38 VSL38 WCH38 WMD38 WVZ38 R65574 JN65574 TJ65574 ADF65574 ANB65574 AWX65574 BGT65574 BQP65574 CAL65574 CKH65574 CUD65574 DDZ65574 DNV65574 DXR65574 EHN65574 ERJ65574 FBF65574 FLB65574 FUX65574 GET65574 GOP65574 GYL65574 HIH65574 HSD65574 IBZ65574 ILV65574 IVR65574 JFN65574 JPJ65574 JZF65574 KJB65574 KSX65574 LCT65574 LMP65574 LWL65574 MGH65574 MQD65574 MZZ65574 NJV65574 NTR65574 ODN65574 ONJ65574 OXF65574 PHB65574 PQX65574 QAT65574 QKP65574 QUL65574 REH65574 ROD65574 RXZ65574 SHV65574 SRR65574 TBN65574 TLJ65574 TVF65574 UFB65574 UOX65574 UYT65574 VIP65574 VSL65574 WCH65574 WMD65574 WVZ65574 R131110 JN131110 TJ131110 ADF131110 ANB131110 AWX131110 BGT131110 BQP131110 CAL131110 CKH131110 CUD131110 DDZ131110 DNV131110 DXR131110 EHN131110 ERJ131110 FBF131110 FLB131110 FUX131110 GET131110 GOP131110 GYL131110 HIH131110 HSD131110 IBZ131110 ILV131110 IVR131110 JFN131110 JPJ131110 JZF131110 KJB131110 KSX131110 LCT131110 LMP131110 LWL131110 MGH131110 MQD131110 MZZ131110 NJV131110 NTR131110 ODN131110 ONJ131110 OXF131110 PHB131110 PQX131110 QAT131110 QKP131110 QUL131110 REH131110 ROD131110 RXZ131110 SHV131110 SRR131110 TBN131110 TLJ131110 TVF131110 UFB131110 UOX131110 UYT131110 VIP131110 VSL131110 WCH131110 WMD131110 WVZ131110 R196646 JN196646 TJ196646 ADF196646 ANB196646 AWX196646 BGT196646 BQP196646 CAL196646 CKH196646 CUD196646 DDZ196646 DNV196646 DXR196646 EHN196646 ERJ196646 FBF196646 FLB196646 FUX196646 GET196646 GOP196646 GYL196646 HIH196646 HSD196646 IBZ196646 ILV196646 IVR196646 JFN196646 JPJ196646 JZF196646 KJB196646 KSX196646 LCT196646 LMP196646 LWL196646 MGH196646 MQD196646 MZZ196646 NJV196646 NTR196646 ODN196646 ONJ196646 OXF196646 PHB196646 PQX196646 QAT196646 QKP196646 QUL196646 REH196646 ROD196646 RXZ196646 SHV196646 SRR196646 TBN196646 TLJ196646 TVF196646 UFB196646 UOX196646 UYT196646 VIP196646 VSL196646 WCH196646 WMD196646 WVZ196646 R262182 JN262182 TJ262182 ADF262182 ANB262182 AWX262182 BGT262182 BQP262182 CAL262182 CKH262182 CUD262182 DDZ262182 DNV262182 DXR262182 EHN262182 ERJ262182 FBF262182 FLB262182 FUX262182 GET262182 GOP262182 GYL262182 HIH262182 HSD262182 IBZ262182 ILV262182 IVR262182 JFN262182 JPJ262182 JZF262182 KJB262182 KSX262182 LCT262182 LMP262182 LWL262182 MGH262182 MQD262182 MZZ262182 NJV262182 NTR262182 ODN262182 ONJ262182 OXF262182 PHB262182 PQX262182 QAT262182 QKP262182 QUL262182 REH262182 ROD262182 RXZ262182 SHV262182 SRR262182 TBN262182 TLJ262182 TVF262182 UFB262182 UOX262182 UYT262182 VIP262182 VSL262182 WCH262182 WMD262182 WVZ262182 R327718 JN327718 TJ327718 ADF327718 ANB327718 AWX327718 BGT327718 BQP327718 CAL327718 CKH327718 CUD327718 DDZ327718 DNV327718 DXR327718 EHN327718 ERJ327718 FBF327718 FLB327718 FUX327718 GET327718 GOP327718 GYL327718 HIH327718 HSD327718 IBZ327718 ILV327718 IVR327718 JFN327718 JPJ327718 JZF327718 KJB327718 KSX327718 LCT327718 LMP327718 LWL327718 MGH327718 MQD327718 MZZ327718 NJV327718 NTR327718 ODN327718 ONJ327718 OXF327718 PHB327718 PQX327718 QAT327718 QKP327718 QUL327718 REH327718 ROD327718 RXZ327718 SHV327718 SRR327718 TBN327718 TLJ327718 TVF327718 UFB327718 UOX327718 UYT327718 VIP327718 VSL327718 WCH327718 WMD327718 WVZ327718 R393254 JN393254 TJ393254 ADF393254 ANB393254 AWX393254 BGT393254 BQP393254 CAL393254 CKH393254 CUD393254 DDZ393254 DNV393254 DXR393254 EHN393254 ERJ393254 FBF393254 FLB393254 FUX393254 GET393254 GOP393254 GYL393254 HIH393254 HSD393254 IBZ393254 ILV393254 IVR393254 JFN393254 JPJ393254 JZF393254 KJB393254 KSX393254 LCT393254 LMP393254 LWL393254 MGH393254 MQD393254 MZZ393254 NJV393254 NTR393254 ODN393254 ONJ393254 OXF393254 PHB393254 PQX393254 QAT393254 QKP393254 QUL393254 REH393254 ROD393254 RXZ393254 SHV393254 SRR393254 TBN393254 TLJ393254 TVF393254 UFB393254 UOX393254 UYT393254 VIP393254 VSL393254 WCH393254 WMD393254 WVZ393254 R458790 JN458790 TJ458790 ADF458790 ANB458790 AWX458790 BGT458790 BQP458790 CAL458790 CKH458790 CUD458790 DDZ458790 DNV458790 DXR458790 EHN458790 ERJ458790 FBF458790 FLB458790 FUX458790 GET458790 GOP458790 GYL458790 HIH458790 HSD458790 IBZ458790 ILV458790 IVR458790 JFN458790 JPJ458790 JZF458790 KJB458790 KSX458790 LCT458790 LMP458790 LWL458790 MGH458790 MQD458790 MZZ458790 NJV458790 NTR458790 ODN458790 ONJ458790 OXF458790 PHB458790 PQX458790 QAT458790 QKP458790 QUL458790 REH458790 ROD458790 RXZ458790 SHV458790 SRR458790 TBN458790 TLJ458790 TVF458790 UFB458790 UOX458790 UYT458790 VIP458790 VSL458790 WCH458790 WMD458790 WVZ458790 R524326 JN524326 TJ524326 ADF524326 ANB524326 AWX524326 BGT524326 BQP524326 CAL524326 CKH524326 CUD524326 DDZ524326 DNV524326 DXR524326 EHN524326 ERJ524326 FBF524326 FLB524326 FUX524326 GET524326 GOP524326 GYL524326 HIH524326 HSD524326 IBZ524326 ILV524326 IVR524326 JFN524326 JPJ524326 JZF524326 KJB524326 KSX524326 LCT524326 LMP524326 LWL524326 MGH524326 MQD524326 MZZ524326 NJV524326 NTR524326 ODN524326 ONJ524326 OXF524326 PHB524326 PQX524326 QAT524326 QKP524326 QUL524326 REH524326 ROD524326 RXZ524326 SHV524326 SRR524326 TBN524326 TLJ524326 TVF524326 UFB524326 UOX524326 UYT524326 VIP524326 VSL524326 WCH524326 WMD524326 WVZ524326 R589862 JN589862 TJ589862 ADF589862 ANB589862 AWX589862 BGT589862 BQP589862 CAL589862 CKH589862 CUD589862 DDZ589862 DNV589862 DXR589862 EHN589862 ERJ589862 FBF589862 FLB589862 FUX589862 GET589862 GOP589862 GYL589862 HIH589862 HSD589862 IBZ589862 ILV589862 IVR589862 JFN589862 JPJ589862 JZF589862 KJB589862 KSX589862 LCT589862 LMP589862 LWL589862 MGH589862 MQD589862 MZZ589862 NJV589862 NTR589862 ODN589862 ONJ589862 OXF589862 PHB589862 PQX589862 QAT589862 QKP589862 QUL589862 REH589862 ROD589862 RXZ589862 SHV589862 SRR589862 TBN589862 TLJ589862 TVF589862 UFB589862 UOX589862 UYT589862 VIP589862 VSL589862 WCH589862 WMD589862 WVZ589862 R655398 JN655398 TJ655398 ADF655398 ANB655398 AWX655398 BGT655398 BQP655398 CAL655398 CKH655398 CUD655398 DDZ655398 DNV655398 DXR655398 EHN655398 ERJ655398 FBF655398 FLB655398 FUX655398 GET655398 GOP655398 GYL655398 HIH655398 HSD655398 IBZ655398 ILV655398 IVR655398 JFN655398 JPJ655398 JZF655398 KJB655398 KSX655398 LCT655398 LMP655398 LWL655398 MGH655398 MQD655398 MZZ655398 NJV655398 NTR655398 ODN655398 ONJ655398 OXF655398 PHB655398 PQX655398 QAT655398 QKP655398 QUL655398 REH655398 ROD655398 RXZ655398 SHV655398 SRR655398 TBN655398 TLJ655398 TVF655398 UFB655398 UOX655398 UYT655398 VIP655398 VSL655398 WCH655398 WMD655398 WVZ655398 R720934 JN720934 TJ720934 ADF720934 ANB720934 AWX720934 BGT720934 BQP720934 CAL720934 CKH720934 CUD720934 DDZ720934 DNV720934 DXR720934 EHN720934 ERJ720934 FBF720934 FLB720934 FUX720934 GET720934 GOP720934 GYL720934 HIH720934 HSD720934 IBZ720934 ILV720934 IVR720934 JFN720934 JPJ720934 JZF720934 KJB720934 KSX720934 LCT720934 LMP720934 LWL720934 MGH720934 MQD720934 MZZ720934 NJV720934 NTR720934 ODN720934 ONJ720934 OXF720934 PHB720934 PQX720934 QAT720934 QKP720934 QUL720934 REH720934 ROD720934 RXZ720934 SHV720934 SRR720934 TBN720934 TLJ720934 TVF720934 UFB720934 UOX720934 UYT720934 VIP720934 VSL720934 WCH720934 WMD720934 WVZ720934 R786470 JN786470 TJ786470 ADF786470 ANB786470 AWX786470 BGT786470 BQP786470 CAL786470 CKH786470 CUD786470 DDZ786470 DNV786470 DXR786470 EHN786470 ERJ786470 FBF786470 FLB786470 FUX786470 GET786470 GOP786470 GYL786470 HIH786470 HSD786470 IBZ786470 ILV786470 IVR786470 JFN786470 JPJ786470 JZF786470 KJB786470 KSX786470 LCT786470 LMP786470 LWL786470 MGH786470 MQD786470 MZZ786470 NJV786470 NTR786470 ODN786470 ONJ786470 OXF786470 PHB786470 PQX786470 QAT786470 QKP786470 QUL786470 REH786470 ROD786470 RXZ786470 SHV786470 SRR786470 TBN786470 TLJ786470 TVF786470 UFB786470 UOX786470 UYT786470 VIP786470 VSL786470 WCH786470 WMD786470 WVZ786470 R852006 JN852006 TJ852006 ADF852006 ANB852006 AWX852006 BGT852006 BQP852006 CAL852006 CKH852006 CUD852006 DDZ852006 DNV852006 DXR852006 EHN852006 ERJ852006 FBF852006 FLB852006 FUX852006 GET852006 GOP852006 GYL852006 HIH852006 HSD852006 IBZ852006 ILV852006 IVR852006 JFN852006 JPJ852006 JZF852006 KJB852006 KSX852006 LCT852006 LMP852006 LWL852006 MGH852006 MQD852006 MZZ852006 NJV852006 NTR852006 ODN852006 ONJ852006 OXF852006 PHB852006 PQX852006 QAT852006 QKP852006 QUL852006 REH852006 ROD852006 RXZ852006 SHV852006 SRR852006 TBN852006 TLJ852006 TVF852006 UFB852006 UOX852006 UYT852006 VIP852006 VSL852006 WCH852006 WMD852006 WVZ852006 R917542 JN917542 TJ917542 ADF917542 ANB917542 AWX917542 BGT917542 BQP917542 CAL917542 CKH917542 CUD917542 DDZ917542 DNV917542 DXR917542 EHN917542 ERJ917542 FBF917542 FLB917542 FUX917542 GET917542 GOP917542 GYL917542 HIH917542 HSD917542 IBZ917542 ILV917542 IVR917542 JFN917542 JPJ917542 JZF917542 KJB917542 KSX917542 LCT917542 LMP917542 LWL917542 MGH917542 MQD917542 MZZ917542 NJV917542 NTR917542 ODN917542 ONJ917542 OXF917542 PHB917542 PQX917542 QAT917542 QKP917542 QUL917542 REH917542 ROD917542 RXZ917542 SHV917542 SRR917542 TBN917542 TLJ917542 TVF917542 UFB917542 UOX917542 UYT917542 VIP917542 VSL917542 WCH917542 WMD917542 WVZ917542 R983078 JN983078 TJ983078 ADF983078 ANB983078 AWX983078 BGT983078 BQP983078 CAL983078 CKH983078 CUD983078 DDZ983078 DNV983078 DXR983078 EHN983078 ERJ983078 FBF983078 FLB983078 FUX983078 GET983078 GOP983078 GYL983078 HIH983078 HSD983078 IBZ983078 ILV983078 IVR983078 JFN983078 JPJ983078 JZF983078 KJB983078 KSX983078 LCT983078 LMP983078 LWL983078 MGH983078 MQD983078 MZZ983078 NJV983078 NTR983078 ODN983078 ONJ983078 OXF983078 PHB983078 PQX983078 QAT983078 QKP983078 QUL983078 REH983078 ROD983078 RXZ983078 SHV983078 SRR983078 TBN983078 TLJ983078 TVF983078 UFB983078 UOX983078 UYT983078 VIP983078 VSL983078 WCH983078 WMD983078 WVZ983078" xr:uid="{737A327F-FB4E-4E53-8B11-5C78AF763EFA}">
      <formula1>"TEFC,ODP"</formula1>
    </dataValidation>
  </dataValidations>
  <printOptions horizontalCentered="1" gridLinesSet="0"/>
  <pageMargins left="0.5" right="0.5" top="0.5" bottom="0.5" header="0.5" footer="0.5"/>
  <pageSetup scale="85"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DesignSheet</vt:lpstr>
      <vt:lpstr>Data Sheet</vt:lpstr>
      <vt:lpstr>LoginSheet</vt:lpstr>
      <vt:lpstr>Form</vt:lpstr>
      <vt:lpstr>STCurve</vt:lpstr>
      <vt:lpstr>StallTime</vt:lpstr>
      <vt:lpstr>Thermdam</vt:lpstr>
      <vt:lpstr>MPCF-1202 SOUND</vt:lpstr>
      <vt:lpstr>'Data Sheet'!Print_Area</vt:lpstr>
      <vt:lpstr>DesignSheet!Print_Area</vt:lpstr>
      <vt:lpstr>Form!Print_Area</vt:lpstr>
      <vt:lpstr>LoginSheet!Print_Area</vt:lpstr>
      <vt:lpstr>'MPCF-1202 SOUND'!Print_Area</vt:lpstr>
      <vt:lpstr>StallTime!Print_Area</vt:lpstr>
      <vt:lpstr>STCurve!Print_Area</vt:lpstr>
      <vt:lpstr>Thermdam!Print_Area</vt:lpstr>
      <vt:lpstr>'MPCF-1202 SOUND'!Print_Area_MI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DesOut</dc:title>
  <dc:creator>Toshiba International Corp</dc:creator>
  <cp:lastModifiedBy>Rodriguez, Jerry (TIC)</cp:lastModifiedBy>
  <cp:lastPrinted>2014-08-22T20:34:29Z</cp:lastPrinted>
  <dcterms:created xsi:type="dcterms:W3CDTF">1997-10-03T20:37:30Z</dcterms:created>
  <dcterms:modified xsi:type="dcterms:W3CDTF">2023-10-20T11:13:32Z</dcterms:modified>
</cp:coreProperties>
</file>