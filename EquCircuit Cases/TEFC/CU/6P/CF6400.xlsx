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xie\Desktop\"/>
    </mc:Choice>
  </mc:AlternateContent>
  <bookViews>
    <workbookView xWindow="3165" yWindow="1080" windowWidth="4800" windowHeight="5190" activeTab="4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externalReferences>
    <externalReference r:id="rId9"/>
  </externalReference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F59" i="8" l="1"/>
  <c r="E59" i="8"/>
  <c r="F58" i="8"/>
  <c r="E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E68" i="7"/>
  <c r="D66" i="7"/>
  <c r="F50" i="7"/>
  <c r="B70" i="7" l="1"/>
  <c r="C70" i="7"/>
  <c r="B69" i="7"/>
  <c r="B75" i="7" s="1"/>
  <c r="C69" i="7"/>
  <c r="M28" i="3"/>
  <c r="M18" i="3"/>
  <c r="B71" i="7" l="1"/>
  <c r="A72" i="7"/>
  <c r="C71" i="7"/>
  <c r="P31" i="2"/>
  <c r="P32" i="2"/>
  <c r="P33" i="2"/>
  <c r="P34" i="2"/>
  <c r="P30" i="2"/>
  <c r="M52" i="2"/>
  <c r="M41" i="2"/>
  <c r="L41" i="2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53" i="2" s="1"/>
  <c r="M49" i="2"/>
  <c r="M48" i="2"/>
  <c r="M46" i="2"/>
  <c r="M47" i="2"/>
  <c r="A73" i="7" l="1"/>
  <c r="B73" i="7" s="1"/>
  <c r="B72" i="7"/>
  <c r="N41" i="2"/>
  <c r="N40" i="2"/>
  <c r="N39" i="2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<sst xmlns="http://schemas.openxmlformats.org/spreadsheetml/2006/main" count="951" uniqueCount="717">
  <si>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</si>
  <si>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</si>
  <si>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</si>
  <si>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</si>
  <si>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</si>
  <si>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</si>
  <si>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</si>
  <si>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</si>
  <si>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</si>
  <si>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</si>
  <si>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</si>
  <si>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</si>
  <si>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</si>
  <si>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</si>
  <si>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</si>
  <si>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</si>
  <si>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</si>
  <si>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</si>
  <si>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</si>
  <si>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</si>
  <si>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</si>
  <si>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</si>
  <si>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</si>
  <si>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</si>
  <si>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</si>
  <si>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</si>
  <si>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</si>
  <si>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</si>
  <si>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</si>
  <si>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</si>
  <si>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</si>
  <si>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</si>
  <si>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</si>
  <si>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</si>
  <si>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</si>
  <si>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</si>
  <si>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</si>
  <si>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</si>
  <si>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</si>
  <si>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</si>
  <si>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</si>
  <si>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</si>
  <si>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</si>
  <si>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</si>
  <si>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</si>
  <si>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</si>
  <si>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</si>
  <si>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</si>
  <si>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</si>
  <si>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</si>
  <si>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</si>
  <si>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</si>
  <si>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</si>
  <si>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</si>
  <si>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</si>
  <si>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</si>
  <si>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</si>
  <si>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</si>
  <si>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</si>
  <si>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</si>
  <si>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</si>
  <si>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</si>
  <si>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</si>
  <si>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</si>
  <si>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</si>
  <si>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</si>
  <si>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</si>
  <si>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</si>
  <si>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</si>
  <si>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</si>
  <si>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</si>
  <si>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</si>
  <si>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</si>
  <si>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</si>
  <si>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</si>
  <si>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</si>
  <si>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</si>
  <si>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</si>
  <si>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</si>
  <si>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</si>
  <si>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</si>
  <si>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</si>
  <si>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</si>
  <si>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</si>
  <si>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</si>
  <si>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</si>
  <si>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</si>
  <si>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</si>
  <si>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</si>
  <si>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</si>
  <si>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</si>
  <si>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</si>
  <si>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</si>
  <si>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</si>
  <si>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</si>
  <si>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</si>
  <si>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</si>
  <si>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</si>
  <si>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</si>
  <si>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</si>
  <si>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</si>
  <si>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</si>
  <si>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</si>
  <si>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</si>
  <si>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</si>
  <si>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</si>
  <si>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</si>
  <si>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</si>
  <si>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</si>
  <si>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</si>
  <si>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</si>
  <si>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</si>
  <si>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</si>
  <si>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</si>
  <si>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</si>
  <si>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</si>
  <si>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</si>
  <si>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</si>
  <si>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</si>
  <si>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</si>
  <si>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</si>
  <si>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</si>
  <si>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</si>
  <si>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</si>
  <si>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</si>
  <si>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</si>
  <si>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</si>
  <si>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</si>
  <si>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</si>
  <si>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</si>
  <si>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</si>
  <si>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</si>
  <si>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</si>
  <si>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</si>
  <si>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</si>
  <si>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</si>
  <si>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</si>
  <si>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</si>
  <si>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</si>
  <si>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</si>
  <si>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</si>
  <si>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</si>
  <si>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</si>
  <si>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</si>
  <si>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</si>
  <si>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</si>
  <si>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</si>
  <si>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</si>
  <si>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</si>
  <si>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</si>
  <si>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</si>
  <si>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</si>
  <si>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</si>
  <si>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</si>
  <si>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</si>
  <si>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</si>
  <si>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</si>
  <si>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</si>
  <si>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</si>
  <si>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</si>
  <si>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</si>
  <si>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</si>
  <si>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</si>
  <si>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</si>
  <si>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</si>
  <si>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</si>
  <si>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</si>
  <si>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</si>
  <si>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</si>
  <si>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</si>
  <si>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</si>
  <si>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</si>
  <si>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</si>
  <si>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</si>
  <si>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</si>
  <si>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</si>
  <si>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</si>
  <si>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</si>
  <si>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</si>
  <si>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</si>
  <si>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</si>
  <si>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</si>
  <si>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</si>
  <si>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</si>
  <si>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</si>
  <si>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</si>
  <si>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</si>
  <si>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</si>
  <si>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</si>
  <si>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</si>
  <si>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</si>
  <si>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</si>
  <si>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</si>
  <si>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FCKW</t>
  </si>
  <si>
    <t>Open</t>
  </si>
  <si>
    <t>Rectang</t>
  </si>
  <si>
    <t>6.04 - 6.04</t>
  </si>
  <si>
    <t>2.83 - 2.00</t>
  </si>
  <si>
    <t>Magnetic</t>
  </si>
  <si>
    <t>1 ~ 11</t>
  </si>
  <si>
    <t>(.091"x.204")x1</t>
  </si>
  <si>
    <t>Wye</t>
  </si>
  <si>
    <t>(105°C)</t>
  </si>
  <si>
    <t>CU</t>
  </si>
  <si>
    <t>Special</t>
  </si>
  <si>
    <t>ERD1: 286.6</t>
  </si>
  <si>
    <t>EBL: 63.5</t>
  </si>
  <si>
    <t>ERT: 42.00</t>
  </si>
  <si>
    <t>ERH: 38.00</t>
  </si>
  <si>
    <t>(8 x 30)</t>
  </si>
  <si>
    <t>LB:  -</t>
  </si>
  <si>
    <t>LER:  -</t>
  </si>
  <si>
    <t>Single Cage Data</t>
  </si>
  <si>
    <t>UB: 240.0</t>
  </si>
  <si>
    <t>UER: 1596.0</t>
  </si>
  <si>
    <t>(Coeff.: 0.1482)</t>
  </si>
  <si>
    <t>Skew R.: 0.00</t>
  </si>
  <si>
    <t>G:\DESPRO\RAT FILES\CF6400.rat</t>
  </si>
  <si>
    <t>2-2-2-0-1-2</t>
  </si>
  <si>
    <t>B.L.-1  P.F.-1</t>
  </si>
  <si>
    <t>4954.2 / 5153.6</t>
  </si>
  <si>
    <t>2418.2 / 4047.2</t>
  </si>
  <si>
    <t>7111.9 / 4351.2</t>
  </si>
  <si>
    <t>1700.0 / 1939.0</t>
  </si>
  <si>
    <t>5045.0 / 2252.8</t>
  </si>
  <si>
    <t>855.5 / 382.0</t>
  </si>
  <si>
    <t>4189.5 / 1870.8</t>
  </si>
  <si>
    <t>1.75 / 0.78</t>
  </si>
  <si>
    <t>75 / 71</t>
  </si>
  <si>
    <t>Temp. Rise @ 100%:</t>
  </si>
  <si>
    <t>Stray Loss</t>
  </si>
  <si>
    <t>0.906 / 0.902</t>
  </si>
  <si>
    <t>0.944 / 0.939</t>
  </si>
  <si>
    <t>0.954 / 0.949</t>
  </si>
  <si>
    <t>0.956 / 0.951</t>
  </si>
  <si>
    <t>0.955 / 0.950</t>
  </si>
  <si>
    <t>0.561 / 0.560</t>
  </si>
  <si>
    <t>0.775 / 0.775</t>
  </si>
  <si>
    <t>0.851 / 0.850</t>
  </si>
  <si>
    <t>0.879 / 0.879</t>
  </si>
  <si>
    <t>0.888 / 0.887</t>
  </si>
  <si>
    <t>21.18 / 21.31</t>
  </si>
  <si>
    <t>29.43 / 29.60</t>
  </si>
  <si>
    <t>39.81 / 40.04</t>
  </si>
  <si>
    <t>51.26 / 51.56</t>
  </si>
  <si>
    <t>63.51 / 63.88</t>
  </si>
  <si>
    <t>4.39 / 4.42</t>
  </si>
  <si>
    <t>UB: 3.01 / 3.02</t>
  </si>
  <si>
    <t>UER: 1.40 / 1.41</t>
  </si>
  <si>
    <t>1197.7 / 1185.7</t>
  </si>
  <si>
    <t>1195.4 / 1183.5</t>
  </si>
  <si>
    <t>1193.1 / 1181.2</t>
  </si>
  <si>
    <t>1190.7 / 1178.8</t>
  </si>
  <si>
    <t>1188.2 / 1176.4</t>
  </si>
  <si>
    <t>0.0020 / 0.0119</t>
  </si>
  <si>
    <t>0.0038 / 0.0138</t>
  </si>
  <si>
    <t>0.0058 / 0.0157</t>
  </si>
  <si>
    <t>0.0078 / 0.0177</t>
  </si>
  <si>
    <t>0.0098 / 0.0197</t>
  </si>
  <si>
    <t>16.113 / 15.099</t>
  </si>
  <si>
    <t>0.727 / 0.682</t>
  </si>
  <si>
    <t>16.13 / 15.11</t>
  </si>
  <si>
    <t>293.2 / 346.2</t>
  </si>
  <si>
    <t>571.9 / 675.3</t>
  </si>
  <si>
    <t>244.1 / 300.1</t>
  </si>
  <si>
    <t>100.0 / 123.0</t>
  </si>
  <si>
    <t>258.6 / 310.4</t>
  </si>
  <si>
    <t>Correlated to: CF6450_Fan550_H402115.dat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</si>
  <si>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</si>
  <si>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</si>
  <si>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</si>
  <si>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</si>
  <si>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</si>
  <si>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</si>
  <si>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</si>
  <si>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</si>
  <si>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</si>
  <si>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</si>
  <si>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</si>
  <si>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</si>
  <si>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</si>
  <si>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</si>
  <si>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</si>
  <si>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</si>
  <si>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</si>
  <si>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</si>
  <si>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</si>
  <si>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</si>
  <si>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</si>
  <si>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</si>
  <si>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</si>
  <si>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</si>
  <si>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</si>
  <si>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</si>
  <si>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</si>
  <si>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</si>
  <si>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</si>
  <si>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</si>
  <si>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</si>
  <si>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</si>
  <si>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</si>
  <si>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</si>
  <si>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</si>
  <si>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</si>
  <si>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</si>
  <si>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</si>
  <si>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</si>
  <si>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</si>
  <si>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</si>
  <si>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</si>
  <si>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</si>
  <si>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</si>
  <si>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</si>
  <si>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</si>
  <si>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</si>
  <si>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</si>
  <si>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</si>
  <si>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</si>
  <si>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</si>
  <si>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</si>
  <si>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</si>
  <si>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</si>
  <si>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</si>
  <si>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</si>
  <si>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</si>
  <si>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</si>
  <si>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</si>
  <si>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</si>
  <si>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</si>
  <si>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</si>
  <si>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</si>
  <si>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</si>
  <si>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</si>
  <si>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</si>
  <si>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</si>
  <si>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</si>
  <si>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</si>
  <si>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</si>
  <si>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</si>
  <si>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</si>
  <si>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</si>
  <si>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</si>
  <si>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</si>
  <si>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</si>
  <si>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</si>
  <si>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</si>
  <si>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</si>
  <si>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</si>
  <si>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</si>
  <si>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</si>
  <si>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</si>
  <si>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</si>
  <si>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</si>
  <si>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</si>
  <si>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</si>
  <si>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</si>
  <si>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</si>
  <si>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</si>
  <si>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</si>
  <si>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</si>
  <si>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</si>
  <si>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</si>
  <si>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</si>
  <si>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</si>
  <si>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</si>
  <si>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</si>
  <si>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</si>
  <si>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</si>
  <si>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</si>
  <si>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</si>
  <si>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</si>
  <si>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</si>
  <si>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</si>
  <si>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</si>
  <si>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</si>
  <si>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</si>
  <si>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</si>
  <si>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</si>
  <si>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</si>
  <si>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</si>
  <si>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CF6400</t>
  </si>
  <si>
    <t>Type: TIKE - Form: FCKW - 6 Pole - 400 HP - 4000 V - 60 Hz - 5011 - Class F</t>
  </si>
  <si>
    <t>14 x 1</t>
  </si>
  <si>
    <t>1 x Wye</t>
  </si>
  <si>
    <t>75 / 99</t>
  </si>
  <si>
    <t>442 / 2941</t>
  </si>
  <si>
    <t>G</t>
  </si>
  <si>
    <t>302 / 141</t>
  </si>
  <si>
    <t>M.CAMPBELL</t>
  </si>
  <si>
    <t>LINK:</t>
  </si>
  <si>
    <t>EXP_H402115.RAT &amp; CF6450_FAN550_H402115.DAT</t>
  </si>
  <si>
    <t>O-FAN AL/550/90/PLT 140-4614-01</t>
  </si>
  <si>
    <t>RSO2: 400-V320-01 REF ONLY</t>
  </si>
  <si>
    <t>USE MOTOR COVER &amp;FAN COVER W/FOAM FOR 85dBA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</si>
  <si>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</si>
  <si>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</si>
  <si>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</si>
  <si>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</si>
  <si>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</si>
  <si>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</si>
  <si>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</si>
  <si>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</si>
  <si>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</si>
  <si>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707.8 kg.m²</t>
  </si>
  <si>
    <t>Acceleration Data (FV V)</t>
  </si>
  <si>
    <t>8.8 (s)</t>
  </si>
  <si>
    <t>244.1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</si>
  <si>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</si>
  <si>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</si>
  <si>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</si>
  <si>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</si>
  <si>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</si>
  <si>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</si>
  <si>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</si>
  <si>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</si>
  <si>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</si>
  <si>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</si>
  <si>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</si>
  <si>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</si>
  <si>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</si>
  <si>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</si>
  <si>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</si>
  <si>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</si>
  <si>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</si>
  <si>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</si>
  <si>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</si>
  <si>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</si>
  <si>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</si>
  <si>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</si>
  <si>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</si>
  <si>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</si>
  <si>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</si>
  <si>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</si>
  <si>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</si>
  <si>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</si>
  <si>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</si>
  <si>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</si>
  <si>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</si>
  <si>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</si>
  <si>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</si>
  <si>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</si>
  <si>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</si>
  <si>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</si>
  <si>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</si>
  <si>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</si>
  <si>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</si>
  <si>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- 400.0 HP - 1200 RPM - 4000 V - 60 Hz</t>
  </si>
  <si>
    <t>0~121</t>
  </si>
  <si>
    <t>121~242</t>
  </si>
  <si>
    <t>242~362</t>
  </si>
  <si>
    <t>362~483</t>
  </si>
  <si>
    <t>483~604</t>
  </si>
  <si>
    <t>604~725</t>
  </si>
  <si>
    <t>725~845</t>
  </si>
  <si>
    <t>845~966</t>
  </si>
  <si>
    <t>966~1026</t>
  </si>
  <si>
    <t>1026~1087</t>
  </si>
  <si>
    <t>1087~1147</t>
  </si>
  <si>
    <t>1147~1189</t>
  </si>
  <si>
    <t>1189~1191</t>
  </si>
  <si>
    <t>Load Type: Fan / Pump - 4198.7 lb-ft²</t>
  </si>
  <si>
    <t>120.1</t>
  </si>
  <si>
    <t>120.4</t>
  </si>
  <si>
    <t>121.0</t>
  </si>
  <si>
    <t>121.8</t>
  </si>
  <si>
    <t>123.2</t>
  </si>
  <si>
    <t>125.6</t>
  </si>
  <si>
    <t>130.1</t>
  </si>
  <si>
    <t>140.8</t>
  </si>
  <si>
    <t>161.1</t>
  </si>
  <si>
    <t>200.1</t>
  </si>
  <si>
    <t>268.3</t>
  </si>
  <si>
    <t>217.4</t>
  </si>
  <si>
    <t>112.4</t>
  </si>
  <si>
    <t>22.5</t>
  </si>
  <si>
    <t>11.5</t>
  </si>
  <si>
    <t>7.0</t>
  </si>
  <si>
    <t>7.1</t>
  </si>
  <si>
    <t>11.2</t>
  </si>
  <si>
    <t>18.3</t>
  </si>
  <si>
    <t>28.1</t>
  </si>
  <si>
    <t>42.4</t>
  </si>
  <si>
    <t>56.8</t>
  </si>
  <si>
    <t>68.9</t>
  </si>
  <si>
    <t>82.1</t>
  </si>
  <si>
    <t>93.4</t>
  </si>
  <si>
    <t>99.1</t>
  </si>
  <si>
    <t>1.007</t>
  </si>
  <si>
    <t>0.902</t>
  </si>
  <si>
    <t>0.862</t>
  </si>
  <si>
    <t>0.857</t>
  </si>
  <si>
    <t>0.878</t>
  </si>
  <si>
    <t>0.916</t>
  </si>
  <si>
    <t>0.964</t>
  </si>
  <si>
    <t>0.999</t>
  </si>
  <si>
    <t>0.471</t>
  </si>
  <si>
    <t>0.375</t>
  </si>
  <si>
    <t>0.264</t>
  </si>
  <si>
    <t>0.278</t>
  </si>
  <si>
    <t>0.075</t>
  </si>
  <si>
    <t>344.5</t>
  </si>
  <si>
    <t>341.3</t>
  </si>
  <si>
    <t>337.5</t>
  </si>
  <si>
    <t>333.0</t>
  </si>
  <si>
    <t>327.7</t>
  </si>
  <si>
    <t>321.5</t>
  </si>
  <si>
    <t>314.2</t>
  </si>
  <si>
    <t>304.8</t>
  </si>
  <si>
    <t>294.8</t>
  </si>
  <si>
    <t>280.8</t>
  </si>
  <si>
    <t>243.0</t>
  </si>
  <si>
    <t>139.4</t>
  </si>
  <si>
    <t>36.3</t>
  </si>
  <si>
    <t>227.3</t>
  </si>
  <si>
    <t>187.5</t>
  </si>
  <si>
    <t>181.8</t>
  </si>
  <si>
    <t>180.8</t>
  </si>
  <si>
    <t>182.2</t>
  </si>
  <si>
    <t>183.9</t>
  </si>
  <si>
    <t>181.3</t>
  </si>
  <si>
    <t>79.6</t>
  </si>
  <si>
    <t>59.5</t>
  </si>
  <si>
    <t>36.6</t>
  </si>
  <si>
    <t>24.1</t>
  </si>
  <si>
    <t>0.4</t>
  </si>
  <si>
    <t>321.4</t>
  </si>
  <si>
    <t>259.3</t>
  </si>
  <si>
    <t>220.9</t>
  </si>
  <si>
    <t>193.0</t>
  </si>
  <si>
    <t>170.6</t>
  </si>
  <si>
    <t>150.2</t>
  </si>
  <si>
    <t>129.0</t>
  </si>
  <si>
    <t>104.5</t>
  </si>
  <si>
    <t>72.6</t>
  </si>
  <si>
    <t>50.0</t>
  </si>
  <si>
    <t>30.0</t>
  </si>
  <si>
    <t>28.8</t>
  </si>
  <si>
    <t>19.1</t>
  </si>
  <si>
    <t>1725 kW / s</t>
  </si>
  <si>
    <t>1638 kW / s</t>
  </si>
  <si>
    <t>112 kW / s</t>
  </si>
  <si>
    <t>46°C</t>
  </si>
  <si>
    <t>42°C</t>
  </si>
  <si>
    <t>10°C</t>
  </si>
  <si>
    <t>91°C</t>
  </si>
  <si>
    <t>85°C</t>
  </si>
  <si>
    <t>20°C</t>
  </si>
  <si>
    <t>Acceleration Time:  8.8 s</t>
  </si>
  <si>
    <t>7.1°C / s</t>
  </si>
  <si>
    <t>8.7°C / s</t>
  </si>
  <si>
    <t>2.0°C / s</t>
  </si>
  <si>
    <t>269.2 kW</t>
  </si>
  <si>
    <t>335.2 kW</t>
  </si>
  <si>
    <t>22.9 kW</t>
  </si>
  <si>
    <t>22.5 s</t>
  </si>
  <si>
    <t>30.0 s</t>
  </si>
  <si>
    <t>88.7 s</t>
  </si>
  <si>
    <t>75°C    +</t>
  </si>
  <si>
    <t>101°C    +</t>
  </si>
  <si>
    <t>85°C    +</t>
  </si>
  <si>
    <t>159°C   +</t>
  </si>
  <si>
    <t>79°C   +</t>
  </si>
  <si>
    <t>11.9 s</t>
  </si>
  <si>
    <t>18.3 s</t>
  </si>
  <si>
    <t>38.7 s</t>
  </si>
  <si>
    <t>55.3 s</t>
  </si>
  <si>
    <t>24.1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</si>
  <si>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</si>
  <si>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</si>
  <si>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</si>
  <si>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</si>
  <si>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</si>
  <si>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</si>
  <si>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</si>
  <si>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</si>
  <si>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</si>
  <si>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</si>
  <si>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</si>
  <si>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</si>
  <si>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</si>
  <si>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</si>
  <si>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</si>
  <si>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</si>
  <si>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</si>
  <si>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</si>
  <si>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</si>
  <si>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</si>
  <si>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</si>
  <si>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221.5 lb-ft²</t>
  </si>
  <si>
    <t>4198.7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</si>
  <si>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</si>
  <si>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</si>
  <si>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</si>
  <si>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</si>
  <si>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</si>
  <si>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</si>
  <si>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</si>
  <si>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</si>
  <si>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</si>
  <si>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</si>
  <si>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</si>
  <si>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</si>
  <si>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</si>
  <si>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</si>
  <si>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</si>
  <si>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</si>
  <si>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</si>
  <si>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</si>
  <si>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</si>
  <si>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</si>
  <si>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</si>
  <si>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</si>
  <si>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</si>
  <si>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</si>
  <si>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</si>
  <si>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</si>
  <si>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</si>
  <si>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</si>
  <si>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</si>
  <si>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</si>
  <si>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</si>
  <si>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</si>
  <si>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</si>
  <si>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</si>
  <si>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</si>
  <si>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</si>
  <si>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</si>
  <si>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</si>
  <si>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</si>
  <si>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</si>
  <si>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</si>
  <si>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</si>
  <si>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</si>
  <si>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</si>
  <si>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</si>
  <si>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</si>
  <si>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</si>
  <si>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</si>
  <si>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</si>
  <si>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</si>
  <si>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</si>
  <si>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</si>
  <si>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</si>
  <si>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</si>
  <si>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</si>
  <si>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</si>
  <si>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</si>
  <si>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</si>
  <si>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</si>
  <si>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</si>
  <si>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</si>
  <si>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</si>
  <si>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</si>
  <si>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</si>
  <si>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</si>
  <si>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</si>
  <si>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</si>
  <si>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</si>
  <si>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</si>
  <si>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</si>
  <si>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</si>
  <si>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</si>
  <si>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</si>
  <si>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</si>
  <si>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</si>
  <si>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</si>
  <si>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</si>
  <si>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</si>
  <si>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</si>
  <si>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</si>
  <si>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</si>
  <si>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</si>
  <si>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</si>
  <si>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</si>
  <si>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</si>
  <si>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</si>
  <si>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</si>
  <si>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</si>
  <si>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</si>
  <si>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</si>
  <si>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</si>
  <si>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</si>
  <si>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</si>
  <si>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</si>
  <si>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</si>
  <si>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</si>
  <si>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</si>
  <si>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</si>
  <si>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</si>
  <si>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</si>
  <si>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</si>
  <si>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</si>
  <si>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</si>
  <si>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</si>
  <si>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</si>
  <si>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</si>
  <si>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</si>
  <si>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</si>
  <si>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</si>
  <si>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</si>
  <si>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</si>
  <si>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</si>
  <si>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</si>
  <si>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</si>
  <si>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</si>
  <si>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</si>
  <si>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5011US</t>
  </si>
  <si>
    <t>FCW4</t>
  </si>
  <si>
    <t>1.15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</si>
  <si>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</si>
  <si>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</si>
  <si>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</si>
  <si>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</si>
  <si>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</si>
  <si>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</si>
  <si>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</si>
  <si>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BOM created from CF6400 EDS sheet, 350-H12011RU and 350-P143817U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</si>
</sst>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color indexed="8"/>
      <name val="Univers (W1)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192" fontId="66" fillId="0" borderId="0"/>
  </cellStyleXfs>
  <cellXfs count="69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3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84" fontId="1" fillId="0" borderId="33" xfId="0" applyNumberFormat="1" applyFont="1" applyBorder="1" applyAlignment="1">
      <alignment horizontal="center"/>
    </xf>
    <xf numFmtId="0" fontId="1" fillId="0" borderId="0" xfId="0" applyFont="1"/>
    <xf numFmtId="184" fontId="1" fillId="0" borderId="0" xfId="0" applyNumberFormat="1" applyFont="1"/>
    <xf numFmtId="184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83" fontId="22" fillId="0" borderId="1" xfId="0" applyNumberFormat="1" applyFont="1" applyBorder="1" applyAlignment="1">
      <alignment horizontal="center"/>
    </xf>
    <xf numFmtId="183" fontId="22" fillId="0" borderId="9" xfId="0" applyNumberFormat="1" applyFont="1" applyBorder="1" applyAlignment="1">
      <alignment horizontal="center"/>
    </xf>
    <xf numFmtId="182" fontId="22" fillId="0" borderId="1" xfId="0" applyNumberFormat="1" applyFont="1" applyBorder="1" applyAlignment="1">
      <alignment horizontal="center"/>
    </xf>
    <xf numFmtId="182" fontId="22" fillId="0" borderId="9" xfId="0" applyNumberFormat="1" applyFont="1" applyBorder="1" applyAlignment="1">
      <alignment horizontal="center"/>
    </xf>
    <xf numFmtId="184" fontId="22" fillId="0" borderId="1" xfId="0" applyNumberFormat="1" applyFont="1" applyBorder="1" applyAlignment="1">
      <alignment horizontal="center"/>
    </xf>
    <xf numFmtId="184" fontId="22" fillId="0" borderId="9" xfId="0" applyNumberFormat="1" applyFont="1" applyBorder="1" applyAlignment="1">
      <alignment horizontal="center"/>
    </xf>
    <xf numFmtId="183" fontId="22" fillId="0" borderId="11" xfId="0" applyNumberFormat="1" applyFont="1" applyBorder="1" applyAlignment="1">
      <alignment horizontal="center"/>
    </xf>
    <xf numFmtId="183" fontId="23" fillId="0" borderId="31" xfId="0" applyNumberFormat="1" applyFont="1" applyBorder="1" applyAlignment="1">
      <alignment horizontal="center"/>
    </xf>
    <xf numFmtId="183" fontId="23" fillId="0" borderId="51" xfId="0" applyNumberFormat="1" applyFont="1" applyBorder="1" applyAlignment="1">
      <alignment horizontal="center"/>
    </xf>
    <xf numFmtId="183" fontId="23" fillId="0" borderId="32" xfId="0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 applyFill="1"/>
    <xf numFmtId="0" fontId="27" fillId="0" borderId="0" xfId="1" applyFont="1" applyFill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 applyFill="1"/>
    <xf numFmtId="0" fontId="33" fillId="0" borderId="52" xfId="1" applyFont="1" applyFill="1" applyBorder="1"/>
    <xf numFmtId="0" fontId="19" fillId="0" borderId="54" xfId="1" applyFont="1" applyFill="1" applyBorder="1"/>
    <xf numFmtId="0" fontId="33" fillId="0" borderId="54" xfId="1" applyFont="1" applyFill="1" applyBorder="1"/>
    <xf numFmtId="0" fontId="34" fillId="0" borderId="0" xfId="1" applyFont="1" applyFill="1"/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Border="1" applyAlignment="1">
      <alignment horizontal="left"/>
    </xf>
    <xf numFmtId="0" fontId="31" fillId="5" borderId="0" xfId="1" applyFont="1" applyFill="1" applyBorder="1"/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Fill="1" applyBorder="1"/>
    <xf numFmtId="0" fontId="19" fillId="0" borderId="21" xfId="1" applyFont="1" applyFill="1" applyBorder="1"/>
    <xf numFmtId="0" fontId="33" fillId="0" borderId="21" xfId="1" applyFont="1" applyFill="1" applyBorder="1"/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3" fillId="0" borderId="46" xfId="1" applyFont="1" applyFill="1" applyBorder="1"/>
    <xf numFmtId="0" fontId="33" fillId="0" borderId="24" xfId="1" applyFont="1" applyFill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Fill="1" applyBorder="1"/>
    <xf numFmtId="184" fontId="38" fillId="0" borderId="65" xfId="1" applyNumberFormat="1" applyFont="1" applyFill="1" applyBorder="1" applyAlignment="1">
      <alignment horizontal="center"/>
    </xf>
    <xf numFmtId="184" fontId="38" fillId="0" borderId="66" xfId="1" applyNumberFormat="1" applyFont="1" applyFill="1" applyBorder="1" applyAlignment="1">
      <alignment horizontal="center"/>
    </xf>
    <xf numFmtId="0" fontId="29" fillId="0" borderId="80" xfId="1" applyFont="1" applyFill="1" applyBorder="1" applyAlignment="1">
      <alignment horizontal="left"/>
    </xf>
    <xf numFmtId="0" fontId="29" fillId="0" borderId="81" xfId="1" applyFont="1" applyFill="1" applyBorder="1" applyAlignment="1">
      <alignment horizontal="left"/>
    </xf>
    <xf numFmtId="0" fontId="29" fillId="0" borderId="82" xfId="1" applyFont="1" applyFill="1" applyBorder="1" applyAlignment="1">
      <alignment horizontal="left"/>
    </xf>
    <xf numFmtId="0" fontId="19" fillId="0" borderId="24" xfId="1" applyFont="1" applyFill="1" applyBorder="1"/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Fill="1" applyBorder="1"/>
    <xf numFmtId="0" fontId="38" fillId="0" borderId="92" xfId="1" applyFont="1" applyFill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Fill="1" applyBorder="1"/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3" fillId="0" borderId="24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84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4" fillId="0" borderId="107" xfId="1" applyFont="1" applyFill="1" applyBorder="1" applyAlignment="1">
      <alignment horizontal="left"/>
    </xf>
    <xf numFmtId="0" fontId="34" fillId="0" borderId="77" xfId="1" applyFont="1" applyFill="1" applyBorder="1" applyAlignment="1">
      <alignment horizontal="left"/>
    </xf>
    <xf numFmtId="0" fontId="34" fillId="0" borderId="78" xfId="1" applyFont="1" applyFill="1" applyBorder="1"/>
    <xf numFmtId="0" fontId="34" fillId="0" borderId="79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34" fillId="0" borderId="45" xfId="1" applyFont="1" applyFill="1" applyBorder="1" applyAlignment="1">
      <alignment horizontal="center"/>
    </xf>
    <xf numFmtId="0" fontId="34" fillId="0" borderId="0" xfId="1" applyFont="1" applyFill="1" applyBorder="1" applyAlignment="1">
      <alignment horizontal="center"/>
    </xf>
    <xf numFmtId="0" fontId="34" fillId="0" borderId="108" xfId="1" applyFont="1" applyFill="1" applyBorder="1" applyAlignment="1">
      <alignment horizontal="center"/>
    </xf>
    <xf numFmtId="0" fontId="34" fillId="0" borderId="87" xfId="1" applyFont="1" applyFill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4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34" fillId="0" borderId="109" xfId="1" applyFont="1" applyFill="1" applyBorder="1" applyAlignment="1">
      <alignment horizontal="center"/>
    </xf>
    <xf numFmtId="0" fontId="34" fillId="0" borderId="40" xfId="1" applyFont="1" applyFill="1" applyBorder="1" applyAlignment="1">
      <alignment horizontal="center"/>
    </xf>
    <xf numFmtId="0" fontId="34" fillId="0" borderId="39" xfId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45" fillId="0" borderId="0" xfId="1" applyFont="1" applyFill="1"/>
    <xf numFmtId="0" fontId="29" fillId="0" borderId="38" xfId="1" applyFont="1" applyFill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6" fillId="0" borderId="0" xfId="1" applyFont="1" applyFill="1" applyAlignment="1">
      <alignment horizontal="right"/>
    </xf>
    <xf numFmtId="2" fontId="34" fillId="0" borderId="0" xfId="2" applyNumberFormat="1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4" fillId="0" borderId="0" xfId="1" applyFont="1" applyFill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7" fillId="0" borderId="0" xfId="1" applyFont="1" applyFill="1"/>
    <xf numFmtId="0" fontId="34" fillId="0" borderId="46" xfId="1" applyFont="1" applyFill="1" applyBorder="1" applyAlignment="1">
      <alignment horizontal="center"/>
    </xf>
    <xf numFmtId="0" fontId="34" fillId="0" borderId="23" xfId="1" applyFont="1" applyFill="1" applyBorder="1" applyAlignment="1">
      <alignment horizontal="center"/>
    </xf>
    <xf numFmtId="0" fontId="34" fillId="0" borderId="48" xfId="1" applyFont="1" applyFill="1" applyBorder="1" applyAlignment="1">
      <alignment horizontal="center"/>
    </xf>
    <xf numFmtId="0" fontId="36" fillId="0" borderId="116" xfId="1" applyFont="1" applyFill="1" applyBorder="1"/>
    <xf numFmtId="0" fontId="48" fillId="5" borderId="117" xfId="1" applyFont="1" applyFill="1" applyBorder="1" applyAlignment="1">
      <alignment horizontal="center"/>
    </xf>
    <xf numFmtId="0" fontId="48" fillId="5" borderId="118" xfId="1" applyFont="1" applyFill="1" applyBorder="1" applyAlignment="1">
      <alignment horizontal="center"/>
    </xf>
    <xf numFmtId="0" fontId="36" fillId="5" borderId="119" xfId="1" applyFont="1" applyFill="1" applyBorder="1"/>
    <xf numFmtId="0" fontId="48" fillId="5" borderId="120" xfId="1" applyFont="1" applyFill="1" applyBorder="1" applyAlignment="1">
      <alignment horizontal="center" shrinkToFit="1"/>
    </xf>
    <xf numFmtId="0" fontId="31" fillId="5" borderId="45" xfId="1" applyFont="1" applyFill="1" applyBorder="1"/>
    <xf numFmtId="0" fontId="36" fillId="5" borderId="121" xfId="1" applyFont="1" applyFill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Fill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 applyFill="1"/>
    <xf numFmtId="0" fontId="3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51" fillId="0" borderId="41" xfId="3" applyFont="1" applyBorder="1" applyAlignment="1">
      <alignment horizontal="center"/>
    </xf>
    <xf numFmtId="0" fontId="1" fillId="0" borderId="0" xfId="3"/>
    <xf numFmtId="0" fontId="52" fillId="0" borderId="45" xfId="3" applyFont="1" applyBorder="1" applyAlignment="1">
      <alignment horizontal="center"/>
    </xf>
    <xf numFmtId="0" fontId="52" fillId="0" borderId="0" xfId="3" applyFont="1" applyBorder="1" applyAlignment="1">
      <alignment horizontal="center"/>
    </xf>
    <xf numFmtId="0" fontId="52" fillId="0" borderId="127" xfId="3" applyFont="1" applyBorder="1" applyAlignment="1">
      <alignment horizontal="center"/>
    </xf>
    <xf numFmtId="0" fontId="1" fillId="0" borderId="127" xfId="3" applyBorder="1" applyAlignment="1">
      <alignment horizontal="center"/>
    </xf>
    <xf numFmtId="0" fontId="51" fillId="0" borderId="127" xfId="3" applyFont="1" applyBorder="1" applyAlignment="1">
      <alignment horizontal="center"/>
    </xf>
    <xf numFmtId="0" fontId="52" fillId="0" borderId="45" xfId="3" applyFont="1" applyBorder="1" applyAlignment="1">
      <alignment horizontal="center"/>
    </xf>
    <xf numFmtId="0" fontId="52" fillId="0" borderId="0" xfId="3" applyFont="1" applyBorder="1" applyAlignment="1">
      <alignment horizontal="center"/>
    </xf>
    <xf numFmtId="0" fontId="1" fillId="0" borderId="45" xfId="3" applyBorder="1"/>
    <xf numFmtId="0" fontId="53" fillId="0" borderId="0" xfId="3" applyFont="1"/>
    <xf numFmtId="0" fontId="1" fillId="0" borderId="127" xfId="3" applyBorder="1"/>
    <xf numFmtId="0" fontId="51" fillId="0" borderId="0" xfId="3" applyFont="1"/>
    <xf numFmtId="0" fontId="51" fillId="0" borderId="127" xfId="3" applyFont="1" applyBorder="1"/>
    <xf numFmtId="19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51" fillId="0" borderId="1" xfId="3" applyNumberFormat="1" applyFont="1" applyBorder="1"/>
    <xf numFmtId="191" fontId="51" fillId="0" borderId="1" xfId="3" applyNumberFormat="1" applyFont="1" applyBorder="1"/>
    <xf numFmtId="0" fontId="1" fillId="0" borderId="1" xfId="3" applyBorder="1"/>
    <xf numFmtId="0" fontId="1" fillId="0" borderId="9" xfId="3" applyBorder="1"/>
    <xf numFmtId="191" fontId="1" fillId="0" borderId="1" xfId="3" applyNumberFormat="1" applyBorder="1"/>
    <xf numFmtId="0" fontId="1" fillId="0" borderId="1" xfId="3" applyBorder="1" applyAlignment="1">
      <alignment horizontal="center"/>
    </xf>
    <xf numFmtId="190" fontId="1" fillId="0" borderId="18" xfId="3" applyNumberFormat="1" applyBorder="1"/>
    <xf numFmtId="49" fontId="1" fillId="0" borderId="26" xfId="3" applyNumberFormat="1" applyBorder="1"/>
    <xf numFmtId="191" fontId="1" fillId="0" borderId="26" xfId="3" applyNumberFormat="1" applyBorder="1"/>
    <xf numFmtId="0" fontId="1" fillId="0" borderId="26" xfId="3" applyBorder="1"/>
    <xf numFmtId="0" fontId="1" fillId="0" borderId="128" xfId="3" applyBorder="1"/>
    <xf numFmtId="0" fontId="52" fillId="0" borderId="53" xfId="3" applyFont="1" applyBorder="1" applyAlignment="1">
      <alignment horizontal="center"/>
    </xf>
    <xf numFmtId="0" fontId="51" fillId="0" borderId="129" xfId="3" applyFont="1" applyBorder="1" applyAlignment="1">
      <alignment horizontal="center"/>
    </xf>
    <xf numFmtId="0" fontId="51" fillId="0" borderId="15" xfId="3" applyFont="1" applyBorder="1" applyAlignment="1">
      <alignment horizontal="center"/>
    </xf>
    <xf numFmtId="0" fontId="51" fillId="0" borderId="7" xfId="3" applyFont="1" applyBorder="1" applyAlignment="1">
      <alignment horizontal="center"/>
    </xf>
    <xf numFmtId="0" fontId="51" fillId="0" borderId="130" xfId="3" applyFont="1" applyBorder="1" applyAlignment="1">
      <alignment horizontal="center"/>
    </xf>
    <xf numFmtId="0" fontId="51" fillId="0" borderId="130" xfId="3" applyFont="1" applyBorder="1" applyAlignment="1">
      <alignment horizontal="center"/>
    </xf>
    <xf numFmtId="0" fontId="51" fillId="0" borderId="8" xfId="3" applyFont="1" applyBorder="1" applyAlignment="1">
      <alignment horizontal="center"/>
    </xf>
    <xf numFmtId="49" fontId="51" fillId="0" borderId="2" xfId="3" applyNumberFormat="1" applyFon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0" fontId="1" fillId="0" borderId="55" xfId="3" applyBorder="1" applyAlignment="1">
      <alignment horizontal="left"/>
    </xf>
    <xf numFmtId="190" fontId="1" fillId="0" borderId="50" xfId="3" applyNumberFormat="1" applyBorder="1" applyAlignment="1">
      <alignment horizontal="center"/>
    </xf>
    <xf numFmtId="190" fontId="1" fillId="0" borderId="13" xfId="3" applyNumberFormat="1" applyBorder="1" applyAlignment="1">
      <alignment horizontal="center"/>
    </xf>
    <xf numFmtId="190" fontId="1" fillId="0" borderId="55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49" fontId="1" fillId="0" borderId="3" xfId="3" applyNumberFormat="1" applyBorder="1"/>
    <xf numFmtId="0" fontId="1" fillId="0" borderId="17" xfId="3" applyBorder="1" applyAlignment="1">
      <alignment horizontal="left"/>
    </xf>
    <xf numFmtId="0" fontId="1" fillId="0" borderId="131" xfId="3" applyBorder="1" applyAlignment="1">
      <alignment horizontal="left"/>
    </xf>
    <xf numFmtId="0" fontId="1" fillId="0" borderId="132" xfId="3" applyBorder="1" applyAlignment="1">
      <alignment horizontal="left"/>
    </xf>
    <xf numFmtId="190" fontId="1" fillId="0" borderId="17" xfId="3" applyNumberFormat="1" applyBorder="1" applyAlignment="1">
      <alignment horizontal="center"/>
    </xf>
    <xf numFmtId="190" fontId="1" fillId="0" borderId="131" xfId="3" applyNumberFormat="1" applyBorder="1" applyAlignment="1">
      <alignment horizontal="center"/>
    </xf>
    <xf numFmtId="190" fontId="1" fillId="0" borderId="132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1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49" fontId="1" fillId="0" borderId="4" xfId="3" applyNumberFormat="1" applyBorder="1"/>
    <xf numFmtId="0" fontId="1" fillId="0" borderId="31" xfId="3" applyBorder="1" applyAlignment="1">
      <alignment horizontal="left"/>
    </xf>
    <xf numFmtId="0" fontId="1" fillId="0" borderId="51" xfId="3" applyBorder="1" applyAlignment="1">
      <alignment horizontal="left"/>
    </xf>
    <xf numFmtId="0" fontId="1" fillId="0" borderId="133" xfId="3" applyBorder="1" applyAlignment="1">
      <alignment horizontal="left"/>
    </xf>
    <xf numFmtId="190" fontId="1" fillId="0" borderId="31" xfId="3" applyNumberFormat="1" applyBorder="1" applyAlignment="1">
      <alignment horizontal="center"/>
    </xf>
    <xf numFmtId="190" fontId="1" fillId="0" borderId="51" xfId="3" applyNumberFormat="1" applyBorder="1" applyAlignment="1">
      <alignment horizontal="center"/>
    </xf>
    <xf numFmtId="190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51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184" fontId="38" fillId="0" borderId="96" xfId="1" applyNumberFormat="1" applyFont="1" applyFill="1" applyBorder="1" applyAlignment="1">
      <alignment horizontal="center"/>
    </xf>
    <xf numFmtId="0" fontId="54" fillId="5" borderId="72" xfId="1" applyFont="1" applyFill="1" applyBorder="1" applyAlignment="1">
      <alignment horizontal="left"/>
    </xf>
    <xf numFmtId="0" fontId="18" fillId="5" borderId="68" xfId="1" applyFont="1" applyFill="1" applyBorder="1" applyAlignment="1">
      <alignment horizontal="left"/>
    </xf>
    <xf numFmtId="184" fontId="2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1" fillId="0" borderId="0" xfId="4"/>
    <xf numFmtId="0" fontId="25" fillId="0" borderId="0" xfId="4" applyFont="1"/>
    <xf numFmtId="0" fontId="55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7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5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55" fillId="0" borderId="17" xfId="4" applyFont="1" applyBorder="1" applyAlignment="1">
      <alignment horizontal="right"/>
    </xf>
    <xf numFmtId="0" fontId="55" fillId="0" borderId="131" xfId="4" applyFont="1" applyBorder="1" applyAlignment="1">
      <alignment horizontal="right"/>
    </xf>
    <xf numFmtId="0" fontId="55" fillId="0" borderId="131" xfId="4" applyFont="1" applyBorder="1" applyAlignment="1">
      <alignment horizontal="center"/>
    </xf>
    <xf numFmtId="0" fontId="55" fillId="0" borderId="132" xfId="4" quotePrefix="1" applyFont="1" applyBorder="1" applyAlignment="1">
      <alignment horizontal="center"/>
    </xf>
    <xf numFmtId="0" fontId="55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32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8" fillId="0" borderId="61" xfId="4" applyFont="1" applyBorder="1"/>
    <xf numFmtId="0" fontId="58" fillId="0" borderId="62" xfId="4" applyFont="1" applyBorder="1"/>
    <xf numFmtId="0" fontId="58" fillId="0" borderId="38" xfId="4" applyFont="1" applyBorder="1"/>
    <xf numFmtId="0" fontId="59" fillId="0" borderId="83" xfId="4" applyFont="1" applyBorder="1" applyAlignment="1">
      <alignment horizontal="centerContinuous"/>
    </xf>
    <xf numFmtId="0" fontId="58" fillId="0" borderId="0" xfId="4" applyFont="1" applyBorder="1" applyAlignment="1">
      <alignment horizontal="centerContinuous"/>
    </xf>
    <xf numFmtId="0" fontId="58" fillId="0" borderId="108" xfId="4" applyFont="1" applyBorder="1" applyAlignment="1">
      <alignment horizontal="centerContinuous"/>
    </xf>
    <xf numFmtId="0" fontId="60" fillId="0" borderId="83" xfId="4" applyFont="1" applyBorder="1" applyAlignment="1">
      <alignment horizontal="centerContinuous"/>
    </xf>
    <xf numFmtId="0" fontId="58" fillId="0" borderId="83" xfId="4" applyFont="1" applyBorder="1"/>
    <xf numFmtId="0" fontId="58" fillId="0" borderId="0" xfId="4" applyFont="1" applyBorder="1"/>
    <xf numFmtId="0" fontId="58" fillId="0" borderId="108" xfId="4" applyFont="1" applyBorder="1"/>
    <xf numFmtId="0" fontId="61" fillId="0" borderId="1" xfId="4" applyFont="1" applyBorder="1" applyAlignment="1">
      <alignment horizontal="right"/>
    </xf>
    <xf numFmtId="0" fontId="58" fillId="0" borderId="17" xfId="4" applyFont="1" applyBorder="1" applyAlignment="1">
      <alignment horizontal="center"/>
    </xf>
    <xf numFmtId="0" fontId="58" fillId="0" borderId="131" xfId="4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14" fontId="58" fillId="0" borderId="1" xfId="4" applyNumberFormat="1" applyFont="1" applyBorder="1" applyAlignment="1">
      <alignment horizontal="center"/>
    </xf>
    <xf numFmtId="0" fontId="61" fillId="0" borderId="0" xfId="4" applyFont="1" applyBorder="1" applyAlignment="1">
      <alignment horizontal="right"/>
    </xf>
    <xf numFmtId="0" fontId="58" fillId="0" borderId="0" xfId="4" applyFont="1" applyBorder="1" applyAlignment="1">
      <alignment horizontal="center"/>
    </xf>
    <xf numFmtId="9" fontId="58" fillId="0" borderId="0" xfId="4" applyNumberFormat="1" applyFont="1" applyBorder="1" applyAlignment="1">
      <alignment horizontal="center"/>
    </xf>
    <xf numFmtId="0" fontId="61" fillId="0" borderId="83" xfId="4" applyFont="1" applyBorder="1" applyAlignment="1">
      <alignment horizontal="right"/>
    </xf>
    <xf numFmtId="0" fontId="58" fillId="0" borderId="40" xfId="4" applyFont="1" applyBorder="1"/>
    <xf numFmtId="0" fontId="58" fillId="0" borderId="39" xfId="4" applyFont="1" applyBorder="1" applyAlignment="1">
      <alignment horizontal="center"/>
    </xf>
    <xf numFmtId="0" fontId="58" fillId="0" borderId="85" xfId="4" applyFont="1" applyBorder="1"/>
    <xf numFmtId="0" fontId="61" fillId="0" borderId="17" xfId="4" applyFont="1" applyBorder="1" applyAlignment="1">
      <alignment horizontal="right"/>
    </xf>
    <xf numFmtId="0" fontId="58" fillId="0" borderId="132" xfId="4" applyFont="1" applyBorder="1"/>
    <xf numFmtId="184" fontId="3" fillId="0" borderId="0" xfId="4" quotePrefix="1" applyNumberFormat="1" applyFont="1" applyBorder="1" applyAlignment="1">
      <alignment horizontal="center"/>
    </xf>
    <xf numFmtId="184" fontId="2" fillId="0" borderId="0" xfId="4" applyNumberFormat="1" applyFont="1" applyBorder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Border="1" applyAlignment="1">
      <alignment horizontal="center"/>
    </xf>
    <xf numFmtId="0" fontId="60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Border="1" applyAlignment="1">
      <alignment horizontal="center"/>
    </xf>
    <xf numFmtId="0" fontId="62" fillId="0" borderId="108" xfId="4" applyFont="1" applyBorder="1" applyAlignment="1">
      <alignment horizontal="center"/>
    </xf>
    <xf numFmtId="0" fontId="63" fillId="0" borderId="0" xfId="4" applyFont="1"/>
    <xf numFmtId="0" fontId="1" fillId="0" borderId="0" xfId="4" applyBorder="1"/>
    <xf numFmtId="0" fontId="64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5" fillId="0" borderId="0" xfId="4" applyFont="1"/>
    <xf numFmtId="184" fontId="3" fillId="0" borderId="135" xfId="4" quotePrefix="1" applyNumberFormat="1" applyFont="1" applyBorder="1" applyAlignment="1">
      <alignment horizontal="center"/>
    </xf>
    <xf numFmtId="184" fontId="2" fillId="0" borderId="39" xfId="4" applyNumberFormat="1" applyFont="1" applyBorder="1" applyAlignment="1">
      <alignment horizontal="center"/>
    </xf>
    <xf numFmtId="184" fontId="2" fillId="0" borderId="28" xfId="4" applyNumberFormat="1" applyFont="1" applyBorder="1" applyAlignment="1">
      <alignment horizontal="center"/>
    </xf>
    <xf numFmtId="184" fontId="2" fillId="0" borderId="136" xfId="4" applyNumberFormat="1" applyFont="1" applyBorder="1" applyAlignment="1">
      <alignment horizontal="center"/>
    </xf>
    <xf numFmtId="184" fontId="3" fillId="0" borderId="137" xfId="4" quotePrefix="1" applyNumberFormat="1" applyFont="1" applyBorder="1" applyAlignment="1">
      <alignment horizontal="center"/>
    </xf>
    <xf numFmtId="184" fontId="2" fillId="0" borderId="132" xfId="4" applyNumberFormat="1" applyFont="1" applyBorder="1" applyAlignment="1">
      <alignment horizontal="center"/>
    </xf>
    <xf numFmtId="184" fontId="2" fillId="0" borderId="1" xfId="4" applyNumberFormat="1" applyFont="1" applyBorder="1" applyAlignment="1">
      <alignment horizontal="center"/>
    </xf>
    <xf numFmtId="184" fontId="2" fillId="0" borderId="9" xfId="4" applyNumberFormat="1" applyFont="1" applyBorder="1" applyAlignment="1">
      <alignment horizontal="center"/>
    </xf>
    <xf numFmtId="184" fontId="3" fillId="0" borderId="25" xfId="4" quotePrefix="1" applyNumberFormat="1" applyFont="1" applyBorder="1" applyAlignment="1">
      <alignment horizontal="center"/>
    </xf>
    <xf numFmtId="184" fontId="2" fillId="0" borderId="133" xfId="4" applyNumberFormat="1" applyFont="1" applyBorder="1" applyAlignment="1">
      <alignment horizontal="center"/>
    </xf>
    <xf numFmtId="184" fontId="2" fillId="0" borderId="11" xfId="4" applyNumberFormat="1" applyFont="1" applyBorder="1" applyAlignment="1">
      <alignment horizontal="center"/>
    </xf>
    <xf numFmtId="184" fontId="2" fillId="0" borderId="33" xfId="4" applyNumberFormat="1" applyFont="1" applyBorder="1" applyAlignment="1">
      <alignment horizontal="center"/>
    </xf>
    <xf numFmtId="192" fontId="67" fillId="0" borderId="6" xfId="5" applyFont="1" applyBorder="1" applyAlignment="1" applyProtection="1">
      <alignment horizontal="centerContinuous"/>
    </xf>
    <xf numFmtId="192" fontId="67" fillId="0" borderId="7" xfId="5" applyFont="1" applyBorder="1" applyAlignment="1">
      <alignment horizontal="centerContinuous"/>
    </xf>
    <xf numFmtId="192" fontId="68" fillId="0" borderId="12" xfId="5" applyFont="1" applyBorder="1" applyAlignment="1" applyProtection="1">
      <alignment horizontal="left"/>
    </xf>
    <xf numFmtId="192" fontId="69" fillId="0" borderId="55" xfId="5" applyFont="1" applyBorder="1"/>
    <xf numFmtId="192" fontId="68" fillId="0" borderId="13" xfId="5" applyFont="1" applyBorder="1" applyAlignment="1">
      <alignment horizontal="centerContinuous"/>
    </xf>
    <xf numFmtId="192" fontId="69" fillId="0" borderId="14" xfId="5" applyFont="1" applyBorder="1" applyAlignment="1">
      <alignment horizontal="centerContinuous"/>
    </xf>
    <xf numFmtId="192" fontId="70" fillId="0" borderId="0" xfId="5" applyFont="1"/>
    <xf numFmtId="192" fontId="66" fillId="0" borderId="0" xfId="5"/>
    <xf numFmtId="192" fontId="67" fillId="0" borderId="45" xfId="5" applyFont="1" applyBorder="1" applyAlignment="1" applyProtection="1">
      <alignment horizontal="centerContinuous"/>
    </xf>
    <xf numFmtId="192" fontId="67" fillId="0" borderId="0" xfId="5" applyFont="1" applyBorder="1" applyAlignment="1">
      <alignment horizontal="centerContinuous"/>
    </xf>
    <xf numFmtId="192" fontId="68" fillId="0" borderId="109" xfId="5" applyFont="1" applyBorder="1" applyAlignment="1" applyProtection="1">
      <alignment horizontal="left"/>
    </xf>
    <xf numFmtId="192" fontId="69" fillId="0" borderId="39" xfId="5" applyFont="1" applyBorder="1"/>
    <xf numFmtId="192" fontId="68" fillId="0" borderId="40" xfId="5" applyFont="1" applyBorder="1" applyAlignment="1" applyProtection="1">
      <alignment horizontal="centerContinuous"/>
    </xf>
    <xf numFmtId="192" fontId="69" fillId="0" borderId="29" xfId="5" applyFont="1" applyBorder="1" applyAlignment="1">
      <alignment horizontal="centerContinuous"/>
    </xf>
    <xf numFmtId="192" fontId="69" fillId="0" borderId="45" xfId="5" applyFont="1" applyBorder="1" applyAlignment="1">
      <alignment horizontal="centerContinuous"/>
    </xf>
    <xf numFmtId="192" fontId="69" fillId="0" borderId="0" xfId="5" applyFont="1" applyBorder="1" applyAlignment="1">
      <alignment horizontal="centerContinuous"/>
    </xf>
    <xf numFmtId="192" fontId="68" fillId="0" borderId="40" xfId="5" quotePrefix="1" applyFont="1" applyBorder="1" applyAlignment="1">
      <alignment horizontal="centerContinuous"/>
    </xf>
    <xf numFmtId="192" fontId="71" fillId="0" borderId="45" xfId="5" applyFont="1" applyBorder="1" applyAlignment="1" applyProtection="1">
      <alignment horizontal="centerContinuous"/>
    </xf>
    <xf numFmtId="192" fontId="68" fillId="0" borderId="40" xfId="5" quotePrefix="1" applyFont="1" applyBorder="1" applyAlignment="1" applyProtection="1">
      <alignment horizontal="centerContinuous"/>
    </xf>
    <xf numFmtId="192" fontId="70" fillId="0" borderId="45" xfId="5" applyFont="1" applyBorder="1" applyAlignment="1">
      <alignment horizontal="centerContinuous"/>
    </xf>
    <xf numFmtId="192" fontId="68" fillId="0" borderId="40" xfId="5" applyFont="1" applyBorder="1" applyAlignment="1">
      <alignment horizontal="centerContinuous"/>
    </xf>
    <xf numFmtId="192" fontId="70" fillId="0" borderId="46" xfId="5" applyFont="1" applyBorder="1" applyAlignment="1" applyProtection="1">
      <alignment horizontal="centerContinuous"/>
    </xf>
    <xf numFmtId="192" fontId="69" fillId="0" borderId="23" xfId="5" applyFont="1" applyBorder="1" applyAlignment="1">
      <alignment horizontal="centerContinuous"/>
    </xf>
    <xf numFmtId="192" fontId="68" fillId="0" borderId="46" xfId="5" applyFont="1" applyBorder="1" applyAlignment="1" applyProtection="1">
      <alignment horizontal="left"/>
    </xf>
    <xf numFmtId="192" fontId="69" fillId="0" borderId="48" xfId="5" applyFont="1" applyBorder="1"/>
    <xf numFmtId="192" fontId="72" fillId="0" borderId="23" xfId="5" applyFont="1" applyBorder="1" applyAlignment="1">
      <alignment horizontal="centerContinuous"/>
    </xf>
    <xf numFmtId="192" fontId="69" fillId="0" borderId="24" xfId="5" applyFont="1" applyBorder="1" applyAlignment="1">
      <alignment horizontal="centerContinuous"/>
    </xf>
    <xf numFmtId="192" fontId="70" fillId="0" borderId="0" xfId="5" applyFont="1" applyBorder="1" applyAlignment="1" applyProtection="1">
      <alignment horizontal="centerContinuous"/>
    </xf>
    <xf numFmtId="192" fontId="68" fillId="0" borderId="0" xfId="5" applyFont="1" applyBorder="1" applyAlignment="1" applyProtection="1">
      <alignment horizontal="left"/>
    </xf>
    <xf numFmtId="192" fontId="69" fillId="0" borderId="0" xfId="5" applyFont="1" applyBorder="1"/>
    <xf numFmtId="192" fontId="68" fillId="0" borderId="0" xfId="5" applyFont="1" applyBorder="1" applyAlignment="1">
      <alignment horizontal="centerContinuous"/>
    </xf>
    <xf numFmtId="192" fontId="73" fillId="0" borderId="0" xfId="5" applyFont="1"/>
    <xf numFmtId="192" fontId="73" fillId="0" borderId="0" xfId="5" applyFont="1" applyAlignment="1" applyProtection="1">
      <alignment horizontal="right"/>
    </xf>
    <xf numFmtId="192" fontId="73" fillId="0" borderId="0" xfId="5" applyFont="1" applyAlignment="1" applyProtection="1">
      <alignment horizontal="left"/>
      <protection locked="0"/>
    </xf>
    <xf numFmtId="192" fontId="73" fillId="0" borderId="0" xfId="5" applyFont="1" applyBorder="1" applyAlignment="1">
      <alignment horizontal="centerContinuous"/>
    </xf>
    <xf numFmtId="192" fontId="73" fillId="0" borderId="0" xfId="5" applyFont="1" applyBorder="1" applyAlignment="1" applyProtection="1">
      <alignment horizontal="left"/>
    </xf>
    <xf numFmtId="192" fontId="73" fillId="0" borderId="0" xfId="5" applyFont="1" applyBorder="1"/>
    <xf numFmtId="49" fontId="73" fillId="0" borderId="0" xfId="5" quotePrefix="1" applyNumberFormat="1" applyFont="1" applyAlignment="1" applyProtection="1">
      <alignment horizontal="left"/>
      <protection locked="0"/>
    </xf>
    <xf numFmtId="192" fontId="69" fillId="0" borderId="0" xfId="5" applyFont="1"/>
    <xf numFmtId="192" fontId="74" fillId="0" borderId="138" xfId="5" applyFont="1" applyBorder="1" applyAlignment="1" applyProtection="1">
      <alignment horizontal="centerContinuous"/>
    </xf>
    <xf numFmtId="192" fontId="70" fillId="0" borderId="139" xfId="5" applyFont="1" applyBorder="1" applyAlignment="1">
      <alignment horizontal="centerContinuous"/>
    </xf>
    <xf numFmtId="192" fontId="70" fillId="0" borderId="140" xfId="5" applyFont="1" applyBorder="1" applyAlignment="1">
      <alignment horizontal="centerContinuous"/>
    </xf>
    <xf numFmtId="192" fontId="73" fillId="0" borderId="45" xfId="5" applyFont="1" applyBorder="1"/>
    <xf numFmtId="192" fontId="73" fillId="0" borderId="0" xfId="5" applyFont="1" applyBorder="1" applyAlignment="1" applyProtection="1">
      <alignment horizontal="right"/>
    </xf>
    <xf numFmtId="192" fontId="73" fillId="0" borderId="0" xfId="5" applyFont="1" applyBorder="1" applyAlignment="1" applyProtection="1">
      <alignment horizontal="center"/>
      <protection locked="0"/>
    </xf>
    <xf numFmtId="192" fontId="73" fillId="0" borderId="21" xfId="5" applyFont="1" applyBorder="1" applyAlignment="1" applyProtection="1">
      <alignment horizontal="center"/>
      <protection locked="0"/>
    </xf>
    <xf numFmtId="192" fontId="73" fillId="0" borderId="0" xfId="5" applyFont="1" applyBorder="1" applyAlignment="1">
      <alignment horizontal="center"/>
    </xf>
    <xf numFmtId="49" fontId="73" fillId="0" borderId="0" xfId="5" applyNumberFormat="1" applyFont="1" applyBorder="1" applyAlignment="1">
      <alignment horizontal="center"/>
    </xf>
    <xf numFmtId="192" fontId="73" fillId="0" borderId="0" xfId="5" quotePrefix="1" applyFont="1" applyBorder="1" applyAlignment="1" applyProtection="1">
      <alignment horizontal="right"/>
    </xf>
    <xf numFmtId="192" fontId="73" fillId="0" borderId="0" xfId="5" quotePrefix="1" applyFont="1" applyBorder="1" applyAlignment="1" applyProtection="1">
      <alignment horizontal="center"/>
      <protection locked="0"/>
    </xf>
    <xf numFmtId="192" fontId="73" fillId="0" borderId="0" xfId="5" applyFont="1" applyBorder="1" applyAlignment="1" applyProtection="1">
      <alignment horizontal="left"/>
      <protection locked="0"/>
    </xf>
    <xf numFmtId="192" fontId="73" fillId="0" borderId="21" xfId="5" applyFont="1" applyBorder="1"/>
    <xf numFmtId="192" fontId="73" fillId="0" borderId="46" xfId="5" applyFont="1" applyBorder="1"/>
    <xf numFmtId="192" fontId="73" fillId="0" borderId="23" xfId="5" applyFont="1" applyBorder="1" applyAlignment="1" applyProtection="1">
      <alignment horizontal="right"/>
    </xf>
    <xf numFmtId="184" fontId="73" fillId="0" borderId="23" xfId="5" quotePrefix="1" applyNumberFormat="1" applyFont="1" applyBorder="1" applyAlignment="1" applyProtection="1">
      <alignment horizontal="center"/>
      <protection locked="0"/>
    </xf>
    <xf numFmtId="192" fontId="73" fillId="0" borderId="23" xfId="5" applyFont="1" applyBorder="1"/>
    <xf numFmtId="192" fontId="73" fillId="0" borderId="23" xfId="5" applyFont="1" applyBorder="1" applyAlignment="1">
      <alignment horizontal="right"/>
    </xf>
    <xf numFmtId="184" fontId="73" fillId="0" borderId="23" xfId="5" applyNumberFormat="1" applyFont="1" applyBorder="1" applyProtection="1"/>
    <xf numFmtId="192" fontId="73" fillId="0" borderId="24" xfId="5" applyFont="1" applyBorder="1"/>
    <xf numFmtId="192" fontId="75" fillId="0" borderId="45" xfId="5" quotePrefix="1" applyFont="1" applyBorder="1" applyAlignment="1">
      <alignment horizontal="left"/>
    </xf>
    <xf numFmtId="192" fontId="69" fillId="0" borderId="0" xfId="5" quotePrefix="1" applyFont="1" applyBorder="1" applyAlignment="1" applyProtection="1">
      <alignment horizontal="right"/>
    </xf>
    <xf numFmtId="192" fontId="69" fillId="0" borderId="108" xfId="5" applyFont="1" applyBorder="1"/>
    <xf numFmtId="192" fontId="75" fillId="0" borderId="0" xfId="5" applyFont="1" applyBorder="1" applyAlignment="1" applyProtection="1">
      <alignment horizontal="left"/>
    </xf>
    <xf numFmtId="192" fontId="69" fillId="0" borderId="0" xfId="5" applyFont="1" applyBorder="1" applyAlignment="1" applyProtection="1">
      <alignment horizontal="right"/>
    </xf>
    <xf numFmtId="192" fontId="69" fillId="0" borderId="108" xfId="5" applyFont="1" applyBorder="1" applyAlignment="1" applyProtection="1">
      <alignment horizontal="right"/>
    </xf>
    <xf numFmtId="192" fontId="75" fillId="0" borderId="0" xfId="5" quotePrefix="1" applyFont="1" applyBorder="1" applyAlignment="1" applyProtection="1">
      <alignment horizontal="left"/>
    </xf>
    <xf numFmtId="192" fontId="69" fillId="0" borderId="0" xfId="5" applyFont="1" applyBorder="1" applyAlignment="1">
      <alignment horizontal="right"/>
    </xf>
    <xf numFmtId="192" fontId="69" fillId="0" borderId="21" xfId="5" applyFont="1" applyBorder="1"/>
    <xf numFmtId="192" fontId="66" fillId="0" borderId="45" xfId="5" applyBorder="1"/>
    <xf numFmtId="192" fontId="73" fillId="0" borderId="0" xfId="5" applyFont="1" applyBorder="1" applyAlignment="1">
      <alignment horizontal="right"/>
    </xf>
    <xf numFmtId="192" fontId="73" fillId="0" borderId="108" xfId="5" applyFont="1" applyBorder="1" applyAlignment="1" applyProtection="1">
      <alignment horizontal="center"/>
      <protection locked="0"/>
    </xf>
    <xf numFmtId="1" fontId="73" fillId="0" borderId="108" xfId="5" applyNumberFormat="1" applyFont="1" applyBorder="1" applyAlignment="1">
      <alignment horizontal="center"/>
    </xf>
    <xf numFmtId="192" fontId="73" fillId="0" borderId="0" xfId="5" applyFont="1" applyBorder="1" applyAlignment="1">
      <alignment horizontal="left"/>
    </xf>
    <xf numFmtId="192" fontId="73" fillId="0" borderId="108" xfId="5" applyFont="1" applyBorder="1"/>
    <xf numFmtId="192" fontId="73" fillId="0" borderId="48" xfId="5" applyFont="1" applyBorder="1"/>
    <xf numFmtId="192" fontId="73" fillId="0" borderId="48" xfId="5" applyFont="1" applyBorder="1" applyAlignment="1">
      <alignment horizontal="left"/>
    </xf>
    <xf numFmtId="192" fontId="70" fillId="0" borderId="0" xfId="5" applyFont="1" applyBorder="1" applyAlignment="1">
      <alignment horizontal="centerContinuous"/>
    </xf>
    <xf numFmtId="192" fontId="70" fillId="0" borderId="0" xfId="5" applyFont="1" applyBorder="1"/>
    <xf numFmtId="192" fontId="74" fillId="0" borderId="141" xfId="5" applyFont="1" applyBorder="1" applyAlignment="1" applyProtection="1">
      <alignment horizontal="centerContinuous"/>
    </xf>
    <xf numFmtId="192" fontId="70" fillId="0" borderId="142" xfId="5" applyFont="1" applyBorder="1" applyAlignment="1">
      <alignment horizontal="centerContinuous"/>
    </xf>
    <xf numFmtId="192" fontId="66" fillId="0" borderId="143" xfId="5" applyBorder="1"/>
    <xf numFmtId="192" fontId="70" fillId="0" borderId="144" xfId="5" applyFont="1" applyBorder="1" applyAlignment="1">
      <alignment horizontal="centerContinuous"/>
    </xf>
    <xf numFmtId="192" fontId="75" fillId="0" borderId="45" xfId="5" applyFont="1" applyBorder="1" applyAlignment="1">
      <alignment horizontal="left"/>
    </xf>
    <xf numFmtId="192" fontId="66" fillId="0" borderId="108" xfId="5" applyBorder="1"/>
    <xf numFmtId="184" fontId="73" fillId="0" borderId="0" xfId="5" applyNumberFormat="1" applyFont="1" applyBorder="1" applyAlignment="1" applyProtection="1">
      <alignment horizontal="center"/>
      <protection locked="0"/>
    </xf>
    <xf numFmtId="192" fontId="73" fillId="0" borderId="45" xfId="5" applyFont="1" applyBorder="1" applyAlignment="1">
      <alignment horizontal="left"/>
    </xf>
    <xf numFmtId="192" fontId="66" fillId="0" borderId="48" xfId="5" applyBorder="1"/>
    <xf numFmtId="192" fontId="70" fillId="0" borderId="0" xfId="5" applyFont="1" applyBorder="1" applyAlignment="1">
      <alignment horizontal="left"/>
    </xf>
    <xf numFmtId="192" fontId="70" fillId="0" borderId="0" xfId="5" applyFont="1" applyAlignment="1">
      <alignment horizontal="left"/>
    </xf>
    <xf numFmtId="192" fontId="70" fillId="0" borderId="141" xfId="5" applyFont="1" applyBorder="1"/>
    <xf numFmtId="192" fontId="69" fillId="0" borderId="142" xfId="5" applyFont="1" applyBorder="1" applyAlignment="1">
      <alignment horizontal="left"/>
    </xf>
    <xf numFmtId="192" fontId="69" fillId="0" borderId="144" xfId="5" applyFont="1" applyBorder="1" applyAlignment="1">
      <alignment horizontal="left"/>
    </xf>
    <xf numFmtId="192" fontId="73" fillId="0" borderId="45" xfId="5" quotePrefix="1" applyFont="1" applyBorder="1" applyAlignment="1">
      <alignment horizontal="left"/>
    </xf>
    <xf numFmtId="192" fontId="73" fillId="0" borderId="21" xfId="5" applyFont="1" applyBorder="1" applyAlignment="1">
      <alignment horizontal="left"/>
    </xf>
    <xf numFmtId="192" fontId="76" fillId="0" borderId="145" xfId="5" applyFont="1" applyBorder="1"/>
    <xf numFmtId="192" fontId="73" fillId="0" borderId="0" xfId="5" quotePrefix="1" applyFont="1" applyBorder="1" applyAlignment="1" applyProtection="1">
      <alignment horizontal="left"/>
    </xf>
    <xf numFmtId="192" fontId="73" fillId="0" borderId="146" xfId="5" quotePrefix="1" applyFont="1" applyBorder="1" applyAlignment="1" applyProtection="1">
      <alignment horizontal="left"/>
    </xf>
    <xf numFmtId="192" fontId="73" fillId="0" borderId="147" xfId="5" quotePrefix="1" applyFont="1" applyBorder="1" applyAlignment="1">
      <alignment horizontal="left"/>
    </xf>
    <xf numFmtId="192" fontId="73" fillId="0" borderId="46" xfId="5" applyFont="1" applyBorder="1" applyAlignment="1">
      <alignment horizontal="left"/>
    </xf>
    <xf numFmtId="192" fontId="73" fillId="0" borderId="23" xfId="5" applyFont="1" applyBorder="1" applyAlignment="1">
      <alignment horizontal="left"/>
    </xf>
    <xf numFmtId="192" fontId="73" fillId="0" borderId="24" xfId="5" applyFont="1" applyBorder="1" applyAlignment="1">
      <alignment horizontal="left"/>
    </xf>
    <xf numFmtId="192" fontId="69" fillId="0" borderId="0" xfId="5" applyFont="1" applyAlignment="1">
      <alignment horizontal="left"/>
    </xf>
    <xf numFmtId="192" fontId="77" fillId="0" borderId="0" xfId="5" applyFont="1" applyAlignment="1" applyProtection="1">
      <alignment horizontal="right"/>
    </xf>
    <xf numFmtId="192" fontId="78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192" fontId="66" fillId="0" borderId="0" xfId="5" applyAlignment="1">
      <alignment horizontal="right"/>
    </xf>
    <xf numFmtId="49" fontId="58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84" fontId="1" fillId="0" borderId="0" xfId="4" applyNumberFormat="1" applyAlignment="1">
      <alignment horizontal="center"/>
    </xf>
  </cellXfs>
  <cellStyles count="6">
    <cellStyle name="Normal" xfId="0" builtinId="0"/>
    <cellStyle name="Normal 2" xfId="1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8.7999999523162842E-3</c:v>
                </c:pt>
                <c:pt idx="2">
                  <c:v>4.3999999761581421E-2</c:v>
                </c:pt>
                <c:pt idx="3" formatCode="0.00">
                  <c:v>9.4315789639949799E-2</c:v>
                </c:pt>
                <c:pt idx="4" formatCode="0.00">
                  <c:v>0.14463157951831818</c:v>
                </c:pt>
                <c:pt idx="5" formatCode="0.00">
                  <c:v>0.19494737684726715</c:v>
                </c:pt>
                <c:pt idx="6" formatCode="0.00">
                  <c:v>0.29557895660400391</c:v>
                </c:pt>
                <c:pt idx="7" formatCode="0.00">
                  <c:v>0.39621052145957947</c:v>
                </c:pt>
                <c:pt idx="8" formatCode="0.00">
                  <c:v>0.49684211611747742</c:v>
                </c:pt>
                <c:pt idx="9" formatCode="0.00">
                  <c:v>0.59747368097305298</c:v>
                </c:pt>
                <c:pt idx="10" formatCode="0.00">
                  <c:v>0.69810527563095093</c:v>
                </c:pt>
                <c:pt idx="11" formatCode="0.00">
                  <c:v>0.79873687028884888</c:v>
                </c:pt>
                <c:pt idx="12" formatCode="0.00">
                  <c:v>0.89936840534210205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124.7765839393177</c:v>
                </c:pt>
                <c:pt idx="2">
                  <c:v>310</c:v>
                </c:pt>
                <c:pt idx="3">
                  <c:v>226.60908032037128</c:v>
                </c:pt>
                <c:pt idx="4">
                  <c:v>173.62866789457686</c:v>
                </c:pt>
                <c:pt idx="5">
                  <c:v>148.56298632035075</c:v>
                </c:pt>
                <c:pt idx="6">
                  <c:v>133.07552041861533</c:v>
                </c:pt>
                <c:pt idx="7">
                  <c:v>127.09253668021844</c:v>
                </c:pt>
                <c:pt idx="8">
                  <c:v>124.10957693568716</c:v>
                </c:pt>
                <c:pt idx="9">
                  <c:v>122.37586469792844</c:v>
                </c:pt>
                <c:pt idx="10">
                  <c:v>121.2953262906029</c:v>
                </c:pt>
                <c:pt idx="11">
                  <c:v>120.62887632451631</c:v>
                </c:pt>
                <c:pt idx="12">
                  <c:v>120.22692427594009</c:v>
                </c:pt>
                <c:pt idx="13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2B-46BE-9823-B566031CD968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8.7999999523162842E-3</c:v>
                </c:pt>
                <c:pt idx="2">
                  <c:v>4.3999999761581421E-2</c:v>
                </c:pt>
                <c:pt idx="3" formatCode="0.00">
                  <c:v>9.4315789639949799E-2</c:v>
                </c:pt>
                <c:pt idx="4" formatCode="0.00">
                  <c:v>0.14463157951831818</c:v>
                </c:pt>
                <c:pt idx="5" formatCode="0.00">
                  <c:v>0.19494737684726715</c:v>
                </c:pt>
                <c:pt idx="6" formatCode="0.00">
                  <c:v>0.29557895660400391</c:v>
                </c:pt>
                <c:pt idx="7" formatCode="0.00">
                  <c:v>0.39621052145957947</c:v>
                </c:pt>
                <c:pt idx="8" formatCode="0.00">
                  <c:v>0.49684211611747742</c:v>
                </c:pt>
                <c:pt idx="9" formatCode="0.00">
                  <c:v>0.59747368097305298</c:v>
                </c:pt>
                <c:pt idx="10" formatCode="0.00">
                  <c:v>0.69810527563095093</c:v>
                </c:pt>
                <c:pt idx="11" formatCode="0.00">
                  <c:v>0.79873687028884888</c:v>
                </c:pt>
                <c:pt idx="12" formatCode="0.00">
                  <c:v>0.89936840534210205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98.239997863769531</c:v>
                </c:pt>
                <c:pt idx="2">
                  <c:v>88.650001525878906</c:v>
                </c:pt>
                <c:pt idx="3">
                  <c:v>75.477897644042969</c:v>
                </c:pt>
                <c:pt idx="4">
                  <c:v>62.395790100097656</c:v>
                </c:pt>
                <c:pt idx="5">
                  <c:v>51.111576080322266</c:v>
                </c:pt>
                <c:pt idx="6">
                  <c:v>33.751575469970703</c:v>
                </c:pt>
                <c:pt idx="7">
                  <c:v>22.416843414306641</c:v>
                </c:pt>
                <c:pt idx="8">
                  <c:v>14.252630233764648</c:v>
                </c:pt>
                <c:pt idx="9">
                  <c:v>8.1515789031982422</c:v>
                </c:pt>
                <c:pt idx="10">
                  <c:v>6.0378942489624023</c:v>
                </c:pt>
                <c:pt idx="11">
                  <c:v>7.9747371673583984</c:v>
                </c:pt>
                <c:pt idx="12">
                  <c:v>14.955788612365723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2B-46BE-9823-B566031C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510720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8.7999999523162842E-3</c:v>
                </c:pt>
                <c:pt idx="2">
                  <c:v>4.3999999761581421E-2</c:v>
                </c:pt>
                <c:pt idx="3" formatCode="0.00">
                  <c:v>9.4315789639949799E-2</c:v>
                </c:pt>
                <c:pt idx="4" formatCode="0.00">
                  <c:v>0.14463157951831818</c:v>
                </c:pt>
                <c:pt idx="5" formatCode="0.00">
                  <c:v>0.19494737684726715</c:v>
                </c:pt>
                <c:pt idx="6" formatCode="0.00">
                  <c:v>0.29557895660400391</c:v>
                </c:pt>
                <c:pt idx="7" formatCode="0.00">
                  <c:v>0.39621052145957947</c:v>
                </c:pt>
                <c:pt idx="8" formatCode="0.00">
                  <c:v>0.49684211611747742</c:v>
                </c:pt>
                <c:pt idx="9" formatCode="0.00">
                  <c:v>0.59747368097305298</c:v>
                </c:pt>
                <c:pt idx="10" formatCode="0.00">
                  <c:v>0.69810527563095093</c:v>
                </c:pt>
                <c:pt idx="11" formatCode="0.00">
                  <c:v>0.79873687028884888</c:v>
                </c:pt>
                <c:pt idx="12" formatCode="0.00">
                  <c:v>0.89936840534210205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0.31018081307411194</c:v>
                </c:pt>
                <c:pt idx="1">
                  <c:v>123.54424285888672</c:v>
                </c:pt>
                <c:pt idx="2">
                  <c:v>412.6480712890625</c:v>
                </c:pt>
                <c:pt idx="3">
                  <c:v>521.86419677734375</c:v>
                </c:pt>
                <c:pt idx="4">
                  <c:v>557.9940185546875</c:v>
                </c:pt>
                <c:pt idx="5">
                  <c:v>575.75323486328125</c:v>
                </c:pt>
                <c:pt idx="6">
                  <c:v>596.6336669921875</c:v>
                </c:pt>
                <c:pt idx="7">
                  <c:v>611.797607421875</c:v>
                </c:pt>
                <c:pt idx="8">
                  <c:v>624.63385009765625</c:v>
                </c:pt>
                <c:pt idx="9">
                  <c:v>635.78509521484375</c:v>
                </c:pt>
                <c:pt idx="10">
                  <c:v>645.13885498046875</c:v>
                </c:pt>
                <c:pt idx="11">
                  <c:v>653.0888671875</c:v>
                </c:pt>
                <c:pt idx="12">
                  <c:v>659.701171875</c:v>
                </c:pt>
                <c:pt idx="13">
                  <c:v>665.38458251953125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2B-46BE-9823-B566031C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62651072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26510720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99.120000004768372</c:v>
                </c:pt>
                <c:pt idx="2">
                  <c:v>95.600000023841858</c:v>
                </c:pt>
                <c:pt idx="3">
                  <c:v>90.56842103600502</c:v>
                </c:pt>
                <c:pt idx="4">
                  <c:v>85.536842048168182</c:v>
                </c:pt>
                <c:pt idx="5">
                  <c:v>80.505262315273285</c:v>
                </c:pt>
                <c:pt idx="6">
                  <c:v>70.442104339599609</c:v>
                </c:pt>
                <c:pt idx="7">
                  <c:v>60.378947854042053</c:v>
                </c:pt>
                <c:pt idx="8">
                  <c:v>50.315788388252258</c:v>
                </c:pt>
                <c:pt idx="9">
                  <c:v>40.252631902694702</c:v>
                </c:pt>
                <c:pt idx="10">
                  <c:v>30.189472436904907</c:v>
                </c:pt>
                <c:pt idx="11">
                  <c:v>20.126312971115112</c:v>
                </c:pt>
                <c:pt idx="12">
                  <c:v>10.063159465789795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98.239997863769531</c:v>
                </c:pt>
                <c:pt idx="2">
                  <c:v>88.650001525878906</c:v>
                </c:pt>
                <c:pt idx="3">
                  <c:v>75.477897644042969</c:v>
                </c:pt>
                <c:pt idx="4">
                  <c:v>62.395790100097656</c:v>
                </c:pt>
                <c:pt idx="5">
                  <c:v>51.111576080322266</c:v>
                </c:pt>
                <c:pt idx="6">
                  <c:v>33.751575469970703</c:v>
                </c:pt>
                <c:pt idx="7">
                  <c:v>22.416843414306641</c:v>
                </c:pt>
                <c:pt idx="8">
                  <c:v>14.252630233764648</c:v>
                </c:pt>
                <c:pt idx="9">
                  <c:v>8.1515789031982422</c:v>
                </c:pt>
                <c:pt idx="10">
                  <c:v>6.0378942489624023</c:v>
                </c:pt>
                <c:pt idx="11">
                  <c:v>7.9747371673583984</c:v>
                </c:pt>
                <c:pt idx="12">
                  <c:v>14.955788612365723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3E-424F-BB7F-F55ACD366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485448"/>
        <c:axId val="1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99.120000004768372</c:v>
                </c:pt>
                <c:pt idx="2">
                  <c:v>95.600000023841858</c:v>
                </c:pt>
                <c:pt idx="3">
                  <c:v>90.56842103600502</c:v>
                </c:pt>
                <c:pt idx="4">
                  <c:v>85.536842048168182</c:v>
                </c:pt>
                <c:pt idx="5">
                  <c:v>80.505262315273285</c:v>
                </c:pt>
                <c:pt idx="6">
                  <c:v>70.442104339599609</c:v>
                </c:pt>
                <c:pt idx="7">
                  <c:v>60.378947854042053</c:v>
                </c:pt>
                <c:pt idx="8">
                  <c:v>50.315788388252258</c:v>
                </c:pt>
                <c:pt idx="9">
                  <c:v>40.252631902694702</c:v>
                </c:pt>
                <c:pt idx="10">
                  <c:v>30.189472436904907</c:v>
                </c:pt>
                <c:pt idx="11">
                  <c:v>20.126312971115112</c:v>
                </c:pt>
                <c:pt idx="12">
                  <c:v>10.063159465789795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124.7765839393177</c:v>
                </c:pt>
                <c:pt idx="2">
                  <c:v>310</c:v>
                </c:pt>
                <c:pt idx="3">
                  <c:v>226.60908032037128</c:v>
                </c:pt>
                <c:pt idx="4">
                  <c:v>173.62866789457686</c:v>
                </c:pt>
                <c:pt idx="5">
                  <c:v>148.56298632035075</c:v>
                </c:pt>
                <c:pt idx="6">
                  <c:v>133.07552041861533</c:v>
                </c:pt>
                <c:pt idx="7">
                  <c:v>127.09253668021844</c:v>
                </c:pt>
                <c:pt idx="8">
                  <c:v>124.10957693568716</c:v>
                </c:pt>
                <c:pt idx="9">
                  <c:v>122.37586469792844</c:v>
                </c:pt>
                <c:pt idx="10">
                  <c:v>121.2953262906029</c:v>
                </c:pt>
                <c:pt idx="11">
                  <c:v>120.62887632451631</c:v>
                </c:pt>
                <c:pt idx="12">
                  <c:v>120.22692427594009</c:v>
                </c:pt>
                <c:pt idx="13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E-424F-BB7F-F55ACD366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485448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99.120000004768372</c:v>
                </c:pt>
                <c:pt idx="2">
                  <c:v>95.600000023841858</c:v>
                </c:pt>
                <c:pt idx="3">
                  <c:v>90.56842103600502</c:v>
                </c:pt>
                <c:pt idx="4">
                  <c:v>85.536842048168182</c:v>
                </c:pt>
                <c:pt idx="5">
                  <c:v>80.505262315273285</c:v>
                </c:pt>
                <c:pt idx="6">
                  <c:v>70.442104339599609</c:v>
                </c:pt>
                <c:pt idx="7">
                  <c:v>60.378947854042053</c:v>
                </c:pt>
                <c:pt idx="8">
                  <c:v>50.315788388252258</c:v>
                </c:pt>
                <c:pt idx="9">
                  <c:v>40.252631902694702</c:v>
                </c:pt>
                <c:pt idx="10">
                  <c:v>30.189472436904907</c:v>
                </c:pt>
                <c:pt idx="11">
                  <c:v>20.126312971115112</c:v>
                </c:pt>
                <c:pt idx="12">
                  <c:v>10.063159465789795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0.31018081307411194</c:v>
                </c:pt>
                <c:pt idx="1">
                  <c:v>123.54424285888672</c:v>
                </c:pt>
                <c:pt idx="2">
                  <c:v>412.6480712890625</c:v>
                </c:pt>
                <c:pt idx="3">
                  <c:v>521.86419677734375</c:v>
                </c:pt>
                <c:pt idx="4">
                  <c:v>557.9940185546875</c:v>
                </c:pt>
                <c:pt idx="5">
                  <c:v>575.75323486328125</c:v>
                </c:pt>
                <c:pt idx="6">
                  <c:v>596.6336669921875</c:v>
                </c:pt>
                <c:pt idx="7">
                  <c:v>611.797607421875</c:v>
                </c:pt>
                <c:pt idx="8">
                  <c:v>624.63385009765625</c:v>
                </c:pt>
                <c:pt idx="9">
                  <c:v>635.78509521484375</c:v>
                </c:pt>
                <c:pt idx="10">
                  <c:v>645.13885498046875</c:v>
                </c:pt>
                <c:pt idx="11">
                  <c:v>653.0888671875</c:v>
                </c:pt>
                <c:pt idx="12">
                  <c:v>659.701171875</c:v>
                </c:pt>
                <c:pt idx="13">
                  <c:v>665.38458251953125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3E-424F-BB7F-F55ACD366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1848544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8485448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10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276378950730017"/>
          <c:w val="0.23762674402541786"/>
          <c:h val="0.1172362104926998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665.38461538461536</c:v>
                </c:pt>
                <c:pt idx="1">
                  <c:v>601.59612307692305</c:v>
                </c:pt>
                <c:pt idx="2">
                  <c:v>537.78849230769231</c:v>
                </c:pt>
                <c:pt idx="3">
                  <c:v>474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42.815744191851032</c:v>
                </c:pt>
                <c:pt idx="2">
                  <c:v>53.57849927331786</c:v>
                </c:pt>
                <c:pt idx="3">
                  <c:v>68.969467249143833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DA-44E8-93ED-85406AE9CDDC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665.38461538461536</c:v>
                </c:pt>
                <c:pt idx="1">
                  <c:v>601.59612307692305</c:v>
                </c:pt>
                <c:pt idx="2">
                  <c:v>537.78849230769231</c:v>
                </c:pt>
                <c:pt idx="3">
                  <c:v>474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18.349604653650442</c:v>
                </c:pt>
                <c:pt idx="2">
                  <c:v>22.962213974279084</c:v>
                </c:pt>
                <c:pt idx="3">
                  <c:v>29.558343106775926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DA-44E8-93ED-85406AE9CDDC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374</c:v>
                </c:pt>
                <c:pt idx="1">
                  <c:v>274</c:v>
                </c:pt>
                <c:pt idx="2">
                  <c:v>310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69.105622225369288</c:v>
                </c:pt>
                <c:pt idx="3">
                  <c:v>204.97068814376505</c:v>
                </c:pt>
                <c:pt idx="4">
                  <c:v>315.86446115852499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DA-44E8-93ED-85406AE9CDDC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665.38461538461536</c:v>
                </c:pt>
                <c:pt idx="1">
                  <c:v>662.5</c:v>
                </c:pt>
                <c:pt idx="2">
                  <c:v>656.34615384615381</c:v>
                </c:pt>
                <c:pt idx="3">
                  <c:v>649.03846153846155</c:v>
                </c:pt>
                <c:pt idx="4">
                  <c:v>640.38461538461536</c:v>
                </c:pt>
                <c:pt idx="5">
                  <c:v>630.19230769230774</c:v>
                </c:pt>
                <c:pt idx="6">
                  <c:v>618.26923076923072</c:v>
                </c:pt>
                <c:pt idx="7">
                  <c:v>604.23076923076928</c:v>
                </c:pt>
                <c:pt idx="8">
                  <c:v>586.15384615384619</c:v>
                </c:pt>
                <c:pt idx="9">
                  <c:v>566.92307692307691</c:v>
                </c:pt>
                <c:pt idx="10">
                  <c:v>540</c:v>
                </c:pt>
                <c:pt idx="11">
                  <c:v>467.30769230769232</c:v>
                </c:pt>
                <c:pt idx="12">
                  <c:v>268.07692307692309</c:v>
                </c:pt>
                <c:pt idx="13">
                  <c:v>70.403413498836301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1.0069999694824219</c:v>
                </c:pt>
                <c:pt idx="2">
                  <c:v>1.9089999198913574</c:v>
                </c:pt>
                <c:pt idx="3">
                  <c:v>2.7709999084472656</c:v>
                </c:pt>
                <c:pt idx="4">
                  <c:v>3.628000020980835</c:v>
                </c:pt>
                <c:pt idx="5">
                  <c:v>4.5060000419616699</c:v>
                </c:pt>
                <c:pt idx="6">
                  <c:v>5.4219999313354492</c:v>
                </c:pt>
                <c:pt idx="7">
                  <c:v>6.3860001564025879</c:v>
                </c:pt>
                <c:pt idx="8">
                  <c:v>7.3850002288818359</c:v>
                </c:pt>
                <c:pt idx="9">
                  <c:v>7.8560004234313965</c:v>
                </c:pt>
                <c:pt idx="10">
                  <c:v>8.2310009002685547</c:v>
                </c:pt>
                <c:pt idx="11">
                  <c:v>8.4950008392333984</c:v>
                </c:pt>
                <c:pt idx="12">
                  <c:v>8.7730007171630859</c:v>
                </c:pt>
                <c:pt idx="13">
                  <c:v>8.8480005264282227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DA-44E8-93ED-85406AE9C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034304"/>
        <c:axId val="1"/>
      </c:scatterChart>
      <c:valAx>
        <c:axId val="75103430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103430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90.200004577636719</c:v>
                </c:pt>
                <c:pt idx="2">
                  <c:v>93.900001525878906</c:v>
                </c:pt>
                <c:pt idx="3">
                  <c:v>94.900001525878906</c:v>
                </c:pt>
                <c:pt idx="4">
                  <c:v>95.099998474121094</c:v>
                </c:pt>
                <c:pt idx="5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2-4334-91B8-1ED083E3FABB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56</c:v>
                </c:pt>
                <c:pt idx="1">
                  <c:v>77.5</c:v>
                </c:pt>
                <c:pt idx="2">
                  <c:v>85</c:v>
                </c:pt>
                <c:pt idx="3">
                  <c:v>87.900001525878906</c:v>
                </c:pt>
                <c:pt idx="4">
                  <c:v>88.700004577636719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2-4334-91B8-1ED083E3FABB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83.512369791652262</c:v>
                </c:pt>
                <c:pt idx="2">
                  <c:v>67.025553385419698</c:v>
                </c:pt>
                <c:pt idx="3">
                  <c:v>50.537516276030303</c:v>
                </c:pt>
                <c:pt idx="4">
                  <c:v>33.333333333333329</c:v>
                </c:pt>
                <c:pt idx="5">
                  <c:v>15.412190755207575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2-4334-91B8-1ED083E3FABB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0.543875</c:v>
                </c:pt>
                <c:pt idx="1">
                  <c:v>10.33480125</c:v>
                </c:pt>
                <c:pt idx="2">
                  <c:v>19.866624999999999</c:v>
                </c:pt>
                <c:pt idx="3">
                  <c:v>29.4743125</c:v>
                </c:pt>
                <c:pt idx="4">
                  <c:v>39.24935</c:v>
                </c:pt>
                <c:pt idx="5">
                  <c:v>49.070349999999998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32-4334-91B8-1ED083E3F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017576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15.100000381469727</c:v>
                </c:pt>
                <c:pt idx="1">
                  <c:v>21.309999465942383</c:v>
                </c:pt>
                <c:pt idx="2">
                  <c:v>29.600000381469727</c:v>
                </c:pt>
                <c:pt idx="3">
                  <c:v>40.040000915527344</c:v>
                </c:pt>
                <c:pt idx="4">
                  <c:v>51.560001373291016</c:v>
                </c:pt>
                <c:pt idx="5">
                  <c:v>63.880001068115234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32-4334-91B8-1ED083E3F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5101757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1017576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7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8.7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286.6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63.5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/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79" name="Group 112"/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/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/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/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/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/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/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/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/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/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/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/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/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/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/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98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99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0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1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2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3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/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/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/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07" name="Text 219"/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08" name="Text 219"/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09" name="Text 219"/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0.69092</cdr:x>
      <cdr:y>0.60809</cdr:y>
    </cdr:from>
    <cdr:to>
      <cdr:x>0.92677</cdr:x>
      <cdr:y>0.62878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40734" y="39154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0.65997</cdr:x>
      <cdr:y>0.5113</cdr:y>
    </cdr:from>
    <cdr:to>
      <cdr:x>0.94279</cdr:x>
      <cdr:y>0.53643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759" y="32921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0.68614</cdr:x>
      <cdr:y>0.76059</cdr:y>
    </cdr:from>
    <cdr:to>
      <cdr:x>0.93158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12759" y="48973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/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7FA5CDB-92F0-4953-9CAB-54F7C8F8FD3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1200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/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78AE398-3396-4E14-8929-5142825F0F3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1197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/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A402332-378A-48BA-87C8-AF59CA3BD61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1194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/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5FEA25E-BA4F-4163-99C6-0FDEDBCA48D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1191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/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ACCED76-286F-42C2-B856-D705D2D0F95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1188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/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0467FFA-78B6-4756-893C-C6C3FEA794B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1185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/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6D859E0-2275-410B-A24B-5DE4D44744D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1182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/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7F14F18-4137-4CC5-A10C-F88B4F38CF5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1179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/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672B1CB-74A4-4832-B5E6-86392E00FD7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1176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/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3193F42-2835-4CBA-8457-A86F9E493D0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1173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/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EC134E3-94C7-457C-8E06-4831962712A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1170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/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53AB1FE-F816-4E5E-B935-67E16895A0F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800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FFB475E-F542-48E9-A633-97D6663D4A2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400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/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55B4CBA-88F5-488E-935C-A1AB61F4C70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320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/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DF297DF-B9E0-49B6-9915-10C8257CD32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240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/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1F94551-C66F-44DF-94B2-80995307855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160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/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0943F4A-9C59-4AB0-8617-FE5277409A6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80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/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FA0E4E9-E794-4C07-8BF7-7B4EC104206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480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/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5FC5FC6-B0B0-4F99-BFD2-74862F540B1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560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/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50952B8-EF60-4AAA-9A12-020A6C9B735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640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/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9FA2AE1-02C7-4E79-900A-77801E31664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720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838200</xdr:colOff>
      <xdr:row>23</xdr:row>
      <xdr:rowOff>228600</xdr:rowOff>
    </xdr:from>
    <xdr:to>
      <xdr:col>3</xdr:col>
      <xdr:colOff>66675</xdr:colOff>
      <xdr:row>24</xdr:row>
      <xdr:rowOff>133350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067050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590550</xdr:colOff>
      <xdr:row>31</xdr:row>
      <xdr:rowOff>180975</xdr:rowOff>
    </xdr:from>
    <xdr:to>
      <xdr:col>2</xdr:col>
      <xdr:colOff>1095375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19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6066BB5-CB35-4316-910D-35F5C5168A9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0.0</a:t>
          </a:fld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desprom/Destem/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324.15463256835938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421.22097778320313</v>
          </cell>
        </row>
        <row r="61">
          <cell r="A61">
            <v>59.999999403953552</v>
          </cell>
          <cell r="B61">
            <v>88.892895915544926</v>
          </cell>
          <cell r="C61">
            <v>431.68954467773438</v>
          </cell>
        </row>
        <row r="62">
          <cell r="A62">
            <v>50</v>
          </cell>
          <cell r="B62">
            <v>90.2401370350794</v>
          </cell>
          <cell r="C62">
            <v>441.69143676757813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464.68917846679688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474.07455444335938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113"/>
  <sheetViews>
    <sheetView topLeftCell="A26"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218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219</v>
      </c>
    </row>
    <row r="3" spans="1:10" ht="15" customHeight="1" thickBot="1">
      <c r="A3" s="49" t="s">
        <v>1</v>
      </c>
      <c r="B3" s="96" t="s">
        <v>217</v>
      </c>
      <c r="C3" s="1"/>
      <c r="D3" s="49"/>
      <c r="E3" s="1"/>
      <c r="F3" s="1"/>
      <c r="G3" s="49" t="s">
        <v>2</v>
      </c>
      <c r="H3" s="174">
        <v>44636</v>
      </c>
      <c r="I3" s="49" t="s">
        <v>3</v>
      </c>
      <c r="J3" s="175">
        <v>0.46771990740740743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2">
        <v>399.99999181834369</v>
      </c>
      <c r="C5" s="140">
        <v>1200</v>
      </c>
      <c r="D5" s="50" t="s">
        <v>193</v>
      </c>
      <c r="E5" s="158">
        <v>4000</v>
      </c>
      <c r="F5" s="140">
        <v>60</v>
      </c>
      <c r="G5" s="50">
        <v>105</v>
      </c>
      <c r="H5" s="78" t="s">
        <v>252</v>
      </c>
      <c r="I5" s="77" t="s">
        <v>257</v>
      </c>
      <c r="J5" s="50">
        <v>5011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15.926115972222222</v>
      </c>
      <c r="J7" s="106" t="s">
        <v>19</v>
      </c>
    </row>
    <row r="8" spans="1:10" ht="15" customHeight="1">
      <c r="A8" s="10" t="s">
        <v>20</v>
      </c>
      <c r="B8" s="69">
        <v>1.2000000476837158</v>
      </c>
      <c r="C8" s="52"/>
      <c r="D8" s="6"/>
      <c r="E8" s="51"/>
      <c r="F8" s="4"/>
      <c r="G8" s="16"/>
      <c r="H8" s="10" t="s">
        <v>21</v>
      </c>
      <c r="I8" s="68">
        <v>19.640354029317148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199</v>
      </c>
      <c r="F9" s="107" t="s">
        <v>25</v>
      </c>
      <c r="G9" s="30"/>
      <c r="H9" s="10" t="s">
        <v>26</v>
      </c>
      <c r="I9" s="69">
        <v>17.783235000769686</v>
      </c>
      <c r="J9" s="104">
        <v>699.39429664215788</v>
      </c>
    </row>
    <row r="10" spans="1:10" ht="15" customHeight="1">
      <c r="A10" s="10" t="s">
        <v>27</v>
      </c>
      <c r="B10" s="69">
        <v>600</v>
      </c>
      <c r="C10" s="73">
        <v>600</v>
      </c>
      <c r="D10" s="6"/>
      <c r="E10" s="51"/>
      <c r="F10" s="116" t="s">
        <v>213</v>
      </c>
      <c r="G10" s="114" t="s">
        <v>214</v>
      </c>
      <c r="H10" s="10" t="s">
        <v>28</v>
      </c>
      <c r="I10" s="68">
        <v>9.8880913270215967</v>
      </c>
      <c r="J10" s="103" t="s">
        <v>29</v>
      </c>
    </row>
    <row r="11" spans="1:10" ht="15" customHeight="1" thickBot="1">
      <c r="A11" s="10" t="s">
        <v>30</v>
      </c>
      <c r="B11" s="69">
        <v>550</v>
      </c>
      <c r="C11" s="73">
        <v>362.59999990463257</v>
      </c>
      <c r="D11" s="10" t="s">
        <v>31</v>
      </c>
      <c r="E11" s="68">
        <v>0.83324999999999994</v>
      </c>
      <c r="F11" s="117"/>
      <c r="G11" s="113"/>
      <c r="H11" s="10" t="s">
        <v>32</v>
      </c>
      <c r="I11" s="68">
        <v>18.651688096014194</v>
      </c>
      <c r="J11" s="104">
        <v>14130.090425110075</v>
      </c>
    </row>
    <row r="12" spans="1:10" ht="15" customHeight="1">
      <c r="A12" s="10" t="s">
        <v>33</v>
      </c>
      <c r="B12" s="69">
        <v>365</v>
      </c>
      <c r="C12" s="73">
        <v>140</v>
      </c>
      <c r="D12" s="10" t="s">
        <v>34</v>
      </c>
      <c r="E12" s="153" t="s">
        <v>174</v>
      </c>
      <c r="F12" s="123" t="s">
        <v>206</v>
      </c>
      <c r="G12" s="115" t="s">
        <v>205</v>
      </c>
      <c r="H12" s="10" t="s">
        <v>35</v>
      </c>
      <c r="I12" s="68">
        <v>1.2251186051037406</v>
      </c>
      <c r="J12" s="103" t="s">
        <v>36</v>
      </c>
    </row>
    <row r="13" spans="1:10" ht="15" customHeight="1" thickBot="1">
      <c r="A13" s="10" t="s">
        <v>37</v>
      </c>
      <c r="B13" s="69">
        <v>42.5</v>
      </c>
      <c r="C13" s="73">
        <v>79.250000715255737</v>
      </c>
      <c r="D13" s="10" t="s">
        <v>38</v>
      </c>
      <c r="E13" s="70">
        <v>14</v>
      </c>
      <c r="F13" s="123"/>
      <c r="G13" s="115" t="s">
        <v>207</v>
      </c>
      <c r="H13" s="10" t="s">
        <v>40</v>
      </c>
      <c r="I13" s="68">
        <v>1.0530067803092971</v>
      </c>
      <c r="J13" s="104">
        <v>51.264751434326172</v>
      </c>
    </row>
    <row r="14" spans="1:10" ht="15" customHeight="1" thickBot="1">
      <c r="A14" s="160" t="s">
        <v>41</v>
      </c>
      <c r="B14" s="133">
        <v>558</v>
      </c>
      <c r="C14" s="134">
        <v>558</v>
      </c>
      <c r="D14" s="10" t="s">
        <v>42</v>
      </c>
      <c r="E14" s="51" t="s">
        <v>200</v>
      </c>
      <c r="F14" s="51" t="s">
        <v>209</v>
      </c>
      <c r="G14" s="115" t="s">
        <v>208</v>
      </c>
      <c r="H14" s="49" t="s">
        <v>43</v>
      </c>
      <c r="I14" s="68">
        <v>1.2900581978573071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0.96589165240170005</v>
      </c>
      <c r="J15" s="104">
        <v>13.746837797619047</v>
      </c>
    </row>
    <row r="16" spans="1:10" ht="15" customHeight="1">
      <c r="A16" s="10" t="s">
        <v>48</v>
      </c>
      <c r="B16" s="51">
        <v>72</v>
      </c>
      <c r="C16" s="52">
        <v>58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0.95749474318512517</v>
      </c>
      <c r="J16" s="105" t="s">
        <v>51</v>
      </c>
    </row>
    <row r="17" spans="1:17" ht="15" customHeight="1" thickBot="1">
      <c r="A17" s="10" t="s">
        <v>52</v>
      </c>
      <c r="B17" s="51" t="s">
        <v>194</v>
      </c>
      <c r="C17" s="52" t="s">
        <v>195</v>
      </c>
      <c r="D17" s="49" t="s">
        <v>53</v>
      </c>
      <c r="E17" s="51" t="s">
        <v>201</v>
      </c>
      <c r="F17" s="51"/>
      <c r="G17" s="115"/>
      <c r="H17" s="10" t="s">
        <v>54</v>
      </c>
      <c r="I17" s="68">
        <v>0.92483617966102194</v>
      </c>
      <c r="J17" s="104">
        <v>450.64755357324105</v>
      </c>
    </row>
    <row r="18" spans="1:17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939</v>
      </c>
      <c r="F18" s="70">
        <v>769</v>
      </c>
      <c r="G18" s="74"/>
      <c r="H18" s="13" t="s">
        <v>57</v>
      </c>
      <c r="I18" s="131" t="s">
        <v>215</v>
      </c>
      <c r="J18" s="132"/>
    </row>
    <row r="19" spans="1:17" ht="15" customHeight="1">
      <c r="A19" s="10" t="s">
        <v>58</v>
      </c>
      <c r="B19" s="69">
        <v>50</v>
      </c>
      <c r="C19" s="73">
        <v>32.049999237060547</v>
      </c>
      <c r="D19" s="10" t="s">
        <v>59</v>
      </c>
      <c r="E19" s="70">
        <v>336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196</v>
      </c>
      <c r="C20" s="73">
        <v>8.0500001907348633</v>
      </c>
      <c r="D20" s="10" t="s">
        <v>166</v>
      </c>
      <c r="E20" s="165">
        <v>0.47104990942817815</v>
      </c>
      <c r="F20" s="51"/>
      <c r="G20" s="52"/>
      <c r="H20" s="10" t="s">
        <v>63</v>
      </c>
      <c r="I20" s="68">
        <v>25.870933532714844</v>
      </c>
      <c r="J20" s="72">
        <v>25.870933532714844</v>
      </c>
    </row>
    <row r="21" spans="1:17" ht="15" customHeight="1">
      <c r="A21" s="10" t="s">
        <v>64</v>
      </c>
      <c r="B21" s="69">
        <v>8.6999998092651367</v>
      </c>
      <c r="C21" s="73">
        <v>3</v>
      </c>
      <c r="D21" s="10" t="s">
        <v>202</v>
      </c>
      <c r="E21" s="67">
        <v>0.62837502652599797</v>
      </c>
      <c r="F21" s="67">
        <v>0.37445220351219177</v>
      </c>
      <c r="G21" s="71">
        <v>2.5579598009709568E-2</v>
      </c>
      <c r="H21" s="10" t="s">
        <v>65</v>
      </c>
      <c r="I21" s="68">
        <v>18.717975616455078</v>
      </c>
      <c r="J21" s="72">
        <v>12.589512825012207</v>
      </c>
    </row>
    <row r="22" spans="1:17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203</v>
      </c>
      <c r="F22" s="51" t="s">
        <v>204</v>
      </c>
      <c r="G22" s="52" t="s">
        <v>204</v>
      </c>
      <c r="H22" s="10" t="s">
        <v>68</v>
      </c>
      <c r="I22" s="68">
        <v>7.1298317909240723</v>
      </c>
      <c r="J22" s="72">
        <v>5.326653003692627</v>
      </c>
    </row>
    <row r="23" spans="1:17" ht="15" customHeight="1">
      <c r="A23" s="10" t="s">
        <v>69</v>
      </c>
      <c r="B23" s="69">
        <v>7.2261161804199219</v>
      </c>
      <c r="C23" s="73">
        <v>8.1222562789916992</v>
      </c>
      <c r="D23" s="10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4.8514455462320631</v>
      </c>
      <c r="J23" s="16" t="s">
        <v>216</v>
      </c>
    </row>
    <row r="24" spans="1:17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4.1895435476008753</v>
      </c>
      <c r="J24" s="72">
        <v>3.319716812742695</v>
      </c>
    </row>
    <row r="25" spans="1:17" ht="15" customHeight="1">
      <c r="A25" s="10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1.0284068584442139</v>
      </c>
      <c r="J25" s="72">
        <v>1.7921979427337646</v>
      </c>
    </row>
    <row r="26" spans="1:17" ht="15" customHeight="1">
      <c r="A26" s="10" t="s">
        <v>78</v>
      </c>
      <c r="B26" s="53" t="s">
        <v>197</v>
      </c>
      <c r="C26" s="60" t="s">
        <v>198</v>
      </c>
      <c r="D26" s="10" t="s">
        <v>79</v>
      </c>
      <c r="E26" s="69">
        <v>98.177957727895702</v>
      </c>
      <c r="F26" s="69">
        <v>100.36028067581177</v>
      </c>
      <c r="G26" s="73">
        <v>29.289748238052447</v>
      </c>
      <c r="H26" s="10" t="s">
        <v>80</v>
      </c>
      <c r="I26" s="68">
        <v>9.0024909973144531</v>
      </c>
      <c r="J26" s="72">
        <v>7.6703057289123535</v>
      </c>
    </row>
    <row r="27" spans="1:17" ht="15" customHeight="1" thickBot="1">
      <c r="A27" s="10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9.0610408782958984</v>
      </c>
      <c r="J27" s="81">
        <v>7.8769001960754395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30.027266267355561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1176.4</v>
      </c>
      <c r="N29" s="171" t="s">
        <v>186</v>
      </c>
      <c r="O29" s="171"/>
      <c r="P29" s="4" t="s">
        <v>192</v>
      </c>
      <c r="Q29" s="171"/>
    </row>
    <row r="30" spans="1:17" ht="15" customHeight="1" thickBot="1">
      <c r="A30" s="8"/>
      <c r="B30" s="63" t="s">
        <v>94</v>
      </c>
      <c r="C30" s="76">
        <v>30.043499313394168</v>
      </c>
      <c r="D30" s="10" t="s">
        <v>95</v>
      </c>
      <c r="E30" s="166">
        <v>14.398954166666668</v>
      </c>
      <c r="F30" s="166">
        <v>474.3</v>
      </c>
      <c r="G30" s="166">
        <v>11.763881798988844</v>
      </c>
      <c r="H30" s="167">
        <v>90.352518911087472</v>
      </c>
      <c r="I30" s="70">
        <v>37810.174476375003</v>
      </c>
      <c r="J30" s="74">
        <v>1745.2782472816407</v>
      </c>
      <c r="M30" s="172" t="str">
        <f>RIGHT(E$41,SEARCH("/",E$41,1)-1)</f>
        <v xml:space="preserve"> 1178.8</v>
      </c>
      <c r="N30" s="171" t="s">
        <v>187</v>
      </c>
      <c r="O30" s="171"/>
      <c r="P30" s="173">
        <f>G30*6.4516</f>
        <v>75.895859814356427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</v>
      </c>
      <c r="F31" s="166">
        <v>483.860739440918</v>
      </c>
      <c r="G31" s="166">
        <v>11.531435974134681</v>
      </c>
      <c r="H31" s="167">
        <v>29.044512313344228</v>
      </c>
      <c r="I31" s="70">
        <v>14515.822183227539</v>
      </c>
      <c r="J31" s="74">
        <v>648.71908138150275</v>
      </c>
      <c r="M31" s="172" t="str">
        <f>RIGHT(D$41,SEARCH("/",D$41,1)-1)</f>
        <v xml:space="preserve"> 1181.2</v>
      </c>
      <c r="N31" s="171" t="s">
        <v>188</v>
      </c>
      <c r="O31" s="171"/>
      <c r="P31" s="173">
        <f>G31*6.4516</f>
        <v>74.396212330727309</v>
      </c>
      <c r="Q31" s="171"/>
    </row>
    <row r="32" spans="1:17" ht="15" customHeight="1">
      <c r="A32" s="6" t="s">
        <v>98</v>
      </c>
      <c r="B32" s="68" t="s">
        <v>259</v>
      </c>
      <c r="C32" s="110"/>
      <c r="D32" s="10" t="s">
        <v>99</v>
      </c>
      <c r="E32" s="166">
        <v>7.8147051624506716</v>
      </c>
      <c r="F32" s="166">
        <v>884.4300079822541</v>
      </c>
      <c r="G32" s="166">
        <v>6.308706270595426</v>
      </c>
      <c r="H32" s="167">
        <v>11.84079954585237</v>
      </c>
      <c r="I32" s="9" t="s">
        <v>100</v>
      </c>
      <c r="J32" s="74">
        <v>2393.9973286631434</v>
      </c>
      <c r="M32" s="172" t="str">
        <f>RIGHT(C$41,SEARCH("/",C$41,1)-1)</f>
        <v xml:space="preserve"> 1183.5</v>
      </c>
      <c r="N32" s="171" t="s">
        <v>189</v>
      </c>
      <c r="O32" s="171"/>
      <c r="P32" s="173">
        <f>G32*6.4516</f>
        <v>40.70124937537345</v>
      </c>
      <c r="Q32" s="171"/>
    </row>
    <row r="33" spans="1:17" ht="15" customHeight="1">
      <c r="A33" s="6" t="s">
        <v>101</v>
      </c>
      <c r="B33" s="68" t="s">
        <v>260</v>
      </c>
      <c r="C33" s="111" t="s">
        <v>102</v>
      </c>
      <c r="D33" s="10" t="s">
        <v>97</v>
      </c>
      <c r="E33" s="166">
        <v>3.2049999237060547</v>
      </c>
      <c r="F33" s="166">
        <v>438.11450368881225</v>
      </c>
      <c r="G33" s="166">
        <v>12.735504280916349</v>
      </c>
      <c r="H33" s="167">
        <v>28.105600604314603</v>
      </c>
      <c r="I33" s="9" t="s">
        <v>103</v>
      </c>
      <c r="J33" s="73" t="s">
        <v>227</v>
      </c>
      <c r="M33" s="172" t="str">
        <f>RIGHT(B$41,SEARCH("/",B$41,1)-1)</f>
        <v xml:space="preserve"> 1185.7</v>
      </c>
      <c r="N33" s="171" t="s">
        <v>190</v>
      </c>
      <c r="O33" s="171"/>
      <c r="P33" s="173">
        <f>G33*6.4516</f>
        <v>82.164379418759921</v>
      </c>
      <c r="Q33" s="171"/>
    </row>
    <row r="34" spans="1:17" ht="15" customHeight="1" thickBot="1">
      <c r="A34" s="17" t="s">
        <v>104</v>
      </c>
      <c r="B34" s="79" t="s">
        <v>261</v>
      </c>
      <c r="C34" s="164">
        <v>5.5796091372604089</v>
      </c>
      <c r="D34" s="11" t="s">
        <v>20</v>
      </c>
      <c r="E34" s="168">
        <v>0.12000000476837158</v>
      </c>
      <c r="F34" s="169">
        <v>888.85939557188397</v>
      </c>
      <c r="G34" s="169">
        <v>6.2772685590734403</v>
      </c>
      <c r="H34" s="170">
        <v>599.43552231605804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40.498425835718209</v>
      </c>
      <c r="Q34" s="171"/>
    </row>
    <row r="35" spans="1:17" ht="15" customHeight="1">
      <c r="A35" s="13" t="s">
        <v>106</v>
      </c>
      <c r="B35" s="14"/>
      <c r="C35" s="14"/>
      <c r="D35" s="135" t="s">
        <v>229</v>
      </c>
      <c r="E35" s="145" t="s">
        <v>228</v>
      </c>
      <c r="F35" s="15"/>
      <c r="G35" s="26" t="s">
        <v>107</v>
      </c>
      <c r="H35" s="85" t="s">
        <v>222</v>
      </c>
      <c r="I35" s="10" t="s">
        <v>108</v>
      </c>
      <c r="J35" s="74" t="s">
        <v>226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220</v>
      </c>
      <c r="I36" s="10" t="s">
        <v>111</v>
      </c>
      <c r="J36" s="74" t="s">
        <v>225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241</v>
      </c>
      <c r="C37" s="176" t="s">
        <v>242</v>
      </c>
      <c r="D37" s="176" t="s">
        <v>243</v>
      </c>
      <c r="E37" s="176" t="s">
        <v>244</v>
      </c>
      <c r="F37" s="177" t="s">
        <v>245</v>
      </c>
      <c r="G37" s="10" t="s">
        <v>113</v>
      </c>
      <c r="H37" s="74" t="s">
        <v>221</v>
      </c>
      <c r="I37" s="11" t="s">
        <v>114</v>
      </c>
      <c r="J37" s="83" t="s">
        <v>224</v>
      </c>
      <c r="O37" s="150"/>
    </row>
    <row r="38" spans="1:17" ht="15" customHeight="1" thickBot="1">
      <c r="A38" s="10" t="s">
        <v>115</v>
      </c>
      <c r="B38" s="178" t="s">
        <v>231</v>
      </c>
      <c r="C38" s="178" t="s">
        <v>232</v>
      </c>
      <c r="D38" s="178" t="s">
        <v>233</v>
      </c>
      <c r="E38" s="178" t="s">
        <v>234</v>
      </c>
      <c r="F38" s="179" t="s">
        <v>235</v>
      </c>
      <c r="G38" s="17" t="s">
        <v>116</v>
      </c>
      <c r="H38" s="83" t="s">
        <v>223</v>
      </c>
      <c r="I38" s="136" t="s">
        <v>230</v>
      </c>
      <c r="J38" s="84">
        <v>2080.637939453125</v>
      </c>
      <c r="L38" t="str">
        <f>LEFT(E38,SEARCH("/",E38,1)-1)</f>
        <v xml:space="preserve">0.956 </v>
      </c>
      <c r="M38" t="str">
        <f>RIGHT(E38,SEARCH("/",E38,1)-1)</f>
        <v xml:space="preserve"> 0.951</v>
      </c>
      <c r="N38" s="151">
        <f>M38/L38</f>
        <v>0.99476987447698739</v>
      </c>
      <c r="O38" s="150" t="s">
        <v>177</v>
      </c>
    </row>
    <row r="39" spans="1:17" ht="15" customHeight="1">
      <c r="A39" s="10" t="s">
        <v>117</v>
      </c>
      <c r="B39" s="178" t="s">
        <v>236</v>
      </c>
      <c r="C39" s="178" t="s">
        <v>237</v>
      </c>
      <c r="D39" s="178" t="s">
        <v>238</v>
      </c>
      <c r="E39" s="178" t="s">
        <v>239</v>
      </c>
      <c r="F39" s="179" t="s">
        <v>240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0.879 </v>
      </c>
      <c r="M39" t="str">
        <f>RIGHT(E39,SEARCH("/",E39,1)-1)</f>
        <v xml:space="preserve"> 0.879</v>
      </c>
      <c r="N39" s="151">
        <f>M39/L39</f>
        <v>1</v>
      </c>
      <c r="O39" s="150" t="s">
        <v>178</v>
      </c>
    </row>
    <row r="40" spans="1:17" ht="15" customHeight="1">
      <c r="A40" s="10" t="s">
        <v>119</v>
      </c>
      <c r="B40" s="180" t="s">
        <v>254</v>
      </c>
      <c r="C40" s="180" t="s">
        <v>255</v>
      </c>
      <c r="D40" s="180" t="s">
        <v>256</v>
      </c>
      <c r="E40" s="180" t="s">
        <v>257</v>
      </c>
      <c r="F40" s="181" t="s">
        <v>258</v>
      </c>
      <c r="G40" s="35" t="s">
        <v>121</v>
      </c>
      <c r="H40" s="91" t="s">
        <v>262</v>
      </c>
      <c r="I40" s="55"/>
      <c r="J40" s="56"/>
      <c r="L40" t="str">
        <f>LEFT(E37,SEARCH("/",E37,1)-1)</f>
        <v xml:space="preserve">51.26 </v>
      </c>
      <c r="M40" t="str">
        <f>RIGHT(E37,SEARCH("/",E37,1)-1)</f>
        <v xml:space="preserve"> 51.56</v>
      </c>
      <c r="N40" s="151">
        <f>M40/L40</f>
        <v>1.0058525165821304</v>
      </c>
      <c r="O40" s="150" t="s">
        <v>176</v>
      </c>
    </row>
    <row r="41" spans="1:17" ht="15" customHeight="1">
      <c r="A41" s="10" t="s">
        <v>5</v>
      </c>
      <c r="B41" s="182" t="s">
        <v>249</v>
      </c>
      <c r="C41" s="182" t="s">
        <v>250</v>
      </c>
      <c r="D41" s="182" t="s">
        <v>251</v>
      </c>
      <c r="E41" s="182" t="s">
        <v>252</v>
      </c>
      <c r="F41" s="183" t="s">
        <v>253</v>
      </c>
      <c r="G41" s="36" t="s">
        <v>122</v>
      </c>
      <c r="H41" s="92" t="s">
        <v>263</v>
      </c>
      <c r="I41" s="57"/>
      <c r="J41" s="58"/>
      <c r="L41" t="str">
        <f>LEFT(E41,SEARCH("/",E41,1)-1)</f>
        <v xml:space="preserve">1190.7 </v>
      </c>
      <c r="M41" t="str">
        <f>RIGHT(E41,SEARCH("/",E41,1)-1)</f>
        <v xml:space="preserve"> 1178.8</v>
      </c>
      <c r="N41" s="151">
        <f>M41/L41</f>
        <v>0.99000587889476765</v>
      </c>
      <c r="O41" s="150" t="s">
        <v>5</v>
      </c>
    </row>
    <row r="42" spans="1:17" ht="15" customHeight="1">
      <c r="A42" s="10" t="s">
        <v>123</v>
      </c>
      <c r="B42" s="178">
        <v>18.275897916473856</v>
      </c>
      <c r="C42" s="178">
        <v>18.275897916473856</v>
      </c>
      <c r="D42" s="178">
        <v>18.275897916473856</v>
      </c>
      <c r="E42" s="178">
        <v>18.275897916473856</v>
      </c>
      <c r="F42" s="179">
        <v>18.275897916473856</v>
      </c>
      <c r="G42" s="35" t="s">
        <v>124</v>
      </c>
      <c r="H42" s="91" t="s">
        <v>264</v>
      </c>
      <c r="I42" s="55"/>
      <c r="J42" s="97">
        <v>0.22753257083503667</v>
      </c>
    </row>
    <row r="43" spans="1:17" ht="15" customHeight="1" thickBot="1">
      <c r="A43" s="11" t="s">
        <v>125</v>
      </c>
      <c r="B43" s="184">
        <v>18.275897916473856</v>
      </c>
      <c r="C43" s="185"/>
      <c r="D43" s="186" t="s">
        <v>267</v>
      </c>
      <c r="E43" s="186"/>
      <c r="F43" s="187"/>
      <c r="G43" s="36" t="s">
        <v>122</v>
      </c>
      <c r="H43" s="92" t="s">
        <v>265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777.58538024076142</v>
      </c>
      <c r="I44" s="90">
        <v>4.4327828691732622E-2</v>
      </c>
      <c r="J44" s="97">
        <v>0.61300159981611257</v>
      </c>
    </row>
    <row r="45" spans="1:17" ht="15" customHeight="1">
      <c r="A45" s="10" t="s">
        <v>129</v>
      </c>
      <c r="B45" s="68">
        <v>0.35895493626594543</v>
      </c>
      <c r="C45" s="161" t="s">
        <v>130</v>
      </c>
      <c r="D45" s="72">
        <v>1.3811116106808186E-2</v>
      </c>
      <c r="E45" s="10" t="s">
        <v>131</v>
      </c>
      <c r="F45" s="74">
        <v>602.45399805630518</v>
      </c>
      <c r="G45" s="37" t="s">
        <v>122</v>
      </c>
      <c r="H45" s="86" t="s">
        <v>266</v>
      </c>
      <c r="I45" s="59"/>
      <c r="J45" s="60"/>
    </row>
    <row r="46" spans="1:17" ht="15" customHeight="1">
      <c r="A46" s="10" t="s">
        <v>132</v>
      </c>
      <c r="B46" s="68">
        <v>0.17497934401035309</v>
      </c>
      <c r="C46" s="161" t="s">
        <v>133</v>
      </c>
      <c r="D46" s="72">
        <v>7.7753267250955105E-3</v>
      </c>
      <c r="E46" s="10" t="s">
        <v>134</v>
      </c>
      <c r="F46" s="74">
        <v>1035.9612931251181</v>
      </c>
      <c r="G46" s="36" t="s">
        <v>135</v>
      </c>
      <c r="H46" s="94">
        <v>174.96938834756054</v>
      </c>
      <c r="I46" s="57"/>
      <c r="J46" s="58"/>
      <c r="L46" s="146" t="s">
        <v>179</v>
      </c>
      <c r="M46" s="148">
        <f>B5^0.95</f>
        <v>296.45377388225694</v>
      </c>
    </row>
    <row r="47" spans="1:17" ht="15" customHeight="1">
      <c r="A47" s="10" t="s">
        <v>136</v>
      </c>
      <c r="B47" s="68">
        <v>0.53393429517745972</v>
      </c>
      <c r="C47" s="161" t="s">
        <v>137</v>
      </c>
      <c r="D47" s="72">
        <v>5.6970510631799698E-3</v>
      </c>
      <c r="E47" s="10" t="s">
        <v>138</v>
      </c>
      <c r="F47" s="74">
        <v>814.49127800785584</v>
      </c>
      <c r="G47" s="64" t="s">
        <v>139</v>
      </c>
      <c r="H47" s="93">
        <v>743.93095465701015</v>
      </c>
      <c r="I47" s="90">
        <v>4.2281866660419325E-2</v>
      </c>
      <c r="J47" s="95">
        <v>0.62867320219640244</v>
      </c>
      <c r="L47" s="146" t="s">
        <v>180</v>
      </c>
      <c r="M47" s="148">
        <f>B5^1.5</f>
        <v>7999.9997545503056</v>
      </c>
    </row>
    <row r="48" spans="1:17" ht="15" customHeight="1">
      <c r="A48" s="10" t="s">
        <v>140</v>
      </c>
      <c r="B48" s="68">
        <v>1.4330909587442875E-2</v>
      </c>
      <c r="C48" s="161" t="s">
        <v>100</v>
      </c>
      <c r="D48" s="72">
        <v>4.1614402085542679E-2</v>
      </c>
      <c r="E48" s="10" t="s">
        <v>141</v>
      </c>
      <c r="F48" s="74">
        <v>9.1687923714418567</v>
      </c>
      <c r="G48" s="65" t="s">
        <v>122</v>
      </c>
      <c r="H48" s="86">
        <v>249.30662529272084</v>
      </c>
      <c r="I48" s="59"/>
      <c r="J48" s="60"/>
      <c r="L48" s="146" t="s">
        <v>181</v>
      </c>
      <c r="M48" s="147">
        <f>IF(A5="",0,(7200/(1000*A5))^2.4)</f>
        <v>1.5489414099829009</v>
      </c>
    </row>
    <row r="49" spans="1:13" ht="15" customHeight="1" thickBot="1">
      <c r="A49" s="8"/>
      <c r="B49" s="54"/>
      <c r="C49" s="162" t="s">
        <v>142</v>
      </c>
      <c r="D49" s="81">
        <v>0.95838558673858643</v>
      </c>
      <c r="E49" s="11" t="s">
        <v>143</v>
      </c>
      <c r="F49" s="83">
        <v>15.775866908945215</v>
      </c>
      <c r="G49" s="66" t="s">
        <v>135</v>
      </c>
      <c r="H49" s="94">
        <v>170.79467907300639</v>
      </c>
      <c r="I49" s="57"/>
      <c r="J49" s="61"/>
      <c r="L49" s="146" t="s">
        <v>182</v>
      </c>
      <c r="M49" s="147">
        <f>IF(A5="",0,(7200/(1000*A5))^1.8)</f>
        <v>1.388437205763783</v>
      </c>
    </row>
    <row r="50" spans="1:13" ht="15" customHeight="1">
      <c r="A50" s="13" t="s">
        <v>212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24</v>
      </c>
    </row>
    <row r="51" spans="1:13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6.0972979487110487E-2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32.049999237060547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78887.255958503723</v>
      </c>
      <c r="I52" s="98" t="s">
        <v>246</v>
      </c>
      <c r="J52" s="62"/>
      <c r="L52" s="146" t="s">
        <v>191</v>
      </c>
      <c r="M52" s="163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37.339193926824017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4198.700744461953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181500</v>
      </c>
      <c r="I54" s="99" t="s">
        <v>247</v>
      </c>
      <c r="J54" s="100" t="s">
        <v>210</v>
      </c>
    </row>
    <row r="55" spans="1:13" ht="15" customHeight="1">
      <c r="A55" s="10" t="s">
        <v>156</v>
      </c>
      <c r="B55" s="69">
        <v>8.0500001907348633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1.1699999570846558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248</v>
      </c>
      <c r="J56" s="61" t="s">
        <v>211</v>
      </c>
    </row>
    <row r="57" spans="1:13" ht="15" customHeight="1">
      <c r="A57" s="23" t="s">
        <v>396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394</v>
      </c>
      <c r="D58" s="4" t="s">
        <v>119</v>
      </c>
      <c r="E58" s="4" t="s">
        <v>165</v>
      </c>
      <c r="F58" s="16" t="s">
        <v>395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0.31018081307411194</v>
      </c>
      <c r="D59" s="127">
        <v>0.69810527563095093</v>
      </c>
      <c r="E59" s="86">
        <v>121.2953262906029</v>
      </c>
      <c r="F59" s="87">
        <v>645.13885498046875</v>
      </c>
      <c r="G59" s="121"/>
      <c r="H59" s="45"/>
      <c r="I59" s="45"/>
      <c r="J59" s="46"/>
    </row>
    <row r="60" spans="1:13" ht="15" customHeight="1">
      <c r="A60" s="129">
        <v>8.7999999523162842E-3</v>
      </c>
      <c r="B60" s="86">
        <v>124.7765839393177</v>
      </c>
      <c r="C60" s="87">
        <v>123.54424285888672</v>
      </c>
      <c r="D60" s="127">
        <v>0.79873687028884888</v>
      </c>
      <c r="E60" s="86">
        <v>120.62887632451631</v>
      </c>
      <c r="F60" s="87">
        <v>653.0888671875</v>
      </c>
      <c r="G60" s="121"/>
      <c r="H60" s="45"/>
      <c r="I60" s="45"/>
      <c r="J60" s="46"/>
    </row>
    <row r="61" spans="1:13" ht="15" customHeight="1">
      <c r="A61" s="129">
        <v>4.3999999761581421E-2</v>
      </c>
      <c r="B61" s="86">
        <v>310</v>
      </c>
      <c r="C61" s="87">
        <v>412.6480712890625</v>
      </c>
      <c r="D61" s="127">
        <v>0.89936840534210205</v>
      </c>
      <c r="E61" s="86">
        <v>120.22692427594009</v>
      </c>
      <c r="F61" s="87">
        <v>659.701171875</v>
      </c>
      <c r="G61" s="121"/>
      <c r="H61" s="45"/>
      <c r="I61" s="45"/>
      <c r="J61" s="46"/>
    </row>
    <row r="62" spans="1:13" ht="15" customHeight="1">
      <c r="A62" s="125">
        <v>9.4315789639949799E-2</v>
      </c>
      <c r="B62" s="86">
        <v>226.60908032037128</v>
      </c>
      <c r="C62" s="87">
        <v>521.86419677734375</v>
      </c>
      <c r="D62" s="128">
        <v>1</v>
      </c>
      <c r="E62" s="86">
        <v>120</v>
      </c>
      <c r="F62" s="87">
        <v>665.38458251953125</v>
      </c>
      <c r="G62" s="121"/>
      <c r="H62" s="45"/>
      <c r="I62" s="45"/>
      <c r="J62" s="46"/>
    </row>
    <row r="63" spans="1:13" ht="15" customHeight="1" thickBot="1">
      <c r="A63" s="125">
        <v>0.14463157951831818</v>
      </c>
      <c r="B63" s="86">
        <v>173.62866789457686</v>
      </c>
      <c r="C63" s="87">
        <v>557.9940185546875</v>
      </c>
      <c r="D63" s="487"/>
      <c r="E63" s="488"/>
      <c r="F63" s="489"/>
      <c r="G63" s="121"/>
      <c r="H63" s="45"/>
      <c r="I63" s="45"/>
      <c r="J63" s="46"/>
    </row>
    <row r="64" spans="1:13" ht="15" customHeight="1">
      <c r="A64" s="125">
        <v>0.19494737684726715</v>
      </c>
      <c r="B64" s="86">
        <v>148.56298632035075</v>
      </c>
      <c r="C64" s="87">
        <v>575.75323486328125</v>
      </c>
      <c r="D64" s="490" t="s">
        <v>404</v>
      </c>
      <c r="E64" s="491"/>
      <c r="F64" s="491"/>
      <c r="G64" s="121"/>
      <c r="H64" s="45"/>
      <c r="I64" s="45"/>
      <c r="J64" s="46"/>
    </row>
    <row r="65" spans="1:10" ht="15" customHeight="1">
      <c r="A65" s="125">
        <v>0.29557895660400391</v>
      </c>
      <c r="B65" s="86">
        <v>133.07552041861533</v>
      </c>
      <c r="C65" s="87">
        <v>596.6336669921875</v>
      </c>
      <c r="D65" s="492" t="s">
        <v>398</v>
      </c>
      <c r="E65" s="494" t="s">
        <v>402</v>
      </c>
      <c r="F65" s="495"/>
      <c r="G65" s="121"/>
      <c r="H65" s="45"/>
      <c r="I65" s="45"/>
      <c r="J65" s="46"/>
    </row>
    <row r="66" spans="1:10" ht="15" customHeight="1">
      <c r="A66" s="125">
        <v>0.39621052145957947</v>
      </c>
      <c r="B66" s="86">
        <v>127.09253668021844</v>
      </c>
      <c r="C66" s="87">
        <v>611.797607421875</v>
      </c>
      <c r="D66" s="492" t="s">
        <v>399</v>
      </c>
      <c r="E66" s="494" t="s">
        <v>403</v>
      </c>
      <c r="F66" s="495"/>
      <c r="G66" s="121"/>
      <c r="H66" s="45"/>
      <c r="I66" s="45"/>
      <c r="J66" s="46"/>
    </row>
    <row r="67" spans="1:10" ht="15" customHeight="1">
      <c r="A67" s="125">
        <v>0.49684211611747742</v>
      </c>
      <c r="B67" s="86">
        <v>124.10957693568716</v>
      </c>
      <c r="C67" s="87">
        <v>624.63385009765625</v>
      </c>
      <c r="D67" s="492" t="s">
        <v>400</v>
      </c>
      <c r="E67" s="494" t="s">
        <v>405</v>
      </c>
      <c r="F67" s="495"/>
      <c r="G67" s="121"/>
      <c r="H67" s="45"/>
      <c r="I67" s="45"/>
      <c r="J67" s="46"/>
    </row>
    <row r="68" spans="1:10" ht="15" customHeight="1" thickBot="1">
      <c r="A68" s="126">
        <v>0.59747368097305298</v>
      </c>
      <c r="B68" s="88">
        <v>122.37586469792844</v>
      </c>
      <c r="C68" s="89">
        <v>635.78509521484375</v>
      </c>
      <c r="D68" s="493" t="s">
        <v>401</v>
      </c>
      <c r="E68" s="496" t="s">
        <v>406</v>
      </c>
      <c r="F68" s="496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86" t="s">
        <v>397</v>
      </c>
      <c r="B99" s="486"/>
      <c r="C99" s="486"/>
      <c r="D99" s="486"/>
      <c r="E99" s="486"/>
      <c r="F99" s="486"/>
      <c r="G99" s="486"/>
      <c r="H99" s="486"/>
      <c r="I99" s="486"/>
    </row>
    <row r="100" spans="1:9">
      <c r="A100" s="486">
        <v>100</v>
      </c>
      <c r="B100" s="486"/>
      <c r="C100" s="486"/>
      <c r="D100" s="486"/>
      <c r="E100" s="486"/>
      <c r="F100" s="486"/>
      <c r="G100" s="486"/>
      <c r="H100" s="486"/>
      <c r="I100" s="486"/>
    </row>
    <row r="101" spans="1:9">
      <c r="A101" s="486">
        <v>98.239997863769531</v>
      </c>
      <c r="B101" s="486"/>
      <c r="C101" s="486"/>
      <c r="D101" s="486"/>
      <c r="E101" s="486"/>
      <c r="F101" s="486"/>
      <c r="G101" s="486"/>
      <c r="H101" s="486"/>
      <c r="I101" s="486"/>
    </row>
    <row r="102" spans="1:9">
      <c r="A102" s="486">
        <v>88.650001525878906</v>
      </c>
      <c r="B102" s="486"/>
      <c r="C102" s="486"/>
      <c r="D102" s="486"/>
      <c r="E102" s="486"/>
      <c r="F102" s="486"/>
      <c r="G102" s="486"/>
      <c r="H102" s="486"/>
      <c r="I102" s="486"/>
    </row>
    <row r="103" spans="1:9">
      <c r="A103" s="486">
        <v>75.477897644042969</v>
      </c>
      <c r="B103" s="486"/>
      <c r="C103" s="486"/>
      <c r="D103" s="486"/>
      <c r="E103" s="486"/>
      <c r="F103" s="486"/>
      <c r="G103" s="486"/>
      <c r="H103" s="486"/>
      <c r="I103" s="486"/>
    </row>
    <row r="104" spans="1:9">
      <c r="A104" s="486">
        <v>62.395790100097656</v>
      </c>
      <c r="B104" s="486"/>
      <c r="C104" s="486"/>
      <c r="D104" s="486"/>
      <c r="E104" s="486"/>
      <c r="F104" s="486"/>
      <c r="G104" s="486"/>
      <c r="H104" s="486"/>
      <c r="I104" s="486"/>
    </row>
    <row r="105" spans="1:9">
      <c r="A105" s="486">
        <v>51.111576080322266</v>
      </c>
      <c r="B105" s="486"/>
      <c r="C105" s="486"/>
      <c r="D105" s="486"/>
      <c r="E105" s="486"/>
      <c r="F105" s="486"/>
      <c r="G105" s="486"/>
      <c r="H105" s="486"/>
      <c r="I105" s="486"/>
    </row>
    <row r="106" spans="1:9">
      <c r="A106" s="486">
        <v>33.751575469970703</v>
      </c>
      <c r="B106" s="486"/>
      <c r="C106" s="486"/>
      <c r="D106" s="486"/>
      <c r="E106" s="486"/>
      <c r="F106" s="486"/>
      <c r="G106" s="486"/>
      <c r="H106" s="486"/>
      <c r="I106" s="486"/>
    </row>
    <row r="107" spans="1:9">
      <c r="A107" s="486">
        <v>22.416843414306641</v>
      </c>
      <c r="B107" s="486"/>
      <c r="C107" s="486"/>
      <c r="D107" s="486"/>
      <c r="E107" s="486"/>
      <c r="F107" s="486"/>
      <c r="G107" s="486"/>
      <c r="H107" s="486"/>
      <c r="I107" s="486"/>
    </row>
    <row r="108" spans="1:9">
      <c r="A108" s="486">
        <v>14.252630233764648</v>
      </c>
      <c r="B108" s="486"/>
      <c r="C108" s="486"/>
      <c r="D108" s="486"/>
      <c r="E108" s="486"/>
      <c r="F108" s="486"/>
      <c r="G108" s="486"/>
      <c r="H108" s="486"/>
      <c r="I108" s="486"/>
    </row>
    <row r="109" spans="1:9">
      <c r="A109" s="486">
        <v>8.1515789031982422</v>
      </c>
      <c r="B109" s="486"/>
      <c r="C109" s="486"/>
      <c r="D109" s="486"/>
      <c r="E109" s="486"/>
      <c r="F109" s="486"/>
      <c r="G109" s="486"/>
      <c r="H109" s="486"/>
      <c r="I109" s="486"/>
    </row>
    <row r="110" spans="1:9">
      <c r="A110" s="486">
        <v>6.0378942489624023</v>
      </c>
      <c r="B110" s="486"/>
      <c r="C110" s="486"/>
      <c r="D110" s="486"/>
      <c r="E110" s="486"/>
      <c r="F110" s="486"/>
      <c r="G110" s="486"/>
      <c r="H110" s="486"/>
      <c r="I110" s="486"/>
    </row>
    <row r="111" spans="1:9">
      <c r="A111" s="486">
        <v>7.9747371673583984</v>
      </c>
      <c r="B111" s="486"/>
      <c r="C111" s="486"/>
      <c r="D111" s="486"/>
      <c r="E111" s="486"/>
      <c r="F111" s="486"/>
      <c r="G111" s="486"/>
      <c r="H111" s="486"/>
      <c r="I111" s="486"/>
    </row>
    <row r="112" spans="1:9">
      <c r="A112" s="486">
        <v>14.955788612365723</v>
      </c>
      <c r="B112" s="486"/>
      <c r="C112" s="486"/>
      <c r="D112" s="486"/>
      <c r="E112" s="486"/>
      <c r="F112" s="486"/>
      <c r="G112" s="486"/>
      <c r="H112" s="486"/>
      <c r="I112" s="486"/>
    </row>
    <row r="113" spans="1:9">
      <c r="A113" s="486">
        <v>30</v>
      </c>
      <c r="B113" s="486"/>
      <c r="C113" s="486"/>
      <c r="D113" s="486"/>
      <c r="E113" s="486"/>
      <c r="F113" s="486"/>
      <c r="G113" s="486"/>
      <c r="H113" s="486"/>
      <c r="I113" s="486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topLeftCell="A19" zoomScaleNormal="100" workbookViewId="0">
      <selection activeCell="N34" sqref="N34"/>
    </sheetView>
  </sheetViews>
  <sheetFormatPr defaultRowHeight="15.75"/>
  <cols>
    <col min="1" max="1" width="12.140625" style="411" customWidth="1"/>
    <col min="2" max="2" width="6.140625" style="411" customWidth="1"/>
    <col min="3" max="3" width="7.7109375" style="411" customWidth="1"/>
    <col min="4" max="5" width="13.140625" style="411" customWidth="1"/>
    <col min="6" max="6" width="9.42578125" style="411" customWidth="1"/>
    <col min="7" max="7" width="5.7109375" style="411" customWidth="1"/>
    <col min="8" max="8" width="7.85546875" style="411" customWidth="1"/>
    <col min="9" max="9" width="6.5703125" style="411" customWidth="1"/>
    <col min="10" max="10" width="12" style="412" customWidth="1"/>
    <col min="11" max="11" width="12" style="411" customWidth="1"/>
    <col min="12" max="12" width="16" style="189" customWidth="1"/>
    <col min="13" max="26" width="9.140625" style="189"/>
    <col min="27" max="16384" width="9.140625" style="190"/>
  </cols>
  <sheetData>
    <row r="1" spans="1:26" ht="20.25" customHeight="1">
      <c r="A1" s="188" t="s">
        <v>268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6" ht="20.25" customHeight="1">
      <c r="A2" s="191" t="s">
        <v>269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6" ht="18.75" customHeight="1" thickBot="1">
      <c r="A3" s="192" t="s">
        <v>1</v>
      </c>
      <c r="B3" s="193" t="s">
        <v>380</v>
      </c>
      <c r="C3" s="194"/>
      <c r="D3" s="194"/>
      <c r="E3" s="194"/>
      <c r="F3" s="195"/>
      <c r="G3" s="194"/>
      <c r="H3" s="194"/>
      <c r="I3" s="192" t="s">
        <v>270</v>
      </c>
      <c r="J3" s="196"/>
      <c r="K3" s="196"/>
    </row>
    <row r="4" spans="1:26" s="205" customFormat="1" ht="18.399999999999999" customHeight="1" thickBot="1">
      <c r="A4" s="197" t="s">
        <v>381</v>
      </c>
      <c r="B4" s="198"/>
      <c r="C4" s="199"/>
      <c r="D4" s="199"/>
      <c r="E4" s="199"/>
      <c r="F4" s="199"/>
      <c r="G4" s="199"/>
      <c r="H4" s="199"/>
      <c r="I4" s="199"/>
      <c r="J4" s="199"/>
      <c r="K4" s="200"/>
      <c r="L4" s="201"/>
      <c r="M4" s="201"/>
      <c r="N4" s="201"/>
      <c r="O4" s="201"/>
      <c r="P4" s="201"/>
      <c r="Q4" s="202" t="s">
        <v>271</v>
      </c>
      <c r="R4" s="203"/>
      <c r="S4" s="201"/>
      <c r="T4" s="202" t="s">
        <v>272</v>
      </c>
      <c r="U4" s="204"/>
      <c r="V4" s="201"/>
      <c r="W4" s="201"/>
      <c r="X4" s="201"/>
      <c r="Y4" s="201"/>
      <c r="Z4" s="201"/>
    </row>
    <row r="5" spans="1:26" s="205" customFormat="1" ht="18.399999999999999" customHeight="1">
      <c r="A5" s="206" t="s">
        <v>273</v>
      </c>
      <c r="B5" s="207"/>
      <c r="C5" s="207"/>
      <c r="D5" s="208"/>
      <c r="E5" s="209"/>
      <c r="F5" s="210" t="s">
        <v>274</v>
      </c>
      <c r="G5" s="211"/>
      <c r="H5" s="211"/>
      <c r="I5" s="212"/>
      <c r="J5" s="213" t="s">
        <v>275</v>
      </c>
      <c r="K5" s="214" t="s">
        <v>276</v>
      </c>
      <c r="L5" s="201"/>
      <c r="M5" s="201"/>
      <c r="N5" s="201"/>
      <c r="O5" s="201"/>
      <c r="P5" s="201"/>
      <c r="Q5" s="215" t="s">
        <v>277</v>
      </c>
      <c r="R5" s="216"/>
      <c r="S5" s="201"/>
      <c r="T5" s="215" t="s">
        <v>278</v>
      </c>
      <c r="U5" s="217"/>
      <c r="V5" s="201"/>
      <c r="W5" s="201"/>
      <c r="X5" s="201"/>
      <c r="Y5" s="201"/>
      <c r="Z5" s="201"/>
    </row>
    <row r="6" spans="1:26" s="205" customFormat="1" ht="18.399999999999999" customHeight="1">
      <c r="A6" s="218" t="s">
        <v>67</v>
      </c>
      <c r="B6" s="219"/>
      <c r="C6" s="219"/>
      <c r="D6" s="220" t="s">
        <v>282</v>
      </c>
      <c r="E6" s="221"/>
      <c r="F6" s="222" t="s">
        <v>280</v>
      </c>
      <c r="G6" s="223"/>
      <c r="H6" s="223"/>
      <c r="I6" s="223"/>
      <c r="J6" s="223"/>
      <c r="K6" s="224"/>
      <c r="L6" s="201"/>
      <c r="M6" s="201"/>
      <c r="N6" s="201"/>
      <c r="O6" s="201"/>
      <c r="P6" s="201"/>
      <c r="Q6" s="215" t="s">
        <v>281</v>
      </c>
      <c r="R6" s="216"/>
      <c r="S6" s="201"/>
      <c r="T6" s="215" t="s">
        <v>282</v>
      </c>
      <c r="U6" s="217"/>
      <c r="V6" s="201"/>
      <c r="W6" s="201"/>
      <c r="X6" s="201"/>
      <c r="Y6" s="201"/>
      <c r="Z6" s="201"/>
    </row>
    <row r="7" spans="1:26" s="205" customFormat="1" ht="18.399999999999999" customHeight="1">
      <c r="A7" s="225" t="s">
        <v>20</v>
      </c>
      <c r="B7" s="226"/>
      <c r="C7" s="226"/>
      <c r="D7" s="227">
        <v>1.20000004768372</v>
      </c>
      <c r="E7" s="228"/>
      <c r="F7" s="229" t="s">
        <v>283</v>
      </c>
      <c r="G7" s="230"/>
      <c r="H7" s="231"/>
      <c r="I7" s="232"/>
      <c r="J7" s="233">
        <v>15.1</v>
      </c>
      <c r="K7" s="234" t="s">
        <v>174</v>
      </c>
      <c r="L7" s="201"/>
      <c r="M7" s="201"/>
      <c r="N7" s="201"/>
      <c r="O7" s="201"/>
      <c r="P7" s="201"/>
      <c r="Q7" s="215" t="s">
        <v>284</v>
      </c>
      <c r="R7" s="216"/>
      <c r="S7" s="201"/>
      <c r="T7" s="215" t="s">
        <v>279</v>
      </c>
      <c r="U7" s="217"/>
      <c r="V7" s="201"/>
      <c r="W7" s="201"/>
      <c r="X7" s="201"/>
      <c r="Y7" s="201"/>
      <c r="Z7" s="201"/>
    </row>
    <row r="8" spans="1:26" s="205" customFormat="1" ht="18.399999999999999" customHeight="1">
      <c r="A8" s="225" t="s">
        <v>285</v>
      </c>
      <c r="B8" s="226"/>
      <c r="C8" s="226"/>
      <c r="D8" s="235">
        <v>600</v>
      </c>
      <c r="E8" s="236"/>
      <c r="F8" s="237" t="s">
        <v>286</v>
      </c>
      <c r="G8" s="238"/>
      <c r="H8" s="239"/>
      <c r="I8" s="240"/>
      <c r="J8" s="241">
        <v>4351</v>
      </c>
      <c r="K8" s="242" t="s">
        <v>174</v>
      </c>
      <c r="L8" s="201"/>
      <c r="M8" s="201"/>
      <c r="N8" s="201"/>
      <c r="O8" s="201"/>
      <c r="P8" s="201"/>
      <c r="Q8" s="215" t="s">
        <v>287</v>
      </c>
      <c r="R8" s="216"/>
      <c r="S8" s="201"/>
      <c r="T8" s="215" t="s">
        <v>288</v>
      </c>
      <c r="U8" s="217"/>
      <c r="V8" s="201"/>
      <c r="W8" s="201"/>
      <c r="X8" s="201"/>
      <c r="Y8" s="201"/>
      <c r="Z8" s="201"/>
    </row>
    <row r="9" spans="1:26" s="205" customFormat="1" ht="18.399999999999999" customHeight="1">
      <c r="A9" s="243" t="s">
        <v>289</v>
      </c>
      <c r="B9" s="244"/>
      <c r="C9" s="245"/>
      <c r="D9" s="235">
        <v>7</v>
      </c>
      <c r="E9" s="236"/>
      <c r="F9" s="229" t="s">
        <v>290</v>
      </c>
      <c r="G9" s="230"/>
      <c r="H9" s="246">
        <v>3</v>
      </c>
      <c r="I9" s="247" t="s">
        <v>291</v>
      </c>
      <c r="J9" s="248">
        <v>84</v>
      </c>
      <c r="K9" s="242" t="s">
        <v>174</v>
      </c>
      <c r="L9" s="201"/>
      <c r="M9" s="201"/>
      <c r="N9" s="201"/>
      <c r="O9" s="201"/>
      <c r="P9" s="201"/>
      <c r="Q9" s="215" t="s">
        <v>292</v>
      </c>
      <c r="R9" s="216"/>
      <c r="S9" s="201"/>
      <c r="T9" s="215" t="s">
        <v>293</v>
      </c>
      <c r="U9" s="217"/>
      <c r="V9" s="201"/>
      <c r="W9" s="201"/>
      <c r="X9" s="201"/>
      <c r="Y9" s="201"/>
      <c r="Z9" s="201"/>
    </row>
    <row r="10" spans="1:26" s="205" customFormat="1" ht="18.399999999999999" customHeight="1" thickBot="1">
      <c r="A10" s="243" t="s">
        <v>294</v>
      </c>
      <c r="B10" s="244"/>
      <c r="C10" s="245"/>
      <c r="D10" s="249" t="s">
        <v>200</v>
      </c>
      <c r="E10" s="250"/>
      <c r="F10" s="229" t="s">
        <v>295</v>
      </c>
      <c r="G10" s="230"/>
      <c r="H10" s="246">
        <v>3</v>
      </c>
      <c r="I10" s="247" t="s">
        <v>291</v>
      </c>
      <c r="J10" s="248">
        <v>1150</v>
      </c>
      <c r="K10" s="242" t="s">
        <v>174</v>
      </c>
      <c r="L10" s="201"/>
      <c r="M10" s="201"/>
      <c r="N10" s="201"/>
      <c r="O10" s="201"/>
      <c r="P10" s="201"/>
      <c r="Q10" s="215" t="s">
        <v>296</v>
      </c>
      <c r="R10" s="216"/>
      <c r="S10" s="201"/>
      <c r="T10" s="251" t="s">
        <v>297</v>
      </c>
      <c r="U10" s="252"/>
      <c r="V10" s="201"/>
      <c r="W10" s="201"/>
      <c r="X10" s="201"/>
      <c r="Y10" s="201"/>
      <c r="Z10" s="201"/>
    </row>
    <row r="11" spans="1:26" s="205" customFormat="1" ht="18.399999999999999" customHeight="1" thickBot="1">
      <c r="A11" s="243" t="s">
        <v>298</v>
      </c>
      <c r="B11" s="244"/>
      <c r="C11" s="245"/>
      <c r="D11" s="253" t="s">
        <v>174</v>
      </c>
      <c r="E11" s="254"/>
      <c r="F11" s="255" t="s">
        <v>299</v>
      </c>
      <c r="G11" s="256"/>
      <c r="H11" s="257">
        <v>3</v>
      </c>
      <c r="I11" s="247" t="s">
        <v>291</v>
      </c>
      <c r="J11" s="258">
        <v>14130</v>
      </c>
      <c r="K11" s="259" t="s">
        <v>174</v>
      </c>
      <c r="L11" s="201"/>
      <c r="M11" s="201"/>
      <c r="N11" s="201"/>
      <c r="O11" s="201"/>
      <c r="P11" s="201"/>
      <c r="Q11" s="215" t="s">
        <v>300</v>
      </c>
      <c r="R11" s="216"/>
      <c r="S11" s="201"/>
      <c r="T11" s="202" t="s">
        <v>301</v>
      </c>
      <c r="U11" s="204"/>
      <c r="V11" s="201"/>
      <c r="W11" s="201"/>
      <c r="X11" s="201"/>
      <c r="Y11" s="201"/>
      <c r="Z11" s="201"/>
    </row>
    <row r="12" spans="1:26" s="205" customFormat="1" ht="18.399999999999999" customHeight="1" thickBot="1">
      <c r="A12" s="260" t="s">
        <v>302</v>
      </c>
      <c r="C12" s="261"/>
      <c r="D12" s="262" t="s">
        <v>174</v>
      </c>
      <c r="E12" s="263"/>
      <c r="F12" s="264" t="s">
        <v>303</v>
      </c>
      <c r="G12" s="265"/>
      <c r="H12" s="265"/>
      <c r="I12" s="265"/>
      <c r="J12" s="265"/>
      <c r="K12" s="266"/>
      <c r="L12" s="201"/>
      <c r="M12" s="201"/>
      <c r="N12" s="201"/>
      <c r="O12" s="201"/>
      <c r="P12" s="201"/>
      <c r="Q12" s="251" t="s">
        <v>304</v>
      </c>
      <c r="R12" s="267"/>
      <c r="S12" s="201"/>
      <c r="T12" s="201"/>
      <c r="U12" s="201"/>
      <c r="V12" s="201"/>
      <c r="W12" s="201"/>
      <c r="X12" s="201"/>
      <c r="Y12" s="201"/>
      <c r="Z12" s="201"/>
    </row>
    <row r="13" spans="1:26" s="205" customFormat="1" ht="18.399999999999999" customHeight="1">
      <c r="A13" s="243" t="s">
        <v>53</v>
      </c>
      <c r="B13" s="244"/>
      <c r="C13" s="245"/>
      <c r="D13" s="268" t="s">
        <v>383</v>
      </c>
      <c r="E13" s="269"/>
      <c r="F13" s="270"/>
      <c r="G13" s="271" t="s">
        <v>305</v>
      </c>
      <c r="H13" s="272"/>
      <c r="I13" s="273" t="s">
        <v>306</v>
      </c>
      <c r="J13" s="274" t="s">
        <v>384</v>
      </c>
      <c r="K13" s="275" t="s">
        <v>174</v>
      </c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spans="1:26" s="205" customFormat="1" ht="18.399999999999999" customHeight="1">
      <c r="A14" s="243" t="s">
        <v>56</v>
      </c>
      <c r="B14" s="244"/>
      <c r="C14" s="245"/>
      <c r="D14" s="262">
        <v>939</v>
      </c>
      <c r="E14" s="263"/>
      <c r="F14" s="270"/>
      <c r="G14" s="276" t="s">
        <v>10</v>
      </c>
      <c r="H14" s="277"/>
      <c r="I14" s="277"/>
      <c r="J14" s="248" t="s">
        <v>174</v>
      </c>
      <c r="K14" s="242" t="s">
        <v>174</v>
      </c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spans="1:26" s="205" customFormat="1" ht="18.399999999999999" customHeight="1">
      <c r="A15" s="278" t="s">
        <v>307</v>
      </c>
      <c r="B15" s="279"/>
      <c r="C15" s="280"/>
      <c r="D15" s="281">
        <v>12.01039981842041</v>
      </c>
      <c r="E15" s="282"/>
      <c r="F15" s="270"/>
      <c r="G15" s="276" t="s">
        <v>308</v>
      </c>
      <c r="H15" s="277"/>
      <c r="I15" s="277"/>
      <c r="J15" s="248" t="s">
        <v>174</v>
      </c>
      <c r="K15" s="242" t="s">
        <v>174</v>
      </c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spans="1:26" s="205" customFormat="1" ht="18.399999999999999" customHeight="1">
      <c r="A16" s="283" t="s">
        <v>309</v>
      </c>
      <c r="B16" s="284"/>
      <c r="C16" s="285"/>
      <c r="D16" s="281">
        <v>3.3183999061584473</v>
      </c>
      <c r="E16" s="282"/>
      <c r="F16" s="286"/>
      <c r="G16" s="287" t="s">
        <v>17</v>
      </c>
      <c r="H16" s="288"/>
      <c r="I16" s="288"/>
      <c r="J16" s="258" t="s">
        <v>174</v>
      </c>
      <c r="K16" s="259" t="s">
        <v>174</v>
      </c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spans="1:26" s="205" customFormat="1" ht="18.399999999999999" customHeight="1">
      <c r="A17" s="289" t="s">
        <v>310</v>
      </c>
      <c r="B17" s="290"/>
      <c r="C17" s="291"/>
      <c r="D17" s="253" t="s">
        <v>382</v>
      </c>
      <c r="E17" s="254"/>
      <c r="F17" s="264" t="s">
        <v>311</v>
      </c>
      <c r="G17" s="265"/>
      <c r="H17" s="265"/>
      <c r="I17" s="265"/>
      <c r="J17" s="265"/>
      <c r="K17" s="266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spans="1:26" s="205" customFormat="1" ht="18.399999999999999" customHeight="1">
      <c r="A18" s="292" t="s">
        <v>312</v>
      </c>
      <c r="B18" s="293"/>
      <c r="C18" s="291"/>
      <c r="D18" s="249" t="s">
        <v>174</v>
      </c>
      <c r="E18" s="250"/>
      <c r="F18" s="294"/>
      <c r="G18" s="295"/>
      <c r="H18" s="296" t="s">
        <v>313</v>
      </c>
      <c r="I18" s="297"/>
      <c r="J18" s="241">
        <v>52</v>
      </c>
      <c r="K18" s="242"/>
      <c r="L18" s="201"/>
      <c r="M18" s="201">
        <f>J18*6.5</f>
        <v>338</v>
      </c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spans="1:26" s="205" customFormat="1" ht="18.399999999999999" customHeight="1">
      <c r="A19" s="298" t="s">
        <v>314</v>
      </c>
      <c r="B19" s="299"/>
      <c r="C19" s="300"/>
      <c r="D19" s="301" t="s">
        <v>174</v>
      </c>
      <c r="E19" s="254"/>
      <c r="F19" s="302"/>
      <c r="G19" s="303"/>
      <c r="H19" s="296" t="s">
        <v>5</v>
      </c>
      <c r="I19" s="232"/>
      <c r="J19" s="241">
        <v>1180</v>
      </c>
      <c r="K19" s="242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spans="1:26" s="205" customFormat="1" ht="18.399999999999999" customHeight="1" thickBot="1">
      <c r="A20" s="304" t="s">
        <v>315</v>
      </c>
      <c r="C20" s="305"/>
      <c r="D20" s="306" t="s">
        <v>199</v>
      </c>
      <c r="E20" s="236"/>
      <c r="F20" s="302"/>
      <c r="G20" s="303"/>
      <c r="H20" s="296" t="s">
        <v>316</v>
      </c>
      <c r="I20" s="232"/>
      <c r="J20" s="248" t="s">
        <v>386</v>
      </c>
      <c r="K20" s="242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spans="1:26" s="205" customFormat="1" ht="18.399999999999999" customHeight="1" thickBot="1">
      <c r="A21" s="278" t="s">
        <v>317</v>
      </c>
      <c r="B21" s="279"/>
      <c r="C21" s="280"/>
      <c r="D21" s="235" t="s">
        <v>174</v>
      </c>
      <c r="E21" s="236"/>
      <c r="F21" s="302"/>
      <c r="G21" s="303"/>
      <c r="H21" s="307" t="s">
        <v>318</v>
      </c>
      <c r="I21" s="232"/>
      <c r="J21" s="248">
        <v>1.1499999999999999</v>
      </c>
      <c r="K21" s="242"/>
      <c r="L21" s="201"/>
      <c r="M21" s="201"/>
      <c r="N21" s="201"/>
      <c r="O21" s="201"/>
      <c r="P21" s="201"/>
      <c r="Q21" s="202" t="s">
        <v>319</v>
      </c>
      <c r="R21" s="204"/>
      <c r="S21" s="201"/>
      <c r="T21" s="201"/>
      <c r="U21" s="201"/>
      <c r="V21" s="201"/>
      <c r="W21" s="201"/>
      <c r="X21" s="201"/>
      <c r="Y21" s="201"/>
      <c r="Z21" s="201"/>
    </row>
    <row r="22" spans="1:26" s="205" customFormat="1" ht="18.399999999999999" customHeight="1">
      <c r="A22" s="292" t="s">
        <v>320</v>
      </c>
      <c r="B22" s="308"/>
      <c r="C22" s="308"/>
      <c r="D22" s="309">
        <v>0.47099998593330383</v>
      </c>
      <c r="E22" s="310"/>
      <c r="F22" s="302"/>
      <c r="G22" s="303"/>
      <c r="H22" s="296" t="s">
        <v>275</v>
      </c>
      <c r="I22" s="232"/>
      <c r="J22" s="248" t="s">
        <v>174</v>
      </c>
      <c r="K22" s="242"/>
      <c r="L22" s="201"/>
      <c r="M22" s="201"/>
      <c r="N22" s="201"/>
      <c r="O22" s="201"/>
      <c r="P22" s="201"/>
      <c r="Q22" s="215" t="s">
        <v>322</v>
      </c>
      <c r="R22" s="217"/>
      <c r="S22" s="201"/>
      <c r="T22" s="201"/>
      <c r="U22" s="201"/>
      <c r="V22" s="201"/>
      <c r="W22" s="201"/>
      <c r="X22" s="201"/>
      <c r="Y22" s="201"/>
      <c r="Z22" s="201"/>
    </row>
    <row r="23" spans="1:26" s="205" customFormat="1" ht="18.399999999999999" customHeight="1">
      <c r="A23" s="311" t="s">
        <v>323</v>
      </c>
      <c r="B23" s="312" t="s">
        <v>324</v>
      </c>
      <c r="C23" s="313"/>
      <c r="D23" s="268">
        <v>216</v>
      </c>
      <c r="E23" s="269"/>
      <c r="F23" s="302"/>
      <c r="G23" s="303"/>
      <c r="H23" s="314" t="s">
        <v>325</v>
      </c>
      <c r="I23" s="315"/>
      <c r="J23" s="482">
        <v>95</v>
      </c>
      <c r="K23" s="316"/>
      <c r="L23" s="201"/>
      <c r="Q23" s="215" t="s">
        <v>326</v>
      </c>
      <c r="R23" s="217"/>
      <c r="S23" s="201"/>
      <c r="T23" s="201"/>
      <c r="U23" s="201"/>
      <c r="V23" s="201"/>
      <c r="W23" s="201"/>
      <c r="X23" s="201"/>
      <c r="Y23" s="201"/>
      <c r="Z23" s="201"/>
    </row>
    <row r="24" spans="1:26" s="205" customFormat="1" ht="18.399999999999999" customHeight="1" thickBot="1">
      <c r="A24" s="317" t="s">
        <v>327</v>
      </c>
      <c r="B24" s="318" t="s">
        <v>328</v>
      </c>
      <c r="C24" s="319"/>
      <c r="D24" s="320" t="s">
        <v>174</v>
      </c>
      <c r="E24" s="321"/>
      <c r="F24" s="302"/>
      <c r="G24" s="303"/>
      <c r="H24" s="296" t="s">
        <v>329</v>
      </c>
      <c r="I24" s="261"/>
      <c r="J24" s="322" t="s">
        <v>174</v>
      </c>
      <c r="K24" s="323"/>
      <c r="Q24" s="324" t="s">
        <v>174</v>
      </c>
      <c r="R24" s="325"/>
      <c r="S24" s="201"/>
      <c r="T24" s="201"/>
      <c r="U24" s="201"/>
      <c r="V24" s="201"/>
      <c r="W24" s="201"/>
      <c r="X24" s="201"/>
      <c r="Y24" s="201"/>
      <c r="Z24" s="201"/>
    </row>
    <row r="25" spans="1:26" s="205" customFormat="1" ht="18.399999999999999" customHeight="1">
      <c r="A25" s="326" t="s">
        <v>330</v>
      </c>
      <c r="B25" s="327"/>
      <c r="C25" s="327"/>
      <c r="D25" s="328"/>
      <c r="E25" s="328" t="s">
        <v>331</v>
      </c>
      <c r="F25" s="302"/>
      <c r="G25" s="303"/>
      <c r="H25" s="296" t="s">
        <v>332</v>
      </c>
      <c r="I25" s="261"/>
      <c r="J25" s="329">
        <v>87.5</v>
      </c>
      <c r="K25" s="323"/>
      <c r="R25" s="201"/>
      <c r="S25" s="201"/>
      <c r="T25" s="201"/>
      <c r="U25" s="201"/>
      <c r="V25" s="201"/>
      <c r="W25" s="201"/>
      <c r="X25" s="201"/>
      <c r="Y25" s="201"/>
      <c r="Z25" s="201"/>
    </row>
    <row r="26" spans="1:26" s="205" customFormat="1" ht="18.399999999999999" customHeight="1">
      <c r="A26" s="330" t="s">
        <v>333</v>
      </c>
      <c r="B26" s="331"/>
      <c r="C26" s="332"/>
      <c r="D26" s="333" t="s">
        <v>385</v>
      </c>
      <c r="E26" s="333" t="s">
        <v>387</v>
      </c>
      <c r="F26" s="334"/>
      <c r="G26" s="335"/>
      <c r="H26" s="336"/>
      <c r="I26" s="337"/>
      <c r="J26" s="338"/>
      <c r="K26" s="339"/>
      <c r="R26" s="201"/>
      <c r="S26" s="201"/>
      <c r="T26" s="201"/>
      <c r="U26" s="201"/>
      <c r="V26" s="201"/>
      <c r="W26" s="201"/>
      <c r="X26" s="201"/>
      <c r="Y26" s="201"/>
      <c r="Z26" s="201"/>
    </row>
    <row r="27" spans="1:26" s="205" customFormat="1" ht="18.399999999999999" customHeight="1">
      <c r="A27" s="340" t="s">
        <v>334</v>
      </c>
      <c r="B27" s="341"/>
      <c r="C27" s="341"/>
      <c r="D27" s="341"/>
      <c r="E27" s="341"/>
      <c r="F27" s="222" t="s">
        <v>335</v>
      </c>
      <c r="G27" s="223"/>
      <c r="H27" s="223"/>
      <c r="I27" s="223"/>
      <c r="J27" s="223"/>
      <c r="K27" s="224"/>
      <c r="R27" s="201"/>
      <c r="S27" s="201"/>
      <c r="T27" s="201"/>
      <c r="U27" s="201"/>
      <c r="V27" s="201"/>
      <c r="W27" s="201"/>
      <c r="X27" s="201"/>
      <c r="Y27" s="201"/>
      <c r="Z27" s="201"/>
    </row>
    <row r="28" spans="1:26" s="205" customFormat="1" ht="18.399999999999999" customHeight="1">
      <c r="A28" s="342"/>
      <c r="B28" s="343"/>
      <c r="C28" s="343"/>
      <c r="D28" s="343"/>
      <c r="E28" s="344"/>
      <c r="F28" s="345"/>
      <c r="G28" s="346"/>
      <c r="H28" s="276" t="s">
        <v>336</v>
      </c>
      <c r="I28" s="347">
        <v>334</v>
      </c>
      <c r="J28" s="241">
        <v>346</v>
      </c>
      <c r="K28" s="348" t="s">
        <v>174</v>
      </c>
      <c r="M28" s="205">
        <f>(J28/J18)*100</f>
        <v>665.38461538461547</v>
      </c>
      <c r="N28" s="349"/>
      <c r="O28" s="349"/>
      <c r="R28" s="201"/>
      <c r="S28" s="201"/>
      <c r="T28" s="201"/>
      <c r="U28" s="201"/>
      <c r="V28" s="201"/>
      <c r="W28" s="201"/>
      <c r="X28" s="201"/>
      <c r="Y28" s="201"/>
      <c r="Z28" s="201"/>
    </row>
    <row r="29" spans="1:26" s="205" customFormat="1" ht="18.399999999999999" customHeight="1">
      <c r="A29" s="342"/>
      <c r="B29" s="343"/>
      <c r="C29" s="343"/>
      <c r="D29" s="343"/>
      <c r="E29" s="344"/>
      <c r="F29" s="350"/>
      <c r="G29" s="351"/>
      <c r="H29" s="276" t="s">
        <v>337</v>
      </c>
      <c r="I29" s="352">
        <v>60</v>
      </c>
      <c r="J29" s="241">
        <v>123</v>
      </c>
      <c r="K29" s="353" t="s">
        <v>174</v>
      </c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spans="1:26" s="205" customFormat="1" ht="18.399999999999999" customHeight="1">
      <c r="A30" s="342"/>
      <c r="B30" s="343"/>
      <c r="C30" s="343"/>
      <c r="D30" s="343"/>
      <c r="E30" s="344"/>
      <c r="F30" s="350"/>
      <c r="G30" s="351"/>
      <c r="H30" s="276" t="s">
        <v>338</v>
      </c>
      <c r="I30" s="352">
        <v>175</v>
      </c>
      <c r="J30" s="241">
        <v>310</v>
      </c>
      <c r="K30" s="354" t="s">
        <v>174</v>
      </c>
      <c r="L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spans="1:26" s="205" customFormat="1" ht="18.399999999999999" customHeight="1">
      <c r="A31" s="342"/>
      <c r="B31" s="343"/>
      <c r="C31" s="343"/>
      <c r="D31" s="343"/>
      <c r="E31" s="344"/>
      <c r="F31" s="350"/>
      <c r="G31" s="351"/>
      <c r="H31" s="276" t="s">
        <v>339</v>
      </c>
      <c r="I31" s="277"/>
      <c r="J31" s="355">
        <v>1.77</v>
      </c>
      <c r="K31" s="234" t="s">
        <v>174</v>
      </c>
      <c r="L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spans="1:26" s="205" customFormat="1" ht="18.399999999999999" customHeight="1">
      <c r="A32" s="356"/>
      <c r="B32" s="357"/>
      <c r="C32" s="357"/>
      <c r="D32" s="357"/>
      <c r="E32" s="358"/>
      <c r="F32" s="350"/>
      <c r="G32" s="359" t="s">
        <v>340</v>
      </c>
      <c r="H32" s="276" t="s">
        <v>341</v>
      </c>
      <c r="I32" s="360"/>
      <c r="J32" s="233">
        <v>95.1</v>
      </c>
      <c r="K32" s="353" t="s">
        <v>174</v>
      </c>
      <c r="L32" s="201"/>
      <c r="N32" s="361"/>
      <c r="R32" s="201"/>
      <c r="S32" s="201"/>
      <c r="T32" s="201"/>
      <c r="U32" s="201"/>
      <c r="V32" s="201"/>
      <c r="W32" s="201"/>
      <c r="X32" s="201"/>
      <c r="Y32" s="201"/>
      <c r="Z32" s="201"/>
    </row>
    <row r="33" spans="1:26" s="205" customFormat="1" ht="18.399999999999999" customHeight="1">
      <c r="A33" s="340" t="s">
        <v>342</v>
      </c>
      <c r="B33" s="341"/>
      <c r="C33" s="341"/>
      <c r="D33" s="341"/>
      <c r="E33" s="362"/>
      <c r="F33" s="363"/>
      <c r="G33" s="364"/>
      <c r="H33" s="365" t="s">
        <v>343</v>
      </c>
      <c r="I33" s="366"/>
      <c r="J33" s="367">
        <v>87.9</v>
      </c>
      <c r="K33" s="368" t="s">
        <v>174</v>
      </c>
      <c r="L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spans="1:26" s="205" customFormat="1" ht="18.399999999999999" customHeight="1">
      <c r="A34" s="342"/>
      <c r="B34" s="343"/>
      <c r="C34" s="343"/>
      <c r="D34" s="343"/>
      <c r="E34" s="344"/>
      <c r="F34" s="237" t="s">
        <v>344</v>
      </c>
      <c r="G34" s="369"/>
      <c r="H34" s="370" t="s">
        <v>14</v>
      </c>
      <c r="I34" s="371"/>
      <c r="J34" s="372">
        <v>5154</v>
      </c>
      <c r="K34" s="373" t="s">
        <v>174</v>
      </c>
      <c r="L34" s="374"/>
      <c r="M34" s="375"/>
      <c r="R34" s="201"/>
      <c r="S34" s="201"/>
      <c r="T34" s="201"/>
      <c r="U34" s="201"/>
      <c r="V34" s="201"/>
      <c r="W34" s="201"/>
      <c r="X34" s="201"/>
      <c r="Y34" s="201"/>
      <c r="Z34" s="201"/>
    </row>
    <row r="35" spans="1:26" s="205" customFormat="1" ht="18.399999999999999" customHeight="1">
      <c r="A35" s="342"/>
      <c r="B35" s="343"/>
      <c r="C35" s="343"/>
      <c r="D35" s="343"/>
      <c r="E35" s="344"/>
      <c r="F35" s="270"/>
      <c r="G35" s="376"/>
      <c r="H35" s="377" t="s">
        <v>15</v>
      </c>
      <c r="I35" s="378"/>
      <c r="J35" s="241">
        <v>4047</v>
      </c>
      <c r="K35" s="234" t="s">
        <v>174</v>
      </c>
      <c r="L35" s="379"/>
      <c r="M35" s="375"/>
      <c r="R35" s="201"/>
      <c r="S35" s="201"/>
      <c r="T35" s="201"/>
      <c r="U35" s="201"/>
      <c r="V35" s="201"/>
      <c r="W35" s="201"/>
      <c r="X35" s="201"/>
      <c r="Y35" s="201"/>
      <c r="Z35" s="201"/>
    </row>
    <row r="36" spans="1:26" s="205" customFormat="1" ht="18.399999999999999" customHeight="1">
      <c r="A36" s="342"/>
      <c r="B36" s="343"/>
      <c r="C36" s="343"/>
      <c r="D36" s="343"/>
      <c r="E36" s="344"/>
      <c r="F36" s="270"/>
      <c r="G36" s="376"/>
      <c r="H36" s="377" t="s">
        <v>345</v>
      </c>
      <c r="I36" s="378"/>
      <c r="J36" s="241">
        <v>2253</v>
      </c>
      <c r="K36" s="234" t="s">
        <v>174</v>
      </c>
      <c r="L36" s="379"/>
      <c r="M36" s="349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spans="1:26" s="205" customFormat="1" ht="18.399999999999999" customHeight="1">
      <c r="A37" s="342"/>
      <c r="B37" s="343"/>
      <c r="C37" s="343"/>
      <c r="D37" s="343"/>
      <c r="E37" s="344"/>
      <c r="F37" s="350"/>
      <c r="G37" s="376"/>
      <c r="H37" s="377" t="s">
        <v>346</v>
      </c>
      <c r="I37" s="378"/>
      <c r="J37" s="241">
        <v>1939</v>
      </c>
      <c r="K37" s="234" t="s">
        <v>174</v>
      </c>
      <c r="L37" s="379"/>
      <c r="M37" s="349"/>
      <c r="N37" s="379"/>
      <c r="R37" s="201"/>
      <c r="S37" s="201"/>
      <c r="T37" s="201"/>
      <c r="U37" s="201"/>
      <c r="V37" s="201"/>
      <c r="W37" s="201"/>
      <c r="X37" s="201"/>
      <c r="Y37" s="201"/>
      <c r="Z37" s="201"/>
    </row>
    <row r="38" spans="1:26" s="205" customFormat="1" ht="18.399999999999999" customHeight="1">
      <c r="A38" s="356"/>
      <c r="B38" s="357"/>
      <c r="C38" s="357"/>
      <c r="D38" s="357"/>
      <c r="E38" s="358"/>
      <c r="F38" s="286"/>
      <c r="G38" s="380"/>
      <c r="H38" s="381" t="s">
        <v>347</v>
      </c>
      <c r="I38" s="382"/>
      <c r="J38" s="383">
        <v>2081</v>
      </c>
      <c r="K38" s="384" t="s">
        <v>174</v>
      </c>
      <c r="R38" s="201"/>
      <c r="S38" s="201"/>
      <c r="T38" s="201"/>
      <c r="U38" s="201"/>
      <c r="V38" s="201"/>
      <c r="W38" s="201"/>
      <c r="X38" s="201"/>
      <c r="Y38" s="201"/>
      <c r="Z38" s="201"/>
    </row>
    <row r="39" spans="1:26" s="205" customFormat="1" ht="18.399999999999999" customHeight="1">
      <c r="A39" s="340" t="s">
        <v>348</v>
      </c>
      <c r="B39" s="341"/>
      <c r="C39" s="341"/>
      <c r="D39" s="341"/>
      <c r="E39" s="341"/>
      <c r="F39" s="385" t="s">
        <v>349</v>
      </c>
      <c r="G39" s="386"/>
      <c r="H39" s="386"/>
      <c r="I39" s="386"/>
      <c r="J39" s="386"/>
      <c r="K39" s="387"/>
      <c r="R39" s="201"/>
      <c r="S39" s="201"/>
      <c r="T39" s="201"/>
      <c r="U39" s="201"/>
      <c r="V39" s="201"/>
      <c r="W39" s="201"/>
      <c r="X39" s="201"/>
      <c r="Y39" s="201"/>
      <c r="Z39" s="201"/>
    </row>
    <row r="40" spans="1:26" s="205" customFormat="1" ht="18.399999999999999" customHeight="1">
      <c r="A40" s="342"/>
      <c r="B40" s="343"/>
      <c r="C40" s="343"/>
      <c r="D40" s="343"/>
      <c r="E40" s="344"/>
      <c r="F40" s="388" t="s">
        <v>389</v>
      </c>
      <c r="G40" s="483" t="s">
        <v>390</v>
      </c>
      <c r="H40" s="389"/>
      <c r="I40" s="389"/>
      <c r="J40" s="389"/>
      <c r="K40" s="390"/>
      <c r="R40" s="201"/>
      <c r="S40" s="201"/>
      <c r="T40" s="201"/>
      <c r="U40" s="201"/>
      <c r="V40" s="201"/>
      <c r="W40" s="201"/>
      <c r="X40" s="201"/>
      <c r="Y40" s="201"/>
      <c r="Z40" s="201"/>
    </row>
    <row r="41" spans="1:26" s="205" customFormat="1" ht="18.399999999999999" customHeight="1">
      <c r="A41" s="342"/>
      <c r="B41" s="343"/>
      <c r="C41" s="343"/>
      <c r="D41" s="343"/>
      <c r="E41" s="344"/>
      <c r="F41" s="388"/>
      <c r="G41" s="391" t="s">
        <v>391</v>
      </c>
      <c r="H41" s="391"/>
      <c r="I41" s="391"/>
      <c r="J41" s="391"/>
      <c r="K41" s="392"/>
      <c r="L41" s="393"/>
      <c r="R41" s="201"/>
      <c r="S41" s="201"/>
      <c r="T41" s="201"/>
      <c r="U41" s="201"/>
      <c r="V41" s="201"/>
      <c r="W41" s="201"/>
      <c r="X41" s="201"/>
      <c r="Y41" s="201"/>
      <c r="Z41" s="201"/>
    </row>
    <row r="42" spans="1:26" s="205" customFormat="1" ht="18.399999999999999" customHeight="1">
      <c r="A42" s="342"/>
      <c r="B42" s="343"/>
      <c r="C42" s="343"/>
      <c r="D42" s="343"/>
      <c r="E42" s="344"/>
      <c r="F42" s="388"/>
      <c r="G42" s="391" t="s">
        <v>392</v>
      </c>
      <c r="H42" s="391"/>
      <c r="I42" s="391"/>
      <c r="J42" s="391"/>
      <c r="K42" s="392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spans="1:26" s="205" customFormat="1" ht="18.399999999999999" customHeight="1">
      <c r="A43" s="342"/>
      <c r="B43" s="343"/>
      <c r="C43" s="343"/>
      <c r="D43" s="343"/>
      <c r="E43" s="344"/>
      <c r="F43" s="388"/>
      <c r="G43" s="484" t="s">
        <v>393</v>
      </c>
      <c r="H43" s="391"/>
      <c r="I43" s="391"/>
      <c r="J43" s="391"/>
      <c r="K43" s="392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spans="1:26" s="205" customFormat="1" ht="17.100000000000001" customHeight="1" thickBot="1">
      <c r="A44" s="394"/>
      <c r="B44" s="395"/>
      <c r="C44" s="395"/>
      <c r="D44" s="395"/>
      <c r="E44" s="396"/>
      <c r="F44" s="388"/>
      <c r="G44" s="391"/>
      <c r="H44" s="391"/>
      <c r="I44" s="391"/>
      <c r="J44" s="391"/>
      <c r="K44" s="392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spans="1:26" s="205" customFormat="1" ht="17.100000000000001" customHeight="1">
      <c r="A45" s="397" t="s">
        <v>350</v>
      </c>
      <c r="B45" s="398"/>
      <c r="C45" s="399"/>
      <c r="D45" s="400" t="s">
        <v>351</v>
      </c>
      <c r="E45" s="401" t="s">
        <v>388</v>
      </c>
      <c r="F45" s="402"/>
      <c r="G45" s="391"/>
      <c r="H45" s="391"/>
      <c r="I45" s="391"/>
      <c r="J45" s="391"/>
      <c r="K45" s="392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spans="1:26" s="205" customFormat="1" ht="17.100000000000001" customHeight="1" thickBot="1">
      <c r="A46" s="403" t="s">
        <v>352</v>
      </c>
      <c r="B46" s="404"/>
      <c r="C46" s="405"/>
      <c r="D46" s="406" t="s">
        <v>352</v>
      </c>
      <c r="E46" s="407">
        <v>41614</v>
      </c>
      <c r="F46" s="408"/>
      <c r="G46" s="409" t="s">
        <v>716</v>
      </c>
      <c r="H46" s="409"/>
      <c r="I46" s="409"/>
      <c r="J46" s="409"/>
      <c r="K46" s="410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spans="1:26" s="205" customFormat="1" ht="17.100000000000001" customHeight="1">
      <c r="F47" s="41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</row>
    <row r="48" spans="1:26" s="205" customFormat="1" ht="17.100000000000001" customHeight="1">
      <c r="F48" s="201"/>
      <c r="G48" s="201"/>
      <c r="H48" s="201"/>
      <c r="I48" s="201"/>
      <c r="J48" s="201"/>
      <c r="K48" s="201"/>
    </row>
    <row r="49" spans="2:26" ht="17.100000000000001" customHeight="1"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2:26">
      <c r="D50" s="412"/>
      <c r="F50" s="412"/>
      <c r="H50" s="412"/>
      <c r="I50" s="189"/>
      <c r="J50" s="189"/>
      <c r="K50" s="189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2:26">
      <c r="D51" s="412"/>
      <c r="F51" s="412"/>
      <c r="H51" s="412"/>
      <c r="I51" s="189"/>
      <c r="J51" s="189"/>
      <c r="K51" s="189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2:26">
      <c r="B52" s="189"/>
      <c r="C52" s="189"/>
      <c r="D52" s="412"/>
      <c r="F52" s="412"/>
      <c r="H52" s="412"/>
      <c r="I52" s="189"/>
      <c r="J52" s="189"/>
      <c r="K52" s="189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2:26">
      <c r="D53" s="412"/>
      <c r="F53" s="412"/>
      <c r="H53" s="412"/>
      <c r="I53" s="189"/>
      <c r="J53" s="189"/>
      <c r="K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spans="2:26">
      <c r="D54" s="412"/>
      <c r="F54" s="412"/>
      <c r="H54" s="412"/>
    </row>
    <row r="56" spans="2:26">
      <c r="D56" s="412"/>
    </row>
    <row r="57" spans="2:26">
      <c r="D57" s="412"/>
    </row>
    <row r="58" spans="2:26">
      <c r="D58" s="412"/>
    </row>
    <row r="59" spans="2:26">
      <c r="D59" s="412"/>
    </row>
    <row r="60" spans="2:26">
      <c r="D60" s="412"/>
    </row>
    <row r="61" spans="2:26">
      <c r="D61" s="412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418" customWidth="1"/>
    <col min="2" max="2" width="18.140625" style="418" customWidth="1"/>
    <col min="3" max="3" width="21.5703125" style="418" customWidth="1"/>
    <col min="4" max="4" width="21.28515625" style="418" bestFit="1" customWidth="1"/>
    <col min="5" max="5" width="6.85546875" style="418" bestFit="1" customWidth="1"/>
    <col min="6" max="6" width="29.85546875" style="418" customWidth="1"/>
    <col min="7" max="7" width="43.7109375" style="418" customWidth="1"/>
    <col min="8" max="8" width="17.140625" style="418" customWidth="1"/>
    <col min="9" max="9" width="7.85546875" style="418" customWidth="1"/>
    <col min="10" max="10" width="2.28515625" style="418" bestFit="1" customWidth="1"/>
    <col min="11" max="12" width="2.28515625" style="418" customWidth="1"/>
    <col min="13" max="13" width="2.5703125" style="418" bestFit="1" customWidth="1"/>
    <col min="14" max="14" width="2.28515625" style="418" bestFit="1" customWidth="1"/>
    <col min="15" max="16384" width="9.140625" style="418"/>
  </cols>
  <sheetData>
    <row r="1" spans="2:14" ht="12.75" customHeight="1">
      <c r="B1" s="413"/>
      <c r="C1" s="414"/>
      <c r="D1" s="414"/>
      <c r="E1" s="414"/>
      <c r="F1" s="414"/>
      <c r="G1" s="414"/>
      <c r="H1" s="415"/>
      <c r="I1" s="416"/>
      <c r="J1" s="417" t="s">
        <v>353</v>
      </c>
      <c r="K1" s="417" t="s">
        <v>354</v>
      </c>
      <c r="L1" s="417" t="s">
        <v>355</v>
      </c>
      <c r="M1" s="417" t="s">
        <v>354</v>
      </c>
      <c r="N1" s="417"/>
    </row>
    <row r="2" spans="2:14" ht="12.75" customHeight="1">
      <c r="B2" s="419" t="s">
        <v>356</v>
      </c>
      <c r="C2" s="420"/>
      <c r="D2" s="420"/>
      <c r="E2" s="420"/>
      <c r="F2" s="420"/>
      <c r="G2" s="420"/>
      <c r="H2" s="421"/>
      <c r="I2" s="422"/>
      <c r="J2" s="423" t="s">
        <v>357</v>
      </c>
      <c r="K2" s="423" t="s">
        <v>358</v>
      </c>
      <c r="L2" s="423" t="s">
        <v>359</v>
      </c>
      <c r="M2" s="423" t="s">
        <v>360</v>
      </c>
      <c r="N2" s="423" t="s">
        <v>361</v>
      </c>
    </row>
    <row r="3" spans="2:14" ht="12.75" customHeight="1">
      <c r="B3" s="419"/>
      <c r="C3" s="420"/>
      <c r="D3" s="420"/>
      <c r="E3" s="420"/>
      <c r="F3" s="420"/>
      <c r="G3" s="420"/>
      <c r="H3" s="421"/>
      <c r="I3" s="422"/>
      <c r="J3" s="423" t="s">
        <v>362</v>
      </c>
      <c r="K3" s="423"/>
      <c r="L3" s="423" t="s">
        <v>363</v>
      </c>
      <c r="M3" s="423" t="s">
        <v>353</v>
      </c>
      <c r="N3" s="423"/>
    </row>
    <row r="4" spans="2:14" ht="12.75" customHeight="1">
      <c r="B4" s="419"/>
      <c r="C4" s="420"/>
      <c r="D4" s="420"/>
      <c r="E4" s="420"/>
      <c r="F4" s="420"/>
      <c r="G4" s="420"/>
      <c r="H4" s="421"/>
      <c r="I4" s="422"/>
      <c r="J4" s="423" t="s">
        <v>364</v>
      </c>
      <c r="K4" s="423"/>
      <c r="L4" s="423" t="s">
        <v>359</v>
      </c>
      <c r="M4" s="423" t="s">
        <v>357</v>
      </c>
      <c r="N4" s="423"/>
    </row>
    <row r="5" spans="2:14" ht="12.75" customHeight="1">
      <c r="B5" s="424"/>
      <c r="C5" s="425"/>
      <c r="D5" s="425"/>
      <c r="E5" s="425"/>
      <c r="F5" s="425"/>
      <c r="G5" s="425"/>
      <c r="H5" s="421"/>
      <c r="I5" s="422"/>
      <c r="J5" s="423"/>
      <c r="K5" s="423" t="s">
        <v>365</v>
      </c>
      <c r="L5" s="423" t="s">
        <v>354</v>
      </c>
      <c r="M5" s="423"/>
      <c r="N5" s="423" t="s">
        <v>359</v>
      </c>
    </row>
    <row r="6" spans="2:14" ht="12" customHeight="1">
      <c r="B6" s="426"/>
      <c r="C6" s="427"/>
      <c r="D6" s="427"/>
      <c r="F6" s="427"/>
      <c r="H6" s="428"/>
      <c r="I6" s="422"/>
      <c r="J6" s="423" t="s">
        <v>358</v>
      </c>
      <c r="K6" s="423" t="s">
        <v>366</v>
      </c>
      <c r="L6" s="423"/>
      <c r="M6" s="423" t="s">
        <v>354</v>
      </c>
      <c r="N6" s="423" t="s">
        <v>367</v>
      </c>
    </row>
    <row r="7" spans="2:14" ht="12.75" customHeight="1">
      <c r="B7" s="426"/>
      <c r="D7" s="429"/>
      <c r="H7" s="428"/>
      <c r="I7" s="422"/>
      <c r="J7" s="423" t="s">
        <v>183</v>
      </c>
      <c r="K7" s="423" t="s">
        <v>362</v>
      </c>
      <c r="L7" s="423" t="s">
        <v>362</v>
      </c>
      <c r="M7" s="423" t="s">
        <v>357</v>
      </c>
      <c r="N7" s="423" t="s">
        <v>368</v>
      </c>
    </row>
    <row r="8" spans="2:14" ht="12.75" customHeight="1">
      <c r="B8" s="426"/>
      <c r="G8" s="429"/>
      <c r="H8" s="430"/>
      <c r="I8" s="423" t="s">
        <v>368</v>
      </c>
      <c r="J8" s="423" t="s">
        <v>354</v>
      </c>
      <c r="K8" s="423" t="s">
        <v>369</v>
      </c>
      <c r="L8" s="423" t="s">
        <v>357</v>
      </c>
      <c r="M8" s="423" t="s">
        <v>368</v>
      </c>
      <c r="N8" s="423" t="s">
        <v>366</v>
      </c>
    </row>
    <row r="9" spans="2:14">
      <c r="B9" s="423" t="s">
        <v>370</v>
      </c>
      <c r="C9" s="430" t="s">
        <v>371</v>
      </c>
      <c r="D9" s="430" t="s">
        <v>372</v>
      </c>
      <c r="E9" s="430" t="s">
        <v>373</v>
      </c>
      <c r="F9" s="423" t="s">
        <v>374</v>
      </c>
      <c r="G9" s="423" t="s">
        <v>375</v>
      </c>
      <c r="H9" s="423" t="s">
        <v>376</v>
      </c>
      <c r="I9" s="423" t="s">
        <v>364</v>
      </c>
      <c r="J9" s="423" t="s">
        <v>183</v>
      </c>
      <c r="K9" s="423" t="s">
        <v>357</v>
      </c>
      <c r="L9" s="423" t="s">
        <v>369</v>
      </c>
      <c r="M9" s="423" t="s">
        <v>354</v>
      </c>
      <c r="N9" s="423" t="s">
        <v>355</v>
      </c>
    </row>
    <row r="10" spans="2:14" ht="15" customHeight="1">
      <c r="B10" s="431"/>
      <c r="C10" s="432"/>
      <c r="D10" s="432"/>
      <c r="E10" s="432"/>
      <c r="F10" s="433"/>
      <c r="G10" s="434"/>
      <c r="H10" s="434"/>
      <c r="I10" s="435"/>
      <c r="J10" s="436"/>
      <c r="K10" s="436"/>
      <c r="L10" s="436"/>
      <c r="M10" s="436"/>
      <c r="N10" s="437"/>
    </row>
    <row r="11" spans="2:14" ht="15" customHeight="1">
      <c r="B11" s="431"/>
      <c r="C11" s="433"/>
      <c r="D11" s="433"/>
      <c r="E11" s="433"/>
      <c r="F11" s="433"/>
      <c r="G11" s="433"/>
      <c r="H11" s="433"/>
      <c r="I11" s="438"/>
      <c r="J11" s="436"/>
      <c r="K11" s="436"/>
      <c r="L11" s="436"/>
      <c r="M11" s="436"/>
      <c r="N11" s="437"/>
    </row>
    <row r="12" spans="2:14" ht="15" customHeight="1">
      <c r="B12" s="431"/>
      <c r="C12" s="433"/>
      <c r="D12" s="433"/>
      <c r="E12" s="433"/>
      <c r="F12" s="433"/>
      <c r="G12" s="433"/>
      <c r="H12" s="433"/>
      <c r="I12" s="438"/>
      <c r="J12" s="439"/>
      <c r="K12" s="436"/>
      <c r="L12" s="436"/>
      <c r="M12" s="436"/>
      <c r="N12" s="437"/>
    </row>
    <row r="13" spans="2:14" ht="15" customHeight="1">
      <c r="B13" s="431"/>
      <c r="C13" s="433"/>
      <c r="D13" s="433"/>
      <c r="E13" s="433"/>
      <c r="F13" s="433"/>
      <c r="G13" s="433"/>
      <c r="H13" s="433"/>
      <c r="I13" s="438"/>
      <c r="J13" s="436"/>
      <c r="K13" s="436"/>
      <c r="L13" s="436"/>
      <c r="M13" s="436"/>
      <c r="N13" s="437"/>
    </row>
    <row r="14" spans="2:14" ht="15" customHeight="1">
      <c r="B14" s="431"/>
      <c r="C14" s="433"/>
      <c r="D14" s="433"/>
      <c r="E14" s="433"/>
      <c r="F14" s="433"/>
      <c r="G14" s="433"/>
      <c r="H14" s="433"/>
      <c r="I14" s="438"/>
      <c r="J14" s="436"/>
      <c r="K14" s="436"/>
      <c r="L14" s="436"/>
      <c r="M14" s="436"/>
      <c r="N14" s="437"/>
    </row>
    <row r="15" spans="2:14" ht="15" customHeight="1">
      <c r="B15" s="431"/>
      <c r="C15" s="433"/>
      <c r="D15" s="433"/>
      <c r="E15" s="433"/>
      <c r="F15" s="433"/>
      <c r="G15" s="433"/>
      <c r="H15" s="433"/>
      <c r="I15" s="438"/>
      <c r="J15" s="436"/>
      <c r="K15" s="436"/>
      <c r="L15" s="436"/>
      <c r="M15" s="436"/>
      <c r="N15" s="437"/>
    </row>
    <row r="16" spans="2:14" ht="15" customHeight="1">
      <c r="B16" s="431"/>
      <c r="C16" s="433"/>
      <c r="D16" s="433"/>
      <c r="E16" s="433"/>
      <c r="F16" s="433"/>
      <c r="G16" s="433"/>
      <c r="H16" s="433"/>
      <c r="I16" s="438"/>
      <c r="J16" s="436"/>
      <c r="K16" s="436"/>
      <c r="L16" s="436"/>
      <c r="M16" s="436"/>
      <c r="N16" s="437"/>
    </row>
    <row r="17" spans="2:14" ht="15" customHeight="1">
      <c r="B17" s="431"/>
      <c r="C17" s="433"/>
      <c r="D17" s="433"/>
      <c r="E17" s="433"/>
      <c r="F17" s="433"/>
      <c r="G17" s="433"/>
      <c r="H17" s="433"/>
      <c r="I17" s="438"/>
      <c r="J17" s="436"/>
      <c r="K17" s="436"/>
      <c r="L17" s="436"/>
      <c r="M17" s="436"/>
      <c r="N17" s="437"/>
    </row>
    <row r="18" spans="2:14" ht="15" customHeight="1">
      <c r="B18" s="431"/>
      <c r="C18" s="433"/>
      <c r="D18" s="433"/>
      <c r="E18" s="433"/>
      <c r="F18" s="433"/>
      <c r="G18" s="433"/>
      <c r="H18" s="433"/>
      <c r="I18" s="438"/>
      <c r="J18" s="436"/>
      <c r="K18" s="436"/>
      <c r="L18" s="436"/>
      <c r="M18" s="436"/>
      <c r="N18" s="437"/>
    </row>
    <row r="19" spans="2:14" ht="15" customHeight="1">
      <c r="B19" s="431"/>
      <c r="C19" s="433"/>
      <c r="D19" s="433"/>
      <c r="E19" s="433"/>
      <c r="F19" s="433"/>
      <c r="G19" s="433"/>
      <c r="H19" s="433"/>
      <c r="I19" s="438"/>
      <c r="J19" s="436"/>
      <c r="K19" s="436"/>
      <c r="L19" s="436"/>
      <c r="M19" s="436"/>
      <c r="N19" s="437"/>
    </row>
    <row r="20" spans="2:14" ht="15" customHeight="1">
      <c r="B20" s="431"/>
      <c r="C20" s="433"/>
      <c r="D20" s="433"/>
      <c r="E20" s="433"/>
      <c r="F20" s="433"/>
      <c r="G20" s="433"/>
      <c r="H20" s="433"/>
      <c r="I20" s="438"/>
      <c r="J20" s="436"/>
      <c r="K20" s="436"/>
      <c r="L20" s="436"/>
      <c r="M20" s="436"/>
      <c r="N20" s="437"/>
    </row>
    <row r="21" spans="2:14" ht="15" customHeight="1">
      <c r="B21" s="431"/>
      <c r="C21" s="433"/>
      <c r="D21" s="433"/>
      <c r="E21" s="433"/>
      <c r="F21" s="433"/>
      <c r="G21" s="433"/>
      <c r="H21" s="433"/>
      <c r="I21" s="438"/>
      <c r="J21" s="436"/>
      <c r="K21" s="436"/>
      <c r="L21" s="436"/>
      <c r="M21" s="436"/>
      <c r="N21" s="437"/>
    </row>
    <row r="22" spans="2:14" ht="15" customHeight="1">
      <c r="B22" s="431"/>
      <c r="C22" s="433"/>
      <c r="D22" s="433"/>
      <c r="E22" s="433"/>
      <c r="F22" s="433"/>
      <c r="G22" s="433"/>
      <c r="H22" s="433"/>
      <c r="I22" s="438"/>
      <c r="J22" s="436"/>
      <c r="K22" s="436"/>
      <c r="L22" s="436"/>
      <c r="M22" s="436"/>
      <c r="N22" s="437"/>
    </row>
    <row r="23" spans="2:14" ht="15" customHeight="1">
      <c r="B23" s="431"/>
      <c r="C23" s="433"/>
      <c r="D23" s="433"/>
      <c r="E23" s="433"/>
      <c r="F23" s="433"/>
      <c r="G23" s="433"/>
      <c r="H23" s="433"/>
      <c r="I23" s="438"/>
      <c r="J23" s="436"/>
      <c r="K23" s="436"/>
      <c r="L23" s="436"/>
      <c r="M23" s="436"/>
      <c r="N23" s="437"/>
    </row>
    <row r="24" spans="2:14" ht="15" customHeight="1">
      <c r="B24" s="431"/>
      <c r="C24" s="433"/>
      <c r="D24" s="433"/>
      <c r="E24" s="433"/>
      <c r="F24" s="433"/>
      <c r="G24" s="433"/>
      <c r="H24" s="433"/>
      <c r="I24" s="438"/>
      <c r="J24" s="436"/>
      <c r="K24" s="436"/>
      <c r="L24" s="436"/>
      <c r="M24" s="436"/>
      <c r="N24" s="437"/>
    </row>
    <row r="25" spans="2:14" ht="15" customHeight="1">
      <c r="B25" s="431"/>
      <c r="C25" s="433"/>
      <c r="D25" s="433"/>
      <c r="E25" s="433"/>
      <c r="F25" s="433"/>
      <c r="G25" s="433"/>
      <c r="H25" s="433"/>
      <c r="I25" s="438"/>
      <c r="J25" s="436"/>
      <c r="K25" s="436"/>
      <c r="L25" s="436"/>
      <c r="M25" s="436"/>
      <c r="N25" s="437"/>
    </row>
    <row r="26" spans="2:14" ht="15" customHeight="1">
      <c r="B26" s="431"/>
      <c r="C26" s="433"/>
      <c r="D26" s="433"/>
      <c r="E26" s="433"/>
      <c r="F26" s="433"/>
      <c r="G26" s="433"/>
      <c r="H26" s="433"/>
      <c r="I26" s="438"/>
      <c r="J26" s="436"/>
      <c r="K26" s="436"/>
      <c r="L26" s="436"/>
      <c r="M26" s="436"/>
      <c r="N26" s="437"/>
    </row>
    <row r="27" spans="2:14" ht="15" customHeight="1">
      <c r="B27" s="431"/>
      <c r="C27" s="433"/>
      <c r="D27" s="433"/>
      <c r="E27" s="433"/>
      <c r="F27" s="433"/>
      <c r="G27" s="433"/>
      <c r="H27" s="433"/>
      <c r="I27" s="438"/>
      <c r="J27" s="436"/>
      <c r="K27" s="436"/>
      <c r="L27" s="436"/>
      <c r="M27" s="436"/>
      <c r="N27" s="437"/>
    </row>
    <row r="28" spans="2:14" ht="15" customHeight="1">
      <c r="B28" s="431"/>
      <c r="C28" s="433"/>
      <c r="D28" s="433"/>
      <c r="E28" s="433"/>
      <c r="F28" s="433"/>
      <c r="G28" s="433"/>
      <c r="H28" s="433"/>
      <c r="I28" s="438"/>
      <c r="J28" s="436"/>
      <c r="K28" s="436"/>
      <c r="L28" s="436"/>
      <c r="M28" s="436"/>
      <c r="N28" s="437"/>
    </row>
    <row r="29" spans="2:14" ht="15" customHeight="1">
      <c r="B29" s="431"/>
      <c r="C29" s="433"/>
      <c r="D29" s="433"/>
      <c r="E29" s="433"/>
      <c r="F29" s="433"/>
      <c r="G29" s="433"/>
      <c r="H29" s="433"/>
      <c r="I29" s="438"/>
      <c r="J29" s="436"/>
      <c r="K29" s="436"/>
      <c r="L29" s="436"/>
      <c r="M29" s="436"/>
      <c r="N29" s="437"/>
    </row>
    <row r="30" spans="2:14" ht="15" customHeight="1">
      <c r="B30" s="431"/>
      <c r="C30" s="433"/>
      <c r="D30" s="433"/>
      <c r="E30" s="433"/>
      <c r="F30" s="433"/>
      <c r="G30" s="433"/>
      <c r="H30" s="433"/>
      <c r="I30" s="438"/>
      <c r="J30" s="436"/>
      <c r="K30" s="436"/>
      <c r="L30" s="436"/>
      <c r="M30" s="436"/>
      <c r="N30" s="437"/>
    </row>
    <row r="31" spans="2:14" ht="15" customHeight="1">
      <c r="B31" s="431"/>
      <c r="C31" s="433"/>
      <c r="D31" s="433"/>
      <c r="E31" s="433"/>
      <c r="F31" s="433"/>
      <c r="G31" s="433"/>
      <c r="H31" s="433"/>
      <c r="I31" s="438"/>
      <c r="J31" s="436"/>
      <c r="K31" s="436"/>
      <c r="L31" s="436"/>
      <c r="M31" s="436"/>
      <c r="N31" s="437"/>
    </row>
    <row r="32" spans="2:14" ht="15" customHeight="1">
      <c r="B32" s="431"/>
      <c r="C32" s="433"/>
      <c r="D32" s="433"/>
      <c r="E32" s="433"/>
      <c r="F32" s="433"/>
      <c r="G32" s="433"/>
      <c r="H32" s="433"/>
      <c r="I32" s="438"/>
      <c r="J32" s="436"/>
      <c r="K32" s="436"/>
      <c r="L32" s="436"/>
      <c r="M32" s="436"/>
      <c r="N32" s="437"/>
    </row>
    <row r="33" spans="2:14" ht="15" customHeight="1">
      <c r="B33" s="431"/>
      <c r="C33" s="433"/>
      <c r="D33" s="433"/>
      <c r="E33" s="433"/>
      <c r="F33" s="433"/>
      <c r="G33" s="433"/>
      <c r="H33" s="433"/>
      <c r="I33" s="438"/>
      <c r="J33" s="436"/>
      <c r="K33" s="436"/>
      <c r="L33" s="436"/>
      <c r="M33" s="436"/>
      <c r="N33" s="437"/>
    </row>
    <row r="34" spans="2:14" ht="15" customHeight="1">
      <c r="B34" s="431"/>
      <c r="C34" s="433"/>
      <c r="D34" s="433"/>
      <c r="E34" s="433"/>
      <c r="F34" s="433"/>
      <c r="G34" s="433"/>
      <c r="H34" s="433"/>
      <c r="I34" s="438"/>
      <c r="J34" s="436"/>
      <c r="K34" s="436"/>
      <c r="L34" s="436"/>
      <c r="M34" s="436"/>
      <c r="N34" s="437"/>
    </row>
    <row r="35" spans="2:14" ht="15" customHeight="1">
      <c r="B35" s="431"/>
      <c r="C35" s="433"/>
      <c r="D35" s="433"/>
      <c r="E35" s="433"/>
      <c r="F35" s="433"/>
      <c r="G35" s="433"/>
      <c r="H35" s="433"/>
      <c r="I35" s="438"/>
      <c r="J35" s="436"/>
      <c r="K35" s="436"/>
      <c r="L35" s="436"/>
      <c r="M35" s="436"/>
      <c r="N35" s="437"/>
    </row>
    <row r="36" spans="2:14" ht="15" customHeight="1">
      <c r="B36" s="431"/>
      <c r="C36" s="433"/>
      <c r="D36" s="433"/>
      <c r="E36" s="433"/>
      <c r="F36" s="433"/>
      <c r="G36" s="433"/>
      <c r="H36" s="433"/>
      <c r="I36" s="438"/>
      <c r="J36" s="436"/>
      <c r="K36" s="436"/>
      <c r="L36" s="436"/>
      <c r="M36" s="436"/>
      <c r="N36" s="437"/>
    </row>
    <row r="37" spans="2:14" ht="15" customHeight="1">
      <c r="B37" s="431"/>
      <c r="C37" s="433"/>
      <c r="D37" s="433"/>
      <c r="E37" s="433"/>
      <c r="F37" s="433"/>
      <c r="G37" s="433"/>
      <c r="H37" s="433"/>
      <c r="I37" s="438"/>
      <c r="J37" s="436"/>
      <c r="K37" s="436"/>
      <c r="L37" s="436"/>
      <c r="M37" s="436"/>
      <c r="N37" s="437"/>
    </row>
    <row r="38" spans="2:14" ht="15" customHeight="1">
      <c r="B38" s="431"/>
      <c r="C38" s="433"/>
      <c r="D38" s="433"/>
      <c r="E38" s="433"/>
      <c r="F38" s="433"/>
      <c r="G38" s="433"/>
      <c r="H38" s="433"/>
      <c r="I38" s="438"/>
      <c r="J38" s="436"/>
      <c r="K38" s="436"/>
      <c r="L38" s="436"/>
      <c r="M38" s="436"/>
      <c r="N38" s="437"/>
    </row>
    <row r="39" spans="2:14" ht="15" customHeight="1">
      <c r="B39" s="431"/>
      <c r="C39" s="433"/>
      <c r="D39" s="433"/>
      <c r="E39" s="433"/>
      <c r="F39" s="433"/>
      <c r="G39" s="433"/>
      <c r="H39" s="433"/>
      <c r="I39" s="438"/>
      <c r="J39" s="436"/>
      <c r="K39" s="436"/>
      <c r="L39" s="436"/>
      <c r="M39" s="436"/>
      <c r="N39" s="437"/>
    </row>
    <row r="40" spans="2:14" ht="15" customHeight="1">
      <c r="B40" s="431"/>
      <c r="C40" s="433"/>
      <c r="D40" s="433"/>
      <c r="E40" s="433"/>
      <c r="F40" s="433"/>
      <c r="G40" s="433"/>
      <c r="H40" s="433"/>
      <c r="I40" s="438"/>
      <c r="J40" s="436"/>
      <c r="K40" s="436"/>
      <c r="L40" s="436"/>
      <c r="M40" s="436"/>
      <c r="N40" s="437"/>
    </row>
    <row r="41" spans="2:14" ht="15" customHeight="1">
      <c r="B41" s="431"/>
      <c r="C41" s="433"/>
      <c r="D41" s="433"/>
      <c r="E41" s="433"/>
      <c r="F41" s="433"/>
      <c r="G41" s="433"/>
      <c r="H41" s="433"/>
      <c r="I41" s="438"/>
      <c r="J41" s="436"/>
      <c r="K41" s="436"/>
      <c r="L41" s="436"/>
      <c r="M41" s="436"/>
      <c r="N41" s="437"/>
    </row>
    <row r="42" spans="2:14" ht="15" customHeight="1">
      <c r="B42" s="431"/>
      <c r="C42" s="433"/>
      <c r="D42" s="433"/>
      <c r="E42" s="433"/>
      <c r="F42" s="433"/>
      <c r="G42" s="433"/>
      <c r="H42" s="433"/>
      <c r="I42" s="438"/>
      <c r="J42" s="436"/>
      <c r="K42" s="436"/>
      <c r="L42" s="436"/>
      <c r="M42" s="436"/>
      <c r="N42" s="437"/>
    </row>
    <row r="43" spans="2:14" ht="15" customHeight="1">
      <c r="B43" s="431"/>
      <c r="C43" s="433"/>
      <c r="D43" s="433"/>
      <c r="E43" s="433"/>
      <c r="F43" s="433"/>
      <c r="G43" s="433"/>
      <c r="H43" s="433"/>
      <c r="I43" s="438"/>
      <c r="J43" s="436"/>
      <c r="K43" s="436"/>
      <c r="L43" s="436"/>
      <c r="M43" s="436"/>
      <c r="N43" s="437"/>
    </row>
    <row r="44" spans="2:14" ht="15" customHeight="1">
      <c r="B44" s="431"/>
      <c r="C44" s="433"/>
      <c r="D44" s="433"/>
      <c r="E44" s="433"/>
      <c r="F44" s="433"/>
      <c r="G44" s="433"/>
      <c r="H44" s="433"/>
      <c r="I44" s="438"/>
      <c r="J44" s="436"/>
      <c r="K44" s="436"/>
      <c r="L44" s="436"/>
      <c r="M44" s="436"/>
      <c r="N44" s="437"/>
    </row>
    <row r="45" spans="2:14" ht="15" customHeight="1">
      <c r="B45" s="431"/>
      <c r="C45" s="433"/>
      <c r="D45" s="433"/>
      <c r="E45" s="433"/>
      <c r="F45" s="433"/>
      <c r="G45" s="433"/>
      <c r="H45" s="433"/>
      <c r="I45" s="438"/>
      <c r="J45" s="436"/>
      <c r="K45" s="436"/>
      <c r="L45" s="436"/>
      <c r="M45" s="436"/>
      <c r="N45" s="437"/>
    </row>
    <row r="46" spans="2:14" ht="15" customHeight="1">
      <c r="B46" s="431"/>
      <c r="C46" s="433"/>
      <c r="D46" s="433"/>
      <c r="E46" s="433"/>
      <c r="F46" s="433"/>
      <c r="G46" s="433"/>
      <c r="H46" s="433"/>
      <c r="I46" s="438"/>
      <c r="J46" s="436"/>
      <c r="K46" s="436"/>
      <c r="L46" s="436"/>
      <c r="M46" s="436"/>
      <c r="N46" s="437"/>
    </row>
    <row r="47" spans="2:14" ht="15" customHeight="1">
      <c r="B47" s="431"/>
      <c r="C47" s="433"/>
      <c r="D47" s="433"/>
      <c r="E47" s="433"/>
      <c r="F47" s="433"/>
      <c r="G47" s="433"/>
      <c r="H47" s="433"/>
      <c r="I47" s="438"/>
      <c r="J47" s="436"/>
      <c r="K47" s="436"/>
      <c r="L47" s="436"/>
      <c r="M47" s="436"/>
      <c r="N47" s="437"/>
    </row>
    <row r="48" spans="2:14" ht="15" customHeight="1">
      <c r="B48" s="431"/>
      <c r="C48" s="433"/>
      <c r="D48" s="433"/>
      <c r="E48" s="433"/>
      <c r="F48" s="433"/>
      <c r="G48" s="433"/>
      <c r="H48" s="433"/>
      <c r="I48" s="438"/>
      <c r="J48" s="436"/>
      <c r="K48" s="436"/>
      <c r="L48" s="436"/>
      <c r="M48" s="436"/>
      <c r="N48" s="437"/>
    </row>
    <row r="49" spans="2:14" ht="15" customHeight="1">
      <c r="B49" s="431"/>
      <c r="C49" s="433"/>
      <c r="D49" s="433"/>
      <c r="E49" s="433"/>
      <c r="F49" s="433"/>
      <c r="G49" s="433"/>
      <c r="H49" s="433"/>
      <c r="I49" s="438"/>
      <c r="J49" s="436"/>
      <c r="K49" s="436"/>
      <c r="L49" s="436"/>
      <c r="M49" s="436"/>
      <c r="N49" s="437"/>
    </row>
    <row r="50" spans="2:14" ht="15" customHeight="1">
      <c r="B50" s="431"/>
      <c r="C50" s="433"/>
      <c r="D50" s="433"/>
      <c r="E50" s="433"/>
      <c r="F50" s="433"/>
      <c r="G50" s="433"/>
      <c r="H50" s="433"/>
      <c r="I50" s="438"/>
      <c r="J50" s="436"/>
      <c r="K50" s="436"/>
      <c r="L50" s="436"/>
      <c r="M50" s="436"/>
      <c r="N50" s="437"/>
    </row>
    <row r="51" spans="2:14" ht="15" customHeight="1">
      <c r="B51" s="431"/>
      <c r="C51" s="433"/>
      <c r="D51" s="433"/>
      <c r="E51" s="433"/>
      <c r="F51" s="433"/>
      <c r="G51" s="433"/>
      <c r="H51" s="433"/>
      <c r="I51" s="438"/>
      <c r="J51" s="436"/>
      <c r="K51" s="436"/>
      <c r="L51" s="436"/>
      <c r="M51" s="436"/>
      <c r="N51" s="437"/>
    </row>
    <row r="52" spans="2:14" ht="15" customHeight="1" thickBot="1">
      <c r="B52" s="440"/>
      <c r="C52" s="441"/>
      <c r="D52" s="441"/>
      <c r="E52" s="441"/>
      <c r="F52" s="441"/>
      <c r="G52" s="441"/>
      <c r="H52" s="441"/>
      <c r="I52" s="442"/>
      <c r="J52" s="443"/>
      <c r="K52" s="443"/>
      <c r="L52" s="443"/>
      <c r="M52" s="443"/>
      <c r="N52" s="444"/>
    </row>
    <row r="53" spans="2:14" ht="20.25" customHeight="1" thickBot="1">
      <c r="B53" s="445" t="s">
        <v>377</v>
      </c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</row>
    <row r="54" spans="2:14" ht="15" customHeight="1" thickBot="1">
      <c r="B54" s="446" t="s">
        <v>378</v>
      </c>
      <c r="C54" s="447" t="s">
        <v>375</v>
      </c>
      <c r="D54" s="448"/>
      <c r="E54" s="448"/>
      <c r="F54" s="448"/>
      <c r="G54" s="448"/>
      <c r="H54" s="449"/>
      <c r="I54" s="447" t="s">
        <v>370</v>
      </c>
      <c r="J54" s="448"/>
      <c r="K54" s="450"/>
      <c r="L54" s="447" t="s">
        <v>379</v>
      </c>
      <c r="M54" s="448"/>
      <c r="N54" s="451"/>
    </row>
    <row r="55" spans="2:14" ht="15" customHeight="1">
      <c r="B55" s="452"/>
      <c r="C55" s="453"/>
      <c r="D55" s="454"/>
      <c r="E55" s="454"/>
      <c r="F55" s="454"/>
      <c r="G55" s="454"/>
      <c r="H55" s="455"/>
      <c r="I55" s="456"/>
      <c r="J55" s="457"/>
      <c r="K55" s="458"/>
      <c r="L55" s="459"/>
      <c r="M55" s="460"/>
      <c r="N55" s="461"/>
    </row>
    <row r="56" spans="2:14" ht="15" customHeight="1">
      <c r="B56" s="462"/>
      <c r="C56" s="463"/>
      <c r="D56" s="464"/>
      <c r="E56" s="464"/>
      <c r="F56" s="464"/>
      <c r="G56" s="464"/>
      <c r="H56" s="465"/>
      <c r="I56" s="466"/>
      <c r="J56" s="467"/>
      <c r="K56" s="468"/>
      <c r="L56" s="469"/>
      <c r="M56" s="470"/>
      <c r="N56" s="471"/>
    </row>
    <row r="57" spans="2:14" ht="15" customHeight="1">
      <c r="B57" s="462"/>
      <c r="C57" s="463"/>
      <c r="D57" s="464"/>
      <c r="E57" s="464"/>
      <c r="F57" s="464"/>
      <c r="G57" s="464"/>
      <c r="H57" s="465"/>
      <c r="I57" s="466"/>
      <c r="J57" s="467"/>
      <c r="K57" s="468"/>
      <c r="L57" s="469"/>
      <c r="M57" s="470"/>
      <c r="N57" s="471"/>
    </row>
    <row r="58" spans="2:14" ht="15" customHeight="1">
      <c r="B58" s="462"/>
      <c r="C58" s="463"/>
      <c r="D58" s="464"/>
      <c r="E58" s="464"/>
      <c r="F58" s="464"/>
      <c r="G58" s="464"/>
      <c r="H58" s="465"/>
      <c r="I58" s="466"/>
      <c r="J58" s="467"/>
      <c r="K58" s="468"/>
      <c r="L58" s="469"/>
      <c r="M58" s="470"/>
      <c r="N58" s="471"/>
    </row>
    <row r="59" spans="2:14" ht="15" customHeight="1">
      <c r="B59" s="462"/>
      <c r="C59" s="463"/>
      <c r="D59" s="464"/>
      <c r="E59" s="464"/>
      <c r="F59" s="464"/>
      <c r="G59" s="464"/>
      <c r="H59" s="465"/>
      <c r="I59" s="466"/>
      <c r="J59" s="467"/>
      <c r="K59" s="468"/>
      <c r="L59" s="469"/>
      <c r="M59" s="470"/>
      <c r="N59" s="471"/>
    </row>
    <row r="60" spans="2:14" ht="15" customHeight="1">
      <c r="B60" s="462"/>
      <c r="C60" s="463"/>
      <c r="D60" s="464"/>
      <c r="E60" s="464"/>
      <c r="F60" s="464"/>
      <c r="G60" s="464"/>
      <c r="H60" s="465"/>
      <c r="I60" s="466"/>
      <c r="J60" s="467"/>
      <c r="K60" s="468"/>
      <c r="L60" s="469"/>
      <c r="M60" s="470"/>
      <c r="N60" s="471"/>
    </row>
    <row r="61" spans="2:14" ht="15" customHeight="1">
      <c r="B61" s="462"/>
      <c r="C61" s="463"/>
      <c r="D61" s="464"/>
      <c r="E61" s="464"/>
      <c r="F61" s="464"/>
      <c r="G61" s="464"/>
      <c r="H61" s="465"/>
      <c r="I61" s="466"/>
      <c r="J61" s="467"/>
      <c r="K61" s="468"/>
      <c r="L61" s="469"/>
      <c r="M61" s="470"/>
      <c r="N61" s="471"/>
    </row>
    <row r="62" spans="2:14" ht="15" customHeight="1">
      <c r="B62" s="462"/>
      <c r="C62" s="463"/>
      <c r="D62" s="464"/>
      <c r="E62" s="464"/>
      <c r="F62" s="464"/>
      <c r="G62" s="464"/>
      <c r="H62" s="465"/>
      <c r="I62" s="466"/>
      <c r="J62" s="467"/>
      <c r="K62" s="468"/>
      <c r="L62" s="469"/>
      <c r="M62" s="470"/>
      <c r="N62" s="471"/>
    </row>
    <row r="63" spans="2:14" ht="15" customHeight="1">
      <c r="B63" s="462"/>
      <c r="C63" s="463"/>
      <c r="D63" s="464"/>
      <c r="E63" s="464"/>
      <c r="F63" s="464"/>
      <c r="G63" s="464"/>
      <c r="H63" s="465"/>
      <c r="I63" s="466"/>
      <c r="J63" s="467"/>
      <c r="K63" s="468"/>
      <c r="L63" s="469"/>
      <c r="M63" s="470"/>
      <c r="N63" s="471"/>
    </row>
    <row r="64" spans="2:14" ht="15" customHeight="1">
      <c r="B64" s="462"/>
      <c r="C64" s="463"/>
      <c r="D64" s="464"/>
      <c r="E64" s="464"/>
      <c r="F64" s="464"/>
      <c r="G64" s="464"/>
      <c r="H64" s="465"/>
      <c r="I64" s="466"/>
      <c r="J64" s="467"/>
      <c r="K64" s="468"/>
      <c r="L64" s="469"/>
      <c r="M64" s="470"/>
      <c r="N64" s="471"/>
    </row>
    <row r="65" spans="2:14" ht="15" customHeight="1">
      <c r="B65" s="462"/>
      <c r="C65" s="463"/>
      <c r="D65" s="464"/>
      <c r="E65" s="464"/>
      <c r="F65" s="464"/>
      <c r="G65" s="464"/>
      <c r="H65" s="465"/>
      <c r="I65" s="466"/>
      <c r="J65" s="467"/>
      <c r="K65" s="468"/>
      <c r="L65" s="469"/>
      <c r="M65" s="470"/>
      <c r="N65" s="471"/>
    </row>
    <row r="66" spans="2:14" ht="15" customHeight="1">
      <c r="B66" s="462"/>
      <c r="C66" s="463"/>
      <c r="D66" s="464"/>
      <c r="E66" s="464"/>
      <c r="F66" s="464"/>
      <c r="G66" s="464"/>
      <c r="H66" s="465"/>
      <c r="I66" s="466"/>
      <c r="J66" s="467"/>
      <c r="K66" s="468"/>
      <c r="L66" s="469"/>
      <c r="M66" s="470"/>
      <c r="N66" s="471"/>
    </row>
    <row r="67" spans="2:14" ht="15" customHeight="1">
      <c r="B67" s="462"/>
      <c r="C67" s="463"/>
      <c r="D67" s="464"/>
      <c r="E67" s="464"/>
      <c r="F67" s="464"/>
      <c r="G67" s="464"/>
      <c r="H67" s="465"/>
      <c r="I67" s="466"/>
      <c r="J67" s="467"/>
      <c r="K67" s="468"/>
      <c r="L67" s="469"/>
      <c r="M67" s="470"/>
      <c r="N67" s="471"/>
    </row>
    <row r="68" spans="2:14" ht="15" customHeight="1">
      <c r="B68" s="462"/>
      <c r="C68" s="463"/>
      <c r="D68" s="464"/>
      <c r="E68" s="464"/>
      <c r="F68" s="464"/>
      <c r="G68" s="464"/>
      <c r="H68" s="465"/>
      <c r="I68" s="466"/>
      <c r="J68" s="467"/>
      <c r="K68" s="468"/>
      <c r="L68" s="469"/>
      <c r="M68" s="470"/>
      <c r="N68" s="471"/>
    </row>
    <row r="69" spans="2:14" ht="15" customHeight="1">
      <c r="B69" s="462"/>
      <c r="C69" s="463"/>
      <c r="D69" s="464"/>
      <c r="E69" s="464"/>
      <c r="F69" s="464"/>
      <c r="G69" s="464"/>
      <c r="H69" s="465"/>
      <c r="I69" s="466"/>
      <c r="J69" s="467"/>
      <c r="K69" s="468"/>
      <c r="L69" s="469"/>
      <c r="M69" s="470"/>
      <c r="N69" s="471"/>
    </row>
    <row r="70" spans="2:14" ht="15" customHeight="1">
      <c r="B70" s="462"/>
      <c r="C70" s="463"/>
      <c r="D70" s="464"/>
      <c r="E70" s="464"/>
      <c r="F70" s="464"/>
      <c r="G70" s="464"/>
      <c r="H70" s="465"/>
      <c r="I70" s="466"/>
      <c r="J70" s="467"/>
      <c r="K70" s="468"/>
      <c r="L70" s="469"/>
      <c r="M70" s="470"/>
      <c r="N70" s="471"/>
    </row>
    <row r="71" spans="2:14" ht="15" customHeight="1">
      <c r="B71" s="462"/>
      <c r="C71" s="463"/>
      <c r="D71" s="464"/>
      <c r="E71" s="464"/>
      <c r="F71" s="464"/>
      <c r="G71" s="464"/>
      <c r="H71" s="465"/>
      <c r="I71" s="466"/>
      <c r="J71" s="467"/>
      <c r="K71" s="468"/>
      <c r="L71" s="469"/>
      <c r="M71" s="470"/>
      <c r="N71" s="471"/>
    </row>
    <row r="72" spans="2:14">
      <c r="B72" s="462"/>
      <c r="C72" s="463"/>
      <c r="D72" s="464"/>
      <c r="E72" s="464"/>
      <c r="F72" s="464"/>
      <c r="G72" s="464"/>
      <c r="H72" s="465"/>
      <c r="I72" s="466"/>
      <c r="J72" s="467"/>
      <c r="K72" s="468"/>
      <c r="L72" s="469"/>
      <c r="M72" s="470"/>
      <c r="N72" s="471"/>
    </row>
    <row r="73" spans="2:14">
      <c r="B73" s="462"/>
      <c r="C73" s="463"/>
      <c r="D73" s="464"/>
      <c r="E73" s="464"/>
      <c r="F73" s="464"/>
      <c r="G73" s="464"/>
      <c r="H73" s="465"/>
      <c r="I73" s="466"/>
      <c r="J73" s="467"/>
      <c r="K73" s="468"/>
      <c r="L73" s="469"/>
      <c r="M73" s="470"/>
      <c r="N73" s="471"/>
    </row>
    <row r="74" spans="2:14">
      <c r="B74" s="462"/>
      <c r="C74" s="463"/>
      <c r="D74" s="464"/>
      <c r="E74" s="464"/>
      <c r="F74" s="464"/>
      <c r="G74" s="464"/>
      <c r="H74" s="465"/>
      <c r="I74" s="466"/>
      <c r="J74" s="467"/>
      <c r="K74" s="468"/>
      <c r="L74" s="469"/>
      <c r="M74" s="470"/>
      <c r="N74" s="471"/>
    </row>
    <row r="75" spans="2:14">
      <c r="B75" s="462"/>
      <c r="C75" s="463"/>
      <c r="D75" s="464"/>
      <c r="E75" s="464"/>
      <c r="F75" s="464"/>
      <c r="G75" s="464"/>
      <c r="H75" s="465"/>
      <c r="I75" s="466"/>
      <c r="J75" s="467"/>
      <c r="K75" s="468"/>
      <c r="L75" s="469"/>
      <c r="M75" s="470"/>
      <c r="N75" s="471"/>
    </row>
    <row r="76" spans="2:14">
      <c r="B76" s="462"/>
      <c r="C76" s="463"/>
      <c r="D76" s="464"/>
      <c r="E76" s="464"/>
      <c r="F76" s="464"/>
      <c r="G76" s="464"/>
      <c r="H76" s="465"/>
      <c r="I76" s="466"/>
      <c r="J76" s="467"/>
      <c r="K76" s="468"/>
      <c r="L76" s="469"/>
      <c r="M76" s="470"/>
      <c r="N76" s="471"/>
    </row>
    <row r="77" spans="2:14">
      <c r="B77" s="462"/>
      <c r="C77" s="463"/>
      <c r="D77" s="464"/>
      <c r="E77" s="464"/>
      <c r="F77" s="464"/>
      <c r="G77" s="464"/>
      <c r="H77" s="465"/>
      <c r="I77" s="466"/>
      <c r="J77" s="467"/>
      <c r="K77" s="468"/>
      <c r="L77" s="469"/>
      <c r="M77" s="470"/>
      <c r="N77" s="471"/>
    </row>
    <row r="78" spans="2:14">
      <c r="B78" s="462"/>
      <c r="C78" s="463"/>
      <c r="D78" s="464"/>
      <c r="E78" s="464"/>
      <c r="F78" s="464"/>
      <c r="G78" s="464"/>
      <c r="H78" s="465"/>
      <c r="I78" s="466"/>
      <c r="J78" s="467"/>
      <c r="K78" s="468"/>
      <c r="L78" s="469"/>
      <c r="M78" s="470"/>
      <c r="N78" s="471"/>
    </row>
    <row r="79" spans="2:14" ht="13.5" thickBot="1">
      <c r="B79" s="472"/>
      <c r="C79" s="473"/>
      <c r="D79" s="474"/>
      <c r="E79" s="474"/>
      <c r="F79" s="474"/>
      <c r="G79" s="474"/>
      <c r="H79" s="475"/>
      <c r="I79" s="476"/>
      <c r="J79" s="477"/>
      <c r="K79" s="478"/>
      <c r="L79" s="479"/>
      <c r="M79" s="480"/>
      <c r="N79" s="481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10" workbookViewId="0"/>
  </sheetViews>
  <sheetFormatPr defaultRowHeight="12.75"/>
  <cols>
    <col min="1" max="1" width="19.7109375" style="499" customWidth="1"/>
    <col min="2" max="7" width="10.7109375" style="499" customWidth="1"/>
    <col min="8" max="16384" width="9.140625" style="499"/>
  </cols>
  <sheetData>
    <row r="1" spans="1:12" ht="21" customHeight="1">
      <c r="A1" s="497" t="s">
        <v>407</v>
      </c>
      <c r="B1" s="498" t="s">
        <v>446</v>
      </c>
      <c r="C1" s="498"/>
      <c r="D1" s="498"/>
      <c r="E1" s="498"/>
      <c r="F1" s="498"/>
      <c r="G1" s="498"/>
    </row>
    <row r="2" spans="1:12" ht="15" customHeight="1"/>
    <row r="3" spans="1:12" ht="20.25">
      <c r="A3" s="500" t="s">
        <v>408</v>
      </c>
    </row>
    <row r="4" spans="1:12" ht="12" customHeight="1">
      <c r="A4" s="501"/>
      <c r="B4" s="501"/>
      <c r="C4" s="501"/>
      <c r="D4" s="501" t="s">
        <v>460</v>
      </c>
      <c r="E4" s="501"/>
      <c r="F4" s="501"/>
      <c r="G4" s="501"/>
      <c r="H4" s="501"/>
      <c r="I4" s="501"/>
      <c r="J4" s="501"/>
      <c r="K4" s="501"/>
      <c r="L4" s="501"/>
    </row>
    <row r="5" spans="1:12" ht="15.6" customHeight="1">
      <c r="A5" s="502" t="s">
        <v>5</v>
      </c>
      <c r="B5" s="502" t="s">
        <v>409</v>
      </c>
      <c r="C5" s="502" t="s">
        <v>410</v>
      </c>
      <c r="D5" s="502" t="s">
        <v>411</v>
      </c>
      <c r="E5" s="502" t="s">
        <v>412</v>
      </c>
      <c r="F5" s="502" t="s">
        <v>413</v>
      </c>
      <c r="G5" s="502" t="s">
        <v>414</v>
      </c>
      <c r="H5" s="501"/>
      <c r="I5" s="501"/>
      <c r="J5" s="501"/>
      <c r="K5" s="501"/>
      <c r="L5" s="501"/>
    </row>
    <row r="6" spans="1:12" ht="15.6" customHeight="1">
      <c r="A6" s="503" t="s">
        <v>415</v>
      </c>
      <c r="B6" s="503" t="s">
        <v>165</v>
      </c>
      <c r="C6" s="503" t="s">
        <v>165</v>
      </c>
      <c r="D6" s="503" t="s">
        <v>416</v>
      </c>
      <c r="E6" s="503" t="s">
        <v>135</v>
      </c>
      <c r="F6" s="503" t="s">
        <v>417</v>
      </c>
      <c r="G6" s="503" t="s">
        <v>417</v>
      </c>
      <c r="H6" s="501"/>
      <c r="I6" s="501"/>
      <c r="J6" s="501"/>
      <c r="K6" s="501"/>
      <c r="L6" s="501"/>
    </row>
    <row r="7" spans="1:12" ht="15.95" customHeight="1">
      <c r="A7" s="504" t="s">
        <v>447</v>
      </c>
      <c r="B7" s="504" t="s">
        <v>461</v>
      </c>
      <c r="C7" s="504" t="s">
        <v>474</v>
      </c>
      <c r="D7" s="504" t="s">
        <v>487</v>
      </c>
      <c r="E7" s="504" t="s">
        <v>500</v>
      </c>
      <c r="F7" s="504" t="s">
        <v>513</v>
      </c>
      <c r="G7" s="504" t="s">
        <v>525</v>
      </c>
      <c r="H7" s="501"/>
      <c r="I7" s="501"/>
      <c r="J7" s="501"/>
      <c r="K7" s="501"/>
      <c r="L7" s="501"/>
    </row>
    <row r="8" spans="1:12" ht="15.95" customHeight="1">
      <c r="A8" s="504" t="s">
        <v>448</v>
      </c>
      <c r="B8" s="504" t="s">
        <v>462</v>
      </c>
      <c r="C8" s="504" t="s">
        <v>475</v>
      </c>
      <c r="D8" s="504" t="s">
        <v>488</v>
      </c>
      <c r="E8" s="504" t="s">
        <v>501</v>
      </c>
      <c r="F8" s="504" t="s">
        <v>470</v>
      </c>
      <c r="G8" s="504" t="s">
        <v>526</v>
      </c>
      <c r="H8" s="501"/>
      <c r="I8" s="501"/>
      <c r="J8" s="501"/>
      <c r="K8" s="501"/>
      <c r="L8" s="501"/>
    </row>
    <row r="9" spans="1:12" ht="15.95" customHeight="1">
      <c r="A9" s="504" t="s">
        <v>449</v>
      </c>
      <c r="B9" s="504" t="s">
        <v>463</v>
      </c>
      <c r="C9" s="504" t="s">
        <v>476</v>
      </c>
      <c r="D9" s="504" t="s">
        <v>489</v>
      </c>
      <c r="E9" s="504" t="s">
        <v>502</v>
      </c>
      <c r="F9" s="504" t="s">
        <v>514</v>
      </c>
      <c r="G9" s="504" t="s">
        <v>527</v>
      </c>
      <c r="H9" s="501"/>
      <c r="I9" s="501"/>
      <c r="J9" s="501"/>
      <c r="K9" s="501"/>
      <c r="L9" s="501"/>
    </row>
    <row r="10" spans="1:12" ht="15.95" customHeight="1">
      <c r="A10" s="504" t="s">
        <v>450</v>
      </c>
      <c r="B10" s="504" t="s">
        <v>464</v>
      </c>
      <c r="C10" s="504" t="s">
        <v>477</v>
      </c>
      <c r="D10" s="504" t="s">
        <v>490</v>
      </c>
      <c r="E10" s="504" t="s">
        <v>503</v>
      </c>
      <c r="F10" s="504" t="s">
        <v>515</v>
      </c>
      <c r="G10" s="504" t="s">
        <v>528</v>
      </c>
      <c r="H10" s="501"/>
      <c r="I10" s="501"/>
      <c r="J10" s="501"/>
      <c r="K10" s="501"/>
      <c r="L10" s="501"/>
    </row>
    <row r="11" spans="1:12" ht="15.95" customHeight="1">
      <c r="A11" s="504" t="s">
        <v>451</v>
      </c>
      <c r="B11" s="504" t="s">
        <v>465</v>
      </c>
      <c r="C11" s="504" t="s">
        <v>478</v>
      </c>
      <c r="D11" s="504" t="s">
        <v>491</v>
      </c>
      <c r="E11" s="504" t="s">
        <v>504</v>
      </c>
      <c r="F11" s="504" t="s">
        <v>516</v>
      </c>
      <c r="G11" s="504" t="s">
        <v>529</v>
      </c>
      <c r="H11" s="501"/>
      <c r="I11" s="501"/>
      <c r="J11" s="501"/>
      <c r="K11" s="501"/>
      <c r="L11" s="501"/>
    </row>
    <row r="12" spans="1:12" ht="15.95" customHeight="1">
      <c r="A12" s="504" t="s">
        <v>452</v>
      </c>
      <c r="B12" s="504" t="s">
        <v>466</v>
      </c>
      <c r="C12" s="504" t="s">
        <v>479</v>
      </c>
      <c r="D12" s="504" t="s">
        <v>492</v>
      </c>
      <c r="E12" s="504" t="s">
        <v>505</v>
      </c>
      <c r="F12" s="504" t="s">
        <v>517</v>
      </c>
      <c r="G12" s="504" t="s">
        <v>530</v>
      </c>
      <c r="H12" s="501"/>
      <c r="I12" s="501"/>
      <c r="J12" s="501"/>
      <c r="K12" s="501"/>
      <c r="L12" s="501"/>
    </row>
    <row r="13" spans="1:12" ht="15.95" customHeight="1">
      <c r="A13" s="504" t="s">
        <v>453</v>
      </c>
      <c r="B13" s="504" t="s">
        <v>467</v>
      </c>
      <c r="C13" s="504" t="s">
        <v>480</v>
      </c>
      <c r="D13" s="504" t="s">
        <v>493</v>
      </c>
      <c r="E13" s="504" t="s">
        <v>506</v>
      </c>
      <c r="F13" s="504" t="s">
        <v>518</v>
      </c>
      <c r="G13" s="504" t="s">
        <v>531</v>
      </c>
      <c r="H13" s="501"/>
      <c r="I13" s="501"/>
      <c r="J13" s="501"/>
      <c r="K13" s="501"/>
      <c r="L13" s="501"/>
    </row>
    <row r="14" spans="1:12" ht="15.95" customHeight="1">
      <c r="A14" s="504" t="s">
        <v>454</v>
      </c>
      <c r="B14" s="504" t="s">
        <v>468</v>
      </c>
      <c r="C14" s="504" t="s">
        <v>481</v>
      </c>
      <c r="D14" s="504" t="s">
        <v>494</v>
      </c>
      <c r="E14" s="504" t="s">
        <v>507</v>
      </c>
      <c r="F14" s="504" t="s">
        <v>519</v>
      </c>
      <c r="G14" s="504" t="s">
        <v>532</v>
      </c>
      <c r="H14" s="501"/>
      <c r="I14" s="501"/>
      <c r="J14" s="501"/>
      <c r="K14" s="501"/>
      <c r="L14" s="501"/>
    </row>
    <row r="15" spans="1:12" ht="15.95" customHeight="1">
      <c r="A15" s="504" t="s">
        <v>455</v>
      </c>
      <c r="B15" s="504" t="s">
        <v>469</v>
      </c>
      <c r="C15" s="504" t="s">
        <v>482</v>
      </c>
      <c r="D15" s="504" t="s">
        <v>495</v>
      </c>
      <c r="E15" s="504" t="s">
        <v>508</v>
      </c>
      <c r="F15" s="504" t="s">
        <v>520</v>
      </c>
      <c r="G15" s="504" t="s">
        <v>533</v>
      </c>
      <c r="H15" s="501"/>
      <c r="I15" s="501"/>
      <c r="J15" s="501"/>
      <c r="K15" s="501"/>
      <c r="L15" s="501"/>
    </row>
    <row r="16" spans="1:12" ht="15.95" customHeight="1">
      <c r="A16" s="504" t="s">
        <v>456</v>
      </c>
      <c r="B16" s="504" t="s">
        <v>470</v>
      </c>
      <c r="C16" s="504" t="s">
        <v>483</v>
      </c>
      <c r="D16" s="504" t="s">
        <v>496</v>
      </c>
      <c r="E16" s="504" t="s">
        <v>509</v>
      </c>
      <c r="F16" s="504" t="s">
        <v>521</v>
      </c>
      <c r="G16" s="504" t="s">
        <v>534</v>
      </c>
      <c r="H16" s="501"/>
      <c r="I16" s="501"/>
      <c r="J16" s="501"/>
      <c r="K16" s="501"/>
      <c r="L16" s="501"/>
    </row>
    <row r="17" spans="1:12" ht="15.95" customHeight="1">
      <c r="A17" s="504" t="s">
        <v>457</v>
      </c>
      <c r="B17" s="504" t="s">
        <v>471</v>
      </c>
      <c r="C17" s="504" t="s">
        <v>484</v>
      </c>
      <c r="D17" s="504" t="s">
        <v>497</v>
      </c>
      <c r="E17" s="504" t="s">
        <v>510</v>
      </c>
      <c r="F17" s="504" t="s">
        <v>522</v>
      </c>
      <c r="G17" s="504" t="s">
        <v>535</v>
      </c>
      <c r="H17" s="501"/>
      <c r="I17" s="501"/>
      <c r="J17" s="501"/>
      <c r="K17" s="501"/>
      <c r="L17" s="501"/>
    </row>
    <row r="18" spans="1:12" ht="15.95" customHeight="1">
      <c r="A18" s="504" t="s">
        <v>458</v>
      </c>
      <c r="B18" s="504" t="s">
        <v>472</v>
      </c>
      <c r="C18" s="504" t="s">
        <v>485</v>
      </c>
      <c r="D18" s="504" t="s">
        <v>498</v>
      </c>
      <c r="E18" s="504" t="s">
        <v>511</v>
      </c>
      <c r="F18" s="504" t="s">
        <v>523</v>
      </c>
      <c r="G18" s="504" t="s">
        <v>536</v>
      </c>
      <c r="H18" s="501"/>
      <c r="I18" s="501"/>
      <c r="J18" s="501"/>
      <c r="K18" s="501"/>
      <c r="L18" s="501"/>
    </row>
    <row r="19" spans="1:12" ht="15.95" customHeight="1">
      <c r="A19" s="504" t="s">
        <v>459</v>
      </c>
      <c r="B19" s="504" t="s">
        <v>473</v>
      </c>
      <c r="C19" s="504" t="s">
        <v>486</v>
      </c>
      <c r="D19" s="504" t="s">
        <v>499</v>
      </c>
      <c r="E19" s="504" t="s">
        <v>512</v>
      </c>
      <c r="F19" s="504" t="s">
        <v>524</v>
      </c>
      <c r="G19" s="504" t="s">
        <v>537</v>
      </c>
      <c r="H19" s="501"/>
      <c r="I19" s="501"/>
      <c r="J19" s="501"/>
      <c r="K19" s="501"/>
      <c r="L19" s="501"/>
    </row>
    <row r="20" spans="1:12" ht="15.75">
      <c r="A20" s="501"/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</row>
    <row r="21" spans="1:12" ht="15.75">
      <c r="A21" s="501"/>
      <c r="B21" s="501"/>
      <c r="C21" s="501"/>
      <c r="D21" s="505" t="s">
        <v>547</v>
      </c>
      <c r="E21" s="506"/>
      <c r="F21" s="506"/>
      <c r="G21" s="507"/>
      <c r="H21" s="501"/>
      <c r="I21" s="501"/>
      <c r="J21" s="501"/>
      <c r="K21" s="501"/>
      <c r="L21" s="501"/>
    </row>
    <row r="22" spans="1:12" ht="17.25" customHeight="1">
      <c r="A22" s="501"/>
      <c r="B22" s="508" t="s">
        <v>418</v>
      </c>
      <c r="C22" s="508"/>
      <c r="D22" s="508" t="s">
        <v>419</v>
      </c>
      <c r="E22" s="508"/>
      <c r="F22" s="508" t="s">
        <v>420</v>
      </c>
      <c r="G22" s="508"/>
      <c r="H22" s="501"/>
      <c r="I22" s="501"/>
      <c r="J22" s="501"/>
      <c r="K22" s="501"/>
      <c r="L22" s="501"/>
    </row>
    <row r="23" spans="1:12" ht="15.75">
      <c r="A23" s="509" t="s">
        <v>421</v>
      </c>
      <c r="B23" s="510" t="s">
        <v>538</v>
      </c>
      <c r="C23" s="510"/>
      <c r="D23" s="510" t="s">
        <v>541</v>
      </c>
      <c r="E23" s="510"/>
      <c r="F23" s="510" t="s">
        <v>544</v>
      </c>
      <c r="G23" s="510"/>
      <c r="H23" s="501"/>
      <c r="I23" s="501"/>
      <c r="J23" s="501"/>
      <c r="K23" s="501"/>
      <c r="L23" s="501"/>
    </row>
    <row r="24" spans="1:12" ht="18" customHeight="1">
      <c r="A24" s="509" t="s">
        <v>422</v>
      </c>
      <c r="B24" s="510" t="s">
        <v>539</v>
      </c>
      <c r="C24" s="510"/>
      <c r="D24" s="510" t="s">
        <v>542</v>
      </c>
      <c r="E24" s="510"/>
      <c r="F24" s="510" t="s">
        <v>545</v>
      </c>
      <c r="G24" s="510"/>
      <c r="H24" s="501"/>
      <c r="I24" s="501"/>
      <c r="J24" s="501"/>
      <c r="K24" s="501"/>
      <c r="L24" s="501"/>
    </row>
    <row r="25" spans="1:12" ht="15.75">
      <c r="A25" s="509" t="s">
        <v>423</v>
      </c>
      <c r="B25" s="510" t="s">
        <v>540</v>
      </c>
      <c r="C25" s="510"/>
      <c r="D25" s="510" t="s">
        <v>543</v>
      </c>
      <c r="E25" s="510"/>
      <c r="F25" s="510" t="s">
        <v>546</v>
      </c>
      <c r="G25" s="510"/>
      <c r="H25" s="501"/>
      <c r="I25" s="501"/>
      <c r="J25" s="501"/>
      <c r="K25" s="501"/>
      <c r="L25" s="501"/>
    </row>
    <row r="26" spans="1:12" ht="15.75">
      <c r="A26" s="501"/>
      <c r="B26" s="501"/>
      <c r="C26" s="501"/>
      <c r="D26" s="501"/>
      <c r="E26" s="501"/>
      <c r="F26" s="501"/>
      <c r="G26" s="501"/>
      <c r="H26" s="501"/>
      <c r="I26" s="501"/>
      <c r="J26" s="501"/>
      <c r="K26" s="501"/>
      <c r="L26" s="501"/>
    </row>
    <row r="27" spans="1:12" ht="20.25">
      <c r="A27" s="500" t="s">
        <v>424</v>
      </c>
      <c r="B27" s="501"/>
      <c r="C27" s="501"/>
      <c r="D27" s="501"/>
      <c r="E27" s="501"/>
      <c r="F27" s="501"/>
      <c r="G27" s="501"/>
      <c r="H27" s="501"/>
      <c r="I27" s="501"/>
      <c r="J27" s="501"/>
      <c r="K27" s="501"/>
      <c r="L27" s="501"/>
    </row>
    <row r="28" spans="1:12" ht="15.75">
      <c r="A28" s="501"/>
      <c r="B28" s="501"/>
      <c r="C28" s="501"/>
      <c r="D28" s="501"/>
      <c r="E28" s="511" t="s">
        <v>425</v>
      </c>
      <c r="F28" s="506"/>
      <c r="G28" s="507"/>
      <c r="H28" s="501"/>
      <c r="I28" s="501"/>
      <c r="J28" s="501"/>
      <c r="K28" s="501"/>
      <c r="L28" s="501"/>
    </row>
    <row r="29" spans="1:12" ht="15.75">
      <c r="A29" s="501"/>
      <c r="B29" s="508" t="s">
        <v>426</v>
      </c>
      <c r="C29" s="508"/>
      <c r="D29" s="512" t="s">
        <v>427</v>
      </c>
      <c r="E29" s="512" t="s">
        <v>428</v>
      </c>
      <c r="F29" s="508" t="s">
        <v>429</v>
      </c>
      <c r="G29" s="508"/>
      <c r="H29" s="501"/>
      <c r="I29" s="501"/>
      <c r="J29" s="501"/>
      <c r="K29" s="501"/>
      <c r="L29" s="501"/>
    </row>
    <row r="30" spans="1:12" ht="15.75">
      <c r="A30" s="509" t="s">
        <v>430</v>
      </c>
      <c r="B30" s="510" t="s">
        <v>548</v>
      </c>
      <c r="C30" s="510"/>
      <c r="D30" s="504" t="s">
        <v>551</v>
      </c>
      <c r="E30" s="504" t="s">
        <v>431</v>
      </c>
      <c r="F30" s="510" t="s">
        <v>554</v>
      </c>
      <c r="G30" s="510"/>
      <c r="H30" s="501"/>
      <c r="I30" s="501"/>
      <c r="J30" s="501"/>
      <c r="K30" s="501"/>
      <c r="L30" s="501"/>
    </row>
    <row r="31" spans="1:12" ht="15.75">
      <c r="A31" s="509" t="s">
        <v>432</v>
      </c>
      <c r="B31" s="510" t="s">
        <v>549</v>
      </c>
      <c r="C31" s="510"/>
      <c r="D31" s="504" t="s">
        <v>552</v>
      </c>
      <c r="E31" s="504" t="s">
        <v>433</v>
      </c>
      <c r="F31" s="510" t="s">
        <v>555</v>
      </c>
      <c r="G31" s="510"/>
      <c r="H31" s="501"/>
      <c r="I31" s="501"/>
      <c r="J31" s="501"/>
      <c r="K31" s="501"/>
      <c r="L31" s="501"/>
    </row>
    <row r="32" spans="1:12" ht="15.75">
      <c r="A32" s="509" t="s">
        <v>434</v>
      </c>
      <c r="B32" s="510" t="s">
        <v>550</v>
      </c>
      <c r="C32" s="510"/>
      <c r="D32" s="504" t="s">
        <v>553</v>
      </c>
      <c r="E32" s="504" t="s">
        <v>435</v>
      </c>
      <c r="F32" s="510" t="s">
        <v>556</v>
      </c>
      <c r="G32" s="510"/>
      <c r="H32" s="501"/>
      <c r="I32" s="501"/>
      <c r="J32" s="501"/>
      <c r="K32" s="501"/>
      <c r="L32" s="501"/>
    </row>
    <row r="33" spans="1:12" ht="15.75">
      <c r="A33" s="501"/>
      <c r="B33" s="501"/>
      <c r="C33" s="501"/>
      <c r="D33" s="501"/>
      <c r="E33" s="501"/>
      <c r="F33" s="501"/>
      <c r="G33" s="501"/>
      <c r="H33" s="501"/>
      <c r="I33" s="501"/>
      <c r="J33" s="501"/>
      <c r="K33" s="501"/>
      <c r="L33" s="501"/>
    </row>
    <row r="34" spans="1:12" ht="15.75">
      <c r="A34" s="501"/>
      <c r="B34" s="501"/>
      <c r="C34" s="501"/>
      <c r="D34" s="501"/>
      <c r="E34" s="511" t="s">
        <v>436</v>
      </c>
      <c r="F34" s="506"/>
      <c r="G34" s="507"/>
      <c r="H34" s="501"/>
      <c r="I34" s="501"/>
      <c r="J34" s="501"/>
      <c r="K34" s="501"/>
      <c r="L34" s="501"/>
    </row>
    <row r="35" spans="1:12" ht="15.75">
      <c r="A35" s="501"/>
      <c r="B35" s="508" t="s">
        <v>437</v>
      </c>
      <c r="C35" s="508"/>
      <c r="D35" s="512" t="s">
        <v>428</v>
      </c>
      <c r="E35" s="512" t="s">
        <v>438</v>
      </c>
      <c r="F35" s="512" t="s">
        <v>100</v>
      </c>
      <c r="G35" s="512" t="s">
        <v>439</v>
      </c>
      <c r="H35" s="501"/>
      <c r="I35" s="501"/>
      <c r="J35" s="501"/>
      <c r="K35" s="501"/>
      <c r="L35" s="501"/>
    </row>
    <row r="36" spans="1:12" ht="15.75">
      <c r="A36" s="509" t="s">
        <v>430</v>
      </c>
      <c r="B36" s="513" t="s">
        <v>557</v>
      </c>
      <c r="C36" s="514"/>
      <c r="D36" s="515" t="s">
        <v>559</v>
      </c>
      <c r="E36" s="515" t="s">
        <v>440</v>
      </c>
      <c r="F36" s="516" t="s">
        <v>441</v>
      </c>
      <c r="G36" s="504" t="s">
        <v>562</v>
      </c>
      <c r="H36" s="501"/>
      <c r="I36" s="501"/>
      <c r="J36" s="501"/>
      <c r="K36" s="501"/>
      <c r="L36" s="501"/>
    </row>
    <row r="37" spans="1:12" ht="15.75">
      <c r="A37" s="509" t="s">
        <v>432</v>
      </c>
      <c r="B37" s="513" t="s">
        <v>558</v>
      </c>
      <c r="C37" s="514"/>
      <c r="D37" s="515" t="s">
        <v>560</v>
      </c>
      <c r="E37" s="515" t="s">
        <v>440</v>
      </c>
      <c r="F37" s="516" t="s">
        <v>442</v>
      </c>
      <c r="G37" s="517" t="s">
        <v>563</v>
      </c>
      <c r="H37" s="501"/>
      <c r="I37" s="501"/>
      <c r="J37" s="501"/>
      <c r="K37" s="501"/>
      <c r="L37" s="501"/>
    </row>
    <row r="38" spans="1:12" ht="15.75">
      <c r="A38" s="509" t="s">
        <v>434</v>
      </c>
      <c r="B38" s="513" t="s">
        <v>558</v>
      </c>
      <c r="C38" s="514"/>
      <c r="D38" s="515" t="s">
        <v>561</v>
      </c>
      <c r="E38" s="515" t="s">
        <v>440</v>
      </c>
      <c r="F38" s="516" t="s">
        <v>443</v>
      </c>
      <c r="G38" s="504" t="s">
        <v>564</v>
      </c>
      <c r="H38" s="501"/>
      <c r="I38" s="501"/>
      <c r="J38" s="501"/>
      <c r="K38" s="501"/>
      <c r="L38" s="501"/>
    </row>
    <row r="39" spans="1:12" ht="15.75">
      <c r="A39" s="501"/>
      <c r="B39" s="501"/>
      <c r="C39" s="501"/>
      <c r="D39" s="501"/>
      <c r="E39" s="501"/>
      <c r="F39" s="501"/>
      <c r="G39" s="501"/>
      <c r="H39" s="501"/>
      <c r="I39" s="501"/>
      <c r="J39" s="501"/>
      <c r="K39" s="501"/>
      <c r="L39" s="501"/>
    </row>
    <row r="40" spans="1:12" ht="15.75">
      <c r="A40" s="518" t="s">
        <v>444</v>
      </c>
      <c r="B40" s="519" t="s">
        <v>565</v>
      </c>
      <c r="C40" s="519"/>
      <c r="D40" s="520" t="s">
        <v>445</v>
      </c>
      <c r="E40" s="520"/>
      <c r="F40" s="519" t="s">
        <v>566</v>
      </c>
      <c r="G40" s="519"/>
      <c r="H40" s="501"/>
      <c r="I40" s="501"/>
      <c r="J40" s="501"/>
      <c r="K40" s="501"/>
      <c r="L40" s="501"/>
    </row>
    <row r="41" spans="1:12" ht="15.75">
      <c r="A41" s="501"/>
      <c r="B41" s="501"/>
      <c r="C41" s="501"/>
      <c r="D41" s="501"/>
      <c r="E41" s="501"/>
      <c r="F41" s="501"/>
      <c r="G41" s="501"/>
      <c r="H41" s="501"/>
      <c r="I41" s="501"/>
      <c r="J41" s="501"/>
      <c r="K41" s="501"/>
      <c r="L41" s="501"/>
    </row>
    <row r="42" spans="1:12" ht="15.75">
      <c r="A42" s="501"/>
      <c r="B42" s="501"/>
      <c r="C42" s="501"/>
      <c r="D42" s="501"/>
      <c r="E42" s="501"/>
      <c r="F42" s="501"/>
      <c r="G42" s="501"/>
      <c r="H42" s="501"/>
      <c r="I42" s="501"/>
      <c r="J42" s="501"/>
      <c r="K42" s="501"/>
      <c r="L42" s="501"/>
    </row>
    <row r="43" spans="1:12" ht="15.75">
      <c r="A43" s="501"/>
      <c r="B43" s="501"/>
      <c r="C43" s="501"/>
      <c r="D43" s="501"/>
      <c r="E43" s="501"/>
      <c r="F43" s="501"/>
      <c r="G43" s="501"/>
      <c r="H43" s="501"/>
      <c r="I43" s="501"/>
      <c r="J43" s="501"/>
      <c r="K43" s="501"/>
      <c r="L43" s="501"/>
    </row>
    <row r="44" spans="1:12" ht="15.75">
      <c r="A44" s="501"/>
      <c r="B44" s="501"/>
      <c r="C44" s="501"/>
      <c r="D44" s="501"/>
      <c r="E44" s="501"/>
      <c r="F44" s="501"/>
      <c r="G44" s="501"/>
      <c r="H44" s="501"/>
      <c r="I44" s="501"/>
      <c r="J44" s="501"/>
      <c r="K44" s="501"/>
      <c r="L44" s="501"/>
    </row>
    <row r="45" spans="1:12" ht="15.75">
      <c r="A45" s="501"/>
      <c r="B45" s="501"/>
      <c r="C45" s="501"/>
      <c r="D45" s="501"/>
      <c r="E45" s="501"/>
      <c r="F45" s="501"/>
      <c r="G45" s="501"/>
      <c r="H45" s="501"/>
      <c r="I45" s="501"/>
      <c r="J45" s="501"/>
      <c r="K45" s="501"/>
      <c r="L45" s="501"/>
    </row>
    <row r="46" spans="1:12" ht="15.75">
      <c r="A46" s="501"/>
      <c r="B46" s="501"/>
      <c r="C46" s="501"/>
      <c r="D46" s="501"/>
      <c r="E46" s="501"/>
      <c r="F46" s="501"/>
      <c r="G46" s="501"/>
      <c r="H46" s="501"/>
      <c r="I46" s="501"/>
      <c r="J46" s="501"/>
      <c r="K46" s="501"/>
      <c r="L46" s="501"/>
    </row>
    <row r="47" spans="1:12" ht="15.75">
      <c r="A47" s="501"/>
      <c r="B47" s="501"/>
      <c r="C47" s="501"/>
      <c r="D47" s="501"/>
      <c r="E47" s="501"/>
      <c r="F47" s="501"/>
      <c r="G47" s="501"/>
      <c r="H47" s="501"/>
      <c r="I47" s="501"/>
      <c r="J47" s="501"/>
      <c r="K47" s="501"/>
      <c r="L47" s="501"/>
    </row>
    <row r="48" spans="1:12" ht="15.75">
      <c r="A48" s="501"/>
      <c r="B48" s="501"/>
      <c r="C48" s="501"/>
      <c r="D48" s="501"/>
      <c r="E48" s="501"/>
      <c r="F48" s="501"/>
      <c r="G48" s="501"/>
      <c r="H48" s="501"/>
      <c r="I48" s="501"/>
      <c r="J48" s="501"/>
      <c r="K48" s="501"/>
      <c r="L48" s="501"/>
    </row>
    <row r="49" spans="1:12" ht="15.75">
      <c r="A49" s="501"/>
      <c r="B49" s="501"/>
      <c r="C49" s="501"/>
      <c r="D49" s="501"/>
      <c r="E49" s="501"/>
      <c r="F49" s="501"/>
      <c r="G49" s="501"/>
      <c r="H49" s="501"/>
      <c r="I49" s="501"/>
      <c r="J49" s="501"/>
      <c r="K49" s="501"/>
      <c r="L49" s="501"/>
    </row>
    <row r="50" spans="1:12" ht="15.75">
      <c r="A50" s="501"/>
      <c r="B50" s="501"/>
      <c r="C50" s="501"/>
      <c r="D50" s="501"/>
      <c r="E50" s="501"/>
      <c r="F50" s="501"/>
      <c r="G50" s="501"/>
      <c r="H50" s="501"/>
      <c r="I50" s="501"/>
      <c r="J50" s="501"/>
      <c r="K50" s="501"/>
      <c r="L50" s="501"/>
    </row>
    <row r="51" spans="1:12" ht="15.75">
      <c r="A51" s="501"/>
      <c r="B51" s="501"/>
      <c r="C51" s="501"/>
      <c r="D51" s="501"/>
      <c r="E51" s="501"/>
      <c r="F51" s="501"/>
      <c r="G51" s="501"/>
      <c r="H51" s="501"/>
      <c r="I51" s="501"/>
      <c r="J51" s="501"/>
      <c r="K51" s="501"/>
      <c r="L51" s="501"/>
    </row>
    <row r="52" spans="1:12" ht="15.75">
      <c r="A52" s="501"/>
      <c r="B52" s="501"/>
      <c r="C52" s="501"/>
      <c r="D52" s="501"/>
      <c r="E52" s="501"/>
      <c r="F52" s="501"/>
      <c r="G52" s="501"/>
      <c r="H52" s="501"/>
      <c r="I52" s="501"/>
      <c r="J52" s="501"/>
      <c r="K52" s="501"/>
      <c r="L52" s="501"/>
    </row>
    <row r="53" spans="1:12" ht="15.75">
      <c r="A53" s="501"/>
      <c r="B53" s="501"/>
      <c r="C53" s="501"/>
      <c r="D53" s="501"/>
      <c r="E53" s="501"/>
      <c r="F53" s="501"/>
      <c r="G53" s="501"/>
      <c r="H53" s="501"/>
      <c r="I53" s="501"/>
      <c r="J53" s="501"/>
      <c r="K53" s="501"/>
      <c r="L53" s="501"/>
    </row>
    <row r="54" spans="1:12" ht="15.75">
      <c r="A54" s="501"/>
      <c r="B54" s="501"/>
      <c r="C54" s="501"/>
      <c r="D54" s="501"/>
      <c r="E54" s="501"/>
      <c r="F54" s="501"/>
      <c r="G54" s="501"/>
      <c r="H54" s="501"/>
      <c r="I54" s="501"/>
      <c r="J54" s="501"/>
      <c r="K54" s="501"/>
      <c r="L54" s="501"/>
    </row>
    <row r="55" spans="1:12" ht="15.75">
      <c r="A55" s="501"/>
      <c r="B55" s="501"/>
      <c r="C55" s="501"/>
      <c r="D55" s="501"/>
      <c r="E55" s="501"/>
      <c r="F55" s="501"/>
      <c r="G55" s="501"/>
      <c r="H55" s="501"/>
      <c r="I55" s="501"/>
      <c r="J55" s="501"/>
      <c r="K55" s="501"/>
      <c r="L55" s="501"/>
    </row>
    <row r="56" spans="1:12" ht="15.75">
      <c r="A56" s="501"/>
      <c r="B56" s="501"/>
      <c r="C56" s="501"/>
      <c r="D56" s="501"/>
      <c r="E56" s="501"/>
      <c r="F56" s="501"/>
      <c r="G56" s="501"/>
      <c r="H56" s="501"/>
      <c r="I56" s="501"/>
      <c r="J56" s="501"/>
      <c r="K56" s="501"/>
      <c r="L56" s="501"/>
    </row>
    <row r="57" spans="1:12" ht="15.75">
      <c r="A57" s="501"/>
      <c r="B57" s="501"/>
      <c r="C57" s="501"/>
      <c r="D57" s="501"/>
      <c r="E57" s="501"/>
      <c r="F57" s="501"/>
      <c r="G57" s="501"/>
      <c r="H57" s="501"/>
      <c r="I57" s="501"/>
      <c r="J57" s="501"/>
      <c r="K57" s="501"/>
      <c r="L57" s="501"/>
    </row>
    <row r="58" spans="1:12" ht="15.75">
      <c r="A58" s="501"/>
      <c r="B58" s="501"/>
      <c r="C58" s="501"/>
      <c r="D58" s="501"/>
      <c r="E58" s="501"/>
      <c r="F58" s="501"/>
      <c r="G58" s="501"/>
      <c r="H58" s="501"/>
      <c r="I58" s="501"/>
      <c r="J58" s="501"/>
      <c r="K58" s="501"/>
      <c r="L58" s="501"/>
    </row>
    <row r="59" spans="1:12" ht="15.75">
      <c r="A59" s="501"/>
      <c r="B59" s="501"/>
      <c r="C59" s="501"/>
      <c r="D59" s="501"/>
      <c r="E59" s="501"/>
      <c r="F59" s="501"/>
      <c r="G59" s="501"/>
      <c r="H59" s="501"/>
      <c r="I59" s="501"/>
      <c r="J59" s="501"/>
      <c r="K59" s="501"/>
      <c r="L59" s="501"/>
    </row>
    <row r="60" spans="1:12" ht="15.75">
      <c r="A60" s="501"/>
      <c r="B60" s="501"/>
      <c r="C60" s="501"/>
      <c r="D60" s="501"/>
      <c r="E60" s="501"/>
      <c r="F60" s="501"/>
      <c r="G60" s="501"/>
      <c r="H60" s="501"/>
      <c r="I60" s="501"/>
      <c r="J60" s="501"/>
      <c r="K60" s="501"/>
      <c r="L60" s="501"/>
    </row>
    <row r="61" spans="1:12" ht="15.75">
      <c r="A61" s="501"/>
      <c r="B61" s="501"/>
      <c r="C61" s="501"/>
      <c r="D61" s="501"/>
      <c r="E61" s="501"/>
      <c r="F61" s="501"/>
      <c r="G61" s="501"/>
      <c r="H61" s="501"/>
      <c r="I61" s="501"/>
      <c r="J61" s="501"/>
      <c r="K61" s="501"/>
      <c r="L61" s="501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tabSelected="1" zoomScaleNormal="100" workbookViewId="0">
      <selection activeCell="S8" sqref="S8"/>
    </sheetView>
  </sheetViews>
  <sheetFormatPr defaultColWidth="12.5703125" defaultRowHeight="15.75"/>
  <cols>
    <col min="1" max="13" width="7" style="584" customWidth="1"/>
    <col min="14" max="14" width="7.140625" style="584" customWidth="1"/>
    <col min="15" max="16384" width="12.5703125" style="584"/>
  </cols>
  <sheetData>
    <row r="1" spans="1:14" ht="17.100000000000001" customHeight="1">
      <c r="A1" s="577" t="s">
        <v>268</v>
      </c>
      <c r="B1" s="578"/>
      <c r="C1" s="578"/>
      <c r="D1" s="578"/>
      <c r="E1" s="578"/>
      <c r="F1" s="578"/>
      <c r="G1" s="578"/>
      <c r="H1" s="578"/>
      <c r="I1" s="578"/>
      <c r="J1" s="579" t="s">
        <v>599</v>
      </c>
      <c r="K1" s="580"/>
      <c r="L1" s="581" t="s">
        <v>600</v>
      </c>
      <c r="M1" s="582"/>
      <c r="N1" s="583"/>
    </row>
    <row r="2" spans="1:14" ht="17.100000000000001" customHeight="1">
      <c r="A2" s="585" t="s">
        <v>601</v>
      </c>
      <c r="B2" s="586"/>
      <c r="C2" s="586"/>
      <c r="D2" s="586"/>
      <c r="E2" s="586"/>
      <c r="F2" s="586"/>
      <c r="G2" s="586"/>
      <c r="H2" s="586"/>
      <c r="I2" s="586"/>
      <c r="J2" s="587" t="s">
        <v>602</v>
      </c>
      <c r="K2" s="588"/>
      <c r="L2" s="589" t="s">
        <v>603</v>
      </c>
      <c r="M2" s="590"/>
      <c r="N2" s="583"/>
    </row>
    <row r="3" spans="1:14" ht="15.95" customHeight="1">
      <c r="A3" s="591"/>
      <c r="B3" s="592"/>
      <c r="C3" s="592"/>
      <c r="D3" s="592"/>
      <c r="E3" s="592"/>
      <c r="F3" s="592"/>
      <c r="G3" s="592"/>
      <c r="H3" s="592"/>
      <c r="I3" s="592"/>
      <c r="J3" s="587" t="s">
        <v>604</v>
      </c>
      <c r="K3" s="588"/>
      <c r="L3" s="593" t="s">
        <v>605</v>
      </c>
      <c r="M3" s="590"/>
      <c r="N3" s="583"/>
    </row>
    <row r="4" spans="1:14" ht="15.95" customHeight="1">
      <c r="A4" s="594"/>
      <c r="B4" s="592"/>
      <c r="C4" s="592"/>
      <c r="D4" s="592"/>
      <c r="E4" s="592"/>
      <c r="F4" s="592"/>
      <c r="G4" s="592"/>
      <c r="H4" s="592"/>
      <c r="I4" s="592"/>
      <c r="J4" s="587" t="s">
        <v>606</v>
      </c>
      <c r="K4" s="588"/>
      <c r="L4" s="595" t="s">
        <v>607</v>
      </c>
      <c r="M4" s="590"/>
      <c r="N4" s="583"/>
    </row>
    <row r="5" spans="1:14" ht="15.95" customHeight="1">
      <c r="A5" s="591"/>
      <c r="B5" s="592"/>
      <c r="C5" s="592"/>
      <c r="D5" s="592"/>
      <c r="E5" s="592"/>
      <c r="F5" s="592"/>
      <c r="G5" s="592"/>
      <c r="H5" s="592"/>
      <c r="I5" s="592"/>
      <c r="J5" s="587" t="s">
        <v>608</v>
      </c>
      <c r="K5" s="588"/>
      <c r="L5" s="589">
        <v>2</v>
      </c>
      <c r="M5" s="590"/>
      <c r="N5" s="583"/>
    </row>
    <row r="6" spans="1:14" ht="15.95" customHeight="1">
      <c r="A6" s="596" t="s">
        <v>609</v>
      </c>
      <c r="B6" s="592"/>
      <c r="C6" s="592"/>
      <c r="D6" s="592"/>
      <c r="E6" s="592"/>
      <c r="F6" s="592"/>
      <c r="G6" s="592"/>
      <c r="H6" s="592"/>
      <c r="I6" s="592"/>
      <c r="J6" s="587" t="s">
        <v>610</v>
      </c>
      <c r="K6" s="588"/>
      <c r="L6" s="597" t="s">
        <v>611</v>
      </c>
      <c r="M6" s="590"/>
      <c r="N6" s="583"/>
    </row>
    <row r="7" spans="1:14" ht="15.95" customHeight="1" thickBot="1">
      <c r="A7" s="598" t="s">
        <v>612</v>
      </c>
      <c r="B7" s="599"/>
      <c r="C7" s="599"/>
      <c r="D7" s="599"/>
      <c r="E7" s="599"/>
      <c r="F7" s="599"/>
      <c r="G7" s="599"/>
      <c r="H7" s="599"/>
      <c r="I7" s="599"/>
      <c r="J7" s="600" t="s">
        <v>613</v>
      </c>
      <c r="K7" s="601"/>
      <c r="L7" s="602" t="s">
        <v>614</v>
      </c>
      <c r="M7" s="603"/>
      <c r="N7" s="583"/>
    </row>
    <row r="8" spans="1:14" ht="15.95" customHeight="1">
      <c r="A8" s="604"/>
      <c r="B8" s="592"/>
      <c r="C8" s="592"/>
      <c r="D8" s="592"/>
      <c r="E8" s="592"/>
      <c r="F8" s="592"/>
      <c r="G8" s="592"/>
      <c r="H8" s="592"/>
      <c r="I8" s="592"/>
      <c r="J8" s="592"/>
      <c r="K8" s="605"/>
      <c r="L8" s="606"/>
      <c r="M8" s="607"/>
      <c r="N8" s="592"/>
    </row>
    <row r="9" spans="1:14" ht="12" customHeight="1">
      <c r="A9" s="608"/>
      <c r="B9" s="609" t="s">
        <v>615</v>
      </c>
      <c r="C9" s="610" t="s">
        <v>174</v>
      </c>
      <c r="D9" s="611"/>
      <c r="E9" s="611"/>
      <c r="F9" s="611"/>
      <c r="G9" s="611"/>
      <c r="H9" s="611"/>
      <c r="I9" s="611"/>
      <c r="J9" s="611"/>
      <c r="K9" s="612"/>
      <c r="L9" s="613"/>
      <c r="M9" s="611"/>
      <c r="N9" s="592"/>
    </row>
    <row r="10" spans="1:14" ht="12" customHeight="1">
      <c r="A10" s="608"/>
      <c r="B10" s="609" t="s">
        <v>616</v>
      </c>
      <c r="C10" s="614" t="s">
        <v>174</v>
      </c>
      <c r="D10" s="613"/>
      <c r="E10" s="613"/>
      <c r="F10" s="613"/>
      <c r="G10" s="613"/>
      <c r="H10" s="613"/>
      <c r="I10" s="613"/>
      <c r="J10" s="613"/>
      <c r="K10" s="613"/>
      <c r="L10" s="613"/>
      <c r="M10" s="613"/>
      <c r="N10" s="606"/>
    </row>
    <row r="11" spans="1:14" ht="16.5" thickBot="1">
      <c r="A11" s="615"/>
      <c r="B11" s="615"/>
      <c r="C11" s="615"/>
      <c r="D11" s="615"/>
      <c r="E11" s="615"/>
      <c r="F11" s="615"/>
      <c r="G11" s="615"/>
      <c r="H11" s="615"/>
      <c r="I11" s="615"/>
      <c r="J11" s="615"/>
      <c r="K11" s="615"/>
      <c r="L11" s="615"/>
      <c r="M11" s="615"/>
      <c r="N11" s="615"/>
    </row>
    <row r="12" spans="1:14" ht="20.100000000000001" customHeight="1" thickBot="1">
      <c r="A12" s="616" t="s">
        <v>617</v>
      </c>
      <c r="B12" s="617"/>
      <c r="C12" s="617"/>
      <c r="D12" s="617"/>
      <c r="E12" s="617"/>
      <c r="F12" s="617"/>
      <c r="G12" s="617"/>
      <c r="H12" s="617"/>
      <c r="I12" s="617"/>
      <c r="J12" s="617"/>
      <c r="K12" s="617"/>
      <c r="L12" s="617"/>
      <c r="M12" s="618"/>
      <c r="N12" s="583"/>
    </row>
    <row r="13" spans="1:14" ht="12.95" customHeight="1" thickTop="1">
      <c r="A13" s="619"/>
      <c r="B13" s="620" t="s">
        <v>618</v>
      </c>
      <c r="C13" s="621">
        <v>400</v>
      </c>
      <c r="D13" s="613"/>
      <c r="E13" s="620" t="s">
        <v>619</v>
      </c>
      <c r="F13" s="621">
        <v>4000</v>
      </c>
      <c r="G13" s="613"/>
      <c r="H13" s="620" t="s">
        <v>620</v>
      </c>
      <c r="I13" s="621" t="s">
        <v>705</v>
      </c>
      <c r="J13" s="613"/>
      <c r="K13" s="613"/>
      <c r="L13" s="620" t="s">
        <v>621</v>
      </c>
      <c r="M13" s="622">
        <v>1200</v>
      </c>
      <c r="N13" s="583"/>
    </row>
    <row r="14" spans="1:14" ht="12.95" customHeight="1">
      <c r="A14" s="619"/>
      <c r="B14" s="620" t="s">
        <v>622</v>
      </c>
      <c r="C14" s="621" t="s">
        <v>706</v>
      </c>
      <c r="D14" s="613"/>
      <c r="E14" s="620" t="s">
        <v>623</v>
      </c>
      <c r="F14" s="623" t="s">
        <v>664</v>
      </c>
      <c r="G14" s="613"/>
      <c r="H14" s="620" t="s">
        <v>624</v>
      </c>
      <c r="I14" s="621">
        <v>52</v>
      </c>
      <c r="J14" s="613"/>
      <c r="K14" s="613"/>
      <c r="L14" s="620" t="s">
        <v>579</v>
      </c>
      <c r="M14" s="622">
        <v>1180</v>
      </c>
      <c r="N14" s="583"/>
    </row>
    <row r="15" spans="1:14" ht="12.95" customHeight="1">
      <c r="A15" s="619"/>
      <c r="B15" s="620" t="s">
        <v>625</v>
      </c>
      <c r="C15" s="621" t="s">
        <v>707</v>
      </c>
      <c r="D15" s="613"/>
      <c r="E15" s="620" t="s">
        <v>626</v>
      </c>
      <c r="F15" s="624" t="s">
        <v>708</v>
      </c>
      <c r="G15" s="613"/>
      <c r="H15" s="620" t="s">
        <v>627</v>
      </c>
      <c r="I15" s="623" t="s">
        <v>174</v>
      </c>
      <c r="J15" s="613"/>
      <c r="K15" s="613"/>
      <c r="L15" s="620" t="s">
        <v>628</v>
      </c>
      <c r="M15" s="622" t="s">
        <v>364</v>
      </c>
      <c r="N15" s="583"/>
    </row>
    <row r="16" spans="1:14" ht="12.95" customHeight="1">
      <c r="A16" s="619"/>
      <c r="B16" s="620" t="s">
        <v>629</v>
      </c>
      <c r="C16" s="621" t="s">
        <v>704</v>
      </c>
      <c r="D16" s="613"/>
      <c r="E16" s="620" t="s">
        <v>630</v>
      </c>
      <c r="F16" s="621" t="s">
        <v>440</v>
      </c>
      <c r="G16" s="613"/>
      <c r="H16" s="625" t="s">
        <v>631</v>
      </c>
      <c r="I16" s="626" t="s">
        <v>386</v>
      </c>
      <c r="J16" s="613"/>
      <c r="K16" s="613"/>
      <c r="L16" s="620" t="s">
        <v>632</v>
      </c>
      <c r="M16" s="622" t="s">
        <v>633</v>
      </c>
      <c r="N16" s="583"/>
    </row>
    <row r="17" spans="1:14" ht="12.95" customHeight="1">
      <c r="A17" s="619"/>
      <c r="B17" s="620" t="s">
        <v>634</v>
      </c>
      <c r="C17" s="627" t="s">
        <v>174</v>
      </c>
      <c r="D17" s="613"/>
      <c r="E17" s="620"/>
      <c r="F17" s="623"/>
      <c r="G17" s="613"/>
      <c r="H17" s="620" t="s">
        <v>635</v>
      </c>
      <c r="I17" s="626" t="s">
        <v>174</v>
      </c>
      <c r="J17" s="613"/>
      <c r="K17" s="613"/>
      <c r="L17" s="620"/>
      <c r="M17" s="628"/>
      <c r="N17" s="583"/>
    </row>
    <row r="18" spans="1:14" ht="12.95" customHeight="1" thickBot="1">
      <c r="A18" s="629"/>
      <c r="B18" s="630" t="s">
        <v>636</v>
      </c>
      <c r="C18" s="631" t="s">
        <v>174</v>
      </c>
      <c r="D18" s="632"/>
      <c r="E18" s="633" t="s">
        <v>637</v>
      </c>
      <c r="F18" s="631" t="s">
        <v>174</v>
      </c>
      <c r="G18" s="634"/>
      <c r="H18" s="633" t="s">
        <v>638</v>
      </c>
      <c r="I18" s="631" t="s">
        <v>174</v>
      </c>
      <c r="J18" s="632"/>
      <c r="K18" s="632"/>
      <c r="L18" s="632"/>
      <c r="M18" s="635"/>
      <c r="N18" s="583"/>
    </row>
    <row r="19" spans="1:14" ht="16.5" thickBot="1">
      <c r="A19" s="583"/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</row>
    <row r="20" spans="1:14" ht="20.100000000000001" customHeight="1" thickBot="1">
      <c r="A20" s="616"/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8"/>
    </row>
    <row r="21" spans="1:14" ht="15.95" customHeight="1" thickTop="1">
      <c r="A21" s="636" t="s">
        <v>639</v>
      </c>
      <c r="B21" s="637"/>
      <c r="C21" s="606"/>
      <c r="D21" s="638"/>
      <c r="E21" s="639" t="s">
        <v>640</v>
      </c>
      <c r="F21" s="640"/>
      <c r="G21" s="640"/>
      <c r="H21" s="641"/>
      <c r="I21" s="642" t="s">
        <v>641</v>
      </c>
      <c r="J21" s="643"/>
      <c r="K21" s="643"/>
      <c r="L21" s="606"/>
      <c r="M21" s="644"/>
    </row>
    <row r="22" spans="1:14" ht="15.95" customHeight="1">
      <c r="A22" s="645"/>
      <c r="B22" s="613"/>
      <c r="C22" s="646" t="s">
        <v>642</v>
      </c>
      <c r="D22" s="647">
        <v>346</v>
      </c>
      <c r="E22" s="620"/>
      <c r="G22" s="625" t="s">
        <v>643</v>
      </c>
      <c r="H22" s="648">
        <v>1782</v>
      </c>
      <c r="I22" s="646"/>
      <c r="J22" s="613"/>
      <c r="K22" s="646" t="s">
        <v>644</v>
      </c>
      <c r="L22" s="613" t="s">
        <v>645</v>
      </c>
      <c r="M22" s="628"/>
    </row>
    <row r="23" spans="1:14" ht="15.95" customHeight="1">
      <c r="A23" s="645"/>
      <c r="B23" s="646"/>
      <c r="C23" s="649"/>
      <c r="D23" s="650"/>
      <c r="E23" s="620"/>
      <c r="G23" s="620" t="s">
        <v>646</v>
      </c>
      <c r="H23" s="647">
        <v>120</v>
      </c>
      <c r="I23" s="613"/>
      <c r="J23" s="613"/>
      <c r="K23" s="620" t="s">
        <v>647</v>
      </c>
      <c r="L23" s="613" t="s">
        <v>645</v>
      </c>
      <c r="M23" s="628"/>
    </row>
    <row r="24" spans="1:14" ht="15.95" customHeight="1">
      <c r="A24" s="619"/>
      <c r="B24" s="620"/>
      <c r="C24" s="613"/>
      <c r="D24" s="650"/>
      <c r="E24" s="620"/>
      <c r="G24" s="625" t="s">
        <v>648</v>
      </c>
      <c r="H24" s="647">
        <v>310</v>
      </c>
      <c r="I24" s="613"/>
      <c r="J24" s="620"/>
      <c r="K24" s="613"/>
      <c r="L24" s="613"/>
      <c r="M24" s="628"/>
    </row>
    <row r="25" spans="1:14" ht="15.95" customHeight="1" thickBot="1">
      <c r="A25" s="629"/>
      <c r="B25" s="630"/>
      <c r="C25" s="632"/>
      <c r="D25" s="651"/>
      <c r="E25" s="633"/>
      <c r="F25" s="633"/>
      <c r="G25" s="633"/>
      <c r="H25" s="652"/>
      <c r="I25" s="632"/>
      <c r="J25" s="633"/>
      <c r="K25" s="632"/>
      <c r="L25" s="632"/>
      <c r="M25" s="635"/>
    </row>
    <row r="26" spans="1:14" ht="18.95" customHeight="1" thickBot="1">
      <c r="A26" s="653"/>
      <c r="B26" s="653"/>
      <c r="C26" s="653"/>
      <c r="D26" s="654"/>
      <c r="E26" s="654"/>
      <c r="F26" s="654"/>
      <c r="G26" s="654"/>
      <c r="H26" s="654"/>
      <c r="I26" s="654"/>
      <c r="J26" s="654"/>
      <c r="K26" s="654"/>
      <c r="L26" s="654"/>
      <c r="M26" s="583"/>
      <c r="N26" s="583"/>
    </row>
    <row r="27" spans="1:14" ht="20.100000000000001" customHeight="1" thickBot="1">
      <c r="A27" s="655"/>
      <c r="B27" s="656"/>
      <c r="C27" s="656"/>
      <c r="D27" s="656"/>
      <c r="E27" s="656"/>
      <c r="F27" s="656"/>
      <c r="G27" s="657"/>
      <c r="H27" s="656"/>
      <c r="I27" s="656"/>
      <c r="J27" s="656"/>
      <c r="K27" s="656"/>
      <c r="L27" s="656"/>
      <c r="M27" s="658"/>
    </row>
    <row r="28" spans="1:14" ht="15.95" customHeight="1" thickTop="1">
      <c r="A28" s="659" t="s">
        <v>649</v>
      </c>
      <c r="B28" s="637"/>
      <c r="C28" s="606"/>
      <c r="D28" s="606"/>
      <c r="E28" s="640"/>
      <c r="F28" s="640"/>
      <c r="G28" s="660"/>
      <c r="H28" s="639" t="s">
        <v>650</v>
      </c>
      <c r="I28" s="640"/>
      <c r="J28" s="643"/>
      <c r="K28" s="639"/>
      <c r="L28" s="643"/>
      <c r="M28" s="644"/>
    </row>
    <row r="29" spans="1:14" ht="15.95" customHeight="1">
      <c r="A29" s="619"/>
      <c r="B29" s="646"/>
      <c r="C29" s="646" t="s">
        <v>651</v>
      </c>
      <c r="D29" s="661">
        <v>95.1</v>
      </c>
      <c r="E29" s="620"/>
      <c r="F29" s="620"/>
      <c r="G29" s="660"/>
      <c r="H29" s="625"/>
      <c r="I29" s="646"/>
      <c r="J29" s="646" t="s">
        <v>651</v>
      </c>
      <c r="K29" s="661">
        <v>87.9</v>
      </c>
      <c r="L29" s="613"/>
      <c r="M29" s="628"/>
    </row>
    <row r="30" spans="1:14" ht="15.95" customHeight="1">
      <c r="A30" s="662"/>
      <c r="B30" s="613"/>
      <c r="C30" s="646" t="s">
        <v>652</v>
      </c>
      <c r="D30" s="661">
        <v>94.9</v>
      </c>
      <c r="E30" s="620"/>
      <c r="F30" s="620"/>
      <c r="G30" s="660"/>
      <c r="H30" s="620"/>
      <c r="I30" s="613"/>
      <c r="J30" s="646" t="s">
        <v>652</v>
      </c>
      <c r="K30" s="661">
        <v>85.1</v>
      </c>
      <c r="L30" s="613"/>
      <c r="M30" s="628"/>
    </row>
    <row r="31" spans="1:14" ht="15.95" customHeight="1">
      <c r="A31" s="619"/>
      <c r="B31" s="620"/>
      <c r="C31" s="646" t="s">
        <v>653</v>
      </c>
      <c r="D31" s="661">
        <v>93.9</v>
      </c>
      <c r="E31" s="620"/>
      <c r="F31" s="620"/>
      <c r="G31" s="660"/>
      <c r="H31" s="620"/>
      <c r="I31" s="613"/>
      <c r="J31" s="646" t="s">
        <v>653</v>
      </c>
      <c r="K31" s="661">
        <v>77.5</v>
      </c>
      <c r="L31" s="620"/>
      <c r="M31" s="628"/>
    </row>
    <row r="32" spans="1:14" ht="15.95" customHeight="1" thickBot="1">
      <c r="A32" s="629"/>
      <c r="B32" s="630"/>
      <c r="C32" s="632"/>
      <c r="D32" s="632"/>
      <c r="E32" s="633"/>
      <c r="F32" s="633"/>
      <c r="G32" s="663"/>
      <c r="H32" s="633"/>
      <c r="I32" s="632"/>
      <c r="J32" s="633"/>
      <c r="K32" s="632"/>
      <c r="L32" s="633"/>
      <c r="M32" s="635"/>
    </row>
    <row r="33" spans="1:14" ht="20.100000000000001" customHeight="1" thickBot="1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5"/>
      <c r="N33" s="665"/>
    </row>
    <row r="34" spans="1:14" ht="20.100000000000001" customHeight="1" thickBot="1">
      <c r="A34" s="666"/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8"/>
    </row>
    <row r="35" spans="1:14" ht="15.95" customHeight="1" thickTop="1">
      <c r="A35" s="669" t="s">
        <v>654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70"/>
    </row>
    <row r="36" spans="1:14" ht="15.95" customHeight="1">
      <c r="A36" s="662" t="s">
        <v>655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70"/>
    </row>
    <row r="37" spans="1:14" ht="15.95" customHeight="1">
      <c r="A37" s="671" t="s">
        <v>656</v>
      </c>
      <c r="B37" s="649"/>
      <c r="C37" s="649"/>
      <c r="D37" s="649"/>
      <c r="E37" s="672"/>
      <c r="F37" s="649"/>
      <c r="G37" s="649"/>
      <c r="H37" s="649"/>
      <c r="I37" s="649"/>
      <c r="J37" s="649"/>
      <c r="K37" s="649"/>
      <c r="L37" s="649"/>
      <c r="M37" s="670"/>
    </row>
    <row r="38" spans="1:14" ht="15.95" customHeight="1">
      <c r="A38" s="673" t="s">
        <v>657</v>
      </c>
      <c r="B38" s="649"/>
      <c r="C38" s="649"/>
      <c r="D38" s="649"/>
      <c r="E38" s="649"/>
      <c r="F38" s="649"/>
      <c r="G38" s="649"/>
      <c r="H38" s="649"/>
      <c r="I38" s="649"/>
      <c r="J38" s="649"/>
      <c r="K38" s="649"/>
      <c r="L38" s="649"/>
      <c r="M38" s="670"/>
    </row>
    <row r="39" spans="1:14" ht="15.95" customHeight="1">
      <c r="A39" s="674" t="s">
        <v>658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70"/>
    </row>
    <row r="40" spans="1:14" ht="15.95" customHeight="1" thickBot="1">
      <c r="A40" s="675" t="s">
        <v>659</v>
      </c>
      <c r="B40" s="676"/>
      <c r="C40" s="676"/>
      <c r="D40" s="676"/>
      <c r="E40" s="676"/>
      <c r="F40" s="676"/>
      <c r="G40" s="676"/>
      <c r="H40" s="676"/>
      <c r="I40" s="676"/>
      <c r="J40" s="676"/>
      <c r="K40" s="676"/>
      <c r="L40" s="676"/>
      <c r="M40" s="677"/>
    </row>
    <row r="41" spans="1:14" ht="15.95" customHeight="1"/>
    <row r="42" spans="1:14" ht="18">
      <c r="A42" s="678"/>
      <c r="B42" s="678"/>
      <c r="C42" s="678"/>
      <c r="D42" s="678"/>
      <c r="E42" s="678"/>
      <c r="F42" s="678"/>
      <c r="G42" s="678"/>
      <c r="H42" s="583"/>
      <c r="I42" s="583"/>
      <c r="J42" s="679" t="s">
        <v>660</v>
      </c>
      <c r="K42" s="680" t="s">
        <v>661</v>
      </c>
      <c r="L42" s="680"/>
      <c r="M42" s="680"/>
      <c r="N42" s="678"/>
    </row>
    <row r="43" spans="1:14" ht="7.5" customHeight="1">
      <c r="H43" s="583"/>
      <c r="I43" s="583"/>
      <c r="J43" s="583"/>
      <c r="K43" s="583"/>
      <c r="L43" s="583"/>
      <c r="M43" s="583"/>
    </row>
    <row r="44" spans="1:14" ht="16.5">
      <c r="H44" s="583"/>
      <c r="I44" s="583"/>
      <c r="J44" s="679" t="s">
        <v>662</v>
      </c>
      <c r="K44" s="681">
        <v>44636</v>
      </c>
      <c r="L44" s="681"/>
      <c r="M44" s="681"/>
    </row>
    <row r="59" spans="1:5">
      <c r="A59" s="584" t="s">
        <v>174</v>
      </c>
      <c r="B59" s="584" t="s">
        <v>663</v>
      </c>
      <c r="D59" s="584">
        <v>1</v>
      </c>
      <c r="E59" s="682" t="s">
        <v>174</v>
      </c>
    </row>
    <row r="60" spans="1:5">
      <c r="A60" s="584" t="s">
        <v>664</v>
      </c>
      <c r="B60" s="584" t="s">
        <v>665</v>
      </c>
      <c r="D60" s="584">
        <v>1.1499999999999999</v>
      </c>
      <c r="E60" s="682" t="s">
        <v>183</v>
      </c>
    </row>
    <row r="61" spans="1:5">
      <c r="A61" s="584" t="s">
        <v>666</v>
      </c>
      <c r="B61" s="584" t="s">
        <v>667</v>
      </c>
      <c r="E61" s="682" t="s">
        <v>321</v>
      </c>
    </row>
    <row r="62" spans="1:5">
      <c r="B62" s="584" t="s">
        <v>668</v>
      </c>
    </row>
    <row r="63" spans="1:5">
      <c r="B63" s="584" t="s">
        <v>669</v>
      </c>
    </row>
    <row r="64" spans="1:5">
      <c r="B64" s="584" t="s">
        <v>670</v>
      </c>
    </row>
    <row r="65" spans="2:2">
      <c r="B65" s="584" t="s">
        <v>671</v>
      </c>
    </row>
    <row r="66" spans="2:2">
      <c r="B66" s="584" t="s">
        <v>672</v>
      </c>
    </row>
    <row r="67" spans="2:2">
      <c r="B67" s="584" t="s">
        <v>673</v>
      </c>
    </row>
    <row r="68" spans="2:2">
      <c r="B68" s="584" t="s">
        <v>674</v>
      </c>
    </row>
    <row r="69" spans="2:2">
      <c r="B69" s="584" t="s">
        <v>675</v>
      </c>
    </row>
    <row r="70" spans="2:2">
      <c r="B70" s="584" t="s">
        <v>676</v>
      </c>
    </row>
    <row r="71" spans="2:2">
      <c r="B71" s="584" t="s">
        <v>677</v>
      </c>
    </row>
    <row r="72" spans="2:2">
      <c r="B72" s="584" t="s">
        <v>678</v>
      </c>
    </row>
    <row r="73" spans="2:2">
      <c r="B73" s="584" t="s">
        <v>679</v>
      </c>
    </row>
    <row r="74" spans="2:2">
      <c r="B74" s="584" t="s">
        <v>680</v>
      </c>
    </row>
    <row r="75" spans="2:2">
      <c r="B75" s="584" t="s">
        <v>681</v>
      </c>
    </row>
    <row r="76" spans="2:2">
      <c r="B76" s="584" t="s">
        <v>682</v>
      </c>
    </row>
    <row r="77" spans="2:2">
      <c r="B77" s="584" t="s">
        <v>683</v>
      </c>
    </row>
    <row r="78" spans="2:2">
      <c r="B78" s="584" t="s">
        <v>684</v>
      </c>
    </row>
    <row r="79" spans="2:2">
      <c r="B79" s="584" t="s">
        <v>685</v>
      </c>
    </row>
    <row r="80" spans="2:2">
      <c r="B80" s="584">
        <v>6312</v>
      </c>
    </row>
    <row r="81" spans="2:2">
      <c r="B81" s="584" t="s">
        <v>686</v>
      </c>
    </row>
    <row r="82" spans="2:2">
      <c r="B82" s="584" t="s">
        <v>687</v>
      </c>
    </row>
    <row r="83" spans="2:2">
      <c r="B83" s="584" t="s">
        <v>688</v>
      </c>
    </row>
    <row r="84" spans="2:2">
      <c r="B84" s="584" t="s">
        <v>689</v>
      </c>
    </row>
    <row r="85" spans="2:2">
      <c r="B85" s="584">
        <v>6313</v>
      </c>
    </row>
    <row r="86" spans="2:2">
      <c r="B86" s="584" t="s">
        <v>690</v>
      </c>
    </row>
    <row r="87" spans="2:2">
      <c r="B87" s="584" t="s">
        <v>691</v>
      </c>
    </row>
    <row r="88" spans="2:2">
      <c r="B88" s="584" t="s">
        <v>692</v>
      </c>
    </row>
    <row r="89" spans="2:2">
      <c r="B89" s="584">
        <v>6314</v>
      </c>
    </row>
    <row r="90" spans="2:2">
      <c r="B90" s="584" t="s">
        <v>693</v>
      </c>
    </row>
    <row r="91" spans="2:2">
      <c r="B91" s="584">
        <v>6317</v>
      </c>
    </row>
    <row r="92" spans="2:2">
      <c r="B92" s="584" t="s">
        <v>694</v>
      </c>
    </row>
    <row r="93" spans="2:2">
      <c r="B93" s="584">
        <v>6318</v>
      </c>
    </row>
    <row r="94" spans="2:2">
      <c r="B94" s="584" t="s">
        <v>695</v>
      </c>
    </row>
    <row r="95" spans="2:2">
      <c r="B95" s="584" t="s">
        <v>696</v>
      </c>
    </row>
    <row r="96" spans="2:2">
      <c r="B96" s="584" t="s">
        <v>697</v>
      </c>
    </row>
    <row r="97" spans="2:2">
      <c r="B97" s="584">
        <v>6320</v>
      </c>
    </row>
    <row r="98" spans="2:2">
      <c r="B98" s="584" t="s">
        <v>698</v>
      </c>
    </row>
    <row r="99" spans="2:2">
      <c r="B99" s="584" t="s">
        <v>699</v>
      </c>
    </row>
    <row r="100" spans="2:2">
      <c r="B100" s="584" t="s">
        <v>700</v>
      </c>
    </row>
    <row r="101" spans="2:2">
      <c r="B101" s="584" t="s">
        <v>701</v>
      </c>
    </row>
    <row r="102" spans="2:2">
      <c r="B102" s="584" t="s">
        <v>701</v>
      </c>
    </row>
    <row r="118" spans="2:2">
      <c r="B118" s="584" t="s">
        <v>702</v>
      </c>
    </row>
    <row r="120" spans="2:2">
      <c r="B120" s="584" t="s">
        <v>703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topLeftCell="A13" workbookViewId="0">
      <selection activeCell="K28" sqref="K28"/>
    </sheetView>
  </sheetViews>
  <sheetFormatPr defaultRowHeight="12.75"/>
  <cols>
    <col min="1" max="6" width="16.7109375" style="499" customWidth="1"/>
    <col min="7" max="16384" width="9.140625" style="499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268</v>
      </c>
      <c r="B2" s="525"/>
      <c r="C2" s="525"/>
      <c r="D2" s="525"/>
      <c r="E2" s="525"/>
      <c r="F2" s="526"/>
    </row>
    <row r="3" spans="1:6" ht="18.95" customHeight="1">
      <c r="A3" s="527" t="s">
        <v>567</v>
      </c>
      <c r="B3" s="525"/>
      <c r="C3" s="525"/>
      <c r="D3" s="525"/>
      <c r="E3" s="525"/>
      <c r="F3" s="526"/>
    </row>
    <row r="4" spans="1:6" ht="18.95" customHeight="1">
      <c r="A4" s="528"/>
      <c r="B4" s="529"/>
      <c r="C4" s="529"/>
      <c r="D4" s="529"/>
      <c r="E4" s="529"/>
      <c r="F4" s="530"/>
    </row>
    <row r="5" spans="1:6" ht="18.95" customHeight="1">
      <c r="A5" s="528"/>
      <c r="B5" s="529"/>
      <c r="C5" s="529"/>
      <c r="D5" s="529"/>
      <c r="E5" s="529"/>
      <c r="F5" s="530"/>
    </row>
    <row r="6" spans="1:6" ht="18.95" customHeight="1">
      <c r="A6" s="531" t="s">
        <v>568</v>
      </c>
      <c r="B6" s="532" t="str">
        <f>'Performance Data Sheet'!C17</f>
        <v>-</v>
      </c>
      <c r="C6" s="533"/>
      <c r="D6" s="534"/>
      <c r="E6" s="531" t="s">
        <v>569</v>
      </c>
      <c r="F6" s="535">
        <f>'Performance Data Sheet'!I14</f>
        <v>52</v>
      </c>
    </row>
    <row r="7" spans="1:6" ht="18.95" customHeight="1">
      <c r="A7" s="531" t="s">
        <v>570</v>
      </c>
      <c r="B7" s="535" t="str">
        <f>'Performance Data Sheet'!F14</f>
        <v>TEFC</v>
      </c>
      <c r="C7" s="531" t="s">
        <v>571</v>
      </c>
      <c r="D7" s="535" t="str">
        <f>'Performance Data Sheet'!F13 &amp; " V"</f>
        <v>4000 V</v>
      </c>
      <c r="E7" s="531" t="s">
        <v>572</v>
      </c>
      <c r="F7" s="535" t="str">
        <f>'Performance Data Sheet'!C14</f>
        <v>5011US</v>
      </c>
    </row>
    <row r="8" spans="1:6" ht="18.95" customHeight="1">
      <c r="A8" s="531" t="s">
        <v>573</v>
      </c>
      <c r="B8" s="535">
        <v>6</v>
      </c>
      <c r="C8" s="531" t="s">
        <v>574</v>
      </c>
      <c r="D8" s="535" t="s">
        <v>575</v>
      </c>
      <c r="E8" s="531" t="s">
        <v>576</v>
      </c>
      <c r="F8" s="535" t="str">
        <f>'Performance Data Sheet'!M15</f>
        <v>F</v>
      </c>
    </row>
    <row r="9" spans="1:6" ht="18.95" customHeight="1">
      <c r="A9" s="531" t="s">
        <v>577</v>
      </c>
      <c r="B9" s="535">
        <f>'Performance Data Sheet'!C13</f>
        <v>400</v>
      </c>
      <c r="C9" s="531" t="s">
        <v>578</v>
      </c>
      <c r="D9" s="535" t="s">
        <v>588</v>
      </c>
      <c r="E9" s="531" t="s">
        <v>2</v>
      </c>
      <c r="F9" s="536">
        <f>'Performance Data Sheet'!K44</f>
        <v>44636</v>
      </c>
    </row>
    <row r="10" spans="1:6" ht="18.95" customHeight="1">
      <c r="A10" s="531" t="s">
        <v>579</v>
      </c>
      <c r="B10" s="535">
        <f>'Performance Data Sheet'!M14</f>
        <v>1180</v>
      </c>
      <c r="C10" s="531" t="s">
        <v>399</v>
      </c>
      <c r="D10" s="535" t="s">
        <v>589</v>
      </c>
      <c r="E10" s="531" t="s">
        <v>1</v>
      </c>
      <c r="F10" s="535" t="s">
        <v>380</v>
      </c>
    </row>
    <row r="11" spans="1:6" ht="18.95" customHeight="1">
      <c r="A11" s="528"/>
      <c r="B11" s="529"/>
      <c r="C11" s="529"/>
      <c r="D11" s="529"/>
      <c r="E11" s="529"/>
      <c r="F11" s="530"/>
    </row>
    <row r="12" spans="1:6" ht="18.95" customHeight="1">
      <c r="A12" s="528"/>
      <c r="B12" s="537" t="s">
        <v>580</v>
      </c>
      <c r="C12" s="538" t="str">
        <f>'Performance Data Sheet'!D22 &amp; " A"</f>
        <v>346 A</v>
      </c>
      <c r="D12" s="537" t="s">
        <v>398</v>
      </c>
      <c r="E12" s="538" t="s">
        <v>402</v>
      </c>
      <c r="F12" s="530"/>
    </row>
    <row r="13" spans="1:6" ht="18.95" customHeight="1">
      <c r="A13" s="528"/>
      <c r="B13" s="537" t="s">
        <v>581</v>
      </c>
      <c r="C13" s="539">
        <f>'Performance Data Sheet'!H23/100</f>
        <v>1.2</v>
      </c>
      <c r="D13" s="537" t="s">
        <v>582</v>
      </c>
      <c r="E13" s="538" t="s">
        <v>590</v>
      </c>
      <c r="F13" s="530"/>
    </row>
    <row r="14" spans="1:6" ht="18.95" customHeight="1">
      <c r="A14" s="528"/>
      <c r="B14" s="537" t="s">
        <v>583</v>
      </c>
      <c r="C14" s="539">
        <v>3.1</v>
      </c>
      <c r="D14" s="537" t="s">
        <v>400</v>
      </c>
      <c r="E14" s="538" t="s">
        <v>405</v>
      </c>
      <c r="F14" s="530"/>
    </row>
    <row r="15" spans="1:6" ht="18.95" customHeight="1">
      <c r="A15" s="528"/>
      <c r="B15" s="537" t="s">
        <v>401</v>
      </c>
      <c r="C15" s="538" t="str">
        <f>'Performance Data Sheet'!H22 &amp; " lb-ft"</f>
        <v>1782 lb-ft</v>
      </c>
      <c r="D15" s="529"/>
      <c r="E15" s="529"/>
      <c r="F15" s="530"/>
    </row>
    <row r="16" spans="1:6" ht="18.95" customHeight="1">
      <c r="A16" s="528"/>
      <c r="B16" s="529"/>
      <c r="C16" s="529"/>
      <c r="D16" s="529"/>
      <c r="E16" s="529"/>
      <c r="F16" s="530"/>
    </row>
    <row r="17" spans="1:6" ht="18.95" customHeight="1">
      <c r="A17" s="528"/>
      <c r="B17" s="529"/>
      <c r="C17" s="529"/>
      <c r="D17" s="529"/>
      <c r="E17" s="529"/>
      <c r="F17" s="530"/>
    </row>
    <row r="18" spans="1:6" ht="18.95" customHeight="1">
      <c r="A18" s="528"/>
      <c r="B18" s="529"/>
      <c r="C18" s="529"/>
      <c r="D18" s="529"/>
      <c r="E18" s="529"/>
      <c r="F18" s="530"/>
    </row>
    <row r="19" spans="1:6" ht="18.95" customHeight="1">
      <c r="A19" s="528"/>
      <c r="B19" s="529"/>
      <c r="C19" s="529"/>
      <c r="D19" s="529"/>
      <c r="E19" s="529"/>
      <c r="F19" s="530"/>
    </row>
    <row r="20" spans="1:6" ht="18.95" customHeight="1">
      <c r="A20" s="528"/>
      <c r="B20" s="529"/>
      <c r="C20" s="529"/>
      <c r="D20" s="529"/>
      <c r="E20" s="529"/>
      <c r="F20" s="530"/>
    </row>
    <row r="21" spans="1:6" ht="18.95" customHeight="1">
      <c r="A21" s="528"/>
      <c r="B21" s="529"/>
      <c r="C21" s="529"/>
      <c r="D21" s="529"/>
      <c r="E21" s="529"/>
      <c r="F21" s="530"/>
    </row>
    <row r="22" spans="1:6" ht="18.95" customHeight="1">
      <c r="A22" s="528"/>
      <c r="B22" s="529"/>
      <c r="C22" s="529"/>
      <c r="D22" s="529"/>
      <c r="E22" s="529"/>
      <c r="F22" s="530"/>
    </row>
    <row r="23" spans="1:6" ht="18.95" customHeight="1">
      <c r="A23" s="528"/>
      <c r="B23" s="529"/>
      <c r="C23" s="529"/>
      <c r="D23" s="529"/>
      <c r="E23" s="529"/>
      <c r="F23" s="530"/>
    </row>
    <row r="24" spans="1:6" ht="18.95" customHeight="1">
      <c r="A24" s="528"/>
      <c r="B24" s="529"/>
      <c r="C24" s="529"/>
      <c r="D24" s="529"/>
      <c r="E24" s="529"/>
      <c r="F24" s="530"/>
    </row>
    <row r="25" spans="1:6" ht="18.95" customHeight="1">
      <c r="A25" s="528"/>
      <c r="B25" s="529"/>
      <c r="C25" s="529"/>
      <c r="D25" s="529"/>
      <c r="E25" s="529"/>
      <c r="F25" s="530"/>
    </row>
    <row r="26" spans="1:6" ht="18.95" customHeight="1">
      <c r="A26" s="528"/>
      <c r="B26" s="529"/>
      <c r="C26" s="529"/>
      <c r="D26" s="529"/>
      <c r="E26" s="529"/>
      <c r="F26" s="530"/>
    </row>
    <row r="27" spans="1:6" ht="18.95" customHeight="1">
      <c r="A27" s="528"/>
      <c r="B27" s="529"/>
      <c r="C27" s="529"/>
      <c r="D27" s="529"/>
      <c r="E27" s="529"/>
      <c r="F27" s="530"/>
    </row>
    <row r="28" spans="1:6" ht="18.95" customHeight="1">
      <c r="A28" s="528"/>
      <c r="B28" s="529"/>
      <c r="C28" s="529"/>
      <c r="D28" s="529"/>
      <c r="E28" s="529"/>
      <c r="F28" s="530"/>
    </row>
    <row r="29" spans="1:6" ht="18.95" customHeight="1">
      <c r="A29" s="528"/>
      <c r="B29" s="529"/>
      <c r="C29" s="529"/>
      <c r="D29" s="529"/>
      <c r="E29" s="529"/>
      <c r="F29" s="530"/>
    </row>
    <row r="30" spans="1:6" ht="18.95" customHeight="1">
      <c r="A30" s="528"/>
      <c r="B30" s="529"/>
      <c r="C30" s="529"/>
      <c r="D30" s="529"/>
      <c r="E30" s="529"/>
      <c r="F30" s="530"/>
    </row>
    <row r="31" spans="1:6" ht="18.95" customHeight="1">
      <c r="A31" s="528"/>
      <c r="B31" s="529"/>
      <c r="C31" s="529"/>
      <c r="D31" s="529"/>
      <c r="E31" s="529"/>
      <c r="F31" s="530"/>
    </row>
    <row r="32" spans="1:6" ht="18.95" customHeight="1">
      <c r="A32" s="528"/>
      <c r="B32" s="529"/>
      <c r="C32" s="529"/>
      <c r="D32" s="529"/>
      <c r="E32" s="529"/>
      <c r="F32" s="530"/>
    </row>
    <row r="33" spans="1:6" ht="18.95" customHeight="1">
      <c r="A33" s="528"/>
      <c r="B33" s="529"/>
      <c r="C33" s="529"/>
      <c r="D33" s="529"/>
      <c r="E33" s="529"/>
      <c r="F33" s="530"/>
    </row>
    <row r="34" spans="1:6" ht="18.95" customHeight="1">
      <c r="A34" s="528"/>
      <c r="B34" s="529"/>
      <c r="C34" s="529"/>
      <c r="D34" s="529"/>
      <c r="E34" s="529"/>
      <c r="F34" s="530"/>
    </row>
    <row r="35" spans="1:6" ht="18.95" customHeight="1">
      <c r="A35" s="528"/>
      <c r="B35" s="529"/>
      <c r="C35" s="529"/>
      <c r="D35" s="529"/>
      <c r="E35" s="529"/>
      <c r="F35" s="530"/>
    </row>
    <row r="36" spans="1:6" ht="18.95" customHeight="1">
      <c r="A36" s="528"/>
      <c r="B36" s="529"/>
      <c r="C36" s="529"/>
      <c r="D36" s="529"/>
      <c r="E36" s="529"/>
      <c r="F36" s="530"/>
    </row>
    <row r="37" spans="1:6" ht="18.95" customHeight="1">
      <c r="A37" s="528"/>
      <c r="B37" s="529"/>
      <c r="C37" s="529"/>
      <c r="D37" s="529"/>
      <c r="E37" s="529"/>
      <c r="F37" s="530"/>
    </row>
    <row r="38" spans="1:6" ht="18.95" customHeight="1">
      <c r="A38" s="528"/>
      <c r="B38" s="529"/>
      <c r="C38" s="529"/>
      <c r="D38" s="529"/>
      <c r="E38" s="529"/>
      <c r="F38" s="530"/>
    </row>
    <row r="39" spans="1:6" ht="18.95" customHeight="1">
      <c r="A39" s="540" t="s">
        <v>584</v>
      </c>
      <c r="B39" s="541" t="s">
        <v>371</v>
      </c>
      <c r="C39" s="683" t="str">
        <f>'Performance Data Sheet'!C10</f>
        <v>-</v>
      </c>
      <c r="D39" s="529"/>
      <c r="E39" s="537" t="s">
        <v>585</v>
      </c>
      <c r="F39" s="542" t="str">
        <f>F10</f>
        <v>CF6400</v>
      </c>
    </row>
    <row r="40" spans="1:6" ht="18.95" customHeight="1">
      <c r="A40" s="528"/>
      <c r="B40" s="541"/>
      <c r="C40" s="541"/>
      <c r="D40" s="529"/>
      <c r="E40" s="529"/>
      <c r="F40" s="530"/>
    </row>
    <row r="41" spans="1:6" ht="18.95" customHeight="1">
      <c r="A41" s="528"/>
      <c r="B41" s="541"/>
      <c r="C41" s="541"/>
      <c r="D41" s="529"/>
      <c r="E41" s="529"/>
      <c r="F41" s="530"/>
    </row>
    <row r="42" spans="1:6" ht="18.95" customHeight="1">
      <c r="A42" s="528"/>
      <c r="B42" s="529"/>
      <c r="C42" s="529"/>
      <c r="D42" s="529"/>
      <c r="E42" s="529"/>
      <c r="F42" s="530"/>
    </row>
    <row r="43" spans="1:6" ht="18.95" customHeight="1">
      <c r="A43" s="543"/>
      <c r="B43" s="541"/>
      <c r="C43" s="544" t="s">
        <v>586</v>
      </c>
      <c r="D43" s="545" t="str">
        <f>'Performance Data Sheet'!K42</f>
        <v>Zichao Xie</v>
      </c>
      <c r="E43" s="544" t="s">
        <v>587</v>
      </c>
      <c r="F43" s="54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486" t="s">
        <v>397</v>
      </c>
      <c r="E53" s="486"/>
      <c r="F53" s="486"/>
      <c r="G53" s="486"/>
      <c r="H53" s="486"/>
      <c r="I53" s="486"/>
      <c r="J53" s="486"/>
      <c r="K53" s="486"/>
      <c r="L53" s="486"/>
    </row>
    <row r="54" spans="1:12" ht="15" customHeight="1">
      <c r="A54" s="548">
        <v>100</v>
      </c>
      <c r="B54" s="485">
        <v>0</v>
      </c>
      <c r="C54" s="485">
        <v>0.31018081307411194</v>
      </c>
      <c r="D54" s="486">
        <v>100</v>
      </c>
      <c r="E54" s="486"/>
      <c r="F54" s="486"/>
      <c r="G54" s="486"/>
      <c r="H54" s="486"/>
      <c r="I54" s="486"/>
      <c r="J54" s="486"/>
      <c r="K54" s="486"/>
      <c r="L54" s="486"/>
    </row>
    <row r="55" spans="1:12" ht="15" customHeight="1">
      <c r="A55" s="548">
        <v>99.120000004768372</v>
      </c>
      <c r="B55" s="485">
        <v>124.7765839393177</v>
      </c>
      <c r="C55" s="485">
        <v>123.54424285888672</v>
      </c>
      <c r="D55" s="486">
        <v>98.239997863769531</v>
      </c>
      <c r="E55" s="486"/>
      <c r="F55" s="486"/>
      <c r="G55" s="486"/>
      <c r="H55" s="486"/>
      <c r="I55" s="486"/>
      <c r="J55" s="486"/>
      <c r="K55" s="486"/>
      <c r="L55" s="486"/>
    </row>
    <row r="56" spans="1:12" ht="15" customHeight="1">
      <c r="A56" s="548">
        <v>95.600000023841858</v>
      </c>
      <c r="B56" s="485">
        <v>310</v>
      </c>
      <c r="C56" s="485">
        <v>412.6480712890625</v>
      </c>
      <c r="D56" s="486">
        <v>88.650001525878906</v>
      </c>
      <c r="E56" s="486"/>
      <c r="F56" s="486"/>
      <c r="G56" s="486"/>
      <c r="H56" s="486"/>
      <c r="I56" s="486"/>
      <c r="J56" s="486"/>
      <c r="K56" s="486"/>
      <c r="L56" s="486"/>
    </row>
    <row r="57" spans="1:12">
      <c r="A57" s="548">
        <v>90.56842103600502</v>
      </c>
      <c r="B57" s="485">
        <v>226.60908032037128</v>
      </c>
      <c r="C57" s="485">
        <v>521.86419677734375</v>
      </c>
      <c r="D57" s="486">
        <v>75.477897644042969</v>
      </c>
      <c r="E57" s="486"/>
      <c r="F57" s="486"/>
      <c r="G57" s="486"/>
      <c r="H57" s="486"/>
      <c r="I57" s="486"/>
      <c r="J57" s="486"/>
      <c r="K57" s="486"/>
      <c r="L57" s="486"/>
    </row>
    <row r="58" spans="1:12">
      <c r="A58" s="548">
        <v>85.536842048168182</v>
      </c>
      <c r="B58" s="485">
        <v>173.62866789457686</v>
      </c>
      <c r="C58" s="485">
        <v>557.9940185546875</v>
      </c>
      <c r="D58" s="486">
        <v>62.395790100097656</v>
      </c>
      <c r="E58" s="486"/>
      <c r="F58" s="486"/>
      <c r="G58" s="486"/>
      <c r="H58" s="486"/>
      <c r="I58" s="486"/>
      <c r="J58" s="486"/>
      <c r="K58" s="486"/>
      <c r="L58" s="486"/>
    </row>
    <row r="59" spans="1:12">
      <c r="A59" s="548">
        <v>80.505262315273285</v>
      </c>
      <c r="B59" s="485">
        <v>148.56298632035075</v>
      </c>
      <c r="C59" s="485">
        <v>575.75323486328125</v>
      </c>
      <c r="D59" s="486">
        <v>51.111576080322266</v>
      </c>
      <c r="E59" s="486"/>
      <c r="F59" s="486"/>
      <c r="G59" s="486"/>
      <c r="H59" s="486"/>
      <c r="I59" s="486"/>
      <c r="J59" s="486"/>
      <c r="K59" s="486"/>
      <c r="L59" s="486"/>
    </row>
    <row r="60" spans="1:12">
      <c r="A60" s="548">
        <v>70.442104339599609</v>
      </c>
      <c r="B60" s="485">
        <v>133.07552041861533</v>
      </c>
      <c r="C60" s="485">
        <v>596.6336669921875</v>
      </c>
      <c r="D60" s="486">
        <v>33.751575469970703</v>
      </c>
      <c r="E60" s="486"/>
      <c r="F60" s="486"/>
      <c r="G60" s="486"/>
      <c r="H60" s="486"/>
      <c r="I60" s="486"/>
      <c r="J60" s="486"/>
      <c r="K60" s="486"/>
      <c r="L60" s="486"/>
    </row>
    <row r="61" spans="1:12">
      <c r="A61" s="548">
        <v>60.378947854042053</v>
      </c>
      <c r="B61" s="485">
        <v>127.09253668021844</v>
      </c>
      <c r="C61" s="485">
        <v>611.797607421875</v>
      </c>
      <c r="D61" s="486">
        <v>22.416843414306641</v>
      </c>
      <c r="E61" s="486"/>
      <c r="F61" s="486"/>
      <c r="G61" s="486"/>
      <c r="H61" s="486"/>
      <c r="I61" s="486"/>
      <c r="J61" s="486"/>
      <c r="K61" s="486"/>
      <c r="L61" s="486"/>
    </row>
    <row r="62" spans="1:12">
      <c r="A62" s="548">
        <v>50.315788388252258</v>
      </c>
      <c r="B62" s="485">
        <v>124.10957693568716</v>
      </c>
      <c r="C62" s="485">
        <v>624.63385009765625</v>
      </c>
      <c r="D62" s="486">
        <v>14.252630233764648</v>
      </c>
      <c r="E62" s="486"/>
      <c r="F62" s="486"/>
      <c r="G62" s="486"/>
      <c r="H62" s="486"/>
      <c r="I62" s="486"/>
      <c r="J62" s="486"/>
      <c r="K62" s="486"/>
      <c r="L62" s="486"/>
    </row>
    <row r="63" spans="1:12">
      <c r="A63" s="548">
        <v>40.252631902694702</v>
      </c>
      <c r="B63" s="485">
        <v>122.37586469792844</v>
      </c>
      <c r="C63" s="485">
        <v>635.78509521484375</v>
      </c>
      <c r="D63" s="486">
        <v>8.1515789031982422</v>
      </c>
      <c r="E63" s="486"/>
      <c r="F63" s="486"/>
      <c r="G63" s="486"/>
      <c r="H63" s="486"/>
      <c r="I63" s="486"/>
      <c r="J63" s="486"/>
      <c r="K63" s="486"/>
      <c r="L63" s="486"/>
    </row>
    <row r="64" spans="1:12">
      <c r="A64" s="548">
        <v>30.189472436904907</v>
      </c>
      <c r="B64" s="485">
        <v>121.2953262906029</v>
      </c>
      <c r="C64" s="485">
        <v>645.13885498046875</v>
      </c>
      <c r="D64" s="486">
        <v>6.0378942489624023</v>
      </c>
      <c r="E64" s="486"/>
      <c r="F64" s="486"/>
      <c r="G64" s="486"/>
      <c r="H64" s="486"/>
      <c r="I64" s="486"/>
      <c r="J64" s="486"/>
      <c r="K64" s="486"/>
      <c r="L64" s="486"/>
    </row>
    <row r="65" spans="1:12">
      <c r="A65" s="548">
        <v>20.126312971115112</v>
      </c>
      <c r="B65" s="485">
        <v>120.62887632451631</v>
      </c>
      <c r="C65" s="485">
        <v>653.0888671875</v>
      </c>
      <c r="D65" s="486">
        <v>7.9747371673583984</v>
      </c>
      <c r="E65" s="486"/>
      <c r="F65" s="486"/>
      <c r="G65" s="486"/>
      <c r="H65" s="486"/>
      <c r="I65" s="486"/>
      <c r="J65" s="486"/>
      <c r="K65" s="486"/>
      <c r="L65" s="486"/>
    </row>
    <row r="66" spans="1:12">
      <c r="A66" s="548">
        <v>10.063159465789795</v>
      </c>
      <c r="B66" s="485">
        <v>120.22692427594009</v>
      </c>
      <c r="C66" s="485">
        <v>659.701171875</v>
      </c>
      <c r="D66" s="486">
        <v>14.955788612365723</v>
      </c>
      <c r="E66" s="486"/>
      <c r="F66" s="486"/>
      <c r="G66" s="486"/>
      <c r="H66" s="486"/>
      <c r="I66" s="486"/>
      <c r="J66" s="486"/>
      <c r="K66" s="486"/>
      <c r="L66" s="486"/>
    </row>
    <row r="67" spans="1:12">
      <c r="A67" s="549">
        <v>0</v>
      </c>
      <c r="B67" s="485">
        <v>120</v>
      </c>
      <c r="C67" s="485">
        <v>665.38458251953125</v>
      </c>
      <c r="D67" s="486">
        <v>30</v>
      </c>
      <c r="E67" s="486"/>
      <c r="F67" s="486"/>
      <c r="G67" s="486"/>
      <c r="H67" s="486"/>
      <c r="I67" s="486"/>
      <c r="J67" s="486"/>
      <c r="K67" s="486"/>
      <c r="L67" s="486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6" workbookViewId="0">
      <selection activeCell="J32" sqref="J32"/>
    </sheetView>
  </sheetViews>
  <sheetFormatPr defaultRowHeight="12.75"/>
  <cols>
    <col min="1" max="6" width="16.7109375" style="499" customWidth="1"/>
    <col min="7" max="16384" width="9.140625" style="499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268</v>
      </c>
      <c r="B2" s="525"/>
      <c r="C2" s="525"/>
      <c r="D2" s="525"/>
      <c r="E2" s="525"/>
      <c r="F2" s="526"/>
    </row>
    <row r="3" spans="1:6" ht="18.95" customHeight="1">
      <c r="A3" s="550" t="s">
        <v>591</v>
      </c>
      <c r="B3" s="551"/>
      <c r="C3" s="551"/>
      <c r="D3" s="551"/>
      <c r="E3" s="551"/>
      <c r="F3" s="552"/>
    </row>
    <row r="4" spans="1:6" ht="18.95" customHeight="1">
      <c r="A4" s="553" t="s">
        <v>592</v>
      </c>
      <c r="B4" s="554"/>
      <c r="C4" s="554"/>
      <c r="D4" s="554"/>
      <c r="E4" s="554"/>
      <c r="F4" s="555"/>
    </row>
    <row r="5" spans="1:6" ht="18.95" customHeight="1">
      <c r="A5" s="528"/>
      <c r="B5" s="529"/>
      <c r="C5" s="529"/>
      <c r="D5" s="529"/>
      <c r="E5" s="529"/>
      <c r="F5" s="530"/>
    </row>
    <row r="6" spans="1:6" ht="18.95" customHeight="1">
      <c r="A6" s="531" t="s">
        <v>568</v>
      </c>
      <c r="B6" s="532" t="str">
        <f>'Performance Data Sheet'!C17</f>
        <v>-</v>
      </c>
      <c r="C6" s="533"/>
      <c r="D6" s="534"/>
      <c r="E6" s="531" t="s">
        <v>569</v>
      </c>
      <c r="F6" s="535">
        <f>'Performance Data Sheet'!I14</f>
        <v>52</v>
      </c>
    </row>
    <row r="7" spans="1:6" ht="18.95" customHeight="1">
      <c r="A7" s="531" t="s">
        <v>570</v>
      </c>
      <c r="B7" s="535" t="str">
        <f>'Performance Data Sheet'!F14</f>
        <v>TEFC</v>
      </c>
      <c r="C7" s="531" t="s">
        <v>571</v>
      </c>
      <c r="D7" s="535" t="str">
        <f>'Performance Data Sheet'!F13 &amp; " V"</f>
        <v>4000 V</v>
      </c>
      <c r="E7" s="531" t="s">
        <v>572</v>
      </c>
      <c r="F7" s="535" t="str">
        <f>'Performance Data Sheet'!C14</f>
        <v>5011US</v>
      </c>
    </row>
    <row r="8" spans="1:6" ht="18.95" customHeight="1">
      <c r="A8" s="531" t="s">
        <v>573</v>
      </c>
      <c r="B8" s="535">
        <v>6</v>
      </c>
      <c r="C8" s="531" t="s">
        <v>574</v>
      </c>
      <c r="D8" s="535" t="s">
        <v>575</v>
      </c>
      <c r="E8" s="531" t="s">
        <v>576</v>
      </c>
      <c r="F8" s="535" t="str">
        <f>'Performance Data Sheet'!M15</f>
        <v>F</v>
      </c>
    </row>
    <row r="9" spans="1:6" ht="18.95" customHeight="1">
      <c r="A9" s="531" t="s">
        <v>577</v>
      </c>
      <c r="B9" s="535">
        <f>'Performance Data Sheet'!C13</f>
        <v>400</v>
      </c>
      <c r="C9" s="531" t="s">
        <v>578</v>
      </c>
      <c r="D9" s="535" t="s">
        <v>588</v>
      </c>
      <c r="E9" s="531" t="s">
        <v>2</v>
      </c>
      <c r="F9" s="536">
        <f>'Performance Data Sheet'!K44</f>
        <v>44636</v>
      </c>
    </row>
    <row r="10" spans="1:6" ht="18.95" customHeight="1">
      <c r="A10" s="531" t="s">
        <v>579</v>
      </c>
      <c r="B10" s="535">
        <f>'Performance Data Sheet'!M14</f>
        <v>1180</v>
      </c>
      <c r="C10" s="531" t="s">
        <v>399</v>
      </c>
      <c r="D10" s="535" t="s">
        <v>589</v>
      </c>
      <c r="E10" s="531" t="s">
        <v>1</v>
      </c>
      <c r="F10" s="535" t="s">
        <v>380</v>
      </c>
    </row>
    <row r="11" spans="1:6" ht="18.95" customHeight="1">
      <c r="A11" s="528"/>
      <c r="B11" s="529"/>
      <c r="C11" s="529"/>
      <c r="D11" s="529"/>
      <c r="E11" s="529"/>
      <c r="F11" s="530"/>
    </row>
    <row r="12" spans="1:6" ht="18.95" customHeight="1">
      <c r="A12" s="528"/>
      <c r="B12" s="537"/>
      <c r="C12" s="538" t="str">
        <f>'Performance Data Sheet'!D22 &amp; " A"</f>
        <v>346 A</v>
      </c>
      <c r="D12" s="537"/>
      <c r="E12" s="538"/>
      <c r="F12" s="530"/>
    </row>
    <row r="13" spans="1:6" ht="18.95" customHeight="1">
      <c r="A13" s="528"/>
      <c r="B13" s="537"/>
      <c r="C13" s="539">
        <f>'Performance Data Sheet'!H23/100</f>
        <v>1.2</v>
      </c>
      <c r="D13" s="537"/>
      <c r="E13" s="538"/>
      <c r="F13" s="530"/>
    </row>
    <row r="14" spans="1:6" ht="18.95" customHeight="1">
      <c r="A14" s="528"/>
      <c r="B14" s="537"/>
      <c r="C14" s="539"/>
      <c r="D14" s="537"/>
      <c r="E14" s="538"/>
      <c r="F14" s="530"/>
    </row>
    <row r="15" spans="1:6" ht="18.95" customHeight="1">
      <c r="A15" s="528"/>
      <c r="B15" s="537"/>
      <c r="C15" s="538" t="str">
        <f>'Performance Data Sheet'!H22 &amp; " lb-ft"</f>
        <v>1782 lb-ft</v>
      </c>
      <c r="D15" s="529"/>
      <c r="E15" s="529"/>
      <c r="F15" s="530"/>
    </row>
    <row r="16" spans="1:6" ht="18.95" customHeight="1">
      <c r="A16" s="528"/>
      <c r="B16" s="529"/>
      <c r="C16" s="529"/>
      <c r="D16" s="529"/>
      <c r="E16" s="529"/>
      <c r="F16" s="530"/>
    </row>
    <row r="17" spans="1:6" ht="18.95" customHeight="1">
      <c r="A17" s="528"/>
      <c r="B17" s="529"/>
      <c r="C17" s="529"/>
      <c r="D17" s="529"/>
      <c r="E17" s="529"/>
      <c r="F17" s="530"/>
    </row>
    <row r="18" spans="1:6" ht="18.95" customHeight="1">
      <c r="A18" s="528"/>
      <c r="B18" s="529"/>
      <c r="C18" s="529"/>
      <c r="D18" s="529"/>
      <c r="E18" s="529"/>
      <c r="F18" s="530"/>
    </row>
    <row r="19" spans="1:6" ht="18.95" customHeight="1">
      <c r="A19" s="528"/>
      <c r="B19" s="529"/>
      <c r="C19" s="529"/>
      <c r="D19" s="529"/>
      <c r="E19" s="529"/>
      <c r="F19" s="530"/>
    </row>
    <row r="20" spans="1:6" ht="18.95" customHeight="1">
      <c r="A20" s="528"/>
      <c r="B20" s="529"/>
      <c r="C20" s="529"/>
      <c r="D20" s="529"/>
      <c r="E20" s="529"/>
      <c r="F20" s="530"/>
    </row>
    <row r="21" spans="1:6" ht="18.95" customHeight="1">
      <c r="A21" s="528"/>
      <c r="B21" s="529"/>
      <c r="C21" s="529"/>
      <c r="D21" s="529"/>
      <c r="E21" s="529"/>
      <c r="F21" s="530"/>
    </row>
    <row r="22" spans="1:6" ht="18.95" customHeight="1">
      <c r="A22" s="528"/>
      <c r="B22" s="529"/>
      <c r="C22" s="529"/>
      <c r="D22" s="529"/>
      <c r="E22" s="529"/>
      <c r="F22" s="530"/>
    </row>
    <row r="23" spans="1:6" ht="18.95" customHeight="1">
      <c r="A23" s="528"/>
      <c r="B23" s="529"/>
      <c r="C23" s="529"/>
      <c r="D23" s="529"/>
      <c r="E23" s="529"/>
      <c r="F23" s="530"/>
    </row>
    <row r="24" spans="1:6" ht="18.95" customHeight="1">
      <c r="A24" s="528"/>
      <c r="B24" s="529"/>
      <c r="C24" s="529"/>
      <c r="D24" s="529"/>
      <c r="E24" s="529"/>
      <c r="F24" s="530"/>
    </row>
    <row r="25" spans="1:6" ht="18.95" customHeight="1">
      <c r="A25" s="528"/>
      <c r="B25" s="529"/>
      <c r="C25" s="529"/>
      <c r="D25" s="529"/>
      <c r="E25" s="529"/>
      <c r="F25" s="530"/>
    </row>
    <row r="26" spans="1:6" ht="18.95" customHeight="1">
      <c r="A26" s="528"/>
      <c r="B26" s="529"/>
      <c r="C26" s="529"/>
      <c r="D26" s="529"/>
      <c r="E26" s="529"/>
      <c r="F26" s="530"/>
    </row>
    <row r="27" spans="1:6" ht="18.95" customHeight="1">
      <c r="A27" s="528"/>
      <c r="B27" s="529"/>
      <c r="C27" s="529"/>
      <c r="D27" s="529"/>
      <c r="E27" s="529"/>
      <c r="F27" s="530"/>
    </row>
    <row r="28" spans="1:6" ht="18.95" customHeight="1">
      <c r="A28" s="528"/>
      <c r="B28" s="529"/>
      <c r="C28" s="529"/>
      <c r="D28" s="529"/>
      <c r="E28" s="529"/>
      <c r="F28" s="530"/>
    </row>
    <row r="29" spans="1:6" ht="18.95" customHeight="1">
      <c r="A29" s="528"/>
      <c r="B29" s="529"/>
      <c r="C29" s="529"/>
      <c r="D29" s="529"/>
      <c r="E29" s="529"/>
      <c r="F29" s="530"/>
    </row>
    <row r="30" spans="1:6" ht="18.95" customHeight="1">
      <c r="A30" s="528"/>
      <c r="B30" s="529"/>
      <c r="C30" s="529"/>
      <c r="D30" s="529"/>
      <c r="E30" s="529"/>
      <c r="F30" s="530"/>
    </row>
    <row r="31" spans="1:6" ht="18.95" customHeight="1">
      <c r="A31" s="528"/>
      <c r="B31" s="529"/>
      <c r="C31" s="529"/>
      <c r="D31" s="529"/>
      <c r="E31" s="529"/>
      <c r="F31" s="530"/>
    </row>
    <row r="32" spans="1:6" ht="18.95" customHeight="1">
      <c r="A32" s="528"/>
      <c r="B32" s="529"/>
      <c r="C32" s="529"/>
      <c r="D32" s="529"/>
      <c r="E32" s="529"/>
      <c r="F32" s="530"/>
    </row>
    <row r="33" spans="1:6" ht="18.95" customHeight="1">
      <c r="A33" s="528"/>
      <c r="B33" s="529"/>
      <c r="C33" s="529"/>
      <c r="D33" s="529"/>
      <c r="E33" s="529"/>
      <c r="F33" s="530"/>
    </row>
    <row r="34" spans="1:6" ht="18.95" customHeight="1">
      <c r="A34" s="528"/>
      <c r="B34" s="529"/>
      <c r="C34" s="529"/>
      <c r="D34" s="529"/>
      <c r="E34" s="529"/>
      <c r="F34" s="530"/>
    </row>
    <row r="35" spans="1:6" ht="18.95" customHeight="1">
      <c r="A35" s="528"/>
      <c r="B35" s="529"/>
      <c r="C35" s="529"/>
      <c r="D35" s="529"/>
      <c r="E35" s="529"/>
      <c r="F35" s="530"/>
    </row>
    <row r="36" spans="1:6" ht="18.95" customHeight="1">
      <c r="A36" s="528"/>
      <c r="B36" s="529"/>
      <c r="C36" s="529"/>
      <c r="D36" s="529"/>
      <c r="E36" s="529"/>
      <c r="F36" s="530"/>
    </row>
    <row r="37" spans="1:6" ht="18.95" customHeight="1">
      <c r="A37" s="528"/>
      <c r="B37" s="529"/>
      <c r="C37" s="529"/>
      <c r="D37" s="529"/>
      <c r="E37" s="529"/>
      <c r="F37" s="530"/>
    </row>
    <row r="38" spans="1:6" ht="18.95" customHeight="1">
      <c r="A38" s="528"/>
      <c r="B38" s="529"/>
      <c r="C38" s="529"/>
      <c r="D38" s="529"/>
      <c r="E38" s="529"/>
      <c r="F38" s="530"/>
    </row>
    <row r="39" spans="1:6" ht="18.95" customHeight="1">
      <c r="A39" s="540" t="s">
        <v>584</v>
      </c>
      <c r="B39" s="541" t="s">
        <v>371</v>
      </c>
      <c r="C39" s="683" t="str">
        <f>'Performance Data Sheet'!C10</f>
        <v>-</v>
      </c>
      <c r="D39" s="529"/>
      <c r="E39" s="537" t="s">
        <v>585</v>
      </c>
      <c r="F39" s="542" t="str">
        <f>F10</f>
        <v>CF6400</v>
      </c>
    </row>
    <row r="40" spans="1:6" ht="18.95" customHeight="1">
      <c r="A40" s="528"/>
      <c r="B40" s="541"/>
      <c r="C40" s="541"/>
      <c r="D40" s="529"/>
      <c r="E40" s="529"/>
      <c r="F40" s="530"/>
    </row>
    <row r="41" spans="1:6" ht="18.95" customHeight="1">
      <c r="A41" s="528"/>
      <c r="B41" s="541"/>
      <c r="C41" s="541"/>
      <c r="D41" s="529"/>
      <c r="E41" s="529"/>
      <c r="F41" s="530"/>
    </row>
    <row r="42" spans="1:6" ht="18.95" customHeight="1">
      <c r="A42" s="528"/>
      <c r="B42" s="529"/>
      <c r="C42" s="529"/>
      <c r="D42" s="529"/>
      <c r="E42" s="529"/>
      <c r="F42" s="530"/>
    </row>
    <row r="43" spans="1:6" ht="18.95" customHeight="1">
      <c r="A43" s="543"/>
      <c r="B43" s="541"/>
      <c r="C43" s="544" t="s">
        <v>586</v>
      </c>
      <c r="D43" s="545" t="str">
        <f>'Performance Data Sheet'!K42</f>
        <v>Zichao Xie</v>
      </c>
      <c r="E43" s="544" t="s">
        <v>587</v>
      </c>
      <c r="F43" s="54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56" t="e">
        <f>5252.1*B50/D53</f>
        <v>#DIV/0!</v>
      </c>
      <c r="G50" s="556"/>
    </row>
    <row r="51" spans="6:9" ht="15" customHeight="1">
      <c r="G51" s="557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58"/>
    </row>
    <row r="63" spans="6:9">
      <c r="I63" s="559" t="s">
        <v>39</v>
      </c>
    </row>
    <row r="64" spans="6:9">
      <c r="I64" s="559"/>
    </row>
    <row r="65" spans="1:9">
      <c r="I65" s="559"/>
    </row>
    <row r="66" spans="1:9">
      <c r="D66" s="556" t="e">
        <f>D65/D64</f>
        <v>#DIV/0!</v>
      </c>
    </row>
    <row r="67" spans="1:9">
      <c r="A67" s="560" t="s">
        <v>394</v>
      </c>
      <c r="B67" s="560" t="s">
        <v>593</v>
      </c>
      <c r="C67" s="560" t="s">
        <v>594</v>
      </c>
      <c r="E67" s="560" t="s">
        <v>595</v>
      </c>
      <c r="F67" s="560" t="s">
        <v>596</v>
      </c>
    </row>
    <row r="68" spans="1:9">
      <c r="A68" s="561">
        <v>665.38461538461536</v>
      </c>
      <c r="B68" s="562">
        <v>35</v>
      </c>
      <c r="C68" s="562">
        <v>15</v>
      </c>
      <c r="E68" s="561">
        <f>A68</f>
        <v>665.38461538461536</v>
      </c>
      <c r="F68" s="562">
        <v>1E-4</v>
      </c>
    </row>
    <row r="69" spans="1:9">
      <c r="A69" s="561">
        <v>601.59612307692305</v>
      </c>
      <c r="B69" s="562">
        <f>((A68/A69)^2)*B68</f>
        <v>42.815744191851032</v>
      </c>
      <c r="C69" s="562">
        <f>((A68/A69)^2)*C68</f>
        <v>18.349604653650442</v>
      </c>
      <c r="E69" s="561">
        <v>662.5</v>
      </c>
      <c r="F69" s="562">
        <v>1.0069999694824219</v>
      </c>
    </row>
    <row r="70" spans="1:9">
      <c r="A70" s="561">
        <v>537.78849230769231</v>
      </c>
      <c r="B70" s="562">
        <f>((A68/A70)^2)*B68</f>
        <v>53.57849927331786</v>
      </c>
      <c r="C70" s="562">
        <f>((A68/A70)^2)*C68</f>
        <v>22.962213974279084</v>
      </c>
      <c r="E70" s="561">
        <v>656.34615384615381</v>
      </c>
      <c r="F70" s="562">
        <v>1.9089999198913574</v>
      </c>
    </row>
    <row r="71" spans="1:9">
      <c r="A71" s="561">
        <v>474</v>
      </c>
      <c r="B71" s="562">
        <f>((A68/A71)^2)*B68</f>
        <v>68.969467249143833</v>
      </c>
      <c r="C71" s="562">
        <f>((A68/A71)^2)*C68</f>
        <v>29.558343106775926</v>
      </c>
      <c r="E71" s="561">
        <v>649.03846153846155</v>
      </c>
      <c r="F71" s="562">
        <v>2.7709999084472656</v>
      </c>
    </row>
    <row r="72" spans="1:9">
      <c r="A72" s="561">
        <f>A71-100</f>
        <v>374</v>
      </c>
      <c r="B72" s="562">
        <f>((A68/A72)^2)*B68</f>
        <v>110.78229305719807</v>
      </c>
      <c r="C72" s="562"/>
      <c r="E72" s="561">
        <v>640.38461538461536</v>
      </c>
      <c r="F72" s="562">
        <v>3.628000020980835</v>
      </c>
    </row>
    <row r="73" spans="1:9">
      <c r="A73" s="561">
        <f>A72-100</f>
        <v>274</v>
      </c>
      <c r="B73" s="562">
        <f>((A68/A73)^2)*B68</f>
        <v>206.40130033124615</v>
      </c>
      <c r="C73" s="562"/>
      <c r="E73" s="561">
        <v>630.19230769230774</v>
      </c>
      <c r="F73" s="562">
        <v>4.5060000419616699</v>
      </c>
    </row>
    <row r="74" spans="1:9">
      <c r="A74" s="561">
        <v>310</v>
      </c>
      <c r="B74" s="562">
        <f>((A68/A74)^2)*B68</f>
        <v>161.24645185919499</v>
      </c>
      <c r="C74" s="562">
        <f>((A68/A74)^2)*C68</f>
        <v>69.105622225369288</v>
      </c>
      <c r="E74" s="561">
        <v>618.26923076923072</v>
      </c>
      <c r="F74" s="562">
        <v>5.4219999313354492</v>
      </c>
    </row>
    <row r="75" spans="1:9">
      <c r="A75" s="563">
        <v>180</v>
      </c>
      <c r="B75" s="562">
        <f>((A68/A75)^2)*B69</f>
        <v>585.06483669274121</v>
      </c>
      <c r="C75" s="562">
        <f>((A68/A75)^2)*C68</f>
        <v>204.97068814376505</v>
      </c>
      <c r="E75" s="561">
        <v>604.23076923076928</v>
      </c>
      <c r="F75" s="562">
        <v>6.3860001564025879</v>
      </c>
    </row>
    <row r="76" spans="1:9">
      <c r="A76" s="563">
        <v>145</v>
      </c>
      <c r="B76" s="562">
        <f>((A68/A76)^2)*B68</f>
        <v>737.01707603655825</v>
      </c>
      <c r="C76" s="562">
        <f>((A68/A76)^2)*C68</f>
        <v>315.86446115852499</v>
      </c>
      <c r="E76" s="561">
        <v>586.15384615384619</v>
      </c>
      <c r="F76" s="562">
        <v>7.3850002288818359</v>
      </c>
    </row>
    <row r="77" spans="1:9">
      <c r="A77" s="563">
        <v>125</v>
      </c>
      <c r="B77" s="562"/>
      <c r="C77" s="561">
        <f>CEILING(C76*2,100)</f>
        <v>700</v>
      </c>
      <c r="E77" s="561">
        <v>566.92307692307691</v>
      </c>
      <c r="F77" s="562">
        <v>7.8560004234313965</v>
      </c>
    </row>
    <row r="78" spans="1:9">
      <c r="A78" s="563">
        <v>125</v>
      </c>
      <c r="B78" s="562"/>
      <c r="C78" s="561">
        <f>2*C77</f>
        <v>1400</v>
      </c>
      <c r="E78" s="561">
        <v>540</v>
      </c>
      <c r="F78" s="562">
        <v>8.2310009002685547</v>
      </c>
    </row>
    <row r="79" spans="1:9">
      <c r="A79" s="563">
        <v>125</v>
      </c>
      <c r="B79" s="563"/>
      <c r="C79" s="563">
        <v>10000</v>
      </c>
      <c r="E79" s="561">
        <v>467.30769230769232</v>
      </c>
      <c r="F79" s="562">
        <v>8.4950008392333984</v>
      </c>
    </row>
    <row r="80" spans="1:9">
      <c r="E80" s="561">
        <v>268.07692307692309</v>
      </c>
      <c r="F80" s="562">
        <v>8.7730007171630859</v>
      </c>
    </row>
    <row r="81" spans="5:6">
      <c r="E81" s="561">
        <v>70.403413498836301</v>
      </c>
      <c r="F81" s="562">
        <v>8.8480005264282227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workbookViewId="0">
      <selection activeCell="K29" sqref="K29"/>
    </sheetView>
  </sheetViews>
  <sheetFormatPr defaultRowHeight="12.75"/>
  <cols>
    <col min="1" max="6" width="16.7109375" style="499" customWidth="1"/>
    <col min="7" max="16384" width="9.140625" style="499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268</v>
      </c>
      <c r="B2" s="525"/>
      <c r="C2" s="525"/>
      <c r="D2" s="525"/>
      <c r="E2" s="525"/>
      <c r="F2" s="526"/>
    </row>
    <row r="3" spans="1:6" ht="18.95" customHeight="1">
      <c r="A3" s="527" t="s">
        <v>597</v>
      </c>
      <c r="B3" s="525"/>
      <c r="C3" s="525"/>
      <c r="D3" s="525"/>
      <c r="E3" s="525"/>
      <c r="F3" s="526"/>
    </row>
    <row r="4" spans="1:6" ht="18.95" customHeight="1">
      <c r="A4" s="553" t="s">
        <v>592</v>
      </c>
      <c r="B4" s="554"/>
      <c r="C4" s="554"/>
      <c r="D4" s="554"/>
      <c r="E4" s="554"/>
      <c r="F4" s="555"/>
    </row>
    <row r="5" spans="1:6" ht="18.95" customHeight="1">
      <c r="A5" s="528"/>
      <c r="B5" s="529"/>
      <c r="C5" s="529"/>
      <c r="D5" s="529"/>
      <c r="E5" s="529"/>
      <c r="F5" s="530"/>
    </row>
    <row r="6" spans="1:6" ht="18.95" customHeight="1">
      <c r="A6" s="531" t="s">
        <v>568</v>
      </c>
      <c r="B6" s="532" t="str">
        <f>'Performance Data Sheet'!C17</f>
        <v>-</v>
      </c>
      <c r="C6" s="533"/>
      <c r="D6" s="534"/>
      <c r="E6" s="531" t="s">
        <v>569</v>
      </c>
      <c r="F6" s="535">
        <f>'Performance Data Sheet'!I14</f>
        <v>52</v>
      </c>
    </row>
    <row r="7" spans="1:6" ht="18.95" customHeight="1">
      <c r="A7" s="531" t="s">
        <v>570</v>
      </c>
      <c r="B7" s="535" t="str">
        <f>'Performance Data Sheet'!F14</f>
        <v>TEFC</v>
      </c>
      <c r="C7" s="531" t="s">
        <v>571</v>
      </c>
      <c r="D7" s="535" t="str">
        <f>'Performance Data Sheet'!F13 &amp; " V"</f>
        <v>4000 V</v>
      </c>
      <c r="E7" s="531" t="s">
        <v>572</v>
      </c>
      <c r="F7" s="535" t="str">
        <f>'Performance Data Sheet'!C14</f>
        <v>5011US</v>
      </c>
    </row>
    <row r="8" spans="1:6" ht="18.95" customHeight="1">
      <c r="A8" s="531" t="s">
        <v>573</v>
      </c>
      <c r="B8" s="535">
        <v>6</v>
      </c>
      <c r="C8" s="531" t="s">
        <v>574</v>
      </c>
      <c r="D8" s="535" t="s">
        <v>575</v>
      </c>
      <c r="E8" s="531" t="s">
        <v>576</v>
      </c>
      <c r="F8" s="535" t="str">
        <f>'Performance Data Sheet'!M15</f>
        <v>F</v>
      </c>
    </row>
    <row r="9" spans="1:6" ht="18.95" customHeight="1">
      <c r="A9" s="531" t="s">
        <v>577</v>
      </c>
      <c r="B9" s="535">
        <f>'Performance Data Sheet'!C13</f>
        <v>400</v>
      </c>
      <c r="C9" s="531" t="s">
        <v>578</v>
      </c>
      <c r="D9" s="535" t="s">
        <v>588</v>
      </c>
      <c r="E9" s="531" t="s">
        <v>2</v>
      </c>
      <c r="F9" s="536">
        <f>'Performance Data Sheet'!K44</f>
        <v>44636</v>
      </c>
    </row>
    <row r="10" spans="1:6" ht="18.95" customHeight="1">
      <c r="A10" s="531" t="s">
        <v>579</v>
      </c>
      <c r="B10" s="535">
        <f>'Performance Data Sheet'!M14</f>
        <v>1180</v>
      </c>
      <c r="C10" s="531" t="s">
        <v>399</v>
      </c>
      <c r="D10" s="535" t="s">
        <v>589</v>
      </c>
      <c r="E10" s="531" t="s">
        <v>1</v>
      </c>
      <c r="F10" s="535" t="s">
        <v>380</v>
      </c>
    </row>
    <row r="11" spans="1:6" ht="18.95" customHeight="1">
      <c r="A11" s="528"/>
      <c r="B11" s="529"/>
      <c r="C11" s="529"/>
      <c r="D11" s="529"/>
      <c r="E11" s="529"/>
      <c r="F11" s="530"/>
    </row>
    <row r="12" spans="1:6" ht="18.95" customHeight="1">
      <c r="A12" s="528"/>
      <c r="B12" s="537" t="s">
        <v>580</v>
      </c>
      <c r="C12" s="538" t="str">
        <f>'Performance Data Sheet'!D22 &amp; " A"</f>
        <v>346 A</v>
      </c>
      <c r="D12" s="537" t="s">
        <v>398</v>
      </c>
      <c r="E12" s="538" t="s">
        <v>402</v>
      </c>
      <c r="F12" s="530"/>
    </row>
    <row r="13" spans="1:6" ht="18.95" customHeight="1">
      <c r="A13" s="528"/>
      <c r="B13" s="537" t="s">
        <v>581</v>
      </c>
      <c r="C13" s="539">
        <f>'Performance Data Sheet'!H23/100</f>
        <v>1.2</v>
      </c>
      <c r="D13" s="537" t="s">
        <v>582</v>
      </c>
      <c r="E13" s="538" t="s">
        <v>590</v>
      </c>
      <c r="F13" s="530"/>
    </row>
    <row r="14" spans="1:6" ht="18.95" customHeight="1">
      <c r="A14" s="528"/>
      <c r="B14" s="537" t="s">
        <v>583</v>
      </c>
      <c r="C14" s="539">
        <v>3.1</v>
      </c>
      <c r="D14" s="537" t="s">
        <v>400</v>
      </c>
      <c r="E14" s="538" t="s">
        <v>405</v>
      </c>
      <c r="F14" s="530"/>
    </row>
    <row r="15" spans="1:6" ht="18.95" customHeight="1">
      <c r="A15" s="528"/>
      <c r="B15" s="537" t="s">
        <v>401</v>
      </c>
      <c r="C15" s="538" t="str">
        <f>'Performance Data Sheet'!H22 &amp; " lb-ft"</f>
        <v>1782 lb-ft</v>
      </c>
      <c r="D15" s="529"/>
      <c r="E15" s="529"/>
      <c r="F15" s="530"/>
    </row>
    <row r="16" spans="1:6" ht="18.95" customHeight="1">
      <c r="A16" s="528"/>
      <c r="B16" s="529"/>
      <c r="C16" s="529"/>
      <c r="D16" s="529"/>
      <c r="E16" s="529"/>
      <c r="F16" s="530"/>
    </row>
    <row r="17" spans="1:8" ht="18.95" customHeight="1">
      <c r="A17" s="528"/>
      <c r="B17" s="529"/>
      <c r="C17" s="529"/>
      <c r="D17" s="529"/>
      <c r="E17" s="529"/>
      <c r="F17" s="530"/>
    </row>
    <row r="18" spans="1:8" ht="18.95" customHeight="1">
      <c r="A18" s="528"/>
      <c r="B18" s="529"/>
      <c r="C18" s="529"/>
      <c r="D18" s="529"/>
      <c r="E18" s="529"/>
      <c r="F18" s="530"/>
    </row>
    <row r="19" spans="1:8" ht="18.95" customHeight="1">
      <c r="A19" s="528"/>
      <c r="B19" s="529"/>
      <c r="C19" s="529"/>
      <c r="D19" s="529"/>
      <c r="E19" s="529"/>
      <c r="F19" s="530"/>
    </row>
    <row r="20" spans="1:8" ht="18.95" customHeight="1">
      <c r="A20" s="528"/>
      <c r="B20" s="529"/>
      <c r="C20" s="529"/>
      <c r="D20" s="529"/>
      <c r="E20" s="529"/>
      <c r="F20" s="530"/>
    </row>
    <row r="21" spans="1:8" ht="18.95" customHeight="1">
      <c r="A21" s="528"/>
      <c r="B21" s="529"/>
      <c r="C21" s="529"/>
      <c r="D21" s="529"/>
      <c r="E21" s="529"/>
      <c r="F21" s="530"/>
    </row>
    <row r="22" spans="1:8" ht="18.95" customHeight="1">
      <c r="A22" s="528"/>
      <c r="B22" s="529"/>
      <c r="C22" s="529"/>
      <c r="D22" s="529"/>
      <c r="E22" s="529"/>
      <c r="F22" s="530"/>
    </row>
    <row r="23" spans="1:8" ht="18.95" customHeight="1">
      <c r="A23" s="528"/>
      <c r="B23" s="529"/>
      <c r="C23" s="529"/>
      <c r="D23" s="529"/>
      <c r="E23" s="529"/>
      <c r="F23" s="530"/>
    </row>
    <row r="24" spans="1:8" ht="18.95" customHeight="1">
      <c r="A24" s="528"/>
      <c r="B24" s="529"/>
      <c r="C24" s="529"/>
      <c r="D24" s="529"/>
      <c r="E24" s="529"/>
      <c r="F24" s="530"/>
      <c r="H24" s="564"/>
    </row>
    <row r="25" spans="1:8" ht="18.95" customHeight="1">
      <c r="A25" s="528"/>
      <c r="B25" s="529"/>
      <c r="C25" s="529"/>
      <c r="D25" s="529"/>
      <c r="E25" s="529"/>
      <c r="F25" s="530"/>
    </row>
    <row r="26" spans="1:8" ht="18.95" customHeight="1">
      <c r="A26" s="528"/>
      <c r="B26" s="529"/>
      <c r="C26" s="529"/>
      <c r="D26" s="529"/>
      <c r="E26" s="529"/>
      <c r="F26" s="530"/>
    </row>
    <row r="27" spans="1:8" ht="18.95" customHeight="1">
      <c r="A27" s="528"/>
      <c r="B27" s="529"/>
      <c r="C27" s="529"/>
      <c r="D27" s="529"/>
      <c r="E27" s="529"/>
      <c r="F27" s="530"/>
    </row>
    <row r="28" spans="1:8" ht="18.95" customHeight="1">
      <c r="A28" s="528"/>
      <c r="B28" s="529"/>
      <c r="C28" s="529"/>
      <c r="D28" s="529"/>
      <c r="E28" s="529"/>
      <c r="F28" s="530"/>
    </row>
    <row r="29" spans="1:8" ht="18.95" customHeight="1">
      <c r="A29" s="528"/>
      <c r="B29" s="529"/>
      <c r="C29" s="529"/>
      <c r="D29" s="529"/>
      <c r="E29" s="529"/>
      <c r="F29" s="530"/>
    </row>
    <row r="30" spans="1:8" ht="18.95" customHeight="1">
      <c r="A30" s="528"/>
      <c r="B30" s="529"/>
      <c r="C30" s="529"/>
      <c r="D30" s="529"/>
      <c r="E30" s="529"/>
      <c r="F30" s="530"/>
    </row>
    <row r="31" spans="1:8" ht="18.95" customHeight="1">
      <c r="A31" s="528"/>
      <c r="B31" s="529"/>
      <c r="C31" s="529"/>
      <c r="D31" s="529"/>
      <c r="E31" s="529"/>
      <c r="F31" s="530"/>
    </row>
    <row r="32" spans="1:8" ht="18.95" customHeight="1">
      <c r="A32" s="528"/>
      <c r="B32" s="529"/>
      <c r="C32" s="529"/>
      <c r="D32" s="529"/>
      <c r="E32" s="529"/>
      <c r="F32" s="530"/>
    </row>
    <row r="33" spans="1:15" ht="18.95" customHeight="1">
      <c r="A33" s="528"/>
      <c r="B33" s="529"/>
      <c r="C33" s="529"/>
      <c r="D33" s="529"/>
      <c r="E33" s="529"/>
      <c r="F33" s="530"/>
    </row>
    <row r="34" spans="1:15" ht="18.95" customHeight="1">
      <c r="A34" s="528"/>
      <c r="B34" s="529"/>
      <c r="C34" s="529"/>
      <c r="D34" s="529"/>
      <c r="E34" s="529"/>
      <c r="F34" s="530"/>
    </row>
    <row r="35" spans="1:15" ht="18.95" customHeight="1">
      <c r="A35" s="528"/>
      <c r="B35" s="529"/>
      <c r="C35" s="529"/>
      <c r="D35" s="529"/>
      <c r="E35" s="529"/>
      <c r="F35" s="530"/>
    </row>
    <row r="36" spans="1:15" ht="18.95" customHeight="1">
      <c r="A36" s="528"/>
      <c r="B36" s="529"/>
      <c r="C36" s="529"/>
      <c r="D36" s="529"/>
      <c r="E36" s="529"/>
      <c r="F36" s="530"/>
      <c r="N36" s="684" t="s">
        <v>714</v>
      </c>
      <c r="O36" s="684" t="s">
        <v>715</v>
      </c>
    </row>
    <row r="37" spans="1:15" ht="18.95" customHeight="1">
      <c r="A37" s="528"/>
      <c r="B37" s="529"/>
      <c r="C37" s="529"/>
      <c r="D37" s="529"/>
      <c r="E37" s="529"/>
      <c r="F37" s="530"/>
      <c r="N37" s="684">
        <f xml:space="preserve"> L43 - (L43-L44) / 10 * 0</f>
        <v>1200</v>
      </c>
      <c r="O37" s="684">
        <f xml:space="preserve"> L45 / 10 * 10</f>
        <v>800</v>
      </c>
    </row>
    <row r="38" spans="1:15" ht="18.95" customHeight="1">
      <c r="A38" s="528"/>
      <c r="B38" s="529"/>
      <c r="C38" s="529"/>
      <c r="D38" s="529"/>
      <c r="E38" s="529"/>
      <c r="F38" s="530"/>
      <c r="N38" s="684">
        <f xml:space="preserve"> L43 - (L43-L44) / 10 * 1</f>
        <v>1197</v>
      </c>
      <c r="O38" s="684">
        <f xml:space="preserve"> L45 / 10 * 9</f>
        <v>720</v>
      </c>
    </row>
    <row r="39" spans="1:15" ht="18.95" customHeight="1">
      <c r="A39" s="540" t="s">
        <v>584</v>
      </c>
      <c r="B39" s="541" t="s">
        <v>371</v>
      </c>
      <c r="C39" s="683" t="str">
        <f>'Performance Data Sheet'!C10</f>
        <v>-</v>
      </c>
      <c r="D39" s="529"/>
      <c r="E39" s="537" t="s">
        <v>585</v>
      </c>
      <c r="F39" s="542" t="str">
        <f>F10</f>
        <v>CF6400</v>
      </c>
      <c r="N39" s="684">
        <f xml:space="preserve"> L43 - (L43-L44) / 10 * 2</f>
        <v>1194</v>
      </c>
      <c r="O39" s="684">
        <f xml:space="preserve"> L45 / 10 * 8</f>
        <v>640</v>
      </c>
    </row>
    <row r="40" spans="1:15" ht="18.95" customHeight="1">
      <c r="A40" s="528"/>
      <c r="B40" s="541"/>
      <c r="C40" s="541"/>
      <c r="D40" s="529"/>
      <c r="E40" s="529"/>
      <c r="F40" s="530"/>
      <c r="N40" s="684">
        <f xml:space="preserve"> L43 - (L43-L44) / 10 * 3</f>
        <v>1191</v>
      </c>
      <c r="O40" s="684">
        <f xml:space="preserve"> L45 / 10 * 7</f>
        <v>560</v>
      </c>
    </row>
    <row r="41" spans="1:15" ht="18.95" customHeight="1">
      <c r="A41" s="528"/>
      <c r="B41" s="541"/>
      <c r="C41" s="541"/>
      <c r="D41" s="529"/>
      <c r="E41" s="529"/>
      <c r="F41" s="530"/>
      <c r="N41" s="684">
        <f xml:space="preserve"> L43 - (L43-L44) / 10 * 4</f>
        <v>1188</v>
      </c>
      <c r="O41" s="684">
        <f xml:space="preserve"> L45 / 10 * 6</f>
        <v>480</v>
      </c>
    </row>
    <row r="42" spans="1:15" ht="18.95" customHeight="1">
      <c r="A42" s="528"/>
      <c r="B42" s="529"/>
      <c r="C42" s="529"/>
      <c r="D42" s="529"/>
      <c r="E42" s="529"/>
      <c r="F42" s="530"/>
      <c r="N42" s="684">
        <f xml:space="preserve"> L43 - (L43-L44) / 10 * 5</f>
        <v>1185</v>
      </c>
      <c r="O42" s="684">
        <f xml:space="preserve"> L45 / 10 * 5</f>
        <v>400</v>
      </c>
    </row>
    <row r="43" spans="1:15" ht="18.95" customHeight="1">
      <c r="A43" s="543"/>
      <c r="B43" s="541"/>
      <c r="C43" s="544" t="s">
        <v>586</v>
      </c>
      <c r="D43" s="545" t="str">
        <f>'Performance Data Sheet'!K42</f>
        <v>Zichao Xie</v>
      </c>
      <c r="E43" s="544" t="s">
        <v>587</v>
      </c>
      <c r="F43" s="545"/>
      <c r="K43" s="690" t="s">
        <v>711</v>
      </c>
      <c r="L43" s="691">
        <v>1200</v>
      </c>
      <c r="N43" s="684">
        <f xml:space="preserve"> L43 - (L43-L44) / 10 * 6</f>
        <v>1182</v>
      </c>
      <c r="O43" s="684">
        <f xml:space="preserve"> L45 / 10 * 4</f>
        <v>320</v>
      </c>
    </row>
    <row r="44" spans="1:15" ht="15" customHeight="1">
      <c r="K44" s="690" t="s">
        <v>712</v>
      </c>
      <c r="L44" s="692">
        <v>1170</v>
      </c>
      <c r="N44" s="684">
        <f xml:space="preserve"> L43 - (L43-L44) / 10 * 7</f>
        <v>1179</v>
      </c>
      <c r="O44" s="684">
        <f xml:space="preserve"> L45 / 10 * 3</f>
        <v>240</v>
      </c>
    </row>
    <row r="45" spans="1:15" ht="15" customHeight="1">
      <c r="K45" s="690" t="s">
        <v>713</v>
      </c>
      <c r="L45" s="692">
        <v>800</v>
      </c>
      <c r="N45" s="684">
        <f xml:space="preserve"> L43 - (L43-L44) / 10 * 8</f>
        <v>1176</v>
      </c>
      <c r="O45" s="684">
        <f xml:space="preserve"> L45 / 10 * 2</f>
        <v>160</v>
      </c>
    </row>
    <row r="46" spans="1:15" ht="15" customHeight="1">
      <c r="N46" s="684">
        <f xml:space="preserve"> L43 - (L43-L44) / 10 * 9</f>
        <v>1173</v>
      </c>
      <c r="O46" s="684">
        <f xml:space="preserve"> L45 / 10 * 1</f>
        <v>80</v>
      </c>
    </row>
    <row r="47" spans="1:15" ht="15" customHeight="1">
      <c r="N47" s="684">
        <f xml:space="preserve"> L43 - (L43-L44) / 10 * 10</f>
        <v>1170</v>
      </c>
      <c r="O47" s="693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87" t="s">
        <v>709</v>
      </c>
      <c r="B52" s="688"/>
      <c r="C52" s="688"/>
      <c r="D52" s="688"/>
      <c r="E52" s="688"/>
      <c r="F52" s="689"/>
    </row>
    <row r="53" spans="1:6" ht="15" customHeight="1" thickBot="1">
      <c r="A53" s="685" t="s">
        <v>397</v>
      </c>
      <c r="B53" s="685" t="s">
        <v>142</v>
      </c>
      <c r="C53" s="685" t="s">
        <v>120</v>
      </c>
      <c r="D53" s="685" t="s">
        <v>135</v>
      </c>
      <c r="E53" s="685" t="s">
        <v>5</v>
      </c>
      <c r="F53" s="686" t="s">
        <v>598</v>
      </c>
    </row>
    <row r="54" spans="1:6" ht="15" customHeight="1">
      <c r="A54" s="565">
        <v>0</v>
      </c>
      <c r="B54" s="566"/>
      <c r="C54" s="567"/>
      <c r="D54" s="567">
        <v>15.100000381469727</v>
      </c>
      <c r="E54" s="567">
        <v>100</v>
      </c>
      <c r="F54" s="568">
        <f>4351/(L45*1000) * 100</f>
        <v>0.543875</v>
      </c>
    </row>
    <row r="55" spans="1:6" ht="15" customHeight="1">
      <c r="A55" s="569">
        <v>25</v>
      </c>
      <c r="B55" s="570">
        <v>90.200004577636719</v>
      </c>
      <c r="C55" s="571">
        <v>56</v>
      </c>
      <c r="D55" s="571">
        <v>21.309999465942383</v>
      </c>
      <c r="E55" s="571">
        <f xml:space="preserve"> (1.01275738215042*B10-L44)/(L43-L44)*100</f>
        <v>83.512369791652262</v>
      </c>
      <c r="F55" s="572">
        <f xml:space="preserve"> 82678.41/(L45*1000)*100</f>
        <v>10.33480125</v>
      </c>
    </row>
    <row r="56" spans="1:6" ht="15" customHeight="1">
      <c r="A56" s="569">
        <v>50</v>
      </c>
      <c r="B56" s="570">
        <v>93.900001525878906</v>
      </c>
      <c r="C56" s="571">
        <v>77.5</v>
      </c>
      <c r="D56" s="571">
        <v>29.600000381469727</v>
      </c>
      <c r="E56" s="571">
        <f xml:space="preserve"> (1.00856581865731*B10-L44)/(L43-L44)*100</f>
        <v>67.025553385419698</v>
      </c>
      <c r="F56" s="572">
        <f xml:space="preserve"> 158933/(L45*1000)*100</f>
        <v>19.866624999999999</v>
      </c>
    </row>
    <row r="57" spans="1:6">
      <c r="A57" s="569">
        <v>75</v>
      </c>
      <c r="B57" s="570">
        <v>94.900001525878906</v>
      </c>
      <c r="C57" s="571">
        <v>85</v>
      </c>
      <c r="D57" s="571">
        <v>40.040000915527344</v>
      </c>
      <c r="E57" s="571">
        <f xml:space="preserve"> (1.00437394481594*B10-L44)/(L43-L44)*100</f>
        <v>50.537516276030303</v>
      </c>
      <c r="F57" s="572">
        <f xml:space="preserve"> 235794.5/(L45*1000)*100</f>
        <v>29.4743125</v>
      </c>
    </row>
    <row r="58" spans="1:6">
      <c r="A58" s="569">
        <v>100</v>
      </c>
      <c r="B58" s="570">
        <v>95.099998474121094</v>
      </c>
      <c r="C58" s="571">
        <v>87.900001525878906</v>
      </c>
      <c r="D58" s="571">
        <v>51.560001373291016</v>
      </c>
      <c r="E58" s="571">
        <f xml:space="preserve"> (1*B10-L44)/(L43-L44)*100</f>
        <v>33.333333333333329</v>
      </c>
      <c r="F58" s="572">
        <f xml:space="preserve"> 313994.8/(L45*1000)*100</f>
        <v>39.24935</v>
      </c>
    </row>
    <row r="59" spans="1:6" ht="13.5" thickBot="1">
      <c r="A59" s="573">
        <v>125</v>
      </c>
      <c r="B59" s="574">
        <v>95</v>
      </c>
      <c r="C59" s="575">
        <v>88.700004577636719</v>
      </c>
      <c r="D59" s="575">
        <v>63.880001068115234</v>
      </c>
      <c r="E59" s="575">
        <f xml:space="preserve"> (0.995443777310646*B10-L44)/(L43-L44)*100</f>
        <v>15.412190755207575</v>
      </c>
      <c r="F59" s="576">
        <f xml:space="preserve"> 392562.8/(L45*1000)*100</f>
        <v>49.070349999999998</v>
      </c>
    </row>
    <row r="60" spans="1:6">
      <c r="A60" s="546"/>
      <c r="B60" s="547"/>
      <c r="C60" s="547"/>
    </row>
    <row r="61" spans="1:6" ht="13.5" thickBot="1">
      <c r="A61" s="546"/>
      <c r="B61" s="547"/>
      <c r="C61" s="547"/>
    </row>
    <row r="62" spans="1:6" ht="13.5" thickBot="1">
      <c r="A62" s="687" t="s">
        <v>710</v>
      </c>
      <c r="B62" s="688"/>
      <c r="C62" s="688"/>
      <c r="D62" s="688"/>
      <c r="E62" s="688"/>
      <c r="F62" s="689"/>
    </row>
    <row r="63" spans="1:6" ht="13.5" thickBot="1">
      <c r="A63" s="685" t="s">
        <v>397</v>
      </c>
      <c r="B63" s="685" t="s">
        <v>142</v>
      </c>
      <c r="C63" s="685" t="s">
        <v>120</v>
      </c>
      <c r="D63" s="685" t="s">
        <v>135</v>
      </c>
      <c r="E63" s="685" t="s">
        <v>5</v>
      </c>
      <c r="F63" s="686" t="s">
        <v>598</v>
      </c>
    </row>
    <row r="64" spans="1:6">
      <c r="A64" s="565">
        <v>0</v>
      </c>
      <c r="B64" s="566"/>
      <c r="C64" s="567"/>
      <c r="D64" s="567">
        <v>16.224565986337101</v>
      </c>
      <c r="E64" s="567">
        <v>100</v>
      </c>
      <c r="F64" s="568">
        <v>7.153882159615768</v>
      </c>
    </row>
    <row r="65" spans="1:6">
      <c r="A65" s="569">
        <v>25</v>
      </c>
      <c r="B65" s="570">
        <v>90.165863037109375</v>
      </c>
      <c r="C65" s="571">
        <v>56.0765380859375</v>
      </c>
      <c r="D65" s="571">
        <v>21.309255599975586</v>
      </c>
      <c r="E65" s="571">
        <v>52.277615540776054</v>
      </c>
      <c r="F65" s="572">
        <v>10.348260471453429</v>
      </c>
    </row>
    <row r="66" spans="1:6">
      <c r="A66" s="569">
        <v>50</v>
      </c>
      <c r="B66" s="570">
        <v>93.902557373046875</v>
      </c>
      <c r="C66" s="571">
        <v>77.514656066894531</v>
      </c>
      <c r="D66" s="571">
        <v>29.604682922363281</v>
      </c>
      <c r="E66" s="571">
        <v>44.763863936444402</v>
      </c>
      <c r="F66" s="572">
        <v>19.872940503807627</v>
      </c>
    </row>
    <row r="67" spans="1:6">
      <c r="A67" s="569">
        <v>75</v>
      </c>
      <c r="B67" s="570">
        <v>94.859092712402344</v>
      </c>
      <c r="C67" s="571">
        <v>85.0810546875</v>
      </c>
      <c r="D67" s="571">
        <v>40.049869537353516</v>
      </c>
      <c r="E67" s="571">
        <v>37.072400099457695</v>
      </c>
      <c r="F67" s="572">
        <v>29.508820815298328</v>
      </c>
    </row>
    <row r="68" spans="1:6">
      <c r="A68" s="569">
        <v>100</v>
      </c>
      <c r="B68" s="570">
        <v>95.073677062988281</v>
      </c>
      <c r="C68" s="571">
        <v>87.905845642089844</v>
      </c>
      <c r="D68" s="571">
        <v>51.567214965820313</v>
      </c>
      <c r="E68" s="571">
        <v>29.209744018989259</v>
      </c>
      <c r="F68" s="572">
        <v>39.25629472608599</v>
      </c>
    </row>
    <row r="69" spans="1:6" ht="13.5" thickBot="1">
      <c r="A69" s="573">
        <v>125</v>
      </c>
      <c r="B69" s="574">
        <v>94.964912414550781</v>
      </c>
      <c r="C69" s="575">
        <v>88.793586730957031</v>
      </c>
      <c r="D69" s="575">
        <v>63.887657165527344</v>
      </c>
      <c r="E69" s="575">
        <v>21.11503109130588</v>
      </c>
      <c r="F69" s="576">
        <v>49.126570761731671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2022-03-16T17:16:13Z</dcterms:modified>
</cp:coreProperties>
</file>