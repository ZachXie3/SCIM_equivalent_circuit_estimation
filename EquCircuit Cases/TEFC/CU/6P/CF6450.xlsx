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activeTab="4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9" r:id="rId5"/>
    <sheet name="STCurve" sheetId="6" r:id="rId6"/>
    <sheet name="Thermdam" sheetId="7" r:id="rId7"/>
    <sheet name="Performance" sheetId="8" r:id="rId8"/>
  </sheets>
  <externalReferences>
    <externalReference r:id="rId9"/>
  </externalReference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45621"/>
</workbook>
</file>

<file path=xl/calcChain.xml><?xml version="1.0" encoding="utf-8"?>
<calcChain xmlns="http://schemas.openxmlformats.org/spreadsheetml/2006/main">
  <c r="F54" i="8" l="1"/>
  <c r="E81" i="7"/>
  <c r="E80" i="7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B69" i="7"/>
  <c r="B75" i="7" s="1"/>
  <c r="E68" i="7"/>
  <c r="D66" i="7"/>
  <c r="F50" i="7"/>
  <c r="M28" i="3"/>
  <c r="M18" i="3"/>
  <c r="C69" i="7" l="1"/>
  <c r="B70" i="7"/>
  <c r="M52" i="2"/>
  <c r="L41" i="2"/>
  <c r="N41" i="2" s="1"/>
  <c r="M40" i="2"/>
  <c r="N40" i="2" s="1"/>
  <c r="L40" i="2"/>
  <c r="M39" i="2"/>
  <c r="L39" i="2"/>
  <c r="M38" i="2"/>
  <c r="N38" i="2" s="1"/>
  <c r="L38" i="2"/>
  <c r="M33" i="2"/>
  <c r="M32" i="2"/>
  <c r="M31" i="2"/>
  <c r="M30" i="2"/>
  <c r="M29" i="2"/>
  <c r="M50" i="2"/>
  <c r="M49" i="2"/>
  <c r="M48" i="2"/>
  <c r="M46" i="2"/>
  <c r="M47" i="2"/>
  <c r="C70" i="7" l="1"/>
  <c r="N39" i="2"/>
  <c r="M53" i="2"/>
  <c r="A72" i="7" l="1"/>
  <c r="B71" i="7"/>
  <c r="C71" i="7"/>
  <c r="A73" i="7" l="1"/>
  <c r="B73" i="7" s="1"/>
  <c r="B72" i="7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</rPr>
          <t>Choose Method of coil connection from list!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<sst xmlns="http://schemas.openxmlformats.org/spreadsheetml/2006/main" count="941" uniqueCount="713">
  <si>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</si>
  <si>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</si>
  <si>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</si>
  <si>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</si>
  <si>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</si>
  <si>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</si>
  <si>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</si>
  <si>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</si>
  <si>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</si>
  <si>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</si>
  <si>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</si>
  <si>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</si>
  <si>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</si>
  <si>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</si>
  <si>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</si>
  <si>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</si>
  <si>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</si>
  <si>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</si>
  <si>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</si>
  <si>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</si>
  <si>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</si>
  <si>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</si>
  <si>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</si>
  <si>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</si>
  <si>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</si>
  <si>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</si>
  <si>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</si>
  <si>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</si>
  <si>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</si>
  <si>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</si>
  <si>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</si>
  <si>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</si>
  <si>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</si>
  <si>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</si>
  <si>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</si>
  <si>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</si>
  <si>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</si>
  <si>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</si>
  <si>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</si>
  <si>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</si>
  <si>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</si>
  <si>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</si>
  <si>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</si>
  <si>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</si>
  <si>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</si>
  <si>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</si>
  <si>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</si>
  <si>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</si>
  <si>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</si>
  <si>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</si>
  <si>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</si>
  <si>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</si>
  <si>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</si>
  <si>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</si>
  <si>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</si>
  <si>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</si>
  <si>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</si>
  <si>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</si>
  <si>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</si>
  <si>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</si>
  <si>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</si>
  <si>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</si>
  <si>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</si>
  <si>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</si>
  <si>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</si>
  <si>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</si>
  <si>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</si>
  <si>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</si>
  <si>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</si>
  <si>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</si>
  <si>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</si>
  <si>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</si>
  <si>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</si>
  <si>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</si>
  <si>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</si>
  <si>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</si>
  <si>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</si>
  <si>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</si>
  <si>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</si>
  <si>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</si>
  <si>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</si>
  <si>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</si>
  <si>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</si>
  <si>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</si>
  <si>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</si>
  <si>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</si>
  <si>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</si>
  <si>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</si>
  <si>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</si>
  <si>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</si>
  <si>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</si>
  <si>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</si>
  <si>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</si>
  <si>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</si>
  <si>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</si>
  <si>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</si>
  <si>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</si>
  <si>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</si>
  <si>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</si>
  <si>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</si>
  <si>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</si>
  <si>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</si>
  <si>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</si>
  <si>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</si>
  <si>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</si>
  <si>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</si>
  <si>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</si>
  <si>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</si>
  <si>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</si>
  <si>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</si>
  <si>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</si>
  <si>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</si>
  <si>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</si>
  <si>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</si>
  <si>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</si>
  <si>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</si>
  <si>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</si>
  <si>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</si>
  <si>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</si>
  <si>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</si>
  <si>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</si>
  <si>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</si>
  <si>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</si>
  <si>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</si>
  <si>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</si>
  <si>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</si>
  <si>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</si>
  <si>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</si>
  <si>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</si>
  <si>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</si>
  <si>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</si>
  <si>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</si>
  <si>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</si>
  <si>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</si>
  <si>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</si>
  <si>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</si>
  <si>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</si>
  <si>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</si>
  <si>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</si>
  <si>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</si>
  <si>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</si>
  <si>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</si>
  <si>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</si>
  <si>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</si>
  <si>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</si>
  <si>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</si>
  <si>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</si>
  <si>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</si>
  <si>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</si>
  <si>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</si>
  <si>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</si>
  <si>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</si>
  <si>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</si>
  <si>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</si>
  <si>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</si>
  <si>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</si>
  <si>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</si>
  <si>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</si>
  <si>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</si>
  <si>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</si>
  <si>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</si>
  <si>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</si>
  <si>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</si>
  <si>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</si>
  <si>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</si>
  <si>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</si>
  <si>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</si>
  <si>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</si>
  <si>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</si>
  <si>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</si>
  <si>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</si>
  <si>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</si>
  <si>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</si>
  <si>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</si>
  <si>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</si>
  <si>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</si>
  <si>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</si>
  <si>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</si>
  <si>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</si>
  <si>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</si>
  <si>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</si>
  <si>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</si>
  <si>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</si>
  <si>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</si>
  <si>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</si>
  <si>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</si>
  <si>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</si>
  <si>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</si>
  <si>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</si>
  <si>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</si>
  <si>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</si>
  <si>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</si>
  <si>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FCKW</t>
  </si>
  <si>
    <t>Open</t>
  </si>
  <si>
    <t>Rectang</t>
  </si>
  <si>
    <t>6.04 - 6.04</t>
  </si>
  <si>
    <t>2.83 - 2.00</t>
  </si>
  <si>
    <t>Magnetic</t>
  </si>
  <si>
    <t>1 ~ 11</t>
  </si>
  <si>
    <t>(.102"x.204")x1</t>
  </si>
  <si>
    <t>Wye</t>
  </si>
  <si>
    <t>(105°C)</t>
  </si>
  <si>
    <t>CU</t>
  </si>
  <si>
    <t>Special</t>
  </si>
  <si>
    <t>ERD1: 286.6</t>
  </si>
  <si>
    <t>EBL: 63.5</t>
  </si>
  <si>
    <t>ERT: 42.00</t>
  </si>
  <si>
    <t>ERH: 38.00</t>
  </si>
  <si>
    <t>(8 x 30)</t>
  </si>
  <si>
    <t>LB:  -</t>
  </si>
  <si>
    <t>LER:  -</t>
  </si>
  <si>
    <t>Single Cage Data</t>
  </si>
  <si>
    <t>UB: 240.0</t>
  </si>
  <si>
    <t>UER: 1596.0</t>
  </si>
  <si>
    <t>(Coeff.: 0.1384)</t>
  </si>
  <si>
    <t>Skew R.: 0.00</t>
  </si>
  <si>
    <t>G:\DESPRO\RATFILE\CF6450.rat</t>
  </si>
  <si>
    <t>2-2-2-0-1-2</t>
  </si>
  <si>
    <t>B.L.-1  P.F.-1</t>
  </si>
  <si>
    <t>5390.2 / 5607.1</t>
  </si>
  <si>
    <t>2810.3 / 4703.5</t>
  </si>
  <si>
    <t>7472.8 / 4571.9</t>
  </si>
  <si>
    <t>1700.0 / 1939.0</t>
  </si>
  <si>
    <t>5409.5 / 2415.6</t>
  </si>
  <si>
    <t>914.3 / 408.3</t>
  </si>
  <si>
    <t>4495.2 / 2007.3</t>
  </si>
  <si>
    <t>1.75 / 0.78</t>
  </si>
  <si>
    <t>80 / 76</t>
  </si>
  <si>
    <t>Temp. Rise @ 100%:</t>
  </si>
  <si>
    <t>Stray Loss</t>
  </si>
  <si>
    <t>0.912 / 0.906</t>
  </si>
  <si>
    <t>0.947 / 0.941</t>
  </si>
  <si>
    <t>0.956 / 0.950</t>
  </si>
  <si>
    <t>0.957 / 0.952</t>
  </si>
  <si>
    <t>0.579 / 0.578</t>
  </si>
  <si>
    <t>0.787 / 0.787</t>
  </si>
  <si>
    <t>0.858 / 0.857</t>
  </si>
  <si>
    <t>0.8829 / 0.8825</t>
  </si>
  <si>
    <t>0.889 / 0.889</t>
  </si>
  <si>
    <t>22.96 / 23.11</t>
  </si>
  <si>
    <t>32.50 / 32.71</t>
  </si>
  <si>
    <t>44.33 / 44.61</t>
  </si>
  <si>
    <t>57.33 / 57.70</t>
  </si>
  <si>
    <t>71.24 / 71.71</t>
  </si>
  <si>
    <t>4.37 / 4.40</t>
  </si>
  <si>
    <t>UB: 3.15 / 3.17</t>
  </si>
  <si>
    <t>UER: 1.46 / 1.47</t>
  </si>
  <si>
    <t>1197.6 / 1185.7</t>
  </si>
  <si>
    <t>1195.3 / 1183.4</t>
  </si>
  <si>
    <t>1192.9 / 1181.0</t>
  </si>
  <si>
    <t>1190.4 / 1178.5</t>
  </si>
  <si>
    <t>1187.9 / 1176.0</t>
  </si>
  <si>
    <t>0.0020 / 0.0119</t>
  </si>
  <si>
    <t>0.0040 / 0.0139</t>
  </si>
  <si>
    <t>0.0060 / 0.0159</t>
  </si>
  <si>
    <t>0.0080 / 0.0179</t>
  </si>
  <si>
    <t>0.0101 / 0.0200</t>
  </si>
  <si>
    <t>17.190 / 16.108</t>
  </si>
  <si>
    <t>0.780 / 0.731</t>
  </si>
  <si>
    <t>17.21 / 16.12</t>
  </si>
  <si>
    <t>316.7 / 374.0</t>
  </si>
  <si>
    <t>552.5 / 652.3</t>
  </si>
  <si>
    <t>261.2 / 321.2</t>
  </si>
  <si>
    <t>95.1 / 116.9</t>
  </si>
  <si>
    <t>248.7 / 298.6</t>
  </si>
  <si>
    <t>Correlated to: CF6450_Fan550_H402115.dat</t>
  </si>
  <si>
    <t>USA Wire Std</t>
  </si>
  <si>
    <t>DesPro8AX Draft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</si>
  <si>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</si>
  <si>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</si>
  <si>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</si>
  <si>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</si>
  <si>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</si>
  <si>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</si>
  <si>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</si>
  <si>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</si>
  <si>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</si>
  <si>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</si>
  <si>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</si>
  <si>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</si>
  <si>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</si>
  <si>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</si>
  <si>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</si>
  <si>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</si>
  <si>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</si>
  <si>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</si>
  <si>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</si>
  <si>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</si>
  <si>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</si>
  <si>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</si>
  <si>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</si>
  <si>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</si>
  <si>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</si>
  <si>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</si>
  <si>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</si>
  <si>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</si>
  <si>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</si>
  <si>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</si>
  <si>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</si>
  <si>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</si>
  <si>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</si>
  <si>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</si>
  <si>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</si>
  <si>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</si>
  <si>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</si>
  <si>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</si>
  <si>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</si>
  <si>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</si>
  <si>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</si>
  <si>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</si>
  <si>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</si>
  <si>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</si>
  <si>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</si>
  <si>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</si>
  <si>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</si>
  <si>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</si>
  <si>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</si>
  <si>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</si>
  <si>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</si>
  <si>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</si>
  <si>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</si>
  <si>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</si>
  <si>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</si>
  <si>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</si>
  <si>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</si>
  <si>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</si>
  <si>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</si>
  <si>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</si>
  <si>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</si>
  <si>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</si>
  <si>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</si>
  <si>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</si>
  <si>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</si>
  <si>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</si>
  <si>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</si>
  <si>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</si>
  <si>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</si>
  <si>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</si>
  <si>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</si>
  <si>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</si>
  <si>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</si>
  <si>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</si>
  <si>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</si>
  <si>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</si>
  <si>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</si>
  <si>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</si>
  <si>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</si>
  <si>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</si>
  <si>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</si>
  <si>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</si>
  <si>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Z. XIE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</si>
  <si>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</si>
  <si>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</si>
  <si>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</si>
  <si>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</si>
  <si>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</si>
  <si>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</si>
  <si>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</si>
  <si>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</si>
  <si>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</si>
  <si>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</si>
  <si>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</si>
  <si>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</si>
  <si>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</si>
  <si>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</si>
  <si>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</si>
  <si>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</si>
  <si>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</si>
  <si>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</si>
  <si>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</si>
  <si>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</si>
  <si>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</si>
  <si>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</si>
  <si>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</si>
  <si>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</si>
  <si>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</si>
  <si>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</si>
  <si>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</si>
  <si>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</si>
  <si>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CF6450</t>
  </si>
  <si>
    <t>Type: TIKE - Form: FCKW - 6 Pole - 450 HP - 4000 V - 60 Hz - 5011 - Class F</t>
  </si>
  <si>
    <t>13 x 1</t>
  </si>
  <si>
    <t>1 x Wye</t>
  </si>
  <si>
    <t>80 / 106</t>
  </si>
  <si>
    <t>440 / 2837</t>
  </si>
  <si>
    <t>G</t>
  </si>
  <si>
    <t>317 / 147</t>
  </si>
  <si>
    <t>LINK:</t>
  </si>
  <si>
    <t>EXP_H402115.RAT &amp; CF6450_FAN550_H402115.DAT</t>
  </si>
  <si>
    <t xml:space="preserve">        4506FTAL11G-C</t>
  </si>
  <si>
    <t>O-FAN AL/550/90/PLT 140-4614-01</t>
  </si>
  <si>
    <t>REV.0 FIRST ISSUE</t>
  </si>
  <si>
    <t>USE MOTOR COVER &amp;FAN COVER W/FOAM FOR 85dBA</t>
  </si>
  <si>
    <t>RSO2: 400-V320-01 REF ONLY</t>
  </si>
  <si>
    <t>6,7,7,6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</si>
  <si>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</si>
  <si>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</si>
  <si>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</si>
  <si>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</si>
  <si>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</si>
  <si>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</si>
  <si>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</si>
  <si>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</si>
  <si>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</si>
  <si>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786.6 kg.m²</t>
  </si>
  <si>
    <t>Acceleration Data (FV V)</t>
  </si>
  <si>
    <t>9.2 (s)</t>
  </si>
  <si>
    <t>274.7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</si>
  <si>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</si>
  <si>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</si>
  <si>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</si>
  <si>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</si>
  <si>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</si>
  <si>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</si>
  <si>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</si>
  <si>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</si>
  <si>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</si>
  <si>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</si>
  <si>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</si>
  <si>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</si>
  <si>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</si>
  <si>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</si>
  <si>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</si>
  <si>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</si>
  <si>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</si>
  <si>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</si>
  <si>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</si>
  <si>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</si>
  <si>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</si>
  <si>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</si>
  <si>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</si>
  <si>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</si>
  <si>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</si>
  <si>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</si>
  <si>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</si>
  <si>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</si>
  <si>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</si>
  <si>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</si>
  <si>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</si>
  <si>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</si>
  <si>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</si>
  <si>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</si>
  <si>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</si>
  <si>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</si>
  <si>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</si>
  <si>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</si>
  <si>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</si>
  <si>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- 450.0 HP - 1200 RPM - 4000 V - 60 Hz</t>
  </si>
  <si>
    <t>0~121</t>
  </si>
  <si>
    <t>121~242</t>
  </si>
  <si>
    <t>242~362</t>
  </si>
  <si>
    <t>362~483</t>
  </si>
  <si>
    <t>483~604</t>
  </si>
  <si>
    <t>604~725</t>
  </si>
  <si>
    <t>725~845</t>
  </si>
  <si>
    <t>845~966</t>
  </si>
  <si>
    <t>966~1026</t>
  </si>
  <si>
    <t>1026~1087</t>
  </si>
  <si>
    <t>1087~1147</t>
  </si>
  <si>
    <t>1147~1189</t>
  </si>
  <si>
    <t>1189~1190</t>
  </si>
  <si>
    <t>Load Type: Fan / Pump - 4666.3 lb-ft²</t>
  </si>
  <si>
    <t>115.1</t>
  </si>
  <si>
    <t>115.4</t>
  </si>
  <si>
    <t>115.9</t>
  </si>
  <si>
    <t>116.7</t>
  </si>
  <si>
    <t>117.9</t>
  </si>
  <si>
    <t>120.0</t>
  </si>
  <si>
    <t>124.1</t>
  </si>
  <si>
    <t>134.0</t>
  </si>
  <si>
    <t>152.9</t>
  </si>
  <si>
    <t>189.7</t>
  </si>
  <si>
    <t>254.8</t>
  </si>
  <si>
    <t>207.5</t>
  </si>
  <si>
    <t>110.0</t>
  </si>
  <si>
    <t>22.5</t>
  </si>
  <si>
    <t>11.5</t>
  </si>
  <si>
    <t>7.0</t>
  </si>
  <si>
    <t>7.1</t>
  </si>
  <si>
    <t>11.2</t>
  </si>
  <si>
    <t>18.3</t>
  </si>
  <si>
    <t>28.1</t>
  </si>
  <si>
    <t>42.4</t>
  </si>
  <si>
    <t>56.8</t>
  </si>
  <si>
    <t>68.9</t>
  </si>
  <si>
    <t>82.1</t>
  </si>
  <si>
    <t>93.4</t>
  </si>
  <si>
    <t>99.1</t>
  </si>
  <si>
    <t>1.047</t>
  </si>
  <si>
    <t>0.933</t>
  </si>
  <si>
    <t>0.890</t>
  </si>
  <si>
    <t>0.885</t>
  </si>
  <si>
    <t>0.909</t>
  </si>
  <si>
    <t>0.953</t>
  </si>
  <si>
    <t>1.010</t>
  </si>
  <si>
    <t>1.058</t>
  </si>
  <si>
    <t>0.504</t>
  </si>
  <si>
    <t>0.402</t>
  </si>
  <si>
    <t>0.281</t>
  </si>
  <si>
    <t>0.297</t>
  </si>
  <si>
    <t>0.069</t>
  </si>
  <si>
    <t>372.4</t>
  </si>
  <si>
    <t>368.9</t>
  </si>
  <si>
    <t>364.9</t>
  </si>
  <si>
    <t>360.0</t>
  </si>
  <si>
    <t>354.2</t>
  </si>
  <si>
    <t>347.5</t>
  </si>
  <si>
    <t>339.6</t>
  </si>
  <si>
    <t>329.6</t>
  </si>
  <si>
    <t>318.9</t>
  </si>
  <si>
    <t>304.1</t>
  </si>
  <si>
    <t>263.8</t>
  </si>
  <si>
    <t>151.8</t>
  </si>
  <si>
    <t>40.1</t>
  </si>
  <si>
    <t>240.2</t>
  </si>
  <si>
    <t>210.4</t>
  </si>
  <si>
    <t>196.8</t>
  </si>
  <si>
    <t>190.8</t>
  </si>
  <si>
    <t>190.3</t>
  </si>
  <si>
    <t>192.7</t>
  </si>
  <si>
    <t>195.9</t>
  </si>
  <si>
    <t>195.3</t>
  </si>
  <si>
    <t>86.7</t>
  </si>
  <si>
    <t>65.0</t>
  </si>
  <si>
    <t>39.8</t>
  </si>
  <si>
    <t>26.6</t>
  </si>
  <si>
    <t>0.4</t>
  </si>
  <si>
    <t>359.9</t>
  </si>
  <si>
    <t>289.0</t>
  </si>
  <si>
    <t>245.7</t>
  </si>
  <si>
    <t>214.4</t>
  </si>
  <si>
    <t>190.1</t>
  </si>
  <si>
    <t>168.1</t>
  </si>
  <si>
    <t>145.2</t>
  </si>
  <si>
    <t>118.6</t>
  </si>
  <si>
    <t>82.9</t>
  </si>
  <si>
    <t>57.2</t>
  </si>
  <si>
    <t>34.0</t>
  </si>
  <si>
    <t>33.0</t>
  </si>
  <si>
    <t>25.6</t>
  </si>
  <si>
    <t>1831 kW / s</t>
  </si>
  <si>
    <t>1845 kW / s</t>
  </si>
  <si>
    <t>118 kW / s</t>
  </si>
  <si>
    <t>44°C</t>
  </si>
  <si>
    <t>45°C</t>
  </si>
  <si>
    <t>10°C</t>
  </si>
  <si>
    <t>88°C</t>
  </si>
  <si>
    <t>90°C</t>
  </si>
  <si>
    <t>21°C</t>
  </si>
  <si>
    <t>Acceleration Time:  9.2 s</t>
  </si>
  <si>
    <t>6.7°C / s</t>
  </si>
  <si>
    <t>8.8°C / s</t>
  </si>
  <si>
    <t>2.1°C / s</t>
  </si>
  <si>
    <t>278.0 kW</t>
  </si>
  <si>
    <t>362.8 kW</t>
  </si>
  <si>
    <t>23.3 kW</t>
  </si>
  <si>
    <t>23.9 s</t>
  </si>
  <si>
    <t>29.4 s</t>
  </si>
  <si>
    <t>87.2 s</t>
  </si>
  <si>
    <t>80°C    +</t>
  </si>
  <si>
    <t>109°C    +</t>
  </si>
  <si>
    <t>151°C   +</t>
  </si>
  <si>
    <t>71°C   +</t>
  </si>
  <si>
    <t>12.0 s</t>
  </si>
  <si>
    <t>17.0 s</t>
  </si>
  <si>
    <t>34.3 s</t>
  </si>
  <si>
    <t>54.3 s</t>
  </si>
  <si>
    <t>21.3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</si>
  <si>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</si>
  <si>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</si>
  <si>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</si>
  <si>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</si>
  <si>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</si>
  <si>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</si>
  <si>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</si>
  <si>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</si>
  <si>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</si>
  <si>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</si>
  <si>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</si>
  <si>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</si>
  <si>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</si>
  <si>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</si>
  <si>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</si>
  <si>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</si>
  <si>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</si>
  <si>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</si>
  <si>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</si>
  <si>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</si>
  <si>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</si>
  <si>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240.0 lb-ft²</t>
  </si>
  <si>
    <t>4666.3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</si>
  <si>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</si>
  <si>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</si>
  <si>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</si>
  <si>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</si>
  <si>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</si>
  <si>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</si>
  <si>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</si>
  <si>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</si>
  <si>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</si>
  <si>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</si>
  <si>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</si>
  <si>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</si>
  <si>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</si>
  <si>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</si>
  <si>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</si>
  <si>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</si>
  <si>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</si>
  <si>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</si>
  <si>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</si>
  <si>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</si>
  <si>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</si>
  <si>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</si>
  <si>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</si>
  <si>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</si>
  <si>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</si>
  <si>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</si>
  <si>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</si>
  <si>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</si>
  <si>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</si>
  <si>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</si>
  <si>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</si>
  <si>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</si>
  <si>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</si>
  <si>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</si>
  <si>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</si>
  <si>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</si>
  <si>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</si>
  <si>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</si>
  <si>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</si>
  <si>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</si>
  <si>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</si>
  <si>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</si>
  <si>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</si>
  <si>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</si>
  <si>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</si>
  <si>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</si>
  <si>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</si>
  <si>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</si>
  <si>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</si>
  <si>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</si>
  <si>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</si>
  <si>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</si>
  <si>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</si>
  <si>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</si>
  <si>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</si>
  <si>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</si>
  <si>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</si>
  <si>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</si>
  <si>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</si>
  <si>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</si>
  <si>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</si>
  <si>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</si>
  <si>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</si>
  <si>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</si>
  <si>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</si>
  <si>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</si>
  <si>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</si>
  <si>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</si>
  <si>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</si>
  <si>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</si>
  <si>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</si>
  <si>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</si>
  <si>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</si>
  <si>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</si>
  <si>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</si>
  <si>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</si>
  <si>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</si>
  <si>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</si>
  <si>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</si>
  <si>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</si>
  <si>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</si>
  <si>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</si>
  <si>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</si>
  <si>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</si>
  <si>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</si>
  <si>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</si>
  <si>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</si>
  <si>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</si>
  <si>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</si>
  <si>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</si>
  <si>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</si>
  <si>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</si>
  <si>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</si>
  <si>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</si>
  <si>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</si>
  <si>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</si>
  <si>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</si>
  <si>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</si>
  <si>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</si>
  <si>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</si>
  <si>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</si>
  <si>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</si>
  <si>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</si>
  <si>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</si>
  <si>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</si>
  <si>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</si>
  <si>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</si>
  <si>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</si>
  <si>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</si>
  <si>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</si>
  <si>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</si>
  <si>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</si>
  <si>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</si>
  <si>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</si>
  <si>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</si>
  <si>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</si>
  <si>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ESP CORP</t>
  </si>
  <si>
    <t>2118593.1</t>
  </si>
  <si>
    <t>5011US</t>
  </si>
  <si>
    <t>FCKW4</t>
  </si>
  <si>
    <t>1.15</t>
  </si>
  <si>
    <t>GP-10017208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</si>
</sst>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81" formatCode="0.00000"/>
    <numFmt numFmtId="182" formatCode="0.0000"/>
    <numFmt numFmtId="183" formatCode="0.000"/>
    <numFmt numFmtId="184" formatCode="0.0"/>
    <numFmt numFmtId="188" formatCode="0.0%"/>
    <numFmt numFmtId="189" formatCode=".0000"/>
    <numFmt numFmtId="190" formatCode="mm/dd/yy"/>
    <numFmt numFmtId="191" formatCode="0.00_);\(0.00\)"/>
    <numFmt numFmtId="192" formatCode="General_)"/>
  </numFmts>
  <fonts count="82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</font>
    <font>
      <b/>
      <sz val="8"/>
      <color indexed="81"/>
      <name val="Tahoma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color indexed="8"/>
      <name val="Univers (W1)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3" fillId="0" borderId="0"/>
    <xf numFmtId="0" fontId="23" fillId="0" borderId="0"/>
    <xf numFmtId="0" fontId="54" fillId="0" borderId="0"/>
    <xf numFmtId="0" fontId="1" fillId="0" borderId="0"/>
    <xf numFmtId="192" fontId="69" fillId="0" borderId="0"/>
  </cellStyleXfs>
  <cellXfs count="686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82" fontId="2" fillId="0" borderId="1" xfId="0" applyNumberFormat="1" applyFont="1" applyBorder="1" applyAlignment="1">
      <alignment horizontal="center"/>
    </xf>
    <xf numFmtId="18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4" fontId="2" fillId="0" borderId="1" xfId="0" applyNumberFormat="1" applyFont="1" applyBorder="1" applyAlignment="1">
      <alignment horizontal="center"/>
    </xf>
    <xf numFmtId="182" fontId="2" fillId="0" borderId="9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84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83" fontId="2" fillId="0" borderId="25" xfId="0" applyNumberFormat="1" applyFont="1" applyBorder="1" applyAlignment="1">
      <alignment horizontal="center"/>
    </xf>
    <xf numFmtId="184" fontId="2" fillId="0" borderId="25" xfId="0" applyNumberFormat="1" applyFont="1" applyBorder="1" applyAlignment="1">
      <alignment horizontal="center"/>
    </xf>
    <xf numFmtId="183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83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84" fontId="2" fillId="0" borderId="33" xfId="0" applyNumberFormat="1" applyFont="1" applyBorder="1" applyAlignment="1">
      <alignment horizontal="center"/>
    </xf>
    <xf numFmtId="184" fontId="2" fillId="0" borderId="34" xfId="0" applyNumberFormat="1" applyFont="1" applyBorder="1" applyAlignment="1">
      <alignment horizontal="center"/>
    </xf>
    <xf numFmtId="184" fontId="2" fillId="0" borderId="10" xfId="0" applyNumberFormat="1" applyFont="1" applyBorder="1" applyAlignment="1">
      <alignment horizontal="center"/>
    </xf>
    <xf numFmtId="184" fontId="2" fillId="0" borderId="30" xfId="0" applyNumberFormat="1" applyFont="1" applyBorder="1" applyAlignment="1">
      <alignment horizontal="center"/>
    </xf>
    <xf numFmtId="184" fontId="2" fillId="0" borderId="35" xfId="0" applyNumberFormat="1" applyFont="1" applyBorder="1" applyAlignment="1">
      <alignment horizontal="center"/>
    </xf>
    <xf numFmtId="184" fontId="2" fillId="0" borderId="36" xfId="0" applyNumberFormat="1" applyFont="1" applyBorder="1" applyAlignment="1">
      <alignment horizontal="center"/>
    </xf>
    <xf numFmtId="184" fontId="2" fillId="0" borderId="37" xfId="0" applyNumberFormat="1" applyFont="1" applyBorder="1" applyAlignment="1">
      <alignment horizontal="center"/>
    </xf>
    <xf numFmtId="183" fontId="2" fillId="0" borderId="26" xfId="0" applyNumberFormat="1" applyFont="1" applyBorder="1" applyAlignment="1">
      <alignment horizontal="center"/>
    </xf>
    <xf numFmtId="184" fontId="2" fillId="0" borderId="38" xfId="0" applyNumberFormat="1" applyFont="1" applyBorder="1" applyAlignment="1">
      <alignment horizontal="center"/>
    </xf>
    <xf numFmtId="184" fontId="2" fillId="0" borderId="39" xfId="0" applyNumberFormat="1" applyFont="1" applyBorder="1" applyAlignment="1">
      <alignment horizontal="center"/>
    </xf>
    <xf numFmtId="184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84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83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84" fontId="14" fillId="0" borderId="1" xfId="0" applyNumberFormat="1" applyFont="1" applyBorder="1" applyAlignment="1">
      <alignment horizontal="center"/>
    </xf>
    <xf numFmtId="184" fontId="2" fillId="0" borderId="7" xfId="0" applyNumberFormat="1" applyFont="1" applyBorder="1" applyAlignment="1">
      <alignment horizontal="center"/>
    </xf>
    <xf numFmtId="184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82" fontId="0" fillId="0" borderId="0" xfId="0" applyNumberFormat="1"/>
    <xf numFmtId="184" fontId="0" fillId="0" borderId="0" xfId="0" applyNumberFormat="1"/>
    <xf numFmtId="18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82" fontId="2" fillId="2" borderId="0" xfId="0" applyNumberFormat="1" applyFont="1" applyFill="1" applyBorder="1" applyAlignment="1">
      <alignment horizontal="center"/>
    </xf>
    <xf numFmtId="181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2" fontId="20" fillId="0" borderId="1" xfId="0" applyNumberFormat="1" applyFont="1" applyBorder="1" applyAlignment="1">
      <alignment horizontal="center"/>
    </xf>
    <xf numFmtId="184" fontId="20" fillId="0" borderId="9" xfId="0" applyNumberFormat="1" applyFont="1" applyBorder="1" applyAlignment="1">
      <alignment horizontal="center"/>
    </xf>
    <xf numFmtId="183" fontId="20" fillId="0" borderId="1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184" fontId="20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1" fillId="0" borderId="1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83" fontId="21" fillId="0" borderId="1" xfId="0" applyNumberFormat="1" applyFont="1" applyBorder="1" applyAlignment="1">
      <alignment horizontal="center"/>
    </xf>
    <xf numFmtId="183" fontId="21" fillId="0" borderId="9" xfId="0" applyNumberFormat="1" applyFont="1" applyBorder="1" applyAlignment="1">
      <alignment horizontal="center"/>
    </xf>
    <xf numFmtId="182" fontId="21" fillId="0" borderId="1" xfId="0" applyNumberFormat="1" applyFont="1" applyBorder="1" applyAlignment="1">
      <alignment horizontal="center"/>
    </xf>
    <xf numFmtId="182" fontId="21" fillId="0" borderId="9" xfId="0" applyNumberFormat="1" applyFont="1" applyBorder="1" applyAlignment="1">
      <alignment horizontal="center"/>
    </xf>
    <xf numFmtId="184" fontId="21" fillId="0" borderId="1" xfId="0" applyNumberFormat="1" applyFont="1" applyBorder="1" applyAlignment="1">
      <alignment horizontal="center"/>
    </xf>
    <xf numFmtId="184" fontId="21" fillId="0" borderId="9" xfId="0" applyNumberFormat="1" applyFont="1" applyBorder="1" applyAlignment="1">
      <alignment horizontal="center"/>
    </xf>
    <xf numFmtId="183" fontId="21" fillId="0" borderId="11" xfId="0" applyNumberFormat="1" applyFont="1" applyBorder="1" applyAlignment="1">
      <alignment horizontal="center"/>
    </xf>
    <xf numFmtId="183" fontId="22" fillId="0" borderId="31" xfId="0" applyNumberFormat="1" applyFont="1" applyBorder="1" applyAlignment="1">
      <alignment horizontal="center"/>
    </xf>
    <xf numFmtId="183" fontId="22" fillId="0" borderId="51" xfId="0" applyNumberFormat="1" applyFont="1" applyBorder="1" applyAlignment="1">
      <alignment horizontal="center"/>
    </xf>
    <xf numFmtId="183" fontId="22" fillId="0" borderId="32" xfId="0" applyNumberFormat="1" applyFont="1" applyBorder="1" applyAlignment="1">
      <alignment horizontal="center"/>
    </xf>
    <xf numFmtId="0" fontId="24" fillId="0" borderId="0" xfId="1" applyFont="1" applyAlignment="1">
      <alignment horizontal="center"/>
    </xf>
    <xf numFmtId="0" fontId="25" fillId="0" borderId="0" xfId="1" applyFont="1" applyFill="1"/>
    <xf numFmtId="0" fontId="26" fillId="0" borderId="0" xfId="1" applyFont="1" applyFill="1"/>
    <xf numFmtId="0" fontId="27" fillId="5" borderId="0" xfId="1" applyFont="1" applyFill="1" applyAlignment="1">
      <alignment horizontal="center"/>
    </xf>
    <xf numFmtId="0" fontId="28" fillId="5" borderId="0" xfId="1" applyFont="1" applyFill="1" applyAlignment="1">
      <alignment horizontal="right"/>
    </xf>
    <xf numFmtId="0" fontId="29" fillId="5" borderId="0" xfId="1" applyFont="1" applyFill="1"/>
    <xf numFmtId="0" fontId="30" fillId="5" borderId="0" xfId="1" applyFont="1" applyFill="1"/>
    <xf numFmtId="0" fontId="27" fillId="5" borderId="0" xfId="1" applyFont="1" applyFill="1" applyAlignment="1">
      <alignment horizontal="center"/>
    </xf>
    <xf numFmtId="0" fontId="29" fillId="5" borderId="23" xfId="1" applyFont="1" applyFill="1" applyBorder="1" applyAlignment="1">
      <alignment horizontal="center"/>
    </xf>
    <xf numFmtId="0" fontId="31" fillId="0" borderId="52" xfId="1" applyFont="1" applyBorder="1" applyAlignment="1">
      <alignment horizontal="left" vertical="center"/>
    </xf>
    <xf numFmtId="0" fontId="31" fillId="0" borderId="53" xfId="1" applyFont="1" applyBorder="1" applyAlignment="1">
      <alignment vertical="center"/>
    </xf>
    <xf numFmtId="0" fontId="23" fillId="0" borderId="53" xfId="1" applyBorder="1"/>
    <xf numFmtId="0" fontId="31" fillId="0" borderId="54" xfId="1" applyFont="1" applyBorder="1" applyAlignment="1">
      <alignment horizontal="right" vertical="center"/>
    </xf>
    <xf numFmtId="0" fontId="19" fillId="0" borderId="0" xfId="1" applyFont="1" applyFill="1"/>
    <xf numFmtId="0" fontId="32" fillId="0" borderId="52" xfId="1" applyFont="1" applyFill="1" applyBorder="1"/>
    <xf numFmtId="0" fontId="19" fillId="0" borderId="54" xfId="1" applyFont="1" applyFill="1" applyBorder="1"/>
    <xf numFmtId="0" fontId="32" fillId="0" borderId="54" xfId="1" applyFont="1" applyFill="1" applyBorder="1"/>
    <xf numFmtId="0" fontId="33" fillId="0" borderId="0" xfId="1" applyFont="1" applyFill="1"/>
    <xf numFmtId="0" fontId="34" fillId="5" borderId="12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center"/>
    </xf>
    <xf numFmtId="0" fontId="34" fillId="5" borderId="55" xfId="1" applyFont="1" applyFill="1" applyBorder="1" applyAlignment="1">
      <alignment horizontal="center"/>
    </xf>
    <xf numFmtId="0" fontId="34" fillId="5" borderId="0" xfId="1" quotePrefix="1" applyFont="1" applyFill="1" applyBorder="1" applyAlignment="1">
      <alignment horizontal="left"/>
    </xf>
    <xf numFmtId="0" fontId="30" fillId="5" borderId="0" xfId="1" applyFont="1" applyFill="1" applyBorder="1"/>
    <xf numFmtId="0" fontId="35" fillId="5" borderId="56" xfId="1" applyFont="1" applyFill="1" applyBorder="1" applyAlignment="1">
      <alignment horizontal="right"/>
    </xf>
    <xf numFmtId="0" fontId="34" fillId="5" borderId="57" xfId="1" applyFont="1" applyFill="1" applyBorder="1" applyAlignment="1">
      <alignment horizontal="center"/>
    </xf>
    <xf numFmtId="0" fontId="34" fillId="5" borderId="21" xfId="1" applyFont="1" applyFill="1" applyBorder="1" applyAlignment="1">
      <alignment horizontal="center"/>
    </xf>
    <xf numFmtId="0" fontId="32" fillId="0" borderId="45" xfId="1" applyFont="1" applyFill="1" applyBorder="1"/>
    <xf numFmtId="0" fontId="19" fillId="0" borderId="21" xfId="1" applyFont="1" applyFill="1" applyBorder="1"/>
    <xf numFmtId="0" fontId="32" fillId="0" borderId="21" xfId="1" applyFont="1" applyFill="1" applyBorder="1"/>
    <xf numFmtId="0" fontId="36" fillId="0" borderId="58" xfId="1" applyFont="1" applyFill="1" applyBorder="1" applyAlignment="1">
      <alignment horizontal="left"/>
    </xf>
    <xf numFmtId="0" fontId="36" fillId="0" borderId="59" xfId="1" applyFont="1" applyFill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8" fillId="5" borderId="61" xfId="1" applyFont="1" applyFill="1" applyBorder="1" applyAlignment="1">
      <alignment horizontal="left"/>
    </xf>
    <xf numFmtId="0" fontId="28" fillId="5" borderId="62" xfId="1" applyFont="1" applyFill="1" applyBorder="1" applyAlignment="1">
      <alignment horizontal="left"/>
    </xf>
    <xf numFmtId="0" fontId="28" fillId="5" borderId="27" xfId="1" applyFont="1" applyFill="1" applyBorder="1" applyAlignment="1">
      <alignment horizontal="left"/>
    </xf>
    <xf numFmtId="0" fontId="36" fillId="0" borderId="63" xfId="1" applyFont="1" applyFill="1" applyBorder="1" applyAlignment="1">
      <alignment horizontal="left"/>
    </xf>
    <xf numFmtId="0" fontId="36" fillId="0" borderId="64" xfId="1" applyFont="1" applyFill="1" applyBorder="1" applyAlignment="1">
      <alignment horizontal="left"/>
    </xf>
    <xf numFmtId="2" fontId="38" fillId="0" borderId="65" xfId="1" applyNumberFormat="1" applyFont="1" applyFill="1" applyBorder="1" applyAlignment="1">
      <alignment horizontal="center"/>
    </xf>
    <xf numFmtId="2" fontId="38" fillId="0" borderId="66" xfId="1" applyNumberFormat="1" applyFont="1" applyFill="1" applyBorder="1" applyAlignment="1">
      <alignment horizontal="center"/>
    </xf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84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8" fillId="0" borderId="65" xfId="1" applyFont="1" applyFill="1" applyBorder="1" applyAlignment="1">
      <alignment horizontal="center"/>
    </xf>
    <xf numFmtId="0" fontId="38" fillId="0" borderId="66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36" fillId="0" borderId="75" xfId="1" applyFont="1" applyFill="1" applyBorder="1" applyAlignment="1">
      <alignment horizontal="left"/>
    </xf>
    <xf numFmtId="0" fontId="36" fillId="0" borderId="68" xfId="1" applyFont="1" applyFill="1" applyBorder="1" applyAlignment="1">
      <alignment horizontal="left"/>
    </xf>
    <xf numFmtId="0" fontId="36" fillId="0" borderId="69" xfId="1" applyFont="1" applyFill="1" applyBorder="1" applyAlignment="1">
      <alignment horizontal="left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184" fontId="38" fillId="5" borderId="65" xfId="1" applyNumberFormat="1" applyFont="1" applyFill="1" applyBorder="1" applyAlignment="1">
      <alignment horizontal="center"/>
    </xf>
    <xf numFmtId="184" fontId="38" fillId="5" borderId="66" xfId="1" applyNumberFormat="1" applyFont="1" applyFill="1" applyBorder="1" applyAlignment="1">
      <alignment horizontal="center"/>
    </xf>
    <xf numFmtId="0" fontId="32" fillId="0" borderId="46" xfId="1" applyFont="1" applyFill="1" applyBorder="1"/>
    <xf numFmtId="0" fontId="32" fillId="0" borderId="24" xfId="1" applyFont="1" applyFill="1" applyBorder="1"/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19" fillId="0" borderId="24" xfId="1" applyFont="1" applyFill="1" applyBorder="1"/>
    <xf numFmtId="0" fontId="36" fillId="5" borderId="63" xfId="1" quotePrefix="1" applyFont="1" applyFill="1" applyBorder="1" applyAlignment="1">
      <alignment horizontal="left"/>
    </xf>
    <xf numFmtId="0" fontId="33" fillId="0" borderId="69" xfId="1" applyFont="1" applyFill="1" applyBorder="1"/>
    <xf numFmtId="184" fontId="38" fillId="0" borderId="65" xfId="1" applyNumberFormat="1" applyFont="1" applyFill="1" applyBorder="1" applyAlignment="1">
      <alignment horizontal="center"/>
    </xf>
    <xf numFmtId="184" fontId="38" fillId="0" borderId="66" xfId="1" applyNumberFormat="1" applyFont="1" applyFill="1" applyBorder="1" applyAlignment="1">
      <alignment horizontal="center"/>
    </xf>
    <xf numFmtId="0" fontId="28" fillId="0" borderId="80" xfId="1" applyFont="1" applyFill="1" applyBorder="1" applyAlignment="1">
      <alignment horizontal="left"/>
    </xf>
    <xf numFmtId="0" fontId="28" fillId="0" borderId="81" xfId="1" applyFont="1" applyFill="1" applyBorder="1" applyAlignment="1">
      <alignment horizontal="left"/>
    </xf>
    <xf numFmtId="0" fontId="28" fillId="0" borderId="82" xfId="1" applyFont="1" applyFill="1" applyBorder="1" applyAlignment="1">
      <alignment horizontal="left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43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6" xfId="1" applyFont="1" applyFill="1" applyBorder="1"/>
    <xf numFmtId="0" fontId="43" fillId="5" borderId="69" xfId="1" applyFont="1" applyFill="1" applyBorder="1" applyAlignment="1">
      <alignment horizontal="right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Border="1" applyAlignment="1">
      <alignment horizontal="center"/>
    </xf>
    <xf numFmtId="0" fontId="36" fillId="5" borderId="58" xfId="1" quotePrefix="1" applyFont="1" applyFill="1" applyBorder="1" applyAlignment="1">
      <alignment horizontal="left"/>
    </xf>
    <xf numFmtId="0" fontId="33" fillId="0" borderId="93" xfId="1" applyFont="1" applyFill="1" applyBorder="1"/>
    <xf numFmtId="0" fontId="38" fillId="0" borderId="92" xfId="1" applyFont="1" applyFill="1" applyBorder="1" applyAlignment="1">
      <alignment horizontal="center"/>
    </xf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189" fontId="38" fillId="5" borderId="65" xfId="1" applyNumberFormat="1" applyFont="1" applyFill="1" applyBorder="1" applyAlignment="1">
      <alignment horizontal="center"/>
    </xf>
    <xf numFmtId="189" fontId="38" fillId="5" borderId="66" xfId="1" applyNumberFormat="1" applyFont="1" applyFill="1" applyBorder="1" applyAlignment="1">
      <alignment horizontal="center"/>
    </xf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3" fillId="0" borderId="96" xfId="1" applyFont="1" applyFill="1" applyBorder="1"/>
    <xf numFmtId="0" fontId="38" fillId="0" borderId="96" xfId="1" applyNumberFormat="1" applyFont="1" applyFill="1" applyBorder="1" applyAlignment="1">
      <alignment horizontal="center"/>
    </xf>
    <xf numFmtId="0" fontId="38" fillId="0" borderId="97" xfId="1" applyFont="1" applyFill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8" fillId="0" borderId="69" xfId="1" applyNumberFormat="1" applyFont="1" applyFill="1" applyBorder="1" applyAlignment="1">
      <alignment horizontal="center"/>
    </xf>
    <xf numFmtId="0" fontId="38" fillId="0" borderId="74" xfId="1" applyFont="1" applyFill="1" applyBorder="1" applyAlignment="1">
      <alignment horizontal="center"/>
    </xf>
    <xf numFmtId="0" fontId="38" fillId="0" borderId="46" xfId="1" applyFont="1" applyFill="1" applyBorder="1"/>
    <xf numFmtId="0" fontId="44" fillId="0" borderId="24" xfId="1" applyFont="1" applyFill="1" applyBorder="1"/>
    <xf numFmtId="0" fontId="28" fillId="0" borderId="102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46" fillId="5" borderId="103" xfId="1" applyFont="1" applyFill="1" applyBorder="1" applyAlignment="1">
      <alignment horizontal="center"/>
    </xf>
    <xf numFmtId="184" fontId="38" fillId="0" borderId="69" xfId="1" applyNumberFormat="1" applyFont="1" applyFill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3" fillId="0" borderId="107" xfId="1" applyFont="1" applyFill="1" applyBorder="1" applyAlignment="1">
      <alignment horizontal="left"/>
    </xf>
    <xf numFmtId="0" fontId="33" fillId="0" borderId="77" xfId="1" applyFont="1" applyFill="1" applyBorder="1" applyAlignment="1">
      <alignment horizontal="left"/>
    </xf>
    <xf numFmtId="0" fontId="33" fillId="0" borderId="78" xfId="1" applyFont="1" applyFill="1" applyBorder="1"/>
    <xf numFmtId="0" fontId="33" fillId="0" borderId="79" xfId="1" applyFont="1" applyFill="1" applyBorder="1"/>
    <xf numFmtId="0" fontId="28" fillId="0" borderId="102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33" fillId="0" borderId="45" xfId="1" applyFont="1" applyFill="1" applyBorder="1" applyAlignment="1">
      <alignment horizontal="center"/>
    </xf>
    <xf numFmtId="0" fontId="33" fillId="0" borderId="0" xfId="1" applyFont="1" applyFill="1" applyBorder="1" applyAlignment="1">
      <alignment horizontal="center"/>
    </xf>
    <xf numFmtId="0" fontId="33" fillId="0" borderId="108" xfId="1" applyFont="1" applyFill="1" applyBorder="1" applyAlignment="1">
      <alignment horizontal="center"/>
    </xf>
    <xf numFmtId="0" fontId="33" fillId="0" borderId="87" xfId="1" applyFont="1" applyFill="1" applyBorder="1"/>
    <xf numFmtId="0" fontId="36" fillId="5" borderId="96" xfId="1" applyFont="1" applyFill="1" applyBorder="1"/>
    <xf numFmtId="0" fontId="43" fillId="5" borderId="64" xfId="1" applyFont="1" applyFill="1" applyBorder="1" applyAlignment="1">
      <alignment horizontal="right" shrinkToFit="1"/>
    </xf>
    <xf numFmtId="1" fontId="38" fillId="5" borderId="70" xfId="1" quotePrefix="1" applyNumberFormat="1" applyFont="1" applyFill="1" applyBorder="1" applyAlignment="1">
      <alignment horizontal="center"/>
    </xf>
    <xf numFmtId="2" fontId="33" fillId="0" borderId="0" xfId="1" applyNumberFormat="1" applyFont="1" applyFill="1"/>
    <xf numFmtId="0" fontId="36" fillId="5" borderId="83" xfId="1" applyFont="1" applyFill="1" applyBorder="1"/>
    <xf numFmtId="0" fontId="36" fillId="5" borderId="56" xfId="1" applyFont="1" applyFill="1" applyBorder="1"/>
    <xf numFmtId="0" fontId="43" fillId="5" borderId="64" xfId="1" applyFont="1" applyFill="1" applyBorder="1" applyAlignment="1">
      <alignment horizontal="right"/>
    </xf>
    <xf numFmtId="2" fontId="38" fillId="5" borderId="70" xfId="1" quotePrefix="1" applyNumberFormat="1" applyFont="1" applyFill="1" applyBorder="1" applyAlignment="1">
      <alignment horizontal="center"/>
    </xf>
    <xf numFmtId="0" fontId="38" fillId="5" borderId="70" xfId="1" quotePrefix="1" applyFont="1" applyFill="1" applyBorder="1" applyAlignment="1">
      <alignment horizontal="center"/>
    </xf>
    <xf numFmtId="2" fontId="38" fillId="5" borderId="64" xfId="1" applyNumberFormat="1" applyFont="1" applyFill="1" applyBorder="1" applyAlignment="1">
      <alignment horizontal="center"/>
    </xf>
    <xf numFmtId="0" fontId="33" fillId="0" borderId="109" xfId="1" applyFont="1" applyFill="1" applyBorder="1" applyAlignment="1">
      <alignment horizontal="center"/>
    </xf>
    <xf numFmtId="0" fontId="33" fillId="0" borderId="40" xfId="1" applyFont="1" applyFill="1" applyBorder="1" applyAlignment="1">
      <alignment horizontal="center"/>
    </xf>
    <xf numFmtId="0" fontId="33" fillId="0" borderId="39" xfId="1" applyFont="1" applyFill="1" applyBorder="1" applyAlignment="1">
      <alignment horizontal="center"/>
    </xf>
    <xf numFmtId="0" fontId="43" fillId="5" borderId="56" xfId="1" applyFont="1" applyFill="1" applyBorder="1" applyAlignment="1">
      <alignment horizontal="right"/>
    </xf>
    <xf numFmtId="0" fontId="43" fillId="5" borderId="64" xfId="1" applyFont="1" applyFill="1" applyBorder="1"/>
    <xf numFmtId="0" fontId="47" fillId="0" borderId="0" xfId="1" applyFont="1" applyFill="1"/>
    <xf numFmtId="0" fontId="28" fillId="0" borderId="38" xfId="1" applyFont="1" applyFill="1" applyBorder="1" applyAlignment="1">
      <alignment horizontal="left"/>
    </xf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43" fillId="5" borderId="112" xfId="1" applyFont="1" applyFill="1" applyBorder="1"/>
    <xf numFmtId="184" fontId="38" fillId="5" borderId="112" xfId="1" applyNumberFormat="1" applyFont="1" applyFill="1" applyBorder="1" applyAlignment="1">
      <alignment horizontal="center"/>
    </xf>
    <xf numFmtId="0" fontId="38" fillId="5" borderId="113" xfId="1" quotePrefix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8" fillId="0" borderId="0" xfId="1" applyFont="1" applyFill="1" applyAlignment="1">
      <alignment horizontal="right"/>
    </xf>
    <xf numFmtId="2" fontId="33" fillId="0" borderId="0" xfId="2" applyNumberFormat="1" applyFont="1" applyFill="1"/>
    <xf numFmtId="0" fontId="36" fillId="5" borderId="0" xfId="1" applyFont="1" applyFill="1" applyBorder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3" fillId="0" borderId="0" xfId="1" applyFont="1" applyFill="1" applyAlignment="1">
      <alignment horizontal="righ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8" fillId="5" borderId="80" xfId="1" applyFont="1" applyFill="1" applyBorder="1" applyAlignment="1">
      <alignment horizontal="left"/>
    </xf>
    <xf numFmtId="0" fontId="28" fillId="5" borderId="81" xfId="1" applyFont="1" applyFill="1" applyBorder="1" applyAlignment="1">
      <alignment horizontal="left"/>
    </xf>
    <xf numFmtId="0" fontId="28" fillId="5" borderId="82" xfId="1" applyFont="1" applyFill="1" applyBorder="1" applyAlignment="1">
      <alignment horizontal="left"/>
    </xf>
    <xf numFmtId="0" fontId="30" fillId="5" borderId="83" xfId="1" applyFont="1" applyFill="1" applyBorder="1"/>
    <xf numFmtId="0" fontId="33" fillId="5" borderId="72" xfId="1" applyFont="1" applyFill="1" applyBorder="1" applyAlignment="1">
      <alignment horizontal="left"/>
    </xf>
    <xf numFmtId="0" fontId="33" fillId="5" borderId="84" xfId="1" applyFont="1" applyFill="1" applyBorder="1" applyAlignment="1">
      <alignment horizontal="left"/>
    </xf>
    <xf numFmtId="0" fontId="30" fillId="5" borderId="68" xfId="1" applyFont="1" applyFill="1" applyBorder="1" applyAlignment="1">
      <alignment horizontal="left"/>
    </xf>
    <xf numFmtId="0" fontId="30" fillId="5" borderId="74" xfId="1" applyFont="1" applyFill="1" applyBorder="1" applyAlignment="1">
      <alignment horizontal="left"/>
    </xf>
    <xf numFmtId="0" fontId="49" fillId="0" borderId="0" xfId="1" applyFont="1" applyFill="1"/>
    <xf numFmtId="0" fontId="33" fillId="0" borderId="46" xfId="1" applyFont="1" applyFill="1" applyBorder="1" applyAlignment="1">
      <alignment horizontal="center"/>
    </xf>
    <xf numFmtId="0" fontId="33" fillId="0" borderId="23" xfId="1" applyFont="1" applyFill="1" applyBorder="1" applyAlignment="1">
      <alignment horizontal="center"/>
    </xf>
    <xf numFmtId="0" fontId="33" fillId="0" borderId="48" xfId="1" applyFont="1" applyFill="1" applyBorder="1" applyAlignment="1">
      <alignment horizontal="center"/>
    </xf>
    <xf numFmtId="0" fontId="36" fillId="0" borderId="116" xfId="1" applyFont="1" applyFill="1" applyBorder="1"/>
    <xf numFmtId="0" fontId="50" fillId="5" borderId="117" xfId="1" applyFont="1" applyFill="1" applyBorder="1" applyAlignment="1">
      <alignment horizontal="center"/>
    </xf>
    <xf numFmtId="0" fontId="50" fillId="5" borderId="118" xfId="1" applyFont="1" applyFill="1" applyBorder="1" applyAlignment="1">
      <alignment horizontal="center"/>
    </xf>
    <xf numFmtId="0" fontId="36" fillId="5" borderId="119" xfId="1" applyFont="1" applyFill="1" applyBorder="1"/>
    <xf numFmtId="0" fontId="50" fillId="5" borderId="120" xfId="1" applyFont="1" applyFill="1" applyBorder="1" applyAlignment="1">
      <alignment horizontal="center" shrinkToFit="1"/>
    </xf>
    <xf numFmtId="0" fontId="30" fillId="5" borderId="45" xfId="1" applyFont="1" applyFill="1" applyBorder="1"/>
    <xf numFmtId="0" fontId="36" fillId="5" borderId="121" xfId="1" applyFont="1" applyFill="1" applyBorder="1"/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6" fillId="5" borderId="23" xfId="1" applyFont="1" applyFill="1" applyBorder="1"/>
    <xf numFmtId="14" fontId="19" fillId="5" borderId="124" xfId="1" applyNumberFormat="1" applyFont="1" applyFill="1" applyBorder="1" applyAlignment="1">
      <alignment horizontal="center"/>
    </xf>
    <xf numFmtId="0" fontId="30" fillId="0" borderId="23" xfId="1" applyFont="1" applyFill="1" applyBorder="1"/>
    <xf numFmtId="0" fontId="30" fillId="5" borderId="125" xfId="1" applyFont="1" applyFill="1" applyBorder="1" applyAlignment="1">
      <alignment horizontal="left"/>
    </xf>
    <xf numFmtId="0" fontId="30" fillId="5" borderId="126" xfId="1" applyFont="1" applyFill="1" applyBorder="1" applyAlignment="1">
      <alignment horizontal="left"/>
    </xf>
    <xf numFmtId="0" fontId="30" fillId="0" borderId="0" xfId="1" applyFont="1" applyFill="1"/>
    <xf numFmtId="0" fontId="30" fillId="0" borderId="0" xfId="1" applyFont="1" applyFill="1" applyBorder="1"/>
    <xf numFmtId="0" fontId="54" fillId="0" borderId="6" xfId="3" applyBorder="1"/>
    <xf numFmtId="0" fontId="54" fillId="0" borderId="7" xfId="3" applyBorder="1"/>
    <xf numFmtId="0" fontId="54" fillId="0" borderId="41" xfId="3" applyBorder="1"/>
    <xf numFmtId="0" fontId="54" fillId="0" borderId="41" xfId="3" applyBorder="1" applyAlignment="1">
      <alignment horizontal="center"/>
    </xf>
    <xf numFmtId="0" fontId="55" fillId="0" borderId="41" xfId="3" applyFont="1" applyBorder="1" applyAlignment="1">
      <alignment horizontal="center"/>
    </xf>
    <xf numFmtId="0" fontId="54" fillId="0" borderId="0" xfId="3"/>
    <xf numFmtId="0" fontId="56" fillId="0" borderId="45" xfId="3" applyFont="1" applyBorder="1" applyAlignment="1">
      <alignment horizontal="center"/>
    </xf>
    <xf numFmtId="0" fontId="56" fillId="0" borderId="0" xfId="3" applyFont="1" applyBorder="1" applyAlignment="1">
      <alignment horizontal="center"/>
    </xf>
    <xf numFmtId="0" fontId="56" fillId="0" borderId="127" xfId="3" applyFont="1" applyBorder="1" applyAlignment="1">
      <alignment horizontal="center"/>
    </xf>
    <xf numFmtId="0" fontId="54" fillId="0" borderId="127" xfId="3" applyBorder="1" applyAlignment="1">
      <alignment horizontal="center"/>
    </xf>
    <xf numFmtId="0" fontId="55" fillId="0" borderId="127" xfId="3" applyFont="1" applyBorder="1" applyAlignment="1">
      <alignment horizontal="center"/>
    </xf>
    <xf numFmtId="0" fontId="56" fillId="0" borderId="45" xfId="3" applyFont="1" applyBorder="1" applyAlignment="1">
      <alignment horizontal="center"/>
    </xf>
    <xf numFmtId="0" fontId="56" fillId="0" borderId="0" xfId="3" applyFont="1" applyBorder="1" applyAlignment="1">
      <alignment horizontal="center"/>
    </xf>
    <xf numFmtId="0" fontId="54" fillId="0" borderId="45" xfId="3" applyBorder="1"/>
    <xf numFmtId="0" fontId="57" fillId="0" borderId="0" xfId="3" applyFont="1"/>
    <xf numFmtId="0" fontId="54" fillId="0" borderId="127" xfId="3" applyBorder="1"/>
    <xf numFmtId="0" fontId="55" fillId="0" borderId="0" xfId="3" applyFont="1"/>
    <xf numFmtId="0" fontId="55" fillId="0" borderId="127" xfId="3" applyFont="1" applyBorder="1"/>
    <xf numFmtId="190" fontId="54" fillId="0" borderId="3" xfId="3" applyNumberFormat="1" applyBorder="1"/>
    <xf numFmtId="49" fontId="54" fillId="0" borderId="1" xfId="3" applyNumberFormat="1" applyBorder="1" applyAlignment="1">
      <alignment horizontal="center"/>
    </xf>
    <xf numFmtId="49" fontId="54" fillId="0" borderId="1" xfId="3" applyNumberFormat="1" applyBorder="1"/>
    <xf numFmtId="49" fontId="55" fillId="0" borderId="1" xfId="3" applyNumberFormat="1" applyFont="1" applyBorder="1"/>
    <xf numFmtId="191" fontId="55" fillId="0" borderId="1" xfId="3" applyNumberFormat="1" applyFont="1" applyBorder="1"/>
    <xf numFmtId="0" fontId="54" fillId="0" borderId="1" xfId="3" applyBorder="1"/>
    <xf numFmtId="0" fontId="54" fillId="0" borderId="9" xfId="3" applyBorder="1"/>
    <xf numFmtId="191" fontId="54" fillId="0" borderId="1" xfId="3" applyNumberFormat="1" applyBorder="1"/>
    <xf numFmtId="0" fontId="54" fillId="0" borderId="1" xfId="3" applyBorder="1" applyAlignment="1">
      <alignment horizontal="center"/>
    </xf>
    <xf numFmtId="190" fontId="54" fillId="0" borderId="18" xfId="3" applyNumberFormat="1" applyBorder="1"/>
    <xf numFmtId="49" fontId="54" fillId="0" borderId="26" xfId="3" applyNumberFormat="1" applyBorder="1"/>
    <xf numFmtId="191" fontId="54" fillId="0" borderId="26" xfId="3" applyNumberFormat="1" applyBorder="1"/>
    <xf numFmtId="0" fontId="54" fillId="0" borderId="26" xfId="3" applyBorder="1"/>
    <xf numFmtId="0" fontId="54" fillId="0" borderId="128" xfId="3" applyBorder="1"/>
    <xf numFmtId="0" fontId="56" fillId="0" borderId="53" xfId="3" applyFont="1" applyBorder="1" applyAlignment="1">
      <alignment horizontal="center"/>
    </xf>
    <xf numFmtId="0" fontId="55" fillId="0" borderId="129" xfId="3" applyFont="1" applyBorder="1" applyAlignment="1">
      <alignment horizontal="center"/>
    </xf>
    <xf numFmtId="0" fontId="55" fillId="0" borderId="15" xfId="3" applyFont="1" applyBorder="1" applyAlignment="1">
      <alignment horizontal="center"/>
    </xf>
    <xf numFmtId="0" fontId="55" fillId="0" borderId="7" xfId="3" applyFont="1" applyBorder="1" applyAlignment="1">
      <alignment horizontal="center"/>
    </xf>
    <xf numFmtId="0" fontId="55" fillId="0" borderId="130" xfId="3" applyFont="1" applyBorder="1" applyAlignment="1">
      <alignment horizontal="center"/>
    </xf>
    <xf numFmtId="0" fontId="55" fillId="0" borderId="130" xfId="3" applyFont="1" applyBorder="1" applyAlignment="1">
      <alignment horizontal="center"/>
    </xf>
    <xf numFmtId="0" fontId="55" fillId="0" borderId="8" xfId="3" applyFont="1" applyBorder="1" applyAlignment="1">
      <alignment horizontal="center"/>
    </xf>
    <xf numFmtId="49" fontId="55" fillId="0" borderId="2" xfId="3" applyNumberFormat="1" applyFont="1" applyBorder="1" applyAlignment="1">
      <alignment horizontal="center"/>
    </xf>
    <xf numFmtId="0" fontId="54" fillId="0" borderId="50" xfId="3" applyBorder="1" applyAlignment="1">
      <alignment horizontal="left"/>
    </xf>
    <xf numFmtId="0" fontId="54" fillId="0" borderId="13" xfId="3" applyBorder="1" applyAlignment="1">
      <alignment horizontal="left"/>
    </xf>
    <xf numFmtId="0" fontId="54" fillId="0" borderId="55" xfId="3" applyBorder="1" applyAlignment="1">
      <alignment horizontal="left"/>
    </xf>
    <xf numFmtId="190" fontId="54" fillId="0" borderId="50" xfId="3" applyNumberFormat="1" applyBorder="1" applyAlignment="1">
      <alignment horizontal="center"/>
    </xf>
    <xf numFmtId="190" fontId="54" fillId="0" borderId="13" xfId="3" applyNumberFormat="1" applyBorder="1" applyAlignment="1">
      <alignment horizontal="center"/>
    </xf>
    <xf numFmtId="190" fontId="54" fillId="0" borderId="55" xfId="3" applyNumberFormat="1" applyBorder="1" applyAlignment="1">
      <alignment horizontal="center"/>
    </xf>
    <xf numFmtId="49" fontId="54" fillId="0" borderId="50" xfId="3" applyNumberFormat="1" applyBorder="1" applyAlignment="1">
      <alignment horizontal="center"/>
    </xf>
    <xf numFmtId="49" fontId="54" fillId="0" borderId="13" xfId="3" applyNumberFormat="1" applyBorder="1" applyAlignment="1">
      <alignment horizontal="center"/>
    </xf>
    <xf numFmtId="49" fontId="54" fillId="0" borderId="14" xfId="3" applyNumberFormat="1" applyBorder="1" applyAlignment="1">
      <alignment horizontal="center"/>
    </xf>
    <xf numFmtId="49" fontId="54" fillId="0" borderId="3" xfId="3" applyNumberFormat="1" applyBorder="1"/>
    <xf numFmtId="0" fontId="54" fillId="0" borderId="17" xfId="3" applyBorder="1" applyAlignment="1">
      <alignment horizontal="left"/>
    </xf>
    <xf numFmtId="0" fontId="54" fillId="0" borderId="131" xfId="3" applyBorder="1" applyAlignment="1">
      <alignment horizontal="left"/>
    </xf>
    <xf numFmtId="0" fontId="54" fillId="0" borderId="132" xfId="3" applyBorder="1" applyAlignment="1">
      <alignment horizontal="left"/>
    </xf>
    <xf numFmtId="190" fontId="54" fillId="0" borderId="17" xfId="3" applyNumberFormat="1" applyBorder="1" applyAlignment="1">
      <alignment horizontal="center"/>
    </xf>
    <xf numFmtId="190" fontId="54" fillId="0" borderId="131" xfId="3" applyNumberFormat="1" applyBorder="1" applyAlignment="1">
      <alignment horizontal="center"/>
    </xf>
    <xf numFmtId="190" fontId="54" fillId="0" borderId="132" xfId="3" applyNumberFormat="1" applyBorder="1" applyAlignment="1">
      <alignment horizontal="center"/>
    </xf>
    <xf numFmtId="49" fontId="54" fillId="0" borderId="17" xfId="3" applyNumberFormat="1" applyBorder="1" applyAlignment="1">
      <alignment horizontal="center"/>
    </xf>
    <xf numFmtId="49" fontId="54" fillId="0" borderId="131" xfId="3" applyNumberFormat="1" applyBorder="1" applyAlignment="1">
      <alignment horizontal="center"/>
    </xf>
    <xf numFmtId="49" fontId="54" fillId="0" borderId="16" xfId="3" applyNumberFormat="1" applyBorder="1" applyAlignment="1">
      <alignment horizontal="center"/>
    </xf>
    <xf numFmtId="49" fontId="54" fillId="0" borderId="4" xfId="3" applyNumberFormat="1" applyBorder="1"/>
    <xf numFmtId="0" fontId="54" fillId="0" borderId="31" xfId="3" applyBorder="1" applyAlignment="1">
      <alignment horizontal="left"/>
    </xf>
    <xf numFmtId="0" fontId="54" fillId="0" borderId="51" xfId="3" applyBorder="1" applyAlignment="1">
      <alignment horizontal="left"/>
    </xf>
    <xf numFmtId="0" fontId="54" fillId="0" borderId="133" xfId="3" applyBorder="1" applyAlignment="1">
      <alignment horizontal="left"/>
    </xf>
    <xf numFmtId="190" fontId="54" fillId="0" borderId="31" xfId="3" applyNumberFormat="1" applyBorder="1" applyAlignment="1">
      <alignment horizontal="center"/>
    </xf>
    <xf numFmtId="190" fontId="54" fillId="0" borderId="51" xfId="3" applyNumberFormat="1" applyBorder="1" applyAlignment="1">
      <alignment horizontal="center"/>
    </xf>
    <xf numFmtId="190" fontId="54" fillId="0" borderId="133" xfId="3" applyNumberFormat="1" applyBorder="1" applyAlignment="1">
      <alignment horizontal="center"/>
    </xf>
    <xf numFmtId="49" fontId="54" fillId="0" borderId="31" xfId="3" applyNumberFormat="1" applyBorder="1" applyAlignment="1">
      <alignment horizontal="center"/>
    </xf>
    <xf numFmtId="49" fontId="54" fillId="0" borderId="51" xfId="3" applyNumberFormat="1" applyBorder="1" applyAlignment="1">
      <alignment horizontal="center"/>
    </xf>
    <xf numFmtId="49" fontId="54" fillId="0" borderId="32" xfId="3" applyNumberFormat="1" applyBorder="1" applyAlignment="1">
      <alignment horizontal="center"/>
    </xf>
    <xf numFmtId="0" fontId="58" fillId="5" borderId="72" xfId="1" applyFont="1" applyFill="1" applyBorder="1" applyAlignment="1">
      <alignment horizontal="left"/>
    </xf>
    <xf numFmtId="0" fontId="35" fillId="5" borderId="68" xfId="1" applyFont="1" applyFill="1" applyBorder="1" applyAlignment="1">
      <alignment horizontal="left"/>
    </xf>
    <xf numFmtId="0" fontId="38" fillId="0" borderId="65" xfId="2" applyFont="1" applyFill="1" applyBorder="1" applyAlignment="1">
      <alignment horizontal="center"/>
    </xf>
    <xf numFmtId="0" fontId="38" fillId="0" borderId="66" xfId="2" applyFont="1" applyFill="1" applyBorder="1" applyAlignment="1">
      <alignment horizontal="center"/>
    </xf>
    <xf numFmtId="184" fontId="2" fillId="0" borderId="0" xfId="0" applyNumberFormat="1" applyFont="1" applyBorder="1" applyAlignment="1">
      <alignment horizontal="center"/>
    </xf>
    <xf numFmtId="184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84" fontId="2" fillId="0" borderId="36" xfId="0" applyNumberFormat="1" applyFont="1" applyFill="1" applyBorder="1" applyAlignment="1">
      <alignment horizontal="center"/>
    </xf>
    <xf numFmtId="184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84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centerContinuous"/>
    </xf>
    <xf numFmtId="184" fontId="2" fillId="0" borderId="0" xfId="0" applyNumberFormat="1" applyFont="1" applyBorder="1" applyAlignment="1">
      <alignment horizontal="centerContinuous"/>
    </xf>
    <xf numFmtId="184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6" fillId="0" borderId="0" xfId="4" applyFont="1" applyAlignment="1">
      <alignment horizontal="center"/>
    </xf>
    <xf numFmtId="0" fontId="1" fillId="0" borderId="0" xfId="4"/>
    <xf numFmtId="0" fontId="24" fillId="0" borderId="0" xfId="4" applyFont="1"/>
    <xf numFmtId="0" fontId="59" fillId="0" borderId="0" xfId="4" applyFont="1"/>
    <xf numFmtId="0" fontId="60" fillId="0" borderId="26" xfId="4" applyFont="1" applyBorder="1" applyAlignment="1">
      <alignment horizontal="center"/>
    </xf>
    <xf numFmtId="0" fontId="60" fillId="0" borderId="28" xfId="4" applyFont="1" applyBorder="1" applyAlignment="1">
      <alignment horizontal="center"/>
    </xf>
    <xf numFmtId="0" fontId="59" fillId="0" borderId="1" xfId="4" applyFont="1" applyBorder="1" applyAlignment="1">
      <alignment horizontal="center"/>
    </xf>
    <xf numFmtId="0" fontId="61" fillId="0" borderId="17" xfId="4" applyFont="1" applyBorder="1" applyAlignment="1">
      <alignment horizontal="center"/>
    </xf>
    <xf numFmtId="0" fontId="31" fillId="0" borderId="131" xfId="4" applyFont="1" applyBorder="1" applyAlignment="1">
      <alignment horizontal="center"/>
    </xf>
    <xf numFmtId="0" fontId="31" fillId="0" borderId="132" xfId="4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0" fontId="60" fillId="0" borderId="1" xfId="4" applyFont="1" applyBorder="1" applyAlignment="1">
      <alignment horizontal="right"/>
    </xf>
    <xf numFmtId="0" fontId="59" fillId="0" borderId="1" xfId="4" applyFont="1" applyBorder="1" applyAlignment="1">
      <alignment horizontal="center"/>
    </xf>
    <xf numFmtId="0" fontId="31" fillId="0" borderId="17" xfId="4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0" fontId="59" fillId="0" borderId="17" xfId="4" applyFont="1" applyBorder="1" applyAlignment="1">
      <alignment horizontal="right"/>
    </xf>
    <xf numFmtId="0" fontId="59" fillId="0" borderId="131" xfId="4" applyFont="1" applyBorder="1" applyAlignment="1">
      <alignment horizontal="right"/>
    </xf>
    <xf numFmtId="0" fontId="59" fillId="0" borderId="131" xfId="4" applyFont="1" applyBorder="1" applyAlignment="1">
      <alignment horizontal="center"/>
    </xf>
    <xf numFmtId="0" fontId="59" fillId="0" borderId="132" xfId="4" quotePrefix="1" applyFont="1" applyBorder="1" applyAlignment="1">
      <alignment horizontal="center"/>
    </xf>
    <xf numFmtId="0" fontId="59" fillId="0" borderId="132" xfId="4" applyFont="1" applyBorder="1" applyAlignment="1">
      <alignment horizontal="center"/>
    </xf>
    <xf numFmtId="0" fontId="60" fillId="0" borderId="0" xfId="4" applyFont="1" applyAlignment="1">
      <alignment horizontal="right"/>
    </xf>
    <xf numFmtId="0" fontId="31" fillId="0" borderId="0" xfId="4" applyFont="1" applyAlignment="1">
      <alignment horizontal="center"/>
    </xf>
    <xf numFmtId="0" fontId="60" fillId="0" borderId="0" xfId="4" applyFont="1" applyAlignment="1">
      <alignment horizontal="right"/>
    </xf>
    <xf numFmtId="0" fontId="62" fillId="0" borderId="61" xfId="4" applyFont="1" applyBorder="1"/>
    <xf numFmtId="0" fontId="62" fillId="0" borderId="62" xfId="4" applyFont="1" applyBorder="1"/>
    <xf numFmtId="0" fontId="62" fillId="0" borderId="38" xfId="4" applyFont="1" applyBorder="1"/>
    <xf numFmtId="0" fontId="63" fillId="0" borderId="83" xfId="4" applyFont="1" applyBorder="1" applyAlignment="1">
      <alignment horizontal="centerContinuous"/>
    </xf>
    <xf numFmtId="0" fontId="62" fillId="0" borderId="0" xfId="4" applyFont="1" applyBorder="1" applyAlignment="1">
      <alignment horizontal="centerContinuous"/>
    </xf>
    <xf numFmtId="0" fontId="62" fillId="0" borderId="108" xfId="4" applyFont="1" applyBorder="1" applyAlignment="1">
      <alignment horizontal="centerContinuous"/>
    </xf>
    <xf numFmtId="0" fontId="64" fillId="0" borderId="83" xfId="4" applyFont="1" applyBorder="1" applyAlignment="1">
      <alignment horizontal="centerContinuous"/>
    </xf>
    <xf numFmtId="0" fontId="62" fillId="0" borderId="83" xfId="4" applyFont="1" applyBorder="1"/>
    <xf numFmtId="0" fontId="62" fillId="0" borderId="0" xfId="4" applyFont="1" applyBorder="1"/>
    <xf numFmtId="0" fontId="62" fillId="0" borderId="108" xfId="4" applyFont="1" applyBorder="1"/>
    <xf numFmtId="0" fontId="65" fillId="0" borderId="1" xfId="4" applyFont="1" applyBorder="1" applyAlignment="1">
      <alignment horizontal="right"/>
    </xf>
    <xf numFmtId="0" fontId="62" fillId="0" borderId="17" xfId="4" applyFont="1" applyBorder="1" applyAlignment="1">
      <alignment horizontal="center"/>
    </xf>
    <xf numFmtId="0" fontId="62" fillId="0" borderId="131" xfId="4" applyFont="1" applyBorder="1" applyAlignment="1">
      <alignment horizontal="center"/>
    </xf>
    <xf numFmtId="0" fontId="62" fillId="0" borderId="132" xfId="4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14" fontId="62" fillId="0" borderId="1" xfId="4" applyNumberFormat="1" applyFont="1" applyBorder="1" applyAlignment="1">
      <alignment horizontal="center"/>
    </xf>
    <xf numFmtId="0" fontId="65" fillId="0" borderId="0" xfId="4" applyFont="1" applyBorder="1" applyAlignment="1">
      <alignment horizontal="right"/>
    </xf>
    <xf numFmtId="0" fontId="62" fillId="0" borderId="0" xfId="4" applyFont="1" applyBorder="1" applyAlignment="1">
      <alignment horizontal="center"/>
    </xf>
    <xf numFmtId="9" fontId="62" fillId="0" borderId="0" xfId="4" applyNumberFormat="1" applyFont="1" applyBorder="1" applyAlignment="1">
      <alignment horizontal="center"/>
    </xf>
    <xf numFmtId="0" fontId="65" fillId="0" borderId="83" xfId="4" applyFont="1" applyBorder="1" applyAlignment="1">
      <alignment horizontal="right"/>
    </xf>
    <xf numFmtId="0" fontId="62" fillId="0" borderId="40" xfId="4" applyFont="1" applyBorder="1"/>
    <xf numFmtId="0" fontId="62" fillId="0" borderId="39" xfId="4" applyFont="1" applyBorder="1" applyAlignment="1">
      <alignment horizontal="center"/>
    </xf>
    <xf numFmtId="0" fontId="62" fillId="0" borderId="85" xfId="4" applyFont="1" applyBorder="1"/>
    <xf numFmtId="0" fontId="65" fillId="0" borderId="17" xfId="4" applyFont="1" applyBorder="1" applyAlignment="1">
      <alignment horizontal="right"/>
    </xf>
    <xf numFmtId="0" fontId="62" fillId="0" borderId="132" xfId="4" applyFont="1" applyBorder="1"/>
    <xf numFmtId="184" fontId="3" fillId="0" borderId="0" xfId="4" quotePrefix="1" applyNumberFormat="1" applyFont="1" applyBorder="1" applyAlignment="1">
      <alignment horizontal="center"/>
    </xf>
    <xf numFmtId="184" fontId="2" fillId="0" borderId="0" xfId="4" applyNumberFormat="1" applyFont="1" applyBorder="1" applyAlignment="1">
      <alignment horizontal="center"/>
    </xf>
    <xf numFmtId="184" fontId="3" fillId="0" borderId="0" xfId="4" applyNumberFormat="1" applyFont="1" applyBorder="1" applyAlignment="1">
      <alignment horizontal="center"/>
    </xf>
    <xf numFmtId="184" fontId="3" fillId="0" borderId="0" xfId="0" quotePrefix="1" applyNumberFormat="1" applyFont="1" applyBorder="1" applyAlignment="1">
      <alignment horizontal="center"/>
    </xf>
    <xf numFmtId="184" fontId="3" fillId="0" borderId="0" xfId="0" applyNumberFormat="1" applyFont="1" applyBorder="1" applyAlignment="1">
      <alignment horizontal="center"/>
    </xf>
    <xf numFmtId="0" fontId="64" fillId="0" borderId="83" xfId="4" applyFont="1" applyBorder="1" applyAlignment="1">
      <alignment horizontal="center"/>
    </xf>
    <xf numFmtId="0" fontId="64" fillId="0" borderId="0" xfId="4" applyFont="1" applyBorder="1" applyAlignment="1">
      <alignment horizontal="center"/>
    </xf>
    <xf numFmtId="0" fontId="64" fillId="0" borderId="108" xfId="4" applyFont="1" applyBorder="1" applyAlignment="1">
      <alignment horizontal="center"/>
    </xf>
    <xf numFmtId="0" fontId="66" fillId="0" borderId="83" xfId="4" applyFont="1" applyBorder="1" applyAlignment="1">
      <alignment horizontal="center"/>
    </xf>
    <xf numFmtId="0" fontId="66" fillId="0" borderId="0" xfId="4" applyFont="1" applyBorder="1" applyAlignment="1">
      <alignment horizontal="center"/>
    </xf>
    <xf numFmtId="0" fontId="66" fillId="0" borderId="108" xfId="4" applyFont="1" applyBorder="1" applyAlignment="1">
      <alignment horizontal="center"/>
    </xf>
    <xf numFmtId="0" fontId="67" fillId="0" borderId="0" xfId="4" applyFont="1"/>
    <xf numFmtId="0" fontId="1" fillId="0" borderId="0" xfId="4" applyBorder="1"/>
    <xf numFmtId="0" fontId="68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18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84" fontId="3" fillId="0" borderId="135" xfId="4" quotePrefix="1" applyNumberFormat="1" applyFont="1" applyBorder="1" applyAlignment="1">
      <alignment horizontal="center"/>
    </xf>
    <xf numFmtId="184" fontId="2" fillId="0" borderId="39" xfId="4" applyNumberFormat="1" applyFont="1" applyBorder="1" applyAlignment="1">
      <alignment horizontal="center"/>
    </xf>
    <xf numFmtId="184" fontId="2" fillId="0" borderId="28" xfId="4" applyNumberFormat="1" applyFont="1" applyBorder="1" applyAlignment="1">
      <alignment horizontal="center"/>
    </xf>
    <xf numFmtId="184" fontId="2" fillId="0" borderId="136" xfId="4" applyNumberFormat="1" applyFont="1" applyBorder="1" applyAlignment="1">
      <alignment horizontal="center"/>
    </xf>
    <xf numFmtId="184" fontId="3" fillId="0" borderId="137" xfId="4" quotePrefix="1" applyNumberFormat="1" applyFont="1" applyBorder="1" applyAlignment="1">
      <alignment horizontal="center"/>
    </xf>
    <xf numFmtId="184" fontId="2" fillId="0" borderId="132" xfId="4" applyNumberFormat="1" applyFont="1" applyBorder="1" applyAlignment="1">
      <alignment horizontal="center"/>
    </xf>
    <xf numFmtId="184" fontId="2" fillId="0" borderId="1" xfId="4" applyNumberFormat="1" applyFont="1" applyBorder="1" applyAlignment="1">
      <alignment horizontal="center"/>
    </xf>
    <xf numFmtId="184" fontId="2" fillId="0" borderId="9" xfId="4" applyNumberFormat="1" applyFont="1" applyBorder="1" applyAlignment="1">
      <alignment horizontal="center"/>
    </xf>
    <xf numFmtId="184" fontId="3" fillId="0" borderId="25" xfId="4" quotePrefix="1" applyNumberFormat="1" applyFont="1" applyBorder="1" applyAlignment="1">
      <alignment horizontal="center"/>
    </xf>
    <xf numFmtId="184" fontId="2" fillId="0" borderId="133" xfId="4" applyNumberFormat="1" applyFont="1" applyBorder="1" applyAlignment="1">
      <alignment horizontal="center"/>
    </xf>
    <xf numFmtId="184" fontId="2" fillId="0" borderId="11" xfId="4" applyNumberFormat="1" applyFont="1" applyBorder="1" applyAlignment="1">
      <alignment horizontal="center"/>
    </xf>
    <xf numFmtId="184" fontId="2" fillId="0" borderId="33" xfId="4" applyNumberFormat="1" applyFont="1" applyBorder="1" applyAlignment="1">
      <alignment horizontal="center"/>
    </xf>
    <xf numFmtId="192" fontId="70" fillId="0" borderId="6" xfId="5" applyFont="1" applyBorder="1" applyAlignment="1" applyProtection="1">
      <alignment horizontal="centerContinuous"/>
    </xf>
    <xf numFmtId="192" fontId="70" fillId="0" borderId="7" xfId="5" applyFont="1" applyBorder="1" applyAlignment="1">
      <alignment horizontal="centerContinuous"/>
    </xf>
    <xf numFmtId="192" fontId="71" fillId="0" borderId="12" xfId="5" applyFont="1" applyBorder="1" applyAlignment="1" applyProtection="1">
      <alignment horizontal="left"/>
    </xf>
    <xf numFmtId="192" fontId="72" fillId="0" borderId="55" xfId="5" applyFont="1" applyBorder="1"/>
    <xf numFmtId="192" fontId="71" fillId="0" borderId="13" xfId="5" applyFont="1" applyBorder="1" applyAlignment="1">
      <alignment horizontal="centerContinuous"/>
    </xf>
    <xf numFmtId="192" fontId="72" fillId="0" borderId="14" xfId="5" applyFont="1" applyBorder="1" applyAlignment="1">
      <alignment horizontal="centerContinuous"/>
    </xf>
    <xf numFmtId="192" fontId="73" fillId="0" borderId="0" xfId="5" applyFont="1"/>
    <xf numFmtId="192" fontId="69" fillId="0" borderId="0" xfId="5"/>
    <xf numFmtId="192" fontId="70" fillId="0" borderId="45" xfId="5" applyFont="1" applyBorder="1" applyAlignment="1" applyProtection="1">
      <alignment horizontal="centerContinuous"/>
    </xf>
    <xf numFmtId="192" fontId="70" fillId="0" borderId="0" xfId="5" applyFont="1" applyBorder="1" applyAlignment="1">
      <alignment horizontal="centerContinuous"/>
    </xf>
    <xf numFmtId="192" fontId="71" fillId="0" borderId="109" xfId="5" applyFont="1" applyBorder="1" applyAlignment="1" applyProtection="1">
      <alignment horizontal="left"/>
    </xf>
    <xf numFmtId="192" fontId="72" fillId="0" borderId="39" xfId="5" applyFont="1" applyBorder="1"/>
    <xf numFmtId="192" fontId="71" fillId="0" borderId="40" xfId="5" applyFont="1" applyBorder="1" applyAlignment="1" applyProtection="1">
      <alignment horizontal="centerContinuous"/>
    </xf>
    <xf numFmtId="192" fontId="72" fillId="0" borderId="29" xfId="5" applyFont="1" applyBorder="1" applyAlignment="1">
      <alignment horizontal="centerContinuous"/>
    </xf>
    <xf numFmtId="192" fontId="72" fillId="0" borderId="45" xfId="5" applyFont="1" applyBorder="1" applyAlignment="1">
      <alignment horizontal="centerContinuous"/>
    </xf>
    <xf numFmtId="192" fontId="72" fillId="0" borderId="0" xfId="5" applyFont="1" applyBorder="1" applyAlignment="1">
      <alignment horizontal="centerContinuous"/>
    </xf>
    <xf numFmtId="192" fontId="71" fillId="0" borderId="40" xfId="5" quotePrefix="1" applyFont="1" applyBorder="1" applyAlignment="1">
      <alignment horizontal="centerContinuous"/>
    </xf>
    <xf numFmtId="192" fontId="74" fillId="0" borderId="45" xfId="5" applyFont="1" applyBorder="1" applyAlignment="1" applyProtection="1">
      <alignment horizontal="centerContinuous"/>
    </xf>
    <xf numFmtId="192" fontId="71" fillId="0" borderId="40" xfId="5" quotePrefix="1" applyFont="1" applyBorder="1" applyAlignment="1" applyProtection="1">
      <alignment horizontal="centerContinuous"/>
    </xf>
    <xf numFmtId="192" fontId="73" fillId="0" borderId="45" xfId="5" applyFont="1" applyBorder="1" applyAlignment="1">
      <alignment horizontal="centerContinuous"/>
    </xf>
    <xf numFmtId="192" fontId="71" fillId="0" borderId="40" xfId="5" applyFont="1" applyBorder="1" applyAlignment="1">
      <alignment horizontal="centerContinuous"/>
    </xf>
    <xf numFmtId="192" fontId="73" fillId="0" borderId="46" xfId="5" applyFont="1" applyBorder="1" applyAlignment="1" applyProtection="1">
      <alignment horizontal="centerContinuous"/>
    </xf>
    <xf numFmtId="192" fontId="72" fillId="0" borderId="23" xfId="5" applyFont="1" applyBorder="1" applyAlignment="1">
      <alignment horizontal="centerContinuous"/>
    </xf>
    <xf numFmtId="192" fontId="71" fillId="0" borderId="46" xfId="5" applyFont="1" applyBorder="1" applyAlignment="1" applyProtection="1">
      <alignment horizontal="left"/>
    </xf>
    <xf numFmtId="192" fontId="72" fillId="0" borderId="48" xfId="5" applyFont="1" applyBorder="1"/>
    <xf numFmtId="192" fontId="75" fillId="0" borderId="23" xfId="5" applyFont="1" applyBorder="1" applyAlignment="1">
      <alignment horizontal="centerContinuous"/>
    </xf>
    <xf numFmtId="192" fontId="72" fillId="0" borderId="24" xfId="5" applyFont="1" applyBorder="1" applyAlignment="1">
      <alignment horizontal="centerContinuous"/>
    </xf>
    <xf numFmtId="192" fontId="73" fillId="0" borderId="0" xfId="5" applyFont="1" applyBorder="1" applyAlignment="1" applyProtection="1">
      <alignment horizontal="centerContinuous"/>
    </xf>
    <xf numFmtId="192" fontId="71" fillId="0" borderId="0" xfId="5" applyFont="1" applyBorder="1" applyAlignment="1" applyProtection="1">
      <alignment horizontal="left"/>
    </xf>
    <xf numFmtId="192" fontId="72" fillId="0" borderId="0" xfId="5" applyFont="1" applyBorder="1"/>
    <xf numFmtId="192" fontId="71" fillId="0" borderId="0" xfId="5" applyFont="1" applyBorder="1" applyAlignment="1">
      <alignment horizontal="centerContinuous"/>
    </xf>
    <xf numFmtId="192" fontId="76" fillId="0" borderId="0" xfId="5" applyFont="1"/>
    <xf numFmtId="192" fontId="76" fillId="0" borderId="0" xfId="5" applyFont="1" applyAlignment="1" applyProtection="1">
      <alignment horizontal="right"/>
    </xf>
    <xf numFmtId="192" fontId="76" fillId="0" borderId="0" xfId="5" applyFont="1" applyAlignment="1" applyProtection="1">
      <alignment horizontal="left"/>
      <protection locked="0"/>
    </xf>
    <xf numFmtId="192" fontId="76" fillId="0" borderId="0" xfId="5" applyFont="1" applyBorder="1" applyAlignment="1">
      <alignment horizontal="centerContinuous"/>
    </xf>
    <xf numFmtId="192" fontId="76" fillId="0" borderId="0" xfId="5" applyFont="1" applyBorder="1" applyAlignment="1" applyProtection="1">
      <alignment horizontal="left"/>
    </xf>
    <xf numFmtId="192" fontId="76" fillId="0" borderId="0" xfId="5" applyFont="1" applyBorder="1"/>
    <xf numFmtId="49" fontId="76" fillId="0" borderId="0" xfId="5" quotePrefix="1" applyNumberFormat="1" applyFont="1" applyAlignment="1" applyProtection="1">
      <alignment horizontal="left"/>
      <protection locked="0"/>
    </xf>
    <xf numFmtId="192" fontId="72" fillId="0" borderId="0" xfId="5" applyFont="1"/>
    <xf numFmtId="192" fontId="77" fillId="0" borderId="138" xfId="5" applyFont="1" applyBorder="1" applyAlignment="1" applyProtection="1">
      <alignment horizontal="centerContinuous"/>
    </xf>
    <xf numFmtId="192" fontId="73" fillId="0" borderId="139" xfId="5" applyFont="1" applyBorder="1" applyAlignment="1">
      <alignment horizontal="centerContinuous"/>
    </xf>
    <xf numFmtId="192" fontId="73" fillId="0" borderId="140" xfId="5" applyFont="1" applyBorder="1" applyAlignment="1">
      <alignment horizontal="centerContinuous"/>
    </xf>
    <xf numFmtId="192" fontId="76" fillId="0" borderId="45" xfId="5" applyFont="1" applyBorder="1"/>
    <xf numFmtId="192" fontId="76" fillId="0" borderId="0" xfId="5" applyFont="1" applyBorder="1" applyAlignment="1" applyProtection="1">
      <alignment horizontal="right"/>
    </xf>
    <xf numFmtId="192" fontId="76" fillId="0" borderId="0" xfId="5" applyFont="1" applyBorder="1" applyAlignment="1" applyProtection="1">
      <alignment horizontal="center"/>
      <protection locked="0"/>
    </xf>
    <xf numFmtId="192" fontId="76" fillId="0" borderId="21" xfId="5" applyFont="1" applyBorder="1" applyAlignment="1" applyProtection="1">
      <alignment horizontal="center"/>
      <protection locked="0"/>
    </xf>
    <xf numFmtId="192" fontId="76" fillId="0" borderId="0" xfId="5" applyFont="1" applyBorder="1" applyAlignment="1">
      <alignment horizontal="center"/>
    </xf>
    <xf numFmtId="49" fontId="76" fillId="0" borderId="0" xfId="5" applyNumberFormat="1" applyFont="1" applyBorder="1" applyAlignment="1">
      <alignment horizontal="center"/>
    </xf>
    <xf numFmtId="192" fontId="76" fillId="0" borderId="0" xfId="5" quotePrefix="1" applyFont="1" applyBorder="1" applyAlignment="1" applyProtection="1">
      <alignment horizontal="right"/>
    </xf>
    <xf numFmtId="192" fontId="76" fillId="0" borderId="0" xfId="5" quotePrefix="1" applyFont="1" applyBorder="1" applyAlignment="1" applyProtection="1">
      <alignment horizontal="center"/>
      <protection locked="0"/>
    </xf>
    <xf numFmtId="192" fontId="76" fillId="0" borderId="0" xfId="5" applyFont="1" applyBorder="1" applyAlignment="1" applyProtection="1">
      <alignment horizontal="left"/>
      <protection locked="0"/>
    </xf>
    <xf numFmtId="192" fontId="76" fillId="0" borderId="21" xfId="5" applyFont="1" applyBorder="1"/>
    <xf numFmtId="192" fontId="76" fillId="0" borderId="46" xfId="5" applyFont="1" applyBorder="1"/>
    <xf numFmtId="192" fontId="76" fillId="0" borderId="23" xfId="5" applyFont="1" applyBorder="1" applyAlignment="1" applyProtection="1">
      <alignment horizontal="right"/>
    </xf>
    <xf numFmtId="184" fontId="76" fillId="0" borderId="23" xfId="5" quotePrefix="1" applyNumberFormat="1" applyFont="1" applyBorder="1" applyAlignment="1" applyProtection="1">
      <alignment horizontal="center"/>
      <protection locked="0"/>
    </xf>
    <xf numFmtId="192" fontId="76" fillId="0" borderId="23" xfId="5" applyFont="1" applyBorder="1"/>
    <xf numFmtId="192" fontId="76" fillId="0" borderId="23" xfId="5" applyFont="1" applyBorder="1" applyAlignment="1">
      <alignment horizontal="right"/>
    </xf>
    <xf numFmtId="184" fontId="76" fillId="0" borderId="23" xfId="5" applyNumberFormat="1" applyFont="1" applyBorder="1" applyProtection="1"/>
    <xf numFmtId="192" fontId="76" fillId="0" borderId="24" xfId="5" applyFont="1" applyBorder="1"/>
    <xf numFmtId="192" fontId="78" fillId="0" borderId="45" xfId="5" quotePrefix="1" applyFont="1" applyBorder="1" applyAlignment="1">
      <alignment horizontal="left"/>
    </xf>
    <xf numFmtId="192" fontId="72" fillId="0" borderId="0" xfId="5" quotePrefix="1" applyFont="1" applyBorder="1" applyAlignment="1" applyProtection="1">
      <alignment horizontal="right"/>
    </xf>
    <xf numFmtId="192" fontId="72" fillId="0" borderId="108" xfId="5" applyFont="1" applyBorder="1"/>
    <xf numFmtId="192" fontId="78" fillId="0" borderId="0" xfId="5" applyFont="1" applyBorder="1" applyAlignment="1" applyProtection="1">
      <alignment horizontal="left"/>
    </xf>
    <xf numFmtId="192" fontId="72" fillId="0" borderId="0" xfId="5" applyFont="1" applyBorder="1" applyAlignment="1" applyProtection="1">
      <alignment horizontal="right"/>
    </xf>
    <xf numFmtId="192" fontId="72" fillId="0" borderId="108" xfId="5" applyFont="1" applyBorder="1" applyAlignment="1" applyProtection="1">
      <alignment horizontal="right"/>
    </xf>
    <xf numFmtId="192" fontId="78" fillId="0" borderId="0" xfId="5" quotePrefix="1" applyFont="1" applyBorder="1" applyAlignment="1" applyProtection="1">
      <alignment horizontal="left"/>
    </xf>
    <xf numFmtId="192" fontId="72" fillId="0" borderId="0" xfId="5" applyFont="1" applyBorder="1" applyAlignment="1">
      <alignment horizontal="right"/>
    </xf>
    <xf numFmtId="192" fontId="72" fillId="0" borderId="21" xfId="5" applyFont="1" applyBorder="1"/>
    <xf numFmtId="192" fontId="69" fillId="0" borderId="45" xfId="5" applyBorder="1"/>
    <xf numFmtId="192" fontId="76" fillId="0" borderId="0" xfId="5" applyFont="1" applyBorder="1" applyAlignment="1">
      <alignment horizontal="right"/>
    </xf>
    <xf numFmtId="192" fontId="76" fillId="0" borderId="108" xfId="5" applyFont="1" applyBorder="1" applyAlignment="1" applyProtection="1">
      <alignment horizontal="center"/>
      <protection locked="0"/>
    </xf>
    <xf numFmtId="1" fontId="76" fillId="0" borderId="108" xfId="5" applyNumberFormat="1" applyFont="1" applyBorder="1" applyAlignment="1">
      <alignment horizontal="center"/>
    </xf>
    <xf numFmtId="192" fontId="76" fillId="0" borderId="0" xfId="5" applyFont="1" applyBorder="1" applyAlignment="1">
      <alignment horizontal="left"/>
    </xf>
    <xf numFmtId="192" fontId="76" fillId="0" borderId="108" xfId="5" applyFont="1" applyBorder="1"/>
    <xf numFmtId="192" fontId="76" fillId="0" borderId="48" xfId="5" applyFont="1" applyBorder="1"/>
    <xf numFmtId="192" fontId="76" fillId="0" borderId="48" xfId="5" applyFont="1" applyBorder="1" applyAlignment="1">
      <alignment horizontal="left"/>
    </xf>
    <xf numFmtId="192" fontId="73" fillId="0" borderId="0" xfId="5" applyFont="1" applyBorder="1" applyAlignment="1">
      <alignment horizontal="centerContinuous"/>
    </xf>
    <xf numFmtId="192" fontId="73" fillId="0" borderId="0" xfId="5" applyFont="1" applyBorder="1"/>
    <xf numFmtId="192" fontId="77" fillId="0" borderId="141" xfId="5" applyFont="1" applyBorder="1" applyAlignment="1" applyProtection="1">
      <alignment horizontal="centerContinuous"/>
    </xf>
    <xf numFmtId="192" fontId="73" fillId="0" borderId="142" xfId="5" applyFont="1" applyBorder="1" applyAlignment="1">
      <alignment horizontal="centerContinuous"/>
    </xf>
    <xf numFmtId="192" fontId="69" fillId="0" borderId="143" xfId="5" applyBorder="1"/>
    <xf numFmtId="192" fontId="73" fillId="0" borderId="144" xfId="5" applyFont="1" applyBorder="1" applyAlignment="1">
      <alignment horizontal="centerContinuous"/>
    </xf>
    <xf numFmtId="192" fontId="78" fillId="0" borderId="45" xfId="5" applyFont="1" applyBorder="1" applyAlignment="1">
      <alignment horizontal="left"/>
    </xf>
    <xf numFmtId="192" fontId="69" fillId="0" borderId="108" xfId="5" applyBorder="1"/>
    <xf numFmtId="184" fontId="76" fillId="0" borderId="0" xfId="5" applyNumberFormat="1" applyFont="1" applyBorder="1" applyAlignment="1" applyProtection="1">
      <alignment horizontal="center"/>
      <protection locked="0"/>
    </xf>
    <xf numFmtId="192" fontId="76" fillId="0" borderId="45" xfId="5" applyFont="1" applyBorder="1" applyAlignment="1">
      <alignment horizontal="left"/>
    </xf>
    <xf numFmtId="192" fontId="69" fillId="0" borderId="48" xfId="5" applyBorder="1"/>
    <xf numFmtId="192" fontId="73" fillId="0" borderId="0" xfId="5" applyFont="1" applyBorder="1" applyAlignment="1">
      <alignment horizontal="left"/>
    </xf>
    <xf numFmtId="192" fontId="73" fillId="0" borderId="0" xfId="5" applyFont="1" applyAlignment="1">
      <alignment horizontal="left"/>
    </xf>
    <xf numFmtId="192" fontId="73" fillId="0" borderId="141" xfId="5" applyFont="1" applyBorder="1"/>
    <xf numFmtId="192" fontId="72" fillId="0" borderId="142" xfId="5" applyFont="1" applyBorder="1" applyAlignment="1">
      <alignment horizontal="left"/>
    </xf>
    <xf numFmtId="192" fontId="72" fillId="0" borderId="144" xfId="5" applyFont="1" applyBorder="1" applyAlignment="1">
      <alignment horizontal="left"/>
    </xf>
    <xf numFmtId="192" fontId="76" fillId="0" borderId="45" xfId="5" quotePrefix="1" applyFont="1" applyBorder="1" applyAlignment="1">
      <alignment horizontal="left"/>
    </xf>
    <xf numFmtId="192" fontId="76" fillId="0" borderId="21" xfId="5" applyFont="1" applyBorder="1" applyAlignment="1">
      <alignment horizontal="left"/>
    </xf>
    <xf numFmtId="192" fontId="79" fillId="0" borderId="145" xfId="5" applyFont="1" applyBorder="1"/>
    <xf numFmtId="192" fontId="76" fillId="0" borderId="0" xfId="5" quotePrefix="1" applyFont="1" applyBorder="1" applyAlignment="1" applyProtection="1">
      <alignment horizontal="left"/>
    </xf>
    <xf numFmtId="192" fontId="76" fillId="0" borderId="146" xfId="5" quotePrefix="1" applyFont="1" applyBorder="1" applyAlignment="1" applyProtection="1">
      <alignment horizontal="left"/>
    </xf>
    <xf numFmtId="192" fontId="76" fillId="0" borderId="147" xfId="5" quotePrefix="1" applyFont="1" applyBorder="1" applyAlignment="1">
      <alignment horizontal="left"/>
    </xf>
    <xf numFmtId="192" fontId="76" fillId="0" borderId="46" xfId="5" applyFont="1" applyBorder="1" applyAlignment="1">
      <alignment horizontal="left"/>
    </xf>
    <xf numFmtId="192" fontId="76" fillId="0" borderId="23" xfId="5" applyFont="1" applyBorder="1" applyAlignment="1">
      <alignment horizontal="left"/>
    </xf>
    <xf numFmtId="192" fontId="76" fillId="0" borderId="24" xfId="5" applyFont="1" applyBorder="1" applyAlignment="1">
      <alignment horizontal="left"/>
    </xf>
    <xf numFmtId="192" fontId="72" fillId="0" borderId="0" xfId="5" applyFont="1" applyAlignment="1">
      <alignment horizontal="left"/>
    </xf>
    <xf numFmtId="192" fontId="80" fillId="0" borderId="0" xfId="5" applyFont="1" applyAlignment="1" applyProtection="1">
      <alignment horizontal="right"/>
    </xf>
    <xf numFmtId="192" fontId="81" fillId="0" borderId="148" xfId="5" applyFont="1" applyBorder="1" applyAlignment="1" applyProtection="1">
      <alignment horizontal="center"/>
      <protection locked="0"/>
    </xf>
    <xf numFmtId="14" fontId="23" fillId="0" borderId="148" xfId="5" quotePrefix="1" applyNumberFormat="1" applyFont="1" applyBorder="1" applyAlignment="1" applyProtection="1">
      <alignment horizontal="center"/>
      <protection locked="0"/>
    </xf>
    <xf numFmtId="192" fontId="69" fillId="0" borderId="0" xfId="5" applyAlignment="1">
      <alignment horizontal="right"/>
    </xf>
    <xf numFmtId="49" fontId="62" fillId="0" borderId="40" xfId="4" applyNumberFormat="1" applyFont="1" applyBorder="1"/>
  </cellXfs>
  <cellStyles count="6">
    <cellStyle name="Normal" xfId="0" builtinId="0"/>
    <cellStyle name="Normal 2" xfId="1"/>
    <cellStyle name="Normal 3" xfId="4"/>
    <cellStyle name="Normal 4" xfId="5"/>
    <cellStyle name="Normal_OPTEST" xfId="2"/>
    <cellStyle name="Normal_PROJ_REV_HIST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8.7999999523162842E-3</c:v>
                </c:pt>
                <c:pt idx="2">
                  <c:v>4.3999999761581421E-2</c:v>
                </c:pt>
                <c:pt idx="3" formatCode="0.00">
                  <c:v>9.4315789639949799E-2</c:v>
                </c:pt>
                <c:pt idx="4" formatCode="0.00">
                  <c:v>0.14463157951831818</c:v>
                </c:pt>
                <c:pt idx="5" formatCode="0.00">
                  <c:v>0.19494737684726715</c:v>
                </c:pt>
                <c:pt idx="6" formatCode="0.00">
                  <c:v>0.29557895660400391</c:v>
                </c:pt>
                <c:pt idx="7" formatCode="0.00">
                  <c:v>0.39621052145957947</c:v>
                </c:pt>
                <c:pt idx="8" formatCode="0.00">
                  <c:v>0.49684211611747742</c:v>
                </c:pt>
                <c:pt idx="9" formatCode="0.00">
                  <c:v>0.59747368097305298</c:v>
                </c:pt>
                <c:pt idx="10" formatCode="0.00">
                  <c:v>0.69810527563095093</c:v>
                </c:pt>
                <c:pt idx="11" formatCode="0.00">
                  <c:v>0.79873687028884888</c:v>
                </c:pt>
                <c:pt idx="12" formatCode="0.00">
                  <c:v>0.89936840534210205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119.9406485517146</c:v>
                </c:pt>
                <c:pt idx="2">
                  <c:v>295</c:v>
                </c:pt>
                <c:pt idx="3">
                  <c:v>214.69264928416504</c:v>
                </c:pt>
                <c:pt idx="4">
                  <c:v>164.64657828684634</c:v>
                </c:pt>
                <c:pt idx="5">
                  <c:v>141.21928034839218</c:v>
                </c:pt>
                <c:pt idx="6">
                  <c:v>126.85496346221927</c:v>
                </c:pt>
                <c:pt idx="7">
                  <c:v>121.39413986657348</c:v>
                </c:pt>
                <c:pt idx="8">
                  <c:v>118.70072184865019</c:v>
                </c:pt>
                <c:pt idx="9">
                  <c:v>117.14160493694172</c:v>
                </c:pt>
                <c:pt idx="10">
                  <c:v>116.16886179598197</c:v>
                </c:pt>
                <c:pt idx="11">
                  <c:v>115.56814058213389</c:v>
                </c:pt>
                <c:pt idx="12">
                  <c:v>115.20504052509541</c:v>
                </c:pt>
                <c:pt idx="13">
                  <c:v>115</c:v>
                </c:pt>
              </c:numCache>
            </c:numRef>
          </c:yVal>
          <c:smooth val="1"/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8.7999999523162842E-3</c:v>
                </c:pt>
                <c:pt idx="2">
                  <c:v>4.3999999761581421E-2</c:v>
                </c:pt>
                <c:pt idx="3" formatCode="0.00">
                  <c:v>9.4315789639949799E-2</c:v>
                </c:pt>
                <c:pt idx="4" formatCode="0.00">
                  <c:v>0.14463157951831818</c:v>
                </c:pt>
                <c:pt idx="5" formatCode="0.00">
                  <c:v>0.19494737684726715</c:v>
                </c:pt>
                <c:pt idx="6" formatCode="0.00">
                  <c:v>0.29557895660400391</c:v>
                </c:pt>
                <c:pt idx="7" formatCode="0.00">
                  <c:v>0.39621052145957947</c:v>
                </c:pt>
                <c:pt idx="8" formatCode="0.00">
                  <c:v>0.49684211611747742</c:v>
                </c:pt>
                <c:pt idx="9" formatCode="0.00">
                  <c:v>0.59747368097305298</c:v>
                </c:pt>
                <c:pt idx="10" formatCode="0.00">
                  <c:v>0.69810527563095093</c:v>
                </c:pt>
                <c:pt idx="11" formatCode="0.00">
                  <c:v>0.79873687028884888</c:v>
                </c:pt>
                <c:pt idx="12" formatCode="0.00">
                  <c:v>0.89936840534210205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98.239997863769531</c:v>
                </c:pt>
                <c:pt idx="2">
                  <c:v>88.650001525878906</c:v>
                </c:pt>
                <c:pt idx="3">
                  <c:v>75.477897644042969</c:v>
                </c:pt>
                <c:pt idx="4">
                  <c:v>62.395790100097656</c:v>
                </c:pt>
                <c:pt idx="5">
                  <c:v>51.111576080322266</c:v>
                </c:pt>
                <c:pt idx="6">
                  <c:v>33.751575469970703</c:v>
                </c:pt>
                <c:pt idx="7">
                  <c:v>22.416843414306641</c:v>
                </c:pt>
                <c:pt idx="8">
                  <c:v>14.252630233764648</c:v>
                </c:pt>
                <c:pt idx="9">
                  <c:v>8.1515789031982422</c:v>
                </c:pt>
                <c:pt idx="10">
                  <c:v>6.0378942489624023</c:v>
                </c:pt>
                <c:pt idx="11">
                  <c:v>7.9747371673583984</c:v>
                </c:pt>
                <c:pt idx="12">
                  <c:v>14.955788612365723</c:v>
                </c:pt>
                <c:pt idx="13">
                  <c:v>30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33952"/>
        <c:axId val="42735872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8.7999999523162842E-3</c:v>
                </c:pt>
                <c:pt idx="2">
                  <c:v>4.3999999761581421E-2</c:v>
                </c:pt>
                <c:pt idx="3" formatCode="0.00">
                  <c:v>9.4315789639949799E-2</c:v>
                </c:pt>
                <c:pt idx="4" formatCode="0.00">
                  <c:v>0.14463157951831818</c:v>
                </c:pt>
                <c:pt idx="5" formatCode="0.00">
                  <c:v>0.19494737684726715</c:v>
                </c:pt>
                <c:pt idx="6" formatCode="0.00">
                  <c:v>0.29557895660400391</c:v>
                </c:pt>
                <c:pt idx="7" formatCode="0.00">
                  <c:v>0.39621052145957947</c:v>
                </c:pt>
                <c:pt idx="8" formatCode="0.00">
                  <c:v>0.49684211611747742</c:v>
                </c:pt>
                <c:pt idx="9" formatCode="0.00">
                  <c:v>0.59747368097305298</c:v>
                </c:pt>
                <c:pt idx="10" formatCode="0.00">
                  <c:v>0.69810527563095093</c:v>
                </c:pt>
                <c:pt idx="11" formatCode="0.00">
                  <c:v>0.79873687028884888</c:v>
                </c:pt>
                <c:pt idx="12" formatCode="0.00">
                  <c:v>0.89936840534210205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0.29668378829956055</c:v>
                </c:pt>
                <c:pt idx="1">
                  <c:v>120.932373046875</c:v>
                </c:pt>
                <c:pt idx="2">
                  <c:v>402.61477661132812</c:v>
                </c:pt>
                <c:pt idx="3">
                  <c:v>507.12139892578125</c:v>
                </c:pt>
                <c:pt idx="4">
                  <c:v>541.38995361328125</c:v>
                </c:pt>
                <c:pt idx="5">
                  <c:v>558.24517822265625</c:v>
                </c:pt>
                <c:pt idx="6">
                  <c:v>578.217041015625</c:v>
                </c:pt>
                <c:pt idx="7">
                  <c:v>592.8525390625</c:v>
                </c:pt>
                <c:pt idx="8">
                  <c:v>605.2913818359375</c:v>
                </c:pt>
                <c:pt idx="9">
                  <c:v>616.116455078125</c:v>
                </c:pt>
                <c:pt idx="10">
                  <c:v>625.19488525390625</c:v>
                </c:pt>
                <c:pt idx="11">
                  <c:v>632.91131591796875</c:v>
                </c:pt>
                <c:pt idx="12">
                  <c:v>639.3201904296875</c:v>
                </c:pt>
                <c:pt idx="13">
                  <c:v>644.82763671875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46240"/>
        <c:axId val="42747776"/>
      </c:scatterChart>
      <c:valAx>
        <c:axId val="4273395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735872"/>
        <c:crossesAt val="0"/>
        <c:crossBetween val="midCat"/>
        <c:majorUnit val="0.2"/>
        <c:minorUnit val="0.2"/>
      </c:valAx>
      <c:valAx>
        <c:axId val="42735872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733952"/>
        <c:crosses val="max"/>
        <c:crossBetween val="midCat"/>
        <c:majorUnit val="50"/>
        <c:minorUnit val="50"/>
      </c:valAx>
      <c:valAx>
        <c:axId val="4274624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2747776"/>
        <c:crosses val="autoZero"/>
        <c:crossBetween val="midCat"/>
      </c:valAx>
      <c:valAx>
        <c:axId val="4274777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74624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99.120000004768372</c:v>
                </c:pt>
                <c:pt idx="2">
                  <c:v>95.600000023841858</c:v>
                </c:pt>
                <c:pt idx="3">
                  <c:v>90.56842103600502</c:v>
                </c:pt>
                <c:pt idx="4">
                  <c:v>85.536842048168182</c:v>
                </c:pt>
                <c:pt idx="5">
                  <c:v>80.505262315273285</c:v>
                </c:pt>
                <c:pt idx="6">
                  <c:v>70.442104339599609</c:v>
                </c:pt>
                <c:pt idx="7">
                  <c:v>60.378947854042053</c:v>
                </c:pt>
                <c:pt idx="8">
                  <c:v>50.315788388252258</c:v>
                </c:pt>
                <c:pt idx="9">
                  <c:v>40.252631902694702</c:v>
                </c:pt>
                <c:pt idx="10">
                  <c:v>30.189472436904907</c:v>
                </c:pt>
                <c:pt idx="11">
                  <c:v>20.126312971115112</c:v>
                </c:pt>
                <c:pt idx="12">
                  <c:v>10.063159465789795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98.239997863769531</c:v>
                </c:pt>
                <c:pt idx="2">
                  <c:v>88.650001525878906</c:v>
                </c:pt>
                <c:pt idx="3">
                  <c:v>75.477897644042969</c:v>
                </c:pt>
                <c:pt idx="4">
                  <c:v>62.395790100097656</c:v>
                </c:pt>
                <c:pt idx="5">
                  <c:v>51.111576080322266</c:v>
                </c:pt>
                <c:pt idx="6">
                  <c:v>33.751575469970703</c:v>
                </c:pt>
                <c:pt idx="7">
                  <c:v>22.416843414306641</c:v>
                </c:pt>
                <c:pt idx="8">
                  <c:v>14.252630233764648</c:v>
                </c:pt>
                <c:pt idx="9">
                  <c:v>8.1515789031982422</c:v>
                </c:pt>
                <c:pt idx="10">
                  <c:v>6.0378942489624023</c:v>
                </c:pt>
                <c:pt idx="11">
                  <c:v>7.9747371673583984</c:v>
                </c:pt>
                <c:pt idx="12">
                  <c:v>14.955788612365723</c:v>
                </c:pt>
                <c:pt idx="13">
                  <c:v>30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75776"/>
        <c:axId val="46878080"/>
      </c:scatterChar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99.120000004768372</c:v>
                </c:pt>
                <c:pt idx="2">
                  <c:v>95.600000023841858</c:v>
                </c:pt>
                <c:pt idx="3">
                  <c:v>90.56842103600502</c:v>
                </c:pt>
                <c:pt idx="4">
                  <c:v>85.536842048168182</c:v>
                </c:pt>
                <c:pt idx="5">
                  <c:v>80.505262315273285</c:v>
                </c:pt>
                <c:pt idx="6">
                  <c:v>70.442104339599609</c:v>
                </c:pt>
                <c:pt idx="7">
                  <c:v>60.378947854042053</c:v>
                </c:pt>
                <c:pt idx="8">
                  <c:v>50.315788388252258</c:v>
                </c:pt>
                <c:pt idx="9">
                  <c:v>40.252631902694702</c:v>
                </c:pt>
                <c:pt idx="10">
                  <c:v>30.189472436904907</c:v>
                </c:pt>
                <c:pt idx="11">
                  <c:v>20.126312971115112</c:v>
                </c:pt>
                <c:pt idx="12">
                  <c:v>10.063159465789795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119.9406485517146</c:v>
                </c:pt>
                <c:pt idx="2">
                  <c:v>295</c:v>
                </c:pt>
                <c:pt idx="3">
                  <c:v>214.69264928416504</c:v>
                </c:pt>
                <c:pt idx="4">
                  <c:v>164.64657828684634</c:v>
                </c:pt>
                <c:pt idx="5">
                  <c:v>141.21928034839218</c:v>
                </c:pt>
                <c:pt idx="6">
                  <c:v>126.85496346221927</c:v>
                </c:pt>
                <c:pt idx="7">
                  <c:v>121.39413986657348</c:v>
                </c:pt>
                <c:pt idx="8">
                  <c:v>118.70072184865019</c:v>
                </c:pt>
                <c:pt idx="9">
                  <c:v>117.14160493694172</c:v>
                </c:pt>
                <c:pt idx="10">
                  <c:v>116.16886179598197</c:v>
                </c:pt>
                <c:pt idx="11">
                  <c:v>115.56814058213389</c:v>
                </c:pt>
                <c:pt idx="12">
                  <c:v>115.20504052509541</c:v>
                </c:pt>
                <c:pt idx="13">
                  <c:v>115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75776"/>
        <c:axId val="46878080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99.120000004768372</c:v>
                </c:pt>
                <c:pt idx="2">
                  <c:v>95.600000023841858</c:v>
                </c:pt>
                <c:pt idx="3">
                  <c:v>90.56842103600502</c:v>
                </c:pt>
                <c:pt idx="4">
                  <c:v>85.536842048168182</c:v>
                </c:pt>
                <c:pt idx="5">
                  <c:v>80.505262315273285</c:v>
                </c:pt>
                <c:pt idx="6">
                  <c:v>70.442104339599609</c:v>
                </c:pt>
                <c:pt idx="7">
                  <c:v>60.378947854042053</c:v>
                </c:pt>
                <c:pt idx="8">
                  <c:v>50.315788388252258</c:v>
                </c:pt>
                <c:pt idx="9">
                  <c:v>40.252631902694702</c:v>
                </c:pt>
                <c:pt idx="10">
                  <c:v>30.189472436904907</c:v>
                </c:pt>
                <c:pt idx="11">
                  <c:v>20.126312971115112</c:v>
                </c:pt>
                <c:pt idx="12">
                  <c:v>10.063159465789795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0.29668378829956055</c:v>
                </c:pt>
                <c:pt idx="1">
                  <c:v>120.932373046875</c:v>
                </c:pt>
                <c:pt idx="2">
                  <c:v>402.61477661132812</c:v>
                </c:pt>
                <c:pt idx="3">
                  <c:v>507.12139892578125</c:v>
                </c:pt>
                <c:pt idx="4">
                  <c:v>541.38995361328125</c:v>
                </c:pt>
                <c:pt idx="5">
                  <c:v>558.24517822265625</c:v>
                </c:pt>
                <c:pt idx="6">
                  <c:v>578.217041015625</c:v>
                </c:pt>
                <c:pt idx="7">
                  <c:v>592.8525390625</c:v>
                </c:pt>
                <c:pt idx="8">
                  <c:v>605.2913818359375</c:v>
                </c:pt>
                <c:pt idx="9">
                  <c:v>616.116455078125</c:v>
                </c:pt>
                <c:pt idx="10">
                  <c:v>625.19488525390625</c:v>
                </c:pt>
                <c:pt idx="11">
                  <c:v>632.91131591796875</c:v>
                </c:pt>
                <c:pt idx="12">
                  <c:v>639.3201904296875</c:v>
                </c:pt>
                <c:pt idx="13">
                  <c:v>644.82763671875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47360"/>
        <c:axId val="112550272"/>
      </c:scatterChart>
      <c:valAx>
        <c:axId val="4687577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6878080"/>
        <c:crosses val="autoZero"/>
        <c:crossBetween val="midCat"/>
        <c:majorUnit val="20"/>
        <c:minorUnit val="20"/>
      </c:valAx>
      <c:valAx>
        <c:axId val="46878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6875776"/>
        <c:crosses val="autoZero"/>
        <c:crossBetween val="midCat"/>
      </c:valAx>
      <c:valAx>
        <c:axId val="11164736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12550272"/>
        <c:crosses val="autoZero"/>
        <c:crossBetween val="midCat"/>
      </c:valAx>
      <c:valAx>
        <c:axId val="112550272"/>
        <c:scaling>
          <c:orientation val="minMax"/>
          <c:max val="10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1647360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89290320649082366"/>
          <c:w val="0.25090132154533312"/>
          <c:h val="0.1070967935091763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644.82758620689651</c:v>
                </c:pt>
                <c:pt idx="1">
                  <c:v>580.55815172413793</c:v>
                </c:pt>
                <c:pt idx="2">
                  <c:v>516.26943448275858</c:v>
                </c:pt>
                <c:pt idx="3">
                  <c:v>452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43.178127730009578</c:v>
                </c:pt>
                <c:pt idx="2">
                  <c:v>54.601231044219539</c:v>
                </c:pt>
                <c:pt idx="3">
                  <c:v>71.232533663900085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644.82758620689651</c:v>
                </c:pt>
                <c:pt idx="1">
                  <c:v>580.55815172413793</c:v>
                </c:pt>
                <c:pt idx="2">
                  <c:v>516.26943448275858</c:v>
                </c:pt>
                <c:pt idx="3">
                  <c:v>452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18.504911884289818</c:v>
                </c:pt>
                <c:pt idx="2">
                  <c:v>23.400527590379802</c:v>
                </c:pt>
                <c:pt idx="3">
                  <c:v>30.528228713100034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352</c:v>
                </c:pt>
                <c:pt idx="1">
                  <c:v>252</c:v>
                </c:pt>
                <c:pt idx="2">
                  <c:v>295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71.669511508200969</c:v>
                </c:pt>
                <c:pt idx="3">
                  <c:v>192.50121108028355</c:v>
                </c:pt>
                <c:pt idx="4">
                  <c:v>296.64871529137633</c:v>
                </c:pt>
                <c:pt idx="5" formatCode="0">
                  <c:v>600</c:v>
                </c:pt>
                <c:pt idx="6" formatCode="0">
                  <c:v>1200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644.82758620689651</c:v>
                </c:pt>
                <c:pt idx="1">
                  <c:v>642.06896551724139</c:v>
                </c:pt>
                <c:pt idx="2">
                  <c:v>636.0344827586207</c:v>
                </c:pt>
                <c:pt idx="3">
                  <c:v>629.13793103448279</c:v>
                </c:pt>
                <c:pt idx="4">
                  <c:v>620.68965517241384</c:v>
                </c:pt>
                <c:pt idx="5">
                  <c:v>610.68965517241384</c:v>
                </c:pt>
                <c:pt idx="6">
                  <c:v>599.13793103448279</c:v>
                </c:pt>
                <c:pt idx="7">
                  <c:v>585.51724137931035</c:v>
                </c:pt>
                <c:pt idx="8">
                  <c:v>568.27586206896547</c:v>
                </c:pt>
                <c:pt idx="9">
                  <c:v>549.82758620689651</c:v>
                </c:pt>
                <c:pt idx="10">
                  <c:v>524.31034482758628</c:v>
                </c:pt>
                <c:pt idx="11">
                  <c:v>454.82758620689657</c:v>
                </c:pt>
                <c:pt idx="12">
                  <c:v>295</c:v>
                </c:pt>
                <c:pt idx="13">
                  <c:v>125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1.0470000505447388</c:v>
                </c:pt>
                <c:pt idx="2">
                  <c:v>1.9800000190734863</c:v>
                </c:pt>
                <c:pt idx="3">
                  <c:v>2.8700001239776611</c:v>
                </c:pt>
                <c:pt idx="4">
                  <c:v>3.755000114440918</c:v>
                </c:pt>
                <c:pt idx="5">
                  <c:v>4.6640000343322754</c:v>
                </c:pt>
                <c:pt idx="6">
                  <c:v>5.6170001029968262</c:v>
                </c:pt>
                <c:pt idx="7">
                  <c:v>6.6270003318786621</c:v>
                </c:pt>
                <c:pt idx="8">
                  <c:v>7.6850004196166992</c:v>
                </c:pt>
                <c:pt idx="9">
                  <c:v>8.189000129699707</c:v>
                </c:pt>
                <c:pt idx="10">
                  <c:v>8.5910005569458008</c:v>
                </c:pt>
                <c:pt idx="11">
                  <c:v>8.8720006942749023</c:v>
                </c:pt>
                <c:pt idx="12">
                  <c:v>9.1690006256103516</c:v>
                </c:pt>
                <c:pt idx="13">
                  <c:v>9.2380008697509766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19616"/>
        <c:axId val="113121536"/>
      </c:scatterChart>
      <c:valAx>
        <c:axId val="11311961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121536"/>
        <c:crossesAt val="0.1"/>
        <c:crossBetween val="midCat"/>
        <c:majorUnit val="100"/>
      </c:valAx>
      <c:valAx>
        <c:axId val="113121536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11961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90.719795227050781</c:v>
                </c:pt>
                <c:pt idx="2">
                  <c:v>94.191238403320313</c:v>
                </c:pt>
                <c:pt idx="3">
                  <c:v>95.066482543945313</c:v>
                </c:pt>
                <c:pt idx="4">
                  <c:v>95.231391906738281</c:v>
                </c:pt>
                <c:pt idx="5">
                  <c:v>95.09326171875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57.82183837890625</c:v>
                </c:pt>
                <c:pt idx="1">
                  <c:v>78.699455261230469</c:v>
                </c:pt>
                <c:pt idx="2">
                  <c:v>85.746101379394531</c:v>
                </c:pt>
                <c:pt idx="3">
                  <c:v>88.245986938476562</c:v>
                </c:pt>
                <c:pt idx="4">
                  <c:v>88.88739013671875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67.956703249432564</c:v>
                </c:pt>
                <c:pt idx="2">
                  <c:v>62.152629713398213</c:v>
                </c:pt>
                <c:pt idx="3">
                  <c:v>56.190659236023201</c:v>
                </c:pt>
                <c:pt idx="4">
                  <c:v>50.059022146424127</c:v>
                </c:pt>
                <c:pt idx="5">
                  <c:v>43.81281252466043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0.4572</c:v>
                </c:pt>
                <c:pt idx="1">
                  <c:v>9.2574594060193114</c:v>
                </c:pt>
                <c:pt idx="2">
                  <c:v>17.832547144894466</c:v>
                </c:pt>
                <c:pt idx="3">
                  <c:v>26.502554348955037</c:v>
                </c:pt>
                <c:pt idx="4">
                  <c:v>35.275548216429733</c:v>
                </c:pt>
                <c:pt idx="5">
                  <c:v>44.158481657618651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38880"/>
        <c:axId val="117753344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17.319510092940096</c:v>
                </c:pt>
                <c:pt idx="1">
                  <c:v>23.109579086303711</c:v>
                </c:pt>
                <c:pt idx="2">
                  <c:v>32.706478118896484</c:v>
                </c:pt>
                <c:pt idx="3">
                  <c:v>44.613418579101563</c:v>
                </c:pt>
                <c:pt idx="4">
                  <c:v>57.699348449707031</c:v>
                </c:pt>
                <c:pt idx="5">
                  <c:v>71.707748413085937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55264"/>
        <c:axId val="117761152"/>
      </c:scatterChart>
      <c:valAx>
        <c:axId val="11773888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753344"/>
        <c:crossesAt val="0"/>
        <c:crossBetween val="midCat"/>
        <c:majorUnit val="25"/>
        <c:minorUnit val="12.5"/>
      </c:valAx>
      <c:valAx>
        <c:axId val="117753344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738880"/>
        <c:crosses val="autoZero"/>
        <c:crossBetween val="midCat"/>
        <c:majorUnit val="10"/>
        <c:minorUnit val="5"/>
      </c:valAx>
      <c:valAx>
        <c:axId val="11775526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17761152"/>
        <c:crosses val="autoZero"/>
        <c:crossBetween val="midCat"/>
      </c:valAx>
      <c:valAx>
        <c:axId val="117761152"/>
        <c:scaling>
          <c:orientation val="minMax"/>
          <c:max val="8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755264"/>
        <c:crosses val="max"/>
        <c:crossBetween val="midCat"/>
        <c:majorUnit val="8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32.05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2.00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8.7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69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362.6</a:t>
          </a: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0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38.0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71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63.5</a:t>
          </a: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72" name="Thickness"/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42.0</a:t>
          </a:r>
        </a:p>
      </xdr:txBody>
    </xdr:sp>
    <xdr:clientData/>
  </xdr:twoCellAnchor>
  <xdr:twoCellAnchor>
    <xdr:from>
      <xdr:col>1</xdr:col>
      <xdr:colOff>285750</xdr:colOff>
      <xdr:row>39</xdr:row>
      <xdr:rowOff>161925</xdr:rowOff>
    </xdr:from>
    <xdr:to>
      <xdr:col>3</xdr:col>
      <xdr:colOff>504825</xdr:colOff>
      <xdr:row>43</xdr:row>
      <xdr:rowOff>0</xdr:rowOff>
    </xdr:to>
    <xdr:grpSp>
      <xdr:nvGrpSpPr>
        <xdr:cNvPr id="73" name="Group 191"/>
        <xdr:cNvGrpSpPr>
          <a:grpSpLocks/>
        </xdr:cNvGrpSpPr>
      </xdr:nvGrpSpPr>
      <xdr:grpSpPr bwMode="auto">
        <a:xfrm>
          <a:off x="1095375" y="9144000"/>
          <a:ext cx="1143000" cy="752475"/>
          <a:chOff x="93" y="938"/>
          <a:chExt cx="120" cy="79"/>
        </a:xfrm>
      </xdr:grpSpPr>
      <xdr:sp macro="" textlink="">
        <xdr:nvSpPr>
          <xdr:cNvPr id="74" name="Line 192"/>
          <xdr:cNvSpPr>
            <a:spLocks noChangeShapeType="1"/>
          </xdr:cNvSpPr>
        </xdr:nvSpPr>
        <xdr:spPr bwMode="auto">
          <a:xfrm flipH="1">
            <a:off x="189" y="96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193"/>
          <xdr:cNvSpPr>
            <a:spLocks noChangeShapeType="1"/>
          </xdr:cNvSpPr>
        </xdr:nvSpPr>
        <xdr:spPr bwMode="auto">
          <a:xfrm flipV="1">
            <a:off x="154" y="986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194"/>
          <xdr:cNvSpPr>
            <a:spLocks noChangeShapeType="1"/>
          </xdr:cNvSpPr>
        </xdr:nvSpPr>
        <xdr:spPr bwMode="auto">
          <a:xfrm flipV="1">
            <a:off x="186" y="98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195"/>
          <xdr:cNvSpPr>
            <a:spLocks noChangeShapeType="1"/>
          </xdr:cNvSpPr>
        </xdr:nvSpPr>
        <xdr:spPr bwMode="auto">
          <a:xfrm flipV="1">
            <a:off x="155" y="991"/>
            <a:ext cx="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196"/>
          <xdr:cNvSpPr>
            <a:spLocks noChangeShapeType="1"/>
          </xdr:cNvSpPr>
        </xdr:nvSpPr>
        <xdr:spPr bwMode="auto">
          <a:xfrm flipV="1">
            <a:off x="200" y="96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197"/>
          <xdr:cNvSpPr>
            <a:spLocks noChangeShapeType="1"/>
          </xdr:cNvSpPr>
        </xdr:nvSpPr>
        <xdr:spPr bwMode="auto">
          <a:xfrm flipV="1">
            <a:off x="162" y="96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Text 583"/>
          <xdr:cNvSpPr txBox="1">
            <a:spLocks noChangeArrowheads="1"/>
          </xdr:cNvSpPr>
        </xdr:nvSpPr>
        <xdr:spPr bwMode="auto">
          <a:xfrm>
            <a:off x="200" y="1007"/>
            <a:ext cx="13" cy="1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grpSp>
        <xdr:nvGrpSpPr>
          <xdr:cNvPr id="81" name="Group 199"/>
          <xdr:cNvGrpSpPr>
            <a:grpSpLocks/>
          </xdr:cNvGrpSpPr>
        </xdr:nvGrpSpPr>
        <xdr:grpSpPr bwMode="auto">
          <a:xfrm>
            <a:off x="93" y="938"/>
            <a:ext cx="93" cy="77"/>
            <a:chOff x="13440000" y="15720000"/>
            <a:chExt cx="1900000" cy="1540000"/>
          </a:xfrm>
        </xdr:grpSpPr>
        <xdr:grpSp>
          <xdr:nvGrpSpPr>
            <xdr:cNvPr id="83" name="Group 200"/>
            <xdr:cNvGrpSpPr>
              <a:grpSpLocks/>
            </xdr:cNvGrpSpPr>
          </xdr:nvGrpSpPr>
          <xdr:grpSpPr bwMode="auto">
            <a:xfrm>
              <a:off x="13440000" y="15720000"/>
              <a:ext cx="1900000" cy="1540000"/>
              <a:chOff x="13440000" y="15720000"/>
              <a:chExt cx="1900000" cy="1540000"/>
            </a:xfrm>
          </xdr:grpSpPr>
          <xdr:sp macro="" textlink="">
            <xdr:nvSpPr>
              <xdr:cNvPr id="85" name="Line 201"/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6" name="Line 202"/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7" name="Line 203"/>
              <xdr:cNvSpPr>
                <a:spLocks noChangeShapeType="1"/>
              </xdr:cNvSpPr>
            </xdr:nvSpPr>
            <xdr:spPr bwMode="auto">
              <a:xfrm flipV="1">
                <a:off x="14060000" y="1582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8" name="Line 204"/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9" name="Line 205"/>
              <xdr:cNvSpPr>
                <a:spLocks noChangeShapeType="1"/>
              </xdr:cNvSpPr>
            </xdr:nvSpPr>
            <xdr:spPr bwMode="auto">
              <a:xfrm flipV="1">
                <a:off x="14060000" y="1626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0" name="Line 206"/>
              <xdr:cNvSpPr>
                <a:spLocks noChangeShapeType="1"/>
              </xdr:cNvSpPr>
            </xdr:nvSpPr>
            <xdr:spPr bwMode="auto">
              <a:xfrm flipH="1">
                <a:off x="14700000" y="16280000"/>
                <a:ext cx="0" cy="36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4" name="Line 207"/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2" name="Line 208"/>
          <xdr:cNvSpPr>
            <a:spLocks noChangeShapeType="1"/>
          </xdr:cNvSpPr>
        </xdr:nvSpPr>
        <xdr:spPr bwMode="auto">
          <a:xfrm flipV="1">
            <a:off x="124" y="975"/>
            <a:ext cx="2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0.68766</cdr:x>
      <cdr:y>0.63028</cdr:y>
    </cdr:from>
    <cdr:to>
      <cdr:x>0.92351</cdr:x>
      <cdr:y>0.65097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21684" y="40583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0.68278</cdr:x>
      <cdr:y>0.54828</cdr:y>
    </cdr:from>
    <cdr:to>
      <cdr:x>0.9656</cdr:x>
      <cdr:y>0.57341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93109" y="35303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1176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1172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1168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1164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1160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352423</xdr:colOff>
      <xdr:row>16</xdr:row>
      <xdr:rowOff>85725</xdr:rowOff>
    </xdr:from>
    <xdr:to>
      <xdr:col>5</xdr:col>
      <xdr:colOff>847724</xdr:colOff>
      <xdr:row>17</xdr:row>
      <xdr:rowOff>38100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924548" y="3981450"/>
          <a:ext cx="49530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500</a:t>
          </a:r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43599" y="64579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53124" y="68675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</a:t>
          </a:r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66675</xdr:rowOff>
    </xdr:from>
    <xdr:to>
      <xdr:col>5</xdr:col>
      <xdr:colOff>788250</xdr:colOff>
      <xdr:row>24</xdr:row>
      <xdr:rowOff>19050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43599" y="56292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371474</xdr:colOff>
      <xdr:row>21</xdr:row>
      <xdr:rowOff>133350</xdr:rowOff>
    </xdr:from>
    <xdr:to>
      <xdr:col>5</xdr:col>
      <xdr:colOff>788250</xdr:colOff>
      <xdr:row>22</xdr:row>
      <xdr:rowOff>85725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43599" y="521970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361949</xdr:colOff>
      <xdr:row>19</xdr:row>
      <xdr:rowOff>200025</xdr:rowOff>
    </xdr:from>
    <xdr:to>
      <xdr:col>5</xdr:col>
      <xdr:colOff>778725</xdr:colOff>
      <xdr:row>20</xdr:row>
      <xdr:rowOff>152400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34074" y="48101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361949</xdr:colOff>
      <xdr:row>18</xdr:row>
      <xdr:rowOff>28575</xdr:rowOff>
    </xdr:from>
    <xdr:to>
      <xdr:col>5</xdr:col>
      <xdr:colOff>778725</xdr:colOff>
      <xdr:row>18</xdr:row>
      <xdr:rowOff>219075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34074" y="44005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523875</xdr:colOff>
      <xdr:row>19</xdr:row>
      <xdr:rowOff>123825</xdr:rowOff>
    </xdr:from>
    <xdr:to>
      <xdr:col>3</xdr:col>
      <xdr:colOff>857250</xdr:colOff>
      <xdr:row>20</xdr:row>
      <xdr:rowOff>57150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867150" y="47339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923925</xdr:colOff>
      <xdr:row>23</xdr:row>
      <xdr:rowOff>228600</xdr:rowOff>
    </xdr:from>
    <xdr:to>
      <xdr:col>3</xdr:col>
      <xdr:colOff>152400</xdr:colOff>
      <xdr:row>24</xdr:row>
      <xdr:rowOff>133350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152775" y="57912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2</xdr:col>
      <xdr:colOff>161925</xdr:colOff>
      <xdr:row>29</xdr:row>
      <xdr:rowOff>38100</xdr:rowOff>
    </xdr:from>
    <xdr:to>
      <xdr:col>2</xdr:col>
      <xdr:colOff>600075</xdr:colOff>
      <xdr:row>29</xdr:row>
      <xdr:rowOff>190500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390775" y="702945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571500</xdr:colOff>
      <xdr:row>31</xdr:row>
      <xdr:rowOff>171450</xdr:rowOff>
    </xdr:from>
    <xdr:to>
      <xdr:col>2</xdr:col>
      <xdr:colOff>1076325</xdr:colOff>
      <xdr:row>32</xdr:row>
      <xdr:rowOff>85725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800350" y="763905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DesPro\Destem\Customer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Curve"/>
      <sheetName val="Performance"/>
      <sheetName val="Thermdam"/>
    </sheetNames>
    <sheetDataSet>
      <sheetData sheetId="0">
        <row r="54">
          <cell r="A54">
            <v>100</v>
          </cell>
          <cell r="B54">
            <v>0</v>
          </cell>
          <cell r="C54">
            <v>0.23980163037776947</v>
          </cell>
        </row>
        <row r="55">
          <cell r="A55">
            <v>99.416782846674323</v>
          </cell>
          <cell r="B55">
            <v>96.945425965936892</v>
          </cell>
          <cell r="C55">
            <v>108.75212860107422</v>
          </cell>
        </row>
        <row r="56">
          <cell r="A56">
            <v>97.083914093673229</v>
          </cell>
          <cell r="B56">
            <v>186.34879303697164</v>
          </cell>
          <cell r="C56">
            <v>324.15463256835937</v>
          </cell>
        </row>
        <row r="57">
          <cell r="A57">
            <v>91.667131334543228</v>
          </cell>
          <cell r="B57">
            <v>137.76095546567538</v>
          </cell>
          <cell r="C57">
            <v>381.46661376953125</v>
          </cell>
        </row>
        <row r="58">
          <cell r="A58">
            <v>86.250348389148712</v>
          </cell>
          <cell r="B58">
            <v>110.31394503026958</v>
          </cell>
          <cell r="C58">
            <v>398.822509765625</v>
          </cell>
        </row>
        <row r="59">
          <cell r="A59">
            <v>80.833564698696136</v>
          </cell>
          <cell r="B59">
            <v>97.134969099712777</v>
          </cell>
          <cell r="C59">
            <v>408.15411376953125</v>
          </cell>
        </row>
        <row r="60">
          <cell r="A60">
            <v>69.999998807907104</v>
          </cell>
          <cell r="B60">
            <v>88.574447769722184</v>
          </cell>
          <cell r="C60">
            <v>421.22097778320312</v>
          </cell>
        </row>
        <row r="61">
          <cell r="A61">
            <v>59.999999403953552</v>
          </cell>
          <cell r="B61">
            <v>88.892895915544926</v>
          </cell>
          <cell r="C61">
            <v>431.68954467773437</v>
          </cell>
        </row>
        <row r="62">
          <cell r="A62">
            <v>50</v>
          </cell>
          <cell r="B62">
            <v>90.2401370350794</v>
          </cell>
          <cell r="C62">
            <v>441.69143676757812</v>
          </cell>
        </row>
        <row r="63">
          <cell r="A63">
            <v>39.999997615814209</v>
          </cell>
          <cell r="B63">
            <v>92.883444426409213</v>
          </cell>
          <cell r="C63">
            <v>450.53271484375</v>
          </cell>
        </row>
        <row r="64">
          <cell r="A64">
            <v>30.000001192092896</v>
          </cell>
          <cell r="B64">
            <v>97.514926200712722</v>
          </cell>
          <cell r="C64">
            <v>458.3736572265625</v>
          </cell>
        </row>
        <row r="65">
          <cell r="A65">
            <v>19.999998807907104</v>
          </cell>
          <cell r="B65">
            <v>105.1546395583761</v>
          </cell>
          <cell r="C65">
            <v>464.68917846679687</v>
          </cell>
        </row>
        <row r="66">
          <cell r="A66">
            <v>10.000002384185791</v>
          </cell>
          <cell r="B66">
            <v>117.67507842474025</v>
          </cell>
          <cell r="C66">
            <v>469.78741455078125</v>
          </cell>
        </row>
        <row r="67">
          <cell r="A67">
            <v>0</v>
          </cell>
          <cell r="B67">
            <v>138.28708674246522</v>
          </cell>
          <cell r="C67">
            <v>474.07455444335937</v>
          </cell>
        </row>
      </sheetData>
      <sheetData sheetId="1">
        <row r="54">
          <cell r="A54">
            <v>0</v>
          </cell>
          <cell r="D54">
            <v>141</v>
          </cell>
          <cell r="E54">
            <v>100</v>
          </cell>
          <cell r="F54">
            <v>0</v>
          </cell>
        </row>
        <row r="55">
          <cell r="A55">
            <v>25</v>
          </cell>
          <cell r="B55">
            <v>90</v>
          </cell>
          <cell r="C55">
            <v>61</v>
          </cell>
          <cell r="D55">
            <v>176</v>
          </cell>
          <cell r="E55">
            <v>80</v>
          </cell>
          <cell r="F55">
            <v>8.5</v>
          </cell>
        </row>
        <row r="56">
          <cell r="A56">
            <v>50</v>
          </cell>
          <cell r="B56">
            <v>93.5</v>
          </cell>
          <cell r="C56">
            <v>79</v>
          </cell>
          <cell r="D56">
            <v>257</v>
          </cell>
          <cell r="E56">
            <v>66</v>
          </cell>
          <cell r="F56">
            <v>16.2</v>
          </cell>
        </row>
        <row r="57">
          <cell r="A57">
            <v>75</v>
          </cell>
          <cell r="B57">
            <v>95</v>
          </cell>
          <cell r="C57">
            <v>85</v>
          </cell>
          <cell r="D57">
            <v>354</v>
          </cell>
          <cell r="E57">
            <v>54</v>
          </cell>
          <cell r="F57">
            <v>24</v>
          </cell>
        </row>
        <row r="58">
          <cell r="A58">
            <v>100</v>
          </cell>
          <cell r="B58">
            <v>95.5</v>
          </cell>
          <cell r="C58">
            <v>86.5</v>
          </cell>
          <cell r="D58">
            <v>459</v>
          </cell>
          <cell r="E58">
            <v>40</v>
          </cell>
          <cell r="F58">
            <v>31.6</v>
          </cell>
        </row>
        <row r="59">
          <cell r="A59">
            <v>125</v>
          </cell>
          <cell r="B59">
            <v>95.6</v>
          </cell>
          <cell r="C59">
            <v>88</v>
          </cell>
          <cell r="D59">
            <v>572</v>
          </cell>
          <cell r="E59">
            <v>26</v>
          </cell>
          <cell r="F59">
            <v>40.1</v>
          </cell>
        </row>
      </sheetData>
      <sheetData sheetId="2">
        <row r="68">
          <cell r="A68">
            <v>600</v>
          </cell>
          <cell r="B68">
            <v>22.3</v>
          </cell>
          <cell r="C68">
            <v>15</v>
          </cell>
          <cell r="E68">
            <v>600</v>
          </cell>
          <cell r="F68">
            <v>1E-4</v>
          </cell>
        </row>
        <row r="69">
          <cell r="A69">
            <v>600</v>
          </cell>
          <cell r="B69">
            <v>22.3</v>
          </cell>
          <cell r="C69">
            <v>15</v>
          </cell>
          <cell r="E69">
            <v>558</v>
          </cell>
          <cell r="F69">
            <v>1</v>
          </cell>
        </row>
        <row r="70">
          <cell r="A70">
            <v>500</v>
          </cell>
          <cell r="B70">
            <v>32.112000000000002</v>
          </cell>
          <cell r="C70">
            <v>21.599999999999998</v>
          </cell>
          <cell r="E70">
            <v>547</v>
          </cell>
          <cell r="F70">
            <v>2</v>
          </cell>
        </row>
        <row r="71">
          <cell r="A71">
            <v>400</v>
          </cell>
          <cell r="B71">
            <v>50.175000000000004</v>
          </cell>
          <cell r="C71">
            <v>33.75</v>
          </cell>
          <cell r="E71">
            <v>535</v>
          </cell>
          <cell r="F71">
            <v>3</v>
          </cell>
        </row>
        <row r="72">
          <cell r="A72">
            <v>300</v>
          </cell>
          <cell r="E72">
            <v>522</v>
          </cell>
          <cell r="F72">
            <v>4.0999999999999996</v>
          </cell>
        </row>
        <row r="73">
          <cell r="A73">
            <v>200</v>
          </cell>
          <cell r="E73">
            <v>509</v>
          </cell>
          <cell r="F73">
            <v>5.2</v>
          </cell>
        </row>
        <row r="74">
          <cell r="A74">
            <v>315.999999</v>
          </cell>
          <cell r="C74">
            <v>54.077872478140669</v>
          </cell>
          <cell r="E74">
            <v>496</v>
          </cell>
          <cell r="F74">
            <v>6.6</v>
          </cell>
        </row>
        <row r="75">
          <cell r="A75">
            <v>180</v>
          </cell>
          <cell r="C75">
            <v>166.66666666666669</v>
          </cell>
          <cell r="E75">
            <v>481</v>
          </cell>
          <cell r="F75">
            <v>8.1</v>
          </cell>
        </row>
        <row r="76">
          <cell r="A76">
            <v>120</v>
          </cell>
          <cell r="C76">
            <v>375</v>
          </cell>
          <cell r="E76">
            <v>464</v>
          </cell>
          <cell r="F76">
            <v>9.6</v>
          </cell>
        </row>
        <row r="77">
          <cell r="A77">
            <v>110</v>
          </cell>
          <cell r="C77">
            <v>800</v>
          </cell>
          <cell r="E77">
            <v>447</v>
          </cell>
          <cell r="F77">
            <v>10.4</v>
          </cell>
        </row>
        <row r="78">
          <cell r="A78">
            <v>110</v>
          </cell>
          <cell r="C78">
            <v>1600</v>
          </cell>
          <cell r="E78">
            <v>425</v>
          </cell>
          <cell r="F78">
            <v>11</v>
          </cell>
        </row>
        <row r="79">
          <cell r="A79">
            <v>110</v>
          </cell>
          <cell r="C79">
            <v>10000</v>
          </cell>
          <cell r="E79">
            <v>367</v>
          </cell>
          <cell r="F79">
            <v>11.5</v>
          </cell>
        </row>
        <row r="80">
          <cell r="E80">
            <v>0</v>
          </cell>
          <cell r="F80">
            <v>11.7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O113"/>
  <sheetViews>
    <sheetView zoomScale="95" zoomScaleNormal="95" workbookViewId="0">
      <selection activeCell="T47" sqref="T47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167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217</v>
      </c>
    </row>
    <row r="2" spans="1:10" ht="18.75">
      <c r="A2" s="33" t="s">
        <v>173</v>
      </c>
      <c r="B2" s="2"/>
      <c r="C2" s="2"/>
      <c r="D2" s="2"/>
      <c r="E2" s="2"/>
      <c r="F2" s="2"/>
      <c r="G2" s="2"/>
      <c r="H2" s="2"/>
      <c r="I2" s="2"/>
      <c r="J2" s="130" t="s">
        <v>218</v>
      </c>
    </row>
    <row r="3" spans="1:10" ht="15" customHeight="1" thickBot="1">
      <c r="A3" s="49" t="s">
        <v>1</v>
      </c>
      <c r="B3" s="96" t="s">
        <v>216</v>
      </c>
      <c r="C3" s="1"/>
      <c r="D3" s="49"/>
      <c r="E3" s="1"/>
      <c r="F3" s="1"/>
      <c r="G3" s="49" t="s">
        <v>2</v>
      </c>
      <c r="H3" s="171">
        <v>43493</v>
      </c>
      <c r="I3" s="49" t="s">
        <v>3</v>
      </c>
      <c r="J3" s="172">
        <v>0.40263888888888894</v>
      </c>
    </row>
    <row r="4" spans="1:10" ht="15" customHeight="1" thickBot="1">
      <c r="A4" s="12" t="s">
        <v>4</v>
      </c>
      <c r="B4" s="12" t="s">
        <v>171</v>
      </c>
      <c r="C4" s="12" t="s">
        <v>5</v>
      </c>
      <c r="D4" s="12" t="s">
        <v>172</v>
      </c>
      <c r="E4" s="157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6</v>
      </c>
      <c r="B5" s="112">
        <v>450</v>
      </c>
      <c r="C5" s="140">
        <v>1200</v>
      </c>
      <c r="D5" s="50" t="s">
        <v>192</v>
      </c>
      <c r="E5" s="158">
        <v>4000</v>
      </c>
      <c r="F5" s="140">
        <v>60</v>
      </c>
      <c r="G5" s="50">
        <v>105</v>
      </c>
      <c r="H5" s="78" t="s">
        <v>250</v>
      </c>
      <c r="I5" s="77" t="s">
        <v>255</v>
      </c>
      <c r="J5" s="50">
        <v>5011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 t="s">
        <v>266</v>
      </c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15.926115972222222</v>
      </c>
      <c r="J7" s="106" t="s">
        <v>19</v>
      </c>
    </row>
    <row r="8" spans="1:10" ht="15" customHeight="1">
      <c r="A8" s="10" t="s">
        <v>20</v>
      </c>
      <c r="B8" s="69">
        <v>1.2000000476837158</v>
      </c>
      <c r="C8" s="52"/>
      <c r="D8" s="6"/>
      <c r="E8" s="51"/>
      <c r="F8" s="4"/>
      <c r="G8" s="16"/>
      <c r="H8" s="10" t="s">
        <v>21</v>
      </c>
      <c r="I8" s="68">
        <v>19.640354029317148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198</v>
      </c>
      <c r="F9" s="107" t="s">
        <v>25</v>
      </c>
      <c r="G9" s="30"/>
      <c r="H9" s="10" t="s">
        <v>26</v>
      </c>
      <c r="I9" s="69">
        <v>17.783235000769686</v>
      </c>
      <c r="J9" s="104">
        <v>723.99002709245951</v>
      </c>
    </row>
    <row r="10" spans="1:10" ht="15" customHeight="1">
      <c r="A10" s="10" t="s">
        <v>27</v>
      </c>
      <c r="B10" s="69">
        <v>650</v>
      </c>
      <c r="C10" s="73">
        <v>650</v>
      </c>
      <c r="D10" s="6"/>
      <c r="E10" s="51"/>
      <c r="F10" s="116" t="s">
        <v>212</v>
      </c>
      <c r="G10" s="114" t="s">
        <v>213</v>
      </c>
      <c r="H10" s="10" t="s">
        <v>28</v>
      </c>
      <c r="I10" s="68">
        <v>9.8880913270215967</v>
      </c>
      <c r="J10" s="103" t="s">
        <v>29</v>
      </c>
    </row>
    <row r="11" spans="1:10" ht="15" customHeight="1" thickBot="1">
      <c r="A11" s="10" t="s">
        <v>30</v>
      </c>
      <c r="B11" s="69">
        <v>550</v>
      </c>
      <c r="C11" s="73">
        <v>362.59999990463257</v>
      </c>
      <c r="D11" s="10" t="s">
        <v>31</v>
      </c>
      <c r="E11" s="68">
        <v>0.83324999999999994</v>
      </c>
      <c r="F11" s="117"/>
      <c r="G11" s="113"/>
      <c r="H11" s="10" t="s">
        <v>32</v>
      </c>
      <c r="I11" s="68">
        <v>18.651688096014194</v>
      </c>
      <c r="J11" s="104">
        <v>15912.882434965877</v>
      </c>
    </row>
    <row r="12" spans="1:10" ht="15" customHeight="1">
      <c r="A12" s="10" t="s">
        <v>33</v>
      </c>
      <c r="B12" s="69">
        <v>365</v>
      </c>
      <c r="C12" s="73">
        <v>140</v>
      </c>
      <c r="D12" s="10" t="s">
        <v>34</v>
      </c>
      <c r="E12" s="153" t="s">
        <v>174</v>
      </c>
      <c r="F12" s="123" t="s">
        <v>205</v>
      </c>
      <c r="G12" s="115" t="s">
        <v>204</v>
      </c>
      <c r="H12" s="10" t="s">
        <v>35</v>
      </c>
      <c r="I12" s="68">
        <v>1.2251186051037406</v>
      </c>
      <c r="J12" s="103" t="s">
        <v>36</v>
      </c>
    </row>
    <row r="13" spans="1:10" ht="15" customHeight="1" thickBot="1">
      <c r="A13" s="10" t="s">
        <v>37</v>
      </c>
      <c r="B13" s="69">
        <v>42.5</v>
      </c>
      <c r="C13" s="73">
        <v>79.250000715255737</v>
      </c>
      <c r="D13" s="10" t="s">
        <v>38</v>
      </c>
      <c r="E13" s="70">
        <v>13</v>
      </c>
      <c r="F13" s="123"/>
      <c r="G13" s="115" t="s">
        <v>206</v>
      </c>
      <c r="H13" s="10" t="s">
        <v>40</v>
      </c>
      <c r="I13" s="68">
        <v>1.0530067803092971</v>
      </c>
      <c r="J13" s="104">
        <v>57.326725006103516</v>
      </c>
    </row>
    <row r="14" spans="1:10" ht="15" customHeight="1" thickBot="1">
      <c r="A14" s="162" t="s">
        <v>41</v>
      </c>
      <c r="B14" s="133">
        <v>604.5</v>
      </c>
      <c r="C14" s="134">
        <v>604.5</v>
      </c>
      <c r="D14" s="10" t="s">
        <v>42</v>
      </c>
      <c r="E14" s="51" t="s">
        <v>199</v>
      </c>
      <c r="F14" s="51" t="s">
        <v>208</v>
      </c>
      <c r="G14" s="115" t="s">
        <v>207</v>
      </c>
      <c r="H14" s="49" t="s">
        <v>43</v>
      </c>
      <c r="I14" s="68">
        <v>1.2900581978573071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174</v>
      </c>
      <c r="F15" s="51"/>
      <c r="G15" s="115"/>
      <c r="H15" s="10" t="s">
        <v>47</v>
      </c>
      <c r="I15" s="68">
        <v>0.96589165240170005</v>
      </c>
      <c r="J15" s="104">
        <v>14.804286858974359</v>
      </c>
    </row>
    <row r="16" spans="1:10" ht="15" customHeight="1">
      <c r="A16" s="10" t="s">
        <v>48</v>
      </c>
      <c r="B16" s="51">
        <v>72</v>
      </c>
      <c r="C16" s="52">
        <v>58</v>
      </c>
      <c r="D16" s="10" t="s">
        <v>49</v>
      </c>
      <c r="E16" s="51">
        <v>1</v>
      </c>
      <c r="F16" s="51"/>
      <c r="G16" s="115"/>
      <c r="H16" s="10" t="s">
        <v>50</v>
      </c>
      <c r="I16" s="68">
        <v>0.95749474318512517</v>
      </c>
      <c r="J16" s="105" t="s">
        <v>51</v>
      </c>
    </row>
    <row r="17" spans="1:14" ht="15" customHeight="1" thickBot="1">
      <c r="A17" s="10" t="s">
        <v>52</v>
      </c>
      <c r="B17" s="51" t="s">
        <v>193</v>
      </c>
      <c r="C17" s="52" t="s">
        <v>194</v>
      </c>
      <c r="D17" s="49" t="s">
        <v>53</v>
      </c>
      <c r="E17" s="51" t="s">
        <v>200</v>
      </c>
      <c r="F17" s="51"/>
      <c r="G17" s="115"/>
      <c r="H17" s="10" t="s">
        <v>54</v>
      </c>
      <c r="I17" s="68">
        <v>0.92483617966102194</v>
      </c>
      <c r="J17" s="104">
        <v>467.94047360899566</v>
      </c>
    </row>
    <row r="18" spans="1:14" ht="15" customHeight="1">
      <c r="A18" s="10" t="s">
        <v>55</v>
      </c>
      <c r="B18" s="51" t="s">
        <v>174</v>
      </c>
      <c r="C18" s="73">
        <v>0</v>
      </c>
      <c r="D18" s="10" t="s">
        <v>56</v>
      </c>
      <c r="E18" s="137">
        <v>989</v>
      </c>
      <c r="F18" s="70">
        <v>819</v>
      </c>
      <c r="G18" s="74"/>
      <c r="H18" s="13" t="s">
        <v>57</v>
      </c>
      <c r="I18" s="131" t="s">
        <v>214</v>
      </c>
      <c r="J18" s="132"/>
    </row>
    <row r="19" spans="1:14" ht="15" customHeight="1">
      <c r="A19" s="10" t="s">
        <v>58</v>
      </c>
      <c r="B19" s="69">
        <v>50</v>
      </c>
      <c r="C19" s="73">
        <v>32.049999237060547</v>
      </c>
      <c r="D19" s="10" t="s">
        <v>59</v>
      </c>
      <c r="E19" s="70">
        <v>312</v>
      </c>
      <c r="F19" s="51"/>
      <c r="G19" s="52"/>
      <c r="H19" s="143"/>
      <c r="I19" s="4" t="s">
        <v>60</v>
      </c>
      <c r="J19" s="31" t="s">
        <v>61</v>
      </c>
    </row>
    <row r="20" spans="1:14" ht="15" customHeight="1">
      <c r="A20" s="10" t="s">
        <v>62</v>
      </c>
      <c r="B20" s="69" t="s">
        <v>195</v>
      </c>
      <c r="C20" s="73">
        <v>8.0500001907348633</v>
      </c>
      <c r="D20" s="10" t="s">
        <v>166</v>
      </c>
      <c r="E20" s="161">
        <v>0.40984102976342851</v>
      </c>
      <c r="F20" s="51"/>
      <c r="G20" s="52"/>
      <c r="H20" s="10" t="s">
        <v>63</v>
      </c>
      <c r="I20" s="68">
        <v>25.870933532714844</v>
      </c>
      <c r="J20" s="72">
        <v>25.870933532714844</v>
      </c>
    </row>
    <row r="21" spans="1:14" ht="15" customHeight="1">
      <c r="A21" s="10" t="s">
        <v>64</v>
      </c>
      <c r="B21" s="69">
        <v>8.6999998092651367</v>
      </c>
      <c r="C21" s="73">
        <v>3</v>
      </c>
      <c r="D21" s="10" t="s">
        <v>201</v>
      </c>
      <c r="E21" s="67">
        <v>0.54672310257243206</v>
      </c>
      <c r="F21" s="67">
        <v>0.34386232495307922</v>
      </c>
      <c r="G21" s="71">
        <v>2.2055877875718961E-2</v>
      </c>
      <c r="H21" s="10" t="s">
        <v>65</v>
      </c>
      <c r="I21" s="68">
        <v>18.717975616455078</v>
      </c>
      <c r="J21" s="72">
        <v>12.589512825012207</v>
      </c>
    </row>
    <row r="22" spans="1:14" ht="15" customHeight="1">
      <c r="A22" s="10" t="s">
        <v>66</v>
      </c>
      <c r="B22" s="69">
        <v>2.8299999237060547</v>
      </c>
      <c r="C22" s="73">
        <v>2</v>
      </c>
      <c r="D22" s="10" t="s">
        <v>67</v>
      </c>
      <c r="E22" s="51" t="s">
        <v>202</v>
      </c>
      <c r="F22" s="51" t="s">
        <v>203</v>
      </c>
      <c r="G22" s="52" t="s">
        <v>203</v>
      </c>
      <c r="H22" s="10" t="s">
        <v>68</v>
      </c>
      <c r="I22" s="68">
        <v>7.1298317909240723</v>
      </c>
      <c r="J22" s="72">
        <v>5.3158559799194336</v>
      </c>
    </row>
    <row r="23" spans="1:14" ht="15" customHeight="1">
      <c r="A23" s="10" t="s">
        <v>69</v>
      </c>
      <c r="B23" s="69">
        <v>7.2261161804199219</v>
      </c>
      <c r="C23" s="73">
        <v>8.1222562789916992</v>
      </c>
      <c r="D23" s="10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4.4782574272911351</v>
      </c>
      <c r="J23" s="16" t="s">
        <v>215</v>
      </c>
    </row>
    <row r="24" spans="1:14" ht="15" customHeight="1">
      <c r="A24" s="10" t="s">
        <v>72</v>
      </c>
      <c r="B24" s="69">
        <v>0</v>
      </c>
      <c r="C24" s="73">
        <v>0.80000001192092896</v>
      </c>
      <c r="D24" s="10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4.1895435476008753</v>
      </c>
      <c r="J24" s="72">
        <v>3.3168655762714292</v>
      </c>
    </row>
    <row r="25" spans="1:14" ht="15" customHeight="1">
      <c r="A25" s="10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0.91264128684997559</v>
      </c>
      <c r="J25" s="72">
        <v>1.6140364408493042</v>
      </c>
    </row>
    <row r="26" spans="1:14" ht="15" customHeight="1">
      <c r="A26" s="10" t="s">
        <v>78</v>
      </c>
      <c r="B26" s="53" t="s">
        <v>196</v>
      </c>
      <c r="C26" s="60" t="s">
        <v>197</v>
      </c>
      <c r="D26" s="10" t="s">
        <v>79</v>
      </c>
      <c r="E26" s="69">
        <v>107.93381213168834</v>
      </c>
      <c r="F26" s="69">
        <v>106.5477209147644</v>
      </c>
      <c r="G26" s="73">
        <v>29.289748238052447</v>
      </c>
      <c r="H26" s="10" t="s">
        <v>80</v>
      </c>
      <c r="I26" s="68">
        <v>8.3575649261474609</v>
      </c>
      <c r="J26" s="72">
        <v>7.1107997894287109</v>
      </c>
    </row>
    <row r="27" spans="1:14" ht="15" customHeight="1" thickBot="1">
      <c r="A27" s="10" t="s">
        <v>81</v>
      </c>
      <c r="B27" s="51" t="s">
        <v>174</v>
      </c>
      <c r="C27" s="52" t="s">
        <v>174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8.4072465896606445</v>
      </c>
      <c r="J27" s="81">
        <v>7.2916793823242188</v>
      </c>
    </row>
    <row r="28" spans="1:14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</row>
    <row r="29" spans="1:14" ht="15" customHeight="1">
      <c r="A29" s="7"/>
      <c r="B29" s="34" t="s">
        <v>87</v>
      </c>
      <c r="C29" s="75">
        <v>30.027266267355561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52" t="str">
        <f>RIGHT(F$41,SEARCH("/",F$41,1)-1)</f>
        <v xml:space="preserve"> 1176.0</v>
      </c>
      <c r="N29" t="s">
        <v>186</v>
      </c>
    </row>
    <row r="30" spans="1:14" ht="15" customHeight="1" thickBot="1">
      <c r="A30" s="8"/>
      <c r="B30" s="63" t="s">
        <v>94</v>
      </c>
      <c r="C30" s="76">
        <v>30.043499313394168</v>
      </c>
      <c r="D30" s="10" t="s">
        <v>95</v>
      </c>
      <c r="E30" s="165">
        <v>14.398954166666668</v>
      </c>
      <c r="F30" s="165">
        <v>513.82500000000005</v>
      </c>
      <c r="G30" s="165">
        <v>11.694273030947492</v>
      </c>
      <c r="H30" s="166">
        <v>88.26678800956995</v>
      </c>
      <c r="I30" s="70">
        <v>40961.022349406252</v>
      </c>
      <c r="J30" s="74">
        <v>1872.6273281397989</v>
      </c>
      <c r="M30" s="152" t="str">
        <f>RIGHT(E$41,SEARCH("/",E$41,1)-1)</f>
        <v xml:space="preserve"> 1178.5</v>
      </c>
      <c r="N30" t="s">
        <v>187</v>
      </c>
    </row>
    <row r="31" spans="1:14" ht="15" customHeight="1">
      <c r="A31" s="23" t="s">
        <v>96</v>
      </c>
      <c r="B31" s="144"/>
      <c r="C31" s="27"/>
      <c r="D31" s="10" t="s">
        <v>97</v>
      </c>
      <c r="E31" s="165">
        <v>5</v>
      </c>
      <c r="F31" s="165">
        <v>524.18246772766111</v>
      </c>
      <c r="G31" s="165">
        <v>11.463202625175306</v>
      </c>
      <c r="H31" s="166">
        <v>28.40840820527545</v>
      </c>
      <c r="I31" s="70">
        <v>15725.474031829834</v>
      </c>
      <c r="J31" s="74">
        <v>696.0546732149312</v>
      </c>
      <c r="M31" s="152" t="str">
        <f>RIGHT(D$41,SEARCH("/",D$41,1)-1)</f>
        <v xml:space="preserve"> 1181.0</v>
      </c>
      <c r="N31" t="s">
        <v>188</v>
      </c>
    </row>
    <row r="32" spans="1:14" ht="15" customHeight="1">
      <c r="A32" s="6" t="s">
        <v>98</v>
      </c>
      <c r="B32" s="68" t="s">
        <v>257</v>
      </c>
      <c r="C32" s="110"/>
      <c r="D32" s="10" t="s">
        <v>99</v>
      </c>
      <c r="E32" s="165">
        <v>7.8147051624506716</v>
      </c>
      <c r="F32" s="165">
        <v>958.13250864744191</v>
      </c>
      <c r="G32" s="165">
        <v>6.2713766476924953</v>
      </c>
      <c r="H32" s="166">
        <v>11.726005912937696</v>
      </c>
      <c r="I32" s="9" t="s">
        <v>100</v>
      </c>
      <c r="J32" s="74">
        <v>2568.6820013547303</v>
      </c>
      <c r="M32" s="152" t="str">
        <f>RIGHT(C$41,SEARCH("/",C$41,1)-1)</f>
        <v xml:space="preserve"> 1183.4</v>
      </c>
      <c r="N32" t="s">
        <v>189</v>
      </c>
    </row>
    <row r="33" spans="1:15" ht="15" customHeight="1">
      <c r="A33" s="6" t="s">
        <v>101</v>
      </c>
      <c r="B33" s="68" t="s">
        <v>258</v>
      </c>
      <c r="C33" s="111" t="s">
        <v>102</v>
      </c>
      <c r="D33" s="10" t="s">
        <v>97</v>
      </c>
      <c r="E33" s="165">
        <v>3.2049999237060547</v>
      </c>
      <c r="F33" s="165">
        <v>474.62404566287995</v>
      </c>
      <c r="G33" s="165">
        <v>12.660146267419803</v>
      </c>
      <c r="H33" s="166">
        <v>27.384470474296965</v>
      </c>
      <c r="I33" s="9" t="s">
        <v>103</v>
      </c>
      <c r="J33" s="73" t="s">
        <v>226</v>
      </c>
      <c r="M33" s="152" t="str">
        <f>RIGHT(B$41,SEARCH("/",B$41,1)-1)</f>
        <v xml:space="preserve"> 1185.7</v>
      </c>
      <c r="N33" t="s">
        <v>190</v>
      </c>
    </row>
    <row r="34" spans="1:15" ht="15" customHeight="1" thickBot="1">
      <c r="A34" s="17" t="s">
        <v>104</v>
      </c>
      <c r="B34" s="79" t="s">
        <v>259</v>
      </c>
      <c r="C34" s="160">
        <v>6.0088098401265952</v>
      </c>
      <c r="D34" s="11" t="s">
        <v>20</v>
      </c>
      <c r="E34" s="167">
        <v>0.12000000476837158</v>
      </c>
      <c r="F34" s="168">
        <v>962.93101186954107</v>
      </c>
      <c r="G34" s="168">
        <v>6.2401249581321778</v>
      </c>
      <c r="H34" s="169">
        <v>595.88856656270866</v>
      </c>
      <c r="I34" s="9" t="s">
        <v>105</v>
      </c>
      <c r="J34" s="73">
        <v>6.0500001907348633</v>
      </c>
    </row>
    <row r="35" spans="1:15" ht="15" customHeight="1">
      <c r="A35" s="13" t="s">
        <v>106</v>
      </c>
      <c r="B35" s="14"/>
      <c r="C35" s="14"/>
      <c r="D35" s="135" t="s">
        <v>228</v>
      </c>
      <c r="E35" s="145" t="s">
        <v>227</v>
      </c>
      <c r="F35" s="15"/>
      <c r="G35" s="26" t="s">
        <v>107</v>
      </c>
      <c r="H35" s="85" t="s">
        <v>221</v>
      </c>
      <c r="I35" s="10" t="s">
        <v>108</v>
      </c>
      <c r="J35" s="74" t="s">
        <v>225</v>
      </c>
    </row>
    <row r="36" spans="1:15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219</v>
      </c>
      <c r="I36" s="10" t="s">
        <v>111</v>
      </c>
      <c r="J36" s="74" t="s">
        <v>224</v>
      </c>
    </row>
    <row r="37" spans="1:15" ht="15" customHeight="1" thickBot="1">
      <c r="A37" s="10" t="s">
        <v>112</v>
      </c>
      <c r="B37" s="173" t="s">
        <v>239</v>
      </c>
      <c r="C37" s="173" t="s">
        <v>240</v>
      </c>
      <c r="D37" s="173" t="s">
        <v>241</v>
      </c>
      <c r="E37" s="173" t="s">
        <v>242</v>
      </c>
      <c r="F37" s="174" t="s">
        <v>243</v>
      </c>
      <c r="G37" s="10" t="s">
        <v>113</v>
      </c>
      <c r="H37" s="74" t="s">
        <v>220</v>
      </c>
      <c r="I37" s="11" t="s">
        <v>114</v>
      </c>
      <c r="J37" s="83" t="s">
        <v>223</v>
      </c>
      <c r="O37" s="150"/>
    </row>
    <row r="38" spans="1:15" ht="15" customHeight="1" thickBot="1">
      <c r="A38" s="10" t="s">
        <v>115</v>
      </c>
      <c r="B38" s="175" t="s">
        <v>230</v>
      </c>
      <c r="C38" s="175" t="s">
        <v>231</v>
      </c>
      <c r="D38" s="175" t="s">
        <v>232</v>
      </c>
      <c r="E38" s="175" t="s">
        <v>233</v>
      </c>
      <c r="F38" s="176" t="s">
        <v>232</v>
      </c>
      <c r="G38" s="17" t="s">
        <v>116</v>
      </c>
      <c r="H38" s="83" t="s">
        <v>222</v>
      </c>
      <c r="I38" s="136" t="s">
        <v>229</v>
      </c>
      <c r="J38" s="84">
        <v>2418.041015625</v>
      </c>
      <c r="L38" t="str">
        <f>LEFT(E38,SEARCH("/",E38,1)-1)</f>
        <v xml:space="preserve">0.957 </v>
      </c>
      <c r="M38" t="str">
        <f>RIGHT(E38,SEARCH("/",E38,1)-1)</f>
        <v xml:space="preserve"> 0.952</v>
      </c>
      <c r="N38" s="151">
        <f>M38/L38</f>
        <v>0.99477533960292586</v>
      </c>
      <c r="O38" s="150" t="s">
        <v>177</v>
      </c>
    </row>
    <row r="39" spans="1:15" ht="15" customHeight="1">
      <c r="A39" s="10" t="s">
        <v>117</v>
      </c>
      <c r="B39" s="175" t="s">
        <v>234</v>
      </c>
      <c r="C39" s="175" t="s">
        <v>235</v>
      </c>
      <c r="D39" s="175" t="s">
        <v>236</v>
      </c>
      <c r="E39" s="175" t="s">
        <v>237</v>
      </c>
      <c r="F39" s="176" t="s">
        <v>238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0.8829 </v>
      </c>
      <c r="M39" t="str">
        <f>RIGHT(E39,SEARCH("/",E39,1)-1)</f>
        <v xml:space="preserve"> 0.8825</v>
      </c>
      <c r="N39" s="151">
        <f>M39/L39</f>
        <v>0.99954694755917994</v>
      </c>
      <c r="O39" s="150" t="s">
        <v>178</v>
      </c>
    </row>
    <row r="40" spans="1:15" ht="15" customHeight="1">
      <c r="A40" s="10" t="s">
        <v>119</v>
      </c>
      <c r="B40" s="177" t="s">
        <v>252</v>
      </c>
      <c r="C40" s="177" t="s">
        <v>253</v>
      </c>
      <c r="D40" s="177" t="s">
        <v>254</v>
      </c>
      <c r="E40" s="177" t="s">
        <v>255</v>
      </c>
      <c r="F40" s="178" t="s">
        <v>256</v>
      </c>
      <c r="G40" s="35" t="s">
        <v>121</v>
      </c>
      <c r="H40" s="91" t="s">
        <v>260</v>
      </c>
      <c r="I40" s="55"/>
      <c r="J40" s="56"/>
      <c r="L40" t="str">
        <f>LEFT(E37,SEARCH("/",E37,1)-1)</f>
        <v xml:space="preserve">57.33 </v>
      </c>
      <c r="M40" t="str">
        <f>RIGHT(E37,SEARCH("/",E37,1)-1)</f>
        <v xml:space="preserve"> 57.70</v>
      </c>
      <c r="N40" s="151">
        <f>M40/L40</f>
        <v>1.0064538635967208</v>
      </c>
      <c r="O40" s="150" t="s">
        <v>176</v>
      </c>
    </row>
    <row r="41" spans="1:15" ht="15" customHeight="1">
      <c r="A41" s="10" t="s">
        <v>5</v>
      </c>
      <c r="B41" s="179" t="s">
        <v>247</v>
      </c>
      <c r="C41" s="179" t="s">
        <v>248</v>
      </c>
      <c r="D41" s="179" t="s">
        <v>249</v>
      </c>
      <c r="E41" s="179" t="s">
        <v>250</v>
      </c>
      <c r="F41" s="180" t="s">
        <v>251</v>
      </c>
      <c r="G41" s="36" t="s">
        <v>122</v>
      </c>
      <c r="H41" s="92" t="s">
        <v>261</v>
      </c>
      <c r="I41" s="57"/>
      <c r="J41" s="58"/>
      <c r="L41" t="str">
        <f>LEFT(E41,SEARCH("/",E41,1)-1)</f>
        <v xml:space="preserve">1190.4 </v>
      </c>
      <c r="M41">
        <v>1180</v>
      </c>
      <c r="N41" s="151">
        <f>M41/L41</f>
        <v>0.99126344086021501</v>
      </c>
      <c r="O41" s="150" t="s">
        <v>5</v>
      </c>
    </row>
    <row r="42" spans="1:15" ht="15" customHeight="1">
      <c r="A42" s="10" t="s">
        <v>123</v>
      </c>
      <c r="B42" s="175">
        <v>16.970927849377031</v>
      </c>
      <c r="C42" s="175">
        <v>16.970927849377031</v>
      </c>
      <c r="D42" s="175">
        <v>16.970927849377031</v>
      </c>
      <c r="E42" s="175">
        <v>16.970927849377031</v>
      </c>
      <c r="F42" s="176">
        <v>16.950006218364226</v>
      </c>
      <c r="G42" s="35" t="s">
        <v>124</v>
      </c>
      <c r="H42" s="91" t="s">
        <v>262</v>
      </c>
      <c r="I42" s="55"/>
      <c r="J42" s="97">
        <v>0.22135977954287461</v>
      </c>
    </row>
    <row r="43" spans="1:15" ht="15" customHeight="1" thickBot="1">
      <c r="A43" s="11" t="s">
        <v>125</v>
      </c>
      <c r="B43" s="181">
        <v>16.970927849377031</v>
      </c>
      <c r="C43" s="182"/>
      <c r="D43" s="183" t="s">
        <v>265</v>
      </c>
      <c r="E43" s="183"/>
      <c r="F43" s="184"/>
      <c r="G43" s="36" t="s">
        <v>122</v>
      </c>
      <c r="H43" s="92" t="s">
        <v>263</v>
      </c>
      <c r="I43" s="57"/>
      <c r="J43" s="58"/>
    </row>
    <row r="44" spans="1:15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841.78350200198247</v>
      </c>
      <c r="I44" s="90">
        <v>4.3689493117433149E-2</v>
      </c>
      <c r="J44" s="97">
        <v>0.61504541495437515</v>
      </c>
    </row>
    <row r="45" spans="1:15" ht="15" customHeight="1">
      <c r="A45" s="10" t="s">
        <v>129</v>
      </c>
      <c r="B45" s="68">
        <v>0.33974272012710571</v>
      </c>
      <c r="C45" s="163" t="s">
        <v>130</v>
      </c>
      <c r="D45" s="72">
        <v>1.3479304499924183E-2</v>
      </c>
      <c r="E45" s="10" t="s">
        <v>131</v>
      </c>
      <c r="F45" s="74">
        <v>644.9575800766637</v>
      </c>
      <c r="G45" s="37" t="s">
        <v>122</v>
      </c>
      <c r="H45" s="86" t="s">
        <v>264</v>
      </c>
      <c r="I45" s="59"/>
      <c r="J45" s="60"/>
    </row>
    <row r="46" spans="1:15" ht="15" customHeight="1">
      <c r="A46" s="10" t="s">
        <v>132</v>
      </c>
      <c r="B46" s="68">
        <v>0.1831018477678299</v>
      </c>
      <c r="C46" s="163" t="s">
        <v>133</v>
      </c>
      <c r="D46" s="72">
        <v>8.0167250707745552E-3</v>
      </c>
      <c r="E46" s="10" t="s">
        <v>134</v>
      </c>
      <c r="F46" s="74">
        <v>1109.0491403870174</v>
      </c>
      <c r="G46" s="36" t="s">
        <v>135</v>
      </c>
      <c r="H46" s="94">
        <v>188.91167863843103</v>
      </c>
      <c r="I46" s="57"/>
      <c r="J46" s="58"/>
      <c r="L46" s="146" t="s">
        <v>179</v>
      </c>
      <c r="M46" s="148">
        <f>B5^0.95</f>
        <v>331.55218021739489</v>
      </c>
    </row>
    <row r="47" spans="1:15" ht="15" customHeight="1">
      <c r="A47" s="10" t="s">
        <v>136</v>
      </c>
      <c r="B47" s="68">
        <v>0.52284455299377441</v>
      </c>
      <c r="C47" s="163" t="s">
        <v>137</v>
      </c>
      <c r="D47" s="72">
        <v>5.0640450790524483E-3</v>
      </c>
      <c r="E47" s="10" t="s">
        <v>138</v>
      </c>
      <c r="F47" s="74">
        <v>871.95424937390874</v>
      </c>
      <c r="G47" s="64" t="s">
        <v>139</v>
      </c>
      <c r="H47" s="93">
        <v>805.8593998393369</v>
      </c>
      <c r="I47" s="90">
        <v>4.1708801245755267E-2</v>
      </c>
      <c r="J47" s="95">
        <v>0.63046515560360528</v>
      </c>
      <c r="L47" s="146" t="s">
        <v>180</v>
      </c>
      <c r="M47" s="148">
        <f>B5^1.5</f>
        <v>9545.9415460183973</v>
      </c>
    </row>
    <row r="48" spans="1:15" ht="15" customHeight="1">
      <c r="A48" s="10" t="s">
        <v>140</v>
      </c>
      <c r="B48" s="68">
        <v>1.369851641356945E-2</v>
      </c>
      <c r="C48" s="163" t="s">
        <v>100</v>
      </c>
      <c r="D48" s="72">
        <v>4.0258590131998062E-2</v>
      </c>
      <c r="E48" s="10" t="s">
        <v>141</v>
      </c>
      <c r="F48" s="74">
        <v>9.0600472294118486</v>
      </c>
      <c r="G48" s="65" t="s">
        <v>122</v>
      </c>
      <c r="H48" s="86">
        <v>240.05343179503708</v>
      </c>
      <c r="I48" s="59"/>
      <c r="J48" s="60"/>
      <c r="L48" s="146" t="s">
        <v>181</v>
      </c>
      <c r="M48" s="147">
        <f>IF(A5="",0,(7200/(1000*A5))^2.4)</f>
        <v>1.5489414099829009</v>
      </c>
    </row>
    <row r="49" spans="1:13" ht="15" customHeight="1" thickBot="1">
      <c r="A49" s="8"/>
      <c r="B49" s="54"/>
      <c r="C49" s="164" t="s">
        <v>142</v>
      </c>
      <c r="D49" s="81">
        <v>0.95974141359329224</v>
      </c>
      <c r="E49" s="11" t="s">
        <v>143</v>
      </c>
      <c r="F49" s="83">
        <v>15.583646623611999</v>
      </c>
      <c r="G49" s="66" t="s">
        <v>135</v>
      </c>
      <c r="H49" s="94">
        <v>184.48660640129373</v>
      </c>
      <c r="I49" s="57"/>
      <c r="J49" s="61"/>
      <c r="L49" s="146" t="s">
        <v>182</v>
      </c>
      <c r="M49" s="147">
        <f>IF(A5="",0,(7200/(1000*A5))^1.8)</f>
        <v>1.388437205763783</v>
      </c>
    </row>
    <row r="50" spans="1:13" ht="15" customHeight="1">
      <c r="A50" s="13" t="s">
        <v>211</v>
      </c>
      <c r="B50" s="14"/>
      <c r="C50" s="14"/>
      <c r="D50" s="14"/>
      <c r="E50" s="14"/>
      <c r="F50" s="15"/>
      <c r="G50" s="13" t="s">
        <v>144</v>
      </c>
      <c r="H50" s="14"/>
      <c r="I50" s="41"/>
      <c r="J50" s="27"/>
      <c r="L50" s="146" t="s">
        <v>183</v>
      </c>
      <c r="M50" s="149">
        <f>IF(A5=2,27,24)</f>
        <v>24</v>
      </c>
    </row>
    <row r="51" spans="1:13" ht="15" customHeight="1">
      <c r="A51" s="10" t="s">
        <v>145</v>
      </c>
      <c r="B51" s="51">
        <v>58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6.2984223502167716E-2</v>
      </c>
      <c r="I51" s="44" t="s">
        <v>149</v>
      </c>
      <c r="J51" s="38"/>
      <c r="L51" s="146" t="s">
        <v>184</v>
      </c>
      <c r="M51" s="149">
        <v>6.8500000000000005E-2</v>
      </c>
    </row>
    <row r="52" spans="1:13" ht="15" customHeight="1">
      <c r="A52" s="10" t="s">
        <v>58</v>
      </c>
      <c r="B52" s="69">
        <v>32.049999237060547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85461.193955045703</v>
      </c>
      <c r="I52" s="98" t="s">
        <v>244</v>
      </c>
      <c r="J52" s="62"/>
      <c r="L52" s="146" t="s">
        <v>191</v>
      </c>
      <c r="M52" s="170">
        <f>F5</f>
        <v>60</v>
      </c>
    </row>
    <row r="53" spans="1:13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40.450793420726022</v>
      </c>
      <c r="I53" s="43" t="s">
        <v>154</v>
      </c>
      <c r="J53" s="38"/>
      <c r="L53" s="146" t="s">
        <v>185</v>
      </c>
      <c r="M53" s="152">
        <f>IF(F5=60,M50*M46/M48-M51*M47/M49,IF(F5&lt;&gt;60,(60/M52)^2*(M50*M46/M48-M51*M47/M49),0))</f>
        <v>4666.2607013143506</v>
      </c>
    </row>
    <row r="54" spans="1:13" ht="15" customHeight="1">
      <c r="A54" s="10" t="s">
        <v>66</v>
      </c>
      <c r="B54" s="69">
        <v>2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196625</v>
      </c>
      <c r="I54" s="99" t="s">
        <v>245</v>
      </c>
      <c r="J54" s="100" t="s">
        <v>209</v>
      </c>
    </row>
    <row r="55" spans="1:13" ht="15" customHeight="1">
      <c r="A55" s="10" t="s">
        <v>156</v>
      </c>
      <c r="B55" s="69">
        <v>8.0500001907348633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1.1699999570846558</v>
      </c>
      <c r="I55" s="43" t="s">
        <v>160</v>
      </c>
      <c r="J55" s="38"/>
    </row>
    <row r="56" spans="1:13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0.87493749999999992</v>
      </c>
      <c r="I56" s="101" t="s">
        <v>246</v>
      </c>
      <c r="J56" s="61" t="s">
        <v>210</v>
      </c>
    </row>
    <row r="57" spans="1:13" ht="15" customHeight="1">
      <c r="A57" s="23" t="s">
        <v>397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165</v>
      </c>
      <c r="C58" s="16" t="s">
        <v>395</v>
      </c>
      <c r="D58" s="4" t="s">
        <v>119</v>
      </c>
      <c r="E58" s="4" t="s">
        <v>165</v>
      </c>
      <c r="F58" s="16" t="s">
        <v>396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0.29668378829956055</v>
      </c>
      <c r="D59" s="127">
        <v>0.69810527563095093</v>
      </c>
      <c r="E59" s="86">
        <v>116.16886179598197</v>
      </c>
      <c r="F59" s="87">
        <v>625.19488525390625</v>
      </c>
      <c r="G59" s="121"/>
      <c r="H59" s="45"/>
      <c r="I59" s="45"/>
      <c r="J59" s="46"/>
    </row>
    <row r="60" spans="1:13" ht="15" customHeight="1">
      <c r="A60" s="129">
        <v>8.7999999523162842E-3</v>
      </c>
      <c r="B60" s="86">
        <v>119.9406485517146</v>
      </c>
      <c r="C60" s="87">
        <v>120.932373046875</v>
      </c>
      <c r="D60" s="127">
        <v>0.79873687028884888</v>
      </c>
      <c r="E60" s="86">
        <v>115.56814058213389</v>
      </c>
      <c r="F60" s="87">
        <v>632.91131591796875</v>
      </c>
      <c r="G60" s="121"/>
      <c r="H60" s="45"/>
      <c r="I60" s="45"/>
      <c r="J60" s="46"/>
    </row>
    <row r="61" spans="1:13" ht="15" customHeight="1">
      <c r="A61" s="129">
        <v>4.3999999761581421E-2</v>
      </c>
      <c r="B61" s="86">
        <v>295</v>
      </c>
      <c r="C61" s="87">
        <v>402.61477661132812</v>
      </c>
      <c r="D61" s="127">
        <v>0.89936840534210205</v>
      </c>
      <c r="E61" s="86">
        <v>115.20504052509541</v>
      </c>
      <c r="F61" s="87">
        <v>639.3201904296875</v>
      </c>
      <c r="G61" s="121"/>
      <c r="H61" s="45"/>
      <c r="I61" s="45"/>
      <c r="J61" s="46"/>
    </row>
    <row r="62" spans="1:13" ht="15" customHeight="1">
      <c r="A62" s="125">
        <v>9.4315789639949799E-2</v>
      </c>
      <c r="B62" s="86">
        <v>214.69264928416504</v>
      </c>
      <c r="C62" s="87">
        <v>507.12139892578125</v>
      </c>
      <c r="D62" s="128">
        <v>1</v>
      </c>
      <c r="E62" s="86">
        <v>115</v>
      </c>
      <c r="F62" s="87">
        <v>644.82763671875</v>
      </c>
      <c r="G62" s="121"/>
      <c r="H62" s="45"/>
      <c r="I62" s="45"/>
      <c r="J62" s="46"/>
    </row>
    <row r="63" spans="1:13" ht="15" customHeight="1" thickBot="1">
      <c r="A63" s="125">
        <v>0.14463157951831818</v>
      </c>
      <c r="B63" s="86">
        <v>164.64657828684634</v>
      </c>
      <c r="C63" s="87">
        <v>541.38995361328125</v>
      </c>
      <c r="D63" s="486"/>
      <c r="E63" s="487"/>
      <c r="F63" s="488"/>
      <c r="G63" s="121"/>
      <c r="H63" s="45"/>
      <c r="I63" s="45"/>
      <c r="J63" s="46"/>
    </row>
    <row r="64" spans="1:13" ht="15" customHeight="1">
      <c r="A64" s="125">
        <v>0.19494737684726715</v>
      </c>
      <c r="B64" s="86">
        <v>141.21928034839218</v>
      </c>
      <c r="C64" s="87">
        <v>558.24517822265625</v>
      </c>
      <c r="D64" s="489" t="s">
        <v>405</v>
      </c>
      <c r="E64" s="490"/>
      <c r="F64" s="490"/>
      <c r="G64" s="121"/>
      <c r="H64" s="45"/>
      <c r="I64" s="45"/>
      <c r="J64" s="46"/>
    </row>
    <row r="65" spans="1:10" ht="15" customHeight="1">
      <c r="A65" s="125">
        <v>0.29557895660400391</v>
      </c>
      <c r="B65" s="86">
        <v>126.85496346221927</v>
      </c>
      <c r="C65" s="87">
        <v>578.217041015625</v>
      </c>
      <c r="D65" s="491" t="s">
        <v>399</v>
      </c>
      <c r="E65" s="493" t="s">
        <v>403</v>
      </c>
      <c r="F65" s="494"/>
      <c r="G65" s="121"/>
      <c r="H65" s="45"/>
      <c r="I65" s="45"/>
      <c r="J65" s="46"/>
    </row>
    <row r="66" spans="1:10" ht="15" customHeight="1">
      <c r="A66" s="125">
        <v>0.39621052145957947</v>
      </c>
      <c r="B66" s="86">
        <v>121.39413986657348</v>
      </c>
      <c r="C66" s="87">
        <v>592.8525390625</v>
      </c>
      <c r="D66" s="491" t="s">
        <v>400</v>
      </c>
      <c r="E66" s="493" t="s">
        <v>404</v>
      </c>
      <c r="F66" s="494"/>
      <c r="G66" s="121"/>
      <c r="H66" s="45"/>
      <c r="I66" s="45"/>
      <c r="J66" s="46"/>
    </row>
    <row r="67" spans="1:10" ht="15" customHeight="1">
      <c r="A67" s="125">
        <v>0.49684211611747742</v>
      </c>
      <c r="B67" s="86">
        <v>118.70072184865019</v>
      </c>
      <c r="C67" s="87">
        <v>605.2913818359375</v>
      </c>
      <c r="D67" s="491" t="s">
        <v>401</v>
      </c>
      <c r="E67" s="493" t="s">
        <v>406</v>
      </c>
      <c r="F67" s="494"/>
      <c r="G67" s="121"/>
      <c r="H67" s="45"/>
      <c r="I67" s="45"/>
      <c r="J67" s="46"/>
    </row>
    <row r="68" spans="1:10" ht="15" customHeight="1" thickBot="1">
      <c r="A68" s="126">
        <v>0.59747368097305298</v>
      </c>
      <c r="B68" s="88">
        <v>117.14160493694172</v>
      </c>
      <c r="C68" s="89">
        <v>616.116455078125</v>
      </c>
      <c r="D68" s="492" t="s">
        <v>402</v>
      </c>
      <c r="E68" s="495" t="s">
        <v>407</v>
      </c>
      <c r="F68" s="495"/>
      <c r="G68" s="122"/>
      <c r="H68" s="47"/>
      <c r="I68" s="47"/>
      <c r="J68" s="48"/>
    </row>
    <row r="69" spans="1:10" ht="15" customHeight="1">
      <c r="A69" s="155" t="s">
        <v>267</v>
      </c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485" t="s">
        <v>398</v>
      </c>
      <c r="B99" s="485"/>
      <c r="C99" s="485"/>
      <c r="D99" s="485"/>
      <c r="E99" s="485"/>
      <c r="F99" s="485"/>
      <c r="G99" s="485"/>
      <c r="H99" s="485"/>
      <c r="I99" s="485"/>
    </row>
    <row r="100" spans="1:9">
      <c r="A100" s="485">
        <v>100</v>
      </c>
      <c r="B100" s="485"/>
      <c r="C100" s="485"/>
      <c r="D100" s="485"/>
      <c r="E100" s="485"/>
      <c r="F100" s="485"/>
      <c r="G100" s="485"/>
      <c r="H100" s="485"/>
      <c r="I100" s="485"/>
    </row>
    <row r="101" spans="1:9">
      <c r="A101" s="485">
        <v>98.239997863769531</v>
      </c>
      <c r="B101" s="485"/>
      <c r="C101" s="485"/>
      <c r="D101" s="485"/>
      <c r="E101" s="485"/>
      <c r="F101" s="485"/>
      <c r="G101" s="485"/>
      <c r="H101" s="485"/>
      <c r="I101" s="485"/>
    </row>
    <row r="102" spans="1:9">
      <c r="A102" s="485">
        <v>88.650001525878906</v>
      </c>
      <c r="B102" s="485"/>
      <c r="C102" s="485"/>
      <c r="D102" s="485"/>
      <c r="E102" s="485"/>
      <c r="F102" s="485"/>
      <c r="G102" s="485"/>
      <c r="H102" s="485"/>
      <c r="I102" s="485"/>
    </row>
    <row r="103" spans="1:9">
      <c r="A103" s="485">
        <v>75.477897644042969</v>
      </c>
      <c r="B103" s="485"/>
      <c r="C103" s="485"/>
      <c r="D103" s="485"/>
      <c r="E103" s="485"/>
      <c r="F103" s="485"/>
      <c r="G103" s="485"/>
      <c r="H103" s="485"/>
      <c r="I103" s="485"/>
    </row>
    <row r="104" spans="1:9">
      <c r="A104" s="485">
        <v>62.395790100097656</v>
      </c>
      <c r="B104" s="485"/>
      <c r="C104" s="485"/>
      <c r="D104" s="485"/>
      <c r="E104" s="485"/>
      <c r="F104" s="485"/>
      <c r="G104" s="485"/>
      <c r="H104" s="485"/>
      <c r="I104" s="485"/>
    </row>
    <row r="105" spans="1:9">
      <c r="A105" s="485">
        <v>51.111576080322266</v>
      </c>
      <c r="B105" s="485"/>
      <c r="C105" s="485"/>
      <c r="D105" s="485"/>
      <c r="E105" s="485"/>
      <c r="F105" s="485"/>
      <c r="G105" s="485"/>
      <c r="H105" s="485"/>
      <c r="I105" s="485"/>
    </row>
    <row r="106" spans="1:9">
      <c r="A106" s="485">
        <v>33.751575469970703</v>
      </c>
      <c r="B106" s="485"/>
      <c r="C106" s="485"/>
      <c r="D106" s="485"/>
      <c r="E106" s="485"/>
      <c r="F106" s="485"/>
      <c r="G106" s="485"/>
      <c r="H106" s="485"/>
      <c r="I106" s="485"/>
    </row>
    <row r="107" spans="1:9">
      <c r="A107" s="485">
        <v>22.416843414306641</v>
      </c>
      <c r="B107" s="485"/>
      <c r="C107" s="485"/>
      <c r="D107" s="485"/>
      <c r="E107" s="485"/>
      <c r="F107" s="485"/>
      <c r="G107" s="485"/>
      <c r="H107" s="485"/>
      <c r="I107" s="485"/>
    </row>
    <row r="108" spans="1:9">
      <c r="A108" s="485">
        <v>14.252630233764648</v>
      </c>
      <c r="B108" s="485"/>
      <c r="C108" s="485"/>
      <c r="D108" s="485"/>
      <c r="E108" s="485"/>
      <c r="F108" s="485"/>
      <c r="G108" s="485"/>
      <c r="H108" s="485"/>
      <c r="I108" s="485"/>
    </row>
    <row r="109" spans="1:9">
      <c r="A109" s="485">
        <v>8.1515789031982422</v>
      </c>
      <c r="B109" s="485"/>
      <c r="C109" s="485"/>
      <c r="D109" s="485"/>
      <c r="E109" s="485"/>
      <c r="F109" s="485"/>
      <c r="G109" s="485"/>
      <c r="H109" s="485"/>
      <c r="I109" s="485"/>
    </row>
    <row r="110" spans="1:9">
      <c r="A110" s="485">
        <v>6.0378942489624023</v>
      </c>
      <c r="B110" s="485"/>
      <c r="C110" s="485"/>
      <c r="D110" s="485"/>
      <c r="E110" s="485"/>
      <c r="F110" s="485"/>
      <c r="G110" s="485"/>
      <c r="H110" s="485"/>
      <c r="I110" s="485"/>
    </row>
    <row r="111" spans="1:9">
      <c r="A111" s="485">
        <v>7.9747371673583984</v>
      </c>
      <c r="B111" s="485"/>
      <c r="C111" s="485"/>
      <c r="D111" s="485"/>
      <c r="E111" s="485"/>
      <c r="F111" s="485"/>
      <c r="G111" s="485"/>
      <c r="H111" s="485"/>
      <c r="I111" s="485"/>
    </row>
    <row r="112" spans="1:9">
      <c r="A112" s="485">
        <v>14.955788612365723</v>
      </c>
      <c r="B112" s="485"/>
      <c r="C112" s="485"/>
      <c r="D112" s="485"/>
      <c r="E112" s="485"/>
      <c r="F112" s="485"/>
      <c r="G112" s="485"/>
      <c r="H112" s="485"/>
      <c r="I112" s="485"/>
    </row>
    <row r="113" spans="1:9">
      <c r="A113" s="485">
        <v>30</v>
      </c>
      <c r="B113" s="485"/>
      <c r="C113" s="485"/>
      <c r="D113" s="485"/>
      <c r="E113" s="485"/>
      <c r="F113" s="485"/>
      <c r="G113" s="485"/>
      <c r="H113" s="485"/>
      <c r="I113" s="485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workbookViewId="0">
      <selection activeCell="A40" sqref="A40:E44"/>
    </sheetView>
  </sheetViews>
  <sheetFormatPr defaultRowHeight="15.75"/>
  <cols>
    <col min="1" max="1" width="12.140625" style="409" customWidth="1"/>
    <col min="2" max="2" width="6.140625" style="409" customWidth="1"/>
    <col min="3" max="3" width="7.7109375" style="409" customWidth="1"/>
    <col min="4" max="5" width="13.140625" style="409" customWidth="1"/>
    <col min="6" max="6" width="9.42578125" style="409" customWidth="1"/>
    <col min="7" max="7" width="5.7109375" style="409" customWidth="1"/>
    <col min="8" max="8" width="7.85546875" style="409" customWidth="1"/>
    <col min="9" max="9" width="6.5703125" style="409" customWidth="1"/>
    <col min="10" max="10" width="12" style="410" customWidth="1"/>
    <col min="11" max="11" width="12" style="409" customWidth="1"/>
    <col min="12" max="12" width="16" style="186" customWidth="1"/>
    <col min="13" max="26" width="9.140625" style="186"/>
    <col min="27" max="16384" width="9.140625" style="187"/>
  </cols>
  <sheetData>
    <row r="1" spans="1:26" ht="20.25" customHeight="1">
      <c r="A1" s="185" t="s">
        <v>268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26" ht="20.25" customHeight="1">
      <c r="A2" s="188" t="s">
        <v>269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</row>
    <row r="3" spans="1:26" ht="18.75" customHeight="1" thickBot="1">
      <c r="A3" s="189" t="s">
        <v>1</v>
      </c>
      <c r="B3" s="190" t="s">
        <v>379</v>
      </c>
      <c r="C3" s="191"/>
      <c r="D3" s="191"/>
      <c r="E3" s="191"/>
      <c r="F3" s="192"/>
      <c r="G3" s="191"/>
      <c r="H3" s="191"/>
      <c r="I3" s="189" t="s">
        <v>270</v>
      </c>
      <c r="J3" s="193" t="s">
        <v>389</v>
      </c>
      <c r="K3" s="193"/>
    </row>
    <row r="4" spans="1:26" s="202" customFormat="1" ht="18.399999999999999" customHeight="1" thickBot="1">
      <c r="A4" s="194" t="s">
        <v>380</v>
      </c>
      <c r="B4" s="195"/>
      <c r="C4" s="196"/>
      <c r="D4" s="196"/>
      <c r="E4" s="196"/>
      <c r="F4" s="196"/>
      <c r="G4" s="196"/>
      <c r="H4" s="196"/>
      <c r="I4" s="196"/>
      <c r="J4" s="196"/>
      <c r="K4" s="197"/>
      <c r="L4" s="198"/>
      <c r="M4" s="198"/>
      <c r="N4" s="198"/>
      <c r="O4" s="198"/>
      <c r="P4" s="198"/>
      <c r="Q4" s="199" t="s">
        <v>271</v>
      </c>
      <c r="R4" s="200"/>
      <c r="S4" s="198"/>
      <c r="T4" s="199" t="s">
        <v>272</v>
      </c>
      <c r="U4" s="201"/>
      <c r="V4" s="198"/>
      <c r="W4" s="198"/>
      <c r="X4" s="198"/>
      <c r="Y4" s="198"/>
      <c r="Z4" s="198"/>
    </row>
    <row r="5" spans="1:26" s="202" customFormat="1" ht="18.399999999999999" customHeight="1">
      <c r="A5" s="203" t="s">
        <v>273</v>
      </c>
      <c r="B5" s="204"/>
      <c r="C5" s="204"/>
      <c r="D5" s="205"/>
      <c r="E5" s="206"/>
      <c r="F5" s="207" t="s">
        <v>274</v>
      </c>
      <c r="G5" s="208"/>
      <c r="H5" s="208"/>
      <c r="I5" s="209"/>
      <c r="J5" s="210" t="s">
        <v>275</v>
      </c>
      <c r="K5" s="211" t="s">
        <v>276</v>
      </c>
      <c r="L5" s="198"/>
      <c r="M5" s="198"/>
      <c r="N5" s="198"/>
      <c r="O5" s="198"/>
      <c r="P5" s="198"/>
      <c r="Q5" s="212" t="s">
        <v>277</v>
      </c>
      <c r="R5" s="213"/>
      <c r="S5" s="198"/>
      <c r="T5" s="212" t="s">
        <v>278</v>
      </c>
      <c r="U5" s="214"/>
      <c r="V5" s="198"/>
      <c r="W5" s="198"/>
      <c r="X5" s="198"/>
      <c r="Y5" s="198"/>
      <c r="Z5" s="198"/>
    </row>
    <row r="6" spans="1:26" s="202" customFormat="1" ht="18.399999999999999" customHeight="1">
      <c r="A6" s="215" t="s">
        <v>67</v>
      </c>
      <c r="B6" s="216"/>
      <c r="C6" s="216"/>
      <c r="D6" s="217" t="s">
        <v>282</v>
      </c>
      <c r="E6" s="218"/>
      <c r="F6" s="219" t="s">
        <v>280</v>
      </c>
      <c r="G6" s="220"/>
      <c r="H6" s="220"/>
      <c r="I6" s="220"/>
      <c r="J6" s="220"/>
      <c r="K6" s="221"/>
      <c r="L6" s="198"/>
      <c r="M6" s="198"/>
      <c r="N6" s="198"/>
      <c r="O6" s="198"/>
      <c r="P6" s="198"/>
      <c r="Q6" s="212" t="s">
        <v>281</v>
      </c>
      <c r="R6" s="213"/>
      <c r="S6" s="198"/>
      <c r="T6" s="212" t="s">
        <v>282</v>
      </c>
      <c r="U6" s="214"/>
      <c r="V6" s="198"/>
      <c r="W6" s="198"/>
      <c r="X6" s="198"/>
      <c r="Y6" s="198"/>
      <c r="Z6" s="198"/>
    </row>
    <row r="7" spans="1:26" s="202" customFormat="1" ht="18.399999999999999" customHeight="1">
      <c r="A7" s="222" t="s">
        <v>20</v>
      </c>
      <c r="B7" s="223"/>
      <c r="C7" s="223"/>
      <c r="D7" s="224">
        <v>1.20000004768372</v>
      </c>
      <c r="E7" s="225"/>
      <c r="F7" s="226" t="s">
        <v>283</v>
      </c>
      <c r="G7" s="227"/>
      <c r="H7" s="228"/>
      <c r="I7" s="229"/>
      <c r="J7" s="230">
        <v>16.100000000000001</v>
      </c>
      <c r="K7" s="231" t="s">
        <v>174</v>
      </c>
      <c r="L7" s="198"/>
      <c r="M7" s="198"/>
      <c r="N7" s="198"/>
      <c r="O7" s="198"/>
      <c r="P7" s="198"/>
      <c r="Q7" s="212" t="s">
        <v>284</v>
      </c>
      <c r="R7" s="213"/>
      <c r="S7" s="198"/>
      <c r="T7" s="212" t="s">
        <v>279</v>
      </c>
      <c r="U7" s="214"/>
      <c r="V7" s="198"/>
      <c r="W7" s="198"/>
      <c r="X7" s="198"/>
      <c r="Y7" s="198"/>
      <c r="Z7" s="198"/>
    </row>
    <row r="8" spans="1:26" s="202" customFormat="1" ht="18.399999999999999" customHeight="1">
      <c r="A8" s="222" t="s">
        <v>285</v>
      </c>
      <c r="B8" s="223"/>
      <c r="C8" s="223"/>
      <c r="D8" s="232">
        <v>650</v>
      </c>
      <c r="E8" s="233"/>
      <c r="F8" s="234" t="s">
        <v>286</v>
      </c>
      <c r="G8" s="235"/>
      <c r="H8" s="236"/>
      <c r="I8" s="237"/>
      <c r="J8" s="238">
        <v>4572</v>
      </c>
      <c r="K8" s="239" t="s">
        <v>174</v>
      </c>
      <c r="L8" s="198"/>
      <c r="M8" s="198"/>
      <c r="N8" s="198"/>
      <c r="O8" s="198"/>
      <c r="P8" s="198"/>
      <c r="Q8" s="212" t="s">
        <v>287</v>
      </c>
      <c r="R8" s="213"/>
      <c r="S8" s="198"/>
      <c r="T8" s="212" t="s">
        <v>288</v>
      </c>
      <c r="U8" s="214"/>
      <c r="V8" s="198"/>
      <c r="W8" s="198"/>
      <c r="X8" s="198"/>
      <c r="Y8" s="198"/>
      <c r="Z8" s="198"/>
    </row>
    <row r="9" spans="1:26" s="202" customFormat="1" ht="18.399999999999999" customHeight="1">
      <c r="A9" s="240" t="s">
        <v>289</v>
      </c>
      <c r="B9" s="241"/>
      <c r="C9" s="242"/>
      <c r="D9" s="482" t="s">
        <v>394</v>
      </c>
      <c r="E9" s="483"/>
      <c r="F9" s="226" t="s">
        <v>290</v>
      </c>
      <c r="G9" s="227"/>
      <c r="H9" s="243">
        <v>3</v>
      </c>
      <c r="I9" s="244" t="s">
        <v>291</v>
      </c>
      <c r="J9" s="245">
        <v>91</v>
      </c>
      <c r="K9" s="239" t="s">
        <v>174</v>
      </c>
      <c r="L9" s="198"/>
      <c r="M9" s="198"/>
      <c r="N9" s="198"/>
      <c r="O9" s="198"/>
      <c r="P9" s="198"/>
      <c r="Q9" s="212" t="s">
        <v>292</v>
      </c>
      <c r="R9" s="213"/>
      <c r="S9" s="198"/>
      <c r="T9" s="212" t="s">
        <v>293</v>
      </c>
      <c r="U9" s="214"/>
      <c r="V9" s="198"/>
      <c r="W9" s="198"/>
      <c r="X9" s="198"/>
      <c r="Y9" s="198"/>
      <c r="Z9" s="198"/>
    </row>
    <row r="10" spans="1:26" s="202" customFormat="1" ht="18.399999999999999" customHeight="1" thickBot="1">
      <c r="A10" s="240" t="s">
        <v>294</v>
      </c>
      <c r="B10" s="241"/>
      <c r="C10" s="242"/>
      <c r="D10" s="246" t="s">
        <v>199</v>
      </c>
      <c r="E10" s="247"/>
      <c r="F10" s="226" t="s">
        <v>295</v>
      </c>
      <c r="G10" s="227"/>
      <c r="H10" s="243">
        <v>3</v>
      </c>
      <c r="I10" s="244" t="s">
        <v>291</v>
      </c>
      <c r="J10" s="245">
        <v>1150</v>
      </c>
      <c r="K10" s="239" t="s">
        <v>174</v>
      </c>
      <c r="L10" s="198"/>
      <c r="M10" s="198"/>
      <c r="N10" s="198"/>
      <c r="O10" s="198"/>
      <c r="P10" s="198"/>
      <c r="Q10" s="212" t="s">
        <v>296</v>
      </c>
      <c r="R10" s="213"/>
      <c r="S10" s="198"/>
      <c r="T10" s="248" t="s">
        <v>297</v>
      </c>
      <c r="U10" s="249"/>
      <c r="V10" s="198"/>
      <c r="W10" s="198"/>
      <c r="X10" s="198"/>
      <c r="Y10" s="198"/>
      <c r="Z10" s="198"/>
    </row>
    <row r="11" spans="1:26" s="202" customFormat="1" ht="18.399999999999999" customHeight="1" thickBot="1">
      <c r="A11" s="240" t="s">
        <v>298</v>
      </c>
      <c r="B11" s="241"/>
      <c r="C11" s="242"/>
      <c r="D11" s="250" t="s">
        <v>174</v>
      </c>
      <c r="E11" s="251"/>
      <c r="F11" s="252" t="s">
        <v>299</v>
      </c>
      <c r="G11" s="253"/>
      <c r="H11" s="254">
        <v>3</v>
      </c>
      <c r="I11" s="244" t="s">
        <v>291</v>
      </c>
      <c r="J11" s="255">
        <v>15913</v>
      </c>
      <c r="K11" s="256" t="s">
        <v>174</v>
      </c>
      <c r="L11" s="198"/>
      <c r="M11" s="198"/>
      <c r="N11" s="198"/>
      <c r="O11" s="198"/>
      <c r="P11" s="198"/>
      <c r="Q11" s="248" t="s">
        <v>300</v>
      </c>
      <c r="R11" s="257"/>
      <c r="S11" s="198"/>
      <c r="T11" s="198"/>
      <c r="U11" s="198"/>
      <c r="V11" s="198"/>
      <c r="W11" s="198"/>
      <c r="X11" s="198"/>
      <c r="Y11" s="198"/>
      <c r="Z11" s="198"/>
    </row>
    <row r="12" spans="1:26" s="202" customFormat="1" ht="18.399999999999999" customHeight="1">
      <c r="A12" s="258" t="s">
        <v>301</v>
      </c>
      <c r="C12" s="259"/>
      <c r="D12" s="260" t="s">
        <v>174</v>
      </c>
      <c r="E12" s="261"/>
      <c r="F12" s="262" t="s">
        <v>302</v>
      </c>
      <c r="G12" s="263"/>
      <c r="H12" s="263"/>
      <c r="I12" s="263"/>
      <c r="J12" s="263"/>
      <c r="K12" s="264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 spans="1:26" s="202" customFormat="1" ht="18.399999999999999" customHeight="1">
      <c r="A13" s="240" t="s">
        <v>53</v>
      </c>
      <c r="B13" s="241"/>
      <c r="C13" s="242"/>
      <c r="D13" s="265" t="s">
        <v>382</v>
      </c>
      <c r="E13" s="266"/>
      <c r="F13" s="267"/>
      <c r="G13" s="268" t="s">
        <v>303</v>
      </c>
      <c r="H13" s="269"/>
      <c r="I13" s="270" t="s">
        <v>304</v>
      </c>
      <c r="J13" s="271" t="s">
        <v>383</v>
      </c>
      <c r="K13" s="272" t="s">
        <v>174</v>
      </c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spans="1:26" s="202" customFormat="1" ht="18.399999999999999" customHeight="1">
      <c r="A14" s="240" t="s">
        <v>56</v>
      </c>
      <c r="B14" s="241"/>
      <c r="C14" s="242"/>
      <c r="D14" s="260">
        <v>989</v>
      </c>
      <c r="E14" s="261"/>
      <c r="F14" s="267"/>
      <c r="G14" s="273" t="s">
        <v>10</v>
      </c>
      <c r="H14" s="274"/>
      <c r="I14" s="274"/>
      <c r="J14" s="245" t="s">
        <v>174</v>
      </c>
      <c r="K14" s="239" t="s">
        <v>174</v>
      </c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spans="1:26" s="202" customFormat="1" ht="18.399999999999999" customHeight="1">
      <c r="A15" s="275" t="s">
        <v>305</v>
      </c>
      <c r="B15" s="276"/>
      <c r="C15" s="277"/>
      <c r="D15" s="278">
        <v>10.889599800109863</v>
      </c>
      <c r="E15" s="279"/>
      <c r="F15" s="267"/>
      <c r="G15" s="273" t="s">
        <v>306</v>
      </c>
      <c r="H15" s="274"/>
      <c r="I15" s="274"/>
      <c r="J15" s="245" t="s">
        <v>174</v>
      </c>
      <c r="K15" s="239" t="s">
        <v>174</v>
      </c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spans="1:26" s="202" customFormat="1" ht="18.399999999999999" customHeight="1">
      <c r="A16" s="280" t="s">
        <v>307</v>
      </c>
      <c r="B16" s="281"/>
      <c r="C16" s="282"/>
      <c r="D16" s="278">
        <v>3.3183999061584473</v>
      </c>
      <c r="E16" s="279"/>
      <c r="F16" s="283"/>
      <c r="G16" s="284" t="s">
        <v>17</v>
      </c>
      <c r="H16" s="285"/>
      <c r="I16" s="285"/>
      <c r="J16" s="255" t="s">
        <v>174</v>
      </c>
      <c r="K16" s="256" t="s">
        <v>174</v>
      </c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 spans="1:26" s="202" customFormat="1" ht="18.399999999999999" customHeight="1">
      <c r="A17" s="286" t="s">
        <v>308</v>
      </c>
      <c r="B17" s="287"/>
      <c r="C17" s="288"/>
      <c r="D17" s="250" t="s">
        <v>381</v>
      </c>
      <c r="E17" s="251"/>
      <c r="F17" s="262" t="s">
        <v>309</v>
      </c>
      <c r="G17" s="263"/>
      <c r="H17" s="263"/>
      <c r="I17" s="263"/>
      <c r="J17" s="263"/>
      <c r="K17" s="264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spans="1:26" s="202" customFormat="1" ht="18.399999999999999" customHeight="1">
      <c r="A18" s="289" t="s">
        <v>310</v>
      </c>
      <c r="B18" s="290"/>
      <c r="C18" s="288"/>
      <c r="D18" s="246" t="s">
        <v>174</v>
      </c>
      <c r="E18" s="247"/>
      <c r="F18" s="291"/>
      <c r="G18" s="292"/>
      <c r="H18" s="293" t="s">
        <v>311</v>
      </c>
      <c r="I18" s="294"/>
      <c r="J18" s="238">
        <v>58</v>
      </c>
      <c r="K18" s="239"/>
      <c r="L18" s="198"/>
      <c r="M18" s="198">
        <f>J18*6.5</f>
        <v>377</v>
      </c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spans="1:26" s="202" customFormat="1" ht="18.399999999999999" customHeight="1">
      <c r="A19" s="295" t="s">
        <v>312</v>
      </c>
      <c r="B19" s="296"/>
      <c r="C19" s="297"/>
      <c r="D19" s="298" t="s">
        <v>174</v>
      </c>
      <c r="E19" s="251"/>
      <c r="F19" s="299"/>
      <c r="G19" s="300"/>
      <c r="H19" s="293" t="s">
        <v>5</v>
      </c>
      <c r="I19" s="229"/>
      <c r="J19" s="238">
        <v>1180</v>
      </c>
      <c r="K19" s="239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spans="1:26" s="202" customFormat="1" ht="18.399999999999999" customHeight="1" thickBot="1">
      <c r="A20" s="301" t="s">
        <v>313</v>
      </c>
      <c r="C20" s="302"/>
      <c r="D20" s="303" t="s">
        <v>198</v>
      </c>
      <c r="E20" s="233"/>
      <c r="F20" s="299"/>
      <c r="G20" s="300"/>
      <c r="H20" s="293" t="s">
        <v>314</v>
      </c>
      <c r="I20" s="229"/>
      <c r="J20" s="245" t="s">
        <v>385</v>
      </c>
      <c r="K20" s="239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spans="1:26" s="202" customFormat="1" ht="18.399999999999999" customHeight="1" thickBot="1">
      <c r="A21" s="275" t="s">
        <v>315</v>
      </c>
      <c r="B21" s="276"/>
      <c r="C21" s="277"/>
      <c r="D21" s="232" t="s">
        <v>174</v>
      </c>
      <c r="E21" s="233"/>
      <c r="F21" s="299"/>
      <c r="G21" s="300"/>
      <c r="H21" s="304" t="s">
        <v>316</v>
      </c>
      <c r="I21" s="229"/>
      <c r="J21" s="245">
        <v>1.1499999999999999</v>
      </c>
      <c r="K21" s="239"/>
      <c r="L21" s="198"/>
      <c r="M21" s="198"/>
      <c r="N21" s="198"/>
      <c r="O21" s="198"/>
      <c r="P21" s="198"/>
      <c r="Q21" s="199" t="s">
        <v>317</v>
      </c>
      <c r="R21" s="201"/>
      <c r="S21" s="198"/>
      <c r="T21" s="198"/>
      <c r="U21" s="198"/>
      <c r="V21" s="198"/>
      <c r="W21" s="198"/>
      <c r="X21" s="198"/>
      <c r="Y21" s="198"/>
      <c r="Z21" s="198"/>
    </row>
    <row r="22" spans="1:26" s="202" customFormat="1" ht="18.399999999999999" customHeight="1">
      <c r="A22" s="289" t="s">
        <v>318</v>
      </c>
      <c r="B22" s="305"/>
      <c r="C22" s="305"/>
      <c r="D22" s="306">
        <v>0.40979999303817749</v>
      </c>
      <c r="E22" s="307"/>
      <c r="F22" s="299"/>
      <c r="G22" s="300"/>
      <c r="H22" s="293" t="s">
        <v>275</v>
      </c>
      <c r="I22" s="229"/>
      <c r="J22" s="245" t="s">
        <v>319</v>
      </c>
      <c r="K22" s="239"/>
      <c r="L22" s="198"/>
      <c r="M22" s="198"/>
      <c r="N22" s="198"/>
      <c r="O22" s="198"/>
      <c r="P22" s="198"/>
      <c r="Q22" s="212" t="s">
        <v>320</v>
      </c>
      <c r="R22" s="214"/>
      <c r="S22" s="198"/>
      <c r="T22" s="198"/>
      <c r="U22" s="198"/>
      <c r="V22" s="198"/>
      <c r="W22" s="198"/>
      <c r="X22" s="198"/>
      <c r="Y22" s="198"/>
      <c r="Z22" s="198"/>
    </row>
    <row r="23" spans="1:26" s="202" customFormat="1" ht="18.399999999999999" customHeight="1">
      <c r="A23" s="308" t="s">
        <v>321</v>
      </c>
      <c r="B23" s="309" t="s">
        <v>322</v>
      </c>
      <c r="C23" s="310"/>
      <c r="D23" s="265">
        <v>237.5</v>
      </c>
      <c r="E23" s="266"/>
      <c r="F23" s="299"/>
      <c r="G23" s="300"/>
      <c r="H23" s="311" t="s">
        <v>323</v>
      </c>
      <c r="I23" s="312"/>
      <c r="J23" s="313" t="s">
        <v>174</v>
      </c>
      <c r="K23" s="314"/>
      <c r="L23" s="198"/>
      <c r="Q23" s="212" t="s">
        <v>324</v>
      </c>
      <c r="R23" s="214"/>
      <c r="S23" s="198"/>
      <c r="T23" s="198"/>
      <c r="U23" s="198"/>
      <c r="V23" s="198"/>
      <c r="W23" s="198"/>
      <c r="X23" s="198"/>
      <c r="Y23" s="198"/>
      <c r="Z23" s="198"/>
    </row>
    <row r="24" spans="1:26" s="202" customFormat="1" ht="18.399999999999999" customHeight="1" thickBot="1">
      <c r="A24" s="315" t="s">
        <v>325</v>
      </c>
      <c r="B24" s="316" t="s">
        <v>326</v>
      </c>
      <c r="C24" s="317"/>
      <c r="D24" s="318" t="s">
        <v>174</v>
      </c>
      <c r="E24" s="319"/>
      <c r="F24" s="299"/>
      <c r="G24" s="300"/>
      <c r="H24" s="293" t="s">
        <v>327</v>
      </c>
      <c r="I24" s="259"/>
      <c r="J24" s="320" t="s">
        <v>174</v>
      </c>
      <c r="K24" s="321"/>
      <c r="Q24" s="322" t="s">
        <v>174</v>
      </c>
      <c r="R24" s="323"/>
      <c r="S24" s="198"/>
      <c r="T24" s="198"/>
      <c r="U24" s="198"/>
      <c r="V24" s="198"/>
      <c r="W24" s="198"/>
      <c r="X24" s="198"/>
      <c r="Y24" s="198"/>
      <c r="Z24" s="198"/>
    </row>
    <row r="25" spans="1:26" s="202" customFormat="1" ht="18.399999999999999" customHeight="1">
      <c r="A25" s="324" t="s">
        <v>328</v>
      </c>
      <c r="B25" s="325"/>
      <c r="C25" s="325"/>
      <c r="D25" s="326"/>
      <c r="E25" s="326" t="s">
        <v>329</v>
      </c>
      <c r="F25" s="299"/>
      <c r="G25" s="300"/>
      <c r="H25" s="293" t="s">
        <v>330</v>
      </c>
      <c r="I25" s="259"/>
      <c r="J25" s="327" t="s">
        <v>174</v>
      </c>
      <c r="K25" s="321"/>
      <c r="R25" s="198"/>
      <c r="S25" s="198"/>
      <c r="T25" s="198"/>
      <c r="U25" s="198"/>
      <c r="V25" s="198"/>
      <c r="W25" s="198"/>
      <c r="X25" s="198"/>
      <c r="Y25" s="198"/>
      <c r="Z25" s="198"/>
    </row>
    <row r="26" spans="1:26" s="202" customFormat="1" ht="18.399999999999999" customHeight="1">
      <c r="A26" s="328" t="s">
        <v>331</v>
      </c>
      <c r="B26" s="329"/>
      <c r="C26" s="330"/>
      <c r="D26" s="331" t="s">
        <v>384</v>
      </c>
      <c r="E26" s="331" t="s">
        <v>386</v>
      </c>
      <c r="F26" s="332"/>
      <c r="G26" s="333"/>
      <c r="H26" s="334"/>
      <c r="I26" s="335"/>
      <c r="J26" s="336"/>
      <c r="K26" s="337"/>
      <c r="R26" s="198"/>
      <c r="S26" s="198"/>
      <c r="T26" s="198"/>
      <c r="U26" s="198"/>
      <c r="V26" s="198"/>
      <c r="W26" s="198"/>
      <c r="X26" s="198"/>
      <c r="Y26" s="198"/>
      <c r="Z26" s="198"/>
    </row>
    <row r="27" spans="1:26" s="202" customFormat="1" ht="18.399999999999999" customHeight="1">
      <c r="A27" s="338" t="s">
        <v>332</v>
      </c>
      <c r="B27" s="339"/>
      <c r="C27" s="339"/>
      <c r="D27" s="339"/>
      <c r="E27" s="339"/>
      <c r="F27" s="219" t="s">
        <v>333</v>
      </c>
      <c r="G27" s="220"/>
      <c r="H27" s="220"/>
      <c r="I27" s="220"/>
      <c r="J27" s="220"/>
      <c r="K27" s="221"/>
      <c r="R27" s="198"/>
      <c r="S27" s="198"/>
      <c r="T27" s="198"/>
      <c r="U27" s="198"/>
      <c r="V27" s="198"/>
      <c r="W27" s="198"/>
      <c r="X27" s="198"/>
      <c r="Y27" s="198"/>
      <c r="Z27" s="198"/>
    </row>
    <row r="28" spans="1:26" s="202" customFormat="1" ht="18.399999999999999" customHeight="1">
      <c r="A28" s="340"/>
      <c r="B28" s="341"/>
      <c r="C28" s="341"/>
      <c r="D28" s="341"/>
      <c r="E28" s="342"/>
      <c r="F28" s="343"/>
      <c r="G28" s="344"/>
      <c r="H28" s="273" t="s">
        <v>334</v>
      </c>
      <c r="I28" s="345">
        <v>374</v>
      </c>
      <c r="J28" s="238">
        <v>374</v>
      </c>
      <c r="K28" s="346" t="s">
        <v>174</v>
      </c>
      <c r="M28" s="202">
        <f>(J28/J18)*100</f>
        <v>644.82758620689651</v>
      </c>
      <c r="N28" s="347"/>
      <c r="O28" s="347"/>
      <c r="R28" s="198"/>
      <c r="S28" s="198"/>
      <c r="T28" s="198"/>
      <c r="U28" s="198"/>
      <c r="V28" s="198"/>
      <c r="W28" s="198"/>
      <c r="X28" s="198"/>
      <c r="Y28" s="198"/>
      <c r="Z28" s="198"/>
    </row>
    <row r="29" spans="1:26" s="202" customFormat="1" ht="18.399999999999999" customHeight="1">
      <c r="A29" s="340"/>
      <c r="B29" s="341"/>
      <c r="C29" s="341"/>
      <c r="D29" s="341"/>
      <c r="E29" s="342"/>
      <c r="F29" s="348"/>
      <c r="G29" s="349"/>
      <c r="H29" s="273" t="s">
        <v>335</v>
      </c>
      <c r="I29" s="350">
        <v>60</v>
      </c>
      <c r="J29" s="238">
        <v>116</v>
      </c>
      <c r="K29" s="351" t="s">
        <v>174</v>
      </c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 spans="1:26" s="202" customFormat="1" ht="18.399999999999999" customHeight="1">
      <c r="A30" s="340"/>
      <c r="B30" s="341"/>
      <c r="C30" s="341"/>
      <c r="D30" s="341"/>
      <c r="E30" s="342"/>
      <c r="F30" s="348"/>
      <c r="G30" s="349"/>
      <c r="H30" s="273" t="s">
        <v>336</v>
      </c>
      <c r="I30" s="350">
        <v>175</v>
      </c>
      <c r="J30" s="238">
        <v>298</v>
      </c>
      <c r="K30" s="352" t="s">
        <v>174</v>
      </c>
      <c r="L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spans="1:26" s="202" customFormat="1" ht="18.399999999999999" customHeight="1">
      <c r="A31" s="340"/>
      <c r="B31" s="341"/>
      <c r="C31" s="341"/>
      <c r="D31" s="341"/>
      <c r="E31" s="342"/>
      <c r="F31" s="348"/>
      <c r="G31" s="349"/>
      <c r="H31" s="273" t="s">
        <v>337</v>
      </c>
      <c r="I31" s="274"/>
      <c r="J31" s="353">
        <v>1.79</v>
      </c>
      <c r="K31" s="231" t="s">
        <v>174</v>
      </c>
      <c r="L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spans="1:26" s="202" customFormat="1" ht="18.399999999999999" customHeight="1">
      <c r="A32" s="354"/>
      <c r="B32" s="355"/>
      <c r="C32" s="355"/>
      <c r="D32" s="355"/>
      <c r="E32" s="356"/>
      <c r="F32" s="348"/>
      <c r="G32" s="357" t="s">
        <v>338</v>
      </c>
      <c r="H32" s="273" t="s">
        <v>339</v>
      </c>
      <c r="I32" s="358"/>
      <c r="J32" s="230">
        <v>95.2</v>
      </c>
      <c r="K32" s="351" t="s">
        <v>174</v>
      </c>
      <c r="L32" s="198"/>
      <c r="N32" s="359"/>
      <c r="R32" s="198"/>
      <c r="S32" s="198"/>
      <c r="T32" s="198"/>
      <c r="U32" s="198"/>
      <c r="V32" s="198"/>
      <c r="W32" s="198"/>
      <c r="X32" s="198"/>
      <c r="Y32" s="198"/>
      <c r="Z32" s="198"/>
    </row>
    <row r="33" spans="1:26" s="202" customFormat="1" ht="18.399999999999999" customHeight="1">
      <c r="A33" s="338" t="s">
        <v>340</v>
      </c>
      <c r="B33" s="339"/>
      <c r="C33" s="339"/>
      <c r="D33" s="339"/>
      <c r="E33" s="360"/>
      <c r="F33" s="361"/>
      <c r="G33" s="362"/>
      <c r="H33" s="363" t="s">
        <v>341</v>
      </c>
      <c r="I33" s="364"/>
      <c r="J33" s="365">
        <v>88.3</v>
      </c>
      <c r="K33" s="366" t="s">
        <v>174</v>
      </c>
      <c r="L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spans="1:26" s="202" customFormat="1" ht="18.399999999999999" customHeight="1">
      <c r="A34" s="340"/>
      <c r="B34" s="341"/>
      <c r="C34" s="341"/>
      <c r="D34" s="341"/>
      <c r="E34" s="342"/>
      <c r="F34" s="234" t="s">
        <v>342</v>
      </c>
      <c r="G34" s="367"/>
      <c r="H34" s="368" t="s">
        <v>14</v>
      </c>
      <c r="I34" s="369"/>
      <c r="J34" s="370">
        <v>5607</v>
      </c>
      <c r="K34" s="371" t="s">
        <v>174</v>
      </c>
      <c r="L34" s="372"/>
      <c r="M34" s="373"/>
      <c r="R34" s="198"/>
      <c r="S34" s="198"/>
      <c r="T34" s="198"/>
      <c r="U34" s="198"/>
      <c r="V34" s="198"/>
      <c r="W34" s="198"/>
      <c r="X34" s="198"/>
      <c r="Y34" s="198"/>
      <c r="Z34" s="198"/>
    </row>
    <row r="35" spans="1:26" s="202" customFormat="1" ht="18.399999999999999" customHeight="1">
      <c r="A35" s="340"/>
      <c r="B35" s="341"/>
      <c r="C35" s="341"/>
      <c r="D35" s="341"/>
      <c r="E35" s="342"/>
      <c r="F35" s="267"/>
      <c r="G35" s="374"/>
      <c r="H35" s="375" t="s">
        <v>15</v>
      </c>
      <c r="I35" s="376"/>
      <c r="J35" s="238">
        <v>4704</v>
      </c>
      <c r="K35" s="231" t="s">
        <v>174</v>
      </c>
      <c r="L35" s="377"/>
      <c r="M35" s="373"/>
      <c r="R35" s="198"/>
      <c r="S35" s="198"/>
      <c r="T35" s="198"/>
      <c r="U35" s="198"/>
      <c r="V35" s="198"/>
      <c r="W35" s="198"/>
      <c r="X35" s="198"/>
      <c r="Y35" s="198"/>
      <c r="Z35" s="198"/>
    </row>
    <row r="36" spans="1:26" s="202" customFormat="1" ht="18.399999999999999" customHeight="1">
      <c r="A36" s="340"/>
      <c r="B36" s="341"/>
      <c r="C36" s="341"/>
      <c r="D36" s="341"/>
      <c r="E36" s="342"/>
      <c r="F36" s="267"/>
      <c r="G36" s="374"/>
      <c r="H36" s="375" t="s">
        <v>343</v>
      </c>
      <c r="I36" s="376"/>
      <c r="J36" s="238">
        <v>2416</v>
      </c>
      <c r="K36" s="231" t="s">
        <v>174</v>
      </c>
      <c r="L36" s="377"/>
      <c r="M36" s="347"/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spans="1:26" s="202" customFormat="1" ht="18.399999999999999" customHeight="1">
      <c r="A37" s="340"/>
      <c r="B37" s="341"/>
      <c r="C37" s="341"/>
      <c r="D37" s="341"/>
      <c r="E37" s="342"/>
      <c r="F37" s="348"/>
      <c r="G37" s="374"/>
      <c r="H37" s="375" t="s">
        <v>344</v>
      </c>
      <c r="I37" s="376"/>
      <c r="J37" s="238">
        <v>1939</v>
      </c>
      <c r="K37" s="231" t="s">
        <v>174</v>
      </c>
      <c r="L37" s="377"/>
      <c r="M37" s="347"/>
      <c r="N37" s="377"/>
      <c r="R37" s="198"/>
      <c r="S37" s="198"/>
      <c r="T37" s="198"/>
      <c r="U37" s="198"/>
      <c r="V37" s="198"/>
      <c r="W37" s="198"/>
      <c r="X37" s="198"/>
      <c r="Y37" s="198"/>
      <c r="Z37" s="198"/>
    </row>
    <row r="38" spans="1:26" s="202" customFormat="1" ht="18.399999999999999" customHeight="1">
      <c r="A38" s="354"/>
      <c r="B38" s="355"/>
      <c r="C38" s="355"/>
      <c r="D38" s="355"/>
      <c r="E38" s="356"/>
      <c r="F38" s="283"/>
      <c r="G38" s="378"/>
      <c r="H38" s="379" t="s">
        <v>345</v>
      </c>
      <c r="I38" s="380"/>
      <c r="J38" s="381">
        <v>2418</v>
      </c>
      <c r="K38" s="382" t="s">
        <v>174</v>
      </c>
      <c r="R38" s="198"/>
      <c r="S38" s="198"/>
      <c r="T38" s="198"/>
      <c r="U38" s="198"/>
      <c r="V38" s="198"/>
      <c r="W38" s="198"/>
      <c r="X38" s="198"/>
      <c r="Y38" s="198"/>
      <c r="Z38" s="198"/>
    </row>
    <row r="39" spans="1:26" s="202" customFormat="1" ht="18.399999999999999" customHeight="1">
      <c r="A39" s="338" t="s">
        <v>346</v>
      </c>
      <c r="B39" s="339"/>
      <c r="C39" s="339"/>
      <c r="D39" s="339"/>
      <c r="E39" s="339"/>
      <c r="F39" s="383" t="s">
        <v>347</v>
      </c>
      <c r="G39" s="384"/>
      <c r="H39" s="384"/>
      <c r="I39" s="384"/>
      <c r="J39" s="384"/>
      <c r="K39" s="385"/>
      <c r="R39" s="198"/>
      <c r="S39" s="198"/>
      <c r="T39" s="198"/>
      <c r="U39" s="198"/>
      <c r="V39" s="198"/>
      <c r="W39" s="198"/>
      <c r="X39" s="198"/>
      <c r="Y39" s="198"/>
      <c r="Z39" s="198"/>
    </row>
    <row r="40" spans="1:26" s="202" customFormat="1" ht="18.399999999999999" customHeight="1">
      <c r="A40" s="340"/>
      <c r="B40" s="341"/>
      <c r="C40" s="341"/>
      <c r="D40" s="341"/>
      <c r="E40" s="342"/>
      <c r="F40" s="386" t="s">
        <v>387</v>
      </c>
      <c r="G40" s="480" t="s">
        <v>388</v>
      </c>
      <c r="H40" s="387"/>
      <c r="I40" s="387"/>
      <c r="J40" s="387"/>
      <c r="K40" s="388"/>
      <c r="R40" s="198"/>
      <c r="S40" s="198"/>
      <c r="T40" s="198"/>
      <c r="U40" s="198"/>
      <c r="V40" s="198"/>
      <c r="W40" s="198"/>
      <c r="X40" s="198"/>
      <c r="Y40" s="198"/>
      <c r="Z40" s="198"/>
    </row>
    <row r="41" spans="1:26" s="202" customFormat="1" ht="18.399999999999999" customHeight="1">
      <c r="A41" s="340"/>
      <c r="B41" s="341"/>
      <c r="C41" s="341"/>
      <c r="D41" s="341"/>
      <c r="E41" s="342"/>
      <c r="F41" s="386"/>
      <c r="G41" s="389" t="s">
        <v>390</v>
      </c>
      <c r="H41" s="389"/>
      <c r="I41" s="389"/>
      <c r="J41" s="389"/>
      <c r="K41" s="390"/>
      <c r="L41" s="391"/>
      <c r="R41" s="198"/>
      <c r="S41" s="198"/>
      <c r="T41" s="198"/>
      <c r="U41" s="198"/>
      <c r="V41" s="198"/>
      <c r="W41" s="198"/>
      <c r="X41" s="198"/>
      <c r="Y41" s="198"/>
      <c r="Z41" s="198"/>
    </row>
    <row r="42" spans="1:26" s="202" customFormat="1" ht="18.399999999999999" customHeight="1">
      <c r="A42" s="340"/>
      <c r="B42" s="341"/>
      <c r="C42" s="341"/>
      <c r="D42" s="341"/>
      <c r="E42" s="342"/>
      <c r="F42" s="386"/>
      <c r="G42" s="389" t="s">
        <v>393</v>
      </c>
      <c r="H42" s="389"/>
      <c r="I42" s="389"/>
      <c r="J42" s="389"/>
      <c r="K42" s="390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spans="1:26" s="202" customFormat="1" ht="18.399999999999999" customHeight="1">
      <c r="A43" s="340"/>
      <c r="B43" s="341"/>
      <c r="C43" s="341"/>
      <c r="D43" s="341"/>
      <c r="E43" s="342"/>
      <c r="F43" s="386"/>
      <c r="G43" s="481" t="s">
        <v>392</v>
      </c>
      <c r="H43" s="389"/>
      <c r="I43" s="389"/>
      <c r="J43" s="389"/>
      <c r="K43" s="390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spans="1:26" s="202" customFormat="1" ht="17.100000000000001" customHeight="1" thickBot="1">
      <c r="A44" s="392"/>
      <c r="B44" s="393"/>
      <c r="C44" s="393"/>
      <c r="D44" s="393"/>
      <c r="E44" s="394"/>
      <c r="F44" s="386"/>
      <c r="G44" s="389"/>
      <c r="H44" s="389"/>
      <c r="I44" s="389"/>
      <c r="J44" s="389"/>
      <c r="K44" s="390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spans="1:26" s="202" customFormat="1" ht="17.100000000000001" customHeight="1">
      <c r="A45" s="395" t="s">
        <v>348</v>
      </c>
      <c r="B45" s="396"/>
      <c r="C45" s="397"/>
      <c r="D45" s="398" t="s">
        <v>349</v>
      </c>
      <c r="E45" s="399" t="s">
        <v>350</v>
      </c>
      <c r="F45" s="400"/>
      <c r="G45" s="389"/>
      <c r="H45" s="389"/>
      <c r="I45" s="389"/>
      <c r="J45" s="389"/>
      <c r="K45" s="390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spans="1:26" s="202" customFormat="1" ht="17.100000000000001" customHeight="1" thickBot="1">
      <c r="A46" s="401" t="s">
        <v>351</v>
      </c>
      <c r="B46" s="402"/>
      <c r="C46" s="403"/>
      <c r="D46" s="404" t="s">
        <v>351</v>
      </c>
      <c r="E46" s="405">
        <v>43493</v>
      </c>
      <c r="F46" s="406"/>
      <c r="G46" s="407" t="s">
        <v>391</v>
      </c>
      <c r="H46" s="407"/>
      <c r="I46" s="407"/>
      <c r="J46" s="407"/>
      <c r="K46" s="40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spans="1:26" s="202" customFormat="1" ht="17.100000000000001" customHeight="1">
      <c r="F47" s="409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</row>
    <row r="48" spans="1:26" s="202" customFormat="1" ht="17.100000000000001" customHeight="1">
      <c r="F48" s="198"/>
      <c r="G48" s="198"/>
      <c r="H48" s="198"/>
      <c r="I48" s="198"/>
      <c r="J48" s="198"/>
      <c r="K48" s="198"/>
    </row>
    <row r="49" spans="2:26" ht="17.100000000000001" customHeight="1">
      <c r="F49" s="186"/>
      <c r="G49" s="186"/>
      <c r="H49" s="186"/>
      <c r="I49" s="186"/>
      <c r="J49" s="186"/>
      <c r="K49" s="186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spans="2:26">
      <c r="F50" s="186"/>
      <c r="G50" s="186"/>
      <c r="H50" s="186"/>
      <c r="I50" s="186"/>
      <c r="J50" s="186"/>
      <c r="K50" s="186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spans="2:26">
      <c r="F51" s="186"/>
      <c r="G51" s="186"/>
      <c r="H51" s="186"/>
      <c r="I51" s="186"/>
      <c r="J51" s="186"/>
      <c r="K51" s="186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spans="2:26"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spans="2:26">
      <c r="F53" s="186"/>
      <c r="G53" s="186"/>
      <c r="H53" s="186"/>
      <c r="I53" s="186"/>
      <c r="J53" s="186"/>
      <c r="K53" s="186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</sheetData>
  <mergeCells count="49">
    <mergeCell ref="B46:C46"/>
    <mergeCell ref="A28:E32"/>
    <mergeCell ref="A33:E33"/>
    <mergeCell ref="A34:E38"/>
    <mergeCell ref="A39:E39"/>
    <mergeCell ref="A40:E44"/>
    <mergeCell ref="B45:C45"/>
    <mergeCell ref="D21:E21"/>
    <mergeCell ref="D22:E22"/>
    <mergeCell ref="D23:E23"/>
    <mergeCell ref="D24:E24"/>
    <mergeCell ref="H26:I26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D12:E12"/>
    <mergeCell ref="F12:K12"/>
    <mergeCell ref="A7:C7"/>
    <mergeCell ref="D7:E7"/>
    <mergeCell ref="A8:C8"/>
    <mergeCell ref="D8:E8"/>
    <mergeCell ref="A9:C9"/>
    <mergeCell ref="D9:E9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40625" defaultRowHeight="12.75"/>
  <cols>
    <col min="1" max="1" width="9.140625" style="416" customWidth="1"/>
    <col min="2" max="2" width="18.140625" style="416" customWidth="1"/>
    <col min="3" max="3" width="21.5703125" style="416" customWidth="1"/>
    <col min="4" max="4" width="21.28515625" style="416" bestFit="1" customWidth="1"/>
    <col min="5" max="5" width="6.85546875" style="416" bestFit="1" customWidth="1"/>
    <col min="6" max="6" width="29.85546875" style="416" customWidth="1"/>
    <col min="7" max="7" width="43.7109375" style="416" customWidth="1"/>
    <col min="8" max="8" width="17.140625" style="416" customWidth="1"/>
    <col min="9" max="9" width="7.85546875" style="416" customWidth="1"/>
    <col min="10" max="10" width="2.28515625" style="416" bestFit="1" customWidth="1"/>
    <col min="11" max="12" width="2.28515625" style="416" customWidth="1"/>
    <col min="13" max="13" width="2.5703125" style="416" bestFit="1" customWidth="1"/>
    <col min="14" max="14" width="2.28515625" style="416" bestFit="1" customWidth="1"/>
    <col min="15" max="16384" width="9.140625" style="416"/>
  </cols>
  <sheetData>
    <row r="1" spans="2:14" ht="12.75" customHeight="1">
      <c r="B1" s="411"/>
      <c r="C1" s="412"/>
      <c r="D1" s="412"/>
      <c r="E1" s="412"/>
      <c r="F1" s="412"/>
      <c r="G1" s="412"/>
      <c r="H1" s="413"/>
      <c r="I1" s="414"/>
      <c r="J1" s="415" t="s">
        <v>352</v>
      </c>
      <c r="K1" s="415" t="s">
        <v>353</v>
      </c>
      <c r="L1" s="415" t="s">
        <v>354</v>
      </c>
      <c r="M1" s="415" t="s">
        <v>353</v>
      </c>
      <c r="N1" s="415"/>
    </row>
    <row r="2" spans="2:14" ht="12.75" customHeight="1">
      <c r="B2" s="417" t="s">
        <v>355</v>
      </c>
      <c r="C2" s="418"/>
      <c r="D2" s="418"/>
      <c r="E2" s="418"/>
      <c r="F2" s="418"/>
      <c r="G2" s="418"/>
      <c r="H2" s="419"/>
      <c r="I2" s="420"/>
      <c r="J2" s="421" t="s">
        <v>356</v>
      </c>
      <c r="K2" s="421" t="s">
        <v>357</v>
      </c>
      <c r="L2" s="421" t="s">
        <v>358</v>
      </c>
      <c r="M2" s="421" t="s">
        <v>359</v>
      </c>
      <c r="N2" s="421" t="s">
        <v>360</v>
      </c>
    </row>
    <row r="3" spans="2:14" ht="12.75" customHeight="1">
      <c r="B3" s="417"/>
      <c r="C3" s="418"/>
      <c r="D3" s="418"/>
      <c r="E3" s="418"/>
      <c r="F3" s="418"/>
      <c r="G3" s="418"/>
      <c r="H3" s="419"/>
      <c r="I3" s="420"/>
      <c r="J3" s="421" t="s">
        <v>361</v>
      </c>
      <c r="K3" s="421"/>
      <c r="L3" s="421" t="s">
        <v>362</v>
      </c>
      <c r="M3" s="421" t="s">
        <v>352</v>
      </c>
      <c r="N3" s="421"/>
    </row>
    <row r="4" spans="2:14" ht="12.75" customHeight="1">
      <c r="B4" s="417"/>
      <c r="C4" s="418"/>
      <c r="D4" s="418"/>
      <c r="E4" s="418"/>
      <c r="F4" s="418"/>
      <c r="G4" s="418"/>
      <c r="H4" s="419"/>
      <c r="I4" s="420"/>
      <c r="J4" s="421" t="s">
        <v>363</v>
      </c>
      <c r="K4" s="421"/>
      <c r="L4" s="421" t="s">
        <v>358</v>
      </c>
      <c r="M4" s="421" t="s">
        <v>356</v>
      </c>
      <c r="N4" s="421"/>
    </row>
    <row r="5" spans="2:14" ht="12.75" customHeight="1">
      <c r="B5" s="422"/>
      <c r="C5" s="423"/>
      <c r="D5" s="423"/>
      <c r="E5" s="423"/>
      <c r="F5" s="423"/>
      <c r="G5" s="423"/>
      <c r="H5" s="419"/>
      <c r="I5" s="420"/>
      <c r="J5" s="421"/>
      <c r="K5" s="421" t="s">
        <v>364</v>
      </c>
      <c r="L5" s="421" t="s">
        <v>353</v>
      </c>
      <c r="M5" s="421"/>
      <c r="N5" s="421" t="s">
        <v>358</v>
      </c>
    </row>
    <row r="6" spans="2:14" ht="12" customHeight="1">
      <c r="B6" s="424"/>
      <c r="C6" s="425"/>
      <c r="D6" s="425"/>
      <c r="F6" s="425"/>
      <c r="H6" s="426"/>
      <c r="I6" s="420"/>
      <c r="J6" s="421" t="s">
        <v>357</v>
      </c>
      <c r="K6" s="421" t="s">
        <v>365</v>
      </c>
      <c r="L6" s="421"/>
      <c r="M6" s="421" t="s">
        <v>353</v>
      </c>
      <c r="N6" s="421" t="s">
        <v>366</v>
      </c>
    </row>
    <row r="7" spans="2:14" ht="12.75" customHeight="1">
      <c r="B7" s="424"/>
      <c r="D7" s="427"/>
      <c r="H7" s="426"/>
      <c r="I7" s="420"/>
      <c r="J7" s="421" t="s">
        <v>183</v>
      </c>
      <c r="K7" s="421" t="s">
        <v>361</v>
      </c>
      <c r="L7" s="421" t="s">
        <v>361</v>
      </c>
      <c r="M7" s="421" t="s">
        <v>356</v>
      </c>
      <c r="N7" s="421" t="s">
        <v>367</v>
      </c>
    </row>
    <row r="8" spans="2:14" ht="12.75" customHeight="1">
      <c r="B8" s="424"/>
      <c r="G8" s="427"/>
      <c r="H8" s="428"/>
      <c r="I8" s="421" t="s">
        <v>367</v>
      </c>
      <c r="J8" s="421" t="s">
        <v>353</v>
      </c>
      <c r="K8" s="421" t="s">
        <v>368</v>
      </c>
      <c r="L8" s="421" t="s">
        <v>356</v>
      </c>
      <c r="M8" s="421" t="s">
        <v>367</v>
      </c>
      <c r="N8" s="421" t="s">
        <v>365</v>
      </c>
    </row>
    <row r="9" spans="2:14">
      <c r="B9" s="421" t="s">
        <v>369</v>
      </c>
      <c r="C9" s="428" t="s">
        <v>370</v>
      </c>
      <c r="D9" s="428" t="s">
        <v>371</v>
      </c>
      <c r="E9" s="428" t="s">
        <v>372</v>
      </c>
      <c r="F9" s="421" t="s">
        <v>373</v>
      </c>
      <c r="G9" s="421" t="s">
        <v>374</v>
      </c>
      <c r="H9" s="421" t="s">
        <v>375</v>
      </c>
      <c r="I9" s="421" t="s">
        <v>363</v>
      </c>
      <c r="J9" s="421" t="s">
        <v>183</v>
      </c>
      <c r="K9" s="421" t="s">
        <v>356</v>
      </c>
      <c r="L9" s="421" t="s">
        <v>368</v>
      </c>
      <c r="M9" s="421" t="s">
        <v>353</v>
      </c>
      <c r="N9" s="421" t="s">
        <v>354</v>
      </c>
    </row>
    <row r="10" spans="2:14" ht="15" customHeight="1">
      <c r="B10" s="429"/>
      <c r="C10" s="430"/>
      <c r="D10" s="430"/>
      <c r="E10" s="430"/>
      <c r="F10" s="431"/>
      <c r="G10" s="432"/>
      <c r="H10" s="432"/>
      <c r="I10" s="433"/>
      <c r="J10" s="434"/>
      <c r="K10" s="434"/>
      <c r="L10" s="434"/>
      <c r="M10" s="434"/>
      <c r="N10" s="435"/>
    </row>
    <row r="11" spans="2:14" ht="15" customHeight="1">
      <c r="B11" s="429"/>
      <c r="C11" s="431"/>
      <c r="D11" s="431"/>
      <c r="E11" s="431"/>
      <c r="F11" s="431"/>
      <c r="G11" s="431"/>
      <c r="H11" s="431"/>
      <c r="I11" s="436"/>
      <c r="J11" s="434"/>
      <c r="K11" s="434"/>
      <c r="L11" s="434"/>
      <c r="M11" s="434"/>
      <c r="N11" s="435"/>
    </row>
    <row r="12" spans="2:14" ht="15" customHeight="1">
      <c r="B12" s="429"/>
      <c r="C12" s="431"/>
      <c r="D12" s="431"/>
      <c r="E12" s="431"/>
      <c r="F12" s="431"/>
      <c r="G12" s="431"/>
      <c r="H12" s="431"/>
      <c r="I12" s="436"/>
      <c r="J12" s="437"/>
      <c r="K12" s="434"/>
      <c r="L12" s="434"/>
      <c r="M12" s="434"/>
      <c r="N12" s="435"/>
    </row>
    <row r="13" spans="2:14" ht="15" customHeight="1">
      <c r="B13" s="429"/>
      <c r="C13" s="431"/>
      <c r="D13" s="431"/>
      <c r="E13" s="431"/>
      <c r="F13" s="431"/>
      <c r="G13" s="431"/>
      <c r="H13" s="431"/>
      <c r="I13" s="436"/>
      <c r="J13" s="434"/>
      <c r="K13" s="434"/>
      <c r="L13" s="434"/>
      <c r="M13" s="434"/>
      <c r="N13" s="435"/>
    </row>
    <row r="14" spans="2:14" ht="15" customHeight="1">
      <c r="B14" s="429"/>
      <c r="C14" s="431"/>
      <c r="D14" s="431"/>
      <c r="E14" s="431"/>
      <c r="F14" s="431"/>
      <c r="G14" s="431"/>
      <c r="H14" s="431"/>
      <c r="I14" s="436"/>
      <c r="J14" s="434"/>
      <c r="K14" s="434"/>
      <c r="L14" s="434"/>
      <c r="M14" s="434"/>
      <c r="N14" s="435"/>
    </row>
    <row r="15" spans="2:14" ht="15" customHeight="1">
      <c r="B15" s="429"/>
      <c r="C15" s="431"/>
      <c r="D15" s="431"/>
      <c r="E15" s="431"/>
      <c r="F15" s="431"/>
      <c r="G15" s="431"/>
      <c r="H15" s="431"/>
      <c r="I15" s="436"/>
      <c r="J15" s="434"/>
      <c r="K15" s="434"/>
      <c r="L15" s="434"/>
      <c r="M15" s="434"/>
      <c r="N15" s="435"/>
    </row>
    <row r="16" spans="2:14" ht="15" customHeight="1">
      <c r="B16" s="429"/>
      <c r="C16" s="431"/>
      <c r="D16" s="431"/>
      <c r="E16" s="431"/>
      <c r="F16" s="431"/>
      <c r="G16" s="431"/>
      <c r="H16" s="431"/>
      <c r="I16" s="436"/>
      <c r="J16" s="434"/>
      <c r="K16" s="434"/>
      <c r="L16" s="434"/>
      <c r="M16" s="434"/>
      <c r="N16" s="435"/>
    </row>
    <row r="17" spans="2:14" ht="15" customHeight="1">
      <c r="B17" s="429"/>
      <c r="C17" s="431"/>
      <c r="D17" s="431"/>
      <c r="E17" s="431"/>
      <c r="F17" s="431"/>
      <c r="G17" s="431"/>
      <c r="H17" s="431"/>
      <c r="I17" s="436"/>
      <c r="J17" s="434"/>
      <c r="K17" s="434"/>
      <c r="L17" s="434"/>
      <c r="M17" s="434"/>
      <c r="N17" s="435"/>
    </row>
    <row r="18" spans="2:14" ht="15" customHeight="1">
      <c r="B18" s="429"/>
      <c r="C18" s="431"/>
      <c r="D18" s="431"/>
      <c r="E18" s="431"/>
      <c r="F18" s="431"/>
      <c r="G18" s="431"/>
      <c r="H18" s="431"/>
      <c r="I18" s="436"/>
      <c r="J18" s="434"/>
      <c r="K18" s="434"/>
      <c r="L18" s="434"/>
      <c r="M18" s="434"/>
      <c r="N18" s="435"/>
    </row>
    <row r="19" spans="2:14" ht="15" customHeight="1">
      <c r="B19" s="429"/>
      <c r="C19" s="431"/>
      <c r="D19" s="431"/>
      <c r="E19" s="431"/>
      <c r="F19" s="431"/>
      <c r="G19" s="431"/>
      <c r="H19" s="431"/>
      <c r="I19" s="436"/>
      <c r="J19" s="434"/>
      <c r="K19" s="434"/>
      <c r="L19" s="434"/>
      <c r="M19" s="434"/>
      <c r="N19" s="435"/>
    </row>
    <row r="20" spans="2:14" ht="15" customHeight="1">
      <c r="B20" s="429"/>
      <c r="C20" s="431"/>
      <c r="D20" s="431"/>
      <c r="E20" s="431"/>
      <c r="F20" s="431"/>
      <c r="G20" s="431"/>
      <c r="H20" s="431"/>
      <c r="I20" s="436"/>
      <c r="J20" s="434"/>
      <c r="K20" s="434"/>
      <c r="L20" s="434"/>
      <c r="M20" s="434"/>
      <c r="N20" s="435"/>
    </row>
    <row r="21" spans="2:14" ht="15" customHeight="1">
      <c r="B21" s="429"/>
      <c r="C21" s="431"/>
      <c r="D21" s="431"/>
      <c r="E21" s="431"/>
      <c r="F21" s="431"/>
      <c r="G21" s="431"/>
      <c r="H21" s="431"/>
      <c r="I21" s="436"/>
      <c r="J21" s="434"/>
      <c r="K21" s="434"/>
      <c r="L21" s="434"/>
      <c r="M21" s="434"/>
      <c r="N21" s="435"/>
    </row>
    <row r="22" spans="2:14" ht="15" customHeight="1">
      <c r="B22" s="429"/>
      <c r="C22" s="431"/>
      <c r="D22" s="431"/>
      <c r="E22" s="431"/>
      <c r="F22" s="431"/>
      <c r="G22" s="431"/>
      <c r="H22" s="431"/>
      <c r="I22" s="436"/>
      <c r="J22" s="434"/>
      <c r="K22" s="434"/>
      <c r="L22" s="434"/>
      <c r="M22" s="434"/>
      <c r="N22" s="435"/>
    </row>
    <row r="23" spans="2:14" ht="15" customHeight="1">
      <c r="B23" s="429"/>
      <c r="C23" s="431"/>
      <c r="D23" s="431"/>
      <c r="E23" s="431"/>
      <c r="F23" s="431"/>
      <c r="G23" s="431"/>
      <c r="H23" s="431"/>
      <c r="I23" s="436"/>
      <c r="J23" s="434"/>
      <c r="K23" s="434"/>
      <c r="L23" s="434"/>
      <c r="M23" s="434"/>
      <c r="N23" s="435"/>
    </row>
    <row r="24" spans="2:14" ht="15" customHeight="1">
      <c r="B24" s="429"/>
      <c r="C24" s="431"/>
      <c r="D24" s="431"/>
      <c r="E24" s="431"/>
      <c r="F24" s="431"/>
      <c r="G24" s="431"/>
      <c r="H24" s="431"/>
      <c r="I24" s="436"/>
      <c r="J24" s="434"/>
      <c r="K24" s="434"/>
      <c r="L24" s="434"/>
      <c r="M24" s="434"/>
      <c r="N24" s="435"/>
    </row>
    <row r="25" spans="2:14" ht="15" customHeight="1">
      <c r="B25" s="429"/>
      <c r="C25" s="431"/>
      <c r="D25" s="431"/>
      <c r="E25" s="431"/>
      <c r="F25" s="431"/>
      <c r="G25" s="431"/>
      <c r="H25" s="431"/>
      <c r="I25" s="436"/>
      <c r="J25" s="434"/>
      <c r="K25" s="434"/>
      <c r="L25" s="434"/>
      <c r="M25" s="434"/>
      <c r="N25" s="435"/>
    </row>
    <row r="26" spans="2:14" ht="15" customHeight="1">
      <c r="B26" s="429"/>
      <c r="C26" s="431"/>
      <c r="D26" s="431"/>
      <c r="E26" s="431"/>
      <c r="F26" s="431"/>
      <c r="G26" s="431"/>
      <c r="H26" s="431"/>
      <c r="I26" s="436"/>
      <c r="J26" s="434"/>
      <c r="K26" s="434"/>
      <c r="L26" s="434"/>
      <c r="M26" s="434"/>
      <c r="N26" s="435"/>
    </row>
    <row r="27" spans="2:14" ht="15" customHeight="1">
      <c r="B27" s="429"/>
      <c r="C27" s="431"/>
      <c r="D27" s="431"/>
      <c r="E27" s="431"/>
      <c r="F27" s="431"/>
      <c r="G27" s="431"/>
      <c r="H27" s="431"/>
      <c r="I27" s="436"/>
      <c r="J27" s="434"/>
      <c r="K27" s="434"/>
      <c r="L27" s="434"/>
      <c r="M27" s="434"/>
      <c r="N27" s="435"/>
    </row>
    <row r="28" spans="2:14" ht="15" customHeight="1">
      <c r="B28" s="429"/>
      <c r="C28" s="431"/>
      <c r="D28" s="431"/>
      <c r="E28" s="431"/>
      <c r="F28" s="431"/>
      <c r="G28" s="431"/>
      <c r="H28" s="431"/>
      <c r="I28" s="436"/>
      <c r="J28" s="434"/>
      <c r="K28" s="434"/>
      <c r="L28" s="434"/>
      <c r="M28" s="434"/>
      <c r="N28" s="435"/>
    </row>
    <row r="29" spans="2:14" ht="15" customHeight="1">
      <c r="B29" s="429"/>
      <c r="C29" s="431"/>
      <c r="D29" s="431"/>
      <c r="E29" s="431"/>
      <c r="F29" s="431"/>
      <c r="G29" s="431"/>
      <c r="H29" s="431"/>
      <c r="I29" s="436"/>
      <c r="J29" s="434"/>
      <c r="K29" s="434"/>
      <c r="L29" s="434"/>
      <c r="M29" s="434"/>
      <c r="N29" s="435"/>
    </row>
    <row r="30" spans="2:14" ht="15" customHeight="1">
      <c r="B30" s="429"/>
      <c r="C30" s="431"/>
      <c r="D30" s="431"/>
      <c r="E30" s="431"/>
      <c r="F30" s="431"/>
      <c r="G30" s="431"/>
      <c r="H30" s="431"/>
      <c r="I30" s="436"/>
      <c r="J30" s="434"/>
      <c r="K30" s="434"/>
      <c r="L30" s="434"/>
      <c r="M30" s="434"/>
      <c r="N30" s="435"/>
    </row>
    <row r="31" spans="2:14" ht="15" customHeight="1">
      <c r="B31" s="429"/>
      <c r="C31" s="431"/>
      <c r="D31" s="431"/>
      <c r="E31" s="431"/>
      <c r="F31" s="431"/>
      <c r="G31" s="431"/>
      <c r="H31" s="431"/>
      <c r="I31" s="436"/>
      <c r="J31" s="434"/>
      <c r="K31" s="434"/>
      <c r="L31" s="434"/>
      <c r="M31" s="434"/>
      <c r="N31" s="435"/>
    </row>
    <row r="32" spans="2:14" ht="15" customHeight="1">
      <c r="B32" s="429"/>
      <c r="C32" s="431"/>
      <c r="D32" s="431"/>
      <c r="E32" s="431"/>
      <c r="F32" s="431"/>
      <c r="G32" s="431"/>
      <c r="H32" s="431"/>
      <c r="I32" s="436"/>
      <c r="J32" s="434"/>
      <c r="K32" s="434"/>
      <c r="L32" s="434"/>
      <c r="M32" s="434"/>
      <c r="N32" s="435"/>
    </row>
    <row r="33" spans="2:14" ht="15" customHeight="1">
      <c r="B33" s="429"/>
      <c r="C33" s="431"/>
      <c r="D33" s="431"/>
      <c r="E33" s="431"/>
      <c r="F33" s="431"/>
      <c r="G33" s="431"/>
      <c r="H33" s="431"/>
      <c r="I33" s="436"/>
      <c r="J33" s="434"/>
      <c r="K33" s="434"/>
      <c r="L33" s="434"/>
      <c r="M33" s="434"/>
      <c r="N33" s="435"/>
    </row>
    <row r="34" spans="2:14" ht="15" customHeight="1">
      <c r="B34" s="429"/>
      <c r="C34" s="431"/>
      <c r="D34" s="431"/>
      <c r="E34" s="431"/>
      <c r="F34" s="431"/>
      <c r="G34" s="431"/>
      <c r="H34" s="431"/>
      <c r="I34" s="436"/>
      <c r="J34" s="434"/>
      <c r="K34" s="434"/>
      <c r="L34" s="434"/>
      <c r="M34" s="434"/>
      <c r="N34" s="435"/>
    </row>
    <row r="35" spans="2:14" ht="15" customHeight="1">
      <c r="B35" s="429"/>
      <c r="C35" s="431"/>
      <c r="D35" s="431"/>
      <c r="E35" s="431"/>
      <c r="F35" s="431"/>
      <c r="G35" s="431"/>
      <c r="H35" s="431"/>
      <c r="I35" s="436"/>
      <c r="J35" s="434"/>
      <c r="K35" s="434"/>
      <c r="L35" s="434"/>
      <c r="M35" s="434"/>
      <c r="N35" s="435"/>
    </row>
    <row r="36" spans="2:14" ht="15" customHeight="1">
      <c r="B36" s="429"/>
      <c r="C36" s="431"/>
      <c r="D36" s="431"/>
      <c r="E36" s="431"/>
      <c r="F36" s="431"/>
      <c r="G36" s="431"/>
      <c r="H36" s="431"/>
      <c r="I36" s="436"/>
      <c r="J36" s="434"/>
      <c r="K36" s="434"/>
      <c r="L36" s="434"/>
      <c r="M36" s="434"/>
      <c r="N36" s="435"/>
    </row>
    <row r="37" spans="2:14" ht="15" customHeight="1">
      <c r="B37" s="429"/>
      <c r="C37" s="431"/>
      <c r="D37" s="431"/>
      <c r="E37" s="431"/>
      <c r="F37" s="431"/>
      <c r="G37" s="431"/>
      <c r="H37" s="431"/>
      <c r="I37" s="436"/>
      <c r="J37" s="434"/>
      <c r="K37" s="434"/>
      <c r="L37" s="434"/>
      <c r="M37" s="434"/>
      <c r="N37" s="435"/>
    </row>
    <row r="38" spans="2:14" ht="15" customHeight="1">
      <c r="B38" s="429"/>
      <c r="C38" s="431"/>
      <c r="D38" s="431"/>
      <c r="E38" s="431"/>
      <c r="F38" s="431"/>
      <c r="G38" s="431"/>
      <c r="H38" s="431"/>
      <c r="I38" s="436"/>
      <c r="J38" s="434"/>
      <c r="K38" s="434"/>
      <c r="L38" s="434"/>
      <c r="M38" s="434"/>
      <c r="N38" s="435"/>
    </row>
    <row r="39" spans="2:14" ht="15" customHeight="1">
      <c r="B39" s="429"/>
      <c r="C39" s="431"/>
      <c r="D39" s="431"/>
      <c r="E39" s="431"/>
      <c r="F39" s="431"/>
      <c r="G39" s="431"/>
      <c r="H39" s="431"/>
      <c r="I39" s="436"/>
      <c r="J39" s="434"/>
      <c r="K39" s="434"/>
      <c r="L39" s="434"/>
      <c r="M39" s="434"/>
      <c r="N39" s="435"/>
    </row>
    <row r="40" spans="2:14" ht="15" customHeight="1">
      <c r="B40" s="429"/>
      <c r="C40" s="431"/>
      <c r="D40" s="431"/>
      <c r="E40" s="431"/>
      <c r="F40" s="431"/>
      <c r="G40" s="431"/>
      <c r="H40" s="431"/>
      <c r="I40" s="436"/>
      <c r="J40" s="434"/>
      <c r="K40" s="434"/>
      <c r="L40" s="434"/>
      <c r="M40" s="434"/>
      <c r="N40" s="435"/>
    </row>
    <row r="41" spans="2:14" ht="15" customHeight="1">
      <c r="B41" s="429"/>
      <c r="C41" s="431"/>
      <c r="D41" s="431"/>
      <c r="E41" s="431"/>
      <c r="F41" s="431"/>
      <c r="G41" s="431"/>
      <c r="H41" s="431"/>
      <c r="I41" s="436"/>
      <c r="J41" s="434"/>
      <c r="K41" s="434"/>
      <c r="L41" s="434"/>
      <c r="M41" s="434"/>
      <c r="N41" s="435"/>
    </row>
    <row r="42" spans="2:14" ht="15" customHeight="1">
      <c r="B42" s="429"/>
      <c r="C42" s="431"/>
      <c r="D42" s="431"/>
      <c r="E42" s="431"/>
      <c r="F42" s="431"/>
      <c r="G42" s="431"/>
      <c r="H42" s="431"/>
      <c r="I42" s="436"/>
      <c r="J42" s="434"/>
      <c r="K42" s="434"/>
      <c r="L42" s="434"/>
      <c r="M42" s="434"/>
      <c r="N42" s="435"/>
    </row>
    <row r="43" spans="2:14" ht="15" customHeight="1">
      <c r="B43" s="429"/>
      <c r="C43" s="431"/>
      <c r="D43" s="431"/>
      <c r="E43" s="431"/>
      <c r="F43" s="431"/>
      <c r="G43" s="431"/>
      <c r="H43" s="431"/>
      <c r="I43" s="436"/>
      <c r="J43" s="434"/>
      <c r="K43" s="434"/>
      <c r="L43" s="434"/>
      <c r="M43" s="434"/>
      <c r="N43" s="435"/>
    </row>
    <row r="44" spans="2:14" ht="15" customHeight="1">
      <c r="B44" s="429"/>
      <c r="C44" s="431"/>
      <c r="D44" s="431"/>
      <c r="E44" s="431"/>
      <c r="F44" s="431"/>
      <c r="G44" s="431"/>
      <c r="H44" s="431"/>
      <c r="I44" s="436"/>
      <c r="J44" s="434"/>
      <c r="K44" s="434"/>
      <c r="L44" s="434"/>
      <c r="M44" s="434"/>
      <c r="N44" s="435"/>
    </row>
    <row r="45" spans="2:14" ht="15" customHeight="1">
      <c r="B45" s="429"/>
      <c r="C45" s="431"/>
      <c r="D45" s="431"/>
      <c r="E45" s="431"/>
      <c r="F45" s="431"/>
      <c r="G45" s="431"/>
      <c r="H45" s="431"/>
      <c r="I45" s="436"/>
      <c r="J45" s="434"/>
      <c r="K45" s="434"/>
      <c r="L45" s="434"/>
      <c r="M45" s="434"/>
      <c r="N45" s="435"/>
    </row>
    <row r="46" spans="2:14" ht="15" customHeight="1">
      <c r="B46" s="429"/>
      <c r="C46" s="431"/>
      <c r="D46" s="431"/>
      <c r="E46" s="431"/>
      <c r="F46" s="431"/>
      <c r="G46" s="431"/>
      <c r="H46" s="431"/>
      <c r="I46" s="436"/>
      <c r="J46" s="434"/>
      <c r="K46" s="434"/>
      <c r="L46" s="434"/>
      <c r="M46" s="434"/>
      <c r="N46" s="435"/>
    </row>
    <row r="47" spans="2:14" ht="15" customHeight="1">
      <c r="B47" s="429"/>
      <c r="C47" s="431"/>
      <c r="D47" s="431"/>
      <c r="E47" s="431"/>
      <c r="F47" s="431"/>
      <c r="G47" s="431"/>
      <c r="H47" s="431"/>
      <c r="I47" s="436"/>
      <c r="J47" s="434"/>
      <c r="K47" s="434"/>
      <c r="L47" s="434"/>
      <c r="M47" s="434"/>
      <c r="N47" s="435"/>
    </row>
    <row r="48" spans="2:14" ht="15" customHeight="1">
      <c r="B48" s="429"/>
      <c r="C48" s="431"/>
      <c r="D48" s="431"/>
      <c r="E48" s="431"/>
      <c r="F48" s="431"/>
      <c r="G48" s="431"/>
      <c r="H48" s="431"/>
      <c r="I48" s="436"/>
      <c r="J48" s="434"/>
      <c r="K48" s="434"/>
      <c r="L48" s="434"/>
      <c r="M48" s="434"/>
      <c r="N48" s="435"/>
    </row>
    <row r="49" spans="2:14" ht="15" customHeight="1">
      <c r="B49" s="429"/>
      <c r="C49" s="431"/>
      <c r="D49" s="431"/>
      <c r="E49" s="431"/>
      <c r="F49" s="431"/>
      <c r="G49" s="431"/>
      <c r="H49" s="431"/>
      <c r="I49" s="436"/>
      <c r="J49" s="434"/>
      <c r="K49" s="434"/>
      <c r="L49" s="434"/>
      <c r="M49" s="434"/>
      <c r="N49" s="435"/>
    </row>
    <row r="50" spans="2:14" ht="15" customHeight="1">
      <c r="B50" s="429"/>
      <c r="C50" s="431"/>
      <c r="D50" s="431"/>
      <c r="E50" s="431"/>
      <c r="F50" s="431"/>
      <c r="G50" s="431"/>
      <c r="H50" s="431"/>
      <c r="I50" s="436"/>
      <c r="J50" s="434"/>
      <c r="K50" s="434"/>
      <c r="L50" s="434"/>
      <c r="M50" s="434"/>
      <c r="N50" s="435"/>
    </row>
    <row r="51" spans="2:14" ht="15" customHeight="1">
      <c r="B51" s="429"/>
      <c r="C51" s="431"/>
      <c r="D51" s="431"/>
      <c r="E51" s="431"/>
      <c r="F51" s="431"/>
      <c r="G51" s="431"/>
      <c r="H51" s="431"/>
      <c r="I51" s="436"/>
      <c r="J51" s="434"/>
      <c r="K51" s="434"/>
      <c r="L51" s="434"/>
      <c r="M51" s="434"/>
      <c r="N51" s="435"/>
    </row>
    <row r="52" spans="2:14" ht="15" customHeight="1" thickBot="1">
      <c r="B52" s="438"/>
      <c r="C52" s="439"/>
      <c r="D52" s="439"/>
      <c r="E52" s="439"/>
      <c r="F52" s="439"/>
      <c r="G52" s="439"/>
      <c r="H52" s="439"/>
      <c r="I52" s="440"/>
      <c r="J52" s="441"/>
      <c r="K52" s="441"/>
      <c r="L52" s="441"/>
      <c r="M52" s="441"/>
      <c r="N52" s="442"/>
    </row>
    <row r="53" spans="2:14" ht="20.25" customHeight="1" thickBot="1">
      <c r="B53" s="443" t="s">
        <v>376</v>
      </c>
      <c r="C53" s="443"/>
      <c r="D53" s="443"/>
      <c r="E53" s="443"/>
      <c r="F53" s="443"/>
      <c r="G53" s="443"/>
      <c r="H53" s="443"/>
      <c r="I53" s="443"/>
      <c r="J53" s="443"/>
      <c r="K53" s="443"/>
      <c r="L53" s="443"/>
      <c r="M53" s="443"/>
      <c r="N53" s="443"/>
    </row>
    <row r="54" spans="2:14" ht="15" customHeight="1" thickBot="1">
      <c r="B54" s="444" t="s">
        <v>377</v>
      </c>
      <c r="C54" s="445" t="s">
        <v>374</v>
      </c>
      <c r="D54" s="446"/>
      <c r="E54" s="446"/>
      <c r="F54" s="446"/>
      <c r="G54" s="446"/>
      <c r="H54" s="447"/>
      <c r="I54" s="445" t="s">
        <v>369</v>
      </c>
      <c r="J54" s="446"/>
      <c r="K54" s="448"/>
      <c r="L54" s="445" t="s">
        <v>378</v>
      </c>
      <c r="M54" s="446"/>
      <c r="N54" s="449"/>
    </row>
    <row r="55" spans="2:14" ht="15" customHeight="1">
      <c r="B55" s="450"/>
      <c r="C55" s="451"/>
      <c r="D55" s="452"/>
      <c r="E55" s="452"/>
      <c r="F55" s="452"/>
      <c r="G55" s="452"/>
      <c r="H55" s="453"/>
      <c r="I55" s="454"/>
      <c r="J55" s="455"/>
      <c r="K55" s="456"/>
      <c r="L55" s="457"/>
      <c r="M55" s="458"/>
      <c r="N55" s="459"/>
    </row>
    <row r="56" spans="2:14" ht="15" customHeight="1">
      <c r="B56" s="460"/>
      <c r="C56" s="461"/>
      <c r="D56" s="462"/>
      <c r="E56" s="462"/>
      <c r="F56" s="462"/>
      <c r="G56" s="462"/>
      <c r="H56" s="463"/>
      <c r="I56" s="464"/>
      <c r="J56" s="465"/>
      <c r="K56" s="466"/>
      <c r="L56" s="467"/>
      <c r="M56" s="468"/>
      <c r="N56" s="469"/>
    </row>
    <row r="57" spans="2:14" ht="15" customHeight="1">
      <c r="B57" s="460"/>
      <c r="C57" s="461"/>
      <c r="D57" s="462"/>
      <c r="E57" s="462"/>
      <c r="F57" s="462"/>
      <c r="G57" s="462"/>
      <c r="H57" s="463"/>
      <c r="I57" s="464"/>
      <c r="J57" s="465"/>
      <c r="K57" s="466"/>
      <c r="L57" s="467"/>
      <c r="M57" s="468"/>
      <c r="N57" s="469"/>
    </row>
    <row r="58" spans="2:14" ht="15" customHeight="1">
      <c r="B58" s="460"/>
      <c r="C58" s="461"/>
      <c r="D58" s="462"/>
      <c r="E58" s="462"/>
      <c r="F58" s="462"/>
      <c r="G58" s="462"/>
      <c r="H58" s="463"/>
      <c r="I58" s="464"/>
      <c r="J58" s="465"/>
      <c r="K58" s="466"/>
      <c r="L58" s="467"/>
      <c r="M58" s="468"/>
      <c r="N58" s="469"/>
    </row>
    <row r="59" spans="2:14" ht="15" customHeight="1">
      <c r="B59" s="460"/>
      <c r="C59" s="461"/>
      <c r="D59" s="462"/>
      <c r="E59" s="462"/>
      <c r="F59" s="462"/>
      <c r="G59" s="462"/>
      <c r="H59" s="463"/>
      <c r="I59" s="464"/>
      <c r="J59" s="465"/>
      <c r="K59" s="466"/>
      <c r="L59" s="467"/>
      <c r="M59" s="468"/>
      <c r="N59" s="469"/>
    </row>
    <row r="60" spans="2:14" ht="15" customHeight="1">
      <c r="B60" s="460"/>
      <c r="C60" s="461"/>
      <c r="D60" s="462"/>
      <c r="E60" s="462"/>
      <c r="F60" s="462"/>
      <c r="G60" s="462"/>
      <c r="H60" s="463"/>
      <c r="I60" s="464"/>
      <c r="J60" s="465"/>
      <c r="K60" s="466"/>
      <c r="L60" s="467"/>
      <c r="M60" s="468"/>
      <c r="N60" s="469"/>
    </row>
    <row r="61" spans="2:14" ht="15" customHeight="1">
      <c r="B61" s="460"/>
      <c r="C61" s="461"/>
      <c r="D61" s="462"/>
      <c r="E61" s="462"/>
      <c r="F61" s="462"/>
      <c r="G61" s="462"/>
      <c r="H61" s="463"/>
      <c r="I61" s="464"/>
      <c r="J61" s="465"/>
      <c r="K61" s="466"/>
      <c r="L61" s="467"/>
      <c r="M61" s="468"/>
      <c r="N61" s="469"/>
    </row>
    <row r="62" spans="2:14" ht="15" customHeight="1">
      <c r="B62" s="460"/>
      <c r="C62" s="461"/>
      <c r="D62" s="462"/>
      <c r="E62" s="462"/>
      <c r="F62" s="462"/>
      <c r="G62" s="462"/>
      <c r="H62" s="463"/>
      <c r="I62" s="464"/>
      <c r="J62" s="465"/>
      <c r="K62" s="466"/>
      <c r="L62" s="467"/>
      <c r="M62" s="468"/>
      <c r="N62" s="469"/>
    </row>
    <row r="63" spans="2:14" ht="15" customHeight="1">
      <c r="B63" s="460"/>
      <c r="C63" s="461"/>
      <c r="D63" s="462"/>
      <c r="E63" s="462"/>
      <c r="F63" s="462"/>
      <c r="G63" s="462"/>
      <c r="H63" s="463"/>
      <c r="I63" s="464"/>
      <c r="J63" s="465"/>
      <c r="K63" s="466"/>
      <c r="L63" s="467"/>
      <c r="M63" s="468"/>
      <c r="N63" s="469"/>
    </row>
    <row r="64" spans="2:14" ht="15" customHeight="1">
      <c r="B64" s="460"/>
      <c r="C64" s="461"/>
      <c r="D64" s="462"/>
      <c r="E64" s="462"/>
      <c r="F64" s="462"/>
      <c r="G64" s="462"/>
      <c r="H64" s="463"/>
      <c r="I64" s="464"/>
      <c r="J64" s="465"/>
      <c r="K64" s="466"/>
      <c r="L64" s="467"/>
      <c r="M64" s="468"/>
      <c r="N64" s="469"/>
    </row>
    <row r="65" spans="2:14" ht="15" customHeight="1">
      <c r="B65" s="460"/>
      <c r="C65" s="461"/>
      <c r="D65" s="462"/>
      <c r="E65" s="462"/>
      <c r="F65" s="462"/>
      <c r="G65" s="462"/>
      <c r="H65" s="463"/>
      <c r="I65" s="464"/>
      <c r="J65" s="465"/>
      <c r="K65" s="466"/>
      <c r="L65" s="467"/>
      <c r="M65" s="468"/>
      <c r="N65" s="469"/>
    </row>
    <row r="66" spans="2:14" ht="15" customHeight="1">
      <c r="B66" s="460"/>
      <c r="C66" s="461"/>
      <c r="D66" s="462"/>
      <c r="E66" s="462"/>
      <c r="F66" s="462"/>
      <c r="G66" s="462"/>
      <c r="H66" s="463"/>
      <c r="I66" s="464"/>
      <c r="J66" s="465"/>
      <c r="K66" s="466"/>
      <c r="L66" s="467"/>
      <c r="M66" s="468"/>
      <c r="N66" s="469"/>
    </row>
    <row r="67" spans="2:14" ht="15" customHeight="1">
      <c r="B67" s="460"/>
      <c r="C67" s="461"/>
      <c r="D67" s="462"/>
      <c r="E67" s="462"/>
      <c r="F67" s="462"/>
      <c r="G67" s="462"/>
      <c r="H67" s="463"/>
      <c r="I67" s="464"/>
      <c r="J67" s="465"/>
      <c r="K67" s="466"/>
      <c r="L67" s="467"/>
      <c r="M67" s="468"/>
      <c r="N67" s="469"/>
    </row>
    <row r="68" spans="2:14" ht="15" customHeight="1">
      <c r="B68" s="460"/>
      <c r="C68" s="461"/>
      <c r="D68" s="462"/>
      <c r="E68" s="462"/>
      <c r="F68" s="462"/>
      <c r="G68" s="462"/>
      <c r="H68" s="463"/>
      <c r="I68" s="464"/>
      <c r="J68" s="465"/>
      <c r="K68" s="466"/>
      <c r="L68" s="467"/>
      <c r="M68" s="468"/>
      <c r="N68" s="469"/>
    </row>
    <row r="69" spans="2:14" ht="15" customHeight="1">
      <c r="B69" s="460"/>
      <c r="C69" s="461"/>
      <c r="D69" s="462"/>
      <c r="E69" s="462"/>
      <c r="F69" s="462"/>
      <c r="G69" s="462"/>
      <c r="H69" s="463"/>
      <c r="I69" s="464"/>
      <c r="J69" s="465"/>
      <c r="K69" s="466"/>
      <c r="L69" s="467"/>
      <c r="M69" s="468"/>
      <c r="N69" s="469"/>
    </row>
    <row r="70" spans="2:14" ht="15" customHeight="1">
      <c r="B70" s="460"/>
      <c r="C70" s="461"/>
      <c r="D70" s="462"/>
      <c r="E70" s="462"/>
      <c r="F70" s="462"/>
      <c r="G70" s="462"/>
      <c r="H70" s="463"/>
      <c r="I70" s="464"/>
      <c r="J70" s="465"/>
      <c r="K70" s="466"/>
      <c r="L70" s="467"/>
      <c r="M70" s="468"/>
      <c r="N70" s="469"/>
    </row>
    <row r="71" spans="2:14" ht="15" customHeight="1">
      <c r="B71" s="460"/>
      <c r="C71" s="461"/>
      <c r="D71" s="462"/>
      <c r="E71" s="462"/>
      <c r="F71" s="462"/>
      <c r="G71" s="462"/>
      <c r="H71" s="463"/>
      <c r="I71" s="464"/>
      <c r="J71" s="465"/>
      <c r="K71" s="466"/>
      <c r="L71" s="467"/>
      <c r="M71" s="468"/>
      <c r="N71" s="469"/>
    </row>
    <row r="72" spans="2:14">
      <c r="B72" s="460"/>
      <c r="C72" s="461"/>
      <c r="D72" s="462"/>
      <c r="E72" s="462"/>
      <c r="F72" s="462"/>
      <c r="G72" s="462"/>
      <c r="H72" s="463"/>
      <c r="I72" s="464"/>
      <c r="J72" s="465"/>
      <c r="K72" s="466"/>
      <c r="L72" s="467"/>
      <c r="M72" s="468"/>
      <c r="N72" s="469"/>
    </row>
    <row r="73" spans="2:14">
      <c r="B73" s="460"/>
      <c r="C73" s="461"/>
      <c r="D73" s="462"/>
      <c r="E73" s="462"/>
      <c r="F73" s="462"/>
      <c r="G73" s="462"/>
      <c r="H73" s="463"/>
      <c r="I73" s="464"/>
      <c r="J73" s="465"/>
      <c r="K73" s="466"/>
      <c r="L73" s="467"/>
      <c r="M73" s="468"/>
      <c r="N73" s="469"/>
    </row>
    <row r="74" spans="2:14">
      <c r="B74" s="460"/>
      <c r="C74" s="461"/>
      <c r="D74" s="462"/>
      <c r="E74" s="462"/>
      <c r="F74" s="462"/>
      <c r="G74" s="462"/>
      <c r="H74" s="463"/>
      <c r="I74" s="464"/>
      <c r="J74" s="465"/>
      <c r="K74" s="466"/>
      <c r="L74" s="467"/>
      <c r="M74" s="468"/>
      <c r="N74" s="469"/>
    </row>
    <row r="75" spans="2:14">
      <c r="B75" s="460"/>
      <c r="C75" s="461"/>
      <c r="D75" s="462"/>
      <c r="E75" s="462"/>
      <c r="F75" s="462"/>
      <c r="G75" s="462"/>
      <c r="H75" s="463"/>
      <c r="I75" s="464"/>
      <c r="J75" s="465"/>
      <c r="K75" s="466"/>
      <c r="L75" s="467"/>
      <c r="M75" s="468"/>
      <c r="N75" s="469"/>
    </row>
    <row r="76" spans="2:14">
      <c r="B76" s="460"/>
      <c r="C76" s="461"/>
      <c r="D76" s="462"/>
      <c r="E76" s="462"/>
      <c r="F76" s="462"/>
      <c r="G76" s="462"/>
      <c r="H76" s="463"/>
      <c r="I76" s="464"/>
      <c r="J76" s="465"/>
      <c r="K76" s="466"/>
      <c r="L76" s="467"/>
      <c r="M76" s="468"/>
      <c r="N76" s="469"/>
    </row>
    <row r="77" spans="2:14">
      <c r="B77" s="460"/>
      <c r="C77" s="461"/>
      <c r="D77" s="462"/>
      <c r="E77" s="462"/>
      <c r="F77" s="462"/>
      <c r="G77" s="462"/>
      <c r="H77" s="463"/>
      <c r="I77" s="464"/>
      <c r="J77" s="465"/>
      <c r="K77" s="466"/>
      <c r="L77" s="467"/>
      <c r="M77" s="468"/>
      <c r="N77" s="469"/>
    </row>
    <row r="78" spans="2:14">
      <c r="B78" s="460"/>
      <c r="C78" s="461"/>
      <c r="D78" s="462"/>
      <c r="E78" s="462"/>
      <c r="F78" s="462"/>
      <c r="G78" s="462"/>
      <c r="H78" s="463"/>
      <c r="I78" s="464"/>
      <c r="J78" s="465"/>
      <c r="K78" s="466"/>
      <c r="L78" s="467"/>
      <c r="M78" s="468"/>
      <c r="N78" s="469"/>
    </row>
    <row r="79" spans="2:14" ht="13.5" thickBot="1">
      <c r="B79" s="470"/>
      <c r="C79" s="471"/>
      <c r="D79" s="472"/>
      <c r="E79" s="472"/>
      <c r="F79" s="472"/>
      <c r="G79" s="472"/>
      <c r="H79" s="473"/>
      <c r="I79" s="474"/>
      <c r="J79" s="475"/>
      <c r="K79" s="476"/>
      <c r="L79" s="477"/>
      <c r="M79" s="478"/>
      <c r="N79" s="479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B2:G4"/>
    <mergeCell ref="B53:N53"/>
    <mergeCell ref="C54:G54"/>
    <mergeCell ref="I54:K54"/>
    <mergeCell ref="L54:N54"/>
    <mergeCell ref="C55:G55"/>
    <mergeCell ref="I55:K55"/>
    <mergeCell ref="L55:N55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498" customWidth="1"/>
    <col min="2" max="7" width="10.7109375" style="498" customWidth="1"/>
    <col min="8" max="16384" width="9.140625" style="498"/>
  </cols>
  <sheetData>
    <row r="1" spans="1:12" ht="21" customHeight="1">
      <c r="A1" s="496" t="s">
        <v>408</v>
      </c>
      <c r="B1" s="497" t="s">
        <v>447</v>
      </c>
      <c r="C1" s="497"/>
      <c r="D1" s="497"/>
      <c r="E1" s="497"/>
      <c r="F1" s="497"/>
      <c r="G1" s="497"/>
    </row>
    <row r="2" spans="1:12" ht="15" customHeight="1"/>
    <row r="3" spans="1:12" ht="20.25">
      <c r="A3" s="499" t="s">
        <v>409</v>
      </c>
    </row>
    <row r="4" spans="1:12" ht="12" customHeight="1">
      <c r="A4" s="500"/>
      <c r="B4" s="500"/>
      <c r="C4" s="500"/>
      <c r="D4" s="500" t="s">
        <v>461</v>
      </c>
      <c r="E4" s="500"/>
      <c r="F4" s="500"/>
      <c r="G4" s="500"/>
      <c r="H4" s="500"/>
      <c r="I4" s="500"/>
      <c r="J4" s="500"/>
      <c r="K4" s="500"/>
      <c r="L4" s="500"/>
    </row>
    <row r="5" spans="1:12" ht="15.6" customHeight="1">
      <c r="A5" s="501" t="s">
        <v>5</v>
      </c>
      <c r="B5" s="501" t="s">
        <v>410</v>
      </c>
      <c r="C5" s="501" t="s">
        <v>411</v>
      </c>
      <c r="D5" s="501" t="s">
        <v>412</v>
      </c>
      <c r="E5" s="501" t="s">
        <v>413</v>
      </c>
      <c r="F5" s="501" t="s">
        <v>414</v>
      </c>
      <c r="G5" s="501" t="s">
        <v>415</v>
      </c>
      <c r="H5" s="500"/>
      <c r="I5" s="500"/>
      <c r="J5" s="500"/>
      <c r="K5" s="500"/>
      <c r="L5" s="500"/>
    </row>
    <row r="6" spans="1:12" ht="15.6" customHeight="1">
      <c r="A6" s="502" t="s">
        <v>416</v>
      </c>
      <c r="B6" s="502" t="s">
        <v>165</v>
      </c>
      <c r="C6" s="502" t="s">
        <v>165</v>
      </c>
      <c r="D6" s="502" t="s">
        <v>417</v>
      </c>
      <c r="E6" s="502" t="s">
        <v>135</v>
      </c>
      <c r="F6" s="502" t="s">
        <v>418</v>
      </c>
      <c r="G6" s="502" t="s">
        <v>418</v>
      </c>
      <c r="H6" s="500"/>
      <c r="I6" s="500"/>
      <c r="J6" s="500"/>
      <c r="K6" s="500"/>
      <c r="L6" s="500"/>
    </row>
    <row r="7" spans="1:12" ht="15.95" customHeight="1">
      <c r="A7" s="503" t="s">
        <v>448</v>
      </c>
      <c r="B7" s="503" t="s">
        <v>462</v>
      </c>
      <c r="C7" s="503" t="s">
        <v>475</v>
      </c>
      <c r="D7" s="503" t="s">
        <v>488</v>
      </c>
      <c r="E7" s="503" t="s">
        <v>501</v>
      </c>
      <c r="F7" s="503" t="s">
        <v>514</v>
      </c>
      <c r="G7" s="503" t="s">
        <v>527</v>
      </c>
      <c r="H7" s="500"/>
      <c r="I7" s="500"/>
      <c r="J7" s="500"/>
      <c r="K7" s="500"/>
      <c r="L7" s="500"/>
    </row>
    <row r="8" spans="1:12" ht="15.95" customHeight="1">
      <c r="A8" s="503" t="s">
        <v>449</v>
      </c>
      <c r="B8" s="503" t="s">
        <v>463</v>
      </c>
      <c r="C8" s="503" t="s">
        <v>476</v>
      </c>
      <c r="D8" s="503" t="s">
        <v>489</v>
      </c>
      <c r="E8" s="503" t="s">
        <v>502</v>
      </c>
      <c r="F8" s="503" t="s">
        <v>515</v>
      </c>
      <c r="G8" s="503" t="s">
        <v>528</v>
      </c>
      <c r="H8" s="500"/>
      <c r="I8" s="500"/>
      <c r="J8" s="500"/>
      <c r="K8" s="500"/>
      <c r="L8" s="500"/>
    </row>
    <row r="9" spans="1:12" ht="15.95" customHeight="1">
      <c r="A9" s="503" t="s">
        <v>450</v>
      </c>
      <c r="B9" s="503" t="s">
        <v>464</v>
      </c>
      <c r="C9" s="503" t="s">
        <v>477</v>
      </c>
      <c r="D9" s="503" t="s">
        <v>490</v>
      </c>
      <c r="E9" s="503" t="s">
        <v>503</v>
      </c>
      <c r="F9" s="503" t="s">
        <v>516</v>
      </c>
      <c r="G9" s="503" t="s">
        <v>529</v>
      </c>
      <c r="H9" s="500"/>
      <c r="I9" s="500"/>
      <c r="J9" s="500"/>
      <c r="K9" s="500"/>
      <c r="L9" s="500"/>
    </row>
    <row r="10" spans="1:12" ht="15.95" customHeight="1">
      <c r="A10" s="503" t="s">
        <v>451</v>
      </c>
      <c r="B10" s="503" t="s">
        <v>465</v>
      </c>
      <c r="C10" s="503" t="s">
        <v>478</v>
      </c>
      <c r="D10" s="503" t="s">
        <v>491</v>
      </c>
      <c r="E10" s="503" t="s">
        <v>504</v>
      </c>
      <c r="F10" s="503" t="s">
        <v>517</v>
      </c>
      <c r="G10" s="503" t="s">
        <v>530</v>
      </c>
      <c r="H10" s="500"/>
      <c r="I10" s="500"/>
      <c r="J10" s="500"/>
      <c r="K10" s="500"/>
      <c r="L10" s="500"/>
    </row>
    <row r="11" spans="1:12" ht="15.95" customHeight="1">
      <c r="A11" s="503" t="s">
        <v>452</v>
      </c>
      <c r="B11" s="503" t="s">
        <v>466</v>
      </c>
      <c r="C11" s="503" t="s">
        <v>479</v>
      </c>
      <c r="D11" s="503" t="s">
        <v>492</v>
      </c>
      <c r="E11" s="503" t="s">
        <v>505</v>
      </c>
      <c r="F11" s="503" t="s">
        <v>518</v>
      </c>
      <c r="G11" s="503" t="s">
        <v>531</v>
      </c>
      <c r="H11" s="500"/>
      <c r="I11" s="500"/>
      <c r="J11" s="500"/>
      <c r="K11" s="500"/>
      <c r="L11" s="500"/>
    </row>
    <row r="12" spans="1:12" ht="15.95" customHeight="1">
      <c r="A12" s="503" t="s">
        <v>453</v>
      </c>
      <c r="B12" s="503" t="s">
        <v>467</v>
      </c>
      <c r="C12" s="503" t="s">
        <v>480</v>
      </c>
      <c r="D12" s="503" t="s">
        <v>493</v>
      </c>
      <c r="E12" s="503" t="s">
        <v>506</v>
      </c>
      <c r="F12" s="503" t="s">
        <v>519</v>
      </c>
      <c r="G12" s="503" t="s">
        <v>532</v>
      </c>
      <c r="H12" s="500"/>
      <c r="I12" s="500"/>
      <c r="J12" s="500"/>
      <c r="K12" s="500"/>
      <c r="L12" s="500"/>
    </row>
    <row r="13" spans="1:12" ht="15.95" customHeight="1">
      <c r="A13" s="503" t="s">
        <v>454</v>
      </c>
      <c r="B13" s="503" t="s">
        <v>468</v>
      </c>
      <c r="C13" s="503" t="s">
        <v>481</v>
      </c>
      <c r="D13" s="503" t="s">
        <v>494</v>
      </c>
      <c r="E13" s="503" t="s">
        <v>507</v>
      </c>
      <c r="F13" s="503" t="s">
        <v>520</v>
      </c>
      <c r="G13" s="503" t="s">
        <v>533</v>
      </c>
      <c r="H13" s="500"/>
      <c r="I13" s="500"/>
      <c r="J13" s="500"/>
      <c r="K13" s="500"/>
      <c r="L13" s="500"/>
    </row>
    <row r="14" spans="1:12" ht="15.95" customHeight="1">
      <c r="A14" s="503" t="s">
        <v>455</v>
      </c>
      <c r="B14" s="503" t="s">
        <v>469</v>
      </c>
      <c r="C14" s="503" t="s">
        <v>482</v>
      </c>
      <c r="D14" s="503" t="s">
        <v>495</v>
      </c>
      <c r="E14" s="503" t="s">
        <v>508</v>
      </c>
      <c r="F14" s="503" t="s">
        <v>521</v>
      </c>
      <c r="G14" s="503" t="s">
        <v>534</v>
      </c>
      <c r="H14" s="500"/>
      <c r="I14" s="500"/>
      <c r="J14" s="500"/>
      <c r="K14" s="500"/>
      <c r="L14" s="500"/>
    </row>
    <row r="15" spans="1:12" ht="15.95" customHeight="1">
      <c r="A15" s="503" t="s">
        <v>456</v>
      </c>
      <c r="B15" s="503" t="s">
        <v>470</v>
      </c>
      <c r="C15" s="503" t="s">
        <v>483</v>
      </c>
      <c r="D15" s="503" t="s">
        <v>496</v>
      </c>
      <c r="E15" s="503" t="s">
        <v>509</v>
      </c>
      <c r="F15" s="503" t="s">
        <v>522</v>
      </c>
      <c r="G15" s="503" t="s">
        <v>535</v>
      </c>
      <c r="H15" s="500"/>
      <c r="I15" s="500"/>
      <c r="J15" s="500"/>
      <c r="K15" s="500"/>
      <c r="L15" s="500"/>
    </row>
    <row r="16" spans="1:12" ht="15.95" customHeight="1">
      <c r="A16" s="503" t="s">
        <v>457</v>
      </c>
      <c r="B16" s="503" t="s">
        <v>471</v>
      </c>
      <c r="C16" s="503" t="s">
        <v>484</v>
      </c>
      <c r="D16" s="503" t="s">
        <v>497</v>
      </c>
      <c r="E16" s="503" t="s">
        <v>510</v>
      </c>
      <c r="F16" s="503" t="s">
        <v>523</v>
      </c>
      <c r="G16" s="503" t="s">
        <v>536</v>
      </c>
      <c r="H16" s="500"/>
      <c r="I16" s="500"/>
      <c r="J16" s="500"/>
      <c r="K16" s="500"/>
      <c r="L16" s="500"/>
    </row>
    <row r="17" spans="1:12" ht="15.95" customHeight="1">
      <c r="A17" s="503" t="s">
        <v>458</v>
      </c>
      <c r="B17" s="503" t="s">
        <v>472</v>
      </c>
      <c r="C17" s="503" t="s">
        <v>485</v>
      </c>
      <c r="D17" s="503" t="s">
        <v>498</v>
      </c>
      <c r="E17" s="503" t="s">
        <v>511</v>
      </c>
      <c r="F17" s="503" t="s">
        <v>524</v>
      </c>
      <c r="G17" s="503" t="s">
        <v>537</v>
      </c>
      <c r="H17" s="500"/>
      <c r="I17" s="500"/>
      <c r="J17" s="500"/>
      <c r="K17" s="500"/>
      <c r="L17" s="500"/>
    </row>
    <row r="18" spans="1:12" ht="15.95" customHeight="1">
      <c r="A18" s="503" t="s">
        <v>459</v>
      </c>
      <c r="B18" s="503" t="s">
        <v>473</v>
      </c>
      <c r="C18" s="503" t="s">
        <v>486</v>
      </c>
      <c r="D18" s="503" t="s">
        <v>499</v>
      </c>
      <c r="E18" s="503" t="s">
        <v>512</v>
      </c>
      <c r="F18" s="503" t="s">
        <v>525</v>
      </c>
      <c r="G18" s="503" t="s">
        <v>538</v>
      </c>
      <c r="H18" s="500"/>
      <c r="I18" s="500"/>
      <c r="J18" s="500"/>
      <c r="K18" s="500"/>
      <c r="L18" s="500"/>
    </row>
    <row r="19" spans="1:12" ht="15.95" customHeight="1">
      <c r="A19" s="503" t="s">
        <v>460</v>
      </c>
      <c r="B19" s="503" t="s">
        <v>474</v>
      </c>
      <c r="C19" s="503" t="s">
        <v>487</v>
      </c>
      <c r="D19" s="503" t="s">
        <v>500</v>
      </c>
      <c r="E19" s="503" t="s">
        <v>513</v>
      </c>
      <c r="F19" s="503" t="s">
        <v>526</v>
      </c>
      <c r="G19" s="503" t="s">
        <v>539</v>
      </c>
      <c r="H19" s="500"/>
      <c r="I19" s="500"/>
      <c r="J19" s="500"/>
      <c r="K19" s="500"/>
      <c r="L19" s="500"/>
    </row>
    <row r="20" spans="1:12" ht="15.75">
      <c r="A20" s="500"/>
      <c r="B20" s="500"/>
      <c r="C20" s="500"/>
      <c r="D20" s="500"/>
      <c r="E20" s="500"/>
      <c r="F20" s="500"/>
      <c r="G20" s="500"/>
      <c r="H20" s="500"/>
      <c r="I20" s="500"/>
      <c r="J20" s="500"/>
      <c r="K20" s="500"/>
      <c r="L20" s="500"/>
    </row>
    <row r="21" spans="1:12" ht="15.75">
      <c r="A21" s="500"/>
      <c r="B21" s="500"/>
      <c r="C21" s="500"/>
      <c r="D21" s="504" t="s">
        <v>549</v>
      </c>
      <c r="E21" s="505"/>
      <c r="F21" s="505"/>
      <c r="G21" s="506"/>
      <c r="H21" s="500"/>
      <c r="I21" s="500"/>
      <c r="J21" s="500"/>
      <c r="K21" s="500"/>
      <c r="L21" s="500"/>
    </row>
    <row r="22" spans="1:12" ht="17.25" customHeight="1">
      <c r="A22" s="500"/>
      <c r="B22" s="507" t="s">
        <v>419</v>
      </c>
      <c r="C22" s="507"/>
      <c r="D22" s="507" t="s">
        <v>420</v>
      </c>
      <c r="E22" s="507"/>
      <c r="F22" s="507" t="s">
        <v>421</v>
      </c>
      <c r="G22" s="507"/>
      <c r="H22" s="500"/>
      <c r="I22" s="500"/>
      <c r="J22" s="500"/>
      <c r="K22" s="500"/>
      <c r="L22" s="500"/>
    </row>
    <row r="23" spans="1:12" ht="15.75">
      <c r="A23" s="508" t="s">
        <v>422</v>
      </c>
      <c r="B23" s="509" t="s">
        <v>540</v>
      </c>
      <c r="C23" s="509"/>
      <c r="D23" s="509" t="s">
        <v>543</v>
      </c>
      <c r="E23" s="509"/>
      <c r="F23" s="509" t="s">
        <v>546</v>
      </c>
      <c r="G23" s="509"/>
      <c r="H23" s="500"/>
      <c r="I23" s="500"/>
      <c r="J23" s="500"/>
      <c r="K23" s="500"/>
      <c r="L23" s="500"/>
    </row>
    <row r="24" spans="1:12" ht="18" customHeight="1">
      <c r="A24" s="508" t="s">
        <v>423</v>
      </c>
      <c r="B24" s="509" t="s">
        <v>541</v>
      </c>
      <c r="C24" s="509"/>
      <c r="D24" s="509" t="s">
        <v>544</v>
      </c>
      <c r="E24" s="509"/>
      <c r="F24" s="509" t="s">
        <v>547</v>
      </c>
      <c r="G24" s="509"/>
      <c r="H24" s="500"/>
      <c r="I24" s="500"/>
      <c r="J24" s="500"/>
      <c r="K24" s="500"/>
      <c r="L24" s="500"/>
    </row>
    <row r="25" spans="1:12" ht="15.75">
      <c r="A25" s="508" t="s">
        <v>424</v>
      </c>
      <c r="B25" s="509" t="s">
        <v>542</v>
      </c>
      <c r="C25" s="509"/>
      <c r="D25" s="509" t="s">
        <v>545</v>
      </c>
      <c r="E25" s="509"/>
      <c r="F25" s="509" t="s">
        <v>548</v>
      </c>
      <c r="G25" s="509"/>
      <c r="H25" s="500"/>
      <c r="I25" s="500"/>
      <c r="J25" s="500"/>
      <c r="K25" s="500"/>
      <c r="L25" s="500"/>
    </row>
    <row r="26" spans="1:12" ht="15.75">
      <c r="A26" s="500"/>
      <c r="B26" s="500"/>
      <c r="C26" s="500"/>
      <c r="D26" s="500"/>
      <c r="E26" s="500"/>
      <c r="F26" s="500"/>
      <c r="G26" s="500"/>
      <c r="H26" s="500"/>
      <c r="I26" s="500"/>
      <c r="J26" s="500"/>
      <c r="K26" s="500"/>
      <c r="L26" s="500"/>
    </row>
    <row r="27" spans="1:12" ht="20.25">
      <c r="A27" s="499" t="s">
        <v>425</v>
      </c>
      <c r="B27" s="500"/>
      <c r="C27" s="500"/>
      <c r="D27" s="500"/>
      <c r="E27" s="500"/>
      <c r="F27" s="500"/>
      <c r="G27" s="500"/>
      <c r="H27" s="500"/>
      <c r="I27" s="500"/>
      <c r="J27" s="500"/>
      <c r="K27" s="500"/>
      <c r="L27" s="500"/>
    </row>
    <row r="28" spans="1:12" ht="15.75">
      <c r="A28" s="500"/>
      <c r="B28" s="500"/>
      <c r="C28" s="500"/>
      <c r="D28" s="500"/>
      <c r="E28" s="510" t="s">
        <v>426</v>
      </c>
      <c r="F28" s="505"/>
      <c r="G28" s="506"/>
      <c r="H28" s="500"/>
      <c r="I28" s="500"/>
      <c r="J28" s="500"/>
      <c r="K28" s="500"/>
      <c r="L28" s="500"/>
    </row>
    <row r="29" spans="1:12" ht="15.75">
      <c r="A29" s="500"/>
      <c r="B29" s="507" t="s">
        <v>427</v>
      </c>
      <c r="C29" s="507"/>
      <c r="D29" s="511" t="s">
        <v>428</v>
      </c>
      <c r="E29" s="511" t="s">
        <v>429</v>
      </c>
      <c r="F29" s="507" t="s">
        <v>430</v>
      </c>
      <c r="G29" s="507"/>
      <c r="H29" s="500"/>
      <c r="I29" s="500"/>
      <c r="J29" s="500"/>
      <c r="K29" s="500"/>
      <c r="L29" s="500"/>
    </row>
    <row r="30" spans="1:12" ht="15.75">
      <c r="A30" s="508" t="s">
        <v>431</v>
      </c>
      <c r="B30" s="509" t="s">
        <v>550</v>
      </c>
      <c r="C30" s="509"/>
      <c r="D30" s="503" t="s">
        <v>553</v>
      </c>
      <c r="E30" s="503" t="s">
        <v>432</v>
      </c>
      <c r="F30" s="509" t="s">
        <v>556</v>
      </c>
      <c r="G30" s="509"/>
      <c r="H30" s="500"/>
      <c r="I30" s="500"/>
      <c r="J30" s="500"/>
      <c r="K30" s="500"/>
      <c r="L30" s="500"/>
    </row>
    <row r="31" spans="1:12" ht="15.75">
      <c r="A31" s="508" t="s">
        <v>433</v>
      </c>
      <c r="B31" s="509" t="s">
        <v>551</v>
      </c>
      <c r="C31" s="509"/>
      <c r="D31" s="503" t="s">
        <v>554</v>
      </c>
      <c r="E31" s="503" t="s">
        <v>434</v>
      </c>
      <c r="F31" s="509" t="s">
        <v>557</v>
      </c>
      <c r="G31" s="509"/>
      <c r="H31" s="500"/>
      <c r="I31" s="500"/>
      <c r="J31" s="500"/>
      <c r="K31" s="500"/>
      <c r="L31" s="500"/>
    </row>
    <row r="32" spans="1:12" ht="15.75">
      <c r="A32" s="508" t="s">
        <v>435</v>
      </c>
      <c r="B32" s="509" t="s">
        <v>552</v>
      </c>
      <c r="C32" s="509"/>
      <c r="D32" s="503" t="s">
        <v>555</v>
      </c>
      <c r="E32" s="503" t="s">
        <v>436</v>
      </c>
      <c r="F32" s="509" t="s">
        <v>558</v>
      </c>
      <c r="G32" s="509"/>
      <c r="H32" s="500"/>
      <c r="I32" s="500"/>
      <c r="J32" s="500"/>
      <c r="K32" s="500"/>
      <c r="L32" s="500"/>
    </row>
    <row r="33" spans="1:12" ht="15.75">
      <c r="A33" s="500"/>
      <c r="B33" s="500"/>
      <c r="C33" s="500"/>
      <c r="D33" s="500"/>
      <c r="E33" s="500"/>
      <c r="F33" s="500"/>
      <c r="G33" s="500"/>
      <c r="H33" s="500"/>
      <c r="I33" s="500"/>
      <c r="J33" s="500"/>
      <c r="K33" s="500"/>
      <c r="L33" s="500"/>
    </row>
    <row r="34" spans="1:12" ht="15.75">
      <c r="A34" s="500"/>
      <c r="B34" s="500"/>
      <c r="C34" s="500"/>
      <c r="D34" s="500"/>
      <c r="E34" s="510" t="s">
        <v>437</v>
      </c>
      <c r="F34" s="505"/>
      <c r="G34" s="506"/>
      <c r="H34" s="500"/>
      <c r="I34" s="500"/>
      <c r="J34" s="500"/>
      <c r="K34" s="500"/>
      <c r="L34" s="500"/>
    </row>
    <row r="35" spans="1:12" ht="15.75">
      <c r="A35" s="500"/>
      <c r="B35" s="507" t="s">
        <v>438</v>
      </c>
      <c r="C35" s="507"/>
      <c r="D35" s="511" t="s">
        <v>429</v>
      </c>
      <c r="E35" s="511" t="s">
        <v>439</v>
      </c>
      <c r="F35" s="511" t="s">
        <v>100</v>
      </c>
      <c r="G35" s="511" t="s">
        <v>440</v>
      </c>
      <c r="H35" s="500"/>
      <c r="I35" s="500"/>
      <c r="J35" s="500"/>
      <c r="K35" s="500"/>
      <c r="L35" s="500"/>
    </row>
    <row r="36" spans="1:12" ht="15.75">
      <c r="A36" s="508" t="s">
        <v>431</v>
      </c>
      <c r="B36" s="512" t="s">
        <v>559</v>
      </c>
      <c r="C36" s="513"/>
      <c r="D36" s="514" t="s">
        <v>559</v>
      </c>
      <c r="E36" s="514" t="s">
        <v>441</v>
      </c>
      <c r="F36" s="515" t="s">
        <v>442</v>
      </c>
      <c r="G36" s="503" t="s">
        <v>563</v>
      </c>
      <c r="H36" s="500"/>
      <c r="I36" s="500"/>
      <c r="J36" s="500"/>
      <c r="K36" s="500"/>
      <c r="L36" s="500"/>
    </row>
    <row r="37" spans="1:12" ht="15.75">
      <c r="A37" s="508" t="s">
        <v>433</v>
      </c>
      <c r="B37" s="512" t="s">
        <v>560</v>
      </c>
      <c r="C37" s="513"/>
      <c r="D37" s="514" t="s">
        <v>561</v>
      </c>
      <c r="E37" s="514" t="s">
        <v>441</v>
      </c>
      <c r="F37" s="515" t="s">
        <v>443</v>
      </c>
      <c r="G37" s="516" t="s">
        <v>564</v>
      </c>
      <c r="H37" s="500"/>
      <c r="I37" s="500"/>
      <c r="J37" s="500"/>
      <c r="K37" s="500"/>
      <c r="L37" s="500"/>
    </row>
    <row r="38" spans="1:12" ht="15.75">
      <c r="A38" s="508" t="s">
        <v>435</v>
      </c>
      <c r="B38" s="512" t="s">
        <v>560</v>
      </c>
      <c r="C38" s="513"/>
      <c r="D38" s="514" t="s">
        <v>562</v>
      </c>
      <c r="E38" s="514" t="s">
        <v>441</v>
      </c>
      <c r="F38" s="515" t="s">
        <v>444</v>
      </c>
      <c r="G38" s="503" t="s">
        <v>565</v>
      </c>
      <c r="H38" s="500"/>
      <c r="I38" s="500"/>
      <c r="J38" s="500"/>
      <c r="K38" s="500"/>
      <c r="L38" s="500"/>
    </row>
    <row r="39" spans="1:12" ht="15.75">
      <c r="A39" s="500"/>
      <c r="B39" s="500"/>
      <c r="C39" s="500"/>
      <c r="D39" s="500"/>
      <c r="E39" s="500"/>
      <c r="F39" s="500"/>
      <c r="G39" s="500"/>
      <c r="H39" s="500"/>
      <c r="I39" s="500"/>
      <c r="J39" s="500"/>
      <c r="K39" s="500"/>
      <c r="L39" s="500"/>
    </row>
    <row r="40" spans="1:12" ht="15.75">
      <c r="A40" s="517" t="s">
        <v>445</v>
      </c>
      <c r="B40" s="518" t="s">
        <v>566</v>
      </c>
      <c r="C40" s="518"/>
      <c r="D40" s="519" t="s">
        <v>446</v>
      </c>
      <c r="E40" s="519"/>
      <c r="F40" s="518" t="s">
        <v>567</v>
      </c>
      <c r="G40" s="518"/>
      <c r="H40" s="500"/>
      <c r="I40" s="500"/>
      <c r="J40" s="500"/>
      <c r="K40" s="500"/>
      <c r="L40" s="500"/>
    </row>
    <row r="41" spans="1:12" ht="15.75">
      <c r="A41" s="500"/>
      <c r="B41" s="500"/>
      <c r="C41" s="500"/>
      <c r="D41" s="500"/>
      <c r="E41" s="500"/>
      <c r="F41" s="500"/>
      <c r="G41" s="500"/>
      <c r="H41" s="500"/>
      <c r="I41" s="500"/>
      <c r="J41" s="500"/>
      <c r="K41" s="500"/>
      <c r="L41" s="500"/>
    </row>
    <row r="42" spans="1:12" ht="15.75">
      <c r="A42" s="500"/>
      <c r="B42" s="500"/>
      <c r="C42" s="500"/>
      <c r="D42" s="500"/>
      <c r="E42" s="500"/>
      <c r="F42" s="500"/>
      <c r="G42" s="500"/>
      <c r="H42" s="500"/>
      <c r="I42" s="500"/>
      <c r="J42" s="500"/>
      <c r="K42" s="500"/>
      <c r="L42" s="500"/>
    </row>
    <row r="43" spans="1:12" ht="15.75">
      <c r="A43" s="500"/>
      <c r="B43" s="500"/>
      <c r="C43" s="500"/>
      <c r="D43" s="500"/>
      <c r="E43" s="500"/>
      <c r="F43" s="500"/>
      <c r="G43" s="500"/>
      <c r="H43" s="500"/>
      <c r="I43" s="500"/>
      <c r="J43" s="500"/>
      <c r="K43" s="500"/>
      <c r="L43" s="500"/>
    </row>
    <row r="44" spans="1:12" ht="15.75">
      <c r="A44" s="500"/>
      <c r="B44" s="500"/>
      <c r="C44" s="500"/>
      <c r="D44" s="500"/>
      <c r="E44" s="500"/>
      <c r="F44" s="500"/>
      <c r="G44" s="500"/>
      <c r="H44" s="500"/>
      <c r="I44" s="500"/>
      <c r="J44" s="500"/>
      <c r="K44" s="500"/>
      <c r="L44" s="500"/>
    </row>
    <row r="45" spans="1:12" ht="15.75">
      <c r="A45" s="500"/>
      <c r="B45" s="500"/>
      <c r="C45" s="500"/>
      <c r="D45" s="500"/>
      <c r="E45" s="500"/>
      <c r="F45" s="500"/>
      <c r="G45" s="500"/>
      <c r="H45" s="500"/>
      <c r="I45" s="500"/>
      <c r="J45" s="500"/>
      <c r="K45" s="500"/>
      <c r="L45" s="500"/>
    </row>
    <row r="46" spans="1:12" ht="15.75">
      <c r="A46" s="500"/>
      <c r="B46" s="500"/>
      <c r="C46" s="500"/>
      <c r="D46" s="500"/>
      <c r="E46" s="500"/>
      <c r="F46" s="500"/>
      <c r="G46" s="500"/>
      <c r="H46" s="500"/>
      <c r="I46" s="500"/>
      <c r="J46" s="500"/>
      <c r="K46" s="500"/>
      <c r="L46" s="500"/>
    </row>
    <row r="47" spans="1:12" ht="15.75">
      <c r="A47" s="500"/>
      <c r="B47" s="500"/>
      <c r="C47" s="500"/>
      <c r="D47" s="500"/>
      <c r="E47" s="500"/>
      <c r="F47" s="500"/>
      <c r="G47" s="500"/>
      <c r="H47" s="500"/>
      <c r="I47" s="500"/>
      <c r="J47" s="500"/>
      <c r="K47" s="500"/>
      <c r="L47" s="500"/>
    </row>
    <row r="48" spans="1:12" ht="15.75">
      <c r="A48" s="500"/>
      <c r="B48" s="500"/>
      <c r="C48" s="500"/>
      <c r="D48" s="500"/>
      <c r="E48" s="500"/>
      <c r="F48" s="500"/>
      <c r="G48" s="500"/>
      <c r="H48" s="500"/>
      <c r="I48" s="500"/>
      <c r="J48" s="500"/>
      <c r="K48" s="500"/>
      <c r="L48" s="500"/>
    </row>
    <row r="49" spans="1:12" ht="15.75">
      <c r="A49" s="500"/>
      <c r="B49" s="500"/>
      <c r="C49" s="500"/>
      <c r="D49" s="500"/>
      <c r="E49" s="500"/>
      <c r="F49" s="500"/>
      <c r="G49" s="500"/>
      <c r="H49" s="500"/>
      <c r="I49" s="500"/>
      <c r="J49" s="500"/>
      <c r="K49" s="500"/>
      <c r="L49" s="500"/>
    </row>
    <row r="50" spans="1:12" ht="15.75">
      <c r="A50" s="500"/>
      <c r="B50" s="500"/>
      <c r="C50" s="500"/>
      <c r="D50" s="500"/>
      <c r="E50" s="500"/>
      <c r="F50" s="500"/>
      <c r="G50" s="500"/>
      <c r="H50" s="500"/>
      <c r="I50" s="500"/>
      <c r="J50" s="500"/>
      <c r="K50" s="500"/>
      <c r="L50" s="500"/>
    </row>
    <row r="51" spans="1:12" ht="15.75">
      <c r="A51" s="500"/>
      <c r="B51" s="500"/>
      <c r="C51" s="500"/>
      <c r="D51" s="500"/>
      <c r="E51" s="500"/>
      <c r="F51" s="500"/>
      <c r="G51" s="500"/>
      <c r="H51" s="500"/>
      <c r="I51" s="500"/>
      <c r="J51" s="500"/>
      <c r="K51" s="500"/>
      <c r="L51" s="500"/>
    </row>
    <row r="52" spans="1:12" ht="15.75">
      <c r="A52" s="500"/>
      <c r="B52" s="500"/>
      <c r="C52" s="500"/>
      <c r="D52" s="500"/>
      <c r="E52" s="500"/>
      <c r="F52" s="500"/>
      <c r="G52" s="500"/>
      <c r="H52" s="500"/>
      <c r="I52" s="500"/>
      <c r="J52" s="500"/>
      <c r="K52" s="500"/>
      <c r="L52" s="500"/>
    </row>
    <row r="53" spans="1:12" ht="15.75">
      <c r="A53" s="500"/>
      <c r="B53" s="500"/>
      <c r="C53" s="500"/>
      <c r="D53" s="500"/>
      <c r="E53" s="500"/>
      <c r="F53" s="500"/>
      <c r="G53" s="500"/>
      <c r="H53" s="500"/>
      <c r="I53" s="500"/>
      <c r="J53" s="500"/>
      <c r="K53" s="500"/>
      <c r="L53" s="500"/>
    </row>
    <row r="54" spans="1:12" ht="15.75">
      <c r="A54" s="500"/>
      <c r="B54" s="500"/>
      <c r="C54" s="500"/>
      <c r="D54" s="500"/>
      <c r="E54" s="500"/>
      <c r="F54" s="500"/>
      <c r="G54" s="500"/>
      <c r="H54" s="500"/>
      <c r="I54" s="500"/>
      <c r="J54" s="500"/>
      <c r="K54" s="500"/>
      <c r="L54" s="500"/>
    </row>
    <row r="55" spans="1:12" ht="15.75">
      <c r="A55" s="500"/>
      <c r="B55" s="500"/>
      <c r="C55" s="500"/>
      <c r="D55" s="500"/>
      <c r="E55" s="500"/>
      <c r="F55" s="500"/>
      <c r="G55" s="500"/>
      <c r="H55" s="500"/>
      <c r="I55" s="500"/>
      <c r="J55" s="500"/>
      <c r="K55" s="500"/>
      <c r="L55" s="500"/>
    </row>
    <row r="56" spans="1:12" ht="15.75">
      <c r="A56" s="500"/>
      <c r="B56" s="500"/>
      <c r="C56" s="500"/>
      <c r="D56" s="500"/>
      <c r="E56" s="500"/>
      <c r="F56" s="500"/>
      <c r="G56" s="500"/>
      <c r="H56" s="500"/>
      <c r="I56" s="500"/>
      <c r="J56" s="500"/>
      <c r="K56" s="500"/>
      <c r="L56" s="500"/>
    </row>
    <row r="57" spans="1:12" ht="15.75">
      <c r="A57" s="500"/>
      <c r="B57" s="500"/>
      <c r="C57" s="500"/>
      <c r="D57" s="500"/>
      <c r="E57" s="500"/>
      <c r="F57" s="500"/>
      <c r="G57" s="500"/>
      <c r="H57" s="500"/>
      <c r="I57" s="500"/>
      <c r="J57" s="500"/>
      <c r="K57" s="500"/>
      <c r="L57" s="500"/>
    </row>
    <row r="58" spans="1:12" ht="15.75">
      <c r="A58" s="500"/>
      <c r="B58" s="500"/>
      <c r="C58" s="500"/>
      <c r="D58" s="500"/>
      <c r="E58" s="500"/>
      <c r="F58" s="500"/>
      <c r="G58" s="500"/>
      <c r="H58" s="500"/>
      <c r="I58" s="500"/>
      <c r="J58" s="500"/>
      <c r="K58" s="500"/>
      <c r="L58" s="500"/>
    </row>
    <row r="59" spans="1:12" ht="15.75">
      <c r="A59" s="500"/>
      <c r="B59" s="500"/>
      <c r="C59" s="500"/>
      <c r="D59" s="500"/>
      <c r="E59" s="500"/>
      <c r="F59" s="500"/>
      <c r="G59" s="500"/>
      <c r="H59" s="500"/>
      <c r="I59" s="500"/>
      <c r="J59" s="500"/>
      <c r="K59" s="500"/>
      <c r="L59" s="500"/>
    </row>
    <row r="60" spans="1:12" ht="15.75">
      <c r="A60" s="500"/>
      <c r="B60" s="500"/>
      <c r="C60" s="500"/>
      <c r="D60" s="500"/>
      <c r="E60" s="500"/>
      <c r="F60" s="500"/>
      <c r="G60" s="500"/>
      <c r="H60" s="500"/>
      <c r="I60" s="500"/>
      <c r="J60" s="500"/>
      <c r="K60" s="500"/>
      <c r="L60" s="500"/>
    </row>
    <row r="61" spans="1:12" ht="15.75">
      <c r="A61" s="500"/>
      <c r="B61" s="500"/>
      <c r="C61" s="500"/>
      <c r="D61" s="500"/>
      <c r="E61" s="500"/>
      <c r="F61" s="500"/>
      <c r="G61" s="500"/>
      <c r="H61" s="500"/>
      <c r="I61" s="500"/>
      <c r="J61" s="500"/>
      <c r="K61" s="500"/>
      <c r="L61" s="500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4:C24"/>
    <mergeCell ref="D24:E24"/>
    <mergeCell ref="F24:G24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0"/>
  <sheetViews>
    <sheetView showGridLines="0" tabSelected="1" zoomScaleNormal="100" workbookViewId="0">
      <selection activeCell="J18" sqref="J18"/>
    </sheetView>
  </sheetViews>
  <sheetFormatPr defaultColWidth="12.5703125" defaultRowHeight="15.75"/>
  <cols>
    <col min="1" max="13" width="7" style="586" customWidth="1"/>
    <col min="14" max="14" width="7.140625" style="586" customWidth="1"/>
    <col min="15" max="16384" width="12.5703125" style="586"/>
  </cols>
  <sheetData>
    <row r="1" spans="1:14" ht="17.100000000000001" customHeight="1">
      <c r="A1" s="579" t="s">
        <v>268</v>
      </c>
      <c r="B1" s="580"/>
      <c r="C1" s="580"/>
      <c r="D1" s="580"/>
      <c r="E1" s="580"/>
      <c r="F1" s="580"/>
      <c r="G1" s="580"/>
      <c r="H1" s="580"/>
      <c r="I1" s="580"/>
      <c r="J1" s="581" t="s">
        <v>600</v>
      </c>
      <c r="K1" s="582"/>
      <c r="L1" s="583" t="s">
        <v>601</v>
      </c>
      <c r="M1" s="584"/>
      <c r="N1" s="585"/>
    </row>
    <row r="2" spans="1:14" ht="17.100000000000001" customHeight="1">
      <c r="A2" s="587" t="s">
        <v>602</v>
      </c>
      <c r="B2" s="588"/>
      <c r="C2" s="588"/>
      <c r="D2" s="588"/>
      <c r="E2" s="588"/>
      <c r="F2" s="588"/>
      <c r="G2" s="588"/>
      <c r="H2" s="588"/>
      <c r="I2" s="588"/>
      <c r="J2" s="589" t="s">
        <v>603</v>
      </c>
      <c r="K2" s="590"/>
      <c r="L2" s="591" t="s">
        <v>604</v>
      </c>
      <c r="M2" s="592"/>
      <c r="N2" s="585"/>
    </row>
    <row r="3" spans="1:14" ht="15.95" customHeight="1">
      <c r="A3" s="593"/>
      <c r="B3" s="594"/>
      <c r="C3" s="594"/>
      <c r="D3" s="594"/>
      <c r="E3" s="594"/>
      <c r="F3" s="594"/>
      <c r="G3" s="594"/>
      <c r="H3" s="594"/>
      <c r="I3" s="594"/>
      <c r="J3" s="589" t="s">
        <v>605</v>
      </c>
      <c r="K3" s="590"/>
      <c r="L3" s="595" t="s">
        <v>606</v>
      </c>
      <c r="M3" s="592"/>
      <c r="N3" s="585"/>
    </row>
    <row r="4" spans="1:14" ht="15.95" customHeight="1">
      <c r="A4" s="596"/>
      <c r="B4" s="594"/>
      <c r="C4" s="594"/>
      <c r="D4" s="594"/>
      <c r="E4" s="594"/>
      <c r="F4" s="594"/>
      <c r="G4" s="594"/>
      <c r="H4" s="594"/>
      <c r="I4" s="594"/>
      <c r="J4" s="589" t="s">
        <v>607</v>
      </c>
      <c r="K4" s="590"/>
      <c r="L4" s="597" t="s">
        <v>608</v>
      </c>
      <c r="M4" s="592"/>
      <c r="N4" s="585"/>
    </row>
    <row r="5" spans="1:14" ht="15.95" customHeight="1">
      <c r="A5" s="593"/>
      <c r="B5" s="594"/>
      <c r="C5" s="594"/>
      <c r="D5" s="594"/>
      <c r="E5" s="594"/>
      <c r="F5" s="594"/>
      <c r="G5" s="594"/>
      <c r="H5" s="594"/>
      <c r="I5" s="594"/>
      <c r="J5" s="589" t="s">
        <v>609</v>
      </c>
      <c r="K5" s="590"/>
      <c r="L5" s="591">
        <v>2</v>
      </c>
      <c r="M5" s="592"/>
      <c r="N5" s="585"/>
    </row>
    <row r="6" spans="1:14" ht="15.95" customHeight="1">
      <c r="A6" s="598" t="s">
        <v>610</v>
      </c>
      <c r="B6" s="594"/>
      <c r="C6" s="594"/>
      <c r="D6" s="594"/>
      <c r="E6" s="594"/>
      <c r="F6" s="594"/>
      <c r="G6" s="594"/>
      <c r="H6" s="594"/>
      <c r="I6" s="594"/>
      <c r="J6" s="589" t="s">
        <v>611</v>
      </c>
      <c r="K6" s="590"/>
      <c r="L6" s="599" t="s">
        <v>612</v>
      </c>
      <c r="M6" s="592"/>
      <c r="N6" s="585"/>
    </row>
    <row r="7" spans="1:14" ht="15.95" customHeight="1" thickBot="1">
      <c r="A7" s="600" t="s">
        <v>613</v>
      </c>
      <c r="B7" s="601"/>
      <c r="C7" s="601"/>
      <c r="D7" s="601"/>
      <c r="E7" s="601"/>
      <c r="F7" s="601"/>
      <c r="G7" s="601"/>
      <c r="H7" s="601"/>
      <c r="I7" s="601"/>
      <c r="J7" s="602" t="s">
        <v>614</v>
      </c>
      <c r="K7" s="603"/>
      <c r="L7" s="604" t="s">
        <v>615</v>
      </c>
      <c r="M7" s="605"/>
      <c r="N7" s="585"/>
    </row>
    <row r="8" spans="1:14" ht="15.95" customHeight="1">
      <c r="A8" s="606"/>
      <c r="B8" s="594"/>
      <c r="C8" s="594"/>
      <c r="D8" s="594"/>
      <c r="E8" s="594"/>
      <c r="F8" s="594"/>
      <c r="G8" s="594"/>
      <c r="H8" s="594"/>
      <c r="I8" s="594"/>
      <c r="J8" s="594"/>
      <c r="K8" s="607"/>
      <c r="L8" s="608"/>
      <c r="M8" s="609"/>
      <c r="N8" s="594"/>
    </row>
    <row r="9" spans="1:14" ht="12" customHeight="1">
      <c r="A9" s="610"/>
      <c r="B9" s="611" t="s">
        <v>616</v>
      </c>
      <c r="C9" s="612" t="s">
        <v>707</v>
      </c>
      <c r="D9" s="613"/>
      <c r="E9" s="613"/>
      <c r="F9" s="613"/>
      <c r="G9" s="613"/>
      <c r="H9" s="613"/>
      <c r="I9" s="613"/>
      <c r="J9" s="613"/>
      <c r="K9" s="614"/>
      <c r="L9" s="615"/>
      <c r="M9" s="613"/>
      <c r="N9" s="594"/>
    </row>
    <row r="10" spans="1:14" ht="12" customHeight="1">
      <c r="A10" s="610"/>
      <c r="B10" s="611" t="s">
        <v>617</v>
      </c>
      <c r="C10" s="616" t="s">
        <v>708</v>
      </c>
      <c r="D10" s="615"/>
      <c r="E10" s="615"/>
      <c r="F10" s="615"/>
      <c r="G10" s="615"/>
      <c r="H10" s="615"/>
      <c r="I10" s="615"/>
      <c r="J10" s="615"/>
      <c r="K10" s="615"/>
      <c r="L10" s="615"/>
      <c r="M10" s="615"/>
      <c r="N10" s="608"/>
    </row>
    <row r="11" spans="1:14" ht="16.5" thickBot="1">
      <c r="A11" s="617"/>
      <c r="B11" s="617"/>
      <c r="C11" s="617"/>
      <c r="D11" s="617"/>
      <c r="E11" s="617"/>
      <c r="F11" s="617"/>
      <c r="G11" s="617"/>
      <c r="H11" s="617"/>
      <c r="I11" s="617"/>
      <c r="J11" s="617"/>
      <c r="K11" s="617"/>
      <c r="L11" s="617"/>
      <c r="M11" s="617"/>
      <c r="N11" s="617"/>
    </row>
    <row r="12" spans="1:14" ht="20.100000000000001" customHeight="1" thickBot="1">
      <c r="A12" s="618" t="s">
        <v>618</v>
      </c>
      <c r="B12" s="619"/>
      <c r="C12" s="619"/>
      <c r="D12" s="619"/>
      <c r="E12" s="619"/>
      <c r="F12" s="619"/>
      <c r="G12" s="619"/>
      <c r="H12" s="619"/>
      <c r="I12" s="619"/>
      <c r="J12" s="619"/>
      <c r="K12" s="619"/>
      <c r="L12" s="619"/>
      <c r="M12" s="620"/>
      <c r="N12" s="585"/>
    </row>
    <row r="13" spans="1:14" ht="12.95" customHeight="1" thickTop="1">
      <c r="A13" s="621"/>
      <c r="B13" s="622" t="s">
        <v>619</v>
      </c>
      <c r="C13" s="623">
        <v>450</v>
      </c>
      <c r="D13" s="615"/>
      <c r="E13" s="622" t="s">
        <v>620</v>
      </c>
      <c r="F13" s="623">
        <v>4000</v>
      </c>
      <c r="G13" s="615"/>
      <c r="H13" s="622" t="s">
        <v>621</v>
      </c>
      <c r="I13" s="623" t="s">
        <v>706</v>
      </c>
      <c r="J13" s="615"/>
      <c r="K13" s="615"/>
      <c r="L13" s="622" t="s">
        <v>622</v>
      </c>
      <c r="M13" s="624">
        <v>1200</v>
      </c>
      <c r="N13" s="585"/>
    </row>
    <row r="14" spans="1:14" ht="12.95" customHeight="1">
      <c r="A14" s="621"/>
      <c r="B14" s="622" t="s">
        <v>623</v>
      </c>
      <c r="C14" s="623" t="s">
        <v>709</v>
      </c>
      <c r="D14" s="615"/>
      <c r="E14" s="622" t="s">
        <v>624</v>
      </c>
      <c r="F14" s="625" t="s">
        <v>665</v>
      </c>
      <c r="G14" s="615"/>
      <c r="H14" s="622" t="s">
        <v>625</v>
      </c>
      <c r="I14" s="623">
        <v>58</v>
      </c>
      <c r="J14" s="615"/>
      <c r="K14" s="615"/>
      <c r="L14" s="622" t="s">
        <v>580</v>
      </c>
      <c r="M14" s="624">
        <v>1180</v>
      </c>
      <c r="N14" s="585"/>
    </row>
    <row r="15" spans="1:14" ht="12.95" customHeight="1">
      <c r="A15" s="621"/>
      <c r="B15" s="622" t="s">
        <v>626</v>
      </c>
      <c r="C15" s="623" t="s">
        <v>710</v>
      </c>
      <c r="D15" s="615"/>
      <c r="E15" s="622" t="s">
        <v>627</v>
      </c>
      <c r="F15" s="626" t="s">
        <v>711</v>
      </c>
      <c r="G15" s="615"/>
      <c r="H15" s="622" t="s">
        <v>628</v>
      </c>
      <c r="I15" s="625" t="s">
        <v>319</v>
      </c>
      <c r="J15" s="615"/>
      <c r="K15" s="615"/>
      <c r="L15" s="622" t="s">
        <v>629</v>
      </c>
      <c r="M15" s="624" t="s">
        <v>363</v>
      </c>
      <c r="N15" s="585"/>
    </row>
    <row r="16" spans="1:14" ht="12.95" customHeight="1">
      <c r="A16" s="621"/>
      <c r="B16" s="622" t="s">
        <v>630</v>
      </c>
      <c r="C16" s="623" t="s">
        <v>705</v>
      </c>
      <c r="D16" s="615"/>
      <c r="E16" s="622" t="s">
        <v>631</v>
      </c>
      <c r="F16" s="623" t="s">
        <v>441</v>
      </c>
      <c r="G16" s="615"/>
      <c r="H16" s="627" t="s">
        <v>632</v>
      </c>
      <c r="I16" s="628" t="s">
        <v>385</v>
      </c>
      <c r="J16" s="615"/>
      <c r="K16" s="615"/>
      <c r="L16" s="622" t="s">
        <v>633</v>
      </c>
      <c r="M16" s="624" t="s">
        <v>634</v>
      </c>
      <c r="N16" s="585"/>
    </row>
    <row r="17" spans="1:14" ht="12.95" customHeight="1">
      <c r="A17" s="621"/>
      <c r="B17" s="622" t="s">
        <v>635</v>
      </c>
      <c r="C17" s="629" t="s">
        <v>712</v>
      </c>
      <c r="D17" s="615"/>
      <c r="E17" s="622"/>
      <c r="F17" s="625"/>
      <c r="G17" s="615"/>
      <c r="H17" s="622" t="s">
        <v>636</v>
      </c>
      <c r="I17" s="628" t="s">
        <v>174</v>
      </c>
      <c r="J17" s="615"/>
      <c r="K17" s="615"/>
      <c r="L17" s="622"/>
      <c r="M17" s="630"/>
      <c r="N17" s="585"/>
    </row>
    <row r="18" spans="1:14" ht="12.95" customHeight="1" thickBot="1">
      <c r="A18" s="631"/>
      <c r="B18" s="632" t="s">
        <v>637</v>
      </c>
      <c r="C18" s="633" t="s">
        <v>174</v>
      </c>
      <c r="D18" s="634"/>
      <c r="E18" s="635" t="s">
        <v>638</v>
      </c>
      <c r="F18" s="633" t="s">
        <v>174</v>
      </c>
      <c r="G18" s="636"/>
      <c r="H18" s="635" t="s">
        <v>639</v>
      </c>
      <c r="I18" s="633" t="s">
        <v>174</v>
      </c>
      <c r="J18" s="634"/>
      <c r="K18" s="634"/>
      <c r="L18" s="634"/>
      <c r="M18" s="637"/>
      <c r="N18" s="585"/>
    </row>
    <row r="19" spans="1:14" ht="16.5" thickBot="1">
      <c r="A19" s="585"/>
      <c r="B19" s="585"/>
      <c r="C19" s="585"/>
      <c r="D19" s="585"/>
      <c r="E19" s="585"/>
      <c r="F19" s="585"/>
      <c r="G19" s="585"/>
      <c r="H19" s="585"/>
      <c r="I19" s="585"/>
      <c r="J19" s="585"/>
      <c r="K19" s="585"/>
      <c r="L19" s="585"/>
      <c r="M19" s="585"/>
      <c r="N19" s="585"/>
    </row>
    <row r="20" spans="1:14" ht="20.100000000000001" customHeight="1" thickBot="1">
      <c r="A20" s="618"/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20"/>
    </row>
    <row r="21" spans="1:14" ht="15.95" customHeight="1" thickTop="1">
      <c r="A21" s="638" t="s">
        <v>640</v>
      </c>
      <c r="B21" s="639"/>
      <c r="C21" s="608"/>
      <c r="D21" s="640"/>
      <c r="E21" s="641" t="s">
        <v>641</v>
      </c>
      <c r="F21" s="642"/>
      <c r="G21" s="642"/>
      <c r="H21" s="643"/>
      <c r="I21" s="644" t="s">
        <v>642</v>
      </c>
      <c r="J21" s="645"/>
      <c r="K21" s="645"/>
      <c r="L21" s="608"/>
      <c r="M21" s="646"/>
    </row>
    <row r="22" spans="1:14" ht="15.95" customHeight="1">
      <c r="A22" s="647"/>
      <c r="B22" s="615"/>
      <c r="C22" s="648" t="s">
        <v>643</v>
      </c>
      <c r="D22" s="649">
        <v>374</v>
      </c>
      <c r="E22" s="622"/>
      <c r="G22" s="627" t="s">
        <v>644</v>
      </c>
      <c r="H22" s="650">
        <v>2003</v>
      </c>
      <c r="I22" s="648"/>
      <c r="J22" s="615"/>
      <c r="K22" s="648" t="s">
        <v>645</v>
      </c>
      <c r="L22" s="615" t="s">
        <v>646</v>
      </c>
      <c r="M22" s="630"/>
    </row>
    <row r="23" spans="1:14" ht="15.95" customHeight="1">
      <c r="A23" s="647"/>
      <c r="B23" s="648"/>
      <c r="C23" s="651"/>
      <c r="D23" s="652"/>
      <c r="E23" s="622"/>
      <c r="G23" s="622" t="s">
        <v>647</v>
      </c>
      <c r="H23" s="649">
        <v>115</v>
      </c>
      <c r="I23" s="615"/>
      <c r="J23" s="615"/>
      <c r="K23" s="622" t="s">
        <v>648</v>
      </c>
      <c r="L23" s="615" t="s">
        <v>646</v>
      </c>
      <c r="M23" s="630"/>
    </row>
    <row r="24" spans="1:14" ht="15.95" customHeight="1">
      <c r="A24" s="621"/>
      <c r="B24" s="622"/>
      <c r="C24" s="615"/>
      <c r="D24" s="652"/>
      <c r="E24" s="622"/>
      <c r="G24" s="627" t="s">
        <v>649</v>
      </c>
      <c r="H24" s="649">
        <v>295</v>
      </c>
      <c r="I24" s="615"/>
      <c r="J24" s="622"/>
      <c r="K24" s="615"/>
      <c r="L24" s="615"/>
      <c r="M24" s="630"/>
    </row>
    <row r="25" spans="1:14" ht="15.95" customHeight="1" thickBot="1">
      <c r="A25" s="631"/>
      <c r="B25" s="632"/>
      <c r="C25" s="634"/>
      <c r="D25" s="653"/>
      <c r="E25" s="635"/>
      <c r="F25" s="635"/>
      <c r="G25" s="635"/>
      <c r="H25" s="654"/>
      <c r="I25" s="634"/>
      <c r="J25" s="635"/>
      <c r="K25" s="634"/>
      <c r="L25" s="634"/>
      <c r="M25" s="637"/>
    </row>
    <row r="26" spans="1:14" ht="18.95" customHeight="1" thickBot="1">
      <c r="A26" s="655"/>
      <c r="B26" s="655"/>
      <c r="C26" s="655"/>
      <c r="D26" s="656"/>
      <c r="E26" s="656"/>
      <c r="F26" s="656"/>
      <c r="G26" s="656"/>
      <c r="H26" s="656"/>
      <c r="I26" s="656"/>
      <c r="J26" s="656"/>
      <c r="K26" s="656"/>
      <c r="L26" s="656"/>
      <c r="M26" s="585"/>
      <c r="N26" s="585"/>
    </row>
    <row r="27" spans="1:14" ht="20.100000000000001" customHeight="1" thickBot="1">
      <c r="A27" s="657"/>
      <c r="B27" s="658"/>
      <c r="C27" s="658"/>
      <c r="D27" s="658"/>
      <c r="E27" s="658"/>
      <c r="F27" s="658"/>
      <c r="G27" s="659"/>
      <c r="H27" s="658"/>
      <c r="I27" s="658"/>
      <c r="J27" s="658"/>
      <c r="K27" s="658"/>
      <c r="L27" s="658"/>
      <c r="M27" s="660"/>
    </row>
    <row r="28" spans="1:14" ht="15.95" customHeight="1" thickTop="1">
      <c r="A28" s="661" t="s">
        <v>650</v>
      </c>
      <c r="B28" s="639"/>
      <c r="C28" s="608"/>
      <c r="D28" s="608"/>
      <c r="E28" s="642"/>
      <c r="F28" s="642"/>
      <c r="G28" s="662"/>
      <c r="H28" s="641" t="s">
        <v>651</v>
      </c>
      <c r="I28" s="642"/>
      <c r="J28" s="645"/>
      <c r="K28" s="641"/>
      <c r="L28" s="645"/>
      <c r="M28" s="646"/>
    </row>
    <row r="29" spans="1:14" ht="15.95" customHeight="1">
      <c r="A29" s="621"/>
      <c r="B29" s="648"/>
      <c r="C29" s="648" t="s">
        <v>652</v>
      </c>
      <c r="D29" s="663">
        <v>95.2</v>
      </c>
      <c r="E29" s="622"/>
      <c r="F29" s="622"/>
      <c r="G29" s="662"/>
      <c r="H29" s="627"/>
      <c r="I29" s="648"/>
      <c r="J29" s="648" t="s">
        <v>652</v>
      </c>
      <c r="K29" s="663">
        <v>88.2</v>
      </c>
      <c r="L29" s="615"/>
      <c r="M29" s="630"/>
    </row>
    <row r="30" spans="1:14" ht="15.95" customHeight="1">
      <c r="A30" s="664"/>
      <c r="B30" s="615"/>
      <c r="C30" s="648" t="s">
        <v>653</v>
      </c>
      <c r="D30" s="663">
        <v>95.1</v>
      </c>
      <c r="E30" s="622"/>
      <c r="F30" s="622"/>
      <c r="G30" s="662"/>
      <c r="H30" s="622"/>
      <c r="I30" s="615"/>
      <c r="J30" s="648" t="s">
        <v>653</v>
      </c>
      <c r="K30" s="663">
        <v>85.7</v>
      </c>
      <c r="L30" s="615"/>
      <c r="M30" s="630"/>
    </row>
    <row r="31" spans="1:14" ht="15.95" customHeight="1">
      <c r="A31" s="621"/>
      <c r="B31" s="622"/>
      <c r="C31" s="648" t="s">
        <v>654</v>
      </c>
      <c r="D31" s="663">
        <v>94.2</v>
      </c>
      <c r="E31" s="622"/>
      <c r="F31" s="622"/>
      <c r="G31" s="662"/>
      <c r="H31" s="622"/>
      <c r="I31" s="615"/>
      <c r="J31" s="648" t="s">
        <v>654</v>
      </c>
      <c r="K31" s="663">
        <v>78.7</v>
      </c>
      <c r="L31" s="622"/>
      <c r="M31" s="630"/>
    </row>
    <row r="32" spans="1:14" ht="15.95" customHeight="1" thickBot="1">
      <c r="A32" s="631"/>
      <c r="B32" s="632"/>
      <c r="C32" s="634"/>
      <c r="D32" s="634"/>
      <c r="E32" s="635"/>
      <c r="F32" s="635"/>
      <c r="G32" s="665"/>
      <c r="H32" s="635"/>
      <c r="I32" s="634"/>
      <c r="J32" s="635"/>
      <c r="K32" s="634"/>
      <c r="L32" s="635"/>
      <c r="M32" s="637"/>
    </row>
    <row r="33" spans="1:14" ht="20.100000000000001" customHeight="1" thickBot="1">
      <c r="A33" s="666"/>
      <c r="B33" s="666"/>
      <c r="C33" s="666"/>
      <c r="D33" s="666"/>
      <c r="E33" s="666"/>
      <c r="F33" s="666"/>
      <c r="G33" s="666"/>
      <c r="H33" s="666"/>
      <c r="I33" s="666"/>
      <c r="J33" s="666"/>
      <c r="K33" s="666"/>
      <c r="L33" s="666"/>
      <c r="M33" s="667"/>
      <c r="N33" s="667"/>
    </row>
    <row r="34" spans="1:14" ht="20.100000000000001" customHeight="1" thickBot="1">
      <c r="A34" s="668"/>
      <c r="B34" s="669"/>
      <c r="C34" s="669"/>
      <c r="D34" s="669"/>
      <c r="E34" s="669"/>
      <c r="F34" s="669"/>
      <c r="G34" s="669"/>
      <c r="H34" s="669"/>
      <c r="I34" s="669"/>
      <c r="J34" s="669"/>
      <c r="K34" s="669"/>
      <c r="L34" s="669"/>
      <c r="M34" s="670"/>
    </row>
    <row r="35" spans="1:14" ht="15.95" customHeight="1" thickTop="1">
      <c r="A35" s="671" t="s">
        <v>655</v>
      </c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72"/>
    </row>
    <row r="36" spans="1:14" ht="15.95" customHeight="1">
      <c r="A36" s="664" t="s">
        <v>656</v>
      </c>
      <c r="B36" s="651"/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72"/>
    </row>
    <row r="37" spans="1:14" ht="15.95" customHeight="1">
      <c r="A37" s="673" t="s">
        <v>657</v>
      </c>
      <c r="B37" s="651"/>
      <c r="C37" s="651"/>
      <c r="D37" s="651"/>
      <c r="E37" s="674"/>
      <c r="F37" s="651"/>
      <c r="G37" s="651"/>
      <c r="H37" s="651"/>
      <c r="I37" s="651"/>
      <c r="J37" s="651"/>
      <c r="K37" s="651"/>
      <c r="L37" s="651"/>
      <c r="M37" s="672"/>
    </row>
    <row r="38" spans="1:14" ht="15.95" customHeight="1">
      <c r="A38" s="675" t="s">
        <v>658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72"/>
    </row>
    <row r="39" spans="1:14" ht="15.95" customHeight="1">
      <c r="A39" s="676" t="s">
        <v>659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72"/>
    </row>
    <row r="40" spans="1:14" ht="15.95" customHeight="1" thickBot="1">
      <c r="A40" s="677" t="s">
        <v>660</v>
      </c>
      <c r="B40" s="678"/>
      <c r="C40" s="678"/>
      <c r="D40" s="678"/>
      <c r="E40" s="678"/>
      <c r="F40" s="678"/>
      <c r="G40" s="678"/>
      <c r="H40" s="678"/>
      <c r="I40" s="678"/>
      <c r="J40" s="678"/>
      <c r="K40" s="678"/>
      <c r="L40" s="678"/>
      <c r="M40" s="679"/>
    </row>
    <row r="41" spans="1:14" ht="15.95" customHeight="1"/>
    <row r="42" spans="1:14" ht="18">
      <c r="A42" s="680"/>
      <c r="B42" s="680"/>
      <c r="C42" s="680"/>
      <c r="D42" s="680"/>
      <c r="E42" s="680"/>
      <c r="F42" s="680"/>
      <c r="G42" s="680"/>
      <c r="H42" s="585"/>
      <c r="I42" s="585"/>
      <c r="J42" s="681" t="s">
        <v>661</v>
      </c>
      <c r="K42" s="682" t="s">
        <v>662</v>
      </c>
      <c r="L42" s="682"/>
      <c r="M42" s="682"/>
      <c r="N42" s="680"/>
    </row>
    <row r="43" spans="1:14" ht="7.5" customHeight="1">
      <c r="H43" s="585"/>
      <c r="I43" s="585"/>
      <c r="J43" s="585"/>
      <c r="K43" s="585"/>
      <c r="L43" s="585"/>
      <c r="M43" s="585"/>
    </row>
    <row r="44" spans="1:14" ht="16.5">
      <c r="H44" s="585"/>
      <c r="I44" s="585"/>
      <c r="J44" s="681" t="s">
        <v>663</v>
      </c>
      <c r="K44" s="683">
        <v>43493</v>
      </c>
      <c r="L44" s="683"/>
      <c r="M44" s="683"/>
    </row>
    <row r="59" spans="1:5">
      <c r="A59" s="586" t="s">
        <v>174</v>
      </c>
      <c r="B59" s="586" t="s">
        <v>664</v>
      </c>
      <c r="D59" s="586">
        <v>1</v>
      </c>
      <c r="E59" s="684" t="s">
        <v>174</v>
      </c>
    </row>
    <row r="60" spans="1:5">
      <c r="A60" s="586" t="s">
        <v>665</v>
      </c>
      <c r="B60" s="586" t="s">
        <v>666</v>
      </c>
      <c r="D60" s="586">
        <v>1.1499999999999999</v>
      </c>
      <c r="E60" s="684" t="s">
        <v>183</v>
      </c>
    </row>
    <row r="61" spans="1:5">
      <c r="A61" s="586" t="s">
        <v>667</v>
      </c>
      <c r="B61" s="586" t="s">
        <v>668</v>
      </c>
      <c r="E61" s="684" t="s">
        <v>319</v>
      </c>
    </row>
    <row r="62" spans="1:5">
      <c r="B62" s="586" t="s">
        <v>669</v>
      </c>
    </row>
    <row r="63" spans="1:5">
      <c r="B63" s="586" t="s">
        <v>670</v>
      </c>
    </row>
    <row r="64" spans="1:5">
      <c r="B64" s="586" t="s">
        <v>671</v>
      </c>
    </row>
    <row r="65" spans="2:2">
      <c r="B65" s="586" t="s">
        <v>672</v>
      </c>
    </row>
    <row r="66" spans="2:2">
      <c r="B66" s="586" t="s">
        <v>673</v>
      </c>
    </row>
    <row r="67" spans="2:2">
      <c r="B67" s="586" t="s">
        <v>674</v>
      </c>
    </row>
    <row r="68" spans="2:2">
      <c r="B68" s="586" t="s">
        <v>675</v>
      </c>
    </row>
    <row r="69" spans="2:2">
      <c r="B69" s="586" t="s">
        <v>676</v>
      </c>
    </row>
    <row r="70" spans="2:2">
      <c r="B70" s="586" t="s">
        <v>677</v>
      </c>
    </row>
    <row r="71" spans="2:2">
      <c r="B71" s="586" t="s">
        <v>678</v>
      </c>
    </row>
    <row r="72" spans="2:2">
      <c r="B72" s="586" t="s">
        <v>679</v>
      </c>
    </row>
    <row r="73" spans="2:2">
      <c r="B73" s="586" t="s">
        <v>680</v>
      </c>
    </row>
    <row r="74" spans="2:2">
      <c r="B74" s="586" t="s">
        <v>681</v>
      </c>
    </row>
    <row r="75" spans="2:2">
      <c r="B75" s="586" t="s">
        <v>682</v>
      </c>
    </row>
    <row r="76" spans="2:2">
      <c r="B76" s="586" t="s">
        <v>683</v>
      </c>
    </row>
    <row r="77" spans="2:2">
      <c r="B77" s="586" t="s">
        <v>684</v>
      </c>
    </row>
    <row r="78" spans="2:2">
      <c r="B78" s="586" t="s">
        <v>685</v>
      </c>
    </row>
    <row r="79" spans="2:2">
      <c r="B79" s="586" t="s">
        <v>686</v>
      </c>
    </row>
    <row r="80" spans="2:2">
      <c r="B80" s="586">
        <v>6312</v>
      </c>
    </row>
    <row r="81" spans="2:2">
      <c r="B81" s="586" t="s">
        <v>687</v>
      </c>
    </row>
    <row r="82" spans="2:2">
      <c r="B82" s="586" t="s">
        <v>688</v>
      </c>
    </row>
    <row r="83" spans="2:2">
      <c r="B83" s="586" t="s">
        <v>689</v>
      </c>
    </row>
    <row r="84" spans="2:2">
      <c r="B84" s="586" t="s">
        <v>690</v>
      </c>
    </row>
    <row r="85" spans="2:2">
      <c r="B85" s="586">
        <v>6313</v>
      </c>
    </row>
    <row r="86" spans="2:2">
      <c r="B86" s="586" t="s">
        <v>691</v>
      </c>
    </row>
    <row r="87" spans="2:2">
      <c r="B87" s="586" t="s">
        <v>692</v>
      </c>
    </row>
    <row r="88" spans="2:2">
      <c r="B88" s="586" t="s">
        <v>693</v>
      </c>
    </row>
    <row r="89" spans="2:2">
      <c r="B89" s="586">
        <v>6314</v>
      </c>
    </row>
    <row r="90" spans="2:2">
      <c r="B90" s="586" t="s">
        <v>694</v>
      </c>
    </row>
    <row r="91" spans="2:2">
      <c r="B91" s="586">
        <v>6317</v>
      </c>
    </row>
    <row r="92" spans="2:2">
      <c r="B92" s="586" t="s">
        <v>695</v>
      </c>
    </row>
    <row r="93" spans="2:2">
      <c r="B93" s="586">
        <v>6318</v>
      </c>
    </row>
    <row r="94" spans="2:2">
      <c r="B94" s="586" t="s">
        <v>696</v>
      </c>
    </row>
    <row r="95" spans="2:2">
      <c r="B95" s="586" t="s">
        <v>697</v>
      </c>
    </row>
    <row r="96" spans="2:2">
      <c r="B96" s="586" t="s">
        <v>698</v>
      </c>
    </row>
    <row r="97" spans="2:2">
      <c r="B97" s="586">
        <v>6320</v>
      </c>
    </row>
    <row r="98" spans="2:2">
      <c r="B98" s="586" t="s">
        <v>699</v>
      </c>
    </row>
    <row r="99" spans="2:2">
      <c r="B99" s="586" t="s">
        <v>700</v>
      </c>
    </row>
    <row r="100" spans="2:2">
      <c r="B100" s="586" t="s">
        <v>701</v>
      </c>
    </row>
    <row r="101" spans="2:2">
      <c r="B101" s="586" t="s">
        <v>702</v>
      </c>
    </row>
    <row r="102" spans="2:2">
      <c r="B102" s="586" t="s">
        <v>702</v>
      </c>
    </row>
    <row r="118" spans="2:2">
      <c r="B118" s="586" t="s">
        <v>703</v>
      </c>
    </row>
    <row r="120" spans="2:2">
      <c r="B120" s="586" t="s">
        <v>704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workbookViewId="0">
      <selection activeCell="J18" sqref="J18"/>
    </sheetView>
  </sheetViews>
  <sheetFormatPr defaultRowHeight="12.75"/>
  <cols>
    <col min="1" max="6" width="16.7109375" style="498" customWidth="1"/>
    <col min="7" max="16384" width="9.140625" style="498"/>
  </cols>
  <sheetData>
    <row r="1" spans="1:6" ht="18.95" customHeight="1">
      <c r="A1" s="520"/>
      <c r="B1" s="521"/>
      <c r="C1" s="521"/>
      <c r="D1" s="521"/>
      <c r="E1" s="521"/>
      <c r="F1" s="522"/>
    </row>
    <row r="2" spans="1:6" ht="26.1" customHeight="1">
      <c r="A2" s="523" t="s">
        <v>268</v>
      </c>
      <c r="B2" s="524"/>
      <c r="C2" s="524"/>
      <c r="D2" s="524"/>
      <c r="E2" s="524"/>
      <c r="F2" s="525"/>
    </row>
    <row r="3" spans="1:6" ht="18.95" customHeight="1">
      <c r="A3" s="526" t="s">
        <v>568</v>
      </c>
      <c r="B3" s="524"/>
      <c r="C3" s="524"/>
      <c r="D3" s="524"/>
      <c r="E3" s="524"/>
      <c r="F3" s="525"/>
    </row>
    <row r="4" spans="1:6" ht="18.95" customHeight="1">
      <c r="A4" s="527"/>
      <c r="B4" s="528"/>
      <c r="C4" s="528"/>
      <c r="D4" s="528"/>
      <c r="E4" s="528"/>
      <c r="F4" s="529"/>
    </row>
    <row r="5" spans="1:6" ht="18.95" customHeight="1">
      <c r="A5" s="527"/>
      <c r="B5" s="528"/>
      <c r="C5" s="528"/>
      <c r="D5" s="528"/>
      <c r="E5" s="528"/>
      <c r="F5" s="529"/>
    </row>
    <row r="6" spans="1:6" ht="18.95" customHeight="1">
      <c r="A6" s="530" t="s">
        <v>569</v>
      </c>
      <c r="B6" s="531" t="str">
        <f>'Performance Data Sheet'!C17</f>
        <v>GP-10017208</v>
      </c>
      <c r="C6" s="532"/>
      <c r="D6" s="533"/>
      <c r="E6" s="530" t="s">
        <v>570</v>
      </c>
      <c r="F6" s="534">
        <f>'Performance Data Sheet'!I14</f>
        <v>58</v>
      </c>
    </row>
    <row r="7" spans="1:6" ht="18.95" customHeight="1">
      <c r="A7" s="530" t="s">
        <v>571</v>
      </c>
      <c r="B7" s="534" t="str">
        <f>'Performance Data Sheet'!F14</f>
        <v>TEFC</v>
      </c>
      <c r="C7" s="530" t="s">
        <v>572</v>
      </c>
      <c r="D7" s="534" t="str">
        <f>'Performance Data Sheet'!F13 &amp; " V"</f>
        <v>4000 V</v>
      </c>
      <c r="E7" s="530" t="s">
        <v>573</v>
      </c>
      <c r="F7" s="534" t="str">
        <f>'Performance Data Sheet'!C14</f>
        <v>5011US</v>
      </c>
    </row>
    <row r="8" spans="1:6" ht="18.95" customHeight="1">
      <c r="A8" s="530" t="s">
        <v>574</v>
      </c>
      <c r="B8" s="534">
        <v>6</v>
      </c>
      <c r="C8" s="530" t="s">
        <v>575</v>
      </c>
      <c r="D8" s="534" t="s">
        <v>576</v>
      </c>
      <c r="E8" s="530" t="s">
        <v>577</v>
      </c>
      <c r="F8" s="534" t="str">
        <f>'Performance Data Sheet'!M15</f>
        <v>F</v>
      </c>
    </row>
    <row r="9" spans="1:6" ht="18.95" customHeight="1">
      <c r="A9" s="530" t="s">
        <v>578</v>
      </c>
      <c r="B9" s="534">
        <f>'Performance Data Sheet'!C13</f>
        <v>450</v>
      </c>
      <c r="C9" s="530" t="s">
        <v>579</v>
      </c>
      <c r="D9" s="534" t="s">
        <v>589</v>
      </c>
      <c r="E9" s="530" t="s">
        <v>2</v>
      </c>
      <c r="F9" s="535">
        <f>'Performance Data Sheet'!K44</f>
        <v>43493</v>
      </c>
    </row>
    <row r="10" spans="1:6" ht="18.95" customHeight="1">
      <c r="A10" s="530" t="s">
        <v>580</v>
      </c>
      <c r="B10" s="534">
        <f>'Performance Data Sheet'!M14</f>
        <v>1180</v>
      </c>
      <c r="C10" s="530" t="s">
        <v>400</v>
      </c>
      <c r="D10" s="534" t="s">
        <v>590</v>
      </c>
      <c r="E10" s="530" t="s">
        <v>1</v>
      </c>
      <c r="F10" s="534" t="s">
        <v>379</v>
      </c>
    </row>
    <row r="11" spans="1:6" ht="18.95" customHeight="1">
      <c r="A11" s="527"/>
      <c r="B11" s="528"/>
      <c r="C11" s="528"/>
      <c r="D11" s="528"/>
      <c r="E11" s="528"/>
      <c r="F11" s="529"/>
    </row>
    <row r="12" spans="1:6" ht="18.95" customHeight="1">
      <c r="A12" s="527"/>
      <c r="B12" s="536" t="s">
        <v>581</v>
      </c>
      <c r="C12" s="537" t="str">
        <f>'Performance Data Sheet'!D22 &amp; " A"</f>
        <v>374 A</v>
      </c>
      <c r="D12" s="536" t="s">
        <v>399</v>
      </c>
      <c r="E12" s="537" t="s">
        <v>403</v>
      </c>
      <c r="F12" s="529"/>
    </row>
    <row r="13" spans="1:6" ht="18.95" customHeight="1">
      <c r="A13" s="527"/>
      <c r="B13" s="536" t="s">
        <v>582</v>
      </c>
      <c r="C13" s="538">
        <f>'Performance Data Sheet'!H23/100</f>
        <v>1.1499999999999999</v>
      </c>
      <c r="D13" s="536" t="s">
        <v>583</v>
      </c>
      <c r="E13" s="537" t="s">
        <v>591</v>
      </c>
      <c r="F13" s="529"/>
    </row>
    <row r="14" spans="1:6" ht="18.95" customHeight="1">
      <c r="A14" s="527"/>
      <c r="B14" s="536" t="s">
        <v>584</v>
      </c>
      <c r="C14" s="538">
        <v>2.95</v>
      </c>
      <c r="D14" s="536" t="s">
        <v>401</v>
      </c>
      <c r="E14" s="537" t="s">
        <v>406</v>
      </c>
      <c r="F14" s="529"/>
    </row>
    <row r="15" spans="1:6" ht="18.95" customHeight="1">
      <c r="A15" s="527"/>
      <c r="B15" s="536" t="s">
        <v>402</v>
      </c>
      <c r="C15" s="537" t="str">
        <f>'Performance Data Sheet'!H22 &amp; " lb-ft"</f>
        <v>2003 lb-ft</v>
      </c>
      <c r="D15" s="528"/>
      <c r="E15" s="528"/>
      <c r="F15" s="529"/>
    </row>
    <row r="16" spans="1:6" ht="18.95" customHeight="1">
      <c r="A16" s="527"/>
      <c r="B16" s="528"/>
      <c r="C16" s="528"/>
      <c r="D16" s="528"/>
      <c r="E16" s="528"/>
      <c r="F16" s="529"/>
    </row>
    <row r="17" spans="1:6" ht="18.95" customHeight="1">
      <c r="A17" s="527"/>
      <c r="B17" s="528"/>
      <c r="C17" s="528"/>
      <c r="D17" s="528"/>
      <c r="E17" s="528"/>
      <c r="F17" s="529"/>
    </row>
    <row r="18" spans="1:6" ht="18.95" customHeight="1">
      <c r="A18" s="527"/>
      <c r="B18" s="528"/>
      <c r="C18" s="528"/>
      <c r="D18" s="528"/>
      <c r="E18" s="528"/>
      <c r="F18" s="529"/>
    </row>
    <row r="19" spans="1:6" ht="18.95" customHeight="1">
      <c r="A19" s="527"/>
      <c r="B19" s="528"/>
      <c r="C19" s="528"/>
      <c r="D19" s="528"/>
      <c r="E19" s="528"/>
      <c r="F19" s="529"/>
    </row>
    <row r="20" spans="1:6" ht="18.95" customHeight="1">
      <c r="A20" s="527"/>
      <c r="B20" s="528"/>
      <c r="C20" s="528"/>
      <c r="D20" s="528"/>
      <c r="E20" s="528"/>
      <c r="F20" s="529"/>
    </row>
    <row r="21" spans="1:6" ht="18.95" customHeight="1">
      <c r="A21" s="527"/>
      <c r="B21" s="528"/>
      <c r="C21" s="528"/>
      <c r="D21" s="528"/>
      <c r="E21" s="528"/>
      <c r="F21" s="529"/>
    </row>
    <row r="22" spans="1:6" ht="18.95" customHeight="1">
      <c r="A22" s="527"/>
      <c r="B22" s="528"/>
      <c r="C22" s="528"/>
      <c r="D22" s="528"/>
      <c r="E22" s="528"/>
      <c r="F22" s="529"/>
    </row>
    <row r="23" spans="1:6" ht="18.95" customHeight="1">
      <c r="A23" s="527"/>
      <c r="B23" s="528"/>
      <c r="C23" s="528"/>
      <c r="D23" s="528"/>
      <c r="E23" s="528"/>
      <c r="F23" s="529"/>
    </row>
    <row r="24" spans="1:6" ht="18.95" customHeight="1">
      <c r="A24" s="527"/>
      <c r="B24" s="528"/>
      <c r="C24" s="528"/>
      <c r="D24" s="528"/>
      <c r="E24" s="528"/>
      <c r="F24" s="529"/>
    </row>
    <row r="25" spans="1:6" ht="18.95" customHeight="1">
      <c r="A25" s="527"/>
      <c r="B25" s="528"/>
      <c r="C25" s="528"/>
      <c r="D25" s="528"/>
      <c r="E25" s="528"/>
      <c r="F25" s="529"/>
    </row>
    <row r="26" spans="1:6" ht="18.95" customHeight="1">
      <c r="A26" s="527"/>
      <c r="B26" s="528"/>
      <c r="C26" s="528"/>
      <c r="D26" s="528"/>
      <c r="E26" s="528"/>
      <c r="F26" s="529"/>
    </row>
    <row r="27" spans="1:6" ht="18.95" customHeight="1">
      <c r="A27" s="527"/>
      <c r="B27" s="528"/>
      <c r="C27" s="528"/>
      <c r="D27" s="528"/>
      <c r="E27" s="528"/>
      <c r="F27" s="529"/>
    </row>
    <row r="28" spans="1:6" ht="18.95" customHeight="1">
      <c r="A28" s="527"/>
      <c r="B28" s="528"/>
      <c r="C28" s="528"/>
      <c r="D28" s="528"/>
      <c r="E28" s="528"/>
      <c r="F28" s="529"/>
    </row>
    <row r="29" spans="1:6" ht="18.95" customHeight="1">
      <c r="A29" s="527"/>
      <c r="B29" s="528"/>
      <c r="C29" s="528"/>
      <c r="D29" s="528"/>
      <c r="E29" s="528"/>
      <c r="F29" s="529"/>
    </row>
    <row r="30" spans="1:6" ht="18.95" customHeight="1">
      <c r="A30" s="527"/>
      <c r="B30" s="528"/>
      <c r="C30" s="528"/>
      <c r="D30" s="528"/>
      <c r="E30" s="528"/>
      <c r="F30" s="529"/>
    </row>
    <row r="31" spans="1:6" ht="18.95" customHeight="1">
      <c r="A31" s="527"/>
      <c r="B31" s="528"/>
      <c r="C31" s="528"/>
      <c r="D31" s="528"/>
      <c r="E31" s="528"/>
      <c r="F31" s="529"/>
    </row>
    <row r="32" spans="1:6" ht="18.95" customHeight="1">
      <c r="A32" s="527"/>
      <c r="B32" s="528"/>
      <c r="C32" s="528"/>
      <c r="D32" s="528"/>
      <c r="E32" s="528"/>
      <c r="F32" s="529"/>
    </row>
    <row r="33" spans="1:6" ht="18.95" customHeight="1">
      <c r="A33" s="527"/>
      <c r="B33" s="528"/>
      <c r="C33" s="528"/>
      <c r="D33" s="528"/>
      <c r="E33" s="528"/>
      <c r="F33" s="529"/>
    </row>
    <row r="34" spans="1:6" ht="18.95" customHeight="1">
      <c r="A34" s="527"/>
      <c r="B34" s="528"/>
      <c r="C34" s="528"/>
      <c r="D34" s="528"/>
      <c r="E34" s="528"/>
      <c r="F34" s="529"/>
    </row>
    <row r="35" spans="1:6" ht="18.95" customHeight="1">
      <c r="A35" s="527"/>
      <c r="B35" s="528"/>
      <c r="C35" s="528"/>
      <c r="D35" s="528"/>
      <c r="E35" s="528"/>
      <c r="F35" s="529"/>
    </row>
    <row r="36" spans="1:6" ht="18.95" customHeight="1">
      <c r="A36" s="527"/>
      <c r="B36" s="528"/>
      <c r="C36" s="528"/>
      <c r="D36" s="528"/>
      <c r="E36" s="528"/>
      <c r="F36" s="529"/>
    </row>
    <row r="37" spans="1:6" ht="18.95" customHeight="1">
      <c r="A37" s="527"/>
      <c r="B37" s="528"/>
      <c r="C37" s="528"/>
      <c r="D37" s="528"/>
      <c r="E37" s="528"/>
      <c r="F37" s="529"/>
    </row>
    <row r="38" spans="1:6" ht="18.95" customHeight="1">
      <c r="A38" s="527"/>
      <c r="B38" s="528"/>
      <c r="C38" s="528"/>
      <c r="D38" s="528"/>
      <c r="E38" s="528"/>
      <c r="F38" s="529"/>
    </row>
    <row r="39" spans="1:6" ht="18.95" customHeight="1">
      <c r="A39" s="539" t="s">
        <v>585</v>
      </c>
      <c r="B39" s="540" t="s">
        <v>370</v>
      </c>
      <c r="C39" s="685" t="str">
        <f>'Performance Data Sheet'!C10</f>
        <v>2118593.1</v>
      </c>
      <c r="D39" s="528"/>
      <c r="E39" s="536" t="s">
        <v>586</v>
      </c>
      <c r="F39" s="541" t="str">
        <f>F10</f>
        <v>CF6450</v>
      </c>
    </row>
    <row r="40" spans="1:6" ht="18.95" customHeight="1">
      <c r="A40" s="527"/>
      <c r="B40" s="540"/>
      <c r="C40" s="540"/>
      <c r="D40" s="528"/>
      <c r="E40" s="528"/>
      <c r="F40" s="529"/>
    </row>
    <row r="41" spans="1:6" ht="18.95" customHeight="1">
      <c r="A41" s="527"/>
      <c r="B41" s="540"/>
      <c r="C41" s="540"/>
      <c r="D41" s="528"/>
      <c r="E41" s="528"/>
      <c r="F41" s="529"/>
    </row>
    <row r="42" spans="1:6" ht="18.95" customHeight="1">
      <c r="A42" s="527"/>
      <c r="B42" s="528"/>
      <c r="C42" s="528"/>
      <c r="D42" s="528"/>
      <c r="E42" s="528"/>
      <c r="F42" s="529"/>
    </row>
    <row r="43" spans="1:6" ht="18.95" customHeight="1">
      <c r="A43" s="542"/>
      <c r="B43" s="540"/>
      <c r="C43" s="543" t="s">
        <v>587</v>
      </c>
      <c r="D43" s="544" t="str">
        <f>'Performance Data Sheet'!K42</f>
        <v>Zichao Xie</v>
      </c>
      <c r="E43" s="543" t="s">
        <v>588</v>
      </c>
      <c r="F43" s="54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485" t="s">
        <v>398</v>
      </c>
      <c r="E53" s="485"/>
      <c r="F53" s="485"/>
      <c r="G53" s="485"/>
      <c r="H53" s="485"/>
      <c r="I53" s="485"/>
      <c r="J53" s="485"/>
      <c r="K53" s="485"/>
      <c r="L53" s="485"/>
    </row>
    <row r="54" spans="1:12" ht="15" customHeight="1">
      <c r="A54" s="548">
        <v>100</v>
      </c>
      <c r="B54" s="484">
        <v>0</v>
      </c>
      <c r="C54" s="484">
        <v>0.29668378829956055</v>
      </c>
      <c r="D54" s="485">
        <v>100</v>
      </c>
      <c r="E54" s="485"/>
      <c r="F54" s="485"/>
      <c r="G54" s="485"/>
      <c r="H54" s="485"/>
      <c r="I54" s="485"/>
      <c r="J54" s="485"/>
      <c r="K54" s="485"/>
      <c r="L54" s="485"/>
    </row>
    <row r="55" spans="1:12" ht="15" customHeight="1">
      <c r="A55" s="548">
        <v>99.120000004768372</v>
      </c>
      <c r="B55" s="484">
        <v>119.9406485517146</v>
      </c>
      <c r="C55" s="484">
        <v>120.932373046875</v>
      </c>
      <c r="D55" s="485">
        <v>98.239997863769531</v>
      </c>
      <c r="E55" s="485"/>
      <c r="F55" s="485"/>
      <c r="G55" s="485"/>
      <c r="H55" s="485"/>
      <c r="I55" s="485"/>
      <c r="J55" s="485"/>
      <c r="K55" s="485"/>
      <c r="L55" s="485"/>
    </row>
    <row r="56" spans="1:12" ht="15" customHeight="1">
      <c r="A56" s="548">
        <v>95.600000023841858</v>
      </c>
      <c r="B56" s="484">
        <v>295</v>
      </c>
      <c r="C56" s="484">
        <v>402.61477661132812</v>
      </c>
      <c r="D56" s="485">
        <v>88.650001525878906</v>
      </c>
      <c r="E56" s="485"/>
      <c r="F56" s="485"/>
      <c r="G56" s="485"/>
      <c r="H56" s="485"/>
      <c r="I56" s="485"/>
      <c r="J56" s="485"/>
      <c r="K56" s="485"/>
      <c r="L56" s="485"/>
    </row>
    <row r="57" spans="1:12">
      <c r="A57" s="548">
        <v>90.56842103600502</v>
      </c>
      <c r="B57" s="484">
        <v>214.69264928416504</v>
      </c>
      <c r="C57" s="484">
        <v>507.12139892578125</v>
      </c>
      <c r="D57" s="485">
        <v>75.477897644042969</v>
      </c>
      <c r="E57" s="485"/>
      <c r="F57" s="485"/>
      <c r="G57" s="485"/>
      <c r="H57" s="485"/>
      <c r="I57" s="485"/>
      <c r="J57" s="485"/>
      <c r="K57" s="485"/>
      <c r="L57" s="485"/>
    </row>
    <row r="58" spans="1:12">
      <c r="A58" s="548">
        <v>85.536842048168182</v>
      </c>
      <c r="B58" s="484">
        <v>164.64657828684634</v>
      </c>
      <c r="C58" s="484">
        <v>541.38995361328125</v>
      </c>
      <c r="D58" s="485">
        <v>62.395790100097656</v>
      </c>
      <c r="E58" s="485"/>
      <c r="F58" s="485"/>
      <c r="G58" s="485"/>
      <c r="H58" s="485"/>
      <c r="I58" s="485"/>
      <c r="J58" s="485"/>
      <c r="K58" s="485"/>
      <c r="L58" s="485"/>
    </row>
    <row r="59" spans="1:12">
      <c r="A59" s="548">
        <v>80.505262315273285</v>
      </c>
      <c r="B59" s="484">
        <v>141.21928034839218</v>
      </c>
      <c r="C59" s="484">
        <v>558.24517822265625</v>
      </c>
      <c r="D59" s="485">
        <v>51.111576080322266</v>
      </c>
      <c r="E59" s="485"/>
      <c r="F59" s="485"/>
      <c r="G59" s="485"/>
      <c r="H59" s="485"/>
      <c r="I59" s="485"/>
      <c r="J59" s="485"/>
      <c r="K59" s="485"/>
      <c r="L59" s="485"/>
    </row>
    <row r="60" spans="1:12">
      <c r="A60" s="548">
        <v>70.442104339599609</v>
      </c>
      <c r="B60" s="484">
        <v>126.85496346221927</v>
      </c>
      <c r="C60" s="484">
        <v>578.217041015625</v>
      </c>
      <c r="D60" s="485">
        <v>33.751575469970703</v>
      </c>
      <c r="E60" s="485"/>
      <c r="F60" s="485"/>
      <c r="G60" s="485"/>
      <c r="H60" s="485"/>
      <c r="I60" s="485"/>
      <c r="J60" s="485"/>
      <c r="K60" s="485"/>
      <c r="L60" s="485"/>
    </row>
    <row r="61" spans="1:12">
      <c r="A61" s="548">
        <v>60.378947854042053</v>
      </c>
      <c r="B61" s="484">
        <v>121.39413986657348</v>
      </c>
      <c r="C61" s="484">
        <v>592.8525390625</v>
      </c>
      <c r="D61" s="485">
        <v>22.416843414306641</v>
      </c>
      <c r="E61" s="485"/>
      <c r="F61" s="485"/>
      <c r="G61" s="485"/>
      <c r="H61" s="485"/>
      <c r="I61" s="485"/>
      <c r="J61" s="485"/>
      <c r="K61" s="485"/>
      <c r="L61" s="485"/>
    </row>
    <row r="62" spans="1:12">
      <c r="A62" s="548">
        <v>50.315788388252258</v>
      </c>
      <c r="B62" s="484">
        <v>118.70072184865019</v>
      </c>
      <c r="C62" s="484">
        <v>605.2913818359375</v>
      </c>
      <c r="D62" s="485">
        <v>14.252630233764648</v>
      </c>
      <c r="E62" s="485"/>
      <c r="F62" s="485"/>
      <c r="G62" s="485"/>
      <c r="H62" s="485"/>
      <c r="I62" s="485"/>
      <c r="J62" s="485"/>
      <c r="K62" s="485"/>
      <c r="L62" s="485"/>
    </row>
    <row r="63" spans="1:12">
      <c r="A63" s="548">
        <v>40.252631902694702</v>
      </c>
      <c r="B63" s="484">
        <v>117.14160493694172</v>
      </c>
      <c r="C63" s="484">
        <v>616.116455078125</v>
      </c>
      <c r="D63" s="485">
        <v>8.1515789031982422</v>
      </c>
      <c r="E63" s="485"/>
      <c r="F63" s="485"/>
      <c r="G63" s="485"/>
      <c r="H63" s="485"/>
      <c r="I63" s="485"/>
      <c r="J63" s="485"/>
      <c r="K63" s="485"/>
      <c r="L63" s="485"/>
    </row>
    <row r="64" spans="1:12">
      <c r="A64" s="548">
        <v>30.189472436904907</v>
      </c>
      <c r="B64" s="484">
        <v>116.16886179598197</v>
      </c>
      <c r="C64" s="484">
        <v>625.19488525390625</v>
      </c>
      <c r="D64" s="485">
        <v>6.0378942489624023</v>
      </c>
      <c r="E64" s="485"/>
      <c r="F64" s="485"/>
      <c r="G64" s="485"/>
      <c r="H64" s="485"/>
      <c r="I64" s="485"/>
      <c r="J64" s="485"/>
      <c r="K64" s="485"/>
      <c r="L64" s="485"/>
    </row>
    <row r="65" spans="1:12">
      <c r="A65" s="548">
        <v>20.126312971115112</v>
      </c>
      <c r="B65" s="484">
        <v>115.56814058213389</v>
      </c>
      <c r="C65" s="484">
        <v>632.91131591796875</v>
      </c>
      <c r="D65" s="485">
        <v>7.9747371673583984</v>
      </c>
      <c r="E65" s="485"/>
      <c r="F65" s="485"/>
      <c r="G65" s="485"/>
      <c r="H65" s="485"/>
      <c r="I65" s="485"/>
      <c r="J65" s="485"/>
      <c r="K65" s="485"/>
      <c r="L65" s="485"/>
    </row>
    <row r="66" spans="1:12">
      <c r="A66" s="548">
        <v>10.063159465789795</v>
      </c>
      <c r="B66" s="484">
        <v>115.20504052509541</v>
      </c>
      <c r="C66" s="484">
        <v>639.3201904296875</v>
      </c>
      <c r="D66" s="485">
        <v>14.955788612365723</v>
      </c>
      <c r="E66" s="485"/>
      <c r="F66" s="485"/>
      <c r="G66" s="485"/>
      <c r="H66" s="485"/>
      <c r="I66" s="485"/>
      <c r="J66" s="485"/>
      <c r="K66" s="485"/>
      <c r="L66" s="485"/>
    </row>
    <row r="67" spans="1:12">
      <c r="A67" s="549">
        <v>0</v>
      </c>
      <c r="B67" s="484">
        <v>115</v>
      </c>
      <c r="C67" s="484">
        <v>644.82763671875</v>
      </c>
      <c r="D67" s="485">
        <v>30</v>
      </c>
      <c r="E67" s="485"/>
      <c r="F67" s="485"/>
      <c r="G67" s="485"/>
      <c r="H67" s="485"/>
      <c r="I67" s="485"/>
      <c r="J67" s="485"/>
      <c r="K67" s="485"/>
      <c r="L67" s="485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J18" sqref="J18"/>
    </sheetView>
  </sheetViews>
  <sheetFormatPr defaultRowHeight="12.75"/>
  <cols>
    <col min="1" max="6" width="16.7109375" style="498" customWidth="1"/>
    <col min="7" max="16384" width="9.140625" style="498"/>
  </cols>
  <sheetData>
    <row r="1" spans="1:6" ht="18.95" customHeight="1">
      <c r="A1" s="520"/>
      <c r="B1" s="521"/>
      <c r="C1" s="521"/>
      <c r="D1" s="521"/>
      <c r="E1" s="521"/>
      <c r="F1" s="522"/>
    </row>
    <row r="2" spans="1:6" ht="26.1" customHeight="1">
      <c r="A2" s="523" t="s">
        <v>268</v>
      </c>
      <c r="B2" s="524"/>
      <c r="C2" s="524"/>
      <c r="D2" s="524"/>
      <c r="E2" s="524"/>
      <c r="F2" s="525"/>
    </row>
    <row r="3" spans="1:6" ht="18.95" customHeight="1">
      <c r="A3" s="550" t="s">
        <v>592</v>
      </c>
      <c r="B3" s="551"/>
      <c r="C3" s="551"/>
      <c r="D3" s="551"/>
      <c r="E3" s="551"/>
      <c r="F3" s="552"/>
    </row>
    <row r="4" spans="1:6" ht="18.95" customHeight="1">
      <c r="A4" s="553" t="s">
        <v>593</v>
      </c>
      <c r="B4" s="554"/>
      <c r="C4" s="554"/>
      <c r="D4" s="554"/>
      <c r="E4" s="554"/>
      <c r="F4" s="555"/>
    </row>
    <row r="5" spans="1:6" ht="18.95" customHeight="1">
      <c r="A5" s="527"/>
      <c r="B5" s="528"/>
      <c r="C5" s="528"/>
      <c r="D5" s="528"/>
      <c r="E5" s="528"/>
      <c r="F5" s="529"/>
    </row>
    <row r="6" spans="1:6" ht="18.95" customHeight="1">
      <c r="A6" s="530" t="s">
        <v>569</v>
      </c>
      <c r="B6" s="531" t="str">
        <f>'Performance Data Sheet'!C17</f>
        <v>GP-10017208</v>
      </c>
      <c r="C6" s="532"/>
      <c r="D6" s="533"/>
      <c r="E6" s="530" t="s">
        <v>570</v>
      </c>
      <c r="F6" s="534">
        <f>'Performance Data Sheet'!I14</f>
        <v>58</v>
      </c>
    </row>
    <row r="7" spans="1:6" ht="18.95" customHeight="1">
      <c r="A7" s="530" t="s">
        <v>571</v>
      </c>
      <c r="B7" s="534" t="str">
        <f>'Performance Data Sheet'!F14</f>
        <v>TEFC</v>
      </c>
      <c r="C7" s="530" t="s">
        <v>572</v>
      </c>
      <c r="D7" s="534" t="str">
        <f>'Performance Data Sheet'!F13 &amp; " V"</f>
        <v>4000 V</v>
      </c>
      <c r="E7" s="530" t="s">
        <v>573</v>
      </c>
      <c r="F7" s="534" t="str">
        <f>'Performance Data Sheet'!C14</f>
        <v>5011US</v>
      </c>
    </row>
    <row r="8" spans="1:6" ht="18.95" customHeight="1">
      <c r="A8" s="530" t="s">
        <v>574</v>
      </c>
      <c r="B8" s="534">
        <v>6</v>
      </c>
      <c r="C8" s="530" t="s">
        <v>575</v>
      </c>
      <c r="D8" s="534" t="s">
        <v>576</v>
      </c>
      <c r="E8" s="530" t="s">
        <v>577</v>
      </c>
      <c r="F8" s="534" t="str">
        <f>'Performance Data Sheet'!M15</f>
        <v>F</v>
      </c>
    </row>
    <row r="9" spans="1:6" ht="18.95" customHeight="1">
      <c r="A9" s="530" t="s">
        <v>578</v>
      </c>
      <c r="B9" s="534">
        <f>'Performance Data Sheet'!C13</f>
        <v>450</v>
      </c>
      <c r="C9" s="530" t="s">
        <v>579</v>
      </c>
      <c r="D9" s="534" t="s">
        <v>589</v>
      </c>
      <c r="E9" s="530" t="s">
        <v>2</v>
      </c>
      <c r="F9" s="535">
        <f>'Performance Data Sheet'!K44</f>
        <v>43493</v>
      </c>
    </row>
    <row r="10" spans="1:6" ht="18.95" customHeight="1">
      <c r="A10" s="530" t="s">
        <v>580</v>
      </c>
      <c r="B10" s="534">
        <f>'Performance Data Sheet'!M14</f>
        <v>1180</v>
      </c>
      <c r="C10" s="530" t="s">
        <v>400</v>
      </c>
      <c r="D10" s="534" t="s">
        <v>590</v>
      </c>
      <c r="E10" s="530" t="s">
        <v>1</v>
      </c>
      <c r="F10" s="534" t="s">
        <v>379</v>
      </c>
    </row>
    <row r="11" spans="1:6" ht="18.95" customHeight="1">
      <c r="A11" s="527"/>
      <c r="B11" s="528"/>
      <c r="C11" s="528"/>
      <c r="D11" s="528"/>
      <c r="E11" s="528"/>
      <c r="F11" s="529"/>
    </row>
    <row r="12" spans="1:6" ht="18.95" customHeight="1">
      <c r="A12" s="527"/>
      <c r="B12" s="536"/>
      <c r="C12" s="537" t="str">
        <f>'Performance Data Sheet'!D22 &amp; " A"</f>
        <v>374 A</v>
      </c>
      <c r="D12" s="536"/>
      <c r="E12" s="537"/>
      <c r="F12" s="529"/>
    </row>
    <row r="13" spans="1:6" ht="18.95" customHeight="1">
      <c r="A13" s="527"/>
      <c r="B13" s="536"/>
      <c r="C13" s="538">
        <f>'Performance Data Sheet'!H23/100</f>
        <v>1.1499999999999999</v>
      </c>
      <c r="D13" s="536"/>
      <c r="E13" s="537"/>
      <c r="F13" s="529"/>
    </row>
    <row r="14" spans="1:6" ht="18.95" customHeight="1">
      <c r="A14" s="527"/>
      <c r="B14" s="536"/>
      <c r="C14" s="538"/>
      <c r="D14" s="536"/>
      <c r="E14" s="537"/>
      <c r="F14" s="529"/>
    </row>
    <row r="15" spans="1:6" ht="18.95" customHeight="1">
      <c r="A15" s="527"/>
      <c r="B15" s="536"/>
      <c r="C15" s="537" t="str">
        <f>'Performance Data Sheet'!H22 &amp; " lb-ft"</f>
        <v>2003 lb-ft</v>
      </c>
      <c r="D15" s="528"/>
      <c r="E15" s="528"/>
      <c r="F15" s="529"/>
    </row>
    <row r="16" spans="1:6" ht="18.95" customHeight="1">
      <c r="A16" s="527"/>
      <c r="B16" s="528"/>
      <c r="C16" s="528"/>
      <c r="D16" s="528"/>
      <c r="E16" s="528"/>
      <c r="F16" s="529"/>
    </row>
    <row r="17" spans="1:6" ht="18.95" customHeight="1">
      <c r="A17" s="527"/>
      <c r="B17" s="528"/>
      <c r="C17" s="528"/>
      <c r="D17" s="528"/>
      <c r="E17" s="528"/>
      <c r="F17" s="529"/>
    </row>
    <row r="18" spans="1:6" ht="18.95" customHeight="1">
      <c r="A18" s="527"/>
      <c r="B18" s="528"/>
      <c r="C18" s="528"/>
      <c r="D18" s="528"/>
      <c r="E18" s="528"/>
      <c r="F18" s="529"/>
    </row>
    <row r="19" spans="1:6" ht="18.95" customHeight="1">
      <c r="A19" s="527"/>
      <c r="B19" s="528"/>
      <c r="C19" s="528"/>
      <c r="D19" s="528"/>
      <c r="E19" s="528"/>
      <c r="F19" s="529"/>
    </row>
    <row r="20" spans="1:6" ht="18.95" customHeight="1">
      <c r="A20" s="527"/>
      <c r="B20" s="528"/>
      <c r="C20" s="528"/>
      <c r="D20" s="528"/>
      <c r="E20" s="528"/>
      <c r="F20" s="529"/>
    </row>
    <row r="21" spans="1:6" ht="18.95" customHeight="1">
      <c r="A21" s="527"/>
      <c r="B21" s="528"/>
      <c r="C21" s="528"/>
      <c r="D21" s="528"/>
      <c r="E21" s="528"/>
      <c r="F21" s="529"/>
    </row>
    <row r="22" spans="1:6" ht="18.95" customHeight="1">
      <c r="A22" s="527"/>
      <c r="B22" s="528"/>
      <c r="C22" s="528"/>
      <c r="D22" s="528"/>
      <c r="E22" s="528"/>
      <c r="F22" s="529"/>
    </row>
    <row r="23" spans="1:6" ht="18.95" customHeight="1">
      <c r="A23" s="527"/>
      <c r="B23" s="528"/>
      <c r="C23" s="528"/>
      <c r="D23" s="528"/>
      <c r="E23" s="528"/>
      <c r="F23" s="529"/>
    </row>
    <row r="24" spans="1:6" ht="18.95" customHeight="1">
      <c r="A24" s="527"/>
      <c r="B24" s="528"/>
      <c r="C24" s="528"/>
      <c r="D24" s="528"/>
      <c r="E24" s="528"/>
      <c r="F24" s="529"/>
    </row>
    <row r="25" spans="1:6" ht="18.95" customHeight="1">
      <c r="A25" s="527"/>
      <c r="B25" s="528"/>
      <c r="C25" s="528"/>
      <c r="D25" s="528"/>
      <c r="E25" s="528"/>
      <c r="F25" s="529"/>
    </row>
    <row r="26" spans="1:6" ht="18.95" customHeight="1">
      <c r="A26" s="527"/>
      <c r="B26" s="528"/>
      <c r="C26" s="528"/>
      <c r="D26" s="528"/>
      <c r="E26" s="528"/>
      <c r="F26" s="529"/>
    </row>
    <row r="27" spans="1:6" ht="18.95" customHeight="1">
      <c r="A27" s="527"/>
      <c r="B27" s="528"/>
      <c r="C27" s="528"/>
      <c r="D27" s="528"/>
      <c r="E27" s="528"/>
      <c r="F27" s="529"/>
    </row>
    <row r="28" spans="1:6" ht="18.95" customHeight="1">
      <c r="A28" s="527"/>
      <c r="B28" s="528"/>
      <c r="C28" s="528"/>
      <c r="D28" s="528"/>
      <c r="E28" s="528"/>
      <c r="F28" s="529"/>
    </row>
    <row r="29" spans="1:6" ht="18.95" customHeight="1">
      <c r="A29" s="527"/>
      <c r="B29" s="528"/>
      <c r="C29" s="528"/>
      <c r="D29" s="528"/>
      <c r="E29" s="528"/>
      <c r="F29" s="529"/>
    </row>
    <row r="30" spans="1:6" ht="18.95" customHeight="1">
      <c r="A30" s="527"/>
      <c r="B30" s="528"/>
      <c r="C30" s="528"/>
      <c r="D30" s="528"/>
      <c r="E30" s="528"/>
      <c r="F30" s="529"/>
    </row>
    <row r="31" spans="1:6" ht="18.95" customHeight="1">
      <c r="A31" s="527"/>
      <c r="B31" s="528"/>
      <c r="C31" s="528"/>
      <c r="D31" s="528"/>
      <c r="E31" s="528"/>
      <c r="F31" s="529"/>
    </row>
    <row r="32" spans="1:6" ht="18.95" customHeight="1">
      <c r="A32" s="527"/>
      <c r="B32" s="528"/>
      <c r="C32" s="528"/>
      <c r="D32" s="528"/>
      <c r="E32" s="528"/>
      <c r="F32" s="529"/>
    </row>
    <row r="33" spans="1:6" ht="18.95" customHeight="1">
      <c r="A33" s="527"/>
      <c r="B33" s="528"/>
      <c r="C33" s="528"/>
      <c r="D33" s="528"/>
      <c r="E33" s="528"/>
      <c r="F33" s="529"/>
    </row>
    <row r="34" spans="1:6" ht="18.95" customHeight="1">
      <c r="A34" s="527"/>
      <c r="B34" s="528"/>
      <c r="C34" s="528"/>
      <c r="D34" s="528"/>
      <c r="E34" s="528"/>
      <c r="F34" s="529"/>
    </row>
    <row r="35" spans="1:6" ht="18.95" customHeight="1">
      <c r="A35" s="527"/>
      <c r="B35" s="528"/>
      <c r="C35" s="528"/>
      <c r="D35" s="528"/>
      <c r="E35" s="528"/>
      <c r="F35" s="529"/>
    </row>
    <row r="36" spans="1:6" ht="18.95" customHeight="1">
      <c r="A36" s="527"/>
      <c r="B36" s="528"/>
      <c r="C36" s="528"/>
      <c r="D36" s="528"/>
      <c r="E36" s="528"/>
      <c r="F36" s="529"/>
    </row>
    <row r="37" spans="1:6" ht="18.95" customHeight="1">
      <c r="A37" s="527"/>
      <c r="B37" s="528"/>
      <c r="C37" s="528"/>
      <c r="D37" s="528"/>
      <c r="E37" s="528"/>
      <c r="F37" s="529"/>
    </row>
    <row r="38" spans="1:6" ht="18.95" customHeight="1">
      <c r="A38" s="527"/>
      <c r="B38" s="528"/>
      <c r="C38" s="528"/>
      <c r="D38" s="528"/>
      <c r="E38" s="528"/>
      <c r="F38" s="529"/>
    </row>
    <row r="39" spans="1:6" ht="18.95" customHeight="1">
      <c r="A39" s="539" t="s">
        <v>585</v>
      </c>
      <c r="B39" s="540" t="s">
        <v>370</v>
      </c>
      <c r="C39" s="685" t="str">
        <f>'Performance Data Sheet'!C10</f>
        <v>2118593.1</v>
      </c>
      <c r="D39" s="528"/>
      <c r="E39" s="536" t="s">
        <v>586</v>
      </c>
      <c r="F39" s="541" t="str">
        <f>F10</f>
        <v>CF6450</v>
      </c>
    </row>
    <row r="40" spans="1:6" ht="18.95" customHeight="1">
      <c r="A40" s="527"/>
      <c r="B40" s="540"/>
      <c r="C40" s="540"/>
      <c r="D40" s="528"/>
      <c r="E40" s="528"/>
      <c r="F40" s="529"/>
    </row>
    <row r="41" spans="1:6" ht="18.95" customHeight="1">
      <c r="A41" s="527"/>
      <c r="B41" s="540"/>
      <c r="C41" s="540"/>
      <c r="D41" s="528"/>
      <c r="E41" s="528"/>
      <c r="F41" s="529"/>
    </row>
    <row r="42" spans="1:6" ht="18.95" customHeight="1">
      <c r="A42" s="527"/>
      <c r="B42" s="528"/>
      <c r="C42" s="528"/>
      <c r="D42" s="528"/>
      <c r="E42" s="528"/>
      <c r="F42" s="529"/>
    </row>
    <row r="43" spans="1:6" ht="18.95" customHeight="1">
      <c r="A43" s="542"/>
      <c r="B43" s="540"/>
      <c r="C43" s="543" t="s">
        <v>587</v>
      </c>
      <c r="D43" s="544" t="str">
        <f>'Performance Data Sheet'!K42</f>
        <v>Zichao Xie</v>
      </c>
      <c r="E43" s="543" t="s">
        <v>588</v>
      </c>
      <c r="F43" s="54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556" t="e">
        <f>5252.1*B50/D53</f>
        <v>#DIV/0!</v>
      </c>
      <c r="G50" s="556"/>
    </row>
    <row r="51" spans="6:9" ht="15" customHeight="1">
      <c r="G51" s="557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558"/>
    </row>
    <row r="63" spans="6:9">
      <c r="I63" s="559" t="s">
        <v>39</v>
      </c>
    </row>
    <row r="64" spans="6:9">
      <c r="I64" s="559"/>
    </row>
    <row r="65" spans="1:9">
      <c r="I65" s="559"/>
    </row>
    <row r="66" spans="1:9">
      <c r="D66" s="556" t="e">
        <f>D65/D64</f>
        <v>#DIV/0!</v>
      </c>
    </row>
    <row r="67" spans="1:9">
      <c r="A67" s="560" t="s">
        <v>395</v>
      </c>
      <c r="B67" s="560" t="s">
        <v>594</v>
      </c>
      <c r="C67" s="560" t="s">
        <v>595</v>
      </c>
      <c r="E67" s="560" t="s">
        <v>596</v>
      </c>
      <c r="F67" s="560" t="s">
        <v>597</v>
      </c>
    </row>
    <row r="68" spans="1:9">
      <c r="A68" s="561">
        <v>644.82758620689651</v>
      </c>
      <c r="B68" s="562">
        <v>35</v>
      </c>
      <c r="C68" s="562">
        <v>15</v>
      </c>
      <c r="E68" s="561">
        <f>A68</f>
        <v>644.82758620689651</v>
      </c>
      <c r="F68" s="562">
        <v>1E-4</v>
      </c>
    </row>
    <row r="69" spans="1:9">
      <c r="A69" s="561">
        <v>580.55815172413793</v>
      </c>
      <c r="B69" s="562">
        <f>((A68/A69)^2)*B68</f>
        <v>43.178127730009578</v>
      </c>
      <c r="C69" s="562">
        <f>((A68/A69)^2)*C68</f>
        <v>18.504911884289818</v>
      </c>
      <c r="E69" s="561">
        <v>642.06896551724139</v>
      </c>
      <c r="F69" s="562">
        <v>1.0470000505447388</v>
      </c>
    </row>
    <row r="70" spans="1:9">
      <c r="A70" s="561">
        <v>516.26943448275858</v>
      </c>
      <c r="B70" s="562">
        <f>((A68/A70)^2)*B68</f>
        <v>54.601231044219539</v>
      </c>
      <c r="C70" s="562">
        <f>((A68/A70)^2)*C68</f>
        <v>23.400527590379802</v>
      </c>
      <c r="E70" s="561">
        <v>636.0344827586207</v>
      </c>
      <c r="F70" s="562">
        <v>1.9800000190734863</v>
      </c>
    </row>
    <row r="71" spans="1:9">
      <c r="A71" s="561">
        <v>452</v>
      </c>
      <c r="B71" s="562">
        <f>((A68/A71)^2)*B68</f>
        <v>71.232533663900085</v>
      </c>
      <c r="C71" s="562">
        <f>((A68/A71)^2)*C68</f>
        <v>30.528228713100034</v>
      </c>
      <c r="E71" s="561">
        <v>629.13793103448279</v>
      </c>
      <c r="F71" s="562">
        <v>2.8700001239776611</v>
      </c>
    </row>
    <row r="72" spans="1:9">
      <c r="A72" s="561">
        <f>A71-100</f>
        <v>352</v>
      </c>
      <c r="B72" s="562">
        <f>((A68/A72)^2)*B68</f>
        <v>117.45457416765754</v>
      </c>
      <c r="C72" s="562"/>
      <c r="E72" s="561">
        <v>620.68965517241384</v>
      </c>
      <c r="F72" s="562">
        <v>3.755000114440918</v>
      </c>
    </row>
    <row r="73" spans="1:9">
      <c r="A73" s="561">
        <f>A72-100</f>
        <v>252</v>
      </c>
      <c r="B73" s="562">
        <f>((A68/A73)^2)*B68</f>
        <v>229.16810842890905</v>
      </c>
      <c r="C73" s="562"/>
      <c r="E73" s="561">
        <v>610.68965517241384</v>
      </c>
      <c r="F73" s="562">
        <v>4.6640000343322754</v>
      </c>
    </row>
    <row r="74" spans="1:9">
      <c r="A74" s="561">
        <v>295</v>
      </c>
      <c r="B74" s="562">
        <f>((A68/A74)^2)*B68</f>
        <v>167.22886018580226</v>
      </c>
      <c r="C74" s="562">
        <f>((A68/A74)^2)*C68</f>
        <v>71.669511508200969</v>
      </c>
      <c r="E74" s="561">
        <v>599.13793103448279</v>
      </c>
      <c r="F74" s="562">
        <v>5.6170001029968262</v>
      </c>
    </row>
    <row r="75" spans="1:9">
      <c r="A75" s="563">
        <v>180</v>
      </c>
      <c r="B75" s="562">
        <f>((A68/A75)^2)*B69</f>
        <v>554.12279201373462</v>
      </c>
      <c r="C75" s="562">
        <f>((A68/A75)^2)*C68</f>
        <v>192.50121108028355</v>
      </c>
      <c r="E75" s="561">
        <v>585.51724137931035</v>
      </c>
      <c r="F75" s="562">
        <v>6.6270003318786621</v>
      </c>
    </row>
    <row r="76" spans="1:9">
      <c r="A76" s="563">
        <v>145</v>
      </c>
      <c r="B76" s="562">
        <f>((A68/A76)^2)*B68</f>
        <v>692.18033567987811</v>
      </c>
      <c r="C76" s="562">
        <f>((A68/A76)^2)*C68</f>
        <v>296.64871529137633</v>
      </c>
      <c r="E76" s="561">
        <v>568.27586206896547</v>
      </c>
      <c r="F76" s="562">
        <v>7.6850004196166992</v>
      </c>
    </row>
    <row r="77" spans="1:9">
      <c r="A77" s="563">
        <v>125</v>
      </c>
      <c r="B77" s="562"/>
      <c r="C77" s="561">
        <f>CEILING(C76*2,100)</f>
        <v>600</v>
      </c>
      <c r="E77" s="561">
        <v>549.82758620689651</v>
      </c>
      <c r="F77" s="562">
        <v>8.189000129699707</v>
      </c>
    </row>
    <row r="78" spans="1:9">
      <c r="A78" s="563">
        <v>125</v>
      </c>
      <c r="B78" s="562"/>
      <c r="C78" s="561">
        <f>2*C77</f>
        <v>1200</v>
      </c>
      <c r="E78" s="561">
        <v>524.31034482758628</v>
      </c>
      <c r="F78" s="562">
        <v>8.5910005569458008</v>
      </c>
    </row>
    <row r="79" spans="1:9">
      <c r="A79" s="563">
        <v>125</v>
      </c>
      <c r="B79" s="563"/>
      <c r="C79" s="563">
        <v>10000</v>
      </c>
      <c r="E79" s="561">
        <v>454.82758620689657</v>
      </c>
      <c r="F79" s="562">
        <v>8.8720006942749023</v>
      </c>
    </row>
    <row r="80" spans="1:9">
      <c r="E80" s="561">
        <f>A74</f>
        <v>295</v>
      </c>
      <c r="F80" s="562">
        <v>9.1690006256103516</v>
      </c>
    </row>
    <row r="81" spans="5:6">
      <c r="E81" s="561">
        <f>A77</f>
        <v>125</v>
      </c>
      <c r="F81" s="562">
        <v>9.2380008697509766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workbookViewId="0">
      <selection activeCell="Q19" sqref="Q19"/>
    </sheetView>
  </sheetViews>
  <sheetFormatPr defaultRowHeight="12.75"/>
  <cols>
    <col min="1" max="6" width="16.7109375" style="498" customWidth="1"/>
    <col min="7" max="16384" width="9.140625" style="498"/>
  </cols>
  <sheetData>
    <row r="1" spans="1:6" ht="18.95" customHeight="1">
      <c r="A1" s="520"/>
      <c r="B1" s="521"/>
      <c r="C1" s="521"/>
      <c r="D1" s="521"/>
      <c r="E1" s="521"/>
      <c r="F1" s="522"/>
    </row>
    <row r="2" spans="1:6" ht="26.1" customHeight="1">
      <c r="A2" s="523" t="s">
        <v>268</v>
      </c>
      <c r="B2" s="524"/>
      <c r="C2" s="524"/>
      <c r="D2" s="524"/>
      <c r="E2" s="524"/>
      <c r="F2" s="525"/>
    </row>
    <row r="3" spans="1:6" ht="18.95" customHeight="1">
      <c r="A3" s="526" t="s">
        <v>598</v>
      </c>
      <c r="B3" s="524"/>
      <c r="C3" s="524"/>
      <c r="D3" s="524"/>
      <c r="E3" s="524"/>
      <c r="F3" s="525"/>
    </row>
    <row r="4" spans="1:6" ht="18.95" customHeight="1">
      <c r="A4" s="553" t="s">
        <v>593</v>
      </c>
      <c r="B4" s="554"/>
      <c r="C4" s="554"/>
      <c r="D4" s="554"/>
      <c r="E4" s="554"/>
      <c r="F4" s="555"/>
    </row>
    <row r="5" spans="1:6" ht="18.95" customHeight="1">
      <c r="A5" s="527"/>
      <c r="B5" s="528"/>
      <c r="C5" s="528"/>
      <c r="D5" s="528"/>
      <c r="E5" s="528"/>
      <c r="F5" s="529"/>
    </row>
    <row r="6" spans="1:6" ht="18.95" customHeight="1">
      <c r="A6" s="530" t="s">
        <v>569</v>
      </c>
      <c r="B6" s="531" t="str">
        <f>'Performance Data Sheet'!C17</f>
        <v>GP-10017208</v>
      </c>
      <c r="C6" s="532"/>
      <c r="D6" s="533"/>
      <c r="E6" s="530" t="s">
        <v>570</v>
      </c>
      <c r="F6" s="534">
        <f>'Performance Data Sheet'!I14</f>
        <v>58</v>
      </c>
    </row>
    <row r="7" spans="1:6" ht="18.95" customHeight="1">
      <c r="A7" s="530" t="s">
        <v>571</v>
      </c>
      <c r="B7" s="534" t="str">
        <f>'Performance Data Sheet'!F14</f>
        <v>TEFC</v>
      </c>
      <c r="C7" s="530" t="s">
        <v>572</v>
      </c>
      <c r="D7" s="534" t="str">
        <f>'Performance Data Sheet'!F13 &amp; " V"</f>
        <v>4000 V</v>
      </c>
      <c r="E7" s="530" t="s">
        <v>573</v>
      </c>
      <c r="F7" s="534" t="str">
        <f>'Performance Data Sheet'!C14</f>
        <v>5011US</v>
      </c>
    </row>
    <row r="8" spans="1:6" ht="18.95" customHeight="1">
      <c r="A8" s="530" t="s">
        <v>574</v>
      </c>
      <c r="B8" s="534">
        <v>6</v>
      </c>
      <c r="C8" s="530" t="s">
        <v>575</v>
      </c>
      <c r="D8" s="534" t="s">
        <v>576</v>
      </c>
      <c r="E8" s="530" t="s">
        <v>577</v>
      </c>
      <c r="F8" s="534" t="str">
        <f>'Performance Data Sheet'!M15</f>
        <v>F</v>
      </c>
    </row>
    <row r="9" spans="1:6" ht="18.95" customHeight="1">
      <c r="A9" s="530" t="s">
        <v>578</v>
      </c>
      <c r="B9" s="534">
        <f>'Performance Data Sheet'!C13</f>
        <v>450</v>
      </c>
      <c r="C9" s="530" t="s">
        <v>579</v>
      </c>
      <c r="D9" s="534" t="s">
        <v>589</v>
      </c>
      <c r="E9" s="530" t="s">
        <v>2</v>
      </c>
      <c r="F9" s="535">
        <f>'Performance Data Sheet'!K44</f>
        <v>43493</v>
      </c>
    </row>
    <row r="10" spans="1:6" ht="18.95" customHeight="1">
      <c r="A10" s="530" t="s">
        <v>580</v>
      </c>
      <c r="B10" s="534">
        <f>'Performance Data Sheet'!M14</f>
        <v>1180</v>
      </c>
      <c r="C10" s="530" t="s">
        <v>400</v>
      </c>
      <c r="D10" s="534" t="s">
        <v>590</v>
      </c>
      <c r="E10" s="530" t="s">
        <v>1</v>
      </c>
      <c r="F10" s="534" t="s">
        <v>379</v>
      </c>
    </row>
    <row r="11" spans="1:6" ht="18.95" customHeight="1">
      <c r="A11" s="527"/>
      <c r="B11" s="528"/>
      <c r="C11" s="528"/>
      <c r="D11" s="528"/>
      <c r="E11" s="528"/>
      <c r="F11" s="529"/>
    </row>
    <row r="12" spans="1:6" ht="18.95" customHeight="1">
      <c r="A12" s="527"/>
      <c r="B12" s="536" t="s">
        <v>581</v>
      </c>
      <c r="C12" s="537" t="str">
        <f>'Performance Data Sheet'!D22 &amp; " A"</f>
        <v>374 A</v>
      </c>
      <c r="D12" s="536" t="s">
        <v>399</v>
      </c>
      <c r="E12" s="537" t="s">
        <v>403</v>
      </c>
      <c r="F12" s="529"/>
    </row>
    <row r="13" spans="1:6" ht="18.95" customHeight="1">
      <c r="A13" s="527"/>
      <c r="B13" s="536" t="s">
        <v>582</v>
      </c>
      <c r="C13" s="538">
        <f>'Performance Data Sheet'!H23/100</f>
        <v>1.1499999999999999</v>
      </c>
      <c r="D13" s="536" t="s">
        <v>583</v>
      </c>
      <c r="E13" s="537" t="s">
        <v>591</v>
      </c>
      <c r="F13" s="529"/>
    </row>
    <row r="14" spans="1:6" ht="18.95" customHeight="1">
      <c r="A14" s="527"/>
      <c r="B14" s="536" t="s">
        <v>584</v>
      </c>
      <c r="C14" s="538">
        <v>2.95</v>
      </c>
      <c r="D14" s="536" t="s">
        <v>401</v>
      </c>
      <c r="E14" s="537" t="s">
        <v>406</v>
      </c>
      <c r="F14" s="529"/>
    </row>
    <row r="15" spans="1:6" ht="18.95" customHeight="1">
      <c r="A15" s="527"/>
      <c r="B15" s="536" t="s">
        <v>402</v>
      </c>
      <c r="C15" s="537" t="str">
        <f>'Performance Data Sheet'!H22 &amp; " lb-ft"</f>
        <v>2003 lb-ft</v>
      </c>
      <c r="D15" s="528"/>
      <c r="E15" s="528"/>
      <c r="F15" s="529"/>
    </row>
    <row r="16" spans="1:6" ht="18.95" customHeight="1">
      <c r="A16" s="527"/>
      <c r="B16" s="528"/>
      <c r="C16" s="528"/>
      <c r="D16" s="528"/>
      <c r="E16" s="528"/>
      <c r="F16" s="529"/>
    </row>
    <row r="17" spans="1:8" ht="18.95" customHeight="1">
      <c r="A17" s="527"/>
      <c r="B17" s="528"/>
      <c r="C17" s="528"/>
      <c r="D17" s="528"/>
      <c r="E17" s="528"/>
      <c r="F17" s="529"/>
    </row>
    <row r="18" spans="1:8" ht="18.95" customHeight="1">
      <c r="A18" s="527"/>
      <c r="B18" s="528"/>
      <c r="C18" s="528"/>
      <c r="D18" s="528"/>
      <c r="E18" s="528"/>
      <c r="F18" s="529"/>
    </row>
    <row r="19" spans="1:8" ht="18.95" customHeight="1">
      <c r="A19" s="527"/>
      <c r="B19" s="528"/>
      <c r="C19" s="528"/>
      <c r="D19" s="528"/>
      <c r="E19" s="528"/>
      <c r="F19" s="529"/>
    </row>
    <row r="20" spans="1:8" ht="18.95" customHeight="1">
      <c r="A20" s="527"/>
      <c r="B20" s="528"/>
      <c r="C20" s="528"/>
      <c r="D20" s="528"/>
      <c r="E20" s="528"/>
      <c r="F20" s="529"/>
    </row>
    <row r="21" spans="1:8" ht="18.95" customHeight="1">
      <c r="A21" s="527"/>
      <c r="B21" s="528"/>
      <c r="C21" s="528"/>
      <c r="D21" s="528"/>
      <c r="E21" s="528"/>
      <c r="F21" s="529"/>
    </row>
    <row r="22" spans="1:8" ht="18.95" customHeight="1">
      <c r="A22" s="527"/>
      <c r="B22" s="528"/>
      <c r="C22" s="528"/>
      <c r="D22" s="528"/>
      <c r="E22" s="528"/>
      <c r="F22" s="529"/>
    </row>
    <row r="23" spans="1:8" ht="18.95" customHeight="1">
      <c r="A23" s="527"/>
      <c r="B23" s="528"/>
      <c r="C23" s="528"/>
      <c r="D23" s="528"/>
      <c r="E23" s="528"/>
      <c r="F23" s="529"/>
    </row>
    <row r="24" spans="1:8" ht="18.95" customHeight="1">
      <c r="A24" s="527"/>
      <c r="B24" s="528"/>
      <c r="C24" s="528"/>
      <c r="D24" s="528"/>
      <c r="E24" s="528"/>
      <c r="F24" s="529"/>
      <c r="H24" s="564"/>
    </row>
    <row r="25" spans="1:8" ht="18.95" customHeight="1">
      <c r="A25" s="527"/>
      <c r="B25" s="528"/>
      <c r="C25" s="528"/>
      <c r="D25" s="528"/>
      <c r="E25" s="528"/>
      <c r="F25" s="529"/>
    </row>
    <row r="26" spans="1:8" ht="18.95" customHeight="1">
      <c r="A26" s="527"/>
      <c r="B26" s="528"/>
      <c r="C26" s="528"/>
      <c r="D26" s="528"/>
      <c r="E26" s="528"/>
      <c r="F26" s="529"/>
    </row>
    <row r="27" spans="1:8" ht="18.95" customHeight="1">
      <c r="A27" s="527"/>
      <c r="B27" s="528"/>
      <c r="C27" s="528"/>
      <c r="D27" s="528"/>
      <c r="E27" s="528"/>
      <c r="F27" s="529"/>
    </row>
    <row r="28" spans="1:8" ht="18.95" customHeight="1">
      <c r="A28" s="527"/>
      <c r="B28" s="528"/>
      <c r="C28" s="528"/>
      <c r="D28" s="528"/>
      <c r="E28" s="528"/>
      <c r="F28" s="529"/>
    </row>
    <row r="29" spans="1:8" ht="18.95" customHeight="1">
      <c r="A29" s="527"/>
      <c r="B29" s="528"/>
      <c r="C29" s="528"/>
      <c r="D29" s="528"/>
      <c r="E29" s="528"/>
      <c r="F29" s="529"/>
    </row>
    <row r="30" spans="1:8" ht="18.95" customHeight="1">
      <c r="A30" s="527"/>
      <c r="B30" s="528"/>
      <c r="C30" s="528"/>
      <c r="D30" s="528"/>
      <c r="E30" s="528"/>
      <c r="F30" s="529"/>
    </row>
    <row r="31" spans="1:8" ht="18.95" customHeight="1">
      <c r="A31" s="527"/>
      <c r="B31" s="528"/>
      <c r="C31" s="528"/>
      <c r="D31" s="528"/>
      <c r="E31" s="528"/>
      <c r="F31" s="529"/>
    </row>
    <row r="32" spans="1:8" ht="18.95" customHeight="1">
      <c r="A32" s="527"/>
      <c r="B32" s="528"/>
      <c r="C32" s="528"/>
      <c r="D32" s="528"/>
      <c r="E32" s="528"/>
      <c r="F32" s="529"/>
    </row>
    <row r="33" spans="1:6" ht="18.95" customHeight="1">
      <c r="A33" s="527"/>
      <c r="B33" s="528"/>
      <c r="C33" s="528"/>
      <c r="D33" s="528"/>
      <c r="E33" s="528"/>
      <c r="F33" s="529"/>
    </row>
    <row r="34" spans="1:6" ht="18.95" customHeight="1">
      <c r="A34" s="527"/>
      <c r="B34" s="528"/>
      <c r="C34" s="528"/>
      <c r="D34" s="528"/>
      <c r="E34" s="528"/>
      <c r="F34" s="529"/>
    </row>
    <row r="35" spans="1:6" ht="18.95" customHeight="1">
      <c r="A35" s="527"/>
      <c r="B35" s="528"/>
      <c r="C35" s="528"/>
      <c r="D35" s="528"/>
      <c r="E35" s="528"/>
      <c r="F35" s="529"/>
    </row>
    <row r="36" spans="1:6" ht="18.95" customHeight="1">
      <c r="A36" s="527"/>
      <c r="B36" s="528"/>
      <c r="C36" s="528"/>
      <c r="D36" s="528"/>
      <c r="E36" s="528"/>
      <c r="F36" s="529"/>
    </row>
    <row r="37" spans="1:6" ht="18.95" customHeight="1">
      <c r="A37" s="527"/>
      <c r="B37" s="528"/>
      <c r="C37" s="528"/>
      <c r="D37" s="528"/>
      <c r="E37" s="528"/>
      <c r="F37" s="529"/>
    </row>
    <row r="38" spans="1:6" ht="18.95" customHeight="1">
      <c r="A38" s="527"/>
      <c r="B38" s="528"/>
      <c r="C38" s="528"/>
      <c r="D38" s="528"/>
      <c r="E38" s="528"/>
      <c r="F38" s="529"/>
    </row>
    <row r="39" spans="1:6" ht="18.95" customHeight="1">
      <c r="A39" s="539" t="s">
        <v>585</v>
      </c>
      <c r="B39" s="540" t="s">
        <v>370</v>
      </c>
      <c r="C39" s="685" t="str">
        <f>'Performance Data Sheet'!C10</f>
        <v>2118593.1</v>
      </c>
      <c r="D39" s="528"/>
      <c r="E39" s="536" t="s">
        <v>586</v>
      </c>
      <c r="F39" s="541" t="str">
        <f>F10</f>
        <v>CF6450</v>
      </c>
    </row>
    <row r="40" spans="1:6" ht="18.95" customHeight="1">
      <c r="A40" s="527"/>
      <c r="B40" s="540"/>
      <c r="C40" s="540"/>
      <c r="D40" s="528"/>
      <c r="E40" s="528"/>
      <c r="F40" s="529"/>
    </row>
    <row r="41" spans="1:6" ht="18.95" customHeight="1">
      <c r="A41" s="527"/>
      <c r="B41" s="540"/>
      <c r="C41" s="540"/>
      <c r="D41" s="528"/>
      <c r="E41" s="528"/>
      <c r="F41" s="529"/>
    </row>
    <row r="42" spans="1:6" ht="18.95" customHeight="1">
      <c r="A42" s="527"/>
      <c r="B42" s="528"/>
      <c r="C42" s="528"/>
      <c r="D42" s="528"/>
      <c r="E42" s="528"/>
      <c r="F42" s="529"/>
    </row>
    <row r="43" spans="1:6" ht="18.95" customHeight="1">
      <c r="A43" s="542"/>
      <c r="B43" s="540"/>
      <c r="C43" s="543" t="s">
        <v>587</v>
      </c>
      <c r="D43" s="544" t="str">
        <f>'Performance Data Sheet'!K42</f>
        <v>Zichao Xie</v>
      </c>
      <c r="E43" s="543" t="s">
        <v>588</v>
      </c>
      <c r="F43" s="54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565" t="s">
        <v>398</v>
      </c>
      <c r="B53" s="565" t="s">
        <v>142</v>
      </c>
      <c r="C53" s="565" t="s">
        <v>120</v>
      </c>
      <c r="D53" s="565" t="s">
        <v>135</v>
      </c>
      <c r="E53" s="565" t="s">
        <v>5</v>
      </c>
      <c r="F53" s="566" t="s">
        <v>599</v>
      </c>
    </row>
    <row r="54" spans="1:6" ht="15" customHeight="1">
      <c r="A54" s="567">
        <v>0</v>
      </c>
      <c r="B54" s="568"/>
      <c r="C54" s="569"/>
      <c r="D54" s="569">
        <v>17.319510092940096</v>
      </c>
      <c r="E54" s="569">
        <v>100</v>
      </c>
      <c r="F54" s="570">
        <f>4572/10000</f>
        <v>0.4572</v>
      </c>
    </row>
    <row r="55" spans="1:6" ht="15" customHeight="1">
      <c r="A55" s="571">
        <v>25</v>
      </c>
      <c r="B55" s="572">
        <v>90.719795227050781</v>
      </c>
      <c r="C55" s="573">
        <v>57.82183837890625</v>
      </c>
      <c r="D55" s="573">
        <v>23.109579086303711</v>
      </c>
      <c r="E55" s="573">
        <v>67.956703249432564</v>
      </c>
      <c r="F55" s="574">
        <v>9.2574594060193114</v>
      </c>
    </row>
    <row r="56" spans="1:6" ht="15" customHeight="1">
      <c r="A56" s="571">
        <v>50</v>
      </c>
      <c r="B56" s="572">
        <v>94.191238403320313</v>
      </c>
      <c r="C56" s="573">
        <v>78.699455261230469</v>
      </c>
      <c r="D56" s="573">
        <v>32.706478118896484</v>
      </c>
      <c r="E56" s="573">
        <v>62.152629713398213</v>
      </c>
      <c r="F56" s="574">
        <v>17.832547144894466</v>
      </c>
    </row>
    <row r="57" spans="1:6">
      <c r="A57" s="571">
        <v>75</v>
      </c>
      <c r="B57" s="572">
        <v>95.066482543945313</v>
      </c>
      <c r="C57" s="573">
        <v>85.746101379394531</v>
      </c>
      <c r="D57" s="573">
        <v>44.613418579101563</v>
      </c>
      <c r="E57" s="573">
        <v>56.190659236023201</v>
      </c>
      <c r="F57" s="574">
        <v>26.502554348955037</v>
      </c>
    </row>
    <row r="58" spans="1:6">
      <c r="A58" s="571">
        <v>100</v>
      </c>
      <c r="B58" s="572">
        <v>95.231391906738281</v>
      </c>
      <c r="C58" s="573">
        <v>88.245986938476562</v>
      </c>
      <c r="D58" s="573">
        <v>57.699348449707031</v>
      </c>
      <c r="E58" s="573">
        <v>50.059022146424127</v>
      </c>
      <c r="F58" s="574">
        <v>35.275548216429733</v>
      </c>
    </row>
    <row r="59" spans="1:6" ht="13.5" thickBot="1">
      <c r="A59" s="575">
        <v>125</v>
      </c>
      <c r="B59" s="576">
        <v>95.09326171875</v>
      </c>
      <c r="C59" s="577">
        <v>88.88739013671875</v>
      </c>
      <c r="D59" s="577">
        <v>71.707748413085937</v>
      </c>
      <c r="E59" s="577">
        <v>43.81281252466043</v>
      </c>
      <c r="F59" s="578">
        <v>44.158481657618651</v>
      </c>
    </row>
    <row r="60" spans="1:6">
      <c r="A60" s="545"/>
      <c r="B60" s="546"/>
      <c r="C60" s="546"/>
    </row>
    <row r="61" spans="1:6">
      <c r="A61" s="545"/>
      <c r="B61" s="546"/>
      <c r="C61" s="546"/>
    </row>
    <row r="62" spans="1:6">
      <c r="A62" s="545"/>
      <c r="B62" s="546"/>
      <c r="C62" s="546"/>
    </row>
    <row r="63" spans="1:6">
      <c r="A63" s="545"/>
      <c r="B63" s="546"/>
      <c r="C63" s="546"/>
    </row>
    <row r="64" spans="1:6">
      <c r="A64" s="545"/>
      <c r="B64" s="546"/>
      <c r="C64" s="546"/>
    </row>
    <row r="65" spans="1:3">
      <c r="A65" s="545"/>
      <c r="B65" s="546"/>
      <c r="C65" s="546"/>
    </row>
    <row r="66" spans="1:3">
      <c r="A66" s="545"/>
      <c r="B66" s="546"/>
      <c r="C66" s="546"/>
    </row>
    <row r="67" spans="1:3">
      <c r="A67" s="547"/>
      <c r="B67" s="546"/>
      <c r="C67" s="54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Xie, Zichao</cp:lastModifiedBy>
  <cp:lastPrinted>2017-05-22T14:20:14Z</cp:lastPrinted>
  <dcterms:created xsi:type="dcterms:W3CDTF">1997-10-03T20:37:30Z</dcterms:created>
  <dcterms:modified xsi:type="dcterms:W3CDTF">2019-01-28T15:57:21Z</dcterms:modified>
</cp:coreProperties>
</file>