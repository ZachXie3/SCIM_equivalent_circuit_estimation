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6800 Frame TEFC\6P\SERIES DESIGN\"/>
    </mc:Choice>
  </mc:AlternateContent>
  <xr:revisionPtr revIDLastSave="0" documentId="8_{241D7A8A-2AB6-402A-9252-ECB59BF55519}" xr6:coauthVersionLast="47" xr6:coauthVersionMax="47" xr10:uidLastSave="{00000000-0000-0000-0000-000000000000}"/>
  <bookViews>
    <workbookView xWindow="-120" yWindow="-120" windowWidth="29040" windowHeight="17520" tabRatio="748" activeTab="1" xr2:uid="{00000000-000D-0000-FFFF-FFFF00000000}"/>
  </bookViews>
  <sheets>
    <sheet name="DesignSheet" sheetId="2" r:id="rId1"/>
    <sheet name="Data Sheet" sheetId="3" r:id="rId2"/>
    <sheet name="LoginSheet" sheetId="4" r:id="rId3"/>
    <sheet name="Form" sheetId="5" r:id="rId4"/>
    <sheet name="Performance Data Sheet" sheetId="9" r:id="rId5"/>
    <sheet name="STCurve" sheetId="6" r:id="rId6"/>
    <sheet name="Thermdam" sheetId="8" r:id="rId7"/>
    <sheet name="Performance 4000V" sheetId="10" r:id="rId8"/>
    <sheet name="Performance 2300V" sheetId="11" r:id="rId9"/>
    <sheet name="StallTime" sheetId="7" r:id="rId10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'Performance 2300V'!$A$1:$F$43</definedName>
    <definedName name="_xlnm.Print_Area" localSheetId="7">'Performance 4000V'!$A$1:$F$43</definedName>
    <definedName name="_xlnm.Print_Area" localSheetId="4">'Performance Data Sheet'!$A$1:$M$44</definedName>
    <definedName name="_xlnm.Print_Area" localSheetId="9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8" hidden="1">'Performance 2300V'!$A$1:$F$43</definedName>
    <definedName name="Z_852987ED_B4F5_11D1_ABEC_0000832EB49E_.wvu.PrintArea" localSheetId="7" hidden="1">'Performance 4000V'!$A$1:$F$43</definedName>
    <definedName name="Z_852987ED_B4F5_11D1_ABEC_0000832EB49E_.wvu.PrintArea" localSheetId="5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1" l="1"/>
  <c r="F39" i="11"/>
  <c r="C39" i="11"/>
  <c r="F9" i="11"/>
  <c r="F7" i="11"/>
  <c r="B7" i="11"/>
  <c r="B6" i="11"/>
  <c r="F9" i="8" l="1"/>
  <c r="F7" i="8"/>
  <c r="D7" i="8"/>
  <c r="B7" i="8"/>
  <c r="F6" i="8"/>
  <c r="B6" i="8"/>
  <c r="F9" i="10"/>
  <c r="F7" i="10"/>
  <c r="B7" i="10"/>
  <c r="B6" i="10"/>
  <c r="D43" i="10"/>
  <c r="F39" i="10"/>
  <c r="C39" i="10"/>
  <c r="D43" i="8"/>
  <c r="F39" i="8"/>
  <c r="C39" i="8"/>
  <c r="F39" i="6"/>
  <c r="D43" i="6"/>
  <c r="C39" i="6"/>
  <c r="C12" i="6"/>
  <c r="F6" i="6"/>
  <c r="D7" i="6"/>
  <c r="F9" i="6"/>
  <c r="F7" i="6"/>
  <c r="B7" i="6"/>
  <c r="B6" i="6"/>
  <c r="M11" i="3" l="1"/>
  <c r="M10" i="3"/>
  <c r="M9" i="3"/>
  <c r="M8" i="3"/>
  <c r="M7" i="3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<sst xmlns="http://schemas.openxmlformats.org/spreadsheetml/2006/main" count="1010" uniqueCount="744">
  <si>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</si>
  <si>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</si>
  <si>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</si>
  <si>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</si>
  <si>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</si>
  <si>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</si>
  <si>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</si>
  <si>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</si>
  <si>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</si>
  <si>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</si>
  <si>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</si>
  <si>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</si>
  <si>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</si>
  <si>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</si>
  <si>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</si>
  <si>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</si>
  <si>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</si>
  <si>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</si>
  <si>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</si>
  <si>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</si>
  <si>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</si>
  <si>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</si>
  <si>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</si>
  <si>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</si>
  <si>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</si>
  <si>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</si>
  <si>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</si>
  <si>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</si>
  <si>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</si>
  <si>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</si>
  <si>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</si>
  <si>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</si>
  <si>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</si>
  <si>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</si>
  <si>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</si>
  <si>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</si>
  <si>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</si>
  <si>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</si>
  <si>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</si>
  <si>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</si>
  <si>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</si>
  <si>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</si>
  <si>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</si>
  <si>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</si>
  <si>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</si>
  <si>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</si>
  <si>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</si>
  <si>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</si>
  <si>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</si>
  <si>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</si>
  <si>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</si>
  <si>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</si>
  <si>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</si>
  <si>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</si>
  <si>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</si>
  <si>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</si>
  <si>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</si>
  <si>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</si>
  <si>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</si>
  <si>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</si>
  <si>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</si>
  <si>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</si>
  <si>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</si>
  <si>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</si>
  <si>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</si>
  <si>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</si>
  <si>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</si>
  <si>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</si>
  <si>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</si>
  <si>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</si>
  <si>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</si>
  <si>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</si>
  <si>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</si>
  <si>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</si>
  <si>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</si>
  <si>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</si>
  <si>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</si>
  <si>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</si>
  <si>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</si>
  <si>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</si>
  <si>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</si>
  <si>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</si>
  <si>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</si>
  <si>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</si>
  <si>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</si>
  <si>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</si>
  <si>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</si>
  <si>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</si>
  <si>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</si>
  <si>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</si>
  <si>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</si>
  <si>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</si>
  <si>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</si>
  <si>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</si>
  <si>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</si>
  <si>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</si>
  <si>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</si>
  <si>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</si>
  <si>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</si>
  <si>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</si>
  <si>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</si>
  <si>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</si>
  <si>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</si>
  <si>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</si>
  <si>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</si>
  <si>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</si>
  <si>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</si>
  <si>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</si>
  <si>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</si>
  <si>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</si>
  <si>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</si>
  <si>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</si>
  <si>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</si>
  <si>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</si>
  <si>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</si>
  <si>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</si>
  <si>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</si>
  <si>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</si>
  <si>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</si>
  <si>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</si>
  <si>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</si>
  <si>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</si>
  <si>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</si>
  <si>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</si>
  <si>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</si>
  <si>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</si>
  <si>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</si>
  <si>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</si>
  <si>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</si>
  <si>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</si>
  <si>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</si>
  <si>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</si>
  <si>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</si>
  <si>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</si>
  <si>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</si>
  <si>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</si>
  <si>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</si>
  <si>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</si>
  <si>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</si>
  <si>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</si>
  <si>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</si>
  <si>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</si>
  <si>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</si>
  <si>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</si>
  <si>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</si>
  <si>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</si>
  <si>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</si>
  <si>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</si>
  <si>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</si>
  <si>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</si>
  <si>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</si>
  <si>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</si>
  <si>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</si>
  <si>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</si>
  <si>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</si>
  <si>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</si>
  <si>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</si>
  <si>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</si>
  <si>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</si>
  <si>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</si>
  <si>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</si>
  <si>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</si>
  <si>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</si>
  <si>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</si>
  <si>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</si>
  <si>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</si>
  <si>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</si>
  <si>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</si>
  <si>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</si>
  <si>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</si>
  <si>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</si>
  <si>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</si>
  <si>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</si>
  <si>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</si>
  <si>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</si>
  <si>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</si>
  <si>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</si>
  <si>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6811US</t>
  </si>
  <si>
    <t>Open</t>
  </si>
  <si>
    <t>Rectang</t>
  </si>
  <si>
    <t>9.67 - 9.67</t>
  </si>
  <si>
    <t>0.80 - 3.20</t>
  </si>
  <si>
    <t>Magnetic</t>
  </si>
  <si>
    <t>1 ~ 11</t>
  </si>
  <si>
    <t>(.102"x.204")x2</t>
  </si>
  <si>
    <t>Wye</t>
  </si>
  <si>
    <t>(105°C)</t>
  </si>
  <si>
    <t>CU</t>
  </si>
  <si>
    <t>Special</t>
  </si>
  <si>
    <t>ERD1: 426.8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</si>
  <si>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</si>
  <si>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</si>
  <si>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</si>
  <si>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</si>
  <si>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</si>
  <si>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</si>
  <si>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</si>
  <si>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</si>
  <si>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</si>
  <si>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0.0828)</t>
  </si>
  <si>
    <t>Skew R.: 0.00</t>
  </si>
  <si>
    <t>M:\Active Projects\6800 Frame TEFC\Electrical Design\6P\SERIES DESIGN\CS6M20U.rat</t>
  </si>
  <si>
    <t>2-2-2-0-1-2</t>
  </si>
  <si>
    <t>B.L.-1  P.F.-1</t>
  </si>
  <si>
    <t>6060.7 / 5925.6</t>
  </si>
  <si>
    <t>4731.7 / 5162.5</t>
  </si>
  <si>
    <t>24758.0 / 8517.8</t>
  </si>
  <si>
    <t>15000.0 / 5091.8</t>
  </si>
  <si>
    <t>9546.3 / 4602.6</t>
  </si>
  <si>
    <t>1249.3 / 602.3</t>
  </si>
  <si>
    <t>8297.0 / 4000.3</t>
  </si>
  <si>
    <t>1.75 / 0.84</t>
  </si>
  <si>
    <t>71 / 76</t>
  </si>
  <si>
    <t>Temp. Rise @ 100%:</t>
  </si>
  <si>
    <t>Stray Loss</t>
  </si>
  <si>
    <t>0.880 / 0.887</t>
  </si>
  <si>
    <t>0.932 / 0.939</t>
  </si>
  <si>
    <t>0.948 / 0.956</t>
  </si>
  <si>
    <t>0.955 / 0.963</t>
  </si>
  <si>
    <t>0.958 / 0.966</t>
  </si>
  <si>
    <t>0.719 / 0.698</t>
  </si>
  <si>
    <t>0.865 / 0.840</t>
  </si>
  <si>
    <t>0.902 / 0.876</t>
  </si>
  <si>
    <t>0.910 / 0.883</t>
  </si>
  <si>
    <t>0.905 / 0.879</t>
  </si>
  <si>
    <t>42.56 / 43.47</t>
  </si>
  <si>
    <t>66.81 / 68.23</t>
  </si>
  <si>
    <t>94.42 / 96.44</t>
  </si>
  <si>
    <t>123.87 / 126.51</t>
  </si>
  <si>
    <t>155.17 / 158.48</t>
  </si>
  <si>
    <t>2.36 / 2.41</t>
  </si>
  <si>
    <t>UB: 2.65 / 2.70</t>
  </si>
  <si>
    <t>UER: 2.29 / 2.34</t>
  </si>
  <si>
    <t>1198.1 / 1196.7</t>
  </si>
  <si>
    <t>1196.4 / 1195.0</t>
  </si>
  <si>
    <t>1194.7 / 1193.3</t>
  </si>
  <si>
    <t>1192.8 / 1191.4</t>
  </si>
  <si>
    <t>1190.9 / 1189.5</t>
  </si>
  <si>
    <t>0.0015 / 0.0027</t>
  </si>
  <si>
    <t>0.0030 / 0.0042</t>
  </si>
  <si>
    <t>0.0044 / 0.0056</t>
  </si>
  <si>
    <t>0.0060 / 0.0072</t>
  </si>
  <si>
    <t>0.0076 / 0.0087</t>
  </si>
  <si>
    <t>26.740 / 31.968</t>
  </si>
  <si>
    <t>1.376 / 1.646</t>
  </si>
  <si>
    <t>26.78 / 32.01</t>
  </si>
  <si>
    <t>609.2 / 826.0</t>
  </si>
  <si>
    <t>491.8 / 666.8</t>
  </si>
  <si>
    <t>355.5 / 758.6</t>
  </si>
  <si>
    <t>58.4 / 124.5</t>
  </si>
  <si>
    <t>229.7 / 274.9</t>
  </si>
  <si>
    <t>Correlated to: Testdata_H402130_Lab#1559A_OD fan610.dat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</si>
  <si>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</si>
  <si>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</si>
  <si>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</si>
  <si>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</si>
  <si>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</si>
  <si>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</si>
  <si>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</si>
  <si>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</si>
  <si>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</si>
  <si>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1586.0 kg.m²</t>
  </si>
  <si>
    <t>Acceleration Data (FV V)</t>
  </si>
  <si>
    <t>9.6 (s)</t>
  </si>
  <si>
    <t>609.2 kg.m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</si>
  <si>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</si>
  <si>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</si>
  <si>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</si>
  <si>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</si>
  <si>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</si>
  <si>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</si>
  <si>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</si>
  <si>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</si>
  <si>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</si>
  <si>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</si>
  <si>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</si>
  <si>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</si>
  <si>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</si>
  <si>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</si>
  <si>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</si>
  <si>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</si>
  <si>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</si>
  <si>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</si>
  <si>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</si>
  <si>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</si>
  <si>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</si>
  <si>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</si>
  <si>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</si>
  <si>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</si>
  <si>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</si>
  <si>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</si>
  <si>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</si>
  <si>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</si>
  <si>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</si>
  <si>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</si>
  <si>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</si>
  <si>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</si>
  <si>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</si>
  <si>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</si>
  <si>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</si>
  <si>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</si>
  <si>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</si>
  <si>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</si>
  <si>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</si>
  <si>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</si>
  <si>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</si>
  <si>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</si>
  <si>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</si>
  <si>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</si>
  <si>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</si>
  <si>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</si>
  <si>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</si>
  <si>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</si>
  <si>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</si>
  <si>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</si>
  <si>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</si>
  <si>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</si>
  <si>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</si>
  <si>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</si>
  <si>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</si>
  <si>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</si>
  <si>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</si>
  <si>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</si>
  <si>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</si>
  <si>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</si>
  <si>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</si>
  <si>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</si>
  <si>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</si>
  <si>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</si>
  <si>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</si>
  <si>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</si>
  <si>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</si>
  <si>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</si>
  <si>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</si>
  <si>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</si>
  <si>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</si>
  <si>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</si>
  <si>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</si>
  <si>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</si>
  <si>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</si>
  <si>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</si>
  <si>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</si>
  <si>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</si>
  <si>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</si>
  <si>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</si>
  <si>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</si>
  <si>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</si>
  <si>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</si>
  <si>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</si>
  <si>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</si>
  <si>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</si>
  <si>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</si>
  <si>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</si>
  <si>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</si>
  <si>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</si>
  <si>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</si>
  <si>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</si>
  <si>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</si>
  <si>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</si>
  <si>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</si>
  <si>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</si>
  <si>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</si>
  <si>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</si>
  <si>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</si>
  <si>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</si>
  <si>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</si>
  <si>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</si>
  <si>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</si>
  <si>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</si>
  <si>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</si>
  <si>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</si>
  <si>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</si>
  <si>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</si>
  <si>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</si>
  <si>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</si>
  <si>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CS6M20U</t>
  </si>
  <si>
    <t>17 x 2</t>
  </si>
  <si>
    <t xml:space="preserve"> - </t>
  </si>
  <si>
    <t>241 / 1567</t>
  </si>
  <si>
    <t>G</t>
  </si>
  <si>
    <t>270 / 234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</si>
  <si>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</si>
  <si>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</si>
  <si>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</si>
  <si>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</si>
  <si>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</si>
  <si>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</si>
  <si>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</si>
  <si>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</si>
  <si>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</si>
  <si>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</si>
  <si>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</si>
  <si>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</si>
  <si>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1457.0</t>
  </si>
  <si>
    <t xml:space="preserve">8T: </t>
  </si>
  <si>
    <t xml:space="preserve">9T: </t>
  </si>
  <si>
    <t>0.0159 ~ 0.0153</t>
  </si>
  <si>
    <t>0.0179 ~ 0.0172</t>
  </si>
  <si>
    <t>AWG. 02 x 3</t>
  </si>
  <si>
    <t>0.00151</t>
  </si>
  <si>
    <t>8T: 22.33</t>
  </si>
  <si>
    <t>9T: 25.12</t>
  </si>
  <si>
    <t>8T: 10.76</t>
  </si>
  <si>
    <t>9T: 10.76</t>
  </si>
  <si>
    <t>14.30 ~ 13.90</t>
  </si>
  <si>
    <t>11.73</t>
  </si>
  <si>
    <t>3.44</t>
  </si>
  <si>
    <t xml:space="preserve"> (.102"x.204")x 2: </t>
  </si>
  <si>
    <t>938 lbs.</t>
  </si>
  <si>
    <t/>
  </si>
  <si>
    <t xml:space="preserve">1-2, 2-3, 3-1: </t>
  </si>
  <si>
    <t>0.208 ~ 0.196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</si>
  <si>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</si>
  <si>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</si>
  <si>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</si>
  <si>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</si>
  <si>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</si>
  <si>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</si>
  <si>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</si>
  <si>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</si>
  <si>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</si>
  <si>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</si>
  <si>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</si>
  <si>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</si>
  <si>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</si>
  <si>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N/A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</si>
  <si>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</si>
  <si>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</si>
  <si>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</si>
  <si>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</si>
  <si>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</si>
  <si>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</si>
  <si>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</si>
  <si>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</si>
  <si>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1496.8 lb-ft²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</si>
  <si>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</si>
  <si>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</si>
  <si>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</si>
  <si>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</si>
  <si>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</si>
  <si>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</si>
  <si>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</si>
  <si>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</si>
  <si>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</si>
  <si>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</si>
  <si>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</si>
  <si>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</si>
  <si>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</si>
  <si>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</si>
  <si>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</si>
  <si>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</si>
  <si>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</si>
  <si>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</si>
  <si>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</si>
  <si>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</si>
  <si>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</si>
  <si>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</si>
  <si>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</si>
  <si>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</si>
  <si>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</si>
  <si>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</si>
  <si>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</si>
  <si>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</si>
  <si>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</si>
  <si>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</si>
  <si>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</si>
  <si>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</si>
  <si>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</si>
  <si>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</si>
  <si>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</si>
  <si>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</si>
  <si>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</si>
  <si>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</si>
  <si>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</si>
  <si>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- 1000.0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</si>
  <si>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</si>
  <si>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</si>
  <si>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</si>
  <si>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</si>
  <si>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</si>
  <si>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</si>
  <si>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</si>
  <si>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</si>
  <si>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</si>
  <si>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</si>
  <si>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</si>
  <si>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</si>
  <si>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</si>
  <si>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- 9409.0 lb-ft²</t>
  </si>
  <si>
    <t>124.0</t>
  </si>
  <si>
    <t>124.1</t>
  </si>
  <si>
    <t>124.2</t>
  </si>
  <si>
    <t>124.4</t>
  </si>
  <si>
    <t>124.7</t>
  </si>
  <si>
    <t>125.2</t>
  </si>
  <si>
    <t>126.3</t>
  </si>
  <si>
    <t>129.4</t>
  </si>
  <si>
    <t>136.5</t>
  </si>
  <si>
    <t>154.4</t>
  </si>
  <si>
    <t>220.8</t>
  </si>
  <si>
    <t>225.8</t>
  </si>
  <si>
    <t>138.8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</si>
  <si>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</si>
  <si>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</si>
  <si>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</si>
  <si>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</si>
  <si>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</si>
  <si>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</si>
  <si>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</si>
  <si>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</si>
  <si>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</si>
  <si>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</si>
  <si>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</si>
  <si>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</si>
  <si>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</si>
  <si>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0.990</t>
  </si>
  <si>
    <t>0.892</t>
  </si>
  <si>
    <t>0.859</t>
  </si>
  <si>
    <t>0.862</t>
  </si>
  <si>
    <t>0.896</t>
  </si>
  <si>
    <t>0.958</t>
  </si>
  <si>
    <t>1.060</t>
  </si>
  <si>
    <t>1.232</t>
  </si>
  <si>
    <t>0.692</t>
  </si>
  <si>
    <t>0.651</t>
  </si>
  <si>
    <t>0.387</t>
  </si>
  <si>
    <t>0.061</t>
  </si>
  <si>
    <t>0.050</t>
  </si>
  <si>
    <t>823.5</t>
  </si>
  <si>
    <t>818.2</t>
  </si>
  <si>
    <t>811.7</t>
  </si>
  <si>
    <t>803.7</t>
  </si>
  <si>
    <t>793.8</t>
  </si>
  <si>
    <t>781.2</t>
  </si>
  <si>
    <t>765.6</t>
  </si>
  <si>
    <t>746.3</t>
  </si>
  <si>
    <t>728.5</t>
  </si>
  <si>
    <t>709.2</t>
  </si>
  <si>
    <t>656.6</t>
  </si>
  <si>
    <t>422.2</t>
  </si>
  <si>
    <t>131.2</t>
  </si>
  <si>
    <t>266.7</t>
  </si>
  <si>
    <t>237.6</t>
  </si>
  <si>
    <t>225.6</t>
  </si>
  <si>
    <t>222.5</t>
  </si>
  <si>
    <t>226.1</t>
  </si>
  <si>
    <t>235.2</t>
  </si>
  <si>
    <t>251.1</t>
  </si>
  <si>
    <t>278.8</t>
  </si>
  <si>
    <t>148.0</t>
  </si>
  <si>
    <t>133.8</t>
  </si>
  <si>
    <t>74.3</t>
  </si>
  <si>
    <t>9.1</t>
  </si>
  <si>
    <t>0.3</t>
  </si>
  <si>
    <t>851.6</t>
  </si>
  <si>
    <t>687.9</t>
  </si>
  <si>
    <t>585.9</t>
  </si>
  <si>
    <t>511.1</t>
  </si>
  <si>
    <t>451.4</t>
  </si>
  <si>
    <t>397.9</t>
  </si>
  <si>
    <t>346.3</t>
  </si>
  <si>
    <t>293.8</t>
  </si>
  <si>
    <t>210.6</t>
  </si>
  <si>
    <t>145.8</t>
  </si>
  <si>
    <t>56.0</t>
  </si>
  <si>
    <t>15.1</t>
  </si>
  <si>
    <t>19.1</t>
  </si>
  <si>
    <t>2309 kW / s</t>
  </si>
  <si>
    <t>4024 kW / s</t>
  </si>
  <si>
    <t>548 kW / s</t>
  </si>
  <si>
    <t>14°C</t>
  </si>
  <si>
    <t>45°C</t>
  </si>
  <si>
    <t>35°C</t>
  </si>
  <si>
    <t>29°C</t>
  </si>
  <si>
    <t>90°C</t>
  </si>
  <si>
    <t>70°C</t>
  </si>
  <si>
    <t>Acceleration Time:  9.6 s</t>
  </si>
  <si>
    <t>2.0°C / s</t>
  </si>
  <si>
    <t>9.1°C / s</t>
  </si>
  <si>
    <t>7.1°C / s</t>
  </si>
  <si>
    <t>322.4 kW</t>
  </si>
  <si>
    <t>814.2 kW</t>
  </si>
  <si>
    <t>110.9 kW</t>
  </si>
  <si>
    <t>79.5 s</t>
  </si>
  <si>
    <t>28.5 s</t>
  </si>
  <si>
    <t>25.4 s</t>
  </si>
  <si>
    <t>76°C    +</t>
  </si>
  <si>
    <t>103°C    +</t>
  </si>
  <si>
    <t>84°C    +</t>
  </si>
  <si>
    <t>157°C   +</t>
  </si>
  <si>
    <t>77°C   +</t>
  </si>
  <si>
    <t>41.7 s</t>
  </si>
  <si>
    <t>17.2 s</t>
  </si>
  <si>
    <t>10.9 s</t>
  </si>
  <si>
    <t>62.8 s</t>
  </si>
  <si>
    <t>26.8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</si>
  <si>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</si>
  <si>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</si>
  <si>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</si>
  <si>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</si>
  <si>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</si>
  <si>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</si>
  <si>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M206FTQL11E-C</t>
  </si>
  <si>
    <t>8,9,9,8</t>
  </si>
  <si>
    <t>A. Gracia</t>
  </si>
  <si>
    <t>76 / 101</t>
  </si>
  <si>
    <t xml:space="preserve"> -</t>
  </si>
  <si>
    <t>QCLimits: CS6M20U</t>
  </si>
  <si>
    <t>Outer Fan OD: 610 mm</t>
  </si>
  <si>
    <t>S.Hernandez</t>
  </si>
  <si>
    <t>SH</t>
  </si>
  <si>
    <t>LINK:</t>
  </si>
  <si>
    <t xml:space="preserve">H402130.rat @ 1000HP with </t>
  </si>
  <si>
    <t>Testdata_H402130_Lab#1559A_OD fan610.dat</t>
  </si>
  <si>
    <t>Run CS6M20U.rat</t>
  </si>
  <si>
    <t>RSO2: 400-FA31-05P</t>
  </si>
  <si>
    <t>CS6900U</t>
  </si>
  <si>
    <t>220 / 127</t>
  </si>
  <si>
    <t>1431 / 826</t>
  </si>
  <si>
    <t>2 x Delta / 2 x Wye</t>
  </si>
  <si>
    <t>Type: TIKE - Form: FCW4 - 6 Pole - 1000 HP - 2300 / 4000 V - 60 Hz - 6811US - Class F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</si>
  <si>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</si>
  <si>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</si>
  <si>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</si>
  <si>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</si>
  <si>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</si>
  <si>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</si>
  <si>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</si>
  <si>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</si>
  <si>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</si>
  <si>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</si>
  <si>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</si>
  <si>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</si>
  <si>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</si>
  <si>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</si>
  <si>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</si>
  <si>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</si>
  <si>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</si>
  <si>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</si>
  <si>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</si>
  <si>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</si>
  <si>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</si>
  <si>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</si>
  <si>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60 Hz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</si>
  <si>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</si>
  <si>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</si>
  <si>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</si>
  <si>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</si>
  <si>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</si>
  <si>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</si>
  <si>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</si>
  <si>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</si>
  <si>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</si>
  <si>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TIKE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</si>
  <si>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</si>
  <si>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</si>
  <si>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</si>
  <si>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</si>
  <si>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</si>
  <si>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</si>
  <si>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</si>
  <si>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</si>
  <si>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</si>
  <si>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</si>
  <si>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</si>
  <si>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</si>
  <si>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</si>
  <si>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</si>
  <si>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</si>
  <si>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</si>
  <si>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</si>
  <si>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</si>
  <si>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</si>
  <si>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</si>
  <si>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</si>
  <si>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</si>
  <si>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</si>
  <si>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</si>
  <si>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</si>
  <si>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</si>
  <si>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</si>
  <si>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</si>
  <si>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</si>
  <si>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</si>
  <si>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Jerry R</t>
  </si>
  <si>
    <t>DATE:</t>
  </si>
  <si>
    <t>6205ZZ</t>
  </si>
  <si>
    <t>TEFC</t>
  </si>
  <si>
    <t>6206UU</t>
  </si>
  <si>
    <t>ODP</t>
  </si>
  <si>
    <t>6207ZZ</t>
  </si>
  <si>
    <t>B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</si>
  <si>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</si>
  <si>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</si>
  <si>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</si>
  <si>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</si>
  <si>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</si>
  <si>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</si>
  <si>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</si>
  <si>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</si>
  <si>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</si>
  <si>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</si>
  <si>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</si>
  <si>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</si>
  <si>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</si>
  <si>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</si>
  <si>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</si>
  <si>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</si>
  <si>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</si>
  <si>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</si>
  <si>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</si>
  <si>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</si>
  <si>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</si>
  <si>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</si>
  <si>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</si>
  <si>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</si>
  <si>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</si>
  <si>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</si>
  <si>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</si>
  <si>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</si>
  <si>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</si>
  <si>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</si>
  <si>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</si>
  <si>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</si>
  <si>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</si>
  <si>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</si>
  <si>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</si>
  <si>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</si>
  <si>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Performance Curve</t>
  </si>
  <si>
    <t>Input Watts</t>
  </si>
  <si>
    <t>L&amp;B ELECTRIC</t>
  </si>
  <si>
    <t>2400576.1</t>
  </si>
  <si>
    <t>1.15</t>
  </si>
  <si>
    <t>GP-10185637</t>
  </si>
  <si>
    <t>55 / 32</t>
  </si>
  <si>
    <t>460 / 1150</t>
  </si>
  <si>
    <t>220 / 175</t>
  </si>
  <si>
    <t>127 A</t>
  </si>
  <si>
    <t>826 A</t>
  </si>
  <si>
    <t>4000 V</t>
  </si>
  <si>
    <t>220 A</t>
  </si>
  <si>
    <t>1430 A</t>
  </si>
  <si>
    <t>4410 lb-ft</t>
  </si>
  <si>
    <t>2300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</si>
</sst>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  <numFmt numFmtId="172" formatCode="General&quot;°C&quot;"/>
  </numFmts>
  <fonts count="74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15" fillId="0" borderId="0"/>
    <xf numFmtId="0" fontId="46" fillId="0" borderId="0"/>
    <xf numFmtId="0" fontId="46" fillId="0" borderId="0"/>
    <xf numFmtId="171" fontId="60" fillId="0" borderId="0"/>
    <xf numFmtId="0" fontId="1" fillId="0" borderId="0"/>
  </cellStyleXfs>
  <cellXfs count="69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53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17" fillId="0" borderId="0" xfId="1" applyFont="1"/>
    <xf numFmtId="0" fontId="18" fillId="0" borderId="0" xfId="1" applyFont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4" xfId="1" applyFont="1" applyBorder="1" applyAlignment="1">
      <alignment horizontal="left" vertical="center"/>
    </xf>
    <xf numFmtId="0" fontId="23" fillId="0" borderId="55" xfId="1" applyFont="1" applyBorder="1" applyAlignment="1">
      <alignment vertical="center"/>
    </xf>
    <xf numFmtId="0" fontId="15" fillId="0" borderId="55" xfId="1" applyBorder="1"/>
    <xf numFmtId="0" fontId="23" fillId="0" borderId="56" xfId="1" applyFont="1" applyBorder="1" applyAlignment="1">
      <alignment horizontal="right" vertical="center"/>
    </xf>
    <xf numFmtId="0" fontId="24" fillId="0" borderId="0" xfId="1" applyFont="1"/>
    <xf numFmtId="0" fontId="25" fillId="0" borderId="54" xfId="1" applyFont="1" applyBorder="1"/>
    <xf numFmtId="0" fontId="24" fillId="0" borderId="56" xfId="1" applyFont="1" applyBorder="1"/>
    <xf numFmtId="0" fontId="25" fillId="0" borderId="56" xfId="1" applyFont="1" applyBorder="1"/>
    <xf numFmtId="0" fontId="26" fillId="0" borderId="0" xfId="1" applyFont="1"/>
    <xf numFmtId="0" fontId="27" fillId="2" borderId="13" xfId="1" applyFont="1" applyFill="1" applyBorder="1" applyAlignment="1">
      <alignment horizontal="center"/>
    </xf>
    <xf numFmtId="0" fontId="27" fillId="2" borderId="57" xfId="1" applyFont="1" applyFill="1" applyBorder="1" applyAlignment="1">
      <alignment horizontal="center"/>
    </xf>
    <xf numFmtId="0" fontId="27" fillId="2" borderId="0" xfId="1" quotePrefix="1" applyFont="1" applyFill="1" applyAlignment="1">
      <alignment horizontal="left"/>
    </xf>
    <xf numFmtId="0" fontId="28" fillId="2" borderId="58" xfId="1" applyFont="1" applyFill="1" applyBorder="1" applyAlignment="1">
      <alignment horizontal="right"/>
    </xf>
    <xf numFmtId="0" fontId="27" fillId="2" borderId="59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Border="1"/>
    <xf numFmtId="0" fontId="24" fillId="0" borderId="21" xfId="1" applyFont="1" applyBorder="1"/>
    <xf numFmtId="0" fontId="25" fillId="0" borderId="21" xfId="1" applyFont="1" applyBorder="1"/>
    <xf numFmtId="0" fontId="29" fillId="2" borderId="69" xfId="1" applyFont="1" applyFill="1" applyBorder="1"/>
    <xf numFmtId="0" fontId="29" fillId="2" borderId="70" xfId="1" applyFont="1" applyFill="1" applyBorder="1"/>
    <xf numFmtId="0" fontId="32" fillId="2" borderId="70" xfId="1" applyFont="1" applyFill="1" applyBorder="1"/>
    <xf numFmtId="0" fontId="32" fillId="2" borderId="71" xfId="1" applyFont="1" applyFill="1" applyBorder="1"/>
    <xf numFmtId="166" fontId="31" fillId="2" borderId="66" xfId="1" applyNumberFormat="1" applyFont="1" applyFill="1" applyBorder="1" applyAlignment="1">
      <alignment horizontal="center"/>
    </xf>
    <xf numFmtId="0" fontId="31" fillId="2" borderId="72" xfId="1" applyFont="1" applyFill="1" applyBorder="1" applyAlignment="1">
      <alignment horizontal="center"/>
    </xf>
    <xf numFmtId="0" fontId="29" fillId="2" borderId="73" xfId="1" applyFont="1" applyFill="1" applyBorder="1"/>
    <xf numFmtId="0" fontId="29" fillId="2" borderId="74" xfId="1" applyFont="1" applyFill="1" applyBorder="1"/>
    <xf numFmtId="0" fontId="32" fillId="2" borderId="74" xfId="1" applyFont="1" applyFill="1" applyBorder="1"/>
    <xf numFmtId="0" fontId="32" fillId="2" borderId="75" xfId="1" applyFont="1" applyFill="1" applyBorder="1"/>
    <xf numFmtId="1" fontId="31" fillId="2" borderId="66" xfId="1" applyNumberFormat="1" applyFont="1" applyFill="1" applyBorder="1" applyAlignment="1">
      <alignment horizontal="center"/>
    </xf>
    <xf numFmtId="0" fontId="31" fillId="2" borderId="76" xfId="1" applyFont="1" applyFill="1" applyBorder="1" applyAlignment="1">
      <alignment horizontal="center"/>
    </xf>
    <xf numFmtId="0" fontId="33" fillId="2" borderId="70" xfId="1" applyFont="1" applyFill="1" applyBorder="1"/>
    <xf numFmtId="0" fontId="34" fillId="2" borderId="71" xfId="1" applyFont="1" applyFill="1" applyBorder="1" applyAlignment="1">
      <alignment horizontal="left"/>
    </xf>
    <xf numFmtId="0" fontId="31" fillId="2" borderId="66" xfId="1" applyFont="1" applyFill="1" applyBorder="1" applyAlignment="1">
      <alignment horizontal="center"/>
    </xf>
    <xf numFmtId="0" fontId="25" fillId="0" borderId="46" xfId="1" applyFont="1" applyBorder="1"/>
    <xf numFmtId="0" fontId="25" fillId="0" borderId="24" xfId="1" applyFont="1" applyBorder="1"/>
    <xf numFmtId="0" fontId="29" fillId="2" borderId="78" xfId="1" applyFont="1" applyFill="1" applyBorder="1"/>
    <xf numFmtId="0" fontId="29" fillId="2" borderId="79" xfId="1" applyFont="1" applyFill="1" applyBorder="1"/>
    <xf numFmtId="0" fontId="33" fillId="2" borderId="79" xfId="1" applyFont="1" applyFill="1" applyBorder="1"/>
    <xf numFmtId="0" fontId="31" fillId="2" borderId="80" xfId="1" applyFont="1" applyFill="1" applyBorder="1" applyAlignment="1">
      <alignment horizontal="center"/>
    </xf>
    <xf numFmtId="0" fontId="31" fillId="2" borderId="81" xfId="1" applyFont="1" applyFill="1" applyBorder="1" applyAlignment="1">
      <alignment horizontal="center"/>
    </xf>
    <xf numFmtId="0" fontId="24" fillId="0" borderId="24" xfId="1" applyFont="1" applyBorder="1"/>
    <xf numFmtId="0" fontId="29" fillId="2" borderId="65" xfId="1" quotePrefix="1" applyFont="1" applyFill="1" applyBorder="1" applyAlignment="1">
      <alignment horizontal="left"/>
    </xf>
    <xf numFmtId="0" fontId="26" fillId="0" borderId="71" xfId="1" applyFont="1" applyBorder="1"/>
    <xf numFmtId="0" fontId="29" fillId="2" borderId="52" xfId="1" quotePrefix="1" applyFont="1" applyFill="1" applyBorder="1" applyAlignment="1">
      <alignment horizontal="left"/>
    </xf>
    <xf numFmtId="0" fontId="29" fillId="2" borderId="61" xfId="1" applyFont="1" applyFill="1" applyBorder="1"/>
    <xf numFmtId="0" fontId="32" fillId="2" borderId="61" xfId="1" applyFont="1" applyFill="1" applyBorder="1"/>
    <xf numFmtId="0" fontId="36" fillId="2" borderId="61" xfId="1" applyFont="1" applyFill="1" applyBorder="1" applyAlignment="1">
      <alignment horizontal="right"/>
    </xf>
    <xf numFmtId="49" fontId="31" fillId="2" borderId="61" xfId="1" applyNumberFormat="1" applyFont="1" applyFill="1" applyBorder="1" applyAlignment="1">
      <alignment horizontal="center"/>
    </xf>
    <xf numFmtId="0" fontId="31" fillId="2" borderId="85" xfId="1" applyFont="1" applyFill="1" applyBorder="1" applyAlignment="1">
      <alignment horizontal="center"/>
    </xf>
    <xf numFmtId="0" fontId="29" fillId="2" borderId="66" xfId="1" applyFont="1" applyFill="1" applyBorder="1"/>
    <xf numFmtId="0" fontId="32" fillId="2" borderId="66" xfId="1" applyFont="1" applyFill="1" applyBorder="1"/>
    <xf numFmtId="0" fontId="29" fillId="2" borderId="86" xfId="1" quotePrefix="1" applyFont="1" applyFill="1" applyBorder="1" applyAlignment="1">
      <alignment horizontal="left"/>
    </xf>
    <xf numFmtId="0" fontId="29" fillId="2" borderId="80" xfId="1" applyFont="1" applyFill="1" applyBorder="1"/>
    <xf numFmtId="0" fontId="32" fillId="2" borderId="80" xfId="1" applyFont="1" applyFill="1" applyBorder="1"/>
    <xf numFmtId="0" fontId="29" fillId="2" borderId="65" xfId="1" applyFont="1" applyFill="1" applyBorder="1" applyAlignment="1">
      <alignment horizontal="left"/>
    </xf>
    <xf numFmtId="0" fontId="24" fillId="2" borderId="87" xfId="1" applyFont="1" applyFill="1" applyBorder="1"/>
    <xf numFmtId="0" fontId="24" fillId="2" borderId="71" xfId="1" applyFont="1" applyFill="1" applyBorder="1"/>
    <xf numFmtId="0" fontId="29" fillId="2" borderId="65" xfId="1" applyFont="1" applyFill="1" applyBorder="1"/>
    <xf numFmtId="0" fontId="24" fillId="2" borderId="70" xfId="1" applyFont="1" applyFill="1" applyBorder="1"/>
    <xf numFmtId="0" fontId="29" fillId="2" borderId="87" xfId="1" applyFont="1" applyFill="1" applyBorder="1"/>
    <xf numFmtId="0" fontId="36" fillId="2" borderId="71" xfId="1" applyFont="1" applyFill="1" applyBorder="1" applyAlignment="1">
      <alignment horizontal="right"/>
    </xf>
    <xf numFmtId="0" fontId="29" fillId="2" borderId="60" xfId="1" quotePrefix="1" applyFont="1" applyFill="1" applyBorder="1" applyAlignment="1">
      <alignment horizontal="left"/>
    </xf>
    <xf numFmtId="0" fontId="26" fillId="0" borderId="94" xfId="1" applyFont="1" applyBorder="1"/>
    <xf numFmtId="0" fontId="29" fillId="2" borderId="87" xfId="1" quotePrefix="1" applyFont="1" applyFill="1" applyBorder="1" applyAlignment="1">
      <alignment horizontal="left"/>
    </xf>
    <xf numFmtId="0" fontId="24" fillId="2" borderId="66" xfId="1" applyFont="1" applyFill="1" applyBorder="1"/>
    <xf numFmtId="0" fontId="29" fillId="2" borderId="95" xfId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center"/>
    </xf>
    <xf numFmtId="0" fontId="24" fillId="2" borderId="71" xfId="1" quotePrefix="1" applyFont="1" applyFill="1" applyBorder="1" applyAlignment="1">
      <alignment horizontal="center"/>
    </xf>
    <xf numFmtId="0" fontId="29" fillId="2" borderId="96" xfId="1" applyFont="1" applyFill="1" applyBorder="1"/>
    <xf numFmtId="0" fontId="26" fillId="0" borderId="97" xfId="1" applyFont="1" applyBorder="1"/>
    <xf numFmtId="0" fontId="31" fillId="0" borderId="97" xfId="1" applyFont="1" applyBorder="1" applyAlignment="1">
      <alignment horizontal="center"/>
    </xf>
    <xf numFmtId="0" fontId="31" fillId="0" borderId="98" xfId="1" applyFont="1" applyBorder="1" applyAlignment="1">
      <alignment horizontal="center"/>
    </xf>
    <xf numFmtId="0" fontId="29" fillId="2" borderId="99" xfId="1" applyFont="1" applyFill="1" applyBorder="1" applyAlignment="1">
      <alignment horizontal="center"/>
    </xf>
    <xf numFmtId="0" fontId="29" fillId="2" borderId="79" xfId="1" quotePrefix="1" applyFont="1" applyFill="1" applyBorder="1" applyAlignment="1">
      <alignment horizontal="center"/>
    </xf>
    <xf numFmtId="0" fontId="24" fillId="2" borderId="100" xfId="1" quotePrefix="1" applyFont="1" applyFill="1" applyBorder="1" applyAlignment="1">
      <alignment horizontal="center"/>
    </xf>
    <xf numFmtId="0" fontId="31" fillId="0" borderId="71" xfId="1" applyFont="1" applyBorder="1" applyAlignment="1">
      <alignment horizontal="center"/>
    </xf>
    <xf numFmtId="0" fontId="31" fillId="0" borderId="76" xfId="1" applyFont="1" applyBorder="1" applyAlignment="1">
      <alignment horizontal="center"/>
    </xf>
    <xf numFmtId="0" fontId="31" fillId="0" borderId="46" xfId="1" applyFont="1" applyBorder="1"/>
    <xf numFmtId="0" fontId="37" fillId="0" borderId="24" xfId="1" applyFont="1" applyBorder="1"/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0" fontId="39" fillId="2" borderId="104" xfId="1" applyFont="1" applyFill="1" applyBorder="1" applyAlignment="1">
      <alignment horizontal="center"/>
    </xf>
    <xf numFmtId="166" fontId="31" fillId="0" borderId="71" xfId="1" applyNumberFormat="1" applyFont="1" applyBorder="1" applyAlignment="1">
      <alignment horizontal="center"/>
    </xf>
    <xf numFmtId="0" fontId="29" fillId="2" borderId="105" xfId="1" applyFont="1" applyFill="1" applyBorder="1" applyAlignment="1">
      <alignment horizontal="left"/>
    </xf>
    <xf numFmtId="0" fontId="24" fillId="2" borderId="106" xfId="1" applyFont="1" applyFill="1" applyBorder="1"/>
    <xf numFmtId="0" fontId="24" fillId="2" borderId="107" xfId="1" applyFont="1" applyFill="1" applyBorder="1"/>
    <xf numFmtId="0" fontId="31" fillId="2" borderId="108" xfId="1" applyFont="1" applyFill="1" applyBorder="1" applyAlignment="1">
      <alignment horizontal="center"/>
    </xf>
    <xf numFmtId="0" fontId="26" fillId="0" borderId="80" xfId="1" applyFont="1" applyBorder="1"/>
    <xf numFmtId="0" fontId="26" fillId="0" borderId="81" xfId="1" applyFont="1" applyBorder="1"/>
    <xf numFmtId="0" fontId="26" fillId="0" borderId="88" xfId="1" applyFont="1" applyBorder="1"/>
    <xf numFmtId="0" fontId="29" fillId="2" borderId="97" xfId="1" applyFont="1" applyFill="1" applyBorder="1"/>
    <xf numFmtId="0" fontId="36" fillId="2" borderId="66" xfId="1" applyFont="1" applyFill="1" applyBorder="1" applyAlignment="1">
      <alignment horizontal="right" shrinkToFit="1"/>
    </xf>
    <xf numFmtId="1" fontId="31" fillId="2" borderId="72" xfId="1" quotePrefix="1" applyNumberFormat="1" applyFont="1" applyFill="1" applyBorder="1" applyAlignment="1">
      <alignment horizontal="center"/>
    </xf>
    <xf numFmtId="2" fontId="26" fillId="0" borderId="0" xfId="1" applyNumberFormat="1" applyFont="1"/>
    <xf numFmtId="0" fontId="29" fillId="2" borderId="52" xfId="1" applyFont="1" applyFill="1" applyBorder="1"/>
    <xf numFmtId="0" fontId="29" fillId="2" borderId="58" xfId="1" applyFont="1" applyFill="1" applyBorder="1"/>
    <xf numFmtId="0" fontId="36" fillId="2" borderId="66" xfId="1" applyFont="1" applyFill="1" applyBorder="1" applyAlignment="1">
      <alignment horizontal="right"/>
    </xf>
    <xf numFmtId="2" fontId="31" fillId="2" borderId="72" xfId="1" quotePrefix="1" applyNumberFormat="1" applyFont="1" applyFill="1" applyBorder="1" applyAlignment="1">
      <alignment horizontal="center"/>
    </xf>
    <xf numFmtId="0" fontId="31" fillId="2" borderId="72" xfId="1" quotePrefix="1" applyFont="1" applyFill="1" applyBorder="1" applyAlignment="1">
      <alignment horizontal="center"/>
    </xf>
    <xf numFmtId="2" fontId="31" fillId="2" borderId="66" xfId="1" applyNumberFormat="1" applyFont="1" applyFill="1" applyBorder="1" applyAlignment="1">
      <alignment horizontal="center"/>
    </xf>
    <xf numFmtId="0" fontId="36" fillId="2" borderId="58" xfId="1" applyFont="1" applyFill="1" applyBorder="1" applyAlignment="1">
      <alignment horizontal="right"/>
    </xf>
    <xf numFmtId="0" fontId="36" fillId="2" borderId="66" xfId="1" applyFont="1" applyFill="1" applyBorder="1"/>
    <xf numFmtId="0" fontId="40" fillId="0" borderId="0" xfId="1" applyFont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31" fillId="2" borderId="113" xfId="1" quotePrefix="1" applyFont="1" applyFill="1" applyBorder="1" applyAlignment="1">
      <alignment horizontal="center"/>
    </xf>
    <xf numFmtId="0" fontId="29" fillId="2" borderId="75" xfId="1" applyFont="1" applyFill="1" applyBorder="1"/>
    <xf numFmtId="0" fontId="29" fillId="2" borderId="104" xfId="1" applyFont="1" applyFill="1" applyBorder="1" applyAlignment="1">
      <alignment horizontal="left"/>
    </xf>
    <xf numFmtId="0" fontId="29" fillId="2" borderId="75" xfId="1" applyFont="1" applyFill="1" applyBorder="1" applyAlignment="1">
      <alignment horizontal="left"/>
    </xf>
    <xf numFmtId="1" fontId="31" fillId="2" borderId="61" xfId="1" applyNumberFormat="1" applyFont="1" applyFill="1" applyBorder="1" applyAlignment="1">
      <alignment horizontal="center"/>
    </xf>
    <xf numFmtId="0" fontId="31" fillId="2" borderId="114" xfId="1" applyFont="1" applyFill="1" applyBorder="1" applyAlignment="1">
      <alignment horizontal="center"/>
    </xf>
    <xf numFmtId="0" fontId="41" fillId="0" borderId="0" xfId="1" applyFont="1" applyAlignment="1">
      <alignment horizontal="right"/>
    </xf>
    <xf numFmtId="2" fontId="26" fillId="0" borderId="0" xfId="2" applyNumberFormat="1" applyFont="1"/>
    <xf numFmtId="0" fontId="29" fillId="2" borderId="0" xfId="1" applyFont="1" applyFill="1"/>
    <xf numFmtId="0" fontId="29" fillId="2" borderId="87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0" fontId="26" fillId="0" borderId="0" xfId="1" applyFont="1" applyAlignment="1">
      <alignment horizontal="right"/>
    </xf>
    <xf numFmtId="0" fontId="29" fillId="2" borderId="40" xfId="1" applyFont="1" applyFill="1" applyBorder="1"/>
    <xf numFmtId="0" fontId="29" fillId="2" borderId="108" xfId="1" applyFont="1" applyFill="1" applyBorder="1" applyAlignment="1">
      <alignment horizontal="left"/>
    </xf>
    <xf numFmtId="0" fontId="29" fillId="2" borderId="100" xfId="1" applyFont="1" applyFill="1" applyBorder="1" applyAlignment="1">
      <alignment horizontal="left"/>
    </xf>
    <xf numFmtId="1" fontId="31" fillId="2" borderId="80" xfId="1" applyNumberFormat="1" applyFont="1" applyFill="1" applyBorder="1" applyAlignment="1">
      <alignment horizontal="center"/>
    </xf>
    <xf numFmtId="0" fontId="31" fillId="2" borderId="115" xfId="1" applyFont="1" applyFill="1" applyBorder="1" applyAlignment="1">
      <alignment horizontal="center"/>
    </xf>
    <xf numFmtId="0" fontId="20" fillId="2" borderId="82" xfId="1" applyFont="1" applyFill="1" applyBorder="1" applyAlignment="1">
      <alignment horizontal="left"/>
    </xf>
    <xf numFmtId="0" fontId="20" fillId="2" borderId="83" xfId="1" applyFont="1" applyFill="1" applyBorder="1" applyAlignment="1">
      <alignment horizontal="left"/>
    </xf>
    <xf numFmtId="0" fontId="20" fillId="2" borderId="84" xfId="1" applyFont="1" applyFill="1" applyBorder="1" applyAlignment="1">
      <alignment horizontal="left"/>
    </xf>
    <xf numFmtId="0" fontId="22" fillId="2" borderId="52" xfId="1" applyFont="1" applyFill="1" applyBorder="1"/>
    <xf numFmtId="0" fontId="26" fillId="2" borderId="74" xfId="1" applyFont="1" applyFill="1" applyBorder="1" applyAlignment="1">
      <alignment horizontal="left"/>
    </xf>
    <xf numFmtId="0" fontId="26" fillId="2" borderId="85" xfId="1" applyFont="1" applyFill="1" applyBorder="1" applyAlignment="1">
      <alignment horizontal="left"/>
    </xf>
    <xf numFmtId="0" fontId="22" fillId="2" borderId="70" xfId="1" applyFont="1" applyFill="1" applyBorder="1" applyAlignment="1">
      <alignment horizontal="left"/>
    </xf>
    <xf numFmtId="0" fontId="22" fillId="2" borderId="76" xfId="1" applyFont="1" applyFill="1" applyBorder="1" applyAlignment="1">
      <alignment horizontal="left"/>
    </xf>
    <xf numFmtId="0" fontId="42" fillId="0" borderId="0" xfId="1" applyFont="1"/>
    <xf numFmtId="0" fontId="29" fillId="0" borderId="116" xfId="1" applyFont="1" applyBorder="1"/>
    <xf numFmtId="0" fontId="29" fillId="2" borderId="119" xfId="1" applyFont="1" applyFill="1" applyBorder="1"/>
    <xf numFmtId="0" fontId="22" fillId="2" borderId="45" xfId="1" applyFont="1" applyFill="1" applyBorder="1"/>
    <xf numFmtId="0" fontId="29" fillId="2" borderId="121" xfId="1" applyFont="1" applyFill="1" applyBorder="1"/>
    <xf numFmtId="0" fontId="29" fillId="2" borderId="23" xfId="1" applyFont="1" applyFill="1" applyBorder="1"/>
    <xf numFmtId="14" fontId="24" fillId="2" borderId="124" xfId="1" applyNumberFormat="1" applyFont="1" applyFill="1" applyBorder="1" applyAlignment="1">
      <alignment horizontal="center"/>
    </xf>
    <xf numFmtId="0" fontId="22" fillId="0" borderId="23" xfId="1" applyFont="1" applyBorder="1"/>
    <xf numFmtId="0" fontId="22" fillId="2" borderId="125" xfId="1" applyFont="1" applyFill="1" applyBorder="1" applyAlignment="1">
      <alignment horizontal="left"/>
    </xf>
    <xf numFmtId="0" fontId="22" fillId="2" borderId="126" xfId="1" applyFont="1" applyFill="1" applyBorder="1" applyAlignment="1">
      <alignment horizontal="left"/>
    </xf>
    <xf numFmtId="0" fontId="22" fillId="0" borderId="0" xfId="1" applyFont="1"/>
    <xf numFmtId="0" fontId="46" fillId="0" borderId="6" xfId="3" applyBorder="1"/>
    <xf numFmtId="0" fontId="46" fillId="0" borderId="7" xfId="3" applyBorder="1"/>
    <xf numFmtId="0" fontId="46" fillId="0" borderId="41" xfId="3" applyBorder="1"/>
    <xf numFmtId="0" fontId="46" fillId="0" borderId="41" xfId="3" applyBorder="1" applyAlignment="1">
      <alignment horizontal="center"/>
    </xf>
    <xf numFmtId="0" fontId="47" fillId="0" borderId="41" xfId="3" applyFont="1" applyBorder="1" applyAlignment="1">
      <alignment horizontal="center"/>
    </xf>
    <xf numFmtId="0" fontId="46" fillId="0" borderId="0" xfId="3"/>
    <xf numFmtId="0" fontId="48" fillId="0" borderId="127" xfId="3" applyFont="1" applyBorder="1" applyAlignment="1">
      <alignment horizontal="center"/>
    </xf>
    <xf numFmtId="0" fontId="46" fillId="0" borderId="127" xfId="3" applyBorder="1" applyAlignment="1">
      <alignment horizontal="center"/>
    </xf>
    <xf numFmtId="0" fontId="47" fillId="0" borderId="127" xfId="3" applyFon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6" fillId="0" borderId="45" xfId="3" applyBorder="1"/>
    <xf numFmtId="0" fontId="49" fillId="0" borderId="0" xfId="3" applyFont="1"/>
    <xf numFmtId="0" fontId="46" fillId="0" borderId="127" xfId="3" applyBorder="1"/>
    <xf numFmtId="0" fontId="47" fillId="0" borderId="0" xfId="3" applyFont="1"/>
    <xf numFmtId="0" fontId="47" fillId="0" borderId="127" xfId="3" applyFont="1" applyBorder="1"/>
    <xf numFmtId="169" fontId="46" fillId="0" borderId="3" xfId="3" applyNumberFormat="1" applyBorder="1"/>
    <xf numFmtId="49" fontId="46" fillId="0" borderId="1" xfId="3" applyNumberFormat="1" applyBorder="1" applyAlignment="1">
      <alignment horizontal="center"/>
    </xf>
    <xf numFmtId="49" fontId="46" fillId="0" borderId="1" xfId="3" applyNumberFormat="1" applyBorder="1"/>
    <xf numFmtId="49" fontId="47" fillId="0" borderId="1" xfId="3" applyNumberFormat="1" applyFont="1" applyBorder="1"/>
    <xf numFmtId="170" fontId="47" fillId="0" borderId="1" xfId="3" applyNumberFormat="1" applyFont="1" applyBorder="1"/>
    <xf numFmtId="0" fontId="46" fillId="0" borderId="1" xfId="3" applyBorder="1"/>
    <xf numFmtId="0" fontId="46" fillId="0" borderId="9" xfId="3" applyBorder="1"/>
    <xf numFmtId="170" fontId="46" fillId="0" borderId="1" xfId="3" applyNumberFormat="1" applyBorder="1"/>
    <xf numFmtId="0" fontId="46" fillId="0" borderId="1" xfId="3" applyBorder="1" applyAlignment="1">
      <alignment horizontal="center"/>
    </xf>
    <xf numFmtId="169" fontId="46" fillId="0" borderId="18" xfId="3" applyNumberFormat="1" applyBorder="1"/>
    <xf numFmtId="49" fontId="46" fillId="0" borderId="26" xfId="3" applyNumberFormat="1" applyBorder="1"/>
    <xf numFmtId="170" fontId="46" fillId="0" borderId="26" xfId="3" applyNumberFormat="1" applyBorder="1"/>
    <xf numFmtId="0" fontId="46" fillId="0" borderId="26" xfId="3" applyBorder="1"/>
    <xf numFmtId="0" fontId="46" fillId="0" borderId="128" xfId="3" applyBorder="1"/>
    <xf numFmtId="0" fontId="47" fillId="0" borderId="129" xfId="3" applyFont="1" applyBorder="1" applyAlignment="1">
      <alignment horizontal="center"/>
    </xf>
    <xf numFmtId="0" fontId="47" fillId="0" borderId="130" xfId="3" applyFont="1" applyBorder="1" applyAlignment="1">
      <alignment horizontal="center"/>
    </xf>
    <xf numFmtId="49" fontId="47" fillId="0" borderId="2" xfId="3" applyNumberFormat="1" applyFont="1" applyBorder="1" applyAlignment="1">
      <alignment horizontal="center"/>
    </xf>
    <xf numFmtId="0" fontId="46" fillId="0" borderId="57" xfId="3" applyBorder="1" applyAlignment="1">
      <alignment horizontal="left"/>
    </xf>
    <xf numFmtId="49" fontId="46" fillId="0" borderId="3" xfId="3" applyNumberFormat="1" applyBorder="1"/>
    <xf numFmtId="0" fontId="46" fillId="0" borderId="132" xfId="3" applyBorder="1" applyAlignment="1">
      <alignment horizontal="left"/>
    </xf>
    <xf numFmtId="49" fontId="46" fillId="0" borderId="4" xfId="3" applyNumberFormat="1" applyBorder="1"/>
    <xf numFmtId="0" fontId="46" fillId="0" borderId="134" xfId="3" applyBorder="1" applyAlignment="1">
      <alignment horizontal="left"/>
    </xf>
    <xf numFmtId="0" fontId="46" fillId="0" borderId="0" xfId="4"/>
    <xf numFmtId="0" fontId="50" fillId="0" borderId="0" xfId="4" applyFont="1"/>
    <xf numFmtId="0" fontId="52" fillId="0" borderId="20" xfId="4" applyFont="1" applyBorder="1" applyAlignment="1">
      <alignment horizontal="right"/>
    </xf>
    <xf numFmtId="0" fontId="52" fillId="0" borderId="47" xfId="4" applyFont="1" applyBorder="1" applyAlignment="1">
      <alignment horizontal="right"/>
    </xf>
    <xf numFmtId="0" fontId="52" fillId="0" borderId="103" xfId="4" applyFont="1" applyBorder="1" applyAlignment="1">
      <alignment horizontal="center"/>
    </xf>
    <xf numFmtId="0" fontId="23" fillId="0" borderId="38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23" fillId="0" borderId="38" xfId="4" applyFont="1" applyBorder="1"/>
    <xf numFmtId="0" fontId="46" fillId="0" borderId="46" xfId="4" applyBorder="1"/>
    <xf numFmtId="0" fontId="23" fillId="0" borderId="48" xfId="4" applyFont="1" applyBorder="1" applyAlignment="1">
      <alignment horizontal="center"/>
    </xf>
    <xf numFmtId="0" fontId="50" fillId="0" borderId="53" xfId="4" applyFont="1" applyBorder="1" applyAlignment="1">
      <alignment horizontal="center"/>
    </xf>
    <xf numFmtId="0" fontId="23" fillId="0" borderId="48" xfId="4" applyFont="1" applyBorder="1"/>
    <xf numFmtId="0" fontId="52" fillId="0" borderId="103" xfId="4" applyFont="1" applyBorder="1" applyAlignment="1">
      <alignment horizontal="right"/>
    </xf>
    <xf numFmtId="0" fontId="23" fillId="0" borderId="27" xfId="4" applyFont="1" applyBorder="1" applyAlignment="1">
      <alignment horizontal="center"/>
    </xf>
    <xf numFmtId="0" fontId="52" fillId="0" borderId="46" xfId="4" applyFont="1" applyBorder="1" applyAlignment="1">
      <alignment horizontal="right"/>
    </xf>
    <xf numFmtId="0" fontId="23" fillId="0" borderId="24" xfId="4" applyFont="1" applyBorder="1" applyAlignment="1">
      <alignment horizontal="center"/>
    </xf>
    <xf numFmtId="0" fontId="23" fillId="0" borderId="32" xfId="4" applyFont="1" applyBorder="1" applyAlignment="1">
      <alignment horizontal="center"/>
    </xf>
    <xf numFmtId="0" fontId="50" fillId="0" borderId="0" xfId="4" applyFont="1" applyAlignment="1">
      <alignment horizontal="center"/>
    </xf>
    <xf numFmtId="0" fontId="53" fillId="0" borderId="63" xfId="4" applyFont="1" applyBorder="1"/>
    <xf numFmtId="0" fontId="53" fillId="0" borderId="64" xfId="4" applyFont="1" applyBorder="1"/>
    <xf numFmtId="0" fontId="53" fillId="0" borderId="38" xfId="4" applyFont="1" applyBorder="1"/>
    <xf numFmtId="0" fontId="54" fillId="0" borderId="52" xfId="4" applyFont="1" applyBorder="1" applyAlignment="1">
      <alignment horizontal="centerContinuous"/>
    </xf>
    <xf numFmtId="0" fontId="53" fillId="0" borderId="0" xfId="4" applyFont="1" applyAlignment="1">
      <alignment horizontal="centerContinuous"/>
    </xf>
    <xf numFmtId="0" fontId="53" fillId="0" borderId="51" xfId="4" applyFont="1" applyBorder="1" applyAlignment="1">
      <alignment horizontal="centerContinuous"/>
    </xf>
    <xf numFmtId="0" fontId="55" fillId="0" borderId="52" xfId="4" applyFont="1" applyBorder="1" applyAlignment="1">
      <alignment horizontal="centerContinuous"/>
    </xf>
    <xf numFmtId="0" fontId="53" fillId="0" borderId="52" xfId="4" applyFont="1" applyBorder="1"/>
    <xf numFmtId="0" fontId="53" fillId="0" borderId="0" xfId="4" applyFont="1"/>
    <xf numFmtId="0" fontId="53" fillId="0" borderId="51" xfId="4" applyFont="1" applyBorder="1"/>
    <xf numFmtId="0" fontId="51" fillId="0" borderId="1" xfId="4" applyFont="1" applyBorder="1" applyAlignment="1">
      <alignment horizontal="right"/>
    </xf>
    <xf numFmtId="0" fontId="53" fillId="0" borderId="1" xfId="4" applyFont="1" applyBorder="1" applyAlignment="1">
      <alignment horizontal="center"/>
    </xf>
    <xf numFmtId="14" fontId="53" fillId="0" borderId="1" xfId="4" applyNumberFormat="1" applyFont="1" applyBorder="1" applyAlignment="1">
      <alignment horizontal="center"/>
    </xf>
    <xf numFmtId="0" fontId="51" fillId="0" borderId="0" xfId="4" applyFont="1" applyAlignment="1">
      <alignment horizontal="right"/>
    </xf>
    <xf numFmtId="0" fontId="53" fillId="0" borderId="0" xfId="4" applyFont="1" applyAlignment="1">
      <alignment horizontal="center"/>
    </xf>
    <xf numFmtId="9" fontId="53" fillId="0" borderId="0" xfId="4" applyNumberFormat="1" applyFont="1" applyAlignment="1">
      <alignment horizontal="center"/>
    </xf>
    <xf numFmtId="0" fontId="51" fillId="0" borderId="52" xfId="4" applyFont="1" applyBorder="1" applyAlignment="1">
      <alignment horizontal="right"/>
    </xf>
    <xf numFmtId="0" fontId="53" fillId="0" borderId="40" xfId="4" applyFont="1" applyBorder="1"/>
    <xf numFmtId="0" fontId="53" fillId="0" borderId="39" xfId="4" applyFont="1" applyBorder="1" applyAlignment="1">
      <alignment horizontal="center"/>
    </xf>
    <xf numFmtId="0" fontId="53" fillId="0" borderId="86" xfId="4" applyFont="1" applyBorder="1"/>
    <xf numFmtId="0" fontId="51" fillId="0" borderId="17" xfId="4" applyFont="1" applyBorder="1" applyAlignment="1">
      <alignment horizontal="right"/>
    </xf>
    <xf numFmtId="0" fontId="53" fillId="0" borderId="132" xfId="4" applyFont="1" applyBorder="1"/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4" applyFont="1" applyAlignment="1">
      <alignment horizontal="right"/>
    </xf>
    <xf numFmtId="0" fontId="16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50" fillId="0" borderId="131" xfId="4" applyFont="1" applyBorder="1" applyAlignment="1">
      <alignment horizontal="center"/>
    </xf>
    <xf numFmtId="0" fontId="50" fillId="0" borderId="132" xfId="4" quotePrefix="1" applyFont="1" applyBorder="1" applyAlignment="1">
      <alignment horizontal="center"/>
    </xf>
    <xf numFmtId="0" fontId="50" fillId="0" borderId="132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8" fillId="0" borderId="0" xfId="4" applyFont="1"/>
    <xf numFmtId="0" fontId="59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20" fillId="2" borderId="120" xfId="1" applyFont="1" applyFill="1" applyBorder="1" applyAlignment="1">
      <alignment horizontal="center" shrinkToFit="1"/>
    </xf>
    <xf numFmtId="166" fontId="0" fillId="0" borderId="0" xfId="0" applyNumberFormat="1"/>
    <xf numFmtId="1" fontId="0" fillId="0" borderId="0" xfId="0" applyNumberFormat="1"/>
    <xf numFmtId="171" fontId="61" fillId="0" borderId="6" xfId="5" applyFont="1" applyBorder="1" applyAlignment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>
      <alignment horizontal="left"/>
    </xf>
    <xf numFmtId="171" fontId="63" fillId="0" borderId="57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>
      <alignment horizontal="centerContinuous"/>
    </xf>
    <xf numFmtId="171" fontId="61" fillId="0" borderId="0" xfId="5" applyFont="1" applyAlignment="1">
      <alignment horizontal="centerContinuous"/>
    </xf>
    <xf numFmtId="171" fontId="62" fillId="0" borderId="109" xfId="5" applyFont="1" applyBorder="1" applyAlignment="1">
      <alignment horizontal="left"/>
    </xf>
    <xf numFmtId="171" fontId="63" fillId="0" borderId="39" xfId="5" applyFont="1" applyBorder="1"/>
    <xf numFmtId="171" fontId="62" fillId="0" borderId="40" xfId="5" applyFont="1" applyBorder="1" applyAlignment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>
      <alignment horizontal="centerContinuous"/>
    </xf>
    <xf numFmtId="171" fontId="64" fillId="0" borderId="45" xfId="5" applyFont="1" applyBorder="1" applyAlignment="1">
      <alignment horizontal="centerContinuous"/>
    </xf>
    <xf numFmtId="171" fontId="64" fillId="0" borderId="46" xfId="5" applyFont="1" applyBorder="1" applyAlignment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Alignment="1">
      <alignment horizontal="centerContinuous"/>
    </xf>
    <xf numFmtId="171" fontId="62" fillId="0" borderId="0" xfId="5" applyFont="1" applyAlignment="1">
      <alignment horizontal="left"/>
    </xf>
    <xf numFmtId="171" fontId="63" fillId="0" borderId="0" xfId="5" applyFont="1"/>
    <xf numFmtId="171" fontId="62" fillId="0" borderId="0" xfId="5" applyFont="1" applyAlignment="1">
      <alignment horizontal="centerContinuous"/>
    </xf>
    <xf numFmtId="171" fontId="67" fillId="0" borderId="0" xfId="5" applyFont="1"/>
    <xf numFmtId="171" fontId="67" fillId="0" borderId="0" xfId="5" applyFont="1" applyAlignment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Alignment="1">
      <alignment horizontal="centerContinuous"/>
    </xf>
    <xf numFmtId="171" fontId="67" fillId="0" borderId="0" xfId="5" applyFont="1" applyAlignment="1">
      <alignment horizontal="left"/>
    </xf>
    <xf numFmtId="49" fontId="67" fillId="0" borderId="0" xfId="5" quotePrefix="1" applyNumberFormat="1" applyFont="1" applyAlignment="1" applyProtection="1">
      <alignment horizontal="left"/>
      <protection locked="0"/>
    </xf>
    <xf numFmtId="171" fontId="68" fillId="0" borderId="136" xfId="5" applyFont="1" applyBorder="1" applyAlignment="1">
      <alignment horizontal="centerContinuous"/>
    </xf>
    <xf numFmtId="171" fontId="64" fillId="0" borderId="137" xfId="5" applyFont="1" applyBorder="1" applyAlignment="1">
      <alignment horizontal="centerContinuous"/>
    </xf>
    <xf numFmtId="171" fontId="64" fillId="0" borderId="138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7" fillId="0" borderId="0" xfId="5" applyFont="1" applyAlignment="1">
      <alignment horizontal="center"/>
    </xf>
    <xf numFmtId="49" fontId="67" fillId="0" borderId="0" xfId="5" applyNumberFormat="1" applyFont="1" applyAlignment="1">
      <alignment horizontal="center"/>
    </xf>
    <xf numFmtId="172" fontId="67" fillId="0" borderId="0" xfId="5" applyNumberFormat="1" applyFont="1" applyAlignment="1" applyProtection="1">
      <alignment horizontal="center"/>
      <protection locked="0"/>
    </xf>
    <xf numFmtId="171" fontId="67" fillId="0" borderId="0" xfId="5" quotePrefix="1" applyFont="1" applyAlignment="1">
      <alignment horizontal="right"/>
    </xf>
    <xf numFmtId="171" fontId="67" fillId="0" borderId="0" xfId="5" quotePrefix="1" applyFont="1" applyAlignment="1" applyProtection="1">
      <alignment horizontal="center"/>
      <protection locked="0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66" fontId="67" fillId="0" borderId="23" xfId="5" applyNumberFormat="1" applyFont="1" applyBorder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Alignment="1">
      <alignment horizontal="right"/>
    </xf>
    <xf numFmtId="171" fontId="63" fillId="0" borderId="51" xfId="5" applyFont="1" applyBorder="1"/>
    <xf numFmtId="171" fontId="69" fillId="0" borderId="0" xfId="5" applyFont="1" applyAlignment="1">
      <alignment horizontal="left"/>
    </xf>
    <xf numFmtId="171" fontId="63" fillId="0" borderId="0" xfId="5" applyFont="1" applyAlignment="1">
      <alignment horizontal="right"/>
    </xf>
    <xf numFmtId="171" fontId="63" fillId="0" borderId="51" xfId="5" applyFont="1" applyBorder="1" applyAlignment="1">
      <alignment horizontal="right"/>
    </xf>
    <xf numFmtId="171" fontId="69" fillId="0" borderId="0" xfId="5" quotePrefix="1" applyFont="1" applyAlignment="1">
      <alignment horizontal="left"/>
    </xf>
    <xf numFmtId="171" fontId="63" fillId="0" borderId="21" xfId="5" applyFont="1" applyBorder="1"/>
    <xf numFmtId="171" fontId="60" fillId="0" borderId="45" xfId="5" applyBorder="1"/>
    <xf numFmtId="171" fontId="67" fillId="0" borderId="51" xfId="5" applyFont="1" applyBorder="1" applyAlignment="1" applyProtection="1">
      <alignment horizontal="center"/>
      <protection locked="0"/>
    </xf>
    <xf numFmtId="1" fontId="67" fillId="0" borderId="51" xfId="5" applyNumberFormat="1" applyFont="1" applyBorder="1" applyAlignment="1">
      <alignment horizontal="center"/>
    </xf>
    <xf numFmtId="171" fontId="67" fillId="0" borderId="51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8" fillId="0" borderId="139" xfId="5" applyFont="1" applyBorder="1" applyAlignment="1">
      <alignment horizontal="centerContinuous"/>
    </xf>
    <xf numFmtId="171" fontId="64" fillId="0" borderId="140" xfId="5" applyFont="1" applyBorder="1" applyAlignment="1">
      <alignment horizontal="centerContinuous"/>
    </xf>
    <xf numFmtId="171" fontId="60" fillId="0" borderId="141" xfId="5" applyBorder="1"/>
    <xf numFmtId="171" fontId="64" fillId="0" borderId="142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51" xfId="5" applyBorder="1"/>
    <xf numFmtId="166" fontId="67" fillId="0" borderId="0" xfId="5" applyNumberFormat="1" applyFont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Alignment="1">
      <alignment horizontal="left"/>
    </xf>
    <xf numFmtId="171" fontId="64" fillId="0" borderId="139" xfId="5" applyFont="1" applyBorder="1"/>
    <xf numFmtId="171" fontId="63" fillId="0" borderId="140" xfId="5" applyFont="1" applyBorder="1" applyAlignment="1">
      <alignment horizontal="left"/>
    </xf>
    <xf numFmtId="171" fontId="63" fillId="0" borderId="142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3" xfId="5" applyFont="1" applyBorder="1"/>
    <xf numFmtId="171" fontId="67" fillId="0" borderId="0" xfId="5" quotePrefix="1" applyFont="1" applyAlignment="1">
      <alignment horizontal="left"/>
    </xf>
    <xf numFmtId="171" fontId="67" fillId="0" borderId="144" xfId="5" quotePrefix="1" applyFont="1" applyBorder="1" applyAlignment="1">
      <alignment horizontal="left"/>
    </xf>
    <xf numFmtId="171" fontId="67" fillId="0" borderId="145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>
      <alignment horizontal="right"/>
    </xf>
    <xf numFmtId="171" fontId="60" fillId="0" borderId="0" xfId="5" applyAlignment="1">
      <alignment horizontal="right"/>
    </xf>
    <xf numFmtId="0" fontId="53" fillId="0" borderId="63" xfId="6" applyFont="1" applyBorder="1"/>
    <xf numFmtId="0" fontId="53" fillId="0" borderId="64" xfId="6" applyFont="1" applyBorder="1"/>
    <xf numFmtId="0" fontId="53" fillId="0" borderId="38" xfId="6" applyFont="1" applyBorder="1"/>
    <xf numFmtId="0" fontId="1" fillId="0" borderId="0" xfId="6"/>
    <xf numFmtId="0" fontId="54" fillId="0" borderId="52" xfId="6" applyFont="1" applyBorder="1" applyAlignment="1">
      <alignment horizontal="centerContinuous"/>
    </xf>
    <xf numFmtId="0" fontId="53" fillId="0" borderId="0" xfId="6" applyFont="1" applyAlignment="1">
      <alignment horizontal="centerContinuous"/>
    </xf>
    <xf numFmtId="0" fontId="53" fillId="0" borderId="51" xfId="6" applyFont="1" applyBorder="1" applyAlignment="1">
      <alignment horizontal="centerContinuous"/>
    </xf>
    <xf numFmtId="0" fontId="55" fillId="0" borderId="52" xfId="6" applyFont="1" applyBorder="1" applyAlignment="1">
      <alignment horizontal="centerContinuous"/>
    </xf>
    <xf numFmtId="0" fontId="53" fillId="0" borderId="52" xfId="6" applyFont="1" applyBorder="1"/>
    <xf numFmtId="0" fontId="53" fillId="0" borderId="0" xfId="6" applyFont="1"/>
    <xf numFmtId="0" fontId="53" fillId="0" borderId="51" xfId="6" applyFont="1" applyBorder="1"/>
    <xf numFmtId="0" fontId="73" fillId="0" borderId="0" xfId="6" applyFont="1"/>
    <xf numFmtId="0" fontId="2" fillId="0" borderId="44" xfId="6" applyFont="1" applyBorder="1" applyAlignment="1">
      <alignment horizontal="center"/>
    </xf>
    <xf numFmtId="0" fontId="2" fillId="0" borderId="56" xfId="6" applyFont="1" applyBorder="1" applyAlignment="1">
      <alignment horizontal="center"/>
    </xf>
    <xf numFmtId="166" fontId="3" fillId="0" borderId="147" xfId="6" quotePrefix="1" applyNumberFormat="1" applyFont="1" applyBorder="1" applyAlignment="1">
      <alignment horizontal="center"/>
    </xf>
    <xf numFmtId="166" fontId="2" fillId="0" borderId="39" xfId="6" applyNumberFormat="1" applyFont="1" applyBorder="1" applyAlignment="1">
      <alignment horizontal="center"/>
    </xf>
    <xf numFmtId="166" fontId="2" fillId="0" borderId="28" xfId="6" applyNumberFormat="1" applyFont="1" applyBorder="1" applyAlignment="1">
      <alignment horizontal="center"/>
    </xf>
    <xf numFmtId="166" fontId="2" fillId="0" borderId="148" xfId="6" applyNumberFormat="1" applyFont="1" applyBorder="1" applyAlignment="1">
      <alignment horizontal="center"/>
    </xf>
    <xf numFmtId="166" fontId="3" fillId="0" borderId="149" xfId="6" quotePrefix="1" applyNumberFormat="1" applyFont="1" applyBorder="1" applyAlignment="1">
      <alignment horizontal="center"/>
    </xf>
    <xf numFmtId="166" fontId="2" fillId="0" borderId="132" xfId="6" applyNumberFormat="1" applyFont="1" applyBorder="1" applyAlignment="1">
      <alignment horizontal="center"/>
    </xf>
    <xf numFmtId="166" fontId="2" fillId="0" borderId="1" xfId="6" applyNumberFormat="1" applyFont="1" applyBorder="1" applyAlignment="1">
      <alignment horizontal="center"/>
    </xf>
    <xf numFmtId="166" fontId="2" fillId="0" borderId="9" xfId="6" applyNumberFormat="1" applyFont="1" applyBorder="1" applyAlignment="1">
      <alignment horizontal="center"/>
    </xf>
    <xf numFmtId="166" fontId="3" fillId="0" borderId="25" xfId="6" quotePrefix="1" applyNumberFormat="1" applyFont="1" applyBorder="1" applyAlignment="1">
      <alignment horizontal="center"/>
    </xf>
    <xf numFmtId="166" fontId="2" fillId="0" borderId="134" xfId="6" applyNumberFormat="1" applyFont="1" applyBorder="1" applyAlignment="1">
      <alignment horizontal="center"/>
    </xf>
    <xf numFmtId="166" fontId="2" fillId="0" borderId="11" xfId="6" applyNumberFormat="1" applyFont="1" applyBorder="1" applyAlignment="1">
      <alignment horizontal="center"/>
    </xf>
    <xf numFmtId="166" fontId="2" fillId="0" borderId="33" xfId="6" applyNumberFormat="1" applyFont="1" applyBorder="1" applyAlignment="1">
      <alignment horizontal="center"/>
    </xf>
    <xf numFmtId="166" fontId="3" fillId="0" borderId="0" xfId="6" quotePrefix="1" applyNumberFormat="1" applyFont="1" applyAlignment="1">
      <alignment horizontal="center"/>
    </xf>
    <xf numFmtId="166" fontId="2" fillId="0" borderId="0" xfId="6" applyNumberFormat="1" applyFont="1" applyAlignment="1">
      <alignment horizontal="center"/>
    </xf>
    <xf numFmtId="166" fontId="3" fillId="0" borderId="0" xfId="6" applyNumberFormat="1" applyFont="1" applyAlignment="1">
      <alignment horizontal="center"/>
    </xf>
    <xf numFmtId="49" fontId="53" fillId="0" borderId="40" xfId="4" applyNumberFormat="1" applyFont="1" applyBorder="1"/>
    <xf numFmtId="0" fontId="24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60" xfId="1" applyFont="1" applyBorder="1" applyAlignment="1">
      <alignment horizontal="left"/>
    </xf>
    <xf numFmtId="0" fontId="29" fillId="0" borderId="61" xfId="1" applyFont="1" applyBorder="1" applyAlignment="1">
      <alignment horizontal="left"/>
    </xf>
    <xf numFmtId="0" fontId="30" fillId="2" borderId="62" xfId="1" applyFont="1" applyFill="1" applyBorder="1" applyAlignment="1">
      <alignment horizontal="center"/>
    </xf>
    <xf numFmtId="0" fontId="30" fillId="2" borderId="58" xfId="1" applyFont="1" applyFill="1" applyBorder="1" applyAlignment="1">
      <alignment horizontal="center"/>
    </xf>
    <xf numFmtId="0" fontId="20" fillId="2" borderId="63" xfId="1" applyFont="1" applyFill="1" applyBorder="1" applyAlignment="1">
      <alignment horizontal="left"/>
    </xf>
    <xf numFmtId="0" fontId="20" fillId="2" borderId="64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0" fontId="20" fillId="0" borderId="82" xfId="1" applyFont="1" applyBorder="1" applyAlignment="1">
      <alignment horizontal="left"/>
    </xf>
    <xf numFmtId="0" fontId="20" fillId="0" borderId="83" xfId="1" applyFont="1" applyBorder="1" applyAlignment="1">
      <alignment horizontal="left"/>
    </xf>
    <xf numFmtId="0" fontId="20" fillId="0" borderId="84" xfId="1" applyFont="1" applyBorder="1" applyAlignment="1">
      <alignment horizontal="left"/>
    </xf>
    <xf numFmtId="0" fontId="29" fillId="0" borderId="65" xfId="1" applyFont="1" applyBorder="1" applyAlignment="1">
      <alignment horizontal="left"/>
    </xf>
    <xf numFmtId="0" fontId="29" fillId="0" borderId="66" xfId="1" applyFont="1" applyBorder="1" applyAlignment="1">
      <alignment horizontal="left"/>
    </xf>
    <xf numFmtId="2" fontId="31" fillId="0" borderId="67" xfId="1" applyNumberFormat="1" applyFont="1" applyBorder="1" applyAlignment="1">
      <alignment horizontal="center"/>
    </xf>
    <xf numFmtId="2" fontId="31" fillId="0" borderId="68" xfId="1" applyNumberFormat="1" applyFont="1" applyBorder="1" applyAlignment="1">
      <alignment horizontal="center"/>
    </xf>
    <xf numFmtId="0" fontId="31" fillId="0" borderId="67" xfId="1" applyFont="1" applyBorder="1" applyAlignment="1">
      <alignment horizontal="center"/>
    </xf>
    <xf numFmtId="0" fontId="31" fillId="0" borderId="68" xfId="1" applyFont="1" applyBorder="1" applyAlignment="1">
      <alignment horizontal="center"/>
    </xf>
    <xf numFmtId="0" fontId="29" fillId="0" borderId="77" xfId="1" applyFont="1" applyBorder="1" applyAlignment="1">
      <alignment horizontal="left"/>
    </xf>
    <xf numFmtId="0" fontId="29" fillId="0" borderId="70" xfId="1" applyFont="1" applyBorder="1" applyAlignment="1">
      <alignment horizontal="left"/>
    </xf>
    <xf numFmtId="0" fontId="29" fillId="0" borderId="71" xfId="1" applyFont="1" applyBorder="1" applyAlignment="1">
      <alignment horizontal="left"/>
    </xf>
    <xf numFmtId="166" fontId="31" fillId="2" borderId="67" xfId="1" applyNumberFormat="1" applyFont="1" applyFill="1" applyBorder="1" applyAlignment="1">
      <alignment horizontal="center"/>
    </xf>
    <xf numFmtId="166" fontId="31" fillId="2" borderId="68" xfId="1" applyNumberFormat="1" applyFont="1" applyFill="1" applyBorder="1" applyAlignment="1">
      <alignment horizontal="center"/>
    </xf>
    <xf numFmtId="0" fontId="31" fillId="2" borderId="67" xfId="1" applyFont="1" applyFill="1" applyBorder="1" applyAlignment="1">
      <alignment horizontal="center"/>
    </xf>
    <xf numFmtId="0" fontId="31" fillId="2" borderId="68" xfId="1" applyFont="1" applyFill="1" applyBorder="1" applyAlignment="1">
      <alignment horizontal="center"/>
    </xf>
    <xf numFmtId="166" fontId="31" fillId="0" borderId="67" xfId="1" applyNumberFormat="1" applyFont="1" applyBorder="1" applyAlignment="1">
      <alignment horizontal="center"/>
    </xf>
    <xf numFmtId="166" fontId="31" fillId="0" borderId="68" xfId="1" applyNumberFormat="1" applyFont="1" applyBorder="1" applyAlignment="1">
      <alignment horizontal="center"/>
    </xf>
    <xf numFmtId="1" fontId="31" fillId="2" borderId="67" xfId="1" applyNumberFormat="1" applyFont="1" applyFill="1" applyBorder="1" applyAlignment="1">
      <alignment horizontal="center"/>
    </xf>
    <xf numFmtId="1" fontId="31" fillId="2" borderId="68" xfId="1" applyNumberFormat="1" applyFont="1" applyFill="1" applyBorder="1" applyAlignment="1">
      <alignment horizontal="center"/>
    </xf>
    <xf numFmtId="0" fontId="29" fillId="2" borderId="77" xfId="1" applyFont="1" applyFill="1" applyBorder="1" applyAlignment="1">
      <alignment horizontal="left"/>
    </xf>
    <xf numFmtId="0" fontId="29" fillId="2" borderId="70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2" fontId="31" fillId="2" borderId="67" xfId="1" applyNumberFormat="1" applyFont="1" applyFill="1" applyBorder="1" applyAlignment="1">
      <alignment horizontal="center"/>
    </xf>
    <xf numFmtId="2" fontId="31" fillId="2" borderId="68" xfId="1" applyNumberFormat="1" applyFont="1" applyFill="1" applyBorder="1" applyAlignment="1">
      <alignment horizontal="center"/>
    </xf>
    <xf numFmtId="0" fontId="29" fillId="2" borderId="77" xfId="1" quotePrefix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left"/>
    </xf>
    <xf numFmtId="0" fontId="29" fillId="2" borderId="71" xfId="1" quotePrefix="1" applyFont="1" applyFill="1" applyBorder="1" applyAlignment="1">
      <alignment horizontal="left"/>
    </xf>
    <xf numFmtId="0" fontId="29" fillId="2" borderId="88" xfId="1" applyFont="1" applyFill="1" applyBorder="1" applyAlignment="1">
      <alignment horizontal="center"/>
    </xf>
    <xf numFmtId="0" fontId="29" fillId="2" borderId="89" xfId="1" applyFont="1" applyFill="1" applyBorder="1" applyAlignment="1">
      <alignment horizontal="center"/>
    </xf>
    <xf numFmtId="0" fontId="29" fillId="2" borderId="52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90" xfId="1" applyFont="1" applyFill="1" applyBorder="1" applyAlignment="1">
      <alignment horizontal="left"/>
    </xf>
    <xf numFmtId="0" fontId="29" fillId="2" borderId="91" xfId="1" applyFont="1" applyFill="1" applyBorder="1" applyAlignment="1">
      <alignment horizontal="left"/>
    </xf>
    <xf numFmtId="0" fontId="29" fillId="2" borderId="92" xfId="1" applyFont="1" applyFill="1" applyBorder="1" applyAlignment="1">
      <alignment horizontal="left"/>
    </xf>
    <xf numFmtId="0" fontId="31" fillId="2" borderId="93" xfId="1" applyFont="1" applyFill="1" applyBorder="1" applyAlignment="1">
      <alignment horizontal="center"/>
    </xf>
    <xf numFmtId="0" fontId="31" fillId="0" borderId="93" xfId="1" applyFont="1" applyBorder="1" applyAlignment="1">
      <alignment horizontal="center"/>
    </xf>
    <xf numFmtId="168" fontId="31" fillId="2" borderId="67" xfId="1" applyNumberFormat="1" applyFont="1" applyFill="1" applyBorder="1" applyAlignment="1">
      <alignment horizontal="center"/>
    </xf>
    <xf numFmtId="168" fontId="31" fillId="2" borderId="68" xfId="1" applyNumberFormat="1" applyFont="1" applyFill="1" applyBorder="1" applyAlignment="1">
      <alignment horizontal="center"/>
    </xf>
    <xf numFmtId="1" fontId="31" fillId="2" borderId="101" xfId="1" applyNumberFormat="1" applyFont="1" applyFill="1" applyBorder="1" applyAlignment="1">
      <alignment horizontal="center"/>
    </xf>
    <xf numFmtId="1" fontId="31" fillId="2" borderId="102" xfId="1" applyNumberFormat="1" applyFont="1" applyFill="1" applyBorder="1" applyAlignment="1">
      <alignment horizontal="center"/>
    </xf>
    <xf numFmtId="0" fontId="26" fillId="0" borderId="108" xfId="1" applyFont="1" applyBorder="1" applyAlignment="1">
      <alignment horizontal="left"/>
    </xf>
    <xf numFmtId="0" fontId="26" fillId="0" borderId="79" xfId="1" applyFont="1" applyBorder="1" applyAlignment="1">
      <alignment horizontal="left"/>
    </xf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14" fontId="24" fillId="2" borderId="122" xfId="1" applyNumberFormat="1" applyFont="1" applyFill="1" applyBorder="1" applyAlignment="1">
      <alignment horizontal="center"/>
    </xf>
    <xf numFmtId="14" fontId="24" fillId="2" borderId="123" xfId="1" applyNumberFormat="1" applyFont="1" applyFill="1" applyBorder="1" applyAlignment="1">
      <alignment horizontal="center"/>
    </xf>
    <xf numFmtId="0" fontId="26" fillId="0" borderId="45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51" xfId="1" applyFont="1" applyBorder="1" applyAlignment="1">
      <alignment horizontal="center"/>
    </xf>
    <xf numFmtId="0" fontId="26" fillId="0" borderId="109" xfId="1" applyFont="1" applyBorder="1" applyAlignment="1">
      <alignment horizontal="center"/>
    </xf>
    <xf numFmtId="0" fontId="26" fillId="0" borderId="40" xfId="1" applyFont="1" applyBorder="1" applyAlignment="1">
      <alignment horizontal="center"/>
    </xf>
    <xf numFmtId="0" fontId="26" fillId="0" borderId="39" xfId="1" applyFont="1" applyBorder="1" applyAlignment="1">
      <alignment horizontal="center"/>
    </xf>
    <xf numFmtId="0" fontId="20" fillId="0" borderId="38" xfId="1" applyFont="1" applyBorder="1" applyAlignment="1">
      <alignment horizontal="left"/>
    </xf>
    <xf numFmtId="0" fontId="26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6" fillId="0" borderId="51" xfId="2" applyFont="1" applyBorder="1" applyAlignment="1">
      <alignment horizontal="center"/>
    </xf>
    <xf numFmtId="0" fontId="26" fillId="0" borderId="46" xfId="2" applyFont="1" applyBorder="1" applyAlignment="1">
      <alignment horizontal="center"/>
    </xf>
    <xf numFmtId="0" fontId="26" fillId="0" borderId="23" xfId="2" applyFont="1" applyBorder="1" applyAlignment="1">
      <alignment horizontal="center"/>
    </xf>
    <xf numFmtId="0" fontId="26" fillId="0" borderId="48" xfId="2" applyFont="1" applyBorder="1" applyAlignment="1">
      <alignment horizontal="center"/>
    </xf>
    <xf numFmtId="0" fontId="43" fillId="2" borderId="117" xfId="1" applyFont="1" applyFill="1" applyBorder="1" applyAlignment="1">
      <alignment horizontal="center"/>
    </xf>
    <xf numFmtId="0" fontId="43" fillId="2" borderId="118" xfId="1" applyFont="1" applyFill="1" applyBorder="1" applyAlignment="1">
      <alignment horizontal="center"/>
    </xf>
    <xf numFmtId="0" fontId="46" fillId="0" borderId="50" xfId="3" applyBorder="1" applyAlignment="1">
      <alignment horizontal="left"/>
    </xf>
    <xf numFmtId="0" fontId="46" fillId="0" borderId="13" xfId="3" applyBorder="1" applyAlignment="1">
      <alignment horizontal="left"/>
    </xf>
    <xf numFmtId="169" fontId="46" fillId="0" borderId="50" xfId="3" applyNumberFormat="1" applyBorder="1" applyAlignment="1">
      <alignment horizontal="center"/>
    </xf>
    <xf numFmtId="169" fontId="46" fillId="0" borderId="13" xfId="3" applyNumberFormat="1" applyBorder="1" applyAlignment="1">
      <alignment horizontal="center"/>
    </xf>
    <xf numFmtId="169" fontId="46" fillId="0" borderId="57" xfId="3" applyNumberFormat="1" applyBorder="1" applyAlignment="1">
      <alignment horizontal="center"/>
    </xf>
    <xf numFmtId="49" fontId="46" fillId="0" borderId="50" xfId="3" applyNumberFormat="1" applyBorder="1" applyAlignment="1">
      <alignment horizontal="center"/>
    </xf>
    <xf numFmtId="49" fontId="46" fillId="0" borderId="13" xfId="3" applyNumberFormat="1" applyBorder="1" applyAlignment="1">
      <alignment horizontal="center"/>
    </xf>
    <xf numFmtId="49" fontId="46" fillId="0" borderId="14" xfId="3" applyNumberForma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8" fillId="0" borderId="55" xfId="3" applyFont="1" applyBorder="1" applyAlignment="1">
      <alignment horizontal="center"/>
    </xf>
    <xf numFmtId="0" fontId="47" fillId="0" borderId="15" xfId="3" applyFont="1" applyBorder="1" applyAlignment="1">
      <alignment horizontal="center"/>
    </xf>
    <xf numFmtId="0" fontId="47" fillId="0" borderId="7" xfId="3" applyFont="1" applyBorder="1" applyAlignment="1">
      <alignment horizontal="center"/>
    </xf>
    <xf numFmtId="0" fontId="47" fillId="0" borderId="130" xfId="3" applyFont="1" applyBorder="1" applyAlignment="1">
      <alignment horizontal="center"/>
    </xf>
    <xf numFmtId="0" fontId="47" fillId="0" borderId="8" xfId="3" applyFont="1" applyBorder="1" applyAlignment="1">
      <alignment horizontal="center"/>
    </xf>
    <xf numFmtId="0" fontId="46" fillId="0" borderId="17" xfId="3" applyBorder="1" applyAlignment="1">
      <alignment horizontal="left"/>
    </xf>
    <xf numFmtId="0" fontId="46" fillId="0" borderId="131" xfId="3" applyBorder="1" applyAlignment="1">
      <alignment horizontal="left"/>
    </xf>
    <xf numFmtId="169" fontId="46" fillId="0" borderId="17" xfId="3" applyNumberFormat="1" applyBorder="1" applyAlignment="1">
      <alignment horizontal="center"/>
    </xf>
    <xf numFmtId="169" fontId="46" fillId="0" borderId="131" xfId="3" applyNumberFormat="1" applyBorder="1" applyAlignment="1">
      <alignment horizontal="center"/>
    </xf>
    <xf numFmtId="169" fontId="46" fillId="0" borderId="132" xfId="3" applyNumberFormat="1" applyBorder="1" applyAlignment="1">
      <alignment horizontal="center"/>
    </xf>
    <xf numFmtId="49" fontId="46" fillId="0" borderId="17" xfId="3" applyNumberFormat="1" applyBorder="1" applyAlignment="1">
      <alignment horizontal="center"/>
    </xf>
    <xf numFmtId="49" fontId="46" fillId="0" borderId="131" xfId="3" applyNumberFormat="1" applyBorder="1" applyAlignment="1">
      <alignment horizontal="center"/>
    </xf>
    <xf numFmtId="49" fontId="46" fillId="0" borderId="16" xfId="3" applyNumberFormat="1" applyBorder="1" applyAlignment="1">
      <alignment horizontal="center"/>
    </xf>
    <xf numFmtId="0" fontId="46" fillId="0" borderId="31" xfId="3" applyBorder="1" applyAlignment="1">
      <alignment horizontal="left"/>
    </xf>
    <xf numFmtId="0" fontId="46" fillId="0" borderId="133" xfId="3" applyBorder="1" applyAlignment="1">
      <alignment horizontal="left"/>
    </xf>
    <xf numFmtId="169" fontId="46" fillId="0" borderId="31" xfId="3" applyNumberFormat="1" applyBorder="1" applyAlignment="1">
      <alignment horizontal="center"/>
    </xf>
    <xf numFmtId="169" fontId="46" fillId="0" borderId="133" xfId="3" applyNumberFormat="1" applyBorder="1" applyAlignment="1">
      <alignment horizontal="center"/>
    </xf>
    <xf numFmtId="169" fontId="46" fillId="0" borderId="134" xfId="3" applyNumberFormat="1" applyBorder="1" applyAlignment="1">
      <alignment horizontal="center"/>
    </xf>
    <xf numFmtId="49" fontId="46" fillId="0" borderId="31" xfId="3" applyNumberFormat="1" applyBorder="1" applyAlignment="1">
      <alignment horizontal="center"/>
    </xf>
    <xf numFmtId="49" fontId="46" fillId="0" borderId="133" xfId="3" applyNumberFormat="1" applyBorder="1" applyAlignment="1">
      <alignment horizontal="center"/>
    </xf>
    <xf numFmtId="49" fontId="46" fillId="0" borderId="32" xfId="3" applyNumberFormat="1" applyBorder="1" applyAlignment="1">
      <alignment horizontal="center"/>
    </xf>
    <xf numFmtId="0" fontId="16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51" fillId="0" borderId="12" xfId="4" applyFont="1" applyBorder="1" applyAlignment="1">
      <alignment horizontal="left"/>
    </xf>
    <xf numFmtId="0" fontId="51" fillId="0" borderId="13" xfId="4" applyFont="1" applyBorder="1" applyAlignment="1">
      <alignment horizontal="left"/>
    </xf>
    <xf numFmtId="0" fontId="51" fillId="0" borderId="14" xfId="4" applyFont="1" applyBorder="1" applyAlignment="1">
      <alignment horizontal="left"/>
    </xf>
    <xf numFmtId="0" fontId="23" fillId="0" borderId="63" xfId="4" applyFont="1" applyBorder="1" applyAlignment="1">
      <alignment horizontal="center"/>
    </xf>
    <xf numFmtId="0" fontId="23" fillId="0" borderId="27" xfId="4" applyFont="1" applyBorder="1" applyAlignment="1">
      <alignment horizontal="center"/>
    </xf>
    <xf numFmtId="0" fontId="52" fillId="0" borderId="103" xfId="4" applyFont="1" applyBorder="1" applyAlignment="1">
      <alignment horizontal="center"/>
    </xf>
    <xf numFmtId="0" fontId="52" fillId="0" borderId="64" xfId="4" applyFont="1" applyBorder="1" applyAlignment="1">
      <alignment horizontal="center"/>
    </xf>
    <xf numFmtId="0" fontId="52" fillId="0" borderId="27" xfId="4" applyFont="1" applyBorder="1" applyAlignment="1">
      <alignment horizontal="center"/>
    </xf>
    <xf numFmtId="0" fontId="8" fillId="0" borderId="135" xfId="4" applyFont="1" applyBorder="1" applyAlignment="1">
      <alignment horizontal="right"/>
    </xf>
    <xf numFmtId="0" fontId="8" fillId="0" borderId="133" xfId="4" applyFont="1" applyBorder="1" applyAlignment="1">
      <alignment horizontal="right"/>
    </xf>
    <xf numFmtId="0" fontId="23" fillId="0" borderId="133" xfId="4" applyFont="1" applyBorder="1" applyAlignment="1">
      <alignment horizontal="center"/>
    </xf>
    <xf numFmtId="0" fontId="23" fillId="0" borderId="36" xfId="4" applyFont="1" applyBorder="1" applyAlignment="1">
      <alignment horizontal="center"/>
    </xf>
    <xf numFmtId="0" fontId="23" fillId="0" borderId="37" xfId="4" applyFont="1" applyBorder="1" applyAlignment="1">
      <alignment horizontal="center"/>
    </xf>
    <xf numFmtId="0" fontId="23" fillId="0" borderId="46" xfId="4" applyFont="1" applyBorder="1" applyAlignment="1">
      <alignment horizontal="center"/>
    </xf>
    <xf numFmtId="0" fontId="23" fillId="0" borderId="23" xfId="4" applyFont="1" applyBorder="1" applyAlignment="1">
      <alignment horizontal="center"/>
    </xf>
    <xf numFmtId="0" fontId="23" fillId="0" borderId="24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46" fillId="0" borderId="27" xfId="4" applyBorder="1" applyAlignment="1">
      <alignment horizontal="center"/>
    </xf>
    <xf numFmtId="0" fontId="23" fillId="0" borderId="53" xfId="4" applyFont="1" applyBorder="1" applyAlignment="1">
      <alignment horizontal="center"/>
    </xf>
    <xf numFmtId="0" fontId="23" fillId="0" borderId="64" xfId="4" applyFont="1" applyBorder="1" applyAlignment="1">
      <alignment horizontal="center"/>
    </xf>
    <xf numFmtId="0" fontId="52" fillId="0" borderId="103" xfId="4" applyFont="1" applyBorder="1" applyAlignment="1">
      <alignment horizontal="right"/>
    </xf>
    <xf numFmtId="0" fontId="52" fillId="0" borderId="64" xfId="4" applyFont="1" applyBorder="1" applyAlignment="1">
      <alignment horizontal="right"/>
    </xf>
    <xf numFmtId="0" fontId="52" fillId="0" borderId="46" xfId="4" applyFont="1" applyBorder="1" applyAlignment="1">
      <alignment horizontal="right"/>
    </xf>
    <xf numFmtId="0" fontId="52" fillId="0" borderId="23" xfId="4" applyFont="1" applyBorder="1" applyAlignment="1">
      <alignment horizontal="right"/>
    </xf>
    <xf numFmtId="171" fontId="72" fillId="0" borderId="146" xfId="5" applyFont="1" applyBorder="1" applyAlignment="1" applyProtection="1">
      <alignment horizontal="center"/>
      <protection locked="0"/>
    </xf>
    <xf numFmtId="14" fontId="15" fillId="0" borderId="146" xfId="5" quotePrefix="1" applyNumberFormat="1" applyFont="1" applyBorder="1" applyAlignment="1" applyProtection="1">
      <alignment horizontal="center"/>
      <protection locked="0"/>
    </xf>
    <xf numFmtId="0" fontId="53" fillId="0" borderId="17" xfId="4" applyFont="1" applyBorder="1" applyAlignment="1">
      <alignment horizontal="center"/>
    </xf>
    <xf numFmtId="0" fontId="53" fillId="0" borderId="131" xfId="4" applyFont="1" applyBorder="1" applyAlignment="1">
      <alignment horizontal="center"/>
    </xf>
    <xf numFmtId="0" fontId="53" fillId="0" borderId="132" xfId="4" applyFont="1" applyBorder="1" applyAlignment="1">
      <alignment horizontal="center"/>
    </xf>
    <xf numFmtId="0" fontId="55" fillId="0" borderId="52" xfId="4" applyFont="1" applyBorder="1" applyAlignment="1">
      <alignment horizontal="center"/>
    </xf>
    <xf numFmtId="0" fontId="55" fillId="0" borderId="0" xfId="4" applyFont="1" applyAlignment="1">
      <alignment horizontal="center"/>
    </xf>
    <xf numFmtId="0" fontId="55" fillId="0" borderId="51" xfId="4" applyFont="1" applyBorder="1" applyAlignment="1">
      <alignment horizontal="center"/>
    </xf>
    <xf numFmtId="0" fontId="57" fillId="0" borderId="52" xfId="4" applyFont="1" applyBorder="1" applyAlignment="1">
      <alignment horizontal="center"/>
    </xf>
    <xf numFmtId="0" fontId="57" fillId="0" borderId="0" xfId="4" applyFont="1" applyAlignment="1">
      <alignment horizontal="center"/>
    </xf>
    <xf numFmtId="0" fontId="57" fillId="0" borderId="51" xfId="4" applyFont="1" applyBorder="1" applyAlignment="1">
      <alignment horizontal="center"/>
    </xf>
    <xf numFmtId="0" fontId="57" fillId="0" borderId="52" xfId="6" applyFont="1" applyBorder="1" applyAlignment="1">
      <alignment horizontal="center"/>
    </xf>
    <xf numFmtId="0" fontId="57" fillId="0" borderId="0" xfId="6" applyFont="1" applyAlignment="1">
      <alignment horizontal="center"/>
    </xf>
    <xf numFmtId="0" fontId="57" fillId="0" borderId="51" xfId="6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2" fillId="0" borderId="17" xfId="4" applyFont="1" applyBorder="1" applyAlignment="1">
      <alignment horizontal="center"/>
    </xf>
    <xf numFmtId="0" fontId="23" fillId="0" borderId="131" xfId="4" applyFont="1" applyBorder="1" applyAlignment="1">
      <alignment horizontal="center"/>
    </xf>
    <xf numFmtId="0" fontId="23" fillId="0" borderId="132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50" fillId="0" borderId="17" xfId="4" applyFont="1" applyBorder="1" applyAlignment="1">
      <alignment horizontal="right"/>
    </xf>
    <xf numFmtId="0" fontId="50" fillId="0" borderId="131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</cellXfs>
  <cellStyles count="7">
    <cellStyle name="Normal" xfId="0" builtinId="0"/>
    <cellStyle name="Normal 2" xfId="1" xr:uid="{00000000-0005-0000-0000-000001000000}"/>
    <cellStyle name="Normal 3" xfId="4" xr:uid="{00000000-0005-0000-0000-000002000000}"/>
    <cellStyle name="Normal 3 2" xfId="6" xr:uid="{933B47C6-2277-45FE-B136-F8473DE4C9B1}"/>
    <cellStyle name="Normal 4" xfId="5" xr:uid="{41C7F731-27FE-4C2B-ACCC-2D1BE4A73A8D}"/>
    <cellStyle name="Normal_OPTEST" xfId="2" xr:uid="{00000000-0005-0000-0000-000003000000}"/>
    <cellStyle name="Normal_PROJ_REV_HIST" xfId="3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177.60141342791806</c:v>
                </c:pt>
                <c:pt idx="2">
                  <c:v>274</c:v>
                </c:pt>
                <c:pt idx="3">
                  <c:v>167.56368861472671</c:v>
                </c:pt>
                <c:pt idx="4">
                  <c:v>141.28796740319811</c:v>
                </c:pt>
                <c:pt idx="5">
                  <c:v>131.79486314700546</c:v>
                </c:pt>
                <c:pt idx="6">
                  <c:v>127.02309557647288</c:v>
                </c:pt>
                <c:pt idx="7">
                  <c:v>125.57211012252908</c:v>
                </c:pt>
                <c:pt idx="8">
                  <c:v>124.879089509479</c:v>
                </c:pt>
                <c:pt idx="9">
                  <c:v>124.47128497507452</c:v>
                </c:pt>
                <c:pt idx="10">
                  <c:v>124.23276378156945</c:v>
                </c:pt>
                <c:pt idx="11">
                  <c:v>124.09853987993601</c:v>
                </c:pt>
                <c:pt idx="12">
                  <c:v>124.03050265938131</c:v>
                </c:pt>
                <c:pt idx="13">
                  <c:v>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C1-4D6F-971A-EC283716B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41440"/>
        <c:axId val="132143360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0.21082913875579834</c:v>
                </c:pt>
                <c:pt idx="1">
                  <c:v>179.85604858398438</c:v>
                </c:pt>
                <c:pt idx="2">
                  <c:v>485.10443115234375</c:v>
                </c:pt>
                <c:pt idx="3">
                  <c:v>548.83349609375</c:v>
                </c:pt>
                <c:pt idx="4">
                  <c:v>568.029052734375</c:v>
                </c:pt>
                <c:pt idx="5">
                  <c:v>579.2630615234375</c:v>
                </c:pt>
                <c:pt idx="6">
                  <c:v>596.08013916015625</c:v>
                </c:pt>
                <c:pt idx="7">
                  <c:v>609.6275634765625</c:v>
                </c:pt>
                <c:pt idx="8">
                  <c:v>620.645263671875</c:v>
                </c:pt>
                <c:pt idx="9">
                  <c:v>629.367431640625</c:v>
                </c:pt>
                <c:pt idx="10">
                  <c:v>636.35406494140625</c:v>
                </c:pt>
                <c:pt idx="11">
                  <c:v>641.92095947265625</c:v>
                </c:pt>
                <c:pt idx="12">
                  <c:v>646.5206298828125</c:v>
                </c:pt>
                <c:pt idx="13">
                  <c:v>650.3936767578125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C1-4D6F-971A-EC283716B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45536"/>
        <c:axId val="132147072"/>
      </c:scatterChart>
      <c:valAx>
        <c:axId val="13214144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143360"/>
        <c:crossesAt val="0"/>
        <c:crossBetween val="midCat"/>
        <c:majorUnit val="0.2"/>
        <c:minorUnit val="0.2"/>
      </c:valAx>
      <c:valAx>
        <c:axId val="132143360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141440"/>
        <c:crosses val="max"/>
        <c:crossBetween val="midCat"/>
        <c:majorUnit val="50"/>
        <c:minorUnit val="50"/>
      </c:valAx>
      <c:valAx>
        <c:axId val="132145536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32147072"/>
        <c:crosses val="autoZero"/>
        <c:crossBetween val="midCat"/>
      </c:valAx>
      <c:valAx>
        <c:axId val="13214707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145536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99.000000022351742</c:v>
                </c:pt>
                <c:pt idx="2">
                  <c:v>94.999999925494194</c:v>
                </c:pt>
                <c:pt idx="3">
                  <c:v>89.999999850988388</c:v>
                </c:pt>
                <c:pt idx="4">
                  <c:v>84.999999403953552</c:v>
                </c:pt>
                <c:pt idx="5">
                  <c:v>79.999999701976776</c:v>
                </c:pt>
                <c:pt idx="6">
                  <c:v>69.999998807907104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175.03286893856495</c:v>
                </c:pt>
                <c:pt idx="2">
                  <c:v>270</c:v>
                </c:pt>
                <c:pt idx="3">
                  <c:v>235.36225364457471</c:v>
                </c:pt>
                <c:pt idx="4">
                  <c:v>221.9253300833463</c:v>
                </c:pt>
                <c:pt idx="5">
                  <c:v>221.24416698524669</c:v>
                </c:pt>
                <c:pt idx="6">
                  <c:v>220.42737628532453</c:v>
                </c:pt>
                <c:pt idx="7">
                  <c:v>220</c:v>
                </c:pt>
                <c:pt idx="8">
                  <c:v>220.55917585925158</c:v>
                </c:pt>
                <c:pt idx="9">
                  <c:v>221.11629282045016</c:v>
                </c:pt>
                <c:pt idx="10">
                  <c:v>221.53884978704792</c:v>
                </c:pt>
                <c:pt idx="11">
                  <c:v>222.06524620340906</c:v>
                </c:pt>
                <c:pt idx="12">
                  <c:v>222.75486382288818</c:v>
                </c:pt>
                <c:pt idx="13">
                  <c:v>220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48-4C67-AF77-297ED4C2D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97088"/>
        <c:axId val="132299008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99.000000022351742</c:v>
                </c:pt>
                <c:pt idx="2">
                  <c:v>94.999999925494194</c:v>
                </c:pt>
                <c:pt idx="3">
                  <c:v>89.999999850988388</c:v>
                </c:pt>
                <c:pt idx="4">
                  <c:v>84.999999403953552</c:v>
                </c:pt>
                <c:pt idx="5">
                  <c:v>79.999999701976776</c:v>
                </c:pt>
                <c:pt idx="6">
                  <c:v>69.999998807907104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0.36347422003746033</c:v>
                </c:pt>
                <c:pt idx="1">
                  <c:v>179.87841796875</c:v>
                </c:pt>
                <c:pt idx="2">
                  <c:v>485.13272094726563</c:v>
                </c:pt>
                <c:pt idx="3">
                  <c:v>548.85296630859375</c:v>
                </c:pt>
                <c:pt idx="4">
                  <c:v>568.04522705078125</c:v>
                </c:pt>
                <c:pt idx="5">
                  <c:v>579.2772216796875</c:v>
                </c:pt>
                <c:pt idx="6">
                  <c:v>596.0909423828125</c:v>
                </c:pt>
                <c:pt idx="7">
                  <c:v>609.63555908203125</c:v>
                </c:pt>
                <c:pt idx="8">
                  <c:v>620.6505126953125</c:v>
                </c:pt>
                <c:pt idx="9">
                  <c:v>629.370849609375</c:v>
                </c:pt>
                <c:pt idx="10">
                  <c:v>636.35614013671875</c:v>
                </c:pt>
                <c:pt idx="11">
                  <c:v>641.92218017578125</c:v>
                </c:pt>
                <c:pt idx="12">
                  <c:v>646.52117919921875</c:v>
                </c:pt>
                <c:pt idx="13">
                  <c:v>650.39373779296875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48-4C67-AF77-297ED4C2D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05280"/>
        <c:axId val="132306816"/>
      </c:scatterChart>
      <c:valAx>
        <c:axId val="13229708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299008"/>
        <c:crosses val="autoZero"/>
        <c:crossBetween val="midCat"/>
        <c:majorUnit val="20"/>
        <c:minorUnit val="20"/>
      </c:valAx>
      <c:valAx>
        <c:axId val="132299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297088"/>
        <c:crosses val="autoZero"/>
        <c:crossBetween val="midCat"/>
      </c:valAx>
      <c:valAx>
        <c:axId val="13230528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32306816"/>
        <c:crosses val="autoZero"/>
        <c:crossBetween val="midCat"/>
      </c:valAx>
      <c:valAx>
        <c:axId val="132306816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305280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197099967767187"/>
          <c:h val="5.893456283743999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650.3937007874016</c:v>
                </c:pt>
                <c:pt idx="1">
                  <c:v>573.60348031496062</c:v>
                </c:pt>
                <c:pt idx="2">
                  <c:v>496.79022047244098</c:v>
                </c:pt>
                <c:pt idx="3">
                  <c:v>420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44.998407221537775</c:v>
                </c:pt>
                <c:pt idx="2">
                  <c:v>59.989414209693123</c:v>
                </c:pt>
                <c:pt idx="3">
                  <c:v>83.930945639669062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2F-4E25-B56F-8299FB06DFAE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650.3937007874016</c:v>
                </c:pt>
                <c:pt idx="1">
                  <c:v>573.60348031496062</c:v>
                </c:pt>
                <c:pt idx="2">
                  <c:v>496.79022047244098</c:v>
                </c:pt>
                <c:pt idx="3">
                  <c:v>420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19.285031666373332</c:v>
                </c:pt>
                <c:pt idx="2">
                  <c:v>25.709748947011338</c:v>
                </c:pt>
                <c:pt idx="3">
                  <c:v>35.970405274143886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2F-4E25-B56F-8299FB06DFAE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320</c:v>
                </c:pt>
                <c:pt idx="1">
                  <c:v>220</c:v>
                </c:pt>
                <c:pt idx="2">
                  <c:v>274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84.516749565226988</c:v>
                </c:pt>
                <c:pt idx="3">
                  <c:v>195.8388731592278</c:v>
                </c:pt>
                <c:pt idx="4">
                  <c:v>440.63746460826263</c:v>
                </c:pt>
                <c:pt idx="5" formatCode="0">
                  <c:v>900</c:v>
                </c:pt>
                <c:pt idx="6" formatCode="0">
                  <c:v>1800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2F-4E25-B56F-8299FB06D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46080"/>
        <c:axId val="143532032"/>
      </c:scatterChart>
      <c:valAx>
        <c:axId val="132446080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532032"/>
        <c:crossesAt val="0.1"/>
        <c:crossBetween val="midCat"/>
        <c:majorUnit val="100"/>
      </c:valAx>
      <c:valAx>
        <c:axId val="143532032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446080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88.697624206542969</c:v>
                </c:pt>
                <c:pt idx="2">
                  <c:v>93.944129943847656</c:v>
                </c:pt>
                <c:pt idx="3">
                  <c:v>95.63153076171875</c:v>
                </c:pt>
                <c:pt idx="4">
                  <c:v>96.338890075683594</c:v>
                </c:pt>
                <c:pt idx="5">
                  <c:v>96.621429443359375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7C-40AE-9A23-3D0815D61A4D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69.767539978027344</c:v>
                </c:pt>
                <c:pt idx="1">
                  <c:v>83.927726745605469</c:v>
                </c:pt>
                <c:pt idx="2">
                  <c:v>87.501419067382813</c:v>
                </c:pt>
                <c:pt idx="3">
                  <c:v>88.279586791992188</c:v>
                </c:pt>
                <c:pt idx="4">
                  <c:v>87.836372375488281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7C-40AE-9A23-3D0815D61A4D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81.736062823683056</c:v>
                </c:pt>
                <c:pt idx="2">
                  <c:v>73.124158019810224</c:v>
                </c:pt>
                <c:pt idx="3">
                  <c:v>64.384164104005734</c:v>
                </c:pt>
                <c:pt idx="4">
                  <c:v>55.071094249664299</c:v>
                </c:pt>
                <c:pt idx="5">
                  <c:v>45.666170996061204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7C-40AE-9A23-3D0815D61A4D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0.42588999999999999</c:v>
                </c:pt>
                <c:pt idx="1">
                  <c:v>10.546221087613571</c:v>
                </c:pt>
                <c:pt idx="2">
                  <c:v>19.914491159096585</c:v>
                </c:pt>
                <c:pt idx="3">
                  <c:v>29.344654840007532</c:v>
                </c:pt>
                <c:pt idx="4">
                  <c:v>38.838925446744263</c:v>
                </c:pt>
                <c:pt idx="5">
                  <c:v>48.406690483373183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7C-40AE-9A23-3D0815D61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76238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27.452715666462247</c:v>
                </c:pt>
                <c:pt idx="1">
                  <c:v>43.638072967529297</c:v>
                </c:pt>
                <c:pt idx="2">
                  <c:v>68.499259948730469</c:v>
                </c:pt>
                <c:pt idx="3">
                  <c:v>96.813522338867188</c:v>
                </c:pt>
                <c:pt idx="4">
                  <c:v>127.00740814208984</c:v>
                </c:pt>
                <c:pt idx="5">
                  <c:v>159.09375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B7C-40AE-9A23-3D0815D61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53476238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476238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88.697624206542969</c:v>
                </c:pt>
                <c:pt idx="2">
                  <c:v>93.944129943847656</c:v>
                </c:pt>
                <c:pt idx="3">
                  <c:v>95.63153076171875</c:v>
                </c:pt>
                <c:pt idx="4">
                  <c:v>96.338890075683594</c:v>
                </c:pt>
                <c:pt idx="5">
                  <c:v>96.621429443359375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87-48D7-8EAC-DACBD2F9396D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69.767539978027344</c:v>
                </c:pt>
                <c:pt idx="1">
                  <c:v>83.927726745605469</c:v>
                </c:pt>
                <c:pt idx="2">
                  <c:v>87.501419067382813</c:v>
                </c:pt>
                <c:pt idx="3">
                  <c:v>88.279586791992188</c:v>
                </c:pt>
                <c:pt idx="4">
                  <c:v>87.836372375488281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87-48D7-8EAC-DACBD2F9396D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81.736062823683056</c:v>
                </c:pt>
                <c:pt idx="2">
                  <c:v>73.124158019810224</c:v>
                </c:pt>
                <c:pt idx="3">
                  <c:v>64.384164104005734</c:v>
                </c:pt>
                <c:pt idx="4">
                  <c:v>55.071094249664299</c:v>
                </c:pt>
                <c:pt idx="5">
                  <c:v>45.666170996061204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87-48D7-8EAC-DACBD2F9396D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0.42588999999999999</c:v>
                </c:pt>
                <c:pt idx="1">
                  <c:v>10.546221087613571</c:v>
                </c:pt>
                <c:pt idx="2">
                  <c:v>19.914491159096585</c:v>
                </c:pt>
                <c:pt idx="3">
                  <c:v>29.344654840007532</c:v>
                </c:pt>
                <c:pt idx="4">
                  <c:v>38.838925446744263</c:v>
                </c:pt>
                <c:pt idx="5">
                  <c:v>48.406690483373183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87-48D7-8EAC-DACBD2F93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76238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47.549498340054704</c:v>
                </c:pt>
                <c:pt idx="1">
                  <c:v>75.583359524158709</c:v>
                </c:pt>
                <c:pt idx="2">
                  <c:v>118.64419851206905</c:v>
                </c:pt>
                <c:pt idx="3">
                  <c:v>167.68593955062244</c:v>
                </c:pt>
                <c:pt idx="4">
                  <c:v>219.98328383973671</c:v>
                </c:pt>
                <c:pt idx="5">
                  <c:v>275.55845816666107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C87-48D7-8EAC-DACBD2F93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53476238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476238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69" name="Radius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70" name="Height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71" name="Clear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72" name="Thickness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80" name="Radius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81" name="Height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82" name="Clear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83" name="Thickness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84" name="Radius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85" name="Height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86" name="Clear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87" name="Thickness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88" name="Radius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89" name="Height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90" name="Clear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91" name="Thickness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92" name="Radius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93" name="Height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94" name="Clear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95" name="Thickness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96" name="Radius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97" name="Height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98" name="Clear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99" name="Thickness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200" name="Radius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201" name="Height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202" name="Clear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203" name="Thickness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04" name="Radius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05" name="Height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06" name="Clear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07" name="Thickness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08" name="Radius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09" name="Height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10" name="Clear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11" name="Thickness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2" name="Radius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13" name="Height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14" name="Thickness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15" name="Clear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6" name="Radius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17" name="Clear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18" name="Thickness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9" name="Radius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20" name="Thickness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21" name="Radius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22" name="Height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23" name="Clear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476250</xdr:colOff>
      <xdr:row>42</xdr:row>
      <xdr:rowOff>47625</xdr:rowOff>
    </xdr:to>
    <xdr:sp macro="" textlink="">
      <xdr:nvSpPr>
        <xdr:cNvPr id="224" name="Thickness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>
          <a:spLocks noChangeArrowheads="1"/>
        </xdr:cNvSpPr>
      </xdr:nvSpPr>
      <xdr:spPr bwMode="auto">
        <a:xfrm>
          <a:off x="1933575" y="9610725"/>
          <a:ext cx="27622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552450</xdr:colOff>
      <xdr:row>42</xdr:row>
      <xdr:rowOff>114300</xdr:rowOff>
    </xdr:from>
    <xdr:to>
      <xdr:col>3</xdr:col>
      <xdr:colOff>876300</xdr:colOff>
      <xdr:row>43</xdr:row>
      <xdr:rowOff>9525</xdr:rowOff>
    </xdr:to>
    <xdr:sp macro="" textlink="">
      <xdr:nvSpPr>
        <xdr:cNvPr id="225" name="Radius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>
          <a:spLocks noChangeArrowheads="1"/>
        </xdr:cNvSpPr>
      </xdr:nvSpPr>
      <xdr:spPr bwMode="auto">
        <a:xfrm>
          <a:off x="2286000" y="978217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26" name="Height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428625</xdr:colOff>
      <xdr:row>41</xdr:row>
      <xdr:rowOff>200025</xdr:rowOff>
    </xdr:to>
    <xdr:sp macro="" textlink="">
      <xdr:nvSpPr>
        <xdr:cNvPr id="227" name="Clear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228" name="Text 583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295275</xdr:colOff>
      <xdr:row>40</xdr:row>
      <xdr:rowOff>133350</xdr:rowOff>
    </xdr:from>
    <xdr:to>
      <xdr:col>3</xdr:col>
      <xdr:colOff>581025</xdr:colOff>
      <xdr:row>41</xdr:row>
      <xdr:rowOff>9525</xdr:rowOff>
    </xdr:to>
    <xdr:sp macro="" textlink="">
      <xdr:nvSpPr>
        <xdr:cNvPr id="229" name="Thickness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>
          <a:spLocks noChangeArrowheads="1"/>
        </xdr:cNvSpPr>
      </xdr:nvSpPr>
      <xdr:spPr bwMode="auto">
        <a:xfrm>
          <a:off x="2028825" y="93440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230" name="Radius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231" name="Height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232" name="Clear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233" name="Thickness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34" name="Radius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35" name="Height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36" name="Clear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37" name="Thickness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38" name="Radius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39" name="Height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40" name="Clear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41" name="Thickness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42" name="Radius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43" name="Height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44" name="Thickness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45" name="Clear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46" name="Radius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47" name="Clear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48" name="Thickness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49" name="Radius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50" name="Thickness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51" name="Radius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52" name="Height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53" name="Clear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476250</xdr:colOff>
      <xdr:row>42</xdr:row>
      <xdr:rowOff>47625</xdr:rowOff>
    </xdr:to>
    <xdr:sp macro="" textlink="">
      <xdr:nvSpPr>
        <xdr:cNvPr id="254" name="Thickness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>
          <a:spLocks noChangeArrowheads="1"/>
        </xdr:cNvSpPr>
      </xdr:nvSpPr>
      <xdr:spPr bwMode="auto">
        <a:xfrm>
          <a:off x="1933575" y="9610725"/>
          <a:ext cx="27622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739140</xdr:colOff>
      <xdr:row>40</xdr:row>
      <xdr:rowOff>47625</xdr:rowOff>
    </xdr:from>
    <xdr:to>
      <xdr:col>4</xdr:col>
      <xdr:colOff>765913</xdr:colOff>
      <xdr:row>40</xdr:row>
      <xdr:rowOff>209550</xdr:rowOff>
    </xdr:to>
    <xdr:sp macro="" textlink="">
      <xdr:nvSpPr>
        <xdr:cNvPr id="255" name="Text 219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>
          <a:spLocks noChangeArrowheads="1"/>
        </xdr:cNvSpPr>
      </xdr:nvSpPr>
      <xdr:spPr bwMode="auto">
        <a:xfrm>
          <a:off x="2472690" y="92583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051-FA31-01</a:t>
          </a:r>
        </a:p>
      </xdr:txBody>
    </xdr:sp>
    <xdr:clientData/>
  </xdr:twoCellAnchor>
  <xdr:twoCellAnchor>
    <xdr:from>
      <xdr:col>3</xdr:col>
      <xdr:colOff>550545</xdr:colOff>
      <xdr:row>42</xdr:row>
      <xdr:rowOff>114300</xdr:rowOff>
    </xdr:from>
    <xdr:to>
      <xdr:col>4</xdr:col>
      <xdr:colOff>3926</xdr:colOff>
      <xdr:row>43</xdr:row>
      <xdr:rowOff>9525</xdr:rowOff>
    </xdr:to>
    <xdr:sp macro="" textlink="">
      <xdr:nvSpPr>
        <xdr:cNvPr id="256" name="Radius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>
          <a:spLocks noChangeArrowheads="1"/>
        </xdr:cNvSpPr>
      </xdr:nvSpPr>
      <xdr:spPr bwMode="auto">
        <a:xfrm>
          <a:off x="2284095" y="9782175"/>
          <a:ext cx="329681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426.8</a:t>
          </a: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312486</xdr:colOff>
      <xdr:row>41</xdr:row>
      <xdr:rowOff>87923</xdr:rowOff>
    </xdr:to>
    <xdr:sp macro="" textlink="">
      <xdr:nvSpPr>
        <xdr:cNvPr id="257" name="Height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4861" cy="8792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35.0</a:t>
          </a: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435909</xdr:colOff>
      <xdr:row>41</xdr:row>
      <xdr:rowOff>200025</xdr:rowOff>
    </xdr:to>
    <xdr:sp macro="" textlink="">
      <xdr:nvSpPr>
        <xdr:cNvPr id="258" name="Clear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4934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50.5</a:t>
          </a:r>
        </a:p>
      </xdr:txBody>
    </xdr:sp>
    <xdr:clientData/>
  </xdr:twoCellAnchor>
  <xdr:twoCellAnchor>
    <xdr:from>
      <xdr:col>2</xdr:col>
      <xdr:colOff>398145</xdr:colOff>
      <xdr:row>42</xdr:row>
      <xdr:rowOff>0</xdr:rowOff>
    </xdr:from>
    <xdr:to>
      <xdr:col>3</xdr:col>
      <xdr:colOff>321945</xdr:colOff>
      <xdr:row>42</xdr:row>
      <xdr:rowOff>104775</xdr:rowOff>
    </xdr:to>
    <xdr:sp macro="" textlink="">
      <xdr:nvSpPr>
        <xdr:cNvPr id="259" name="Thickness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>
          <a:spLocks noChangeArrowheads="1"/>
        </xdr:cNvSpPr>
      </xdr:nvSpPr>
      <xdr:spPr bwMode="auto">
        <a:xfrm>
          <a:off x="1617345" y="9667875"/>
          <a:ext cx="4381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30.0</a:t>
          </a:r>
        </a:p>
      </xdr:txBody>
    </xdr:sp>
    <xdr:clientData/>
  </xdr:twoCellAnchor>
  <xdr:twoCellAnchor>
    <xdr:from>
      <xdr:col>2</xdr:col>
      <xdr:colOff>447675</xdr:colOff>
      <xdr:row>41</xdr:row>
      <xdr:rowOff>161925</xdr:rowOff>
    </xdr:from>
    <xdr:to>
      <xdr:col>2</xdr:col>
      <xdr:colOff>447675</xdr:colOff>
      <xdr:row>42</xdr:row>
      <xdr:rowOff>66675</xdr:rowOff>
    </xdr:to>
    <xdr:sp macro="" textlink="">
      <xdr:nvSpPr>
        <xdr:cNvPr id="260" name="Line 116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>
          <a:spLocks noChangeShapeType="1"/>
        </xdr:cNvSpPr>
      </xdr:nvSpPr>
      <xdr:spPr bwMode="auto">
        <a:xfrm flipV="1">
          <a:off x="1666875" y="9601200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247650</xdr:colOff>
      <xdr:row>41</xdr:row>
      <xdr:rowOff>171450</xdr:rowOff>
    </xdr:from>
    <xdr:to>
      <xdr:col>3</xdr:col>
      <xdr:colOff>247650</xdr:colOff>
      <xdr:row>42</xdr:row>
      <xdr:rowOff>76200</xdr:rowOff>
    </xdr:to>
    <xdr:sp macro="" textlink="">
      <xdr:nvSpPr>
        <xdr:cNvPr id="261" name="Line 117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>
          <a:spLocks noChangeShapeType="1"/>
        </xdr:cNvSpPr>
      </xdr:nvSpPr>
      <xdr:spPr bwMode="auto">
        <a:xfrm flipV="1">
          <a:off x="1981200" y="9610725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466725</xdr:colOff>
      <xdr:row>41</xdr:row>
      <xdr:rowOff>209550</xdr:rowOff>
    </xdr:from>
    <xdr:to>
      <xdr:col>3</xdr:col>
      <xdr:colOff>238125</xdr:colOff>
      <xdr:row>41</xdr:row>
      <xdr:rowOff>209550</xdr:rowOff>
    </xdr:to>
    <xdr:sp macro="" textlink="">
      <xdr:nvSpPr>
        <xdr:cNvPr id="262" name="Line 118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>
          <a:spLocks noChangeShapeType="1"/>
        </xdr:cNvSpPr>
      </xdr:nvSpPr>
      <xdr:spPr bwMode="auto">
        <a:xfrm flipV="1">
          <a:off x="1685925" y="96488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40</xdr:row>
      <xdr:rowOff>180975</xdr:rowOff>
    </xdr:from>
    <xdr:to>
      <xdr:col>3</xdr:col>
      <xdr:colOff>19050</xdr:colOff>
      <xdr:row>41</xdr:row>
      <xdr:rowOff>142875</xdr:rowOff>
    </xdr:to>
    <xdr:sp macro="" textlink="">
      <xdr:nvSpPr>
        <xdr:cNvPr id="263" name="Line 119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>
          <a:spLocks noChangeShapeType="1"/>
        </xdr:cNvSpPr>
      </xdr:nvSpPr>
      <xdr:spPr bwMode="auto">
        <a:xfrm flipV="1">
          <a:off x="1752600" y="939165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264" name="Text 583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276225</xdr:colOff>
      <xdr:row>39</xdr:row>
      <xdr:rowOff>161925</xdr:rowOff>
    </xdr:from>
    <xdr:to>
      <xdr:col>2</xdr:col>
      <xdr:colOff>161925</xdr:colOff>
      <xdr:row>39</xdr:row>
      <xdr:rowOff>161925</xdr:rowOff>
    </xdr:to>
    <xdr:sp macro="" textlink="">
      <xdr:nvSpPr>
        <xdr:cNvPr id="265" name="Line 121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>
          <a:spLocks noChangeShapeType="1"/>
        </xdr:cNvSpPr>
      </xdr:nvSpPr>
      <xdr:spPr bwMode="auto">
        <a:xfrm flipV="1">
          <a:off x="1085850" y="91440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161925</xdr:rowOff>
    </xdr:from>
    <xdr:to>
      <xdr:col>2</xdr:col>
      <xdr:colOff>161925</xdr:colOff>
      <xdr:row>42</xdr:row>
      <xdr:rowOff>209550</xdr:rowOff>
    </xdr:to>
    <xdr:sp macro="" textlink="">
      <xdr:nvSpPr>
        <xdr:cNvPr id="266" name="Line 122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>
          <a:spLocks noChangeShapeType="1"/>
        </xdr:cNvSpPr>
      </xdr:nvSpPr>
      <xdr:spPr bwMode="auto">
        <a:xfrm>
          <a:off x="1381125" y="914400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41</xdr:row>
      <xdr:rowOff>57150</xdr:rowOff>
    </xdr:from>
    <xdr:to>
      <xdr:col>2</xdr:col>
      <xdr:colOff>447675</xdr:colOff>
      <xdr:row>41</xdr:row>
      <xdr:rowOff>57150</xdr:rowOff>
    </xdr:to>
    <xdr:sp macro="" textlink="">
      <xdr:nvSpPr>
        <xdr:cNvPr id="267" name="Line 123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>
          <a:spLocks noChangeShapeType="1"/>
        </xdr:cNvSpPr>
      </xdr:nvSpPr>
      <xdr:spPr bwMode="auto">
        <a:xfrm flipV="1">
          <a:off x="1390650" y="94964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447675</xdr:colOff>
      <xdr:row>39</xdr:row>
      <xdr:rowOff>171450</xdr:rowOff>
    </xdr:from>
    <xdr:to>
      <xdr:col>3</xdr:col>
      <xdr:colOff>247650</xdr:colOff>
      <xdr:row>41</xdr:row>
      <xdr:rowOff>142875</xdr:rowOff>
    </xdr:to>
    <xdr:sp macro="" textlink="">
      <xdr:nvSpPr>
        <xdr:cNvPr id="268" name="Rectangle 124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>
          <a:spLocks noChangeArrowheads="1"/>
        </xdr:cNvSpPr>
      </xdr:nvSpPr>
      <xdr:spPr bwMode="auto">
        <a:xfrm>
          <a:off x="1666875" y="9153525"/>
          <a:ext cx="31432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40</xdr:row>
      <xdr:rowOff>219075</xdr:rowOff>
    </xdr:from>
    <xdr:to>
      <xdr:col>2</xdr:col>
      <xdr:colOff>457200</xdr:colOff>
      <xdr:row>40</xdr:row>
      <xdr:rowOff>219075</xdr:rowOff>
    </xdr:to>
    <xdr:sp macro="" textlink="">
      <xdr:nvSpPr>
        <xdr:cNvPr id="269" name="Line 125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381125" y="94297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190500</xdr:rowOff>
    </xdr:from>
    <xdr:to>
      <xdr:col>2</xdr:col>
      <xdr:colOff>457200</xdr:colOff>
      <xdr:row>39</xdr:row>
      <xdr:rowOff>190500</xdr:rowOff>
    </xdr:to>
    <xdr:sp macro="" textlink="">
      <xdr:nvSpPr>
        <xdr:cNvPr id="270" name="Line 126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>
          <a:spLocks noChangeShapeType="1"/>
        </xdr:cNvSpPr>
      </xdr:nvSpPr>
      <xdr:spPr bwMode="auto">
        <a:xfrm>
          <a:off x="1381125" y="917257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295275</xdr:colOff>
      <xdr:row>41</xdr:row>
      <xdr:rowOff>142875</xdr:rowOff>
    </xdr:from>
    <xdr:to>
      <xdr:col>3</xdr:col>
      <xdr:colOff>666750</xdr:colOff>
      <xdr:row>41</xdr:row>
      <xdr:rowOff>142875</xdr:rowOff>
    </xdr:to>
    <xdr:sp macro="" textlink="">
      <xdr:nvSpPr>
        <xdr:cNvPr id="271" name="Line 127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>
          <a:spLocks noChangeShapeType="1"/>
        </xdr:cNvSpPr>
      </xdr:nvSpPr>
      <xdr:spPr bwMode="auto">
        <a:xfrm>
          <a:off x="2028825" y="958215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628650</xdr:colOff>
      <xdr:row>41</xdr:row>
      <xdr:rowOff>142875</xdr:rowOff>
    </xdr:from>
    <xdr:to>
      <xdr:col>3</xdr:col>
      <xdr:colOff>628650</xdr:colOff>
      <xdr:row>42</xdr:row>
      <xdr:rowOff>95250</xdr:rowOff>
    </xdr:to>
    <xdr:sp macro="" textlink="">
      <xdr:nvSpPr>
        <xdr:cNvPr id="272" name="Line 128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>
          <a:spLocks noChangeShapeType="1"/>
        </xdr:cNvSpPr>
      </xdr:nvSpPr>
      <xdr:spPr bwMode="auto">
        <a:xfrm flipV="1">
          <a:off x="2362200" y="95821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276225</xdr:colOff>
      <xdr:row>39</xdr:row>
      <xdr:rowOff>171450</xdr:rowOff>
    </xdr:from>
    <xdr:to>
      <xdr:col>3</xdr:col>
      <xdr:colOff>495300</xdr:colOff>
      <xdr:row>39</xdr:row>
      <xdr:rowOff>171450</xdr:rowOff>
    </xdr:to>
    <xdr:sp macro="" textlink="">
      <xdr:nvSpPr>
        <xdr:cNvPr id="273" name="Line 129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>
          <a:spLocks noChangeShapeType="1"/>
        </xdr:cNvSpPr>
      </xdr:nvSpPr>
      <xdr:spPr bwMode="auto">
        <a:xfrm>
          <a:off x="2009775" y="91535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293370</xdr:colOff>
      <xdr:row>40</xdr:row>
      <xdr:rowOff>133350</xdr:rowOff>
    </xdr:from>
    <xdr:to>
      <xdr:col>3</xdr:col>
      <xdr:colOff>586843</xdr:colOff>
      <xdr:row>41</xdr:row>
      <xdr:rowOff>9525</xdr:rowOff>
    </xdr:to>
    <xdr:sp macro="" textlink="">
      <xdr:nvSpPr>
        <xdr:cNvPr id="274" name="Thickness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>
          <a:spLocks noChangeArrowheads="1"/>
        </xdr:cNvSpPr>
      </xdr:nvSpPr>
      <xdr:spPr bwMode="auto">
        <a:xfrm>
          <a:off x="2026920" y="9344025"/>
          <a:ext cx="29347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3</xdr:col>
      <xdr:colOff>428625</xdr:colOff>
      <xdr:row>39</xdr:row>
      <xdr:rowOff>171450</xdr:rowOff>
    </xdr:from>
    <xdr:to>
      <xdr:col>3</xdr:col>
      <xdr:colOff>428625</xdr:colOff>
      <xdr:row>40</xdr:row>
      <xdr:rowOff>85725</xdr:rowOff>
    </xdr:to>
    <xdr:sp macro="" textlink="">
      <xdr:nvSpPr>
        <xdr:cNvPr id="275" name="Line 131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>
          <a:spLocks noChangeShapeType="1"/>
        </xdr:cNvSpPr>
      </xdr:nvSpPr>
      <xdr:spPr bwMode="auto">
        <a:xfrm flipV="1">
          <a:off x="2162175" y="9153525"/>
          <a:ext cx="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41</xdr:row>
      <xdr:rowOff>19050</xdr:rowOff>
    </xdr:from>
    <xdr:to>
      <xdr:col>3</xdr:col>
      <xdr:colOff>438150</xdr:colOff>
      <xdr:row>41</xdr:row>
      <xdr:rowOff>142875</xdr:rowOff>
    </xdr:to>
    <xdr:sp macro="" textlink="">
      <xdr:nvSpPr>
        <xdr:cNvPr id="276" name="Line 132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>
          <a:spLocks noChangeShapeType="1"/>
        </xdr:cNvSpPr>
      </xdr:nvSpPr>
      <xdr:spPr bwMode="auto">
        <a:xfrm>
          <a:off x="2171700" y="9458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95250</xdr:colOff>
      <xdr:row>33</xdr:row>
      <xdr:rowOff>85725</xdr:rowOff>
    </xdr:from>
    <xdr:to>
      <xdr:col>4</xdr:col>
      <xdr:colOff>695325</xdr:colOff>
      <xdr:row>34</xdr:row>
      <xdr:rowOff>38100</xdr:rowOff>
    </xdr:to>
    <xdr:sp macro="" textlink="">
      <xdr:nvSpPr>
        <xdr:cNvPr id="278" name="Text 219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>
          <a:spLocks noChangeArrowheads="1"/>
        </xdr:cNvSpPr>
      </xdr:nvSpPr>
      <xdr:spPr bwMode="auto">
        <a:xfrm>
          <a:off x="2705100" y="7696200"/>
          <a:ext cx="600075" cy="18097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411-FA31</a:t>
          </a:r>
        </a:p>
      </xdr:txBody>
    </xdr:sp>
    <xdr:clientData/>
  </xdr:twoCellAnchor>
  <xdr:twoCellAnchor>
    <xdr:from>
      <xdr:col>4</xdr:col>
      <xdr:colOff>19050</xdr:colOff>
      <xdr:row>27</xdr:row>
      <xdr:rowOff>85725</xdr:rowOff>
    </xdr:from>
    <xdr:to>
      <xdr:col>4</xdr:col>
      <xdr:colOff>619125</xdr:colOff>
      <xdr:row>28</xdr:row>
      <xdr:rowOff>38100</xdr:rowOff>
    </xdr:to>
    <xdr:sp macro="" textlink="">
      <xdr:nvSpPr>
        <xdr:cNvPr id="280" name="Text 21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>
          <a:spLocks noChangeArrowheads="1"/>
        </xdr:cNvSpPr>
      </xdr:nvSpPr>
      <xdr:spPr bwMode="auto">
        <a:xfrm>
          <a:off x="2628900" y="6324600"/>
          <a:ext cx="600075" cy="18097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311-FA31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0.68115</cdr:x>
      <cdr:y>0.61401</cdr:y>
    </cdr:from>
    <cdr:to>
      <cdr:x>0.917</cdr:x>
      <cdr:y>0.6347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83584" y="395353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0.65509</cdr:x>
      <cdr:y>0.52017</cdr:y>
    </cdr:from>
    <cdr:to>
      <cdr:x>0.93791</cdr:x>
      <cdr:y>0.5453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31184" y="334933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B077EA-E1B1-453C-81E1-F49C24ECC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16</xdr:row>
      <xdr:rowOff>85725</xdr:rowOff>
    </xdr:from>
    <xdr:to>
      <xdr:col>0</xdr:col>
      <xdr:colOff>1104900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7EAE2FFA-9541-4354-99EE-8F80FAE12ADB}"/>
            </a:ext>
          </a:extLst>
        </xdr:cNvPr>
        <xdr:cNvSpPr txBox="1">
          <a:spLocks noChangeArrowheads="1"/>
        </xdr:cNvSpPr>
      </xdr:nvSpPr>
      <xdr:spPr bwMode="auto">
        <a:xfrm>
          <a:off x="581025" y="39814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571500</xdr:colOff>
      <xdr:row>18</xdr:row>
      <xdr:rowOff>28575</xdr:rowOff>
    </xdr:from>
    <xdr:to>
      <xdr:col>0</xdr:col>
      <xdr:colOff>1095375</xdr:colOff>
      <xdr:row>19</xdr:row>
      <xdr:rowOff>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390FFBED-846A-4DB6-890A-B026FBE4613F}"/>
            </a:ext>
          </a:extLst>
        </xdr:cNvPr>
        <xdr:cNvSpPr txBox="1">
          <a:spLocks noChangeArrowheads="1"/>
        </xdr:cNvSpPr>
      </xdr:nvSpPr>
      <xdr:spPr bwMode="auto">
        <a:xfrm>
          <a:off x="571500" y="44005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561975</xdr:colOff>
      <xdr:row>19</xdr:row>
      <xdr:rowOff>200025</xdr:rowOff>
    </xdr:from>
    <xdr:to>
      <xdr:col>0</xdr:col>
      <xdr:colOff>1085850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3C1ACC2D-C635-40E4-AAB2-2BE2B5E11896}"/>
            </a:ext>
          </a:extLst>
        </xdr:cNvPr>
        <xdr:cNvSpPr txBox="1">
          <a:spLocks noChangeArrowheads="1"/>
        </xdr:cNvSpPr>
      </xdr:nvSpPr>
      <xdr:spPr bwMode="auto">
        <a:xfrm>
          <a:off x="561975" y="48101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561975</xdr:colOff>
      <xdr:row>21</xdr:row>
      <xdr:rowOff>133350</xdr:rowOff>
    </xdr:from>
    <xdr:to>
      <xdr:col>0</xdr:col>
      <xdr:colOff>1085850</xdr:colOff>
      <xdr:row>22</xdr:row>
      <xdr:rowOff>104775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70D8B672-2CF3-4EAA-93BD-243D3435AD7C}"/>
            </a:ext>
          </a:extLst>
        </xdr:cNvPr>
        <xdr:cNvSpPr txBox="1">
          <a:spLocks noChangeArrowheads="1"/>
        </xdr:cNvSpPr>
      </xdr:nvSpPr>
      <xdr:spPr bwMode="auto">
        <a:xfrm>
          <a:off x="561975" y="52197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571500</xdr:colOff>
      <xdr:row>23</xdr:row>
      <xdr:rowOff>66675</xdr:rowOff>
    </xdr:from>
    <xdr:to>
      <xdr:col>0</xdr:col>
      <xdr:colOff>1095375</xdr:colOff>
      <xdr:row>24</xdr:row>
      <xdr:rowOff>38100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79172D9D-0C15-4ACC-A626-A18B4977E5FE}"/>
            </a:ext>
          </a:extLst>
        </xdr:cNvPr>
        <xdr:cNvSpPr txBox="1">
          <a:spLocks noChangeArrowheads="1"/>
        </xdr:cNvSpPr>
      </xdr:nvSpPr>
      <xdr:spPr bwMode="auto">
        <a:xfrm>
          <a:off x="571500" y="56292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571500</xdr:colOff>
      <xdr:row>25</xdr:row>
      <xdr:rowOff>0</xdr:rowOff>
    </xdr:from>
    <xdr:to>
      <xdr:col>0</xdr:col>
      <xdr:colOff>1095375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47C44497-10E0-4F55-AAF0-ACF21C1895EB}"/>
            </a:ext>
          </a:extLst>
        </xdr:cNvPr>
        <xdr:cNvSpPr txBox="1">
          <a:spLocks noChangeArrowheads="1"/>
        </xdr:cNvSpPr>
      </xdr:nvSpPr>
      <xdr:spPr bwMode="auto">
        <a:xfrm>
          <a:off x="571500" y="60388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561975</xdr:colOff>
      <xdr:row>26</xdr:row>
      <xdr:rowOff>171450</xdr:rowOff>
    </xdr:from>
    <xdr:to>
      <xdr:col>0</xdr:col>
      <xdr:colOff>1085850</xdr:colOff>
      <xdr:row>27</xdr:row>
      <xdr:rowOff>142875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A7AD820D-85A3-4BD9-A16D-2218E8BE0238}"/>
            </a:ext>
          </a:extLst>
        </xdr:cNvPr>
        <xdr:cNvSpPr txBox="1">
          <a:spLocks noChangeArrowheads="1"/>
        </xdr:cNvSpPr>
      </xdr:nvSpPr>
      <xdr:spPr bwMode="auto">
        <a:xfrm>
          <a:off x="561975" y="64484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552450</xdr:colOff>
      <xdr:row>28</xdr:row>
      <xdr:rowOff>104775</xdr:rowOff>
    </xdr:from>
    <xdr:to>
      <xdr:col>0</xdr:col>
      <xdr:colOff>1076325</xdr:colOff>
      <xdr:row>29</xdr:row>
      <xdr:rowOff>76200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3D9DFC7D-8915-4001-A5A2-D3A7538A5159}"/>
            </a:ext>
          </a:extLst>
        </xdr:cNvPr>
        <xdr:cNvSpPr txBox="1">
          <a:spLocks noChangeArrowheads="1"/>
        </xdr:cNvSpPr>
      </xdr:nvSpPr>
      <xdr:spPr bwMode="auto">
        <a:xfrm>
          <a:off x="552450" y="68580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552450</xdr:colOff>
      <xdr:row>30</xdr:row>
      <xdr:rowOff>47625</xdr:rowOff>
    </xdr:from>
    <xdr:to>
      <xdr:col>0</xdr:col>
      <xdr:colOff>1076325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9EE20A5E-4743-4036-82D5-2606789968E2}"/>
            </a:ext>
          </a:extLst>
        </xdr:cNvPr>
        <xdr:cNvSpPr txBox="1">
          <a:spLocks noChangeArrowheads="1"/>
        </xdr:cNvSpPr>
      </xdr:nvSpPr>
      <xdr:spPr bwMode="auto">
        <a:xfrm>
          <a:off x="552450" y="72771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552450</xdr:colOff>
      <xdr:row>31</xdr:row>
      <xdr:rowOff>219075</xdr:rowOff>
    </xdr:from>
    <xdr:to>
      <xdr:col>0</xdr:col>
      <xdr:colOff>1076325</xdr:colOff>
      <xdr:row>32</xdr:row>
      <xdr:rowOff>190500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6145B696-66D3-442D-8296-05798303A59F}"/>
            </a:ext>
          </a:extLst>
        </xdr:cNvPr>
        <xdr:cNvSpPr txBox="1">
          <a:spLocks noChangeArrowheads="1"/>
        </xdr:cNvSpPr>
      </xdr:nvSpPr>
      <xdr:spPr bwMode="auto">
        <a:xfrm>
          <a:off x="552450" y="76866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561975</xdr:colOff>
      <xdr:row>33</xdr:row>
      <xdr:rowOff>152400</xdr:rowOff>
    </xdr:from>
    <xdr:to>
      <xdr:col>0</xdr:col>
      <xdr:colOff>1085850</xdr:colOff>
      <xdr:row>34</xdr:row>
      <xdr:rowOff>123825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8BFF4F34-B107-4520-981D-390841FB6703}"/>
            </a:ext>
          </a:extLst>
        </xdr:cNvPr>
        <xdr:cNvSpPr txBox="1">
          <a:spLocks noChangeArrowheads="1"/>
        </xdr:cNvSpPr>
      </xdr:nvSpPr>
      <xdr:spPr bwMode="auto">
        <a:xfrm>
          <a:off x="561975" y="80962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190500</xdr:colOff>
      <xdr:row>24</xdr:row>
      <xdr:rowOff>133350</xdr:rowOff>
    </xdr:from>
    <xdr:to>
      <xdr:col>0</xdr:col>
      <xdr:colOff>400050</xdr:colOff>
      <xdr:row>27</xdr:row>
      <xdr:rowOff>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E77D94E0-6C2C-44B7-A1D2-C703C745CF16}"/>
            </a:ext>
          </a:extLst>
        </xdr:cNvPr>
        <xdr:cNvSpPr txBox="1">
          <a:spLocks noChangeArrowheads="1"/>
        </xdr:cNvSpPr>
      </xdr:nvSpPr>
      <xdr:spPr bwMode="auto">
        <a:xfrm>
          <a:off x="190500" y="5934075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85726</xdr:rowOff>
    </xdr:from>
    <xdr:to>
      <xdr:col>5</xdr:col>
      <xdr:colOff>828674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640CB5ED-1A58-4D3C-9510-C069B4D8D46C}"/>
            </a:ext>
          </a:extLst>
        </xdr:cNvPr>
        <xdr:cNvSpPr txBox="1">
          <a:spLocks noChangeArrowheads="1"/>
        </xdr:cNvSpPr>
      </xdr:nvSpPr>
      <xdr:spPr bwMode="auto">
        <a:xfrm>
          <a:off x="5924549" y="39814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918308</xdr:colOff>
      <xdr:row>25</xdr:row>
      <xdr:rowOff>170021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9270173D-23D4-472E-826F-892BC6141624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37308" cy="17002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371474</xdr:colOff>
      <xdr:row>26</xdr:row>
      <xdr:rowOff>180976</xdr:rowOff>
    </xdr:from>
    <xdr:to>
      <xdr:col>5</xdr:col>
      <xdr:colOff>847724</xdr:colOff>
      <xdr:row>27</xdr:row>
      <xdr:rowOff>104776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1A91F491-49FE-4346-9CF5-CCE058697E60}"/>
            </a:ext>
          </a:extLst>
        </xdr:cNvPr>
        <xdr:cNvSpPr txBox="1">
          <a:spLocks noChangeArrowheads="1"/>
        </xdr:cNvSpPr>
      </xdr:nvSpPr>
      <xdr:spPr bwMode="auto">
        <a:xfrm>
          <a:off x="5943599" y="64579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380999</xdr:colOff>
      <xdr:row>28</xdr:row>
      <xdr:rowOff>114301</xdr:rowOff>
    </xdr:from>
    <xdr:to>
      <xdr:col>5</xdr:col>
      <xdr:colOff>857249</xdr:colOff>
      <xdr:row>29</xdr:row>
      <xdr:rowOff>38101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10DE53B9-64DF-4B41-BDAD-65AD34366EB4}"/>
            </a:ext>
          </a:extLst>
        </xdr:cNvPr>
        <xdr:cNvSpPr txBox="1">
          <a:spLocks noChangeArrowheads="1"/>
        </xdr:cNvSpPr>
      </xdr:nvSpPr>
      <xdr:spPr bwMode="auto">
        <a:xfrm>
          <a:off x="5953124" y="68675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371474</xdr:colOff>
      <xdr:row>30</xdr:row>
      <xdr:rowOff>38101</xdr:rowOff>
    </xdr:from>
    <xdr:to>
      <xdr:col>5</xdr:col>
      <xdr:colOff>847724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F7CC14D9-EC40-414F-9AB1-2D16A542CA1D}"/>
            </a:ext>
          </a:extLst>
        </xdr:cNvPr>
        <xdr:cNvSpPr txBox="1">
          <a:spLocks noChangeArrowheads="1"/>
        </xdr:cNvSpPr>
      </xdr:nvSpPr>
      <xdr:spPr bwMode="auto">
        <a:xfrm>
          <a:off x="5943599" y="72675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371474</xdr:colOff>
      <xdr:row>31</xdr:row>
      <xdr:rowOff>219076</xdr:rowOff>
    </xdr:from>
    <xdr:to>
      <xdr:col>5</xdr:col>
      <xdr:colOff>847724</xdr:colOff>
      <xdr:row>32</xdr:row>
      <xdr:rowOff>142876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FFADFC7-D85D-4BA7-A8C6-539A712CC0C2}"/>
            </a:ext>
          </a:extLst>
        </xdr:cNvPr>
        <xdr:cNvSpPr txBox="1">
          <a:spLocks noChangeArrowheads="1"/>
        </xdr:cNvSpPr>
      </xdr:nvSpPr>
      <xdr:spPr bwMode="auto">
        <a:xfrm>
          <a:off x="5943599" y="76866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828675</xdr:colOff>
      <xdr:row>22</xdr:row>
      <xdr:rowOff>190500</xdr:rowOff>
    </xdr:from>
    <xdr:to>
      <xdr:col>5</xdr:col>
      <xdr:colOff>1047750</xdr:colOff>
      <xdr:row>28</xdr:row>
      <xdr:rowOff>85725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E538A398-E05F-4001-BFA7-9DB68892DF41}"/>
            </a:ext>
          </a:extLst>
        </xdr:cNvPr>
        <xdr:cNvSpPr txBox="1">
          <a:spLocks noChangeArrowheads="1"/>
        </xdr:cNvSpPr>
      </xdr:nvSpPr>
      <xdr:spPr bwMode="auto">
        <a:xfrm>
          <a:off x="6400800" y="551497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66676</xdr:rowOff>
    </xdr:from>
    <xdr:to>
      <xdr:col>5</xdr:col>
      <xdr:colOff>847724</xdr:colOff>
      <xdr:row>23</xdr:row>
      <xdr:rowOff>228601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AC45A4C4-5476-49C0-BD90-93D27FDA861F}"/>
            </a:ext>
          </a:extLst>
        </xdr:cNvPr>
        <xdr:cNvSpPr txBox="1">
          <a:spLocks noChangeArrowheads="1"/>
        </xdr:cNvSpPr>
      </xdr:nvSpPr>
      <xdr:spPr bwMode="auto">
        <a:xfrm>
          <a:off x="5943599" y="56292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371474</xdr:colOff>
      <xdr:row>21</xdr:row>
      <xdr:rowOff>133351</xdr:rowOff>
    </xdr:from>
    <xdr:to>
      <xdr:col>5</xdr:col>
      <xdr:colOff>847724</xdr:colOff>
      <xdr:row>22</xdr:row>
      <xdr:rowOff>57151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17AC7314-0FD8-4335-B719-FC6F7FC5B527}"/>
            </a:ext>
          </a:extLst>
        </xdr:cNvPr>
        <xdr:cNvSpPr txBox="1">
          <a:spLocks noChangeArrowheads="1"/>
        </xdr:cNvSpPr>
      </xdr:nvSpPr>
      <xdr:spPr bwMode="auto">
        <a:xfrm>
          <a:off x="5943599" y="521970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1400</a:t>
          </a:r>
        </a:p>
      </xdr:txBody>
    </xdr:sp>
    <xdr:clientData/>
  </xdr:twoCellAnchor>
  <xdr:twoCellAnchor>
    <xdr:from>
      <xdr:col>5</xdr:col>
      <xdr:colOff>361949</xdr:colOff>
      <xdr:row>19</xdr:row>
      <xdr:rowOff>200026</xdr:rowOff>
    </xdr:from>
    <xdr:to>
      <xdr:col>5</xdr:col>
      <xdr:colOff>838199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1B694CD7-53FE-44BC-B182-F00CFBCA37F9}"/>
            </a:ext>
          </a:extLst>
        </xdr:cNvPr>
        <xdr:cNvSpPr txBox="1">
          <a:spLocks noChangeArrowheads="1"/>
        </xdr:cNvSpPr>
      </xdr:nvSpPr>
      <xdr:spPr bwMode="auto">
        <a:xfrm>
          <a:off x="5934074" y="48101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361949</xdr:colOff>
      <xdr:row>18</xdr:row>
      <xdr:rowOff>28576</xdr:rowOff>
    </xdr:from>
    <xdr:to>
      <xdr:col>5</xdr:col>
      <xdr:colOff>838199</xdr:colOff>
      <xdr:row>18</xdr:row>
      <xdr:rowOff>190501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EC08CAC5-7355-40CD-9D26-8DC9D5C44B8F}"/>
            </a:ext>
          </a:extLst>
        </xdr:cNvPr>
        <xdr:cNvSpPr txBox="1">
          <a:spLocks noChangeArrowheads="1"/>
        </xdr:cNvSpPr>
      </xdr:nvSpPr>
      <xdr:spPr bwMode="auto">
        <a:xfrm>
          <a:off x="5934074" y="44005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2</xdr:col>
      <xdr:colOff>1053465</xdr:colOff>
      <xdr:row>16</xdr:row>
      <xdr:rowOff>182880</xdr:rowOff>
    </xdr:from>
    <xdr:to>
      <xdr:col>3</xdr:col>
      <xdr:colOff>283777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9976272D-5293-4A99-8263-8B037BA28BFD}"/>
            </a:ext>
          </a:extLst>
        </xdr:cNvPr>
        <xdr:cNvSpPr txBox="1">
          <a:spLocks noChangeArrowheads="1"/>
        </xdr:cNvSpPr>
      </xdr:nvSpPr>
      <xdr:spPr bwMode="auto">
        <a:xfrm>
          <a:off x="3282315" y="4078605"/>
          <a:ext cx="344737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946785</xdr:colOff>
      <xdr:row>18</xdr:row>
      <xdr:rowOff>192405</xdr:rowOff>
    </xdr:from>
    <xdr:to>
      <xdr:col>4</xdr:col>
      <xdr:colOff>169604</xdr:colOff>
      <xdr:row>19</xdr:row>
      <xdr:rowOff>133437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8CAB2E0B-8779-4264-9809-5B410F7884F0}"/>
            </a:ext>
          </a:extLst>
        </xdr:cNvPr>
        <xdr:cNvSpPr txBox="1">
          <a:spLocks noChangeArrowheads="1"/>
        </xdr:cNvSpPr>
      </xdr:nvSpPr>
      <xdr:spPr bwMode="auto">
        <a:xfrm>
          <a:off x="4290060" y="4564380"/>
          <a:ext cx="337244" cy="17915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714375</xdr:colOff>
      <xdr:row>21</xdr:row>
      <xdr:rowOff>200025</xdr:rowOff>
    </xdr:from>
    <xdr:to>
      <xdr:col>1</xdr:col>
      <xdr:colOff>1055421</xdr:colOff>
      <xdr:row>22</xdr:row>
      <xdr:rowOff>103287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FFAD4C8D-2D57-4C59-B2D8-ACE19230F9E6}"/>
            </a:ext>
          </a:extLst>
        </xdr:cNvPr>
        <xdr:cNvSpPr txBox="1">
          <a:spLocks noChangeArrowheads="1"/>
        </xdr:cNvSpPr>
      </xdr:nvSpPr>
      <xdr:spPr bwMode="auto">
        <a:xfrm>
          <a:off x="1828800" y="5286375"/>
          <a:ext cx="341046" cy="14138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782955</xdr:colOff>
      <xdr:row>28</xdr:row>
      <xdr:rowOff>200025</xdr:rowOff>
    </xdr:from>
    <xdr:to>
      <xdr:col>2</xdr:col>
      <xdr:colOff>102986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BCDB9528-EA3F-4845-B6AE-87B02A821768}"/>
            </a:ext>
          </a:extLst>
        </xdr:cNvPr>
        <xdr:cNvSpPr txBox="1">
          <a:spLocks noChangeArrowheads="1"/>
        </xdr:cNvSpPr>
      </xdr:nvSpPr>
      <xdr:spPr bwMode="auto">
        <a:xfrm>
          <a:off x="1897380" y="6953250"/>
          <a:ext cx="434456" cy="1524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64770</xdr:colOff>
      <xdr:row>32</xdr:row>
      <xdr:rowOff>144780</xdr:rowOff>
    </xdr:from>
    <xdr:to>
      <xdr:col>2</xdr:col>
      <xdr:colOff>565979</xdr:colOff>
      <xdr:row>33</xdr:row>
      <xdr:rowOff>66976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5012A621-B40F-4DC6-9864-B6A00A09C1CF}"/>
            </a:ext>
          </a:extLst>
        </xdr:cNvPr>
        <xdr:cNvSpPr txBox="1">
          <a:spLocks noChangeArrowheads="1"/>
        </xdr:cNvSpPr>
      </xdr:nvSpPr>
      <xdr:spPr bwMode="auto">
        <a:xfrm>
          <a:off x="2293620" y="7850505"/>
          <a:ext cx="501209" cy="160321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752475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E2F589D9-3CF0-45D5-AF5B-C6CED576F261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3905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CE5E87-956E-4D08-B73A-E7416844F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16</xdr:row>
      <xdr:rowOff>85725</xdr:rowOff>
    </xdr:from>
    <xdr:to>
      <xdr:col>0</xdr:col>
      <xdr:colOff>1104900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7ABAB1A4-985E-49E5-9380-6AFFE299CC85}"/>
            </a:ext>
          </a:extLst>
        </xdr:cNvPr>
        <xdr:cNvSpPr txBox="1">
          <a:spLocks noChangeArrowheads="1"/>
        </xdr:cNvSpPr>
      </xdr:nvSpPr>
      <xdr:spPr bwMode="auto">
        <a:xfrm>
          <a:off x="581025" y="39814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571500</xdr:colOff>
      <xdr:row>18</xdr:row>
      <xdr:rowOff>28575</xdr:rowOff>
    </xdr:from>
    <xdr:to>
      <xdr:col>0</xdr:col>
      <xdr:colOff>1095375</xdr:colOff>
      <xdr:row>19</xdr:row>
      <xdr:rowOff>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5A2D1E55-D608-4489-9A60-D2D9C9DE129A}"/>
            </a:ext>
          </a:extLst>
        </xdr:cNvPr>
        <xdr:cNvSpPr txBox="1">
          <a:spLocks noChangeArrowheads="1"/>
        </xdr:cNvSpPr>
      </xdr:nvSpPr>
      <xdr:spPr bwMode="auto">
        <a:xfrm>
          <a:off x="571500" y="44005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561975</xdr:colOff>
      <xdr:row>19</xdr:row>
      <xdr:rowOff>200025</xdr:rowOff>
    </xdr:from>
    <xdr:to>
      <xdr:col>0</xdr:col>
      <xdr:colOff>1085850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27BB50A9-6BE8-4F34-860C-6D65EA0E9A82}"/>
            </a:ext>
          </a:extLst>
        </xdr:cNvPr>
        <xdr:cNvSpPr txBox="1">
          <a:spLocks noChangeArrowheads="1"/>
        </xdr:cNvSpPr>
      </xdr:nvSpPr>
      <xdr:spPr bwMode="auto">
        <a:xfrm>
          <a:off x="561975" y="48101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561975</xdr:colOff>
      <xdr:row>21</xdr:row>
      <xdr:rowOff>133350</xdr:rowOff>
    </xdr:from>
    <xdr:to>
      <xdr:col>0</xdr:col>
      <xdr:colOff>1085850</xdr:colOff>
      <xdr:row>22</xdr:row>
      <xdr:rowOff>104775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E115D4AA-9B01-4A84-B848-29D282474C39}"/>
            </a:ext>
          </a:extLst>
        </xdr:cNvPr>
        <xdr:cNvSpPr txBox="1">
          <a:spLocks noChangeArrowheads="1"/>
        </xdr:cNvSpPr>
      </xdr:nvSpPr>
      <xdr:spPr bwMode="auto">
        <a:xfrm>
          <a:off x="561975" y="52197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571500</xdr:colOff>
      <xdr:row>23</xdr:row>
      <xdr:rowOff>66675</xdr:rowOff>
    </xdr:from>
    <xdr:to>
      <xdr:col>0</xdr:col>
      <xdr:colOff>1095375</xdr:colOff>
      <xdr:row>24</xdr:row>
      <xdr:rowOff>38100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15DEBF69-EAFA-4196-A370-039E00711354}"/>
            </a:ext>
          </a:extLst>
        </xdr:cNvPr>
        <xdr:cNvSpPr txBox="1">
          <a:spLocks noChangeArrowheads="1"/>
        </xdr:cNvSpPr>
      </xdr:nvSpPr>
      <xdr:spPr bwMode="auto">
        <a:xfrm>
          <a:off x="571500" y="56292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571500</xdr:colOff>
      <xdr:row>25</xdr:row>
      <xdr:rowOff>0</xdr:rowOff>
    </xdr:from>
    <xdr:to>
      <xdr:col>0</xdr:col>
      <xdr:colOff>1095375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404EECD6-8420-4163-98C2-F9242CD05CEF}"/>
            </a:ext>
          </a:extLst>
        </xdr:cNvPr>
        <xdr:cNvSpPr txBox="1">
          <a:spLocks noChangeArrowheads="1"/>
        </xdr:cNvSpPr>
      </xdr:nvSpPr>
      <xdr:spPr bwMode="auto">
        <a:xfrm>
          <a:off x="571500" y="60388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561975</xdr:colOff>
      <xdr:row>26</xdr:row>
      <xdr:rowOff>171450</xdr:rowOff>
    </xdr:from>
    <xdr:to>
      <xdr:col>0</xdr:col>
      <xdr:colOff>1085850</xdr:colOff>
      <xdr:row>27</xdr:row>
      <xdr:rowOff>142875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E023702D-20D9-41AE-AD41-E8E739922501}"/>
            </a:ext>
          </a:extLst>
        </xdr:cNvPr>
        <xdr:cNvSpPr txBox="1">
          <a:spLocks noChangeArrowheads="1"/>
        </xdr:cNvSpPr>
      </xdr:nvSpPr>
      <xdr:spPr bwMode="auto">
        <a:xfrm>
          <a:off x="561975" y="64484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552450</xdr:colOff>
      <xdr:row>28</xdr:row>
      <xdr:rowOff>104775</xdr:rowOff>
    </xdr:from>
    <xdr:to>
      <xdr:col>0</xdr:col>
      <xdr:colOff>1076325</xdr:colOff>
      <xdr:row>29</xdr:row>
      <xdr:rowOff>76200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9D7953DD-11D5-4D66-BB6D-8153C3591D46}"/>
            </a:ext>
          </a:extLst>
        </xdr:cNvPr>
        <xdr:cNvSpPr txBox="1">
          <a:spLocks noChangeArrowheads="1"/>
        </xdr:cNvSpPr>
      </xdr:nvSpPr>
      <xdr:spPr bwMode="auto">
        <a:xfrm>
          <a:off x="552450" y="68580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552450</xdr:colOff>
      <xdr:row>30</xdr:row>
      <xdr:rowOff>47625</xdr:rowOff>
    </xdr:from>
    <xdr:to>
      <xdr:col>0</xdr:col>
      <xdr:colOff>1076325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6C772AE4-3893-40CC-B05C-FE419A7B0CE1}"/>
            </a:ext>
          </a:extLst>
        </xdr:cNvPr>
        <xdr:cNvSpPr txBox="1">
          <a:spLocks noChangeArrowheads="1"/>
        </xdr:cNvSpPr>
      </xdr:nvSpPr>
      <xdr:spPr bwMode="auto">
        <a:xfrm>
          <a:off x="552450" y="72771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552450</xdr:colOff>
      <xdr:row>31</xdr:row>
      <xdr:rowOff>219075</xdr:rowOff>
    </xdr:from>
    <xdr:to>
      <xdr:col>0</xdr:col>
      <xdr:colOff>1076325</xdr:colOff>
      <xdr:row>32</xdr:row>
      <xdr:rowOff>190500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8465972D-4C0D-4418-99A7-5E0726870263}"/>
            </a:ext>
          </a:extLst>
        </xdr:cNvPr>
        <xdr:cNvSpPr txBox="1">
          <a:spLocks noChangeArrowheads="1"/>
        </xdr:cNvSpPr>
      </xdr:nvSpPr>
      <xdr:spPr bwMode="auto">
        <a:xfrm>
          <a:off x="552450" y="76866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561975</xdr:colOff>
      <xdr:row>33</xdr:row>
      <xdr:rowOff>152400</xdr:rowOff>
    </xdr:from>
    <xdr:to>
      <xdr:col>0</xdr:col>
      <xdr:colOff>1085850</xdr:colOff>
      <xdr:row>34</xdr:row>
      <xdr:rowOff>123825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A7109548-06DF-47F4-B9A6-A47FF8BBED4A}"/>
            </a:ext>
          </a:extLst>
        </xdr:cNvPr>
        <xdr:cNvSpPr txBox="1">
          <a:spLocks noChangeArrowheads="1"/>
        </xdr:cNvSpPr>
      </xdr:nvSpPr>
      <xdr:spPr bwMode="auto">
        <a:xfrm>
          <a:off x="561975" y="80962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190500</xdr:colOff>
      <xdr:row>24</xdr:row>
      <xdr:rowOff>133350</xdr:rowOff>
    </xdr:from>
    <xdr:to>
      <xdr:col>0</xdr:col>
      <xdr:colOff>400050</xdr:colOff>
      <xdr:row>27</xdr:row>
      <xdr:rowOff>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FCF543E1-D700-4D73-96E4-43B765577060}"/>
            </a:ext>
          </a:extLst>
        </xdr:cNvPr>
        <xdr:cNvSpPr txBox="1">
          <a:spLocks noChangeArrowheads="1"/>
        </xdr:cNvSpPr>
      </xdr:nvSpPr>
      <xdr:spPr bwMode="auto">
        <a:xfrm>
          <a:off x="190500" y="5934075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85726</xdr:rowOff>
    </xdr:from>
    <xdr:to>
      <xdr:col>5</xdr:col>
      <xdr:colOff>828674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ADAA822D-078E-4753-A9C1-1616C4D8B557}"/>
            </a:ext>
          </a:extLst>
        </xdr:cNvPr>
        <xdr:cNvSpPr txBox="1">
          <a:spLocks noChangeArrowheads="1"/>
        </xdr:cNvSpPr>
      </xdr:nvSpPr>
      <xdr:spPr bwMode="auto">
        <a:xfrm>
          <a:off x="5924549" y="39814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918308</xdr:colOff>
      <xdr:row>25</xdr:row>
      <xdr:rowOff>170021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7DAA2305-E019-4906-A3E2-469F7DD7A4AD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37308" cy="17002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371474</xdr:colOff>
      <xdr:row>26</xdr:row>
      <xdr:rowOff>180976</xdr:rowOff>
    </xdr:from>
    <xdr:to>
      <xdr:col>5</xdr:col>
      <xdr:colOff>847724</xdr:colOff>
      <xdr:row>27</xdr:row>
      <xdr:rowOff>104776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BD0C29ED-4356-4AF2-98F5-49B8FC89556B}"/>
            </a:ext>
          </a:extLst>
        </xdr:cNvPr>
        <xdr:cNvSpPr txBox="1">
          <a:spLocks noChangeArrowheads="1"/>
        </xdr:cNvSpPr>
      </xdr:nvSpPr>
      <xdr:spPr bwMode="auto">
        <a:xfrm>
          <a:off x="5943599" y="64579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380999</xdr:colOff>
      <xdr:row>28</xdr:row>
      <xdr:rowOff>114301</xdr:rowOff>
    </xdr:from>
    <xdr:to>
      <xdr:col>5</xdr:col>
      <xdr:colOff>857249</xdr:colOff>
      <xdr:row>29</xdr:row>
      <xdr:rowOff>38101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7E189F62-0779-4263-8126-F20F4D8FD4E8}"/>
            </a:ext>
          </a:extLst>
        </xdr:cNvPr>
        <xdr:cNvSpPr txBox="1">
          <a:spLocks noChangeArrowheads="1"/>
        </xdr:cNvSpPr>
      </xdr:nvSpPr>
      <xdr:spPr bwMode="auto">
        <a:xfrm>
          <a:off x="5953124" y="68675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371474</xdr:colOff>
      <xdr:row>30</xdr:row>
      <xdr:rowOff>38101</xdr:rowOff>
    </xdr:from>
    <xdr:to>
      <xdr:col>5</xdr:col>
      <xdr:colOff>847724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E5363FE9-CD7A-4C64-876C-9F050D8C7141}"/>
            </a:ext>
          </a:extLst>
        </xdr:cNvPr>
        <xdr:cNvSpPr txBox="1">
          <a:spLocks noChangeArrowheads="1"/>
        </xdr:cNvSpPr>
      </xdr:nvSpPr>
      <xdr:spPr bwMode="auto">
        <a:xfrm>
          <a:off x="5943599" y="72675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371474</xdr:colOff>
      <xdr:row>31</xdr:row>
      <xdr:rowOff>219076</xdr:rowOff>
    </xdr:from>
    <xdr:to>
      <xdr:col>5</xdr:col>
      <xdr:colOff>847724</xdr:colOff>
      <xdr:row>32</xdr:row>
      <xdr:rowOff>142876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D79869C9-F3B0-4C43-AB5C-BBAB214DAC3E}"/>
            </a:ext>
          </a:extLst>
        </xdr:cNvPr>
        <xdr:cNvSpPr txBox="1">
          <a:spLocks noChangeArrowheads="1"/>
        </xdr:cNvSpPr>
      </xdr:nvSpPr>
      <xdr:spPr bwMode="auto">
        <a:xfrm>
          <a:off x="5943599" y="76866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828675</xdr:colOff>
      <xdr:row>22</xdr:row>
      <xdr:rowOff>190500</xdr:rowOff>
    </xdr:from>
    <xdr:to>
      <xdr:col>5</xdr:col>
      <xdr:colOff>1047750</xdr:colOff>
      <xdr:row>28</xdr:row>
      <xdr:rowOff>85725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B5708B87-D079-4367-8C65-C9114EFF4981}"/>
            </a:ext>
          </a:extLst>
        </xdr:cNvPr>
        <xdr:cNvSpPr txBox="1">
          <a:spLocks noChangeArrowheads="1"/>
        </xdr:cNvSpPr>
      </xdr:nvSpPr>
      <xdr:spPr bwMode="auto">
        <a:xfrm>
          <a:off x="6400800" y="551497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66676</xdr:rowOff>
    </xdr:from>
    <xdr:to>
      <xdr:col>5</xdr:col>
      <xdr:colOff>847724</xdr:colOff>
      <xdr:row>23</xdr:row>
      <xdr:rowOff>228601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31C2FEF0-56C4-4F2A-93FF-73F751384BEB}"/>
            </a:ext>
          </a:extLst>
        </xdr:cNvPr>
        <xdr:cNvSpPr txBox="1">
          <a:spLocks noChangeArrowheads="1"/>
        </xdr:cNvSpPr>
      </xdr:nvSpPr>
      <xdr:spPr bwMode="auto">
        <a:xfrm>
          <a:off x="5943599" y="56292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371474</xdr:colOff>
      <xdr:row>21</xdr:row>
      <xdr:rowOff>133351</xdr:rowOff>
    </xdr:from>
    <xdr:to>
      <xdr:col>5</xdr:col>
      <xdr:colOff>847724</xdr:colOff>
      <xdr:row>22</xdr:row>
      <xdr:rowOff>57151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2F74E314-05CB-46CD-A46B-670A43E8B5FE}"/>
            </a:ext>
          </a:extLst>
        </xdr:cNvPr>
        <xdr:cNvSpPr txBox="1">
          <a:spLocks noChangeArrowheads="1"/>
        </xdr:cNvSpPr>
      </xdr:nvSpPr>
      <xdr:spPr bwMode="auto">
        <a:xfrm>
          <a:off x="5943599" y="521970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1400</a:t>
          </a:r>
        </a:p>
      </xdr:txBody>
    </xdr:sp>
    <xdr:clientData/>
  </xdr:twoCellAnchor>
  <xdr:twoCellAnchor>
    <xdr:from>
      <xdr:col>5</xdr:col>
      <xdr:colOff>361949</xdr:colOff>
      <xdr:row>19</xdr:row>
      <xdr:rowOff>200026</xdr:rowOff>
    </xdr:from>
    <xdr:to>
      <xdr:col>5</xdr:col>
      <xdr:colOff>838199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3B28E3E3-3BF3-4D77-B8B6-D9D57233125A}"/>
            </a:ext>
          </a:extLst>
        </xdr:cNvPr>
        <xdr:cNvSpPr txBox="1">
          <a:spLocks noChangeArrowheads="1"/>
        </xdr:cNvSpPr>
      </xdr:nvSpPr>
      <xdr:spPr bwMode="auto">
        <a:xfrm>
          <a:off x="5934074" y="48101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361949</xdr:colOff>
      <xdr:row>18</xdr:row>
      <xdr:rowOff>28576</xdr:rowOff>
    </xdr:from>
    <xdr:to>
      <xdr:col>5</xdr:col>
      <xdr:colOff>838199</xdr:colOff>
      <xdr:row>18</xdr:row>
      <xdr:rowOff>190501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249AED1B-AF87-4769-9F21-CEC4183A39B8}"/>
            </a:ext>
          </a:extLst>
        </xdr:cNvPr>
        <xdr:cNvSpPr txBox="1">
          <a:spLocks noChangeArrowheads="1"/>
        </xdr:cNvSpPr>
      </xdr:nvSpPr>
      <xdr:spPr bwMode="auto">
        <a:xfrm>
          <a:off x="5934074" y="44005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2</xdr:col>
      <xdr:colOff>1053465</xdr:colOff>
      <xdr:row>16</xdr:row>
      <xdr:rowOff>182880</xdr:rowOff>
    </xdr:from>
    <xdr:to>
      <xdr:col>3</xdr:col>
      <xdr:colOff>283777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BFA2FFD8-D449-45A2-8ECF-746F1EDF6D7D}"/>
            </a:ext>
          </a:extLst>
        </xdr:cNvPr>
        <xdr:cNvSpPr txBox="1">
          <a:spLocks noChangeArrowheads="1"/>
        </xdr:cNvSpPr>
      </xdr:nvSpPr>
      <xdr:spPr bwMode="auto">
        <a:xfrm>
          <a:off x="3282315" y="4078605"/>
          <a:ext cx="344737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946785</xdr:colOff>
      <xdr:row>18</xdr:row>
      <xdr:rowOff>192405</xdr:rowOff>
    </xdr:from>
    <xdr:to>
      <xdr:col>4</xdr:col>
      <xdr:colOff>169604</xdr:colOff>
      <xdr:row>19</xdr:row>
      <xdr:rowOff>133437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9F8E80BA-39ED-4EA6-A32A-76D9DD971497}"/>
            </a:ext>
          </a:extLst>
        </xdr:cNvPr>
        <xdr:cNvSpPr txBox="1">
          <a:spLocks noChangeArrowheads="1"/>
        </xdr:cNvSpPr>
      </xdr:nvSpPr>
      <xdr:spPr bwMode="auto">
        <a:xfrm>
          <a:off x="4290060" y="4564380"/>
          <a:ext cx="337244" cy="17915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714375</xdr:colOff>
      <xdr:row>21</xdr:row>
      <xdr:rowOff>200025</xdr:rowOff>
    </xdr:from>
    <xdr:to>
      <xdr:col>1</xdr:col>
      <xdr:colOff>1055421</xdr:colOff>
      <xdr:row>22</xdr:row>
      <xdr:rowOff>103287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EFC12FB8-5A55-4E11-AB48-B131ED6A85F1}"/>
            </a:ext>
          </a:extLst>
        </xdr:cNvPr>
        <xdr:cNvSpPr txBox="1">
          <a:spLocks noChangeArrowheads="1"/>
        </xdr:cNvSpPr>
      </xdr:nvSpPr>
      <xdr:spPr bwMode="auto">
        <a:xfrm>
          <a:off x="1828800" y="5286375"/>
          <a:ext cx="341046" cy="14138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782955</xdr:colOff>
      <xdr:row>28</xdr:row>
      <xdr:rowOff>200025</xdr:rowOff>
    </xdr:from>
    <xdr:to>
      <xdr:col>2</xdr:col>
      <xdr:colOff>102986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9F27A1D9-D9FC-4147-9E38-6602ACDA4173}"/>
            </a:ext>
          </a:extLst>
        </xdr:cNvPr>
        <xdr:cNvSpPr txBox="1">
          <a:spLocks noChangeArrowheads="1"/>
        </xdr:cNvSpPr>
      </xdr:nvSpPr>
      <xdr:spPr bwMode="auto">
        <a:xfrm>
          <a:off x="1897380" y="6953250"/>
          <a:ext cx="434456" cy="1524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64770</xdr:colOff>
      <xdr:row>32</xdr:row>
      <xdr:rowOff>144780</xdr:rowOff>
    </xdr:from>
    <xdr:to>
      <xdr:col>2</xdr:col>
      <xdr:colOff>565979</xdr:colOff>
      <xdr:row>33</xdr:row>
      <xdr:rowOff>66976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5E4C6466-934F-4BC7-8320-836A4A7C860D}"/>
            </a:ext>
          </a:extLst>
        </xdr:cNvPr>
        <xdr:cNvSpPr txBox="1">
          <a:spLocks noChangeArrowheads="1"/>
        </xdr:cNvSpPr>
      </xdr:nvSpPr>
      <xdr:spPr bwMode="auto">
        <a:xfrm>
          <a:off x="2293620" y="7850505"/>
          <a:ext cx="501209" cy="160321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752475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C6EB93A5-FF7B-445B-B79E-0978AA0D064F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3905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28" zoomScale="95" zoomScaleNormal="95" workbookViewId="0">
      <selection activeCell="L61" sqref="L60:L61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202</v>
      </c>
    </row>
    <row r="2" spans="1:10" ht="18.75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203</v>
      </c>
    </row>
    <row r="3" spans="1:10" ht="15" customHeight="1" thickBot="1">
      <c r="A3" s="49" t="s">
        <v>1</v>
      </c>
      <c r="B3" s="96" t="s">
        <v>201</v>
      </c>
      <c r="C3" s="1"/>
      <c r="D3" s="49"/>
      <c r="E3" s="1"/>
      <c r="F3" s="1"/>
      <c r="G3" s="49" t="s">
        <v>2</v>
      </c>
      <c r="H3" s="149">
        <v>41899</v>
      </c>
      <c r="I3" s="49" t="s">
        <v>3</v>
      </c>
      <c r="J3" s="150">
        <v>0.57853009259259258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6</v>
      </c>
      <c r="B5" s="113">
        <v>1000</v>
      </c>
      <c r="C5" s="143">
        <v>1200</v>
      </c>
      <c r="D5" s="50" t="s">
        <v>176</v>
      </c>
      <c r="E5" s="143">
        <v>4000</v>
      </c>
      <c r="F5" s="143">
        <v>60</v>
      </c>
      <c r="G5" s="50">
        <v>105</v>
      </c>
      <c r="H5" s="78" t="s">
        <v>236</v>
      </c>
      <c r="I5" s="77" t="s">
        <v>241</v>
      </c>
      <c r="J5" s="50" t="s">
        <v>177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23.169226249999998</v>
      </c>
      <c r="J7" s="106" t="s">
        <v>19</v>
      </c>
    </row>
    <row r="8" spans="1:10" ht="15" customHeight="1">
      <c r="A8" s="6" t="s">
        <v>20</v>
      </c>
      <c r="B8" s="69">
        <v>2.0999999046325684</v>
      </c>
      <c r="C8" s="52"/>
      <c r="D8" s="6"/>
      <c r="E8" s="51"/>
      <c r="F8" s="3"/>
      <c r="G8" s="16"/>
      <c r="H8" s="10" t="s">
        <v>21</v>
      </c>
      <c r="I8" s="68">
        <v>28.534303665503632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183</v>
      </c>
      <c r="F9" s="107" t="s">
        <v>25</v>
      </c>
      <c r="G9" s="30"/>
      <c r="H9" s="10" t="s">
        <v>26</v>
      </c>
      <c r="I9" s="69">
        <v>25.851764957751815</v>
      </c>
      <c r="J9" s="104">
        <v>813.41608623184459</v>
      </c>
    </row>
    <row r="10" spans="1:10" ht="15" customHeight="1">
      <c r="A10" s="6" t="s">
        <v>27</v>
      </c>
      <c r="B10" s="69">
        <v>910</v>
      </c>
      <c r="C10" s="73">
        <v>910</v>
      </c>
      <c r="D10" s="6"/>
      <c r="E10" s="51"/>
      <c r="F10" s="117" t="s">
        <v>197</v>
      </c>
      <c r="G10" s="115" t="s">
        <v>198</v>
      </c>
      <c r="H10" s="10" t="s">
        <v>28</v>
      </c>
      <c r="I10" s="68">
        <v>13.501985411758477</v>
      </c>
      <c r="J10" s="103" t="s">
        <v>29</v>
      </c>
    </row>
    <row r="11" spans="1:10" ht="15" customHeight="1" thickBot="1">
      <c r="A11" s="6" t="s">
        <v>30</v>
      </c>
      <c r="B11" s="69">
        <v>770</v>
      </c>
      <c r="C11" s="73">
        <v>526.80000019073486</v>
      </c>
      <c r="D11" s="6" t="s">
        <v>31</v>
      </c>
      <c r="E11" s="68">
        <v>0.83324999999999994</v>
      </c>
      <c r="F11" s="118"/>
      <c r="G11" s="114"/>
      <c r="H11" s="10" t="s">
        <v>32</v>
      </c>
      <c r="I11" s="68">
        <v>27.695072914842616</v>
      </c>
      <c r="J11" s="104">
        <v>24138.104516029565</v>
      </c>
    </row>
    <row r="12" spans="1:10" ht="15" customHeight="1">
      <c r="A12" s="6" t="s">
        <v>33</v>
      </c>
      <c r="B12" s="69">
        <v>531</v>
      </c>
      <c r="C12" s="73">
        <v>200</v>
      </c>
      <c r="D12" s="6" t="s">
        <v>34</v>
      </c>
      <c r="E12" s="138" t="s">
        <v>174</v>
      </c>
      <c r="F12" s="124" t="s">
        <v>190</v>
      </c>
      <c r="G12" s="116" t="s">
        <v>189</v>
      </c>
      <c r="H12" s="10" t="s">
        <v>35</v>
      </c>
      <c r="I12" s="68">
        <v>1.2383659221730949</v>
      </c>
      <c r="J12" s="103" t="s">
        <v>36</v>
      </c>
    </row>
    <row r="13" spans="1:10" ht="15" customHeight="1" thickBot="1">
      <c r="A13" s="6" t="s">
        <v>37</v>
      </c>
      <c r="B13" s="69">
        <v>57.5</v>
      </c>
      <c r="C13" s="73">
        <v>124.85000085830688</v>
      </c>
      <c r="D13" s="6" t="s">
        <v>38</v>
      </c>
      <c r="E13" s="70">
        <v>17</v>
      </c>
      <c r="F13" s="124"/>
      <c r="G13" s="116" t="s">
        <v>191</v>
      </c>
      <c r="H13" s="10" t="s">
        <v>40</v>
      </c>
      <c r="I13" s="68">
        <v>1.0303025290181218</v>
      </c>
      <c r="J13" s="104">
        <v>123.87340545654297</v>
      </c>
    </row>
    <row r="14" spans="1:10" ht="15" customHeight="1" thickBot="1">
      <c r="A14" s="134" t="s">
        <v>41</v>
      </c>
      <c r="B14" s="135">
        <v>846.29998779296875</v>
      </c>
      <c r="C14" s="136">
        <v>846.29998779296875</v>
      </c>
      <c r="D14" s="6" t="s">
        <v>42</v>
      </c>
      <c r="E14" s="51" t="s">
        <v>184</v>
      </c>
      <c r="F14" s="51" t="s">
        <v>193</v>
      </c>
      <c r="G14" s="116" t="s">
        <v>192</v>
      </c>
      <c r="H14" s="49" t="s">
        <v>43</v>
      </c>
      <c r="I14" s="68">
        <v>1.2758915414647982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174</v>
      </c>
      <c r="F15" s="51"/>
      <c r="G15" s="116"/>
      <c r="H15" s="10" t="s">
        <v>47</v>
      </c>
      <c r="I15" s="68">
        <v>0.96589165240170005</v>
      </c>
      <c r="J15" s="104">
        <v>22.641850490196077</v>
      </c>
    </row>
    <row r="16" spans="1:10" ht="15" customHeight="1">
      <c r="A16" s="6" t="s">
        <v>48</v>
      </c>
      <c r="B16" s="51">
        <v>72</v>
      </c>
      <c r="C16" s="52">
        <v>58</v>
      </c>
      <c r="D16" s="6" t="s">
        <v>49</v>
      </c>
      <c r="E16" s="51">
        <v>2</v>
      </c>
      <c r="F16" s="51"/>
      <c r="G16" s="116"/>
      <c r="H16" s="10" t="s">
        <v>50</v>
      </c>
      <c r="I16" s="68">
        <v>0.95749474318512517</v>
      </c>
      <c r="J16" s="105" t="s">
        <v>51</v>
      </c>
    </row>
    <row r="17" spans="1:10" ht="15" customHeight="1" thickBot="1">
      <c r="A17" s="6" t="s">
        <v>52</v>
      </c>
      <c r="B17" s="51" t="s">
        <v>178</v>
      </c>
      <c r="C17" s="52" t="s">
        <v>179</v>
      </c>
      <c r="D17" s="96" t="s">
        <v>53</v>
      </c>
      <c r="E17" s="51" t="s">
        <v>185</v>
      </c>
      <c r="F17" s="51"/>
      <c r="G17" s="116"/>
      <c r="H17" s="10" t="s">
        <v>54</v>
      </c>
      <c r="I17" s="68">
        <v>0.92483617966102194</v>
      </c>
      <c r="J17" s="104">
        <v>454.44933508757777</v>
      </c>
    </row>
    <row r="18" spans="1:10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1457</v>
      </c>
      <c r="F18" s="70">
        <v>1041</v>
      </c>
      <c r="G18" s="74"/>
      <c r="H18" s="13" t="s">
        <v>57</v>
      </c>
      <c r="I18" s="132" t="s">
        <v>199</v>
      </c>
      <c r="J18" s="133"/>
    </row>
    <row r="19" spans="1:10" ht="15" customHeight="1">
      <c r="A19" s="6" t="s">
        <v>58</v>
      </c>
      <c r="B19" s="69">
        <v>62</v>
      </c>
      <c r="C19" s="73">
        <v>38.549999237060547</v>
      </c>
      <c r="D19" s="6" t="s">
        <v>59</v>
      </c>
      <c r="E19" s="70">
        <v>204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180</v>
      </c>
      <c r="C20" s="73">
        <v>12.050000190734863</v>
      </c>
      <c r="D20" s="6" t="s">
        <v>166</v>
      </c>
      <c r="E20" s="67">
        <v>9.8694801141502295E-2</v>
      </c>
      <c r="F20" s="51"/>
      <c r="G20" s="52"/>
      <c r="H20" s="10" t="s">
        <v>63</v>
      </c>
      <c r="I20" s="68">
        <v>17.994585037231445</v>
      </c>
      <c r="J20" s="72">
        <v>17.994585037231445</v>
      </c>
    </row>
    <row r="21" spans="1:10" ht="15" customHeight="1">
      <c r="A21" s="6" t="s">
        <v>64</v>
      </c>
      <c r="B21" s="69">
        <v>14.199999809265137</v>
      </c>
      <c r="C21" s="73">
        <v>3.5</v>
      </c>
      <c r="D21" s="10" t="s">
        <v>186</v>
      </c>
      <c r="E21" s="67">
        <v>0.13165770132628693</v>
      </c>
      <c r="F21" s="67">
        <v>0.10704712569713593</v>
      </c>
      <c r="G21" s="71">
        <v>1.4577153160937179E-2</v>
      </c>
      <c r="H21" s="10" t="s">
        <v>65</v>
      </c>
      <c r="I21" s="68">
        <v>19.290695190429688</v>
      </c>
      <c r="J21" s="72">
        <v>13.827546119689941</v>
      </c>
    </row>
    <row r="22" spans="1:10" ht="15" customHeight="1">
      <c r="A22" s="6" t="s">
        <v>66</v>
      </c>
      <c r="B22" s="69">
        <v>2.8299999237060547</v>
      </c>
      <c r="C22" s="73">
        <v>3.5</v>
      </c>
      <c r="D22" s="6" t="s">
        <v>67</v>
      </c>
      <c r="E22" s="51" t="s">
        <v>187</v>
      </c>
      <c r="F22" s="51" t="s">
        <v>188</v>
      </c>
      <c r="G22" s="52" t="s">
        <v>188</v>
      </c>
      <c r="H22" s="10" t="s">
        <v>68</v>
      </c>
      <c r="I22" s="68">
        <v>5.7038311958312988</v>
      </c>
      <c r="J22" s="72">
        <v>5.1596999168395996</v>
      </c>
    </row>
    <row r="23" spans="1:10" ht="15" customHeight="1">
      <c r="A23" s="6" t="s">
        <v>69</v>
      </c>
      <c r="B23" s="69">
        <v>8.9692268371582031</v>
      </c>
      <c r="C23" s="73">
        <v>12.313919067382813</v>
      </c>
      <c r="D23" s="6" t="s">
        <v>70</v>
      </c>
      <c r="E23" s="68">
        <v>1.7419999837875366</v>
      </c>
      <c r="F23" s="68">
        <v>1.7239999771118164</v>
      </c>
      <c r="G23" s="72">
        <v>1.7239999771118164</v>
      </c>
      <c r="H23" s="10" t="s">
        <v>71</v>
      </c>
      <c r="I23" s="68">
        <v>5.1614134275774353</v>
      </c>
      <c r="J23" s="16" t="s">
        <v>200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3.5214854515373335</v>
      </c>
      <c r="J24" s="72">
        <v>3.2578793862271933</v>
      </c>
    </row>
    <row r="25" spans="1:10" ht="15" customHeight="1">
      <c r="A25" s="6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0.25328198075294495</v>
      </c>
      <c r="J25" s="72">
        <v>0.52435541152954102</v>
      </c>
    </row>
    <row r="26" spans="1:10" ht="15" customHeight="1">
      <c r="A26" s="6" t="s">
        <v>78</v>
      </c>
      <c r="B26" s="53" t="s">
        <v>181</v>
      </c>
      <c r="C26" s="60" t="s">
        <v>182</v>
      </c>
      <c r="D26" s="10" t="s">
        <v>79</v>
      </c>
      <c r="E26" s="69">
        <v>415.86880184954316</v>
      </c>
      <c r="F26" s="69">
        <v>231.93619735713958</v>
      </c>
      <c r="G26" s="73">
        <v>40.615364667603743</v>
      </c>
      <c r="H26" s="10" t="s">
        <v>80</v>
      </c>
      <c r="I26" s="68">
        <v>4.280299186706543</v>
      </c>
      <c r="J26" s="72">
        <v>3.7548525333404541</v>
      </c>
    </row>
    <row r="27" spans="1:10" ht="15" customHeight="1" thickBot="1">
      <c r="A27" s="6" t="s">
        <v>81</v>
      </c>
      <c r="B27" s="51" t="s">
        <v>174</v>
      </c>
      <c r="C27" s="52" t="s">
        <v>174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4.2877864837646484</v>
      </c>
      <c r="J27" s="81">
        <v>3.7912881374359131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35.000967785669218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35.035971137034089</v>
      </c>
      <c r="D30" s="10" t="s">
        <v>95</v>
      </c>
      <c r="E30" s="69">
        <v>20.158535833333332</v>
      </c>
      <c r="F30" s="69">
        <v>973.24498596191404</v>
      </c>
      <c r="G30" s="69">
        <v>9.4425808444182593</v>
      </c>
      <c r="H30" s="74">
        <v>70.428995657832346</v>
      </c>
      <c r="I30" s="70">
        <v>108924.7454878382</v>
      </c>
      <c r="J30" s="74">
        <v>3521.5790762680549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6.2</v>
      </c>
      <c r="F31" s="69">
        <v>910.87878753592258</v>
      </c>
      <c r="G31" s="69">
        <v>10.089097020505223</v>
      </c>
      <c r="H31" s="74">
        <v>25.080403604842402</v>
      </c>
      <c r="I31" s="70">
        <v>33884.690896336324</v>
      </c>
      <c r="J31" s="74">
        <v>1219.574091000469</v>
      </c>
    </row>
    <row r="32" spans="1:10" ht="15" customHeight="1">
      <c r="A32" s="6" t="s">
        <v>98</v>
      </c>
      <c r="B32" s="68" t="s">
        <v>243</v>
      </c>
      <c r="C32" s="110"/>
      <c r="D32" s="10" t="s">
        <v>99</v>
      </c>
      <c r="E32" s="69">
        <v>11.773108569940806</v>
      </c>
      <c r="F32" s="69">
        <v>2113.2110840467453</v>
      </c>
      <c r="G32" s="69">
        <v>4.3488057254420491</v>
      </c>
      <c r="H32" s="74">
        <v>12.085863481079253</v>
      </c>
      <c r="I32" s="9" t="s">
        <v>100</v>
      </c>
      <c r="J32" s="74">
        <v>4741.1531672685242</v>
      </c>
    </row>
    <row r="33" spans="1:10" ht="15" customHeight="1">
      <c r="A33" s="6" t="s">
        <v>101</v>
      </c>
      <c r="B33" s="68" t="s">
        <v>244</v>
      </c>
      <c r="C33" s="111" t="s">
        <v>102</v>
      </c>
      <c r="D33" s="10" t="s">
        <v>97</v>
      </c>
      <c r="E33" s="69">
        <v>3.854999923706055</v>
      </c>
      <c r="F33" s="69">
        <v>1007.3893904529357</v>
      </c>
      <c r="G33" s="69">
        <v>9.1225344920876772</v>
      </c>
      <c r="H33" s="74">
        <v>12.429112253258802</v>
      </c>
      <c r="I33" s="9" t="s">
        <v>103</v>
      </c>
      <c r="J33" s="73" t="s">
        <v>211</v>
      </c>
    </row>
    <row r="34" spans="1:10" ht="15" customHeight="1" thickBot="1">
      <c r="A34" s="17" t="s">
        <v>104</v>
      </c>
      <c r="B34" s="79" t="s">
        <v>245</v>
      </c>
      <c r="C34" s="112">
        <v>9.1899444613700858</v>
      </c>
      <c r="D34" s="11" t="s">
        <v>20</v>
      </c>
      <c r="E34" s="79">
        <v>0.20999999046325685</v>
      </c>
      <c r="F34" s="80">
        <v>1982.989481688483</v>
      </c>
      <c r="G34" s="80">
        <v>4.6343889093879609</v>
      </c>
      <c r="H34" s="83">
        <v>774.46581728877345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213</v>
      </c>
      <c r="E35" s="148" t="s">
        <v>212</v>
      </c>
      <c r="F35" s="15"/>
      <c r="G35" s="26" t="s">
        <v>107</v>
      </c>
      <c r="H35" s="85" t="s">
        <v>206</v>
      </c>
      <c r="I35" s="10" t="s">
        <v>108</v>
      </c>
      <c r="J35" s="74" t="s">
        <v>210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204</v>
      </c>
      <c r="I36" s="10" t="s">
        <v>111</v>
      </c>
      <c r="J36" s="74" t="s">
        <v>209</v>
      </c>
    </row>
    <row r="37" spans="1:10" ht="15" customHeight="1" thickBot="1">
      <c r="A37" s="6" t="s">
        <v>112</v>
      </c>
      <c r="B37" s="69" t="s">
        <v>225</v>
      </c>
      <c r="C37" s="69" t="s">
        <v>226</v>
      </c>
      <c r="D37" s="69" t="s">
        <v>227</v>
      </c>
      <c r="E37" s="69" t="s">
        <v>228</v>
      </c>
      <c r="F37" s="73" t="s">
        <v>229</v>
      </c>
      <c r="G37" s="10" t="s">
        <v>113</v>
      </c>
      <c r="H37" s="74" t="s">
        <v>205</v>
      </c>
      <c r="I37" s="11" t="s">
        <v>114</v>
      </c>
      <c r="J37" s="83" t="s">
        <v>208</v>
      </c>
    </row>
    <row r="38" spans="1:10" ht="15" customHeight="1" thickBot="1">
      <c r="A38" s="6" t="s">
        <v>115</v>
      </c>
      <c r="B38" s="68" t="s">
        <v>215</v>
      </c>
      <c r="C38" s="68" t="s">
        <v>216</v>
      </c>
      <c r="D38" s="68" t="s">
        <v>217</v>
      </c>
      <c r="E38" s="68" t="s">
        <v>218</v>
      </c>
      <c r="F38" s="72" t="s">
        <v>219</v>
      </c>
      <c r="G38" s="17" t="s">
        <v>116</v>
      </c>
      <c r="H38" s="83" t="s">
        <v>207</v>
      </c>
      <c r="I38" s="139" t="s">
        <v>214</v>
      </c>
      <c r="J38" s="84">
        <v>7633.32958984375</v>
      </c>
    </row>
    <row r="39" spans="1:10" ht="15" customHeight="1">
      <c r="A39" s="6" t="s">
        <v>117</v>
      </c>
      <c r="B39" s="68" t="s">
        <v>220</v>
      </c>
      <c r="C39" s="68" t="s">
        <v>221</v>
      </c>
      <c r="D39" s="68" t="s">
        <v>222</v>
      </c>
      <c r="E39" s="68" t="s">
        <v>223</v>
      </c>
      <c r="F39" s="72" t="s">
        <v>224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238</v>
      </c>
      <c r="C40" s="67" t="s">
        <v>239</v>
      </c>
      <c r="D40" s="67" t="s">
        <v>240</v>
      </c>
      <c r="E40" s="67" t="s">
        <v>241</v>
      </c>
      <c r="F40" s="71" t="s">
        <v>242</v>
      </c>
      <c r="G40" s="36" t="s">
        <v>121</v>
      </c>
      <c r="H40" s="91" t="s">
        <v>246</v>
      </c>
      <c r="I40" s="55"/>
      <c r="J40" s="56"/>
    </row>
    <row r="41" spans="1:10" ht="15" customHeight="1">
      <c r="A41" s="6" t="s">
        <v>5</v>
      </c>
      <c r="B41" s="70" t="s">
        <v>233</v>
      </c>
      <c r="C41" s="70" t="s">
        <v>234</v>
      </c>
      <c r="D41" s="70" t="s">
        <v>235</v>
      </c>
      <c r="E41" s="70" t="s">
        <v>236</v>
      </c>
      <c r="F41" s="74" t="s">
        <v>237</v>
      </c>
      <c r="G41" s="37" t="s">
        <v>122</v>
      </c>
      <c r="H41" s="92" t="s">
        <v>247</v>
      </c>
      <c r="I41" s="57"/>
      <c r="J41" s="58"/>
    </row>
    <row r="42" spans="1:10" ht="15" customHeight="1">
      <c r="A42" s="6" t="s">
        <v>123</v>
      </c>
      <c r="B42" s="68">
        <v>8.9408365897500701</v>
      </c>
      <c r="C42" s="68">
        <v>8.9408365897500701</v>
      </c>
      <c r="D42" s="68">
        <v>8.9408365897500701</v>
      </c>
      <c r="E42" s="68">
        <v>8.9408365897500701</v>
      </c>
      <c r="F42" s="72">
        <v>8.9408365897500701</v>
      </c>
      <c r="G42" s="36" t="s">
        <v>124</v>
      </c>
      <c r="H42" s="91" t="s">
        <v>248</v>
      </c>
      <c r="I42" s="55"/>
      <c r="J42" s="97">
        <v>0.13830946601201999</v>
      </c>
    </row>
    <row r="43" spans="1:10" ht="15" customHeight="1" thickBot="1">
      <c r="A43" s="17" t="s">
        <v>125</v>
      </c>
      <c r="B43" s="79">
        <v>8.9408365897500701</v>
      </c>
      <c r="C43" s="79"/>
      <c r="D43" s="79" t="s">
        <v>251</v>
      </c>
      <c r="E43" s="79"/>
      <c r="F43" s="81"/>
      <c r="G43" s="37" t="s">
        <v>122</v>
      </c>
      <c r="H43" s="92" t="s">
        <v>249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1723.8149475319383</v>
      </c>
      <c r="I44" s="90">
        <v>2.840146866998404E-2</v>
      </c>
      <c r="J44" s="97">
        <v>0.64357925576220609</v>
      </c>
    </row>
    <row r="45" spans="1:10" ht="15" customHeight="1">
      <c r="A45" s="6" t="s">
        <v>129</v>
      </c>
      <c r="B45" s="68">
        <v>0.23481400310993195</v>
      </c>
      <c r="C45" s="4" t="s">
        <v>130</v>
      </c>
      <c r="D45" s="72">
        <v>7.0696212351322174E-3</v>
      </c>
      <c r="E45" s="6" t="s">
        <v>131</v>
      </c>
      <c r="F45" s="74">
        <v>724.53475521960252</v>
      </c>
      <c r="G45" s="38" t="s">
        <v>122</v>
      </c>
      <c r="H45" s="86" t="s">
        <v>250</v>
      </c>
      <c r="I45" s="59"/>
      <c r="J45" s="60"/>
    </row>
    <row r="46" spans="1:10" ht="15" customHeight="1">
      <c r="A46" s="6" t="s">
        <v>132</v>
      </c>
      <c r="B46" s="68">
        <v>0.21105602383613586</v>
      </c>
      <c r="C46" s="4" t="s">
        <v>133</v>
      </c>
      <c r="D46" s="72">
        <v>5.9971362352371216E-3</v>
      </c>
      <c r="E46" s="6" t="s">
        <v>134</v>
      </c>
      <c r="F46" s="74">
        <v>1259.7211060504515</v>
      </c>
      <c r="G46" s="37" t="s">
        <v>135</v>
      </c>
      <c r="H46" s="94">
        <v>375.6142930574714</v>
      </c>
      <c r="I46" s="57"/>
      <c r="J46" s="58"/>
    </row>
    <row r="47" spans="1:10" ht="15" customHeight="1">
      <c r="A47" s="6" t="s">
        <v>136</v>
      </c>
      <c r="B47" s="68">
        <v>0.445870041847229</v>
      </c>
      <c r="C47" s="4" t="s">
        <v>137</v>
      </c>
      <c r="D47" s="72">
        <v>2.0107239484786987E-2</v>
      </c>
      <c r="E47" s="6" t="s">
        <v>138</v>
      </c>
      <c r="F47" s="74">
        <v>1001.4121570420308</v>
      </c>
      <c r="G47" s="64" t="s">
        <v>139</v>
      </c>
      <c r="H47" s="93">
        <v>1675.5719292971512</v>
      </c>
      <c r="I47" s="90">
        <v>2.7582886805085225E-2</v>
      </c>
      <c r="J47" s="95">
        <v>0.6534738931164924</v>
      </c>
    </row>
    <row r="48" spans="1:10" ht="15" customHeight="1">
      <c r="A48" s="6" t="s">
        <v>140</v>
      </c>
      <c r="B48" s="68">
        <v>1.1099515482783318E-2</v>
      </c>
      <c r="C48" s="4" t="s">
        <v>100</v>
      </c>
      <c r="D48" s="72">
        <v>4.4273510575294495E-2</v>
      </c>
      <c r="E48" s="6" t="s">
        <v>141</v>
      </c>
      <c r="F48" s="74">
        <v>8.2253320655789963</v>
      </c>
      <c r="G48" s="65" t="s">
        <v>122</v>
      </c>
      <c r="H48" s="86">
        <v>224.60749722481918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0.9557265043258667</v>
      </c>
      <c r="E49" s="17" t="s">
        <v>143</v>
      </c>
      <c r="F49" s="83">
        <v>17.805952842697774</v>
      </c>
      <c r="G49" s="66" t="s">
        <v>135</v>
      </c>
      <c r="H49" s="94">
        <v>370.08500553768545</v>
      </c>
      <c r="I49" s="57"/>
      <c r="J49" s="61"/>
    </row>
    <row r="50" spans="1:10" ht="15" customHeight="1">
      <c r="A50" s="13" t="s">
        <v>196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58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3.7031591901825735E-2</v>
      </c>
      <c r="I51" s="45" t="s">
        <v>149</v>
      </c>
      <c r="J51" s="39"/>
    </row>
    <row r="52" spans="1:10" ht="15" customHeight="1">
      <c r="A52" s="10" t="s">
        <v>58</v>
      </c>
      <c r="B52" s="69">
        <v>38.549999237060547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252541.59858287204</v>
      </c>
      <c r="I52" s="98" t="s">
        <v>230</v>
      </c>
      <c r="J52" s="62"/>
    </row>
    <row r="53" spans="1:10" ht="15" customHeight="1">
      <c r="A53" s="10" t="s">
        <v>64</v>
      </c>
      <c r="B53" s="69">
        <v>3.5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252.30563337470269</v>
      </c>
      <c r="I53" s="44" t="s">
        <v>154</v>
      </c>
      <c r="J53" s="39"/>
    </row>
    <row r="54" spans="1:10" ht="15" customHeight="1">
      <c r="A54" s="10" t="s">
        <v>66</v>
      </c>
      <c r="B54" s="69">
        <v>3.5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539539</v>
      </c>
      <c r="I54" s="99" t="s">
        <v>231</v>
      </c>
      <c r="J54" s="100" t="s">
        <v>194</v>
      </c>
    </row>
    <row r="55" spans="1:10" ht="15" customHeight="1">
      <c r="A55" s="10" t="s">
        <v>156</v>
      </c>
      <c r="B55" s="69">
        <v>12.050000190734863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0.87493749999999992</v>
      </c>
      <c r="I56" s="101" t="s">
        <v>232</v>
      </c>
      <c r="J56" s="61" t="s">
        <v>195</v>
      </c>
    </row>
    <row r="57" spans="1:10" ht="15" customHeight="1">
      <c r="A57" s="23" t="s">
        <v>252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253</v>
      </c>
      <c r="D58" s="3" t="s">
        <v>119</v>
      </c>
      <c r="E58" s="3" t="s">
        <v>165</v>
      </c>
      <c r="F58" s="16" t="s">
        <v>254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0.21082913875579834</v>
      </c>
      <c r="D59" s="128">
        <v>0.68736839294433594</v>
      </c>
      <c r="E59" s="86">
        <v>124.23276378156945</v>
      </c>
      <c r="F59" s="87">
        <v>636.35406494140625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177.60141342791806</v>
      </c>
      <c r="C60" s="87">
        <v>179.85604858398438</v>
      </c>
      <c r="D60" s="128">
        <v>0.79157894849777222</v>
      </c>
      <c r="E60" s="86">
        <v>124.09853987993601</v>
      </c>
      <c r="F60" s="87">
        <v>641.92095947265625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274</v>
      </c>
      <c r="C61" s="87">
        <v>485.10443115234375</v>
      </c>
      <c r="D61" s="128">
        <v>0.89578944444656372</v>
      </c>
      <c r="E61" s="86">
        <v>124.03050265938131</v>
      </c>
      <c r="F61" s="87">
        <v>646.5206298828125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167.56368861472671</v>
      </c>
      <c r="C62" s="87">
        <v>548.83349609375</v>
      </c>
      <c r="D62" s="129">
        <v>1</v>
      </c>
      <c r="E62" s="86">
        <v>124</v>
      </c>
      <c r="F62" s="87">
        <v>650.3936767578125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141.28796740319811</v>
      </c>
      <c r="C63" s="87">
        <v>568.029052734375</v>
      </c>
      <c r="D63" s="152"/>
      <c r="E63" s="88"/>
      <c r="F63" s="153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131.79486314700546</v>
      </c>
      <c r="C64" s="87">
        <v>579.2630615234375</v>
      </c>
      <c r="D64" s="154" t="s">
        <v>262</v>
      </c>
      <c r="E64" s="155"/>
      <c r="F64" s="155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127.02309557647288</v>
      </c>
      <c r="C65" s="87">
        <v>596.08013916015625</v>
      </c>
      <c r="D65" s="156" t="s">
        <v>256</v>
      </c>
      <c r="E65" s="158" t="s">
        <v>260</v>
      </c>
      <c r="F65" s="158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125.57211012252908</v>
      </c>
      <c r="C66" s="87">
        <v>609.6275634765625</v>
      </c>
      <c r="D66" s="156" t="s">
        <v>257</v>
      </c>
      <c r="E66" s="158" t="s">
        <v>261</v>
      </c>
      <c r="F66" s="158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124.879089509479</v>
      </c>
      <c r="C67" s="87">
        <v>620.645263671875</v>
      </c>
      <c r="D67" s="156" t="s">
        <v>258</v>
      </c>
      <c r="E67" s="158" t="s">
        <v>263</v>
      </c>
      <c r="F67" s="158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124.47128497507452</v>
      </c>
      <c r="C68" s="89">
        <v>629.367431640625</v>
      </c>
      <c r="D68" s="157" t="s">
        <v>259</v>
      </c>
      <c r="E68" s="159" t="s">
        <v>264</v>
      </c>
      <c r="F68" s="159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151" t="s">
        <v>255</v>
      </c>
      <c r="B99" s="151"/>
      <c r="C99" s="151"/>
      <c r="D99" s="151"/>
      <c r="E99" s="151"/>
      <c r="F99" s="151"/>
      <c r="G99" s="151"/>
      <c r="H99" s="151"/>
      <c r="I99" s="151"/>
    </row>
    <row r="100" spans="1:9">
      <c r="A100" s="151">
        <v>100</v>
      </c>
      <c r="B100" s="151"/>
      <c r="C100" s="151"/>
      <c r="D100" s="151"/>
      <c r="E100" s="151"/>
      <c r="F100" s="151"/>
      <c r="G100" s="151"/>
      <c r="H100" s="151"/>
      <c r="I100" s="151"/>
    </row>
    <row r="101" spans="1:9">
      <c r="A101" s="151">
        <v>99.599998474121094</v>
      </c>
      <c r="B101" s="151"/>
      <c r="C101" s="151"/>
      <c r="D101" s="151"/>
      <c r="E101" s="151"/>
      <c r="F101" s="151"/>
      <c r="G101" s="151"/>
      <c r="H101" s="151"/>
      <c r="I101" s="151"/>
    </row>
    <row r="102" spans="1:9">
      <c r="A102" s="151">
        <v>98</v>
      </c>
      <c r="B102" s="151"/>
      <c r="C102" s="151"/>
      <c r="D102" s="151"/>
      <c r="E102" s="151"/>
      <c r="F102" s="151"/>
      <c r="G102" s="151"/>
      <c r="H102" s="151"/>
      <c r="I102" s="151"/>
    </row>
    <row r="103" spans="1:9">
      <c r="A103" s="151">
        <v>83.852630615234375</v>
      </c>
      <c r="B103" s="151"/>
      <c r="C103" s="151"/>
      <c r="D103" s="151"/>
      <c r="E103" s="151"/>
      <c r="F103" s="151"/>
      <c r="G103" s="151"/>
      <c r="H103" s="151"/>
      <c r="I103" s="151"/>
    </row>
    <row r="104" spans="1:9">
      <c r="A104" s="151">
        <v>70.305259704589844</v>
      </c>
      <c r="B104" s="151"/>
      <c r="C104" s="151"/>
      <c r="D104" s="151"/>
      <c r="E104" s="151"/>
      <c r="F104" s="151"/>
      <c r="G104" s="151"/>
      <c r="H104" s="151"/>
      <c r="I104" s="151"/>
    </row>
    <row r="105" spans="1:9">
      <c r="A105" s="151">
        <v>57.410526275634766</v>
      </c>
      <c r="B105" s="151"/>
      <c r="C105" s="151"/>
      <c r="D105" s="151"/>
      <c r="E105" s="151"/>
      <c r="F105" s="151"/>
      <c r="G105" s="151"/>
      <c r="H105" s="151"/>
      <c r="I105" s="151"/>
    </row>
    <row r="106" spans="1:9">
      <c r="A106" s="151">
        <v>38.010524749755859</v>
      </c>
      <c r="B106" s="151"/>
      <c r="C106" s="151"/>
      <c r="D106" s="151"/>
      <c r="E106" s="151"/>
      <c r="F106" s="151"/>
      <c r="G106" s="151"/>
      <c r="H106" s="151"/>
      <c r="I106" s="151"/>
    </row>
    <row r="107" spans="1:9">
      <c r="A107" s="151">
        <v>24.778947830200195</v>
      </c>
      <c r="B107" s="151"/>
      <c r="C107" s="151"/>
      <c r="D107" s="151"/>
      <c r="E107" s="151"/>
      <c r="F107" s="151"/>
      <c r="G107" s="151"/>
      <c r="H107" s="151"/>
      <c r="I107" s="151"/>
    </row>
    <row r="108" spans="1:9">
      <c r="A108" s="151">
        <v>15.684209823608398</v>
      </c>
      <c r="B108" s="151"/>
      <c r="C108" s="151"/>
      <c r="D108" s="151"/>
      <c r="E108" s="151"/>
      <c r="F108" s="151"/>
      <c r="G108" s="151"/>
      <c r="H108" s="151"/>
      <c r="I108" s="151"/>
    </row>
    <row r="109" spans="1:9">
      <c r="A109" s="151">
        <v>9.0105257034301758</v>
      </c>
      <c r="B109" s="151"/>
      <c r="C109" s="151"/>
      <c r="D109" s="151"/>
      <c r="E109" s="151"/>
      <c r="F109" s="151"/>
      <c r="G109" s="151"/>
      <c r="H109" s="151"/>
      <c r="I109" s="151"/>
    </row>
    <row r="110" spans="1:9">
      <c r="A110" s="151">
        <v>6.2526321411132813</v>
      </c>
      <c r="B110" s="151"/>
      <c r="C110" s="151"/>
      <c r="D110" s="151"/>
      <c r="E110" s="151"/>
      <c r="F110" s="151"/>
      <c r="G110" s="151"/>
      <c r="H110" s="151"/>
      <c r="I110" s="151"/>
    </row>
    <row r="111" spans="1:9">
      <c r="A111" s="151">
        <v>7.8315787315368652</v>
      </c>
      <c r="B111" s="151"/>
      <c r="C111" s="151"/>
      <c r="D111" s="151"/>
      <c r="E111" s="151"/>
      <c r="F111" s="151"/>
      <c r="G111" s="151"/>
      <c r="H111" s="151"/>
      <c r="I111" s="151"/>
    </row>
    <row r="112" spans="1:9">
      <c r="A112" s="151">
        <v>14.70526123046875</v>
      </c>
      <c r="B112" s="151"/>
      <c r="C112" s="151"/>
      <c r="D112" s="151"/>
      <c r="E112" s="151"/>
      <c r="F112" s="151"/>
      <c r="G112" s="151"/>
      <c r="H112" s="151"/>
      <c r="I112" s="151"/>
    </row>
    <row r="113" spans="1:9">
      <c r="A113" s="151">
        <v>30</v>
      </c>
      <c r="B113" s="151"/>
      <c r="C113" s="151"/>
      <c r="D113" s="151"/>
      <c r="E113" s="151"/>
      <c r="F113" s="151"/>
      <c r="G113" s="151"/>
      <c r="H113" s="151"/>
      <c r="I113" s="151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workbookViewId="0">
      <selection activeCell="J16" sqref="J16"/>
    </sheetView>
  </sheetViews>
  <sheetFormatPr defaultColWidth="9.140625" defaultRowHeight="15.75"/>
  <cols>
    <col min="1" max="1" width="12.140625" style="309" customWidth="1"/>
    <col min="2" max="2" width="6.140625" style="309" customWidth="1"/>
    <col min="3" max="3" width="7.7109375" style="309" customWidth="1"/>
    <col min="4" max="5" width="13.140625" style="309" customWidth="1"/>
    <col min="6" max="6" width="9.42578125" style="309" customWidth="1"/>
    <col min="7" max="7" width="5.7109375" style="309" customWidth="1"/>
    <col min="8" max="8" width="7.85546875" style="309" customWidth="1"/>
    <col min="9" max="9" width="6.5703125" style="309" customWidth="1"/>
    <col min="10" max="11" width="12" style="309" customWidth="1"/>
    <col min="12" max="12" width="16" style="160" customWidth="1"/>
    <col min="13" max="26" width="9.140625" style="160"/>
    <col min="27" max="16384" width="9.140625" style="161"/>
  </cols>
  <sheetData>
    <row r="1" spans="1:26" ht="20.25" customHeight="1">
      <c r="A1" s="533" t="s">
        <v>265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</row>
    <row r="2" spans="1:26" ht="20.25" customHeight="1">
      <c r="A2" s="534" t="s">
        <v>266</v>
      </c>
      <c r="B2" s="534"/>
      <c r="C2" s="534"/>
      <c r="D2" s="534"/>
      <c r="E2" s="534"/>
      <c r="F2" s="534"/>
      <c r="G2" s="534"/>
      <c r="H2" s="534"/>
      <c r="I2" s="534"/>
      <c r="J2" s="534"/>
      <c r="K2" s="534"/>
    </row>
    <row r="3" spans="1:26" ht="18.75" customHeight="1" thickBot="1">
      <c r="A3" s="162" t="s">
        <v>1</v>
      </c>
      <c r="B3" s="163" t="s">
        <v>375</v>
      </c>
      <c r="C3" s="164"/>
      <c r="D3" s="164"/>
      <c r="E3" s="164"/>
      <c r="F3" s="165"/>
      <c r="G3" s="164"/>
      <c r="H3" s="164"/>
      <c r="I3" s="162" t="s">
        <v>267</v>
      </c>
      <c r="J3" s="535" t="s">
        <v>602</v>
      </c>
      <c r="K3" s="535"/>
    </row>
    <row r="4" spans="1:26" s="174" customFormat="1" ht="18.399999999999999" customHeight="1" thickBot="1">
      <c r="A4" s="166" t="s">
        <v>620</v>
      </c>
      <c r="B4" s="167"/>
      <c r="C4" s="168"/>
      <c r="D4" s="168"/>
      <c r="E4" s="168"/>
      <c r="F4" s="168"/>
      <c r="G4" s="168"/>
      <c r="H4" s="168"/>
      <c r="I4" s="168"/>
      <c r="J4" s="168"/>
      <c r="K4" s="169"/>
      <c r="L4" s="170"/>
      <c r="M4" s="170"/>
      <c r="N4" s="170"/>
      <c r="O4" s="170"/>
      <c r="P4" s="170"/>
      <c r="Q4" s="171" t="s">
        <v>268</v>
      </c>
      <c r="R4" s="172"/>
      <c r="S4" s="170"/>
      <c r="T4" s="171" t="s">
        <v>269</v>
      </c>
      <c r="U4" s="173"/>
      <c r="V4" s="170"/>
      <c r="W4" s="170"/>
      <c r="X4" s="170"/>
      <c r="Y4" s="170"/>
      <c r="Z4" s="170"/>
    </row>
    <row r="5" spans="1:26" s="174" customFormat="1" ht="18.399999999999999" customHeight="1">
      <c r="A5" s="536" t="s">
        <v>270</v>
      </c>
      <c r="B5" s="537"/>
      <c r="C5" s="537"/>
      <c r="D5" s="175"/>
      <c r="E5" s="176"/>
      <c r="F5" s="177" t="s">
        <v>271</v>
      </c>
      <c r="G5" s="164"/>
      <c r="H5" s="164"/>
      <c r="I5" s="178"/>
      <c r="J5" s="179" t="s">
        <v>272</v>
      </c>
      <c r="K5" s="180" t="s">
        <v>273</v>
      </c>
      <c r="L5" s="170"/>
      <c r="M5" s="170"/>
      <c r="N5" s="170"/>
      <c r="O5" s="170"/>
      <c r="P5" s="170"/>
      <c r="Q5" s="181" t="s">
        <v>274</v>
      </c>
      <c r="R5" s="182"/>
      <c r="S5" s="170"/>
      <c r="T5" s="181" t="s">
        <v>275</v>
      </c>
      <c r="U5" s="183"/>
      <c r="V5" s="170"/>
      <c r="W5" s="170"/>
      <c r="X5" s="170"/>
      <c r="Y5" s="170"/>
      <c r="Z5" s="170"/>
    </row>
    <row r="6" spans="1:26" s="174" customFormat="1" ht="18.399999999999999" customHeight="1">
      <c r="A6" s="538" t="s">
        <v>67</v>
      </c>
      <c r="B6" s="539"/>
      <c r="C6" s="539"/>
      <c r="D6" s="540" t="s">
        <v>279</v>
      </c>
      <c r="E6" s="541"/>
      <c r="F6" s="542" t="s">
        <v>277</v>
      </c>
      <c r="G6" s="543"/>
      <c r="H6" s="543"/>
      <c r="I6" s="543"/>
      <c r="J6" s="543"/>
      <c r="K6" s="544"/>
      <c r="L6" s="170"/>
      <c r="M6" s="170" t="s">
        <v>375</v>
      </c>
      <c r="N6" s="532" t="s">
        <v>616</v>
      </c>
      <c r="O6" s="532"/>
      <c r="P6" s="170"/>
      <c r="Q6" s="181" t="s">
        <v>278</v>
      </c>
      <c r="R6" s="182"/>
      <c r="S6" s="170"/>
      <c r="T6" s="181" t="s">
        <v>279</v>
      </c>
      <c r="U6" s="183"/>
      <c r="V6" s="170"/>
      <c r="W6" s="170"/>
      <c r="X6" s="170"/>
      <c r="Y6" s="170"/>
      <c r="Z6" s="170"/>
    </row>
    <row r="7" spans="1:26" s="174" customFormat="1" ht="18.399999999999999" customHeight="1">
      <c r="A7" s="548" t="s">
        <v>20</v>
      </c>
      <c r="B7" s="549"/>
      <c r="C7" s="549"/>
      <c r="D7" s="550">
        <v>2.0999999046325701</v>
      </c>
      <c r="E7" s="551"/>
      <c r="F7" s="184" t="s">
        <v>280</v>
      </c>
      <c r="G7" s="185"/>
      <c r="H7" s="186"/>
      <c r="I7" s="187"/>
      <c r="J7" s="188" t="s">
        <v>734</v>
      </c>
      <c r="K7" s="189">
        <v>32.700000000000003</v>
      </c>
      <c r="L7" s="170"/>
      <c r="M7" s="408" t="e">
        <f>O7/N7*J7</f>
        <v>#VALUE!</v>
      </c>
      <c r="N7">
        <v>28</v>
      </c>
      <c r="O7">
        <v>28.1</v>
      </c>
      <c r="P7" s="170"/>
      <c r="Q7" s="181" t="s">
        <v>281</v>
      </c>
      <c r="R7" s="182"/>
      <c r="S7" s="170"/>
      <c r="T7" s="181" t="s">
        <v>276</v>
      </c>
      <c r="U7" s="183"/>
      <c r="V7" s="170"/>
      <c r="W7" s="170"/>
      <c r="X7" s="170"/>
      <c r="Y7" s="170"/>
      <c r="Z7" s="170"/>
    </row>
    <row r="8" spans="1:26" s="174" customFormat="1" ht="18.399999999999999" customHeight="1">
      <c r="A8" s="548" t="s">
        <v>282</v>
      </c>
      <c r="B8" s="549"/>
      <c r="C8" s="549"/>
      <c r="D8" s="552">
        <v>910</v>
      </c>
      <c r="E8" s="553"/>
      <c r="F8" s="190" t="s">
        <v>283</v>
      </c>
      <c r="G8" s="191"/>
      <c r="H8" s="192"/>
      <c r="I8" s="193"/>
      <c r="J8" s="194">
        <v>10005</v>
      </c>
      <c r="K8" s="195">
        <v>12675</v>
      </c>
      <c r="L8" s="170"/>
      <c r="M8" s="409">
        <f t="shared" ref="M8:M11" si="0">O8/N8*J8</f>
        <v>12556.892592592594</v>
      </c>
      <c r="N8">
        <v>8100</v>
      </c>
      <c r="O8">
        <v>10166</v>
      </c>
      <c r="P8" s="170"/>
      <c r="Q8" s="181" t="s">
        <v>284</v>
      </c>
      <c r="R8" s="182"/>
      <c r="S8" s="170"/>
      <c r="T8" s="181" t="s">
        <v>285</v>
      </c>
      <c r="U8" s="183"/>
      <c r="V8" s="170"/>
      <c r="W8" s="170"/>
      <c r="X8" s="170"/>
      <c r="Y8" s="170"/>
      <c r="Z8" s="170"/>
    </row>
    <row r="9" spans="1:26" s="174" customFormat="1" ht="18.399999999999999" customHeight="1">
      <c r="A9" s="554" t="s">
        <v>286</v>
      </c>
      <c r="B9" s="555"/>
      <c r="C9" s="556"/>
      <c r="D9" s="552" t="s">
        <v>603</v>
      </c>
      <c r="E9" s="553"/>
      <c r="F9" s="184" t="s">
        <v>287</v>
      </c>
      <c r="G9" s="185"/>
      <c r="H9" s="196">
        <v>3</v>
      </c>
      <c r="I9" s="197" t="s">
        <v>288</v>
      </c>
      <c r="J9" s="198" t="s">
        <v>736</v>
      </c>
      <c r="K9" s="195">
        <v>172.5</v>
      </c>
      <c r="L9" s="170"/>
      <c r="M9" s="408" t="e">
        <f t="shared" si="0"/>
        <v>#VALUE!</v>
      </c>
      <c r="N9">
        <v>150</v>
      </c>
      <c r="O9">
        <v>146</v>
      </c>
      <c r="P9" s="170"/>
      <c r="Q9" s="181" t="s">
        <v>289</v>
      </c>
      <c r="R9" s="182"/>
      <c r="S9" s="170"/>
      <c r="T9" s="181" t="s">
        <v>290</v>
      </c>
      <c r="U9" s="183"/>
      <c r="V9" s="170"/>
      <c r="W9" s="170"/>
      <c r="X9" s="170"/>
      <c r="Y9" s="170"/>
      <c r="Z9" s="170"/>
    </row>
    <row r="10" spans="1:26" s="174" customFormat="1" ht="18.399999999999999" customHeight="1" thickBot="1">
      <c r="A10" s="554" t="s">
        <v>291</v>
      </c>
      <c r="B10" s="555"/>
      <c r="C10" s="556"/>
      <c r="D10" s="557" t="s">
        <v>184</v>
      </c>
      <c r="E10" s="558"/>
      <c r="F10" s="184" t="s">
        <v>292</v>
      </c>
      <c r="G10" s="185"/>
      <c r="H10" s="196">
        <v>3</v>
      </c>
      <c r="I10" s="197" t="s">
        <v>288</v>
      </c>
      <c r="J10" s="198" t="s">
        <v>735</v>
      </c>
      <c r="K10" s="195">
        <v>1150</v>
      </c>
      <c r="L10" s="170"/>
      <c r="M10" t="e">
        <f t="shared" si="0"/>
        <v>#VALUE!</v>
      </c>
      <c r="N10">
        <v>1150</v>
      </c>
      <c r="O10">
        <v>1150</v>
      </c>
      <c r="P10" s="170"/>
      <c r="Q10" s="181" t="s">
        <v>293</v>
      </c>
      <c r="R10" s="182"/>
      <c r="S10" s="170"/>
      <c r="T10" s="199" t="s">
        <v>294</v>
      </c>
      <c r="U10" s="200"/>
      <c r="V10" s="170"/>
      <c r="W10" s="170"/>
      <c r="X10" s="170"/>
      <c r="Y10" s="170"/>
      <c r="Z10" s="170"/>
    </row>
    <row r="11" spans="1:26" s="174" customFormat="1" ht="18.399999999999999" customHeight="1" thickBot="1">
      <c r="A11" s="554" t="s">
        <v>295</v>
      </c>
      <c r="B11" s="555"/>
      <c r="C11" s="556"/>
      <c r="D11" s="559" t="s">
        <v>174</v>
      </c>
      <c r="E11" s="560"/>
      <c r="F11" s="201" t="s">
        <v>296</v>
      </c>
      <c r="G11" s="202"/>
      <c r="H11" s="203">
        <v>3</v>
      </c>
      <c r="I11" s="197" t="s">
        <v>288</v>
      </c>
      <c r="J11" s="204">
        <v>24138</v>
      </c>
      <c r="K11" s="205">
        <v>42294</v>
      </c>
      <c r="L11" s="170"/>
      <c r="M11" s="409">
        <f t="shared" si="0"/>
        <v>39004.035627810445</v>
      </c>
      <c r="N11">
        <v>23128</v>
      </c>
      <c r="O11">
        <v>37372</v>
      </c>
      <c r="P11" s="170"/>
      <c r="Q11" s="199" t="s">
        <v>297</v>
      </c>
      <c r="R11" s="206"/>
      <c r="S11" s="170"/>
      <c r="T11" s="170"/>
      <c r="U11" s="170"/>
      <c r="V11" s="170"/>
      <c r="W11" s="170"/>
      <c r="X11" s="170"/>
      <c r="Y11" s="170"/>
      <c r="Z11" s="170"/>
    </row>
    <row r="12" spans="1:26" s="174" customFormat="1" ht="18.399999999999999" customHeight="1">
      <c r="A12" s="207" t="s">
        <v>298</v>
      </c>
      <c r="C12" s="208"/>
      <c r="D12" s="561" t="s">
        <v>174</v>
      </c>
      <c r="E12" s="562"/>
      <c r="F12" s="545" t="s">
        <v>299</v>
      </c>
      <c r="G12" s="546"/>
      <c r="H12" s="546"/>
      <c r="I12" s="546"/>
      <c r="J12" s="546"/>
      <c r="K12" s="547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spans="1:26" s="174" customFormat="1" ht="18.399999999999999" customHeight="1">
      <c r="A13" s="554" t="s">
        <v>53</v>
      </c>
      <c r="B13" s="555"/>
      <c r="C13" s="556"/>
      <c r="D13" s="563" t="s">
        <v>619</v>
      </c>
      <c r="E13" s="564"/>
      <c r="F13" s="209"/>
      <c r="G13" s="210" t="s">
        <v>300</v>
      </c>
      <c r="H13" s="211"/>
      <c r="I13" s="212" t="s">
        <v>301</v>
      </c>
      <c r="J13" s="213" t="s">
        <v>605</v>
      </c>
      <c r="K13" s="214" t="s">
        <v>174</v>
      </c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spans="1:26" s="174" customFormat="1" ht="18.399999999999999" customHeight="1">
      <c r="A14" s="554" t="s">
        <v>56</v>
      </c>
      <c r="B14" s="555"/>
      <c r="C14" s="556"/>
      <c r="D14" s="561">
        <v>1457</v>
      </c>
      <c r="E14" s="562"/>
      <c r="F14" s="209"/>
      <c r="G14" s="215" t="s">
        <v>10</v>
      </c>
      <c r="H14" s="216"/>
      <c r="I14" s="216"/>
      <c r="J14" s="198" t="s">
        <v>174</v>
      </c>
      <c r="K14" s="195" t="s">
        <v>174</v>
      </c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 spans="1:26" s="174" customFormat="1" ht="18.399999999999999" customHeight="1">
      <c r="A15" s="565" t="s">
        <v>302</v>
      </c>
      <c r="B15" s="566"/>
      <c r="C15" s="567"/>
      <c r="D15" s="568">
        <v>11.726400375366211</v>
      </c>
      <c r="E15" s="569"/>
      <c r="F15" s="209"/>
      <c r="G15" s="215" t="s">
        <v>303</v>
      </c>
      <c r="H15" s="216"/>
      <c r="I15" s="216"/>
      <c r="J15" s="198" t="s">
        <v>174</v>
      </c>
      <c r="K15" s="195" t="s">
        <v>174</v>
      </c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spans="1:26" s="174" customFormat="1" ht="18.399999999999999" customHeight="1">
      <c r="A16" s="570" t="s">
        <v>304</v>
      </c>
      <c r="B16" s="571"/>
      <c r="C16" s="572"/>
      <c r="D16" s="568">
        <v>3.4367997646331787</v>
      </c>
      <c r="E16" s="569"/>
      <c r="F16" s="217"/>
      <c r="G16" s="218" t="s">
        <v>17</v>
      </c>
      <c r="H16" s="219"/>
      <c r="I16" s="219"/>
      <c r="J16" s="204" t="s">
        <v>174</v>
      </c>
      <c r="K16" s="205" t="s">
        <v>174</v>
      </c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spans="1:26" s="174" customFormat="1" ht="18.399999999999999" customHeight="1">
      <c r="A17" s="220" t="s">
        <v>305</v>
      </c>
      <c r="B17" s="221"/>
      <c r="C17" s="222"/>
      <c r="D17" s="559" t="s">
        <v>376</v>
      </c>
      <c r="E17" s="560"/>
      <c r="F17" s="545" t="s">
        <v>306</v>
      </c>
      <c r="G17" s="546"/>
      <c r="H17" s="546"/>
      <c r="I17" s="546"/>
      <c r="J17" s="546"/>
      <c r="K17" s="547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spans="1:26" s="174" customFormat="1" ht="18.399999999999999" customHeight="1">
      <c r="A18" s="223" t="s">
        <v>307</v>
      </c>
      <c r="B18" s="224"/>
      <c r="C18" s="222"/>
      <c r="D18" s="557" t="s">
        <v>174</v>
      </c>
      <c r="E18" s="558"/>
      <c r="F18" s="573"/>
      <c r="G18" s="574"/>
      <c r="H18" s="225" t="s">
        <v>308</v>
      </c>
      <c r="I18" s="226"/>
      <c r="J18" s="194" t="s">
        <v>617</v>
      </c>
      <c r="K18" s="195"/>
      <c r="L18" s="170"/>
      <c r="M18" s="170" t="e">
        <f>J18*6.5</f>
        <v>#VALUE!</v>
      </c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spans="1:26" s="174" customFormat="1" ht="18.399999999999999" customHeight="1">
      <c r="A19" s="579" t="s">
        <v>309</v>
      </c>
      <c r="B19" s="580"/>
      <c r="C19" s="581"/>
      <c r="D19" s="582" t="s">
        <v>174</v>
      </c>
      <c r="E19" s="560"/>
      <c r="F19" s="575"/>
      <c r="G19" s="576"/>
      <c r="H19" s="225" t="s">
        <v>5</v>
      </c>
      <c r="I19" s="187"/>
      <c r="J19" s="194">
        <v>1191</v>
      </c>
      <c r="K19" s="195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spans="1:26" s="174" customFormat="1" ht="18.399999999999999" customHeight="1" thickBot="1">
      <c r="A20" s="227" t="s">
        <v>310</v>
      </c>
      <c r="C20" s="228"/>
      <c r="D20" s="583" t="s">
        <v>183</v>
      </c>
      <c r="E20" s="553"/>
      <c r="F20" s="575"/>
      <c r="G20" s="576"/>
      <c r="H20" s="225" t="s">
        <v>311</v>
      </c>
      <c r="I20" s="187"/>
      <c r="J20" s="198" t="s">
        <v>379</v>
      </c>
      <c r="K20" s="195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spans="1:26" s="174" customFormat="1" ht="18.399999999999999" customHeight="1" thickBot="1">
      <c r="A21" s="565" t="s">
        <v>312</v>
      </c>
      <c r="B21" s="566"/>
      <c r="C21" s="567"/>
      <c r="D21" s="552" t="s">
        <v>174</v>
      </c>
      <c r="E21" s="553"/>
      <c r="F21" s="575"/>
      <c r="G21" s="576"/>
      <c r="H21" s="229" t="s">
        <v>313</v>
      </c>
      <c r="I21" s="187"/>
      <c r="J21" s="198">
        <v>1.1499999999999999</v>
      </c>
      <c r="K21" s="195"/>
      <c r="L21" s="170"/>
      <c r="M21" s="170"/>
      <c r="N21" s="170"/>
      <c r="O21" s="170"/>
      <c r="P21" s="170"/>
      <c r="Q21" s="171" t="s">
        <v>314</v>
      </c>
      <c r="R21" s="173"/>
      <c r="S21" s="170"/>
      <c r="T21" s="170"/>
      <c r="U21" s="170"/>
      <c r="V21" s="170"/>
      <c r="W21" s="170"/>
      <c r="X21" s="170"/>
      <c r="Y21" s="170"/>
      <c r="Z21" s="170"/>
    </row>
    <row r="22" spans="1:26" s="174" customFormat="1" ht="18.399999999999999" customHeight="1">
      <c r="A22" s="223" t="s">
        <v>315</v>
      </c>
      <c r="B22" s="230"/>
      <c r="C22" s="230"/>
      <c r="D22" s="584">
        <v>9.9500000000000005E-2</v>
      </c>
      <c r="E22" s="585"/>
      <c r="F22" s="575"/>
      <c r="G22" s="576"/>
      <c r="H22" s="225" t="s">
        <v>272</v>
      </c>
      <c r="I22" s="187"/>
      <c r="J22" s="198" t="s">
        <v>606</v>
      </c>
      <c r="K22" s="195"/>
      <c r="L22" s="170"/>
      <c r="M22" s="170"/>
      <c r="N22" s="170"/>
      <c r="O22" s="170"/>
      <c r="P22" s="170"/>
      <c r="Q22" s="181" t="s">
        <v>316</v>
      </c>
      <c r="R22" s="183"/>
      <c r="S22" s="170"/>
      <c r="T22" s="170"/>
      <c r="U22" s="170"/>
      <c r="V22" s="170"/>
      <c r="W22" s="170"/>
      <c r="X22" s="170"/>
      <c r="Y22" s="170"/>
      <c r="Z22" s="170"/>
    </row>
    <row r="23" spans="1:26" s="174" customFormat="1" ht="18.399999999999999" customHeight="1">
      <c r="A23" s="231" t="s">
        <v>317</v>
      </c>
      <c r="B23" s="232" t="s">
        <v>318</v>
      </c>
      <c r="C23" s="233"/>
      <c r="D23" s="563">
        <v>938</v>
      </c>
      <c r="E23" s="564"/>
      <c r="F23" s="575"/>
      <c r="G23" s="576"/>
      <c r="H23" s="234" t="s">
        <v>319</v>
      </c>
      <c r="I23" s="235"/>
      <c r="J23" s="236"/>
      <c r="K23" s="237"/>
      <c r="L23" s="170"/>
      <c r="Q23" s="181" t="s">
        <v>320</v>
      </c>
      <c r="R23" s="183"/>
      <c r="S23" s="170"/>
      <c r="T23" s="170"/>
      <c r="U23" s="170"/>
      <c r="V23" s="170"/>
      <c r="W23" s="170"/>
      <c r="X23" s="170"/>
      <c r="Y23" s="170"/>
      <c r="Z23" s="170"/>
    </row>
    <row r="24" spans="1:26" s="174" customFormat="1" ht="18.399999999999999" customHeight="1" thickBot="1">
      <c r="A24" s="238" t="s">
        <v>321</v>
      </c>
      <c r="B24" s="239" t="s">
        <v>322</v>
      </c>
      <c r="C24" s="240"/>
      <c r="D24" s="586" t="s">
        <v>174</v>
      </c>
      <c r="E24" s="587"/>
      <c r="F24" s="575"/>
      <c r="G24" s="576"/>
      <c r="H24" s="225" t="s">
        <v>323</v>
      </c>
      <c r="I24" s="208"/>
      <c r="J24" s="241"/>
      <c r="K24" s="242"/>
      <c r="Q24" s="243" t="s">
        <v>174</v>
      </c>
      <c r="R24" s="244"/>
      <c r="S24" s="170"/>
      <c r="T24" s="170"/>
      <c r="U24" s="170"/>
      <c r="V24" s="170"/>
      <c r="W24" s="170"/>
      <c r="X24" s="170"/>
      <c r="Y24" s="170"/>
      <c r="Z24" s="170"/>
    </row>
    <row r="25" spans="1:26" s="174" customFormat="1" ht="18.399999999999999" customHeight="1">
      <c r="A25" s="245" t="s">
        <v>324</v>
      </c>
      <c r="B25" s="246"/>
      <c r="C25" s="246"/>
      <c r="D25" s="247"/>
      <c r="E25" s="247" t="s">
        <v>325</v>
      </c>
      <c r="F25" s="575"/>
      <c r="G25" s="576"/>
      <c r="H25" s="225" t="s">
        <v>326</v>
      </c>
      <c r="I25" s="208"/>
      <c r="J25" s="248"/>
      <c r="K25" s="242"/>
      <c r="R25" s="170"/>
      <c r="S25" s="170"/>
      <c r="T25" s="170"/>
      <c r="U25" s="170"/>
      <c r="V25" s="170"/>
      <c r="W25" s="170"/>
      <c r="X25" s="170"/>
      <c r="Y25" s="170"/>
      <c r="Z25" s="170"/>
    </row>
    <row r="26" spans="1:26" s="174" customFormat="1" ht="18.399999999999999" customHeight="1">
      <c r="A26" s="249" t="s">
        <v>327</v>
      </c>
      <c r="B26" s="250"/>
      <c r="C26" s="251"/>
      <c r="D26" s="252" t="s">
        <v>378</v>
      </c>
      <c r="E26" s="252" t="s">
        <v>380</v>
      </c>
      <c r="F26" s="577"/>
      <c r="G26" s="578"/>
      <c r="H26" s="588"/>
      <c r="I26" s="589"/>
      <c r="J26" s="253"/>
      <c r="K26" s="254"/>
      <c r="R26" s="170"/>
      <c r="S26" s="170"/>
      <c r="T26" s="170"/>
      <c r="U26" s="170"/>
      <c r="V26" s="170"/>
      <c r="W26" s="170"/>
      <c r="X26" s="170"/>
      <c r="Y26" s="170"/>
      <c r="Z26" s="170"/>
    </row>
    <row r="27" spans="1:26" s="174" customFormat="1" ht="18.399999999999999" customHeight="1">
      <c r="A27" s="590" t="s">
        <v>328</v>
      </c>
      <c r="B27" s="591"/>
      <c r="C27" s="591"/>
      <c r="D27" s="591"/>
      <c r="E27" s="591"/>
      <c r="F27" s="542" t="s">
        <v>329</v>
      </c>
      <c r="G27" s="543"/>
      <c r="H27" s="543"/>
      <c r="I27" s="543"/>
      <c r="J27" s="543"/>
      <c r="K27" s="544"/>
      <c r="R27" s="170"/>
      <c r="S27" s="170"/>
      <c r="T27" s="170"/>
      <c r="U27" s="170"/>
      <c r="V27" s="170"/>
      <c r="W27" s="170"/>
      <c r="X27" s="170"/>
      <c r="Y27" s="170"/>
      <c r="Z27" s="170"/>
    </row>
    <row r="28" spans="1:26" s="174" customFormat="1" ht="18.399999999999999" customHeight="1">
      <c r="A28" s="594"/>
      <c r="B28" s="595"/>
      <c r="C28" s="595"/>
      <c r="D28" s="595"/>
      <c r="E28" s="596"/>
      <c r="F28" s="255"/>
      <c r="G28" s="256"/>
      <c r="H28" s="215" t="s">
        <v>330</v>
      </c>
      <c r="I28" s="257" t="s">
        <v>377</v>
      </c>
      <c r="J28" s="194" t="s">
        <v>618</v>
      </c>
      <c r="K28" s="258" t="s">
        <v>174</v>
      </c>
      <c r="M28" s="174" t="e">
        <f>(J28/J18)*100</f>
        <v>#VALUE!</v>
      </c>
      <c r="N28" s="259"/>
      <c r="O28" s="259"/>
      <c r="R28" s="170"/>
      <c r="S28" s="170"/>
      <c r="T28" s="170"/>
      <c r="U28" s="170"/>
      <c r="V28" s="170"/>
      <c r="W28" s="170"/>
      <c r="X28" s="170"/>
      <c r="Y28" s="170"/>
      <c r="Z28" s="170"/>
    </row>
    <row r="29" spans="1:26" s="174" customFormat="1" ht="18.399999999999999" customHeight="1">
      <c r="A29" s="594"/>
      <c r="B29" s="595"/>
      <c r="C29" s="595"/>
      <c r="D29" s="595"/>
      <c r="E29" s="596"/>
      <c r="F29" s="260"/>
      <c r="G29" s="261"/>
      <c r="H29" s="215" t="s">
        <v>331</v>
      </c>
      <c r="I29" s="262">
        <v>60</v>
      </c>
      <c r="J29" s="194">
        <v>124</v>
      </c>
      <c r="K29" s="263" t="s">
        <v>174</v>
      </c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spans="1:26" s="174" customFormat="1" ht="18.399999999999999" customHeight="1">
      <c r="A30" s="594"/>
      <c r="B30" s="595"/>
      <c r="C30" s="595"/>
      <c r="D30" s="595"/>
      <c r="E30" s="596"/>
      <c r="F30" s="260"/>
      <c r="G30" s="261"/>
      <c r="H30" s="215" t="s">
        <v>332</v>
      </c>
      <c r="I30" s="262">
        <v>175</v>
      </c>
      <c r="J30" s="194">
        <v>274</v>
      </c>
      <c r="K30" s="264" t="s">
        <v>174</v>
      </c>
      <c r="L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spans="1:26" s="174" customFormat="1" ht="18.399999999999999" customHeight="1">
      <c r="A31" s="594"/>
      <c r="B31" s="595"/>
      <c r="C31" s="595"/>
      <c r="D31" s="595"/>
      <c r="E31" s="596"/>
      <c r="F31" s="260"/>
      <c r="G31" s="261"/>
      <c r="H31" s="215" t="s">
        <v>333</v>
      </c>
      <c r="I31" s="216"/>
      <c r="J31" s="265">
        <v>0.72</v>
      </c>
      <c r="K31" s="189" t="s">
        <v>174</v>
      </c>
      <c r="L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spans="1:26" s="174" customFormat="1" ht="18.399999999999999" customHeight="1">
      <c r="A32" s="597"/>
      <c r="B32" s="598"/>
      <c r="C32" s="598"/>
      <c r="D32" s="598"/>
      <c r="E32" s="599"/>
      <c r="F32" s="260"/>
      <c r="G32" s="266" t="s">
        <v>334</v>
      </c>
      <c r="H32" s="215" t="s">
        <v>335</v>
      </c>
      <c r="I32" s="267"/>
      <c r="J32" s="188">
        <v>96.3</v>
      </c>
      <c r="K32" s="263" t="s">
        <v>174</v>
      </c>
      <c r="L32" s="170"/>
      <c r="N32" s="268"/>
      <c r="R32" s="170"/>
      <c r="S32" s="170"/>
      <c r="T32" s="170"/>
      <c r="U32" s="170"/>
      <c r="V32" s="170"/>
      <c r="W32" s="170"/>
      <c r="X32" s="170"/>
      <c r="Y32" s="170"/>
      <c r="Z32" s="170"/>
    </row>
    <row r="33" spans="1:26" s="174" customFormat="1" ht="18.399999999999999" customHeight="1">
      <c r="A33" s="590" t="s">
        <v>336</v>
      </c>
      <c r="B33" s="591"/>
      <c r="C33" s="591"/>
      <c r="D33" s="591"/>
      <c r="E33" s="600"/>
      <c r="F33" s="269"/>
      <c r="G33" s="270"/>
      <c r="H33" s="271" t="s">
        <v>337</v>
      </c>
      <c r="I33" s="272"/>
      <c r="J33" s="273">
        <v>88.3</v>
      </c>
      <c r="K33" s="274" t="s">
        <v>174</v>
      </c>
      <c r="L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spans="1:26" s="174" customFormat="1" ht="18.399999999999999" customHeight="1">
      <c r="A34" s="594"/>
      <c r="B34" s="595"/>
      <c r="C34" s="595"/>
      <c r="D34" s="595"/>
      <c r="E34" s="596"/>
      <c r="F34" s="190" t="s">
        <v>338</v>
      </c>
      <c r="G34" s="275"/>
      <c r="H34" s="276" t="s">
        <v>14</v>
      </c>
      <c r="I34" s="277"/>
      <c r="J34" s="278">
        <v>5926</v>
      </c>
      <c r="K34" s="279" t="s">
        <v>174</v>
      </c>
      <c r="L34" s="280"/>
      <c r="M34" s="281"/>
      <c r="R34" s="170"/>
      <c r="S34" s="170"/>
      <c r="T34" s="170"/>
      <c r="U34" s="170"/>
      <c r="V34" s="170"/>
      <c r="W34" s="170"/>
      <c r="X34" s="170"/>
      <c r="Y34" s="170"/>
      <c r="Z34" s="170"/>
    </row>
    <row r="35" spans="1:26" s="174" customFormat="1" ht="18.399999999999999" customHeight="1">
      <c r="A35" s="594"/>
      <c r="B35" s="595"/>
      <c r="C35" s="595"/>
      <c r="D35" s="595"/>
      <c r="E35" s="596"/>
      <c r="F35" s="209"/>
      <c r="G35" s="282"/>
      <c r="H35" s="283" t="s">
        <v>15</v>
      </c>
      <c r="I35" s="284"/>
      <c r="J35" s="194">
        <v>5163</v>
      </c>
      <c r="K35" s="189" t="s">
        <v>174</v>
      </c>
      <c r="L35" s="285"/>
      <c r="M35" s="281"/>
      <c r="R35" s="170"/>
      <c r="S35" s="170"/>
      <c r="T35" s="170"/>
      <c r="U35" s="170"/>
      <c r="V35" s="170"/>
      <c r="W35" s="170"/>
      <c r="X35" s="170"/>
      <c r="Y35" s="170"/>
      <c r="Z35" s="170"/>
    </row>
    <row r="36" spans="1:26" s="174" customFormat="1" ht="18.399999999999999" customHeight="1">
      <c r="A36" s="594"/>
      <c r="B36" s="595"/>
      <c r="C36" s="595"/>
      <c r="D36" s="595"/>
      <c r="E36" s="596"/>
      <c r="F36" s="209"/>
      <c r="G36" s="282"/>
      <c r="H36" s="283" t="s">
        <v>339</v>
      </c>
      <c r="I36" s="284"/>
      <c r="J36" s="194">
        <v>4603</v>
      </c>
      <c r="K36" s="189" t="s">
        <v>174</v>
      </c>
      <c r="L36" s="285"/>
      <c r="M36" s="259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spans="1:26" s="174" customFormat="1" ht="18.399999999999999" customHeight="1">
      <c r="A37" s="594"/>
      <c r="B37" s="595"/>
      <c r="C37" s="595"/>
      <c r="D37" s="595"/>
      <c r="E37" s="596"/>
      <c r="F37" s="260"/>
      <c r="G37" s="282"/>
      <c r="H37" s="283" t="s">
        <v>340</v>
      </c>
      <c r="I37" s="284"/>
      <c r="J37" s="194">
        <v>5092</v>
      </c>
      <c r="K37" s="189" t="s">
        <v>174</v>
      </c>
      <c r="L37" s="285"/>
      <c r="M37" s="259"/>
      <c r="N37" s="285"/>
      <c r="R37" s="170"/>
      <c r="S37" s="170"/>
      <c r="T37" s="170"/>
      <c r="U37" s="170"/>
      <c r="V37" s="170"/>
      <c r="W37" s="170"/>
      <c r="X37" s="170"/>
      <c r="Y37" s="170"/>
      <c r="Z37" s="170"/>
    </row>
    <row r="38" spans="1:26" s="174" customFormat="1" ht="18.399999999999999" customHeight="1">
      <c r="A38" s="597"/>
      <c r="B38" s="598"/>
      <c r="C38" s="598"/>
      <c r="D38" s="598"/>
      <c r="E38" s="599"/>
      <c r="F38" s="217"/>
      <c r="G38" s="286"/>
      <c r="H38" s="287" t="s">
        <v>341</v>
      </c>
      <c r="I38" s="288"/>
      <c r="J38" s="289">
        <v>7633</v>
      </c>
      <c r="K38" s="290" t="s">
        <v>174</v>
      </c>
      <c r="R38" s="170"/>
      <c r="S38" s="170"/>
      <c r="T38" s="170"/>
      <c r="U38" s="170"/>
      <c r="V38" s="170"/>
      <c r="W38" s="170"/>
      <c r="X38" s="170"/>
      <c r="Y38" s="170"/>
      <c r="Z38" s="170"/>
    </row>
    <row r="39" spans="1:26" s="174" customFormat="1" ht="18.399999999999999" customHeight="1">
      <c r="A39" s="590" t="s">
        <v>342</v>
      </c>
      <c r="B39" s="591"/>
      <c r="C39" s="591"/>
      <c r="D39" s="591"/>
      <c r="E39" s="591"/>
      <c r="F39" s="291" t="s">
        <v>343</v>
      </c>
      <c r="G39" s="292" t="s">
        <v>608</v>
      </c>
      <c r="H39" s="292"/>
      <c r="I39" s="292"/>
      <c r="J39" s="292"/>
      <c r="K39" s="293"/>
      <c r="R39" s="170"/>
      <c r="S39" s="170"/>
      <c r="T39" s="170"/>
      <c r="U39" s="170"/>
      <c r="V39" s="170"/>
      <c r="W39" s="170"/>
      <c r="X39" s="170"/>
      <c r="Y39" s="170"/>
      <c r="Z39" s="170"/>
    </row>
    <row r="40" spans="1:26" s="174" customFormat="1" ht="18.399999999999999" customHeight="1">
      <c r="A40" s="601"/>
      <c r="B40" s="602"/>
      <c r="C40" s="602"/>
      <c r="D40" s="602"/>
      <c r="E40" s="603"/>
      <c r="F40" s="294"/>
      <c r="G40" s="295" t="s">
        <v>607</v>
      </c>
      <c r="H40" s="295"/>
      <c r="I40" s="295"/>
      <c r="J40" s="295"/>
      <c r="K40" s="296"/>
      <c r="R40" s="170"/>
      <c r="S40" s="170"/>
      <c r="T40" s="170"/>
      <c r="U40" s="170"/>
      <c r="V40" s="170"/>
      <c r="W40" s="170"/>
      <c r="X40" s="170"/>
      <c r="Y40" s="170"/>
      <c r="Z40" s="170"/>
    </row>
    <row r="41" spans="1:26" s="174" customFormat="1" ht="18.399999999999999" customHeight="1">
      <c r="A41" s="601"/>
      <c r="B41" s="602"/>
      <c r="C41" s="602"/>
      <c r="D41" s="602"/>
      <c r="E41" s="603"/>
      <c r="F41" s="294" t="s">
        <v>611</v>
      </c>
      <c r="G41" s="297" t="s">
        <v>612</v>
      </c>
      <c r="H41" s="297"/>
      <c r="I41" s="297"/>
      <c r="J41" s="297"/>
      <c r="K41" s="298"/>
      <c r="L41" s="299"/>
      <c r="R41" s="170"/>
      <c r="S41" s="170"/>
      <c r="T41" s="170"/>
      <c r="U41" s="170"/>
      <c r="V41" s="170"/>
      <c r="W41" s="170"/>
      <c r="X41" s="170"/>
      <c r="Y41" s="170"/>
      <c r="Z41" s="170"/>
    </row>
    <row r="42" spans="1:26" s="174" customFormat="1" ht="18.399999999999999" customHeight="1">
      <c r="A42" s="601"/>
      <c r="B42" s="602"/>
      <c r="C42" s="602"/>
      <c r="D42" s="602"/>
      <c r="E42" s="603"/>
      <c r="F42" s="294"/>
      <c r="G42" s="297" t="s">
        <v>613</v>
      </c>
      <c r="H42" s="297"/>
      <c r="I42" s="297"/>
      <c r="J42" s="297"/>
      <c r="K42" s="298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spans="1:26" s="174" customFormat="1" ht="18.399999999999999" customHeight="1">
      <c r="A43" s="601"/>
      <c r="B43" s="602"/>
      <c r="C43" s="602"/>
      <c r="D43" s="602"/>
      <c r="E43" s="603"/>
      <c r="F43" s="294"/>
      <c r="G43" s="297" t="s">
        <v>614</v>
      </c>
      <c r="H43" s="297"/>
      <c r="I43" s="297"/>
      <c r="J43" s="297"/>
      <c r="K43" s="298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spans="1:26" s="174" customFormat="1" ht="17.100000000000001" customHeight="1" thickBot="1">
      <c r="A44" s="604"/>
      <c r="B44" s="605"/>
      <c r="C44" s="605"/>
      <c r="D44" s="605"/>
      <c r="E44" s="606"/>
      <c r="F44" s="294"/>
      <c r="G44" s="297" t="s">
        <v>615</v>
      </c>
      <c r="H44" s="297"/>
      <c r="I44" s="297"/>
      <c r="J44" s="297"/>
      <c r="K44" s="298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spans="1:26" s="174" customFormat="1" ht="17.100000000000001" customHeight="1">
      <c r="A45" s="300" t="s">
        <v>344</v>
      </c>
      <c r="B45" s="607" t="s">
        <v>609</v>
      </c>
      <c r="C45" s="608"/>
      <c r="D45" s="301" t="s">
        <v>345</v>
      </c>
      <c r="E45" s="407" t="s">
        <v>604</v>
      </c>
      <c r="F45" s="302"/>
      <c r="G45" s="297"/>
      <c r="H45" s="297"/>
      <c r="I45" s="297"/>
      <c r="J45" s="297"/>
      <c r="K45" s="298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spans="1:26" s="174" customFormat="1" ht="17.100000000000001" customHeight="1" thickBot="1">
      <c r="A46" s="303" t="s">
        <v>346</v>
      </c>
      <c r="B46" s="592">
        <v>41914</v>
      </c>
      <c r="C46" s="593"/>
      <c r="D46" s="304" t="s">
        <v>346</v>
      </c>
      <c r="E46" s="305">
        <v>41899</v>
      </c>
      <c r="F46" s="306"/>
      <c r="G46" s="307"/>
      <c r="H46" s="307"/>
      <c r="I46" s="307"/>
      <c r="J46" s="307"/>
      <c r="K46" s="308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spans="1:26" s="174" customFormat="1" ht="17.100000000000001" customHeight="1">
      <c r="F47" s="309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</row>
    <row r="48" spans="1:26" s="174" customFormat="1" ht="17.100000000000001" customHeight="1">
      <c r="F48" s="170"/>
      <c r="G48" s="170"/>
      <c r="H48" s="170"/>
      <c r="I48" s="170"/>
      <c r="J48" s="170"/>
      <c r="K48" s="170"/>
    </row>
    <row r="49" spans="2:26" ht="17.100000000000001" customHeight="1">
      <c r="F49" s="160"/>
      <c r="G49" s="160"/>
      <c r="H49" s="160"/>
      <c r="I49" s="160"/>
      <c r="J49" s="160"/>
      <c r="K49" s="160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2:26">
      <c r="F50" s="160"/>
      <c r="G50" s="160"/>
      <c r="H50" s="160"/>
      <c r="I50" s="160"/>
      <c r="J50" s="160"/>
      <c r="K50" s="160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2:26">
      <c r="F51" s="160"/>
      <c r="G51" s="160"/>
      <c r="H51" s="160"/>
      <c r="I51" s="160"/>
      <c r="J51" s="160"/>
      <c r="K51" s="160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2:26"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2:26">
      <c r="F53" s="160"/>
      <c r="G53" s="160"/>
      <c r="H53" s="160"/>
      <c r="I53" s="160"/>
      <c r="J53" s="160"/>
      <c r="K53" s="160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</sheetData>
  <mergeCells count="50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N6:O6"/>
    <mergeCell ref="A1:K1"/>
    <mergeCell ref="A2:K2"/>
    <mergeCell ref="J3:K3"/>
    <mergeCell ref="A5:C5"/>
    <mergeCell ref="A6:C6"/>
    <mergeCell ref="D6:E6"/>
    <mergeCell ref="F6:K6"/>
  </mergeCells>
  <dataValidations disablePrompts="1"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16" zoomScale="75" zoomScaleNormal="75" workbookViewId="0"/>
  </sheetViews>
  <sheetFormatPr defaultColWidth="9.140625" defaultRowHeight="12.75"/>
  <cols>
    <col min="1" max="1" width="9.140625" style="315" customWidth="1"/>
    <col min="2" max="2" width="18.140625" style="315" customWidth="1"/>
    <col min="3" max="3" width="21.5703125" style="315" customWidth="1"/>
    <col min="4" max="4" width="21.28515625" style="315" bestFit="1" customWidth="1"/>
    <col min="5" max="5" width="6.85546875" style="315" bestFit="1" customWidth="1"/>
    <col min="6" max="6" width="29.85546875" style="315" customWidth="1"/>
    <col min="7" max="7" width="43.7109375" style="315" customWidth="1"/>
    <col min="8" max="8" width="17.140625" style="315" customWidth="1"/>
    <col min="9" max="9" width="7.85546875" style="315" customWidth="1"/>
    <col min="10" max="10" width="2.28515625" style="315" bestFit="1" customWidth="1"/>
    <col min="11" max="12" width="2.28515625" style="315" customWidth="1"/>
    <col min="13" max="13" width="2.5703125" style="315" bestFit="1" customWidth="1"/>
    <col min="14" max="14" width="2.28515625" style="315" bestFit="1" customWidth="1"/>
    <col min="15" max="16384" width="9.140625" style="315"/>
  </cols>
  <sheetData>
    <row r="1" spans="2:14" ht="12.75" customHeight="1">
      <c r="B1" s="310"/>
      <c r="C1" s="311"/>
      <c r="D1" s="311"/>
      <c r="E1" s="311"/>
      <c r="F1" s="311"/>
      <c r="G1" s="311"/>
      <c r="H1" s="312"/>
      <c r="I1" s="313"/>
      <c r="J1" s="314" t="s">
        <v>347</v>
      </c>
      <c r="K1" s="314" t="s">
        <v>348</v>
      </c>
      <c r="L1" s="314" t="s">
        <v>349</v>
      </c>
      <c r="M1" s="314" t="s">
        <v>348</v>
      </c>
      <c r="N1" s="314"/>
    </row>
    <row r="2" spans="2:14" ht="12.75" customHeight="1">
      <c r="B2" s="617" t="s">
        <v>350</v>
      </c>
      <c r="C2" s="618"/>
      <c r="D2" s="618"/>
      <c r="E2" s="618"/>
      <c r="F2" s="618"/>
      <c r="G2" s="618"/>
      <c r="H2" s="316"/>
      <c r="I2" s="317"/>
      <c r="J2" s="318" t="s">
        <v>351</v>
      </c>
      <c r="K2" s="318" t="s">
        <v>352</v>
      </c>
      <c r="L2" s="318" t="s">
        <v>353</v>
      </c>
      <c r="M2" s="318" t="s">
        <v>354</v>
      </c>
      <c r="N2" s="318" t="s">
        <v>355</v>
      </c>
    </row>
    <row r="3" spans="2:14" ht="12.75" customHeight="1">
      <c r="B3" s="617"/>
      <c r="C3" s="618"/>
      <c r="D3" s="618"/>
      <c r="E3" s="618"/>
      <c r="F3" s="618"/>
      <c r="G3" s="618"/>
      <c r="H3" s="316"/>
      <c r="I3" s="317"/>
      <c r="J3" s="318" t="s">
        <v>356</v>
      </c>
      <c r="K3" s="318"/>
      <c r="L3" s="318" t="s">
        <v>357</v>
      </c>
      <c r="M3" s="318" t="s">
        <v>347</v>
      </c>
      <c r="N3" s="318"/>
    </row>
    <row r="4" spans="2:14" ht="12.75" customHeight="1">
      <c r="B4" s="617"/>
      <c r="C4" s="618"/>
      <c r="D4" s="618"/>
      <c r="E4" s="618"/>
      <c r="F4" s="618"/>
      <c r="G4" s="618"/>
      <c r="H4" s="316"/>
      <c r="I4" s="317"/>
      <c r="J4" s="318" t="s">
        <v>358</v>
      </c>
      <c r="K4" s="318"/>
      <c r="L4" s="318" t="s">
        <v>353</v>
      </c>
      <c r="M4" s="318" t="s">
        <v>351</v>
      </c>
      <c r="N4" s="318"/>
    </row>
    <row r="5" spans="2:14" ht="12.75" customHeight="1">
      <c r="B5" s="319"/>
      <c r="C5" s="320"/>
      <c r="D5" s="320"/>
      <c r="E5" s="320"/>
      <c r="F5" s="320"/>
      <c r="G5" s="320"/>
      <c r="H5" s="316"/>
      <c r="I5" s="317"/>
      <c r="J5" s="318"/>
      <c r="K5" s="318" t="s">
        <v>359</v>
      </c>
      <c r="L5" s="318" t="s">
        <v>348</v>
      </c>
      <c r="M5" s="318"/>
      <c r="N5" s="318" t="s">
        <v>353</v>
      </c>
    </row>
    <row r="6" spans="2:14" ht="12" customHeight="1">
      <c r="B6" s="321"/>
      <c r="C6" s="322"/>
      <c r="D6" s="322"/>
      <c r="F6" s="322"/>
      <c r="H6" s="323"/>
      <c r="I6" s="317"/>
      <c r="J6" s="318" t="s">
        <v>352</v>
      </c>
      <c r="K6" s="318" t="s">
        <v>360</v>
      </c>
      <c r="L6" s="318"/>
      <c r="M6" s="318" t="s">
        <v>348</v>
      </c>
      <c r="N6" s="318" t="s">
        <v>361</v>
      </c>
    </row>
    <row r="7" spans="2:14" ht="12.75" customHeight="1">
      <c r="B7" s="321"/>
      <c r="D7" s="324"/>
      <c r="H7" s="323"/>
      <c r="I7" s="317"/>
      <c r="J7" s="318" t="s">
        <v>362</v>
      </c>
      <c r="K7" s="318" t="s">
        <v>356</v>
      </c>
      <c r="L7" s="318" t="s">
        <v>356</v>
      </c>
      <c r="M7" s="318" t="s">
        <v>351</v>
      </c>
      <c r="N7" s="318" t="s">
        <v>363</v>
      </c>
    </row>
    <row r="8" spans="2:14" ht="12.75" customHeight="1">
      <c r="B8" s="321"/>
      <c r="G8" s="324"/>
      <c r="H8" s="325"/>
      <c r="I8" s="318" t="s">
        <v>363</v>
      </c>
      <c r="J8" s="318" t="s">
        <v>348</v>
      </c>
      <c r="K8" s="318" t="s">
        <v>364</v>
      </c>
      <c r="L8" s="318" t="s">
        <v>351</v>
      </c>
      <c r="M8" s="318" t="s">
        <v>363</v>
      </c>
      <c r="N8" s="318" t="s">
        <v>360</v>
      </c>
    </row>
    <row r="9" spans="2:14">
      <c r="B9" s="318" t="s">
        <v>365</v>
      </c>
      <c r="C9" s="325" t="s">
        <v>366</v>
      </c>
      <c r="D9" s="325" t="s">
        <v>367</v>
      </c>
      <c r="E9" s="325" t="s">
        <v>368</v>
      </c>
      <c r="F9" s="318" t="s">
        <v>369</v>
      </c>
      <c r="G9" s="318" t="s">
        <v>370</v>
      </c>
      <c r="H9" s="318" t="s">
        <v>371</v>
      </c>
      <c r="I9" s="318" t="s">
        <v>358</v>
      </c>
      <c r="J9" s="318" t="s">
        <v>362</v>
      </c>
      <c r="K9" s="318" t="s">
        <v>351</v>
      </c>
      <c r="L9" s="318" t="s">
        <v>364</v>
      </c>
      <c r="M9" s="318" t="s">
        <v>348</v>
      </c>
      <c r="N9" s="318" t="s">
        <v>349</v>
      </c>
    </row>
    <row r="10" spans="2:14" ht="15" customHeight="1">
      <c r="B10" s="326"/>
      <c r="C10" s="327"/>
      <c r="D10" s="327"/>
      <c r="E10" s="327"/>
      <c r="F10" s="328"/>
      <c r="G10" s="329"/>
      <c r="H10" s="329"/>
      <c r="I10" s="330"/>
      <c r="J10" s="331"/>
      <c r="K10" s="331"/>
      <c r="L10" s="331"/>
      <c r="M10" s="331"/>
      <c r="N10" s="332"/>
    </row>
    <row r="11" spans="2:14" ht="15" customHeight="1">
      <c r="B11" s="326"/>
      <c r="C11" s="328"/>
      <c r="D11" s="328"/>
      <c r="E11" s="328"/>
      <c r="F11" s="328"/>
      <c r="G11" s="328"/>
      <c r="H11" s="328"/>
      <c r="I11" s="333"/>
      <c r="J11" s="331"/>
      <c r="K11" s="331"/>
      <c r="L11" s="331"/>
      <c r="M11" s="331"/>
      <c r="N11" s="332"/>
    </row>
    <row r="12" spans="2:14" ht="15" customHeight="1">
      <c r="B12" s="326"/>
      <c r="C12" s="328"/>
      <c r="D12" s="328"/>
      <c r="E12" s="328"/>
      <c r="F12" s="328"/>
      <c r="G12" s="328"/>
      <c r="H12" s="328"/>
      <c r="I12" s="333"/>
      <c r="J12" s="334"/>
      <c r="K12" s="331"/>
      <c r="L12" s="331"/>
      <c r="M12" s="331"/>
      <c r="N12" s="332"/>
    </row>
    <row r="13" spans="2:14" ht="15" customHeight="1">
      <c r="B13" s="326"/>
      <c r="C13" s="328"/>
      <c r="D13" s="328"/>
      <c r="E13" s="328"/>
      <c r="F13" s="328"/>
      <c r="G13" s="328"/>
      <c r="H13" s="328"/>
      <c r="I13" s="333"/>
      <c r="J13" s="331"/>
      <c r="K13" s="331"/>
      <c r="L13" s="331"/>
      <c r="M13" s="331"/>
      <c r="N13" s="332"/>
    </row>
    <row r="14" spans="2:14" ht="15" customHeight="1">
      <c r="B14" s="326"/>
      <c r="C14" s="328"/>
      <c r="D14" s="328"/>
      <c r="E14" s="328"/>
      <c r="F14" s="328"/>
      <c r="G14" s="328"/>
      <c r="H14" s="328"/>
      <c r="I14" s="333"/>
      <c r="J14" s="331"/>
      <c r="K14" s="331"/>
      <c r="L14" s="331"/>
      <c r="M14" s="331"/>
      <c r="N14" s="332"/>
    </row>
    <row r="15" spans="2:14" ht="15" customHeight="1">
      <c r="B15" s="326"/>
      <c r="C15" s="328"/>
      <c r="D15" s="328"/>
      <c r="E15" s="328"/>
      <c r="F15" s="328"/>
      <c r="G15" s="328"/>
      <c r="H15" s="328"/>
      <c r="I15" s="333"/>
      <c r="J15" s="331"/>
      <c r="K15" s="331"/>
      <c r="L15" s="331"/>
      <c r="M15" s="331"/>
      <c r="N15" s="332"/>
    </row>
    <row r="16" spans="2:14" ht="15" customHeight="1">
      <c r="B16" s="326"/>
      <c r="C16" s="328"/>
      <c r="D16" s="328"/>
      <c r="E16" s="328"/>
      <c r="F16" s="328"/>
      <c r="G16" s="328"/>
      <c r="H16" s="328"/>
      <c r="I16" s="333"/>
      <c r="J16" s="331"/>
      <c r="K16" s="331"/>
      <c r="L16" s="331"/>
      <c r="M16" s="331"/>
      <c r="N16" s="332"/>
    </row>
    <row r="17" spans="2:14" ht="15" customHeight="1">
      <c r="B17" s="326"/>
      <c r="C17" s="328"/>
      <c r="D17" s="328"/>
      <c r="E17" s="328"/>
      <c r="F17" s="328"/>
      <c r="G17" s="328"/>
      <c r="H17" s="328"/>
      <c r="I17" s="333"/>
      <c r="J17" s="331"/>
      <c r="K17" s="331"/>
      <c r="L17" s="331"/>
      <c r="M17" s="331"/>
      <c r="N17" s="332"/>
    </row>
    <row r="18" spans="2:14" ht="15" customHeight="1">
      <c r="B18" s="326"/>
      <c r="C18" s="328"/>
      <c r="D18" s="328"/>
      <c r="E18" s="328"/>
      <c r="F18" s="328"/>
      <c r="G18" s="328"/>
      <c r="H18" s="328"/>
      <c r="I18" s="333"/>
      <c r="J18" s="331"/>
      <c r="K18" s="331"/>
      <c r="L18" s="331"/>
      <c r="M18" s="331"/>
      <c r="N18" s="332"/>
    </row>
    <row r="19" spans="2:14" ht="15" customHeight="1">
      <c r="B19" s="326"/>
      <c r="C19" s="328"/>
      <c r="D19" s="328"/>
      <c r="E19" s="328"/>
      <c r="F19" s="328"/>
      <c r="G19" s="328"/>
      <c r="H19" s="328"/>
      <c r="I19" s="333"/>
      <c r="J19" s="331"/>
      <c r="K19" s="331"/>
      <c r="L19" s="331"/>
      <c r="M19" s="331"/>
      <c r="N19" s="332"/>
    </row>
    <row r="20" spans="2:14" ht="15" customHeight="1">
      <c r="B20" s="326"/>
      <c r="C20" s="328"/>
      <c r="D20" s="328"/>
      <c r="E20" s="328"/>
      <c r="F20" s="328"/>
      <c r="G20" s="328"/>
      <c r="H20" s="328"/>
      <c r="I20" s="333"/>
      <c r="J20" s="331"/>
      <c r="K20" s="331"/>
      <c r="L20" s="331"/>
      <c r="M20" s="331"/>
      <c r="N20" s="332"/>
    </row>
    <row r="21" spans="2:14" ht="15" customHeight="1">
      <c r="B21" s="326"/>
      <c r="C21" s="328"/>
      <c r="D21" s="328"/>
      <c r="E21" s="328"/>
      <c r="F21" s="328"/>
      <c r="G21" s="328"/>
      <c r="H21" s="328"/>
      <c r="I21" s="333"/>
      <c r="J21" s="331"/>
      <c r="K21" s="331"/>
      <c r="L21" s="331"/>
      <c r="M21" s="331"/>
      <c r="N21" s="332"/>
    </row>
    <row r="22" spans="2:14" ht="15" customHeight="1">
      <c r="B22" s="326"/>
      <c r="C22" s="328"/>
      <c r="D22" s="328"/>
      <c r="E22" s="328"/>
      <c r="F22" s="328"/>
      <c r="G22" s="328"/>
      <c r="H22" s="328"/>
      <c r="I22" s="333"/>
      <c r="J22" s="331"/>
      <c r="K22" s="331"/>
      <c r="L22" s="331"/>
      <c r="M22" s="331"/>
      <c r="N22" s="332"/>
    </row>
    <row r="23" spans="2:14" ht="15" customHeight="1">
      <c r="B23" s="326"/>
      <c r="C23" s="328"/>
      <c r="D23" s="328"/>
      <c r="E23" s="328"/>
      <c r="F23" s="328"/>
      <c r="G23" s="328"/>
      <c r="H23" s="328"/>
      <c r="I23" s="333"/>
      <c r="J23" s="331"/>
      <c r="K23" s="331"/>
      <c r="L23" s="331"/>
      <c r="M23" s="331"/>
      <c r="N23" s="332"/>
    </row>
    <row r="24" spans="2:14" ht="15" customHeight="1">
      <c r="B24" s="326"/>
      <c r="C24" s="328"/>
      <c r="D24" s="328"/>
      <c r="E24" s="328"/>
      <c r="F24" s="328"/>
      <c r="G24" s="328"/>
      <c r="H24" s="328"/>
      <c r="I24" s="333"/>
      <c r="J24" s="331"/>
      <c r="K24" s="331"/>
      <c r="L24" s="331"/>
      <c r="M24" s="331"/>
      <c r="N24" s="332"/>
    </row>
    <row r="25" spans="2:14" ht="15" customHeight="1">
      <c r="B25" s="326"/>
      <c r="C25" s="328"/>
      <c r="D25" s="328"/>
      <c r="E25" s="328"/>
      <c r="F25" s="328"/>
      <c r="G25" s="328"/>
      <c r="H25" s="328"/>
      <c r="I25" s="333"/>
      <c r="J25" s="331"/>
      <c r="K25" s="331"/>
      <c r="L25" s="331"/>
      <c r="M25" s="331"/>
      <c r="N25" s="332"/>
    </row>
    <row r="26" spans="2:14" ht="15" customHeight="1">
      <c r="B26" s="326"/>
      <c r="C26" s="328"/>
      <c r="D26" s="328"/>
      <c r="E26" s="328"/>
      <c r="F26" s="328"/>
      <c r="G26" s="328"/>
      <c r="H26" s="328"/>
      <c r="I26" s="333"/>
      <c r="J26" s="331"/>
      <c r="K26" s="331"/>
      <c r="L26" s="331"/>
      <c r="M26" s="331"/>
      <c r="N26" s="332"/>
    </row>
    <row r="27" spans="2:14" ht="15" customHeight="1">
      <c r="B27" s="326"/>
      <c r="C27" s="328"/>
      <c r="D27" s="328"/>
      <c r="E27" s="328"/>
      <c r="F27" s="328"/>
      <c r="G27" s="328"/>
      <c r="H27" s="328"/>
      <c r="I27" s="333"/>
      <c r="J27" s="331"/>
      <c r="K27" s="331"/>
      <c r="L27" s="331"/>
      <c r="M27" s="331"/>
      <c r="N27" s="332"/>
    </row>
    <row r="28" spans="2:14" ht="15" customHeight="1">
      <c r="B28" s="326"/>
      <c r="C28" s="328"/>
      <c r="D28" s="328"/>
      <c r="E28" s="328"/>
      <c r="F28" s="328"/>
      <c r="G28" s="328"/>
      <c r="H28" s="328"/>
      <c r="I28" s="333"/>
      <c r="J28" s="331"/>
      <c r="K28" s="331"/>
      <c r="L28" s="331"/>
      <c r="M28" s="331"/>
      <c r="N28" s="332"/>
    </row>
    <row r="29" spans="2:14" ht="15" customHeight="1">
      <c r="B29" s="326"/>
      <c r="C29" s="328"/>
      <c r="D29" s="328"/>
      <c r="E29" s="328"/>
      <c r="F29" s="328"/>
      <c r="G29" s="328"/>
      <c r="H29" s="328"/>
      <c r="I29" s="333"/>
      <c r="J29" s="331"/>
      <c r="K29" s="331"/>
      <c r="L29" s="331"/>
      <c r="M29" s="331"/>
      <c r="N29" s="332"/>
    </row>
    <row r="30" spans="2:14" ht="15" customHeight="1">
      <c r="B30" s="326"/>
      <c r="C30" s="328"/>
      <c r="D30" s="328"/>
      <c r="E30" s="328"/>
      <c r="F30" s="328"/>
      <c r="G30" s="328"/>
      <c r="H30" s="328"/>
      <c r="I30" s="333"/>
      <c r="J30" s="331"/>
      <c r="K30" s="331"/>
      <c r="L30" s="331"/>
      <c r="M30" s="331"/>
      <c r="N30" s="332"/>
    </row>
    <row r="31" spans="2:14" ht="15" customHeight="1">
      <c r="B31" s="326"/>
      <c r="C31" s="328"/>
      <c r="D31" s="328"/>
      <c r="E31" s="328"/>
      <c r="F31" s="328"/>
      <c r="G31" s="328"/>
      <c r="H31" s="328"/>
      <c r="I31" s="333"/>
      <c r="J31" s="331"/>
      <c r="K31" s="331"/>
      <c r="L31" s="331"/>
      <c r="M31" s="331"/>
      <c r="N31" s="332"/>
    </row>
    <row r="32" spans="2:14" ht="15" customHeight="1">
      <c r="B32" s="326"/>
      <c r="C32" s="328"/>
      <c r="D32" s="328"/>
      <c r="E32" s="328"/>
      <c r="F32" s="328"/>
      <c r="G32" s="328"/>
      <c r="H32" s="328"/>
      <c r="I32" s="333"/>
      <c r="J32" s="331"/>
      <c r="K32" s="331"/>
      <c r="L32" s="331"/>
      <c r="M32" s="331"/>
      <c r="N32" s="332"/>
    </row>
    <row r="33" spans="2:14" ht="15" customHeight="1">
      <c r="B33" s="326"/>
      <c r="C33" s="328"/>
      <c r="D33" s="328"/>
      <c r="E33" s="328"/>
      <c r="F33" s="328"/>
      <c r="G33" s="328"/>
      <c r="H33" s="328"/>
      <c r="I33" s="333"/>
      <c r="J33" s="331"/>
      <c r="K33" s="331"/>
      <c r="L33" s="331"/>
      <c r="M33" s="331"/>
      <c r="N33" s="332"/>
    </row>
    <row r="34" spans="2:14" ht="15" customHeight="1">
      <c r="B34" s="326"/>
      <c r="C34" s="328"/>
      <c r="D34" s="328"/>
      <c r="E34" s="328"/>
      <c r="F34" s="328"/>
      <c r="G34" s="328"/>
      <c r="H34" s="328"/>
      <c r="I34" s="333"/>
      <c r="J34" s="331"/>
      <c r="K34" s="331"/>
      <c r="L34" s="331"/>
      <c r="M34" s="331"/>
      <c r="N34" s="332"/>
    </row>
    <row r="35" spans="2:14" ht="15" customHeight="1">
      <c r="B35" s="326"/>
      <c r="C35" s="328"/>
      <c r="D35" s="328"/>
      <c r="E35" s="328"/>
      <c r="F35" s="328"/>
      <c r="G35" s="328"/>
      <c r="H35" s="328"/>
      <c r="I35" s="333"/>
      <c r="J35" s="331"/>
      <c r="K35" s="331"/>
      <c r="L35" s="331"/>
      <c r="M35" s="331"/>
      <c r="N35" s="332"/>
    </row>
    <row r="36" spans="2:14" ht="15" customHeight="1">
      <c r="B36" s="326"/>
      <c r="C36" s="328"/>
      <c r="D36" s="328"/>
      <c r="E36" s="328"/>
      <c r="F36" s="328"/>
      <c r="G36" s="328"/>
      <c r="H36" s="328"/>
      <c r="I36" s="333"/>
      <c r="J36" s="331"/>
      <c r="K36" s="331"/>
      <c r="L36" s="331"/>
      <c r="M36" s="331"/>
      <c r="N36" s="332"/>
    </row>
    <row r="37" spans="2:14" ht="15" customHeight="1">
      <c r="B37" s="326"/>
      <c r="C37" s="328"/>
      <c r="D37" s="328"/>
      <c r="E37" s="328"/>
      <c r="F37" s="328"/>
      <c r="G37" s="328"/>
      <c r="H37" s="328"/>
      <c r="I37" s="333"/>
      <c r="J37" s="331"/>
      <c r="K37" s="331"/>
      <c r="L37" s="331"/>
      <c r="M37" s="331"/>
      <c r="N37" s="332"/>
    </row>
    <row r="38" spans="2:14" ht="15" customHeight="1">
      <c r="B38" s="326"/>
      <c r="C38" s="328"/>
      <c r="D38" s="328"/>
      <c r="E38" s="328"/>
      <c r="F38" s="328"/>
      <c r="G38" s="328"/>
      <c r="H38" s="328"/>
      <c r="I38" s="333"/>
      <c r="J38" s="331"/>
      <c r="K38" s="331"/>
      <c r="L38" s="331"/>
      <c r="M38" s="331"/>
      <c r="N38" s="332"/>
    </row>
    <row r="39" spans="2:14" ht="15" customHeight="1">
      <c r="B39" s="326"/>
      <c r="C39" s="328"/>
      <c r="D39" s="328"/>
      <c r="E39" s="328"/>
      <c r="F39" s="328"/>
      <c r="G39" s="328"/>
      <c r="H39" s="328"/>
      <c r="I39" s="333"/>
      <c r="J39" s="331"/>
      <c r="K39" s="331"/>
      <c r="L39" s="331"/>
      <c r="M39" s="331"/>
      <c r="N39" s="332"/>
    </row>
    <row r="40" spans="2:14" ht="15" customHeight="1">
      <c r="B40" s="326"/>
      <c r="C40" s="328"/>
      <c r="D40" s="328"/>
      <c r="E40" s="328"/>
      <c r="F40" s="328"/>
      <c r="G40" s="328"/>
      <c r="H40" s="328"/>
      <c r="I40" s="333"/>
      <c r="J40" s="331"/>
      <c r="K40" s="331"/>
      <c r="L40" s="331"/>
      <c r="M40" s="331"/>
      <c r="N40" s="332"/>
    </row>
    <row r="41" spans="2:14" ht="15" customHeight="1">
      <c r="B41" s="326"/>
      <c r="C41" s="328"/>
      <c r="D41" s="328"/>
      <c r="E41" s="328"/>
      <c r="F41" s="328"/>
      <c r="G41" s="328"/>
      <c r="H41" s="328"/>
      <c r="I41" s="333"/>
      <c r="J41" s="331"/>
      <c r="K41" s="331"/>
      <c r="L41" s="331"/>
      <c r="M41" s="331"/>
      <c r="N41" s="332"/>
    </row>
    <row r="42" spans="2:14" ht="15" customHeight="1">
      <c r="B42" s="326"/>
      <c r="C42" s="328"/>
      <c r="D42" s="328"/>
      <c r="E42" s="328"/>
      <c r="F42" s="328"/>
      <c r="G42" s="328"/>
      <c r="H42" s="328"/>
      <c r="I42" s="333"/>
      <c r="J42" s="331"/>
      <c r="K42" s="331"/>
      <c r="L42" s="331"/>
      <c r="M42" s="331"/>
      <c r="N42" s="332"/>
    </row>
    <row r="43" spans="2:14" ht="15" customHeight="1">
      <c r="B43" s="326"/>
      <c r="C43" s="328"/>
      <c r="D43" s="328"/>
      <c r="E43" s="328"/>
      <c r="F43" s="328"/>
      <c r="G43" s="328"/>
      <c r="H43" s="328"/>
      <c r="I43" s="333"/>
      <c r="J43" s="331"/>
      <c r="K43" s="331"/>
      <c r="L43" s="331"/>
      <c r="M43" s="331"/>
      <c r="N43" s="332"/>
    </row>
    <row r="44" spans="2:14" ht="15" customHeight="1">
      <c r="B44" s="326"/>
      <c r="C44" s="328"/>
      <c r="D44" s="328"/>
      <c r="E44" s="328"/>
      <c r="F44" s="328"/>
      <c r="G44" s="328"/>
      <c r="H44" s="328"/>
      <c r="I44" s="333"/>
      <c r="J44" s="331"/>
      <c r="K44" s="331"/>
      <c r="L44" s="331"/>
      <c r="M44" s="331"/>
      <c r="N44" s="332"/>
    </row>
    <row r="45" spans="2:14" ht="15" customHeight="1">
      <c r="B45" s="326"/>
      <c r="C45" s="328"/>
      <c r="D45" s="328"/>
      <c r="E45" s="328"/>
      <c r="F45" s="328"/>
      <c r="G45" s="328"/>
      <c r="H45" s="328"/>
      <c r="I45" s="333"/>
      <c r="J45" s="331"/>
      <c r="K45" s="331"/>
      <c r="L45" s="331"/>
      <c r="M45" s="331"/>
      <c r="N45" s="332"/>
    </row>
    <row r="46" spans="2:14" ht="15" customHeight="1">
      <c r="B46" s="326"/>
      <c r="C46" s="328"/>
      <c r="D46" s="328"/>
      <c r="E46" s="328"/>
      <c r="F46" s="328"/>
      <c r="G46" s="328"/>
      <c r="H46" s="328"/>
      <c r="I46" s="333"/>
      <c r="J46" s="331"/>
      <c r="K46" s="331"/>
      <c r="L46" s="331"/>
      <c r="M46" s="331"/>
      <c r="N46" s="332"/>
    </row>
    <row r="47" spans="2:14" ht="15" customHeight="1">
      <c r="B47" s="326"/>
      <c r="C47" s="328"/>
      <c r="D47" s="328"/>
      <c r="E47" s="328"/>
      <c r="F47" s="328"/>
      <c r="G47" s="328"/>
      <c r="H47" s="328"/>
      <c r="I47" s="333"/>
      <c r="J47" s="331"/>
      <c r="K47" s="331"/>
      <c r="L47" s="331"/>
      <c r="M47" s="331"/>
      <c r="N47" s="332"/>
    </row>
    <row r="48" spans="2:14" ht="15" customHeight="1">
      <c r="B48" s="326"/>
      <c r="C48" s="328"/>
      <c r="D48" s="328"/>
      <c r="E48" s="328"/>
      <c r="F48" s="328"/>
      <c r="G48" s="328"/>
      <c r="H48" s="328"/>
      <c r="I48" s="333"/>
      <c r="J48" s="331"/>
      <c r="K48" s="331"/>
      <c r="L48" s="331"/>
      <c r="M48" s="331"/>
      <c r="N48" s="332"/>
    </row>
    <row r="49" spans="2:14" ht="15" customHeight="1">
      <c r="B49" s="326"/>
      <c r="C49" s="328"/>
      <c r="D49" s="328"/>
      <c r="E49" s="328"/>
      <c r="F49" s="328"/>
      <c r="G49" s="328"/>
      <c r="H49" s="328"/>
      <c r="I49" s="333"/>
      <c r="J49" s="331"/>
      <c r="K49" s="331"/>
      <c r="L49" s="331"/>
      <c r="M49" s="331"/>
      <c r="N49" s="332"/>
    </row>
    <row r="50" spans="2:14" ht="15" customHeight="1">
      <c r="B50" s="326"/>
      <c r="C50" s="328"/>
      <c r="D50" s="328"/>
      <c r="E50" s="328"/>
      <c r="F50" s="328"/>
      <c r="G50" s="328"/>
      <c r="H50" s="328"/>
      <c r="I50" s="333"/>
      <c r="J50" s="331"/>
      <c r="K50" s="331"/>
      <c r="L50" s="331"/>
      <c r="M50" s="331"/>
      <c r="N50" s="332"/>
    </row>
    <row r="51" spans="2:14" ht="15" customHeight="1">
      <c r="B51" s="326"/>
      <c r="C51" s="328"/>
      <c r="D51" s="328"/>
      <c r="E51" s="328"/>
      <c r="F51" s="328"/>
      <c r="G51" s="328"/>
      <c r="H51" s="328"/>
      <c r="I51" s="333"/>
      <c r="J51" s="331"/>
      <c r="K51" s="331"/>
      <c r="L51" s="331"/>
      <c r="M51" s="331"/>
      <c r="N51" s="332"/>
    </row>
    <row r="52" spans="2:14" ht="15" customHeight="1" thickBot="1">
      <c r="B52" s="335"/>
      <c r="C52" s="336"/>
      <c r="D52" s="336"/>
      <c r="E52" s="336"/>
      <c r="F52" s="336"/>
      <c r="G52" s="336"/>
      <c r="H52" s="336"/>
      <c r="I52" s="337"/>
      <c r="J52" s="338"/>
      <c r="K52" s="338"/>
      <c r="L52" s="338"/>
      <c r="M52" s="338"/>
      <c r="N52" s="339"/>
    </row>
    <row r="53" spans="2:14" ht="20.25" customHeight="1" thickBot="1">
      <c r="B53" s="619" t="s">
        <v>372</v>
      </c>
      <c r="C53" s="619"/>
      <c r="D53" s="619"/>
      <c r="E53" s="619"/>
      <c r="F53" s="619"/>
      <c r="G53" s="619"/>
      <c r="H53" s="619"/>
      <c r="I53" s="619"/>
      <c r="J53" s="619"/>
      <c r="K53" s="619"/>
      <c r="L53" s="619"/>
      <c r="M53" s="619"/>
      <c r="N53" s="619"/>
    </row>
    <row r="54" spans="2:14" ht="15" customHeight="1" thickBot="1">
      <c r="B54" s="340" t="s">
        <v>373</v>
      </c>
      <c r="C54" s="620" t="s">
        <v>370</v>
      </c>
      <c r="D54" s="621"/>
      <c r="E54" s="621"/>
      <c r="F54" s="621"/>
      <c r="G54" s="621"/>
      <c r="H54" s="341"/>
      <c r="I54" s="620" t="s">
        <v>365</v>
      </c>
      <c r="J54" s="621"/>
      <c r="K54" s="622"/>
      <c r="L54" s="620" t="s">
        <v>374</v>
      </c>
      <c r="M54" s="621"/>
      <c r="N54" s="623"/>
    </row>
    <row r="55" spans="2:14" ht="15" customHeight="1">
      <c r="B55" s="342"/>
      <c r="C55" s="609"/>
      <c r="D55" s="610"/>
      <c r="E55" s="610"/>
      <c r="F55" s="610"/>
      <c r="G55" s="610"/>
      <c r="H55" s="343"/>
      <c r="I55" s="611"/>
      <c r="J55" s="612"/>
      <c r="K55" s="613"/>
      <c r="L55" s="614"/>
      <c r="M55" s="615"/>
      <c r="N55" s="616"/>
    </row>
    <row r="56" spans="2:14" ht="15" customHeight="1">
      <c r="B56" s="344"/>
      <c r="C56" s="624"/>
      <c r="D56" s="625"/>
      <c r="E56" s="625"/>
      <c r="F56" s="625"/>
      <c r="G56" s="625"/>
      <c r="H56" s="345"/>
      <c r="I56" s="626"/>
      <c r="J56" s="627"/>
      <c r="K56" s="628"/>
      <c r="L56" s="629"/>
      <c r="M56" s="630"/>
      <c r="N56" s="631"/>
    </row>
    <row r="57" spans="2:14" ht="15" customHeight="1">
      <c r="B57" s="344"/>
      <c r="C57" s="624"/>
      <c r="D57" s="625"/>
      <c r="E57" s="625"/>
      <c r="F57" s="625"/>
      <c r="G57" s="625"/>
      <c r="H57" s="345"/>
      <c r="I57" s="626"/>
      <c r="J57" s="627"/>
      <c r="K57" s="628"/>
      <c r="L57" s="629"/>
      <c r="M57" s="630"/>
      <c r="N57" s="631"/>
    </row>
    <row r="58" spans="2:14" ht="15" customHeight="1">
      <c r="B58" s="344"/>
      <c r="C58" s="624"/>
      <c r="D58" s="625"/>
      <c r="E58" s="625"/>
      <c r="F58" s="625"/>
      <c r="G58" s="625"/>
      <c r="H58" s="345"/>
      <c r="I58" s="626"/>
      <c r="J58" s="627"/>
      <c r="K58" s="628"/>
      <c r="L58" s="629"/>
      <c r="M58" s="630"/>
      <c r="N58" s="631"/>
    </row>
    <row r="59" spans="2:14" ht="15" customHeight="1">
      <c r="B59" s="344"/>
      <c r="C59" s="624"/>
      <c r="D59" s="625"/>
      <c r="E59" s="625"/>
      <c r="F59" s="625"/>
      <c r="G59" s="625"/>
      <c r="H59" s="345"/>
      <c r="I59" s="626"/>
      <c r="J59" s="627"/>
      <c r="K59" s="628"/>
      <c r="L59" s="629"/>
      <c r="M59" s="630"/>
      <c r="N59" s="631"/>
    </row>
    <row r="60" spans="2:14" ht="15" customHeight="1">
      <c r="B60" s="344"/>
      <c r="C60" s="624"/>
      <c r="D60" s="625"/>
      <c r="E60" s="625"/>
      <c r="F60" s="625"/>
      <c r="G60" s="625"/>
      <c r="H60" s="345"/>
      <c r="I60" s="626"/>
      <c r="J60" s="627"/>
      <c r="K60" s="628"/>
      <c r="L60" s="629"/>
      <c r="M60" s="630"/>
      <c r="N60" s="631"/>
    </row>
    <row r="61" spans="2:14" ht="15" customHeight="1">
      <c r="B61" s="344"/>
      <c r="C61" s="624"/>
      <c r="D61" s="625"/>
      <c r="E61" s="625"/>
      <c r="F61" s="625"/>
      <c r="G61" s="625"/>
      <c r="H61" s="345"/>
      <c r="I61" s="626"/>
      <c r="J61" s="627"/>
      <c r="K61" s="628"/>
      <c r="L61" s="629"/>
      <c r="M61" s="630"/>
      <c r="N61" s="631"/>
    </row>
    <row r="62" spans="2:14" ht="15" customHeight="1">
      <c r="B62" s="344"/>
      <c r="C62" s="624"/>
      <c r="D62" s="625"/>
      <c r="E62" s="625"/>
      <c r="F62" s="625"/>
      <c r="G62" s="625"/>
      <c r="H62" s="345"/>
      <c r="I62" s="626"/>
      <c r="J62" s="627"/>
      <c r="K62" s="628"/>
      <c r="L62" s="629"/>
      <c r="M62" s="630"/>
      <c r="N62" s="631"/>
    </row>
    <row r="63" spans="2:14" ht="15" customHeight="1">
      <c r="B63" s="344"/>
      <c r="C63" s="624"/>
      <c r="D63" s="625"/>
      <c r="E63" s="625"/>
      <c r="F63" s="625"/>
      <c r="G63" s="625"/>
      <c r="H63" s="345"/>
      <c r="I63" s="626"/>
      <c r="J63" s="627"/>
      <c r="K63" s="628"/>
      <c r="L63" s="629"/>
      <c r="M63" s="630"/>
      <c r="N63" s="631"/>
    </row>
    <row r="64" spans="2:14" ht="15" customHeight="1">
      <c r="B64" s="344"/>
      <c r="C64" s="624"/>
      <c r="D64" s="625"/>
      <c r="E64" s="625"/>
      <c r="F64" s="625"/>
      <c r="G64" s="625"/>
      <c r="H64" s="345"/>
      <c r="I64" s="626"/>
      <c r="J64" s="627"/>
      <c r="K64" s="628"/>
      <c r="L64" s="629"/>
      <c r="M64" s="630"/>
      <c r="N64" s="631"/>
    </row>
    <row r="65" spans="2:14" ht="15" customHeight="1">
      <c r="B65" s="344"/>
      <c r="C65" s="624"/>
      <c r="D65" s="625"/>
      <c r="E65" s="625"/>
      <c r="F65" s="625"/>
      <c r="G65" s="625"/>
      <c r="H65" s="345"/>
      <c r="I65" s="626"/>
      <c r="J65" s="627"/>
      <c r="K65" s="628"/>
      <c r="L65" s="629"/>
      <c r="M65" s="630"/>
      <c r="N65" s="631"/>
    </row>
    <row r="66" spans="2:14" ht="15" customHeight="1">
      <c r="B66" s="344"/>
      <c r="C66" s="624"/>
      <c r="D66" s="625"/>
      <c r="E66" s="625"/>
      <c r="F66" s="625"/>
      <c r="G66" s="625"/>
      <c r="H66" s="345"/>
      <c r="I66" s="626"/>
      <c r="J66" s="627"/>
      <c r="K66" s="628"/>
      <c r="L66" s="629"/>
      <c r="M66" s="630"/>
      <c r="N66" s="631"/>
    </row>
    <row r="67" spans="2:14" ht="15" customHeight="1">
      <c r="B67" s="344"/>
      <c r="C67" s="624"/>
      <c r="D67" s="625"/>
      <c r="E67" s="625"/>
      <c r="F67" s="625"/>
      <c r="G67" s="625"/>
      <c r="H67" s="345"/>
      <c r="I67" s="626"/>
      <c r="J67" s="627"/>
      <c r="K67" s="628"/>
      <c r="L67" s="629"/>
      <c r="M67" s="630"/>
      <c r="N67" s="631"/>
    </row>
    <row r="68" spans="2:14" ht="15" customHeight="1">
      <c r="B68" s="344"/>
      <c r="C68" s="624"/>
      <c r="D68" s="625"/>
      <c r="E68" s="625"/>
      <c r="F68" s="625"/>
      <c r="G68" s="625"/>
      <c r="H68" s="345"/>
      <c r="I68" s="626"/>
      <c r="J68" s="627"/>
      <c r="K68" s="628"/>
      <c r="L68" s="629"/>
      <c r="M68" s="630"/>
      <c r="N68" s="631"/>
    </row>
    <row r="69" spans="2:14" ht="15" customHeight="1">
      <c r="B69" s="344"/>
      <c r="C69" s="624"/>
      <c r="D69" s="625"/>
      <c r="E69" s="625"/>
      <c r="F69" s="625"/>
      <c r="G69" s="625"/>
      <c r="H69" s="345"/>
      <c r="I69" s="626"/>
      <c r="J69" s="627"/>
      <c r="K69" s="628"/>
      <c r="L69" s="629"/>
      <c r="M69" s="630"/>
      <c r="N69" s="631"/>
    </row>
    <row r="70" spans="2:14" ht="15" customHeight="1">
      <c r="B70" s="344"/>
      <c r="C70" s="624"/>
      <c r="D70" s="625"/>
      <c r="E70" s="625"/>
      <c r="F70" s="625"/>
      <c r="G70" s="625"/>
      <c r="H70" s="345"/>
      <c r="I70" s="626"/>
      <c r="J70" s="627"/>
      <c r="K70" s="628"/>
      <c r="L70" s="629"/>
      <c r="M70" s="630"/>
      <c r="N70" s="631"/>
    </row>
    <row r="71" spans="2:14" ht="15" customHeight="1">
      <c r="B71" s="344"/>
      <c r="C71" s="624"/>
      <c r="D71" s="625"/>
      <c r="E71" s="625"/>
      <c r="F71" s="625"/>
      <c r="G71" s="625"/>
      <c r="H71" s="345"/>
      <c r="I71" s="626"/>
      <c r="J71" s="627"/>
      <c r="K71" s="628"/>
      <c r="L71" s="629"/>
      <c r="M71" s="630"/>
      <c r="N71" s="631"/>
    </row>
    <row r="72" spans="2:14">
      <c r="B72" s="344"/>
      <c r="C72" s="624"/>
      <c r="D72" s="625"/>
      <c r="E72" s="625"/>
      <c r="F72" s="625"/>
      <c r="G72" s="625"/>
      <c r="H72" s="345"/>
      <c r="I72" s="626"/>
      <c r="J72" s="627"/>
      <c r="K72" s="628"/>
      <c r="L72" s="629"/>
      <c r="M72" s="630"/>
      <c r="N72" s="631"/>
    </row>
    <row r="73" spans="2:14">
      <c r="B73" s="344"/>
      <c r="C73" s="624"/>
      <c r="D73" s="625"/>
      <c r="E73" s="625"/>
      <c r="F73" s="625"/>
      <c r="G73" s="625"/>
      <c r="H73" s="345"/>
      <c r="I73" s="626"/>
      <c r="J73" s="627"/>
      <c r="K73" s="628"/>
      <c r="L73" s="629"/>
      <c r="M73" s="630"/>
      <c r="N73" s="631"/>
    </row>
    <row r="74" spans="2:14">
      <c r="B74" s="344"/>
      <c r="C74" s="624"/>
      <c r="D74" s="625"/>
      <c r="E74" s="625"/>
      <c r="F74" s="625"/>
      <c r="G74" s="625"/>
      <c r="H74" s="345"/>
      <c r="I74" s="626"/>
      <c r="J74" s="627"/>
      <c r="K74" s="628"/>
      <c r="L74" s="629"/>
      <c r="M74" s="630"/>
      <c r="N74" s="631"/>
    </row>
    <row r="75" spans="2:14">
      <c r="B75" s="344"/>
      <c r="C75" s="624"/>
      <c r="D75" s="625"/>
      <c r="E75" s="625"/>
      <c r="F75" s="625"/>
      <c r="G75" s="625"/>
      <c r="H75" s="345"/>
      <c r="I75" s="626"/>
      <c r="J75" s="627"/>
      <c r="K75" s="628"/>
      <c r="L75" s="629"/>
      <c r="M75" s="630"/>
      <c r="N75" s="631"/>
    </row>
    <row r="76" spans="2:14">
      <c r="B76" s="344"/>
      <c r="C76" s="624"/>
      <c r="D76" s="625"/>
      <c r="E76" s="625"/>
      <c r="F76" s="625"/>
      <c r="G76" s="625"/>
      <c r="H76" s="345"/>
      <c r="I76" s="626"/>
      <c r="J76" s="627"/>
      <c r="K76" s="628"/>
      <c r="L76" s="629"/>
      <c r="M76" s="630"/>
      <c r="N76" s="631"/>
    </row>
    <row r="77" spans="2:14">
      <c r="B77" s="344"/>
      <c r="C77" s="624"/>
      <c r="D77" s="625"/>
      <c r="E77" s="625"/>
      <c r="F77" s="625"/>
      <c r="G77" s="625"/>
      <c r="H77" s="345"/>
      <c r="I77" s="626"/>
      <c r="J77" s="627"/>
      <c r="K77" s="628"/>
      <c r="L77" s="629"/>
      <c r="M77" s="630"/>
      <c r="N77" s="631"/>
    </row>
    <row r="78" spans="2:14">
      <c r="B78" s="344"/>
      <c r="C78" s="624"/>
      <c r="D78" s="625"/>
      <c r="E78" s="625"/>
      <c r="F78" s="625"/>
      <c r="G78" s="625"/>
      <c r="H78" s="345"/>
      <c r="I78" s="626"/>
      <c r="J78" s="627"/>
      <c r="K78" s="628"/>
      <c r="L78" s="629"/>
      <c r="M78" s="630"/>
      <c r="N78" s="631"/>
    </row>
    <row r="79" spans="2:14" ht="13.5" thickBot="1">
      <c r="B79" s="346"/>
      <c r="C79" s="632"/>
      <c r="D79" s="633"/>
      <c r="E79" s="633"/>
      <c r="F79" s="633"/>
      <c r="G79" s="633"/>
      <c r="H79" s="347"/>
      <c r="I79" s="634"/>
      <c r="J79" s="635"/>
      <c r="K79" s="636"/>
      <c r="L79" s="637"/>
      <c r="M79" s="638"/>
      <c r="N79" s="639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>
      <selection sqref="A1:F1"/>
    </sheetView>
  </sheetViews>
  <sheetFormatPr defaultColWidth="9.140625" defaultRowHeight="12.75"/>
  <cols>
    <col min="1" max="6" width="14.7109375" style="348" customWidth="1"/>
    <col min="7" max="16384" width="9.140625" style="348"/>
  </cols>
  <sheetData>
    <row r="1" spans="1:7" ht="20.25">
      <c r="A1" s="640" t="s">
        <v>381</v>
      </c>
      <c r="B1" s="640"/>
      <c r="C1" s="640"/>
      <c r="D1" s="640"/>
      <c r="E1" s="640"/>
      <c r="F1" s="640"/>
    </row>
    <row r="2" spans="1:7" ht="19.5" thickBot="1">
      <c r="A2" s="349"/>
      <c r="B2" s="349"/>
      <c r="C2" s="641" t="s">
        <v>393</v>
      </c>
      <c r="D2" s="641"/>
      <c r="E2" s="349"/>
      <c r="F2" s="349"/>
      <c r="G2" s="349"/>
    </row>
    <row r="3" spans="1:7" ht="19.5">
      <c r="A3" s="642" t="s">
        <v>382</v>
      </c>
      <c r="B3" s="643"/>
      <c r="C3" s="644"/>
      <c r="D3" s="642" t="s">
        <v>383</v>
      </c>
      <c r="E3" s="643"/>
      <c r="F3" s="644"/>
      <c r="G3" s="349"/>
    </row>
    <row r="4" spans="1:7" ht="15.75">
      <c r="A4" s="350" t="s">
        <v>394</v>
      </c>
      <c r="B4" s="645" t="s">
        <v>396</v>
      </c>
      <c r="C4" s="646"/>
      <c r="D4" s="647" t="s">
        <v>398</v>
      </c>
      <c r="E4" s="648"/>
      <c r="F4" s="649"/>
      <c r="G4" s="349"/>
    </row>
    <row r="5" spans="1:7" ht="16.5" thickBot="1">
      <c r="A5" s="351" t="s">
        <v>395</v>
      </c>
      <c r="B5" s="653" t="s">
        <v>397</v>
      </c>
      <c r="C5" s="654"/>
      <c r="D5" s="655" t="s">
        <v>399</v>
      </c>
      <c r="E5" s="656"/>
      <c r="F5" s="657"/>
      <c r="G5" s="349"/>
    </row>
    <row r="6" spans="1:7" ht="19.5">
      <c r="A6" s="642" t="s">
        <v>384</v>
      </c>
      <c r="B6" s="643"/>
      <c r="C6" s="643"/>
      <c r="D6" s="643"/>
      <c r="E6" s="643"/>
      <c r="F6" s="644"/>
      <c r="G6" s="349"/>
    </row>
    <row r="7" spans="1:7" ht="15.75">
      <c r="A7" s="352" t="s">
        <v>385</v>
      </c>
      <c r="B7" s="353" t="s">
        <v>400</v>
      </c>
      <c r="C7" s="354" t="s">
        <v>386</v>
      </c>
      <c r="D7" s="355" t="s">
        <v>402</v>
      </c>
      <c r="E7" s="658" t="s">
        <v>387</v>
      </c>
      <c r="F7" s="659"/>
      <c r="G7" s="349"/>
    </row>
    <row r="8" spans="1:7" ht="16.5" thickBot="1">
      <c r="A8" s="356"/>
      <c r="B8" s="357" t="s">
        <v>401</v>
      </c>
      <c r="C8" s="358"/>
      <c r="D8" s="359" t="s">
        <v>403</v>
      </c>
      <c r="E8" s="660" t="s">
        <v>404</v>
      </c>
      <c r="F8" s="657"/>
      <c r="G8" s="349"/>
    </row>
    <row r="9" spans="1:7" ht="19.5">
      <c r="A9" s="642" t="s">
        <v>388</v>
      </c>
      <c r="B9" s="643"/>
      <c r="C9" s="644"/>
      <c r="D9" s="642" t="s">
        <v>389</v>
      </c>
      <c r="E9" s="643"/>
      <c r="F9" s="644"/>
      <c r="G9" s="349"/>
    </row>
    <row r="10" spans="1:7" ht="15.75">
      <c r="A10" s="360" t="s">
        <v>390</v>
      </c>
      <c r="B10" s="661" t="s">
        <v>405</v>
      </c>
      <c r="C10" s="646"/>
      <c r="D10" s="662" t="s">
        <v>407</v>
      </c>
      <c r="E10" s="663"/>
      <c r="F10" s="361" t="s">
        <v>408</v>
      </c>
      <c r="G10" s="349"/>
    </row>
    <row r="11" spans="1:7" ht="16.5" thickBot="1">
      <c r="A11" s="362" t="s">
        <v>391</v>
      </c>
      <c r="B11" s="656" t="s">
        <v>406</v>
      </c>
      <c r="C11" s="657"/>
      <c r="D11" s="664"/>
      <c r="E11" s="665"/>
      <c r="F11" s="363" t="s">
        <v>409</v>
      </c>
      <c r="G11" s="349"/>
    </row>
    <row r="12" spans="1:7" ht="19.5">
      <c r="A12" s="642" t="s">
        <v>392</v>
      </c>
      <c r="B12" s="643"/>
      <c r="C12" s="643"/>
      <c r="D12" s="643"/>
      <c r="E12" s="643"/>
      <c r="F12" s="644"/>
      <c r="G12" s="349"/>
    </row>
    <row r="13" spans="1:7" ht="16.5" thickBot="1">
      <c r="A13" s="650" t="s">
        <v>410</v>
      </c>
      <c r="B13" s="651"/>
      <c r="C13" s="652" t="s">
        <v>411</v>
      </c>
      <c r="D13" s="652"/>
      <c r="E13" s="652"/>
      <c r="F13" s="364"/>
      <c r="G13" s="349"/>
    </row>
    <row r="14" spans="1:7" ht="18.95" customHeight="1">
      <c r="A14" s="365"/>
      <c r="B14" s="365"/>
      <c r="C14" s="365"/>
      <c r="D14" s="365"/>
      <c r="E14" s="365"/>
      <c r="F14" s="365"/>
      <c r="G14" s="349"/>
    </row>
    <row r="15" spans="1:7" ht="15.75">
      <c r="G15" s="349"/>
    </row>
    <row r="16" spans="1:7" ht="15.75">
      <c r="G16" s="349"/>
    </row>
    <row r="17" spans="7:7" ht="15.75">
      <c r="G17" s="349"/>
    </row>
    <row r="18" spans="7:7" ht="15.75">
      <c r="G18" s="349"/>
    </row>
    <row r="19" spans="7:7" ht="15.75">
      <c r="G19" s="349"/>
    </row>
    <row r="20" spans="7:7" ht="15.75">
      <c r="G20" s="349"/>
    </row>
    <row r="21" spans="7:7" ht="15.75">
      <c r="G21" s="349"/>
    </row>
    <row r="22" spans="7:7" ht="15.75">
      <c r="G22" s="349"/>
    </row>
    <row r="23" spans="7:7" ht="15.75">
      <c r="G23" s="349"/>
    </row>
    <row r="24" spans="7:7" ht="15.75">
      <c r="G24" s="349"/>
    </row>
    <row r="25" spans="7:7" ht="15.75">
      <c r="G25" s="349"/>
    </row>
    <row r="26" spans="7:7" ht="15.75">
      <c r="G26" s="349"/>
    </row>
    <row r="27" spans="7:7" ht="18.95" customHeight="1">
      <c r="G27" s="349"/>
    </row>
    <row r="28" spans="7:7" ht="15.75">
      <c r="G28" s="349"/>
    </row>
    <row r="29" spans="7:7" ht="15.75">
      <c r="G29" s="349"/>
    </row>
    <row r="30" spans="7:7" ht="15.75">
      <c r="G30" s="349"/>
    </row>
    <row r="31" spans="7:7" ht="15.75">
      <c r="G31" s="349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2F71-721A-4A3B-A3A2-21553687FEF2}">
  <sheetPr syncVertical="1" syncRef="A1" transitionEvaluation="1"/>
  <dimension ref="A1:N120"/>
  <sheetViews>
    <sheetView showGridLines="0" zoomScaleNormal="100" workbookViewId="0">
      <selection activeCell="O25" sqref="O25"/>
    </sheetView>
  </sheetViews>
  <sheetFormatPr defaultColWidth="12.5703125" defaultRowHeight="15.75"/>
  <cols>
    <col min="1" max="13" width="7" style="417" customWidth="1"/>
    <col min="14" max="14" width="7.140625" style="417" customWidth="1"/>
    <col min="15" max="256" width="12.5703125" style="417"/>
    <col min="257" max="269" width="7" style="417" customWidth="1"/>
    <col min="270" max="270" width="7.140625" style="417" customWidth="1"/>
    <col min="271" max="512" width="12.5703125" style="417"/>
    <col min="513" max="525" width="7" style="417" customWidth="1"/>
    <col min="526" max="526" width="7.140625" style="417" customWidth="1"/>
    <col min="527" max="768" width="12.5703125" style="417"/>
    <col min="769" max="781" width="7" style="417" customWidth="1"/>
    <col min="782" max="782" width="7.140625" style="417" customWidth="1"/>
    <col min="783" max="1024" width="12.5703125" style="417"/>
    <col min="1025" max="1037" width="7" style="417" customWidth="1"/>
    <col min="1038" max="1038" width="7.140625" style="417" customWidth="1"/>
    <col min="1039" max="1280" width="12.5703125" style="417"/>
    <col min="1281" max="1293" width="7" style="417" customWidth="1"/>
    <col min="1294" max="1294" width="7.140625" style="417" customWidth="1"/>
    <col min="1295" max="1536" width="12.5703125" style="417"/>
    <col min="1537" max="1549" width="7" style="417" customWidth="1"/>
    <col min="1550" max="1550" width="7.140625" style="417" customWidth="1"/>
    <col min="1551" max="1792" width="12.5703125" style="417"/>
    <col min="1793" max="1805" width="7" style="417" customWidth="1"/>
    <col min="1806" max="1806" width="7.140625" style="417" customWidth="1"/>
    <col min="1807" max="2048" width="12.5703125" style="417"/>
    <col min="2049" max="2061" width="7" style="417" customWidth="1"/>
    <col min="2062" max="2062" width="7.140625" style="417" customWidth="1"/>
    <col min="2063" max="2304" width="12.5703125" style="417"/>
    <col min="2305" max="2317" width="7" style="417" customWidth="1"/>
    <col min="2318" max="2318" width="7.140625" style="417" customWidth="1"/>
    <col min="2319" max="2560" width="12.5703125" style="417"/>
    <col min="2561" max="2573" width="7" style="417" customWidth="1"/>
    <col min="2574" max="2574" width="7.140625" style="417" customWidth="1"/>
    <col min="2575" max="2816" width="12.5703125" style="417"/>
    <col min="2817" max="2829" width="7" style="417" customWidth="1"/>
    <col min="2830" max="2830" width="7.140625" style="417" customWidth="1"/>
    <col min="2831" max="3072" width="12.5703125" style="417"/>
    <col min="3073" max="3085" width="7" style="417" customWidth="1"/>
    <col min="3086" max="3086" width="7.140625" style="417" customWidth="1"/>
    <col min="3087" max="3328" width="12.5703125" style="417"/>
    <col min="3329" max="3341" width="7" style="417" customWidth="1"/>
    <col min="3342" max="3342" width="7.140625" style="417" customWidth="1"/>
    <col min="3343" max="3584" width="12.5703125" style="417"/>
    <col min="3585" max="3597" width="7" style="417" customWidth="1"/>
    <col min="3598" max="3598" width="7.140625" style="417" customWidth="1"/>
    <col min="3599" max="3840" width="12.5703125" style="417"/>
    <col min="3841" max="3853" width="7" style="417" customWidth="1"/>
    <col min="3854" max="3854" width="7.140625" style="417" customWidth="1"/>
    <col min="3855" max="4096" width="12.5703125" style="417"/>
    <col min="4097" max="4109" width="7" style="417" customWidth="1"/>
    <col min="4110" max="4110" width="7.140625" style="417" customWidth="1"/>
    <col min="4111" max="4352" width="12.5703125" style="417"/>
    <col min="4353" max="4365" width="7" style="417" customWidth="1"/>
    <col min="4366" max="4366" width="7.140625" style="417" customWidth="1"/>
    <col min="4367" max="4608" width="12.5703125" style="417"/>
    <col min="4609" max="4621" width="7" style="417" customWidth="1"/>
    <col min="4622" max="4622" width="7.140625" style="417" customWidth="1"/>
    <col min="4623" max="4864" width="12.5703125" style="417"/>
    <col min="4865" max="4877" width="7" style="417" customWidth="1"/>
    <col min="4878" max="4878" width="7.140625" style="417" customWidth="1"/>
    <col min="4879" max="5120" width="12.5703125" style="417"/>
    <col min="5121" max="5133" width="7" style="417" customWidth="1"/>
    <col min="5134" max="5134" width="7.140625" style="417" customWidth="1"/>
    <col min="5135" max="5376" width="12.5703125" style="417"/>
    <col min="5377" max="5389" width="7" style="417" customWidth="1"/>
    <col min="5390" max="5390" width="7.140625" style="417" customWidth="1"/>
    <col min="5391" max="5632" width="12.5703125" style="417"/>
    <col min="5633" max="5645" width="7" style="417" customWidth="1"/>
    <col min="5646" max="5646" width="7.140625" style="417" customWidth="1"/>
    <col min="5647" max="5888" width="12.5703125" style="417"/>
    <col min="5889" max="5901" width="7" style="417" customWidth="1"/>
    <col min="5902" max="5902" width="7.140625" style="417" customWidth="1"/>
    <col min="5903" max="6144" width="12.5703125" style="417"/>
    <col min="6145" max="6157" width="7" style="417" customWidth="1"/>
    <col min="6158" max="6158" width="7.140625" style="417" customWidth="1"/>
    <col min="6159" max="6400" width="12.5703125" style="417"/>
    <col min="6401" max="6413" width="7" style="417" customWidth="1"/>
    <col min="6414" max="6414" width="7.140625" style="417" customWidth="1"/>
    <col min="6415" max="6656" width="12.5703125" style="417"/>
    <col min="6657" max="6669" width="7" style="417" customWidth="1"/>
    <col min="6670" max="6670" width="7.140625" style="417" customWidth="1"/>
    <col min="6671" max="6912" width="12.5703125" style="417"/>
    <col min="6913" max="6925" width="7" style="417" customWidth="1"/>
    <col min="6926" max="6926" width="7.140625" style="417" customWidth="1"/>
    <col min="6927" max="7168" width="12.5703125" style="417"/>
    <col min="7169" max="7181" width="7" style="417" customWidth="1"/>
    <col min="7182" max="7182" width="7.140625" style="417" customWidth="1"/>
    <col min="7183" max="7424" width="12.5703125" style="417"/>
    <col min="7425" max="7437" width="7" style="417" customWidth="1"/>
    <col min="7438" max="7438" width="7.140625" style="417" customWidth="1"/>
    <col min="7439" max="7680" width="12.5703125" style="417"/>
    <col min="7681" max="7693" width="7" style="417" customWidth="1"/>
    <col min="7694" max="7694" width="7.140625" style="417" customWidth="1"/>
    <col min="7695" max="7936" width="12.5703125" style="417"/>
    <col min="7937" max="7949" width="7" style="417" customWidth="1"/>
    <col min="7950" max="7950" width="7.140625" style="417" customWidth="1"/>
    <col min="7951" max="8192" width="12.5703125" style="417"/>
    <col min="8193" max="8205" width="7" style="417" customWidth="1"/>
    <col min="8206" max="8206" width="7.140625" style="417" customWidth="1"/>
    <col min="8207" max="8448" width="12.5703125" style="417"/>
    <col min="8449" max="8461" width="7" style="417" customWidth="1"/>
    <col min="8462" max="8462" width="7.140625" style="417" customWidth="1"/>
    <col min="8463" max="8704" width="12.5703125" style="417"/>
    <col min="8705" max="8717" width="7" style="417" customWidth="1"/>
    <col min="8718" max="8718" width="7.140625" style="417" customWidth="1"/>
    <col min="8719" max="8960" width="12.5703125" style="417"/>
    <col min="8961" max="8973" width="7" style="417" customWidth="1"/>
    <col min="8974" max="8974" width="7.140625" style="417" customWidth="1"/>
    <col min="8975" max="9216" width="12.5703125" style="417"/>
    <col min="9217" max="9229" width="7" style="417" customWidth="1"/>
    <col min="9230" max="9230" width="7.140625" style="417" customWidth="1"/>
    <col min="9231" max="9472" width="12.5703125" style="417"/>
    <col min="9473" max="9485" width="7" style="417" customWidth="1"/>
    <col min="9486" max="9486" width="7.140625" style="417" customWidth="1"/>
    <col min="9487" max="9728" width="12.5703125" style="417"/>
    <col min="9729" max="9741" width="7" style="417" customWidth="1"/>
    <col min="9742" max="9742" width="7.140625" style="417" customWidth="1"/>
    <col min="9743" max="9984" width="12.5703125" style="417"/>
    <col min="9985" max="9997" width="7" style="417" customWidth="1"/>
    <col min="9998" max="9998" width="7.140625" style="417" customWidth="1"/>
    <col min="9999" max="10240" width="12.5703125" style="417"/>
    <col min="10241" max="10253" width="7" style="417" customWidth="1"/>
    <col min="10254" max="10254" width="7.140625" style="417" customWidth="1"/>
    <col min="10255" max="10496" width="12.5703125" style="417"/>
    <col min="10497" max="10509" width="7" style="417" customWidth="1"/>
    <col min="10510" max="10510" width="7.140625" style="417" customWidth="1"/>
    <col min="10511" max="10752" width="12.5703125" style="417"/>
    <col min="10753" max="10765" width="7" style="417" customWidth="1"/>
    <col min="10766" max="10766" width="7.140625" style="417" customWidth="1"/>
    <col min="10767" max="11008" width="12.5703125" style="417"/>
    <col min="11009" max="11021" width="7" style="417" customWidth="1"/>
    <col min="11022" max="11022" width="7.140625" style="417" customWidth="1"/>
    <col min="11023" max="11264" width="12.5703125" style="417"/>
    <col min="11265" max="11277" width="7" style="417" customWidth="1"/>
    <col min="11278" max="11278" width="7.140625" style="417" customWidth="1"/>
    <col min="11279" max="11520" width="12.5703125" style="417"/>
    <col min="11521" max="11533" width="7" style="417" customWidth="1"/>
    <col min="11534" max="11534" width="7.140625" style="417" customWidth="1"/>
    <col min="11535" max="11776" width="12.5703125" style="417"/>
    <col min="11777" max="11789" width="7" style="417" customWidth="1"/>
    <col min="11790" max="11790" width="7.140625" style="417" customWidth="1"/>
    <col min="11791" max="12032" width="12.5703125" style="417"/>
    <col min="12033" max="12045" width="7" style="417" customWidth="1"/>
    <col min="12046" max="12046" width="7.140625" style="417" customWidth="1"/>
    <col min="12047" max="12288" width="12.5703125" style="417"/>
    <col min="12289" max="12301" width="7" style="417" customWidth="1"/>
    <col min="12302" max="12302" width="7.140625" style="417" customWidth="1"/>
    <col min="12303" max="12544" width="12.5703125" style="417"/>
    <col min="12545" max="12557" width="7" style="417" customWidth="1"/>
    <col min="12558" max="12558" width="7.140625" style="417" customWidth="1"/>
    <col min="12559" max="12800" width="12.5703125" style="417"/>
    <col min="12801" max="12813" width="7" style="417" customWidth="1"/>
    <col min="12814" max="12814" width="7.140625" style="417" customWidth="1"/>
    <col min="12815" max="13056" width="12.5703125" style="417"/>
    <col min="13057" max="13069" width="7" style="417" customWidth="1"/>
    <col min="13070" max="13070" width="7.140625" style="417" customWidth="1"/>
    <col min="13071" max="13312" width="12.5703125" style="417"/>
    <col min="13313" max="13325" width="7" style="417" customWidth="1"/>
    <col min="13326" max="13326" width="7.140625" style="417" customWidth="1"/>
    <col min="13327" max="13568" width="12.5703125" style="417"/>
    <col min="13569" max="13581" width="7" style="417" customWidth="1"/>
    <col min="13582" max="13582" width="7.140625" style="417" customWidth="1"/>
    <col min="13583" max="13824" width="12.5703125" style="417"/>
    <col min="13825" max="13837" width="7" style="417" customWidth="1"/>
    <col min="13838" max="13838" width="7.140625" style="417" customWidth="1"/>
    <col min="13839" max="14080" width="12.5703125" style="417"/>
    <col min="14081" max="14093" width="7" style="417" customWidth="1"/>
    <col min="14094" max="14094" width="7.140625" style="417" customWidth="1"/>
    <col min="14095" max="14336" width="12.5703125" style="417"/>
    <col min="14337" max="14349" width="7" style="417" customWidth="1"/>
    <col min="14350" max="14350" width="7.140625" style="417" customWidth="1"/>
    <col min="14351" max="14592" width="12.5703125" style="417"/>
    <col min="14593" max="14605" width="7" style="417" customWidth="1"/>
    <col min="14606" max="14606" width="7.140625" style="417" customWidth="1"/>
    <col min="14607" max="14848" width="12.5703125" style="417"/>
    <col min="14849" max="14861" width="7" style="417" customWidth="1"/>
    <col min="14862" max="14862" width="7.140625" style="417" customWidth="1"/>
    <col min="14863" max="15104" width="12.5703125" style="417"/>
    <col min="15105" max="15117" width="7" style="417" customWidth="1"/>
    <col min="15118" max="15118" width="7.140625" style="417" customWidth="1"/>
    <col min="15119" max="15360" width="12.5703125" style="417"/>
    <col min="15361" max="15373" width="7" style="417" customWidth="1"/>
    <col min="15374" max="15374" width="7.140625" style="417" customWidth="1"/>
    <col min="15375" max="15616" width="12.5703125" style="417"/>
    <col min="15617" max="15629" width="7" style="417" customWidth="1"/>
    <col min="15630" max="15630" width="7.140625" style="417" customWidth="1"/>
    <col min="15631" max="15872" width="12.5703125" style="417"/>
    <col min="15873" max="15885" width="7" style="417" customWidth="1"/>
    <col min="15886" max="15886" width="7.140625" style="417" customWidth="1"/>
    <col min="15887" max="16128" width="12.5703125" style="417"/>
    <col min="16129" max="16141" width="7" style="417" customWidth="1"/>
    <col min="16142" max="16142" width="7.140625" style="417" customWidth="1"/>
    <col min="16143" max="16384" width="12.5703125" style="417"/>
  </cols>
  <sheetData>
    <row r="1" spans="1:14" ht="17.100000000000001" customHeight="1">
      <c r="A1" s="410" t="s">
        <v>265</v>
      </c>
      <c r="B1" s="411"/>
      <c r="C1" s="411"/>
      <c r="D1" s="411"/>
      <c r="E1" s="411"/>
      <c r="F1" s="411"/>
      <c r="G1" s="411"/>
      <c r="H1" s="411"/>
      <c r="I1" s="411"/>
      <c r="J1" s="412" t="s">
        <v>621</v>
      </c>
      <c r="K1" s="413"/>
      <c r="L1" s="414" t="s">
        <v>622</v>
      </c>
      <c r="M1" s="415"/>
      <c r="N1" s="416"/>
    </row>
    <row r="2" spans="1:14" ht="17.100000000000001" customHeight="1">
      <c r="A2" s="418" t="s">
        <v>623</v>
      </c>
      <c r="B2" s="419"/>
      <c r="C2" s="419"/>
      <c r="D2" s="419"/>
      <c r="E2" s="419"/>
      <c r="F2" s="419"/>
      <c r="G2" s="419"/>
      <c r="H2" s="419"/>
      <c r="I2" s="419"/>
      <c r="J2" s="420" t="s">
        <v>624</v>
      </c>
      <c r="K2" s="421"/>
      <c r="L2" s="422" t="s">
        <v>625</v>
      </c>
      <c r="M2" s="423"/>
      <c r="N2" s="416"/>
    </row>
    <row r="3" spans="1:14" ht="15.95" customHeight="1">
      <c r="A3" s="424"/>
      <c r="B3" s="425"/>
      <c r="C3" s="425"/>
      <c r="D3" s="425"/>
      <c r="E3" s="425"/>
      <c r="F3" s="425"/>
      <c r="G3" s="425"/>
      <c r="H3" s="425"/>
      <c r="I3" s="425"/>
      <c r="J3" s="420" t="s">
        <v>626</v>
      </c>
      <c r="K3" s="421"/>
      <c r="L3" s="426" t="s">
        <v>627</v>
      </c>
      <c r="M3" s="423"/>
      <c r="N3" s="416"/>
    </row>
    <row r="4" spans="1:14" ht="15.95" customHeight="1">
      <c r="A4" s="427"/>
      <c r="B4" s="425"/>
      <c r="C4" s="425"/>
      <c r="D4" s="425"/>
      <c r="E4" s="425"/>
      <c r="F4" s="425"/>
      <c r="G4" s="425"/>
      <c r="H4" s="425"/>
      <c r="I4" s="425"/>
      <c r="J4" s="420" t="s">
        <v>628</v>
      </c>
      <c r="K4" s="421"/>
      <c r="L4" s="426" t="s">
        <v>629</v>
      </c>
      <c r="M4" s="423"/>
      <c r="N4" s="416"/>
    </row>
    <row r="5" spans="1:14" ht="15.95" customHeight="1">
      <c r="A5" s="424"/>
      <c r="B5" s="425"/>
      <c r="C5" s="425"/>
      <c r="D5" s="425"/>
      <c r="E5" s="425"/>
      <c r="F5" s="425"/>
      <c r="G5" s="425"/>
      <c r="H5" s="425"/>
      <c r="I5" s="425"/>
      <c r="J5" s="420" t="s">
        <v>630</v>
      </c>
      <c r="K5" s="421"/>
      <c r="L5" s="422">
        <v>2</v>
      </c>
      <c r="M5" s="423"/>
      <c r="N5" s="416"/>
    </row>
    <row r="6" spans="1:14" ht="15.95" customHeight="1">
      <c r="A6" s="428" t="s">
        <v>631</v>
      </c>
      <c r="B6" s="425"/>
      <c r="C6" s="425"/>
      <c r="D6" s="425"/>
      <c r="E6" s="425"/>
      <c r="F6" s="425"/>
      <c r="G6" s="425"/>
      <c r="H6" s="425"/>
      <c r="I6" s="425"/>
      <c r="J6" s="420" t="s">
        <v>632</v>
      </c>
      <c r="K6" s="421"/>
      <c r="L6" s="422" t="s">
        <v>633</v>
      </c>
      <c r="M6" s="423"/>
      <c r="N6" s="416"/>
    </row>
    <row r="7" spans="1:14" ht="15.95" customHeight="1" thickBot="1">
      <c r="A7" s="429" t="s">
        <v>634</v>
      </c>
      <c r="B7" s="430"/>
      <c r="C7" s="430"/>
      <c r="D7" s="430"/>
      <c r="E7" s="430"/>
      <c r="F7" s="430"/>
      <c r="G7" s="430"/>
      <c r="H7" s="430"/>
      <c r="I7" s="430"/>
      <c r="J7" s="431" t="s">
        <v>635</v>
      </c>
      <c r="K7" s="432"/>
      <c r="L7" s="433" t="s">
        <v>636</v>
      </c>
      <c r="M7" s="434"/>
      <c r="N7" s="416"/>
    </row>
    <row r="8" spans="1:14" ht="15.95" customHeight="1">
      <c r="A8" s="435"/>
      <c r="B8" s="425"/>
      <c r="C8" s="425"/>
      <c r="D8" s="425"/>
      <c r="E8" s="425"/>
      <c r="F8" s="425"/>
      <c r="G8" s="425"/>
      <c r="H8" s="425"/>
      <c r="I8" s="425"/>
      <c r="J8" s="425"/>
      <c r="K8" s="436"/>
      <c r="L8" s="437"/>
      <c r="M8" s="438"/>
      <c r="N8" s="425"/>
    </row>
    <row r="9" spans="1:14" ht="12" customHeight="1">
      <c r="A9" s="439"/>
      <c r="B9" s="440" t="s">
        <v>637</v>
      </c>
      <c r="C9" s="441" t="s">
        <v>730</v>
      </c>
      <c r="D9" s="442"/>
      <c r="E9" s="442"/>
      <c r="F9" s="442"/>
      <c r="G9" s="442"/>
      <c r="H9" s="442"/>
      <c r="I9" s="442"/>
      <c r="J9" s="442"/>
      <c r="K9" s="443"/>
      <c r="L9" s="439"/>
      <c r="M9" s="442"/>
      <c r="N9" s="425"/>
    </row>
    <row r="10" spans="1:14" ht="12" customHeight="1">
      <c r="A10" s="439"/>
      <c r="B10" s="440" t="s">
        <v>638</v>
      </c>
      <c r="C10" s="444" t="s">
        <v>731</v>
      </c>
      <c r="D10" s="439"/>
      <c r="E10" s="439"/>
      <c r="F10" s="439"/>
      <c r="G10" s="439"/>
      <c r="H10" s="439"/>
      <c r="I10" s="439"/>
      <c r="J10" s="439"/>
      <c r="K10" s="439"/>
      <c r="L10" s="439"/>
      <c r="M10" s="439"/>
      <c r="N10" s="437"/>
    </row>
    <row r="11" spans="1:14" ht="16.5" thickBot="1">
      <c r="A11" s="437"/>
      <c r="B11" s="437"/>
      <c r="C11" s="437"/>
      <c r="D11" s="437"/>
      <c r="E11" s="437"/>
      <c r="F11" s="437"/>
      <c r="G11" s="437"/>
      <c r="H11" s="437"/>
      <c r="I11" s="437"/>
      <c r="J11" s="437"/>
      <c r="K11" s="437"/>
      <c r="L11" s="437"/>
      <c r="M11" s="437"/>
      <c r="N11" s="437"/>
    </row>
    <row r="12" spans="1:14" ht="20.100000000000001" customHeight="1" thickBot="1">
      <c r="A12" s="445" t="s">
        <v>639</v>
      </c>
      <c r="B12" s="446"/>
      <c r="C12" s="446"/>
      <c r="D12" s="446"/>
      <c r="E12" s="446"/>
      <c r="F12" s="446"/>
      <c r="G12" s="446"/>
      <c r="H12" s="446"/>
      <c r="I12" s="446"/>
      <c r="J12" s="446"/>
      <c r="K12" s="446"/>
      <c r="L12" s="446"/>
      <c r="M12" s="447"/>
      <c r="N12" s="416"/>
    </row>
    <row r="13" spans="1:14" ht="12.95" customHeight="1" thickTop="1">
      <c r="A13" s="448"/>
      <c r="B13" s="440" t="s">
        <v>640</v>
      </c>
      <c r="C13" s="449">
        <v>1000</v>
      </c>
      <c r="D13" s="439"/>
      <c r="E13" s="440" t="s">
        <v>641</v>
      </c>
      <c r="F13" s="449">
        <v>4000</v>
      </c>
      <c r="G13" s="439"/>
      <c r="H13" s="440" t="s">
        <v>642</v>
      </c>
      <c r="I13" s="449" t="s">
        <v>643</v>
      </c>
      <c r="J13" s="439"/>
      <c r="K13" s="439"/>
      <c r="L13" s="440" t="s">
        <v>644</v>
      </c>
      <c r="M13" s="450">
        <v>1200</v>
      </c>
      <c r="N13" s="416"/>
    </row>
    <row r="14" spans="1:14" ht="12.95" customHeight="1">
      <c r="A14" s="448"/>
      <c r="B14" s="440" t="s">
        <v>645</v>
      </c>
      <c r="C14" s="449" t="s">
        <v>177</v>
      </c>
      <c r="D14" s="439"/>
      <c r="E14" s="440" t="s">
        <v>646</v>
      </c>
      <c r="F14" s="451" t="s">
        <v>687</v>
      </c>
      <c r="G14" s="439"/>
      <c r="H14" s="440" t="s">
        <v>647</v>
      </c>
      <c r="I14" s="449">
        <v>127</v>
      </c>
      <c r="J14" s="439"/>
      <c r="K14" s="439"/>
      <c r="L14" s="440" t="s">
        <v>424</v>
      </c>
      <c r="M14" s="450">
        <v>1191</v>
      </c>
      <c r="N14" s="416"/>
    </row>
    <row r="15" spans="1:14" ht="12.95" customHeight="1">
      <c r="A15" s="448"/>
      <c r="B15" s="440" t="s">
        <v>648</v>
      </c>
      <c r="C15" s="449" t="s">
        <v>176</v>
      </c>
      <c r="D15" s="439"/>
      <c r="E15" s="440" t="s">
        <v>649</v>
      </c>
      <c r="F15" s="452" t="s">
        <v>732</v>
      </c>
      <c r="G15" s="439"/>
      <c r="H15" s="440" t="s">
        <v>650</v>
      </c>
      <c r="I15" s="451" t="s">
        <v>174</v>
      </c>
      <c r="J15" s="439"/>
      <c r="K15" s="439"/>
      <c r="L15" s="440" t="s">
        <v>651</v>
      </c>
      <c r="M15" s="450" t="s">
        <v>358</v>
      </c>
      <c r="N15" s="416"/>
    </row>
    <row r="16" spans="1:14" ht="12.95" customHeight="1">
      <c r="A16" s="448"/>
      <c r="B16" s="440" t="s">
        <v>652</v>
      </c>
      <c r="C16" s="449" t="s">
        <v>653</v>
      </c>
      <c r="D16" s="439"/>
      <c r="E16" s="440" t="s">
        <v>654</v>
      </c>
      <c r="F16" s="453">
        <v>40</v>
      </c>
      <c r="G16" s="439"/>
      <c r="H16" s="454" t="s">
        <v>655</v>
      </c>
      <c r="I16" s="455" t="s">
        <v>379</v>
      </c>
      <c r="J16" s="439"/>
      <c r="K16" s="439"/>
      <c r="L16" s="440" t="s">
        <v>656</v>
      </c>
      <c r="M16" s="450" t="s">
        <v>657</v>
      </c>
      <c r="N16" s="416"/>
    </row>
    <row r="17" spans="1:14" ht="12.95" customHeight="1">
      <c r="A17" s="448"/>
      <c r="B17" s="440" t="s">
        <v>658</v>
      </c>
      <c r="C17" s="441" t="s">
        <v>733</v>
      </c>
      <c r="D17" s="439"/>
      <c r="E17" s="440"/>
      <c r="F17" s="451"/>
      <c r="G17" s="439"/>
      <c r="H17" s="440" t="s">
        <v>659</v>
      </c>
      <c r="I17" s="455"/>
      <c r="J17" s="439"/>
      <c r="K17" s="439"/>
      <c r="L17" s="440"/>
      <c r="M17" s="456"/>
      <c r="N17" s="416"/>
    </row>
    <row r="18" spans="1:14" ht="12.95" customHeight="1" thickBot="1">
      <c r="A18" s="457"/>
      <c r="B18" s="458" t="s">
        <v>660</v>
      </c>
      <c r="C18" s="459" t="s">
        <v>174</v>
      </c>
      <c r="D18" s="460"/>
      <c r="E18" s="458" t="s">
        <v>661</v>
      </c>
      <c r="F18" s="459" t="s">
        <v>174</v>
      </c>
      <c r="G18" s="461"/>
      <c r="H18" s="458" t="s">
        <v>662</v>
      </c>
      <c r="I18" s="459" t="s">
        <v>174</v>
      </c>
      <c r="J18" s="460"/>
      <c r="K18" s="460"/>
      <c r="L18" s="460"/>
      <c r="M18" s="462"/>
      <c r="N18" s="416"/>
    </row>
    <row r="19" spans="1:14" ht="16.5" thickBot="1">
      <c r="A19" s="416"/>
      <c r="B19" s="416"/>
      <c r="C19" s="416"/>
      <c r="D19" s="416"/>
      <c r="E19" s="416"/>
      <c r="F19" s="416"/>
      <c r="G19" s="416"/>
      <c r="H19" s="416"/>
      <c r="I19" s="416"/>
      <c r="J19" s="416"/>
      <c r="K19" s="416"/>
      <c r="L19" s="416"/>
      <c r="M19" s="416"/>
      <c r="N19" s="416"/>
    </row>
    <row r="20" spans="1:14" ht="20.100000000000001" customHeight="1" thickBot="1">
      <c r="A20" s="445"/>
      <c r="B20" s="446"/>
      <c r="C20" s="446"/>
      <c r="D20" s="446"/>
      <c r="E20" s="446"/>
      <c r="F20" s="446"/>
      <c r="G20" s="446"/>
      <c r="H20" s="446"/>
      <c r="I20" s="446"/>
      <c r="J20" s="446"/>
      <c r="K20" s="446"/>
      <c r="L20" s="446"/>
      <c r="M20" s="447"/>
    </row>
    <row r="21" spans="1:14" ht="15.95" customHeight="1" thickTop="1">
      <c r="A21" s="463" t="s">
        <v>663</v>
      </c>
      <c r="B21" s="464"/>
      <c r="C21" s="437"/>
      <c r="D21" s="465"/>
      <c r="E21" s="466" t="s">
        <v>664</v>
      </c>
      <c r="F21" s="467"/>
      <c r="G21" s="467"/>
      <c r="H21" s="468"/>
      <c r="I21" s="469" t="s">
        <v>665</v>
      </c>
      <c r="J21" s="467"/>
      <c r="K21" s="467"/>
      <c r="L21" s="437"/>
      <c r="M21" s="470"/>
    </row>
    <row r="22" spans="1:14" ht="15.95" customHeight="1">
      <c r="A22" s="471"/>
      <c r="B22" s="439"/>
      <c r="C22" s="440" t="s">
        <v>666</v>
      </c>
      <c r="D22" s="472">
        <v>826</v>
      </c>
      <c r="E22" s="440"/>
      <c r="G22" s="454" t="s">
        <v>667</v>
      </c>
      <c r="H22" s="473">
        <v>4410</v>
      </c>
      <c r="I22" s="440"/>
      <c r="J22" s="439"/>
      <c r="K22" s="440" t="s">
        <v>668</v>
      </c>
      <c r="L22" s="439"/>
      <c r="M22" s="456"/>
    </row>
    <row r="23" spans="1:14" ht="15.95" customHeight="1">
      <c r="A23" s="471"/>
      <c r="B23" s="440"/>
      <c r="C23" s="443"/>
      <c r="D23" s="474"/>
      <c r="E23" s="440"/>
      <c r="G23" s="440" t="s">
        <v>669</v>
      </c>
      <c r="H23" s="472">
        <v>120</v>
      </c>
      <c r="I23" s="439"/>
      <c r="J23" s="439"/>
      <c r="K23" s="440" t="s">
        <v>670</v>
      </c>
      <c r="L23" s="439"/>
      <c r="M23" s="456"/>
    </row>
    <row r="24" spans="1:14" ht="15.95" customHeight="1">
      <c r="A24" s="448"/>
      <c r="B24" s="440"/>
      <c r="C24" s="439"/>
      <c r="D24" s="474"/>
      <c r="E24" s="440"/>
      <c r="G24" s="454" t="s">
        <v>671</v>
      </c>
      <c r="H24" s="472">
        <v>270</v>
      </c>
      <c r="I24" s="439"/>
      <c r="J24" s="440"/>
      <c r="K24" s="439"/>
      <c r="L24" s="439"/>
      <c r="M24" s="456"/>
    </row>
    <row r="25" spans="1:14" ht="15.95" customHeight="1" thickBot="1">
      <c r="A25" s="457"/>
      <c r="B25" s="458"/>
      <c r="C25" s="460"/>
      <c r="D25" s="475"/>
      <c r="E25" s="458"/>
      <c r="F25" s="458"/>
      <c r="G25" s="458"/>
      <c r="H25" s="476"/>
      <c r="I25" s="460"/>
      <c r="J25" s="458"/>
      <c r="K25" s="460"/>
      <c r="L25" s="460"/>
      <c r="M25" s="462"/>
    </row>
    <row r="26" spans="1:14" ht="18.95" customHeight="1" thickBot="1">
      <c r="A26" s="435"/>
      <c r="B26" s="435"/>
      <c r="C26" s="435"/>
      <c r="D26" s="416"/>
      <c r="E26" s="416"/>
      <c r="F26" s="416"/>
      <c r="G26" s="416"/>
      <c r="H26" s="416"/>
      <c r="I26" s="416"/>
      <c r="J26" s="416"/>
      <c r="K26" s="416"/>
      <c r="L26" s="416"/>
      <c r="M26" s="416"/>
      <c r="N26" s="416"/>
    </row>
    <row r="27" spans="1:14" ht="20.100000000000001" customHeight="1" thickBot="1">
      <c r="A27" s="477"/>
      <c r="B27" s="478"/>
      <c r="C27" s="478"/>
      <c r="D27" s="478"/>
      <c r="E27" s="478"/>
      <c r="F27" s="478"/>
      <c r="G27" s="479"/>
      <c r="H27" s="478"/>
      <c r="I27" s="478"/>
      <c r="J27" s="478"/>
      <c r="K27" s="478"/>
      <c r="L27" s="478"/>
      <c r="M27" s="480"/>
    </row>
    <row r="28" spans="1:14" ht="15.95" customHeight="1" thickTop="1">
      <c r="A28" s="481" t="s">
        <v>672</v>
      </c>
      <c r="B28" s="464"/>
      <c r="C28" s="437"/>
      <c r="D28" s="437"/>
      <c r="E28" s="467"/>
      <c r="F28" s="467"/>
      <c r="G28" s="482"/>
      <c r="H28" s="466" t="s">
        <v>673</v>
      </c>
      <c r="I28" s="467"/>
      <c r="J28" s="467"/>
      <c r="K28" s="466"/>
      <c r="L28" s="467"/>
      <c r="M28" s="470"/>
    </row>
    <row r="29" spans="1:14" ht="15.95" customHeight="1">
      <c r="A29" s="448"/>
      <c r="B29" s="440"/>
      <c r="C29" s="440" t="s">
        <v>674</v>
      </c>
      <c r="D29" s="483">
        <v>96.3</v>
      </c>
      <c r="E29" s="440"/>
      <c r="F29" s="440"/>
      <c r="G29" s="482"/>
      <c r="H29" s="454"/>
      <c r="I29" s="440"/>
      <c r="J29" s="440" t="s">
        <v>674</v>
      </c>
      <c r="K29" s="483">
        <v>88.3</v>
      </c>
      <c r="L29" s="439"/>
      <c r="M29" s="456"/>
    </row>
    <row r="30" spans="1:14" ht="15.95" customHeight="1">
      <c r="A30" s="484"/>
      <c r="B30" s="439"/>
      <c r="C30" s="440" t="s">
        <v>675</v>
      </c>
      <c r="D30" s="483">
        <v>95.6</v>
      </c>
      <c r="E30" s="440"/>
      <c r="F30" s="440"/>
      <c r="G30" s="482"/>
      <c r="H30" s="440"/>
      <c r="I30" s="439"/>
      <c r="J30" s="440" t="s">
        <v>675</v>
      </c>
      <c r="K30" s="483">
        <v>87.5</v>
      </c>
      <c r="L30" s="439"/>
      <c r="M30" s="456"/>
    </row>
    <row r="31" spans="1:14" ht="15.95" customHeight="1">
      <c r="A31" s="448"/>
      <c r="B31" s="440"/>
      <c r="C31" s="440" t="s">
        <v>676</v>
      </c>
      <c r="D31" s="483">
        <v>93.9</v>
      </c>
      <c r="E31" s="440"/>
      <c r="F31" s="440"/>
      <c r="G31" s="482"/>
      <c r="H31" s="440"/>
      <c r="I31" s="439"/>
      <c r="J31" s="440" t="s">
        <v>676</v>
      </c>
      <c r="K31" s="483">
        <v>83.9</v>
      </c>
      <c r="L31" s="440"/>
      <c r="M31" s="456"/>
    </row>
    <row r="32" spans="1:14" ht="15.95" customHeight="1" thickBot="1">
      <c r="A32" s="457"/>
      <c r="B32" s="458"/>
      <c r="C32" s="460"/>
      <c r="D32" s="460"/>
      <c r="E32" s="458"/>
      <c r="F32" s="458"/>
      <c r="G32" s="485"/>
      <c r="H32" s="458"/>
      <c r="I32" s="460"/>
      <c r="J32" s="458"/>
      <c r="K32" s="460"/>
      <c r="L32" s="458"/>
      <c r="M32" s="462"/>
    </row>
    <row r="33" spans="1:14" ht="20.100000000000001" customHeight="1" thickBot="1">
      <c r="A33" s="486"/>
      <c r="B33" s="486"/>
      <c r="C33" s="486"/>
      <c r="D33" s="486"/>
      <c r="E33" s="486"/>
      <c r="F33" s="486"/>
      <c r="G33" s="486"/>
      <c r="H33" s="486"/>
      <c r="I33" s="486"/>
      <c r="J33" s="486"/>
      <c r="K33" s="486"/>
      <c r="L33" s="486"/>
      <c r="M33" s="486"/>
      <c r="N33" s="486"/>
    </row>
    <row r="34" spans="1:14" ht="20.100000000000001" customHeight="1" thickBot="1">
      <c r="A34" s="487"/>
      <c r="B34" s="488"/>
      <c r="C34" s="488"/>
      <c r="D34" s="488"/>
      <c r="E34" s="488"/>
      <c r="F34" s="488"/>
      <c r="G34" s="488"/>
      <c r="H34" s="488"/>
      <c r="I34" s="488"/>
      <c r="J34" s="488"/>
      <c r="K34" s="488"/>
      <c r="L34" s="488"/>
      <c r="M34" s="489"/>
    </row>
    <row r="35" spans="1:14" ht="15.95" customHeight="1" thickTop="1">
      <c r="A35" s="490" t="s">
        <v>677</v>
      </c>
      <c r="B35" s="443"/>
      <c r="C35" s="443"/>
      <c r="D35" s="443"/>
      <c r="E35" s="443"/>
      <c r="F35" s="443"/>
      <c r="G35" s="443"/>
      <c r="H35" s="443"/>
      <c r="I35" s="443"/>
      <c r="J35" s="443"/>
      <c r="K35" s="443"/>
      <c r="L35" s="443"/>
      <c r="M35" s="491"/>
    </row>
    <row r="36" spans="1:14" ht="15.95" customHeight="1">
      <c r="A36" s="484" t="s">
        <v>678</v>
      </c>
      <c r="B36" s="443"/>
      <c r="C36" s="443"/>
      <c r="D36" s="443"/>
      <c r="E36" s="443"/>
      <c r="F36" s="443"/>
      <c r="G36" s="443"/>
      <c r="H36" s="443"/>
      <c r="I36" s="443"/>
      <c r="J36" s="443"/>
      <c r="K36" s="443"/>
      <c r="L36" s="443"/>
      <c r="M36" s="491"/>
    </row>
    <row r="37" spans="1:14" ht="15.95" customHeight="1">
      <c r="A37" s="492" t="s">
        <v>679</v>
      </c>
      <c r="B37" s="443"/>
      <c r="C37" s="443"/>
      <c r="D37" s="443"/>
      <c r="E37" s="493"/>
      <c r="F37" s="443"/>
      <c r="G37" s="443"/>
      <c r="H37" s="443"/>
      <c r="I37" s="443"/>
      <c r="J37" s="443"/>
      <c r="K37" s="443"/>
      <c r="L37" s="443"/>
      <c r="M37" s="491"/>
    </row>
    <row r="38" spans="1:14" ht="15.95" customHeight="1">
      <c r="A38" s="494" t="s">
        <v>680</v>
      </c>
      <c r="B38" s="443"/>
      <c r="C38" s="443"/>
      <c r="D38" s="443"/>
      <c r="E38" s="443"/>
      <c r="F38" s="443"/>
      <c r="G38" s="443"/>
      <c r="H38" s="443"/>
      <c r="I38" s="443"/>
      <c r="J38" s="443"/>
      <c r="K38" s="443"/>
      <c r="L38" s="443"/>
      <c r="M38" s="491"/>
    </row>
    <row r="39" spans="1:14" ht="15.95" customHeight="1">
      <c r="A39" s="495" t="s">
        <v>681</v>
      </c>
      <c r="B39" s="443"/>
      <c r="C39" s="443"/>
      <c r="D39" s="443"/>
      <c r="E39" s="443"/>
      <c r="F39" s="443"/>
      <c r="G39" s="443"/>
      <c r="H39" s="443"/>
      <c r="I39" s="443"/>
      <c r="J39" s="443"/>
      <c r="K39" s="443"/>
      <c r="L39" s="443"/>
      <c r="M39" s="491"/>
    </row>
    <row r="40" spans="1:14" ht="15.95" customHeight="1" thickBot="1">
      <c r="A40" s="496" t="s">
        <v>682</v>
      </c>
      <c r="B40" s="497"/>
      <c r="C40" s="497"/>
      <c r="D40" s="497"/>
      <c r="E40" s="497"/>
      <c r="F40" s="497"/>
      <c r="G40" s="497"/>
      <c r="H40" s="497"/>
      <c r="I40" s="497"/>
      <c r="J40" s="497"/>
      <c r="K40" s="497"/>
      <c r="L40" s="497"/>
      <c r="M40" s="498"/>
    </row>
    <row r="41" spans="1:14" ht="15.95" customHeight="1"/>
    <row r="42" spans="1:14" ht="18">
      <c r="A42" s="499"/>
      <c r="B42" s="499"/>
      <c r="C42" s="499"/>
      <c r="D42" s="499"/>
      <c r="E42" s="499"/>
      <c r="F42" s="499"/>
      <c r="G42" s="499"/>
      <c r="H42" s="416"/>
      <c r="I42" s="416"/>
      <c r="J42" s="500" t="s">
        <v>683</v>
      </c>
      <c r="K42" s="666" t="s">
        <v>684</v>
      </c>
      <c r="L42" s="666"/>
      <c r="M42" s="666"/>
      <c r="N42" s="499"/>
    </row>
    <row r="43" spans="1:14" ht="7.5" customHeight="1">
      <c r="H43" s="416"/>
      <c r="I43" s="416"/>
      <c r="J43" s="416"/>
      <c r="K43" s="416"/>
      <c r="L43" s="416"/>
      <c r="M43" s="416"/>
    </row>
    <row r="44" spans="1:14" ht="16.5">
      <c r="H44" s="416"/>
      <c r="I44" s="416"/>
      <c r="J44" s="500" t="s">
        <v>685</v>
      </c>
      <c r="K44" s="667">
        <v>46147</v>
      </c>
      <c r="L44" s="667"/>
      <c r="M44" s="667"/>
    </row>
    <row r="59" spans="1:5">
      <c r="A59" s="417" t="s">
        <v>174</v>
      </c>
      <c r="B59" s="417" t="s">
        <v>686</v>
      </c>
      <c r="D59" s="417">
        <v>1</v>
      </c>
      <c r="E59" s="501" t="s">
        <v>174</v>
      </c>
    </row>
    <row r="60" spans="1:5">
      <c r="A60" s="417" t="s">
        <v>687</v>
      </c>
      <c r="B60" s="417" t="s">
        <v>688</v>
      </c>
      <c r="D60" s="417">
        <v>1.1499999999999999</v>
      </c>
      <c r="E60" s="501" t="s">
        <v>362</v>
      </c>
    </row>
    <row r="61" spans="1:5">
      <c r="A61" s="417" t="s">
        <v>689</v>
      </c>
      <c r="B61" s="417" t="s">
        <v>690</v>
      </c>
      <c r="E61" s="501" t="s">
        <v>691</v>
      </c>
    </row>
    <row r="62" spans="1:5">
      <c r="B62" s="417" t="s">
        <v>692</v>
      </c>
    </row>
    <row r="63" spans="1:5">
      <c r="B63" s="417" t="s">
        <v>693</v>
      </c>
    </row>
    <row r="64" spans="1:5">
      <c r="B64" s="417" t="s">
        <v>694</v>
      </c>
    </row>
    <row r="65" spans="2:2">
      <c r="B65" s="417" t="s">
        <v>695</v>
      </c>
    </row>
    <row r="66" spans="2:2">
      <c r="B66" s="417" t="s">
        <v>696</v>
      </c>
    </row>
    <row r="67" spans="2:2">
      <c r="B67" s="417" t="s">
        <v>697</v>
      </c>
    </row>
    <row r="68" spans="2:2">
      <c r="B68" s="417" t="s">
        <v>698</v>
      </c>
    </row>
    <row r="69" spans="2:2">
      <c r="B69" s="417" t="s">
        <v>699</v>
      </c>
    </row>
    <row r="70" spans="2:2">
      <c r="B70" s="417" t="s">
        <v>700</v>
      </c>
    </row>
    <row r="71" spans="2:2">
      <c r="B71" s="417" t="s">
        <v>701</v>
      </c>
    </row>
    <row r="72" spans="2:2">
      <c r="B72" s="417" t="s">
        <v>702</v>
      </c>
    </row>
    <row r="73" spans="2:2">
      <c r="B73" s="417" t="s">
        <v>703</v>
      </c>
    </row>
    <row r="74" spans="2:2">
      <c r="B74" s="417" t="s">
        <v>704</v>
      </c>
    </row>
    <row r="75" spans="2:2">
      <c r="B75" s="417" t="s">
        <v>705</v>
      </c>
    </row>
    <row r="76" spans="2:2">
      <c r="B76" s="417" t="s">
        <v>706</v>
      </c>
    </row>
    <row r="77" spans="2:2">
      <c r="B77" s="417" t="s">
        <v>707</v>
      </c>
    </row>
    <row r="78" spans="2:2">
      <c r="B78" s="417" t="s">
        <v>708</v>
      </c>
    </row>
    <row r="79" spans="2:2">
      <c r="B79" s="417" t="s">
        <v>709</v>
      </c>
    </row>
    <row r="80" spans="2:2">
      <c r="B80" s="417">
        <v>6312</v>
      </c>
    </row>
    <row r="81" spans="2:2">
      <c r="B81" s="417" t="s">
        <v>710</v>
      </c>
    </row>
    <row r="82" spans="2:2">
      <c r="B82" s="417" t="s">
        <v>711</v>
      </c>
    </row>
    <row r="83" spans="2:2">
      <c r="B83" s="417" t="s">
        <v>712</v>
      </c>
    </row>
    <row r="84" spans="2:2">
      <c r="B84" s="417" t="s">
        <v>713</v>
      </c>
    </row>
    <row r="85" spans="2:2">
      <c r="B85" s="417">
        <v>6313</v>
      </c>
    </row>
    <row r="86" spans="2:2">
      <c r="B86" s="417" t="s">
        <v>714</v>
      </c>
    </row>
    <row r="87" spans="2:2">
      <c r="B87" s="417" t="s">
        <v>715</v>
      </c>
    </row>
    <row r="88" spans="2:2">
      <c r="B88" s="417" t="s">
        <v>716</v>
      </c>
    </row>
    <row r="89" spans="2:2">
      <c r="B89" s="417">
        <v>6314</v>
      </c>
    </row>
    <row r="90" spans="2:2">
      <c r="B90" s="417" t="s">
        <v>717</v>
      </c>
    </row>
    <row r="91" spans="2:2">
      <c r="B91" s="417">
        <v>6317</v>
      </c>
    </row>
    <row r="92" spans="2:2">
      <c r="B92" s="417" t="s">
        <v>718</v>
      </c>
    </row>
    <row r="93" spans="2:2">
      <c r="B93" s="417">
        <v>6318</v>
      </c>
    </row>
    <row r="94" spans="2:2">
      <c r="B94" s="417" t="s">
        <v>719</v>
      </c>
    </row>
    <row r="95" spans="2:2">
      <c r="B95" s="417" t="s">
        <v>720</v>
      </c>
    </row>
    <row r="96" spans="2:2">
      <c r="B96" s="417" t="s">
        <v>721</v>
      </c>
    </row>
    <row r="97" spans="2:2">
      <c r="B97" s="417">
        <v>6320</v>
      </c>
    </row>
    <row r="98" spans="2:2">
      <c r="B98" s="417" t="s">
        <v>722</v>
      </c>
    </row>
    <row r="99" spans="2:2">
      <c r="B99" s="417" t="s">
        <v>723</v>
      </c>
    </row>
    <row r="100" spans="2:2">
      <c r="B100" s="417" t="s">
        <v>724</v>
      </c>
    </row>
    <row r="101" spans="2:2">
      <c r="B101" s="417" t="s">
        <v>725</v>
      </c>
    </row>
    <row r="102" spans="2:2">
      <c r="B102" s="417" t="s">
        <v>725</v>
      </c>
    </row>
    <row r="118" spans="2:2">
      <c r="B118" s="417" t="s">
        <v>726</v>
      </c>
    </row>
    <row r="120" spans="2:2">
      <c r="B120" s="417" t="s">
        <v>727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7"/>
  <sheetViews>
    <sheetView workbookViewId="0">
      <selection activeCell="C16" sqref="C16"/>
    </sheetView>
  </sheetViews>
  <sheetFormatPr defaultColWidth="9.140625" defaultRowHeight="12.75"/>
  <cols>
    <col min="1" max="6" width="16.7109375" style="348" customWidth="1"/>
    <col min="7" max="16384" width="9.140625" style="348"/>
  </cols>
  <sheetData>
    <row r="1" spans="1:6" ht="18.95" customHeight="1">
      <c r="A1" s="366"/>
      <c r="B1" s="367"/>
      <c r="C1" s="367"/>
      <c r="D1" s="367"/>
      <c r="E1" s="367"/>
      <c r="F1" s="368"/>
    </row>
    <row r="2" spans="1:6" ht="26.1" customHeight="1">
      <c r="A2" s="369" t="s">
        <v>265</v>
      </c>
      <c r="B2" s="370"/>
      <c r="C2" s="370"/>
      <c r="D2" s="370"/>
      <c r="E2" s="370"/>
      <c r="F2" s="371"/>
    </row>
    <row r="3" spans="1:6" ht="18.95" customHeight="1">
      <c r="A3" s="372" t="s">
        <v>412</v>
      </c>
      <c r="B3" s="370"/>
      <c r="C3" s="370"/>
      <c r="D3" s="370"/>
      <c r="E3" s="370"/>
      <c r="F3" s="371"/>
    </row>
    <row r="4" spans="1:6" ht="18.95" customHeight="1">
      <c r="A4" s="373"/>
      <c r="B4" s="374"/>
      <c r="C4" s="374"/>
      <c r="D4" s="374"/>
      <c r="E4" s="374"/>
      <c r="F4" s="375"/>
    </row>
    <row r="5" spans="1:6" ht="18.95" customHeight="1">
      <c r="A5" s="373"/>
      <c r="B5" s="374"/>
      <c r="C5" s="374"/>
      <c r="D5" s="374"/>
      <c r="E5" s="374"/>
      <c r="F5" s="375"/>
    </row>
    <row r="6" spans="1:6" ht="18.95" customHeight="1">
      <c r="A6" s="376" t="s">
        <v>413</v>
      </c>
      <c r="B6" s="668" t="str">
        <f>'Performance Data Sheet'!C17</f>
        <v>GP-10185637</v>
      </c>
      <c r="C6" s="669"/>
      <c r="D6" s="670"/>
      <c r="E6" s="376" t="s">
        <v>414</v>
      </c>
      <c r="F6" s="377" t="str">
        <f>'Performance Data Sheet'!I14 &amp; " A"</f>
        <v>127 A</v>
      </c>
    </row>
    <row r="7" spans="1:6" ht="18.95" customHeight="1">
      <c r="A7" s="376" t="s">
        <v>415</v>
      </c>
      <c r="B7" s="377" t="str">
        <f>'Performance Data Sheet'!F14</f>
        <v>TEFC</v>
      </c>
      <c r="C7" s="376" t="s">
        <v>416</v>
      </c>
      <c r="D7" s="377" t="str">
        <f>'Performance Data Sheet'!F13 &amp; " V"</f>
        <v>4000 V</v>
      </c>
      <c r="E7" s="376" t="s">
        <v>417</v>
      </c>
      <c r="F7" s="377" t="str">
        <f>'Performance Data Sheet'!C14</f>
        <v>6811US</v>
      </c>
    </row>
    <row r="8" spans="1:6" ht="18.95" customHeight="1">
      <c r="A8" s="376" t="s">
        <v>418</v>
      </c>
      <c r="B8" s="377">
        <v>6</v>
      </c>
      <c r="C8" s="376" t="s">
        <v>419</v>
      </c>
      <c r="D8" s="377" t="s">
        <v>420</v>
      </c>
      <c r="E8" s="376" t="s">
        <v>421</v>
      </c>
      <c r="F8" s="377" t="s">
        <v>358</v>
      </c>
    </row>
    <row r="9" spans="1:6" ht="18.95" customHeight="1">
      <c r="A9" s="376" t="s">
        <v>422</v>
      </c>
      <c r="B9" s="377">
        <v>1000</v>
      </c>
      <c r="C9" s="376" t="s">
        <v>423</v>
      </c>
      <c r="D9" s="377" t="s">
        <v>434</v>
      </c>
      <c r="E9" s="376" t="s">
        <v>2</v>
      </c>
      <c r="F9" s="378">
        <f>'Performance Data Sheet'!K44</f>
        <v>46147</v>
      </c>
    </row>
    <row r="10" spans="1:6" ht="18.95" customHeight="1">
      <c r="A10" s="376" t="s">
        <v>424</v>
      </c>
      <c r="B10" s="377">
        <v>1191</v>
      </c>
      <c r="C10" s="376" t="s">
        <v>257</v>
      </c>
      <c r="D10" s="377" t="s">
        <v>425</v>
      </c>
      <c r="E10" s="376" t="s">
        <v>1</v>
      </c>
      <c r="F10" s="377" t="s">
        <v>375</v>
      </c>
    </row>
    <row r="11" spans="1:6" ht="18.95" customHeight="1">
      <c r="A11" s="373"/>
      <c r="B11" s="374"/>
      <c r="C11" s="374"/>
      <c r="D11" s="374"/>
      <c r="E11" s="374"/>
      <c r="F11" s="375"/>
    </row>
    <row r="12" spans="1:6" ht="18.95" customHeight="1">
      <c r="A12" s="373"/>
      <c r="B12" s="379" t="s">
        <v>426</v>
      </c>
      <c r="C12" s="380" t="str">
        <f>'Performance Data Sheet'!D22 &amp; " A"</f>
        <v>826 A</v>
      </c>
      <c r="D12" s="379" t="s">
        <v>256</v>
      </c>
      <c r="E12" s="380" t="s">
        <v>425</v>
      </c>
      <c r="F12" s="375"/>
    </row>
    <row r="13" spans="1:6" ht="18.95" customHeight="1">
      <c r="A13" s="373"/>
      <c r="B13" s="379" t="s">
        <v>427</v>
      </c>
      <c r="C13" s="381">
        <v>1.2</v>
      </c>
      <c r="D13" s="379" t="s">
        <v>428</v>
      </c>
      <c r="E13" s="365" t="s">
        <v>425</v>
      </c>
      <c r="F13" s="375"/>
    </row>
    <row r="14" spans="1:6" ht="18.95" customHeight="1">
      <c r="A14" s="373"/>
      <c r="B14" s="379" t="s">
        <v>429</v>
      </c>
      <c r="C14" s="381">
        <v>2.7</v>
      </c>
      <c r="D14" s="379" t="s">
        <v>258</v>
      </c>
      <c r="E14" s="365" t="s">
        <v>425</v>
      </c>
      <c r="F14" s="375"/>
    </row>
    <row r="15" spans="1:6" ht="18.95" customHeight="1">
      <c r="A15" s="373"/>
      <c r="B15" s="379" t="s">
        <v>259</v>
      </c>
      <c r="C15" s="380" t="s">
        <v>742</v>
      </c>
      <c r="D15" s="374"/>
      <c r="E15" s="374"/>
      <c r="F15" s="375"/>
    </row>
    <row r="16" spans="1:6" ht="18.95" customHeight="1">
      <c r="A16" s="373"/>
      <c r="B16" s="374"/>
      <c r="C16" s="374"/>
      <c r="D16" s="374"/>
      <c r="E16" s="374"/>
      <c r="F16" s="375"/>
    </row>
    <row r="17" spans="1:6" ht="18.95" customHeight="1">
      <c r="A17" s="373"/>
      <c r="B17" s="374"/>
      <c r="C17" s="374"/>
      <c r="D17" s="374"/>
      <c r="E17" s="374"/>
      <c r="F17" s="375"/>
    </row>
    <row r="18" spans="1:6" ht="18.95" customHeight="1">
      <c r="A18" s="373"/>
      <c r="B18" s="374"/>
      <c r="C18" s="374"/>
      <c r="D18" s="374"/>
      <c r="E18" s="374"/>
      <c r="F18" s="375"/>
    </row>
    <row r="19" spans="1:6" ht="18.95" customHeight="1">
      <c r="A19" s="373"/>
      <c r="B19" s="374"/>
      <c r="C19" s="374"/>
      <c r="D19" s="374"/>
      <c r="E19" s="374"/>
      <c r="F19" s="375"/>
    </row>
    <row r="20" spans="1:6" ht="18.95" customHeight="1">
      <c r="A20" s="373"/>
      <c r="B20" s="374"/>
      <c r="C20" s="374"/>
      <c r="D20" s="374"/>
      <c r="E20" s="374"/>
      <c r="F20" s="375"/>
    </row>
    <row r="21" spans="1:6" ht="18.95" customHeight="1">
      <c r="A21" s="373"/>
      <c r="B21" s="374"/>
      <c r="C21" s="374"/>
      <c r="D21" s="374"/>
      <c r="E21" s="374"/>
      <c r="F21" s="375"/>
    </row>
    <row r="22" spans="1:6" ht="18.95" customHeight="1">
      <c r="A22" s="373"/>
      <c r="B22" s="374"/>
      <c r="C22" s="374"/>
      <c r="D22" s="374"/>
      <c r="E22" s="374"/>
      <c r="F22" s="375"/>
    </row>
    <row r="23" spans="1:6" ht="18.95" customHeight="1">
      <c r="A23" s="373"/>
      <c r="B23" s="374"/>
      <c r="C23" s="374"/>
      <c r="D23" s="374"/>
      <c r="E23" s="374"/>
      <c r="F23" s="375"/>
    </row>
    <row r="24" spans="1:6" ht="18.95" customHeight="1">
      <c r="A24" s="373"/>
      <c r="B24" s="374"/>
      <c r="C24" s="374"/>
      <c r="D24" s="374"/>
      <c r="E24" s="374"/>
      <c r="F24" s="375"/>
    </row>
    <row r="25" spans="1:6" ht="18.95" customHeight="1">
      <c r="A25" s="373"/>
      <c r="B25" s="374"/>
      <c r="C25" s="374"/>
      <c r="D25" s="374"/>
      <c r="E25" s="374"/>
      <c r="F25" s="375"/>
    </row>
    <row r="26" spans="1:6" ht="18.95" customHeight="1">
      <c r="A26" s="373"/>
      <c r="B26" s="374"/>
      <c r="C26" s="374"/>
      <c r="D26" s="374"/>
      <c r="E26" s="374"/>
      <c r="F26" s="375"/>
    </row>
    <row r="27" spans="1:6" ht="18.95" customHeight="1">
      <c r="A27" s="373"/>
      <c r="B27" s="374"/>
      <c r="C27" s="374"/>
      <c r="D27" s="374"/>
      <c r="E27" s="374"/>
      <c r="F27" s="375"/>
    </row>
    <row r="28" spans="1:6" ht="18.95" customHeight="1">
      <c r="A28" s="373"/>
      <c r="B28" s="374"/>
      <c r="C28" s="374"/>
      <c r="D28" s="374"/>
      <c r="E28" s="374"/>
      <c r="F28" s="375"/>
    </row>
    <row r="29" spans="1:6" ht="18.95" customHeight="1">
      <c r="A29" s="373"/>
      <c r="B29" s="374"/>
      <c r="C29" s="374"/>
      <c r="D29" s="374"/>
      <c r="E29" s="374"/>
      <c r="F29" s="375"/>
    </row>
    <row r="30" spans="1:6" ht="18.95" customHeight="1">
      <c r="A30" s="373"/>
      <c r="B30" s="374"/>
      <c r="C30" s="374"/>
      <c r="D30" s="374"/>
      <c r="E30" s="374"/>
      <c r="F30" s="375"/>
    </row>
    <row r="31" spans="1:6" ht="18.95" customHeight="1">
      <c r="A31" s="373"/>
      <c r="B31" s="374"/>
      <c r="C31" s="374"/>
      <c r="D31" s="374"/>
      <c r="E31" s="374"/>
      <c r="F31" s="375"/>
    </row>
    <row r="32" spans="1:6" ht="18.95" customHeight="1">
      <c r="A32" s="373"/>
      <c r="B32" s="374"/>
      <c r="C32" s="374"/>
      <c r="D32" s="374"/>
      <c r="E32" s="374"/>
      <c r="F32" s="375"/>
    </row>
    <row r="33" spans="1:6" ht="18.95" customHeight="1">
      <c r="A33" s="373"/>
      <c r="B33" s="374"/>
      <c r="C33" s="374"/>
      <c r="D33" s="374"/>
      <c r="E33" s="374"/>
      <c r="F33" s="375"/>
    </row>
    <row r="34" spans="1:6" ht="18.95" customHeight="1">
      <c r="A34" s="373"/>
      <c r="B34" s="374"/>
      <c r="C34" s="374"/>
      <c r="D34" s="374"/>
      <c r="E34" s="374"/>
      <c r="F34" s="375"/>
    </row>
    <row r="35" spans="1:6" ht="18.95" customHeight="1">
      <c r="A35" s="373"/>
      <c r="B35" s="374"/>
      <c r="C35" s="374"/>
      <c r="D35" s="374"/>
      <c r="E35" s="374"/>
      <c r="F35" s="375"/>
    </row>
    <row r="36" spans="1:6" ht="18.95" customHeight="1">
      <c r="A36" s="373"/>
      <c r="B36" s="374"/>
      <c r="C36" s="374"/>
      <c r="D36" s="374"/>
      <c r="E36" s="374"/>
      <c r="F36" s="375"/>
    </row>
    <row r="37" spans="1:6" ht="18.95" customHeight="1">
      <c r="A37" s="373"/>
      <c r="B37" s="374"/>
      <c r="C37" s="374"/>
      <c r="D37" s="374"/>
      <c r="E37" s="374"/>
      <c r="F37" s="375"/>
    </row>
    <row r="38" spans="1:6" ht="18.95" customHeight="1">
      <c r="A38" s="373"/>
      <c r="B38" s="374"/>
      <c r="C38" s="374"/>
      <c r="D38" s="374"/>
      <c r="E38" s="374"/>
      <c r="F38" s="375"/>
    </row>
    <row r="39" spans="1:6" ht="18.95" customHeight="1">
      <c r="A39" s="382" t="s">
        <v>430</v>
      </c>
      <c r="B39" s="383" t="s">
        <v>366</v>
      </c>
      <c r="C39" s="531" t="str">
        <f>'Performance Data Sheet'!C10</f>
        <v>2400576.1</v>
      </c>
      <c r="D39" s="374"/>
      <c r="E39" s="379" t="s">
        <v>431</v>
      </c>
      <c r="F39" s="384" t="str">
        <f>F10</f>
        <v>CS6M20U</v>
      </c>
    </row>
    <row r="40" spans="1:6" ht="18.95" customHeight="1">
      <c r="A40" s="373"/>
      <c r="B40" s="383"/>
      <c r="C40" s="383"/>
      <c r="D40" s="374"/>
      <c r="E40" s="374"/>
      <c r="F40" s="375"/>
    </row>
    <row r="41" spans="1:6" ht="18.95" customHeight="1">
      <c r="A41" s="373"/>
      <c r="B41" s="383"/>
      <c r="C41" s="383"/>
      <c r="D41" s="374"/>
      <c r="E41" s="374"/>
      <c r="F41" s="375"/>
    </row>
    <row r="42" spans="1:6" ht="18.95" customHeight="1">
      <c r="A42" s="373"/>
      <c r="B42" s="374"/>
      <c r="C42" s="374"/>
      <c r="D42" s="374"/>
      <c r="E42" s="374"/>
      <c r="F42" s="375"/>
    </row>
    <row r="43" spans="1:6" ht="18.95" customHeight="1">
      <c r="A43" s="385"/>
      <c r="B43" s="383"/>
      <c r="C43" s="386" t="s">
        <v>432</v>
      </c>
      <c r="D43" s="387" t="str">
        <f>'Performance Data Sheet'!K42</f>
        <v>Jerry R</v>
      </c>
      <c r="E43" s="386" t="s">
        <v>433</v>
      </c>
      <c r="F43" s="387" t="s">
        <v>610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A53" s="505"/>
      <c r="B53" s="505"/>
      <c r="C53" s="505"/>
      <c r="D53" s="151" t="s">
        <v>255</v>
      </c>
      <c r="E53" s="151"/>
      <c r="F53" s="151"/>
      <c r="G53" s="151"/>
      <c r="H53" s="151"/>
      <c r="I53" s="151"/>
      <c r="J53" s="151"/>
      <c r="K53" s="151"/>
      <c r="L53" s="151"/>
    </row>
    <row r="54" spans="1:12" ht="15" customHeight="1">
      <c r="A54" s="388">
        <v>100</v>
      </c>
      <c r="B54" s="151">
        <v>0</v>
      </c>
      <c r="C54" s="151">
        <v>0.36347422003746033</v>
      </c>
      <c r="D54" s="151">
        <v>100</v>
      </c>
      <c r="E54" s="151"/>
      <c r="F54" s="151"/>
      <c r="G54" s="151"/>
      <c r="H54" s="151"/>
      <c r="I54" s="151"/>
      <c r="J54" s="151"/>
      <c r="K54" s="151"/>
      <c r="L54" s="151"/>
    </row>
    <row r="55" spans="1:12" ht="15" customHeight="1">
      <c r="A55" s="388">
        <v>99.000000022351742</v>
      </c>
      <c r="B55" s="151">
        <v>175.03286893856495</v>
      </c>
      <c r="C55" s="151">
        <v>179.87841796875</v>
      </c>
      <c r="D55" s="151">
        <v>98</v>
      </c>
      <c r="E55" s="151"/>
      <c r="F55" s="151"/>
      <c r="G55" s="151"/>
      <c r="H55" s="151"/>
      <c r="I55" s="151"/>
      <c r="J55" s="151"/>
      <c r="K55" s="151"/>
      <c r="L55" s="151"/>
    </row>
    <row r="56" spans="1:12" ht="15" customHeight="1">
      <c r="A56" s="388">
        <v>94.999999925494194</v>
      </c>
      <c r="B56" s="151">
        <v>270</v>
      </c>
      <c r="C56" s="151">
        <v>485.13272094726563</v>
      </c>
      <c r="D56" s="151">
        <v>87</v>
      </c>
      <c r="E56" s="151"/>
      <c r="F56" s="151"/>
      <c r="G56" s="151"/>
      <c r="H56" s="151"/>
      <c r="I56" s="151"/>
      <c r="J56" s="151"/>
      <c r="K56" s="151"/>
      <c r="L56" s="151"/>
    </row>
    <row r="57" spans="1:12">
      <c r="A57" s="388">
        <v>89.999999850988388</v>
      </c>
      <c r="B57" s="151">
        <v>235.36225364457471</v>
      </c>
      <c r="C57" s="151">
        <v>548.85296630859375</v>
      </c>
      <c r="D57" s="151">
        <v>74</v>
      </c>
      <c r="E57" s="151"/>
      <c r="F57" s="151"/>
      <c r="G57" s="151"/>
      <c r="H57" s="151"/>
      <c r="I57" s="151"/>
      <c r="J57" s="151"/>
      <c r="K57" s="151"/>
      <c r="L57" s="151"/>
    </row>
    <row r="58" spans="1:12">
      <c r="A58" s="388">
        <v>84.999999403953552</v>
      </c>
      <c r="B58" s="151">
        <v>221.9253300833463</v>
      </c>
      <c r="C58" s="151">
        <v>568.04522705078125</v>
      </c>
      <c r="D58" s="151">
        <v>61</v>
      </c>
      <c r="E58" s="151"/>
      <c r="F58" s="151"/>
      <c r="G58" s="151"/>
      <c r="H58" s="151"/>
      <c r="I58" s="151"/>
      <c r="J58" s="151"/>
      <c r="K58" s="151"/>
      <c r="L58" s="151"/>
    </row>
    <row r="59" spans="1:12">
      <c r="A59" s="388">
        <v>79.999999701976776</v>
      </c>
      <c r="B59" s="151">
        <v>221.24416698524669</v>
      </c>
      <c r="C59" s="151">
        <v>579.2772216796875</v>
      </c>
      <c r="D59" s="151">
        <v>50</v>
      </c>
      <c r="E59" s="151"/>
      <c r="F59" s="151"/>
      <c r="G59" s="151"/>
      <c r="H59" s="151"/>
      <c r="I59" s="151"/>
      <c r="J59" s="151"/>
      <c r="K59" s="151"/>
      <c r="L59" s="151"/>
    </row>
    <row r="60" spans="1:12">
      <c r="A60" s="388">
        <v>69.999998807907104</v>
      </c>
      <c r="B60" s="151">
        <v>220.42737628532453</v>
      </c>
      <c r="C60" s="151">
        <v>596.0909423828125</v>
      </c>
      <c r="D60" s="151">
        <v>33</v>
      </c>
      <c r="E60" s="151"/>
      <c r="F60" s="151"/>
      <c r="G60" s="151"/>
      <c r="H60" s="151"/>
      <c r="I60" s="151"/>
      <c r="J60" s="151"/>
      <c r="K60" s="151"/>
      <c r="L60" s="151"/>
    </row>
    <row r="61" spans="1:12">
      <c r="A61" s="388">
        <v>59.999999403953552</v>
      </c>
      <c r="B61" s="151">
        <v>220</v>
      </c>
      <c r="C61" s="151">
        <v>609.63555908203125</v>
      </c>
      <c r="D61" s="151">
        <v>22</v>
      </c>
      <c r="E61" s="151"/>
      <c r="F61" s="151"/>
      <c r="G61" s="151"/>
      <c r="H61" s="151"/>
      <c r="I61" s="151"/>
      <c r="J61" s="151"/>
      <c r="K61" s="151"/>
      <c r="L61" s="151"/>
    </row>
    <row r="62" spans="1:12">
      <c r="A62" s="388">
        <v>50</v>
      </c>
      <c r="B62" s="151">
        <v>220.55917585925158</v>
      </c>
      <c r="C62" s="151">
        <v>620.6505126953125</v>
      </c>
      <c r="D62" s="151">
        <v>14</v>
      </c>
      <c r="E62" s="151"/>
      <c r="F62" s="151"/>
      <c r="G62" s="151"/>
      <c r="H62" s="151"/>
      <c r="I62" s="151"/>
      <c r="J62" s="151"/>
      <c r="K62" s="151"/>
      <c r="L62" s="151"/>
    </row>
    <row r="63" spans="1:12">
      <c r="A63" s="388">
        <v>39.999997615814209</v>
      </c>
      <c r="B63" s="151">
        <v>221.11629282045016</v>
      </c>
      <c r="C63" s="151">
        <v>629.370849609375</v>
      </c>
      <c r="D63" s="151">
        <v>7.9999995231628418</v>
      </c>
      <c r="E63" s="151"/>
      <c r="F63" s="151"/>
      <c r="G63" s="151"/>
      <c r="H63" s="151"/>
      <c r="I63" s="151"/>
      <c r="J63" s="151"/>
      <c r="K63" s="151"/>
      <c r="L63" s="151"/>
    </row>
    <row r="64" spans="1:12">
      <c r="A64" s="388">
        <v>30.000001192092896</v>
      </c>
      <c r="B64" s="151">
        <v>221.53884978704792</v>
      </c>
      <c r="C64" s="151">
        <v>636.35614013671875</v>
      </c>
      <c r="D64" s="151">
        <v>5.9999995231628418</v>
      </c>
      <c r="E64" s="151"/>
      <c r="F64" s="151"/>
      <c r="G64" s="151"/>
      <c r="H64" s="151"/>
      <c r="I64" s="151"/>
      <c r="J64" s="151"/>
      <c r="K64" s="151"/>
      <c r="L64" s="151"/>
    </row>
    <row r="65" spans="1:12">
      <c r="A65" s="388">
        <v>19.999998807907104</v>
      </c>
      <c r="B65" s="151">
        <v>222.06524620340906</v>
      </c>
      <c r="C65" s="151">
        <v>641.92218017578125</v>
      </c>
      <c r="D65" s="151">
        <v>8.0000009536743164</v>
      </c>
      <c r="E65" s="151"/>
      <c r="F65" s="151"/>
      <c r="G65" s="151"/>
      <c r="H65" s="151"/>
      <c r="I65" s="151"/>
      <c r="J65" s="151"/>
      <c r="K65" s="151"/>
      <c r="L65" s="151"/>
    </row>
    <row r="66" spans="1:12">
      <c r="A66" s="388">
        <v>10.000002384185791</v>
      </c>
      <c r="B66" s="151">
        <v>222.75486382288818</v>
      </c>
      <c r="C66" s="151">
        <v>646.52117919921875</v>
      </c>
      <c r="D66" s="151">
        <v>14.999996185302734</v>
      </c>
      <c r="E66" s="151"/>
      <c r="F66" s="151"/>
      <c r="G66" s="151"/>
      <c r="H66" s="151"/>
      <c r="I66" s="151"/>
      <c r="J66" s="151"/>
      <c r="K66" s="151"/>
      <c r="L66" s="151"/>
    </row>
    <row r="67" spans="1:12">
      <c r="A67" s="389">
        <v>0</v>
      </c>
      <c r="B67" s="151">
        <v>220</v>
      </c>
      <c r="C67" s="151">
        <v>650.39373779296875</v>
      </c>
      <c r="D67" s="151">
        <v>30</v>
      </c>
      <c r="E67" s="151"/>
      <c r="F67" s="151"/>
      <c r="G67" s="151"/>
      <c r="H67" s="151"/>
      <c r="I67" s="151"/>
      <c r="J67" s="151"/>
      <c r="K67" s="151"/>
      <c r="L67" s="151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topLeftCell="A22" workbookViewId="0">
      <selection activeCell="F44" sqref="F44"/>
    </sheetView>
  </sheetViews>
  <sheetFormatPr defaultColWidth="9.140625" defaultRowHeight="12.75"/>
  <cols>
    <col min="1" max="6" width="16.7109375" style="348" customWidth="1"/>
    <col min="7" max="16384" width="9.140625" style="348"/>
  </cols>
  <sheetData>
    <row r="1" spans="1:6" ht="18.95" customHeight="1">
      <c r="A1" s="366"/>
      <c r="B1" s="367"/>
      <c r="C1" s="367"/>
      <c r="D1" s="367"/>
      <c r="E1" s="367"/>
      <c r="F1" s="368"/>
    </row>
    <row r="2" spans="1:6" ht="26.1" customHeight="1">
      <c r="A2" s="369" t="s">
        <v>265</v>
      </c>
      <c r="B2" s="370"/>
      <c r="C2" s="370"/>
      <c r="D2" s="370"/>
      <c r="E2" s="370"/>
      <c r="F2" s="371"/>
    </row>
    <row r="3" spans="1:6" ht="18.95" customHeight="1">
      <c r="A3" s="671" t="s">
        <v>596</v>
      </c>
      <c r="B3" s="672"/>
      <c r="C3" s="672"/>
      <c r="D3" s="672"/>
      <c r="E3" s="672"/>
      <c r="F3" s="673"/>
    </row>
    <row r="4" spans="1:6" ht="18.95" customHeight="1">
      <c r="A4" s="674" t="s">
        <v>597</v>
      </c>
      <c r="B4" s="675"/>
      <c r="C4" s="675"/>
      <c r="D4" s="675"/>
      <c r="E4" s="675"/>
      <c r="F4" s="676"/>
    </row>
    <row r="5" spans="1:6" ht="18.95" customHeight="1">
      <c r="A5" s="373"/>
      <c r="B5" s="374"/>
      <c r="C5" s="374"/>
      <c r="D5" s="374"/>
      <c r="E5" s="374"/>
      <c r="F5" s="375"/>
    </row>
    <row r="6" spans="1:6" ht="18.95" customHeight="1">
      <c r="A6" s="376" t="s">
        <v>413</v>
      </c>
      <c r="B6" s="668" t="str">
        <f>'Performance Data Sheet'!C17</f>
        <v>GP-10185637</v>
      </c>
      <c r="C6" s="669"/>
      <c r="D6" s="670"/>
      <c r="E6" s="376" t="s">
        <v>414</v>
      </c>
      <c r="F6" s="377" t="str">
        <f>'Performance Data Sheet'!I14 &amp; " A"</f>
        <v>127 A</v>
      </c>
    </row>
    <row r="7" spans="1:6" ht="18.95" customHeight="1">
      <c r="A7" s="376" t="s">
        <v>415</v>
      </c>
      <c r="B7" s="377" t="str">
        <f>'Performance Data Sheet'!F14</f>
        <v>TEFC</v>
      </c>
      <c r="C7" s="376" t="s">
        <v>416</v>
      </c>
      <c r="D7" s="377" t="str">
        <f>'Performance Data Sheet'!F13 &amp; " V"</f>
        <v>4000 V</v>
      </c>
      <c r="E7" s="376" t="s">
        <v>417</v>
      </c>
      <c r="F7" s="377" t="str">
        <f>'Performance Data Sheet'!C14</f>
        <v>6811US</v>
      </c>
    </row>
    <row r="8" spans="1:6" ht="18.95" customHeight="1">
      <c r="A8" s="376" t="s">
        <v>418</v>
      </c>
      <c r="B8" s="377">
        <v>6</v>
      </c>
      <c r="C8" s="376" t="s">
        <v>419</v>
      </c>
      <c r="D8" s="377" t="s">
        <v>420</v>
      </c>
      <c r="E8" s="376" t="s">
        <v>421</v>
      </c>
      <c r="F8" s="377" t="s">
        <v>358</v>
      </c>
    </row>
    <row r="9" spans="1:6" ht="18.95" customHeight="1">
      <c r="A9" s="376" t="s">
        <v>422</v>
      </c>
      <c r="B9" s="377">
        <v>1000</v>
      </c>
      <c r="C9" s="376" t="s">
        <v>423</v>
      </c>
      <c r="D9" s="377" t="s">
        <v>434</v>
      </c>
      <c r="E9" s="376" t="s">
        <v>2</v>
      </c>
      <c r="F9" s="378">
        <f>'Performance Data Sheet'!K44</f>
        <v>46147</v>
      </c>
    </row>
    <row r="10" spans="1:6" ht="18.95" customHeight="1">
      <c r="A10" s="376" t="s">
        <v>424</v>
      </c>
      <c r="B10" s="377">
        <v>1191</v>
      </c>
      <c r="C10" s="376" t="s">
        <v>257</v>
      </c>
      <c r="D10" s="377" t="s">
        <v>425</v>
      </c>
      <c r="E10" s="376" t="s">
        <v>1</v>
      </c>
      <c r="F10" s="377" t="s">
        <v>375</v>
      </c>
    </row>
    <row r="11" spans="1:6" ht="18.95" customHeight="1">
      <c r="A11" s="373"/>
      <c r="B11" s="374"/>
      <c r="C11" s="374"/>
      <c r="D11" s="374"/>
      <c r="E11" s="374"/>
      <c r="F11" s="375"/>
    </row>
    <row r="12" spans="1:6" ht="18.95" customHeight="1">
      <c r="A12" s="373"/>
      <c r="B12" s="379"/>
      <c r="C12" s="380"/>
      <c r="D12" s="379"/>
      <c r="E12" s="380"/>
      <c r="F12" s="375"/>
    </row>
    <row r="13" spans="1:6" ht="18.95" customHeight="1">
      <c r="A13" s="373"/>
      <c r="B13" s="379"/>
      <c r="C13" s="381"/>
      <c r="D13" s="379"/>
      <c r="E13" s="380"/>
      <c r="F13" s="375"/>
    </row>
    <row r="14" spans="1:6" ht="18.95" customHeight="1">
      <c r="A14" s="373"/>
      <c r="B14" s="379"/>
      <c r="C14" s="381"/>
      <c r="D14" s="379"/>
      <c r="E14" s="380"/>
      <c r="F14" s="375"/>
    </row>
    <row r="15" spans="1:6" ht="18.95" customHeight="1">
      <c r="A15" s="373"/>
      <c r="B15" s="379"/>
      <c r="C15" s="380"/>
      <c r="D15" s="374"/>
      <c r="E15" s="374"/>
      <c r="F15" s="375"/>
    </row>
    <row r="16" spans="1:6" ht="18.95" customHeight="1">
      <c r="A16" s="373"/>
      <c r="B16" s="374"/>
      <c r="C16" s="374"/>
      <c r="D16" s="374"/>
      <c r="E16" s="374"/>
      <c r="F16" s="375"/>
    </row>
    <row r="17" spans="1:6" ht="18.95" customHeight="1">
      <c r="A17" s="373"/>
      <c r="B17" s="374"/>
      <c r="C17" s="374"/>
      <c r="D17" s="374"/>
      <c r="E17" s="374"/>
      <c r="F17" s="375"/>
    </row>
    <row r="18" spans="1:6" ht="18.95" customHeight="1">
      <c r="A18" s="373"/>
      <c r="B18" s="374"/>
      <c r="C18" s="374"/>
      <c r="D18" s="374"/>
      <c r="E18" s="374"/>
      <c r="F18" s="375"/>
    </row>
    <row r="19" spans="1:6" ht="18.95" customHeight="1">
      <c r="A19" s="373"/>
      <c r="B19" s="374"/>
      <c r="C19" s="374"/>
      <c r="D19" s="374"/>
      <c r="E19" s="374"/>
      <c r="F19" s="375"/>
    </row>
    <row r="20" spans="1:6" ht="18.95" customHeight="1">
      <c r="A20" s="373"/>
      <c r="B20" s="374"/>
      <c r="C20" s="374"/>
      <c r="D20" s="374"/>
      <c r="E20" s="374"/>
      <c r="F20" s="375"/>
    </row>
    <row r="21" spans="1:6" ht="18.95" customHeight="1">
      <c r="A21" s="373"/>
      <c r="B21" s="374"/>
      <c r="C21" s="374"/>
      <c r="D21" s="374"/>
      <c r="E21" s="374"/>
      <c r="F21" s="375"/>
    </row>
    <row r="22" spans="1:6" ht="18.95" customHeight="1">
      <c r="A22" s="373"/>
      <c r="B22" s="374"/>
      <c r="C22" s="374"/>
      <c r="D22" s="374"/>
      <c r="E22" s="374"/>
      <c r="F22" s="375"/>
    </row>
    <row r="23" spans="1:6" ht="18.95" customHeight="1">
      <c r="A23" s="373"/>
      <c r="B23" s="374"/>
      <c r="C23" s="374"/>
      <c r="D23" s="374"/>
      <c r="E23" s="374"/>
      <c r="F23" s="375"/>
    </row>
    <row r="24" spans="1:6" ht="18.95" customHeight="1">
      <c r="A24" s="373"/>
      <c r="B24" s="374"/>
      <c r="C24" s="374"/>
      <c r="D24" s="374"/>
      <c r="E24" s="374"/>
      <c r="F24" s="375"/>
    </row>
    <row r="25" spans="1:6" ht="18.95" customHeight="1">
      <c r="A25" s="373"/>
      <c r="B25" s="374"/>
      <c r="C25" s="374"/>
      <c r="D25" s="374"/>
      <c r="E25" s="374"/>
      <c r="F25" s="375"/>
    </row>
    <row r="26" spans="1:6" ht="18.95" customHeight="1">
      <c r="A26" s="373"/>
      <c r="B26" s="374"/>
      <c r="C26" s="374"/>
      <c r="D26" s="374"/>
      <c r="E26" s="374"/>
      <c r="F26" s="375"/>
    </row>
    <row r="27" spans="1:6" ht="18.95" customHeight="1">
      <c r="A27" s="373"/>
      <c r="B27" s="374"/>
      <c r="C27" s="374"/>
      <c r="D27" s="374"/>
      <c r="E27" s="374"/>
      <c r="F27" s="375"/>
    </row>
    <row r="28" spans="1:6" ht="18.95" customHeight="1">
      <c r="A28" s="373"/>
      <c r="B28" s="374"/>
      <c r="C28" s="374"/>
      <c r="D28" s="374"/>
      <c r="E28" s="374"/>
      <c r="F28" s="375"/>
    </row>
    <row r="29" spans="1:6" ht="18.95" customHeight="1">
      <c r="A29" s="373"/>
      <c r="B29" s="374"/>
      <c r="C29" s="374"/>
      <c r="D29" s="374"/>
      <c r="E29" s="374"/>
      <c r="F29" s="375"/>
    </row>
    <row r="30" spans="1:6" ht="18.95" customHeight="1">
      <c r="A30" s="373"/>
      <c r="B30" s="374"/>
      <c r="C30" s="374"/>
      <c r="D30" s="374"/>
      <c r="E30" s="374"/>
      <c r="F30" s="375"/>
    </row>
    <row r="31" spans="1:6" ht="18.95" customHeight="1">
      <c r="A31" s="373"/>
      <c r="B31" s="374"/>
      <c r="C31" s="374"/>
      <c r="D31" s="374"/>
      <c r="E31" s="374"/>
      <c r="F31" s="375"/>
    </row>
    <row r="32" spans="1:6" ht="18.95" customHeight="1">
      <c r="A32" s="373"/>
      <c r="B32" s="374"/>
      <c r="C32" s="374"/>
      <c r="D32" s="374"/>
      <c r="E32" s="374"/>
      <c r="F32" s="375"/>
    </row>
    <row r="33" spans="1:6" ht="18.95" customHeight="1">
      <c r="A33" s="373"/>
      <c r="B33" s="374"/>
      <c r="C33" s="374"/>
      <c r="D33" s="374"/>
      <c r="E33" s="374"/>
      <c r="F33" s="375"/>
    </row>
    <row r="34" spans="1:6" ht="18.95" customHeight="1">
      <c r="A34" s="373"/>
      <c r="B34" s="374"/>
      <c r="C34" s="374"/>
      <c r="D34" s="374"/>
      <c r="E34" s="374"/>
      <c r="F34" s="375"/>
    </row>
    <row r="35" spans="1:6" ht="18.95" customHeight="1">
      <c r="A35" s="373"/>
      <c r="B35" s="374"/>
      <c r="C35" s="374"/>
      <c r="D35" s="374"/>
      <c r="E35" s="374"/>
      <c r="F35" s="375"/>
    </row>
    <row r="36" spans="1:6" ht="18.95" customHeight="1">
      <c r="A36" s="373"/>
      <c r="B36" s="374"/>
      <c r="C36" s="374"/>
      <c r="D36" s="374"/>
      <c r="E36" s="374"/>
      <c r="F36" s="375"/>
    </row>
    <row r="37" spans="1:6" ht="18.95" customHeight="1">
      <c r="A37" s="373"/>
      <c r="B37" s="374"/>
      <c r="C37" s="374"/>
      <c r="D37" s="374"/>
      <c r="E37" s="374"/>
      <c r="F37" s="375"/>
    </row>
    <row r="38" spans="1:6" ht="18.95" customHeight="1">
      <c r="A38" s="373"/>
      <c r="B38" s="374"/>
      <c r="C38" s="374"/>
      <c r="D38" s="374"/>
      <c r="E38" s="374"/>
      <c r="F38" s="375"/>
    </row>
    <row r="39" spans="1:6" ht="18.95" customHeight="1">
      <c r="A39" s="382" t="s">
        <v>430</v>
      </c>
      <c r="B39" s="383" t="s">
        <v>366</v>
      </c>
      <c r="C39" s="531" t="str">
        <f>'Performance Data Sheet'!C10</f>
        <v>2400576.1</v>
      </c>
      <c r="D39" s="374"/>
      <c r="E39" s="379" t="s">
        <v>431</v>
      </c>
      <c r="F39" s="384" t="str">
        <f>F10</f>
        <v>CS6M20U</v>
      </c>
    </row>
    <row r="40" spans="1:6" ht="18.95" customHeight="1">
      <c r="A40" s="373"/>
      <c r="B40" s="383"/>
      <c r="C40" s="383"/>
      <c r="D40" s="374"/>
      <c r="E40" s="374"/>
      <c r="F40" s="375"/>
    </row>
    <row r="41" spans="1:6" ht="18.95" customHeight="1">
      <c r="A41" s="373"/>
      <c r="B41" s="383"/>
      <c r="C41" s="383"/>
      <c r="D41" s="374"/>
      <c r="E41" s="374"/>
      <c r="F41" s="375"/>
    </row>
    <row r="42" spans="1:6" ht="18.95" customHeight="1">
      <c r="A42" s="373"/>
      <c r="B42" s="374"/>
      <c r="C42" s="374"/>
      <c r="D42" s="374"/>
      <c r="E42" s="374"/>
      <c r="F42" s="375"/>
    </row>
    <row r="43" spans="1:6" ht="18.95" customHeight="1">
      <c r="A43" s="385"/>
      <c r="B43" s="383"/>
      <c r="C43" s="386" t="s">
        <v>432</v>
      </c>
      <c r="D43" s="387" t="str">
        <f>'Performance Data Sheet'!K42</f>
        <v>Jerry R</v>
      </c>
      <c r="E43" s="386" t="s">
        <v>433</v>
      </c>
      <c r="F43" s="38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01" t="e">
        <f>5252.1*B50/D53</f>
        <v>#DIV/0!</v>
      </c>
      <c r="G50" s="401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02"/>
    </row>
    <row r="63" spans="6:9">
      <c r="I63" s="348" t="s">
        <v>39</v>
      </c>
    </row>
    <row r="66" spans="1:6">
      <c r="D66" s="401" t="e">
        <f>D65/D64</f>
        <v>#DIV/0!</v>
      </c>
    </row>
    <row r="67" spans="1:6">
      <c r="A67" s="403" t="s">
        <v>253</v>
      </c>
      <c r="B67" s="403" t="s">
        <v>598</v>
      </c>
      <c r="C67" s="403" t="s">
        <v>599</v>
      </c>
      <c r="E67" s="403" t="s">
        <v>600</v>
      </c>
      <c r="F67" s="403" t="s">
        <v>601</v>
      </c>
    </row>
    <row r="68" spans="1:6">
      <c r="A68" s="404">
        <v>650.3937007874016</v>
      </c>
      <c r="B68" s="405">
        <v>35</v>
      </c>
      <c r="C68" s="405">
        <v>15</v>
      </c>
      <c r="E68" s="404">
        <f>A68</f>
        <v>650.3937007874016</v>
      </c>
      <c r="F68" s="405">
        <v>1E-4</v>
      </c>
    </row>
    <row r="69" spans="1:6">
      <c r="A69" s="404">
        <v>573.60348031496062</v>
      </c>
      <c r="B69" s="405">
        <f>((A68/A69)^2)*B68</f>
        <v>44.998407221537775</v>
      </c>
      <c r="C69" s="405">
        <f>((A68/A69)^2)*C68</f>
        <v>19.285031666373332</v>
      </c>
      <c r="E69" s="404">
        <v>648.42519685039372</v>
      </c>
      <c r="F69" s="405">
        <v>0.99000000953674316</v>
      </c>
    </row>
    <row r="70" spans="1:6">
      <c r="A70" s="404">
        <v>496.79022047244098</v>
      </c>
      <c r="B70" s="405">
        <f>((A68/A70)^2)*B68</f>
        <v>59.989414209693123</v>
      </c>
      <c r="C70" s="405">
        <f>((A68/A70)^2)*C68</f>
        <v>25.709748947011338</v>
      </c>
      <c r="E70" s="404">
        <v>644.25196850393706</v>
      </c>
      <c r="F70" s="405">
        <v>1.8819999694824219</v>
      </c>
    </row>
    <row r="71" spans="1:6">
      <c r="A71" s="404">
        <v>420</v>
      </c>
      <c r="B71" s="405">
        <f>((A68/A71)^2)*B68</f>
        <v>83.930945639669062</v>
      </c>
      <c r="C71" s="405">
        <f>((A68/A71)^2)*C68</f>
        <v>35.970405274143886</v>
      </c>
      <c r="E71" s="404">
        <v>639.1338582677165</v>
      </c>
      <c r="F71" s="405">
        <v>2.7409999370574951</v>
      </c>
    </row>
    <row r="72" spans="1:6">
      <c r="A72" s="404">
        <f>A71-100</f>
        <v>320</v>
      </c>
      <c r="B72" s="405">
        <f>((A68/A72)^2)*B68</f>
        <v>144.58416807458616</v>
      </c>
      <c r="C72" s="405"/>
      <c r="E72" s="404">
        <v>632.83464566929138</v>
      </c>
      <c r="F72" s="405">
        <v>3.6029999256134033</v>
      </c>
    </row>
    <row r="73" spans="1:6">
      <c r="A73" s="404">
        <f>A72-100</f>
        <v>220</v>
      </c>
      <c r="B73" s="405">
        <f>((A68/A73)^2)*B68</f>
        <v>305.89708286854591</v>
      </c>
      <c r="C73" s="405"/>
      <c r="E73" s="404">
        <v>625.03937007874015</v>
      </c>
      <c r="F73" s="405">
        <v>4.499000072479248</v>
      </c>
    </row>
    <row r="74" spans="1:6">
      <c r="A74" s="404">
        <v>274</v>
      </c>
      <c r="B74" s="405">
        <f>((A68/A74)^2)*B68</f>
        <v>197.20574898552962</v>
      </c>
      <c r="C74" s="405">
        <f>((A68/A74)^2)*C68</f>
        <v>84.516749565226988</v>
      </c>
      <c r="E74" s="404">
        <v>615.11811023622045</v>
      </c>
      <c r="F74" s="405">
        <v>5.4570002555847168</v>
      </c>
    </row>
    <row r="75" spans="1:6">
      <c r="A75" s="406">
        <v>180</v>
      </c>
      <c r="B75" s="405">
        <f>((A68/A75)^2)*B69</f>
        <v>587.49582428173449</v>
      </c>
      <c r="C75" s="405">
        <f>((A68/A75)^2)*C68</f>
        <v>195.8388731592278</v>
      </c>
      <c r="E75" s="404">
        <v>602.83464566929138</v>
      </c>
      <c r="F75" s="405">
        <v>6.5170001983642578</v>
      </c>
    </row>
    <row r="76" spans="1:6">
      <c r="A76" s="406">
        <v>120</v>
      </c>
      <c r="B76" s="405">
        <f>((A68/A76)^2)*B68</f>
        <v>1028.1540840859461</v>
      </c>
      <c r="C76" s="405">
        <f>((A68/A76)^2)*C68</f>
        <v>440.63746460826263</v>
      </c>
      <c r="E76" s="404">
        <v>587.63779527559052</v>
      </c>
      <c r="F76" s="405">
        <v>7.749000072479248</v>
      </c>
    </row>
    <row r="77" spans="1:6">
      <c r="A77" s="406">
        <v>110</v>
      </c>
      <c r="B77" s="405"/>
      <c r="C77" s="404">
        <f>CEILING(C76*2,100)</f>
        <v>900</v>
      </c>
      <c r="E77" s="404">
        <v>573.62204724409446</v>
      </c>
      <c r="F77" s="405">
        <v>8.4409999847412109</v>
      </c>
    </row>
    <row r="78" spans="1:6">
      <c r="A78" s="406">
        <v>110</v>
      </c>
      <c r="B78" s="405"/>
      <c r="C78" s="404">
        <f>2*C77</f>
        <v>1800</v>
      </c>
      <c r="E78" s="404">
        <v>558.42519685039372</v>
      </c>
      <c r="F78" s="405">
        <v>9.0920000076293945</v>
      </c>
    </row>
    <row r="79" spans="1:6">
      <c r="A79" s="406">
        <v>110</v>
      </c>
      <c r="B79" s="406"/>
      <c r="C79" s="406">
        <v>10000</v>
      </c>
      <c r="E79" s="404">
        <v>517.00787401574803</v>
      </c>
      <c r="F79" s="405">
        <v>9.4790000915527344</v>
      </c>
    </row>
    <row r="80" spans="1:6">
      <c r="E80" s="404">
        <v>332.44094488188978</v>
      </c>
      <c r="F80" s="405">
        <v>9.5399999618530273</v>
      </c>
    </row>
    <row r="81" spans="5:6">
      <c r="E81" s="404">
        <v>0</v>
      </c>
      <c r="F81" s="405">
        <v>9.5900001525878906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94BE-7447-4FED-82B8-90DB531FEA29}">
  <sheetPr>
    <pageSetUpPr fitToPage="1"/>
  </sheetPr>
  <dimension ref="A1:H67"/>
  <sheetViews>
    <sheetView topLeftCell="A6" workbookViewId="0">
      <selection activeCell="C16" sqref="C16"/>
    </sheetView>
  </sheetViews>
  <sheetFormatPr defaultRowHeight="12.75"/>
  <cols>
    <col min="1" max="6" width="16.7109375" style="505" customWidth="1"/>
    <col min="7" max="256" width="9.140625" style="505"/>
    <col min="257" max="262" width="16.7109375" style="505" customWidth="1"/>
    <col min="263" max="512" width="9.140625" style="505"/>
    <col min="513" max="518" width="16.7109375" style="505" customWidth="1"/>
    <col min="519" max="768" width="9.140625" style="505"/>
    <col min="769" max="774" width="16.7109375" style="505" customWidth="1"/>
    <col min="775" max="1024" width="9.140625" style="505"/>
    <col min="1025" max="1030" width="16.7109375" style="505" customWidth="1"/>
    <col min="1031" max="1280" width="9.140625" style="505"/>
    <col min="1281" max="1286" width="16.7109375" style="505" customWidth="1"/>
    <col min="1287" max="1536" width="9.140625" style="505"/>
    <col min="1537" max="1542" width="16.7109375" style="505" customWidth="1"/>
    <col min="1543" max="1792" width="9.140625" style="505"/>
    <col min="1793" max="1798" width="16.7109375" style="505" customWidth="1"/>
    <col min="1799" max="2048" width="9.140625" style="505"/>
    <col min="2049" max="2054" width="16.7109375" style="505" customWidth="1"/>
    <col min="2055" max="2304" width="9.140625" style="505"/>
    <col min="2305" max="2310" width="16.7109375" style="505" customWidth="1"/>
    <col min="2311" max="2560" width="9.140625" style="505"/>
    <col min="2561" max="2566" width="16.7109375" style="505" customWidth="1"/>
    <col min="2567" max="2816" width="9.140625" style="505"/>
    <col min="2817" max="2822" width="16.7109375" style="505" customWidth="1"/>
    <col min="2823" max="3072" width="9.140625" style="505"/>
    <col min="3073" max="3078" width="16.7109375" style="505" customWidth="1"/>
    <col min="3079" max="3328" width="9.140625" style="505"/>
    <col min="3329" max="3334" width="16.7109375" style="505" customWidth="1"/>
    <col min="3335" max="3584" width="9.140625" style="505"/>
    <col min="3585" max="3590" width="16.7109375" style="505" customWidth="1"/>
    <col min="3591" max="3840" width="9.140625" style="505"/>
    <col min="3841" max="3846" width="16.7109375" style="505" customWidth="1"/>
    <col min="3847" max="4096" width="9.140625" style="505"/>
    <col min="4097" max="4102" width="16.7109375" style="505" customWidth="1"/>
    <col min="4103" max="4352" width="9.140625" style="505"/>
    <col min="4353" max="4358" width="16.7109375" style="505" customWidth="1"/>
    <col min="4359" max="4608" width="9.140625" style="505"/>
    <col min="4609" max="4614" width="16.7109375" style="505" customWidth="1"/>
    <col min="4615" max="4864" width="9.140625" style="505"/>
    <col min="4865" max="4870" width="16.7109375" style="505" customWidth="1"/>
    <col min="4871" max="5120" width="9.140625" style="505"/>
    <col min="5121" max="5126" width="16.7109375" style="505" customWidth="1"/>
    <col min="5127" max="5376" width="9.140625" style="505"/>
    <col min="5377" max="5382" width="16.7109375" style="505" customWidth="1"/>
    <col min="5383" max="5632" width="9.140625" style="505"/>
    <col min="5633" max="5638" width="16.7109375" style="505" customWidth="1"/>
    <col min="5639" max="5888" width="9.140625" style="505"/>
    <col min="5889" max="5894" width="16.7109375" style="505" customWidth="1"/>
    <col min="5895" max="6144" width="9.140625" style="505"/>
    <col min="6145" max="6150" width="16.7109375" style="505" customWidth="1"/>
    <col min="6151" max="6400" width="9.140625" style="505"/>
    <col min="6401" max="6406" width="16.7109375" style="505" customWidth="1"/>
    <col min="6407" max="6656" width="9.140625" style="505"/>
    <col min="6657" max="6662" width="16.7109375" style="505" customWidth="1"/>
    <col min="6663" max="6912" width="9.140625" style="505"/>
    <col min="6913" max="6918" width="16.7109375" style="505" customWidth="1"/>
    <col min="6919" max="7168" width="9.140625" style="505"/>
    <col min="7169" max="7174" width="16.7109375" style="505" customWidth="1"/>
    <col min="7175" max="7424" width="9.140625" style="505"/>
    <col min="7425" max="7430" width="16.7109375" style="505" customWidth="1"/>
    <col min="7431" max="7680" width="9.140625" style="505"/>
    <col min="7681" max="7686" width="16.7109375" style="505" customWidth="1"/>
    <col min="7687" max="7936" width="9.140625" style="505"/>
    <col min="7937" max="7942" width="16.7109375" style="505" customWidth="1"/>
    <col min="7943" max="8192" width="9.140625" style="505"/>
    <col min="8193" max="8198" width="16.7109375" style="505" customWidth="1"/>
    <col min="8199" max="8448" width="9.140625" style="505"/>
    <col min="8449" max="8454" width="16.7109375" style="505" customWidth="1"/>
    <col min="8455" max="8704" width="9.140625" style="505"/>
    <col min="8705" max="8710" width="16.7109375" style="505" customWidth="1"/>
    <col min="8711" max="8960" width="9.140625" style="505"/>
    <col min="8961" max="8966" width="16.7109375" style="505" customWidth="1"/>
    <col min="8967" max="9216" width="9.140625" style="505"/>
    <col min="9217" max="9222" width="16.7109375" style="505" customWidth="1"/>
    <col min="9223" max="9472" width="9.140625" style="505"/>
    <col min="9473" max="9478" width="16.7109375" style="505" customWidth="1"/>
    <col min="9479" max="9728" width="9.140625" style="505"/>
    <col min="9729" max="9734" width="16.7109375" style="505" customWidth="1"/>
    <col min="9735" max="9984" width="9.140625" style="505"/>
    <col min="9985" max="9990" width="16.7109375" style="505" customWidth="1"/>
    <col min="9991" max="10240" width="9.140625" style="505"/>
    <col min="10241" max="10246" width="16.7109375" style="505" customWidth="1"/>
    <col min="10247" max="10496" width="9.140625" style="505"/>
    <col min="10497" max="10502" width="16.7109375" style="505" customWidth="1"/>
    <col min="10503" max="10752" width="9.140625" style="505"/>
    <col min="10753" max="10758" width="16.7109375" style="505" customWidth="1"/>
    <col min="10759" max="11008" width="9.140625" style="505"/>
    <col min="11009" max="11014" width="16.7109375" style="505" customWidth="1"/>
    <col min="11015" max="11264" width="9.140625" style="505"/>
    <col min="11265" max="11270" width="16.7109375" style="505" customWidth="1"/>
    <col min="11271" max="11520" width="9.140625" style="505"/>
    <col min="11521" max="11526" width="16.7109375" style="505" customWidth="1"/>
    <col min="11527" max="11776" width="9.140625" style="505"/>
    <col min="11777" max="11782" width="16.7109375" style="505" customWidth="1"/>
    <col min="11783" max="12032" width="9.140625" style="505"/>
    <col min="12033" max="12038" width="16.7109375" style="505" customWidth="1"/>
    <col min="12039" max="12288" width="9.140625" style="505"/>
    <col min="12289" max="12294" width="16.7109375" style="505" customWidth="1"/>
    <col min="12295" max="12544" width="9.140625" style="505"/>
    <col min="12545" max="12550" width="16.7109375" style="505" customWidth="1"/>
    <col min="12551" max="12800" width="9.140625" style="505"/>
    <col min="12801" max="12806" width="16.7109375" style="505" customWidth="1"/>
    <col min="12807" max="13056" width="9.140625" style="505"/>
    <col min="13057" max="13062" width="16.7109375" style="505" customWidth="1"/>
    <col min="13063" max="13312" width="9.140625" style="505"/>
    <col min="13313" max="13318" width="16.7109375" style="505" customWidth="1"/>
    <col min="13319" max="13568" width="9.140625" style="505"/>
    <col min="13569" max="13574" width="16.7109375" style="505" customWidth="1"/>
    <col min="13575" max="13824" width="9.140625" style="505"/>
    <col min="13825" max="13830" width="16.7109375" style="505" customWidth="1"/>
    <col min="13831" max="14080" width="9.140625" style="505"/>
    <col min="14081" max="14086" width="16.7109375" style="505" customWidth="1"/>
    <col min="14087" max="14336" width="9.140625" style="505"/>
    <col min="14337" max="14342" width="16.7109375" style="505" customWidth="1"/>
    <col min="14343" max="14592" width="9.140625" style="505"/>
    <col min="14593" max="14598" width="16.7109375" style="505" customWidth="1"/>
    <col min="14599" max="14848" width="9.140625" style="505"/>
    <col min="14849" max="14854" width="16.7109375" style="505" customWidth="1"/>
    <col min="14855" max="15104" width="9.140625" style="505"/>
    <col min="15105" max="15110" width="16.7109375" style="505" customWidth="1"/>
    <col min="15111" max="15360" width="9.140625" style="505"/>
    <col min="15361" max="15366" width="16.7109375" style="505" customWidth="1"/>
    <col min="15367" max="15616" width="9.140625" style="505"/>
    <col min="15617" max="15622" width="16.7109375" style="505" customWidth="1"/>
    <col min="15623" max="15872" width="9.140625" style="505"/>
    <col min="15873" max="15878" width="16.7109375" style="505" customWidth="1"/>
    <col min="15879" max="16128" width="9.140625" style="505"/>
    <col min="16129" max="16134" width="16.7109375" style="505" customWidth="1"/>
    <col min="16135" max="16384" width="9.140625" style="505"/>
  </cols>
  <sheetData>
    <row r="1" spans="1:6" ht="18.95" customHeight="1">
      <c r="A1" s="502"/>
      <c r="B1" s="503"/>
      <c r="C1" s="503"/>
      <c r="D1" s="503"/>
      <c r="E1" s="503"/>
      <c r="F1" s="504"/>
    </row>
    <row r="2" spans="1:6" ht="26.1" customHeight="1">
      <c r="A2" s="506" t="s">
        <v>265</v>
      </c>
      <c r="B2" s="507"/>
      <c r="C2" s="507"/>
      <c r="D2" s="507"/>
      <c r="E2" s="507"/>
      <c r="F2" s="508"/>
    </row>
    <row r="3" spans="1:6" ht="18.95" customHeight="1">
      <c r="A3" s="509" t="s">
        <v>728</v>
      </c>
      <c r="B3" s="507"/>
      <c r="C3" s="507"/>
      <c r="D3" s="507"/>
      <c r="E3" s="507"/>
      <c r="F3" s="508"/>
    </row>
    <row r="4" spans="1:6" ht="18.95" customHeight="1">
      <c r="A4" s="677" t="s">
        <v>597</v>
      </c>
      <c r="B4" s="678"/>
      <c r="C4" s="678"/>
      <c r="D4" s="678"/>
      <c r="E4" s="678"/>
      <c r="F4" s="679"/>
    </row>
    <row r="5" spans="1:6" ht="18.95" customHeight="1">
      <c r="A5" s="510"/>
      <c r="B5" s="511"/>
      <c r="C5" s="511"/>
      <c r="D5" s="511"/>
      <c r="E5" s="511"/>
      <c r="F5" s="512"/>
    </row>
    <row r="6" spans="1:6" ht="18.95" customHeight="1">
      <c r="A6" s="376" t="s">
        <v>413</v>
      </c>
      <c r="B6" s="668" t="str">
        <f>'Performance Data Sheet'!C17</f>
        <v>GP-10185637</v>
      </c>
      <c r="C6" s="669"/>
      <c r="D6" s="670"/>
      <c r="E6" s="376" t="s">
        <v>414</v>
      </c>
      <c r="F6" s="377" t="s">
        <v>737</v>
      </c>
    </row>
    <row r="7" spans="1:6" ht="18.95" customHeight="1">
      <c r="A7" s="376" t="s">
        <v>415</v>
      </c>
      <c r="B7" s="377" t="str">
        <f>'Performance Data Sheet'!F14</f>
        <v>TEFC</v>
      </c>
      <c r="C7" s="376" t="s">
        <v>416</v>
      </c>
      <c r="D7" s="377" t="s">
        <v>739</v>
      </c>
      <c r="E7" s="376" t="s">
        <v>417</v>
      </c>
      <c r="F7" s="377" t="str">
        <f>'Performance Data Sheet'!C14</f>
        <v>6811US</v>
      </c>
    </row>
    <row r="8" spans="1:6" ht="18.95" customHeight="1">
      <c r="A8" s="376" t="s">
        <v>418</v>
      </c>
      <c r="B8" s="377">
        <v>6</v>
      </c>
      <c r="C8" s="376" t="s">
        <v>419</v>
      </c>
      <c r="D8" s="377" t="s">
        <v>420</v>
      </c>
      <c r="E8" s="376" t="s">
        <v>421</v>
      </c>
      <c r="F8" s="377" t="s">
        <v>358</v>
      </c>
    </row>
    <row r="9" spans="1:6" ht="18.95" customHeight="1">
      <c r="A9" s="376" t="s">
        <v>422</v>
      </c>
      <c r="B9" s="377">
        <v>1000</v>
      </c>
      <c r="C9" s="376" t="s">
        <v>423</v>
      </c>
      <c r="D9" s="377" t="s">
        <v>434</v>
      </c>
      <c r="E9" s="376" t="s">
        <v>2</v>
      </c>
      <c r="F9" s="378">
        <f>'Performance Data Sheet'!K44</f>
        <v>46147</v>
      </c>
    </row>
    <row r="10" spans="1:6" ht="18.95" customHeight="1">
      <c r="A10" s="376" t="s">
        <v>424</v>
      </c>
      <c r="B10" s="377">
        <v>1191</v>
      </c>
      <c r="C10" s="376" t="s">
        <v>257</v>
      </c>
      <c r="D10" s="377" t="s">
        <v>425</v>
      </c>
      <c r="E10" s="376" t="s">
        <v>1</v>
      </c>
      <c r="F10" s="377" t="s">
        <v>375</v>
      </c>
    </row>
    <row r="11" spans="1:6" ht="18.95" customHeight="1">
      <c r="A11" s="373"/>
      <c r="B11" s="374"/>
      <c r="C11" s="374"/>
      <c r="D11" s="374"/>
      <c r="E11" s="374"/>
      <c r="F11" s="375"/>
    </row>
    <row r="12" spans="1:6" ht="18.95" customHeight="1">
      <c r="A12" s="373"/>
      <c r="B12" s="379" t="s">
        <v>426</v>
      </c>
      <c r="C12" s="380" t="s">
        <v>738</v>
      </c>
      <c r="D12" s="379" t="s">
        <v>256</v>
      </c>
      <c r="E12" s="380" t="s">
        <v>425</v>
      </c>
      <c r="F12" s="375"/>
    </row>
    <row r="13" spans="1:6" ht="18.95" customHeight="1">
      <c r="A13" s="373"/>
      <c r="B13" s="379" t="s">
        <v>427</v>
      </c>
      <c r="C13" s="381">
        <v>1.24</v>
      </c>
      <c r="D13" s="379" t="s">
        <v>428</v>
      </c>
      <c r="E13" s="365" t="s">
        <v>425</v>
      </c>
      <c r="F13" s="375"/>
    </row>
    <row r="14" spans="1:6" ht="18.95" customHeight="1">
      <c r="A14" s="373"/>
      <c r="B14" s="379" t="s">
        <v>429</v>
      </c>
      <c r="C14" s="381">
        <v>2.74</v>
      </c>
      <c r="D14" s="379" t="s">
        <v>258</v>
      </c>
      <c r="E14" s="365" t="s">
        <v>425</v>
      </c>
      <c r="F14" s="375"/>
    </row>
    <row r="15" spans="1:6" ht="18.95" customHeight="1">
      <c r="A15" s="373"/>
      <c r="B15" s="379" t="s">
        <v>259</v>
      </c>
      <c r="C15" s="380" t="s">
        <v>742</v>
      </c>
      <c r="D15" s="374"/>
      <c r="E15" s="374"/>
      <c r="F15" s="375"/>
    </row>
    <row r="16" spans="1:6" ht="18.95" customHeight="1">
      <c r="A16" s="510"/>
      <c r="B16" s="511"/>
      <c r="C16" s="511"/>
      <c r="D16" s="511"/>
      <c r="E16" s="511"/>
      <c r="F16" s="512"/>
    </row>
    <row r="17" spans="1:8" ht="18.95" customHeight="1">
      <c r="A17" s="510"/>
      <c r="B17" s="511"/>
      <c r="C17" s="511"/>
      <c r="D17" s="511"/>
      <c r="E17" s="511"/>
      <c r="F17" s="512"/>
    </row>
    <row r="18" spans="1:8" ht="18.95" customHeight="1">
      <c r="A18" s="510"/>
      <c r="B18" s="511"/>
      <c r="C18" s="511"/>
      <c r="D18" s="511"/>
      <c r="E18" s="511"/>
      <c r="F18" s="512"/>
    </row>
    <row r="19" spans="1:8" ht="18.95" customHeight="1">
      <c r="A19" s="510"/>
      <c r="B19" s="511"/>
      <c r="C19" s="511"/>
      <c r="D19" s="511"/>
      <c r="E19" s="511"/>
      <c r="F19" s="512"/>
    </row>
    <row r="20" spans="1:8" ht="18.95" customHeight="1">
      <c r="A20" s="510"/>
      <c r="B20" s="511"/>
      <c r="C20" s="511"/>
      <c r="D20" s="511"/>
      <c r="E20" s="511"/>
      <c r="F20" s="512"/>
    </row>
    <row r="21" spans="1:8" ht="18.95" customHeight="1">
      <c r="A21" s="510"/>
      <c r="B21" s="511"/>
      <c r="C21" s="511"/>
      <c r="D21" s="511"/>
      <c r="E21" s="511"/>
      <c r="F21" s="512"/>
    </row>
    <row r="22" spans="1:8" ht="18.95" customHeight="1">
      <c r="A22" s="510"/>
      <c r="B22" s="511"/>
      <c r="C22" s="511"/>
      <c r="D22" s="511"/>
      <c r="E22" s="511"/>
      <c r="F22" s="512"/>
    </row>
    <row r="23" spans="1:8" ht="18.95" customHeight="1">
      <c r="A23" s="510"/>
      <c r="B23" s="511"/>
      <c r="C23" s="511"/>
      <c r="D23" s="511"/>
      <c r="E23" s="511"/>
      <c r="F23" s="512"/>
    </row>
    <row r="24" spans="1:8" ht="18.95" customHeight="1">
      <c r="A24" s="510"/>
      <c r="B24" s="511"/>
      <c r="C24" s="511"/>
      <c r="D24" s="511"/>
      <c r="E24" s="511"/>
      <c r="F24" s="512"/>
      <c r="H24" s="513"/>
    </row>
    <row r="25" spans="1:8" ht="18.95" customHeight="1">
      <c r="A25" s="510"/>
      <c r="B25" s="511"/>
      <c r="C25" s="511"/>
      <c r="D25" s="511"/>
      <c r="E25" s="511"/>
      <c r="F25" s="512"/>
    </row>
    <row r="26" spans="1:8" ht="18.95" customHeight="1">
      <c r="A26" s="510"/>
      <c r="B26" s="511"/>
      <c r="C26" s="511"/>
      <c r="D26" s="511"/>
      <c r="E26" s="511"/>
      <c r="F26" s="512"/>
    </row>
    <row r="27" spans="1:8" ht="18.95" customHeight="1">
      <c r="A27" s="510"/>
      <c r="B27" s="511"/>
      <c r="C27" s="511"/>
      <c r="D27" s="511"/>
      <c r="E27" s="511"/>
      <c r="F27" s="512"/>
    </row>
    <row r="28" spans="1:8" ht="18.95" customHeight="1">
      <c r="A28" s="510"/>
      <c r="B28" s="511"/>
      <c r="C28" s="511"/>
      <c r="D28" s="511"/>
      <c r="E28" s="511"/>
      <c r="F28" s="512"/>
    </row>
    <row r="29" spans="1:8" ht="18.95" customHeight="1">
      <c r="A29" s="510"/>
      <c r="B29" s="511"/>
      <c r="C29" s="511"/>
      <c r="D29" s="511"/>
      <c r="E29" s="511"/>
      <c r="F29" s="512"/>
    </row>
    <row r="30" spans="1:8" ht="18.95" customHeight="1">
      <c r="A30" s="510"/>
      <c r="B30" s="511"/>
      <c r="C30" s="511"/>
      <c r="D30" s="511"/>
      <c r="E30" s="511"/>
      <c r="F30" s="512"/>
    </row>
    <row r="31" spans="1:8" ht="18.95" customHeight="1">
      <c r="A31" s="510"/>
      <c r="B31" s="511"/>
      <c r="C31" s="511"/>
      <c r="D31" s="511"/>
      <c r="E31" s="511"/>
      <c r="F31" s="512"/>
    </row>
    <row r="32" spans="1:8" ht="18.95" customHeight="1">
      <c r="A32" s="510"/>
      <c r="B32" s="511"/>
      <c r="C32" s="511"/>
      <c r="D32" s="511"/>
      <c r="E32" s="511"/>
      <c r="F32" s="512"/>
    </row>
    <row r="33" spans="1:6" ht="18.95" customHeight="1">
      <c r="A33" s="510"/>
      <c r="B33" s="511"/>
      <c r="C33" s="511"/>
      <c r="D33" s="511"/>
      <c r="E33" s="511"/>
      <c r="F33" s="512"/>
    </row>
    <row r="34" spans="1:6" ht="18.95" customHeight="1">
      <c r="A34" s="510"/>
      <c r="B34" s="511"/>
      <c r="C34" s="511"/>
      <c r="D34" s="511"/>
      <c r="E34" s="511"/>
      <c r="F34" s="512"/>
    </row>
    <row r="35" spans="1:6" ht="18.95" customHeight="1">
      <c r="A35" s="510"/>
      <c r="B35" s="511"/>
      <c r="C35" s="511"/>
      <c r="D35" s="511"/>
      <c r="E35" s="511"/>
      <c r="F35" s="512"/>
    </row>
    <row r="36" spans="1:6" ht="18.95" customHeight="1">
      <c r="A36" s="510"/>
      <c r="B36" s="511"/>
      <c r="C36" s="511"/>
      <c r="D36" s="511"/>
      <c r="E36" s="511"/>
      <c r="F36" s="512"/>
    </row>
    <row r="37" spans="1:6" ht="18.95" customHeight="1">
      <c r="A37" s="510"/>
      <c r="B37" s="511"/>
      <c r="C37" s="511"/>
      <c r="D37" s="511"/>
      <c r="E37" s="511"/>
      <c r="F37" s="512"/>
    </row>
    <row r="38" spans="1:6" ht="18.95" customHeight="1">
      <c r="A38" s="510"/>
      <c r="B38" s="511"/>
      <c r="C38" s="511"/>
      <c r="D38" s="511"/>
      <c r="E38" s="511"/>
      <c r="F38" s="512"/>
    </row>
    <row r="39" spans="1:6" ht="18.95" customHeight="1">
      <c r="A39" s="382" t="s">
        <v>430</v>
      </c>
      <c r="B39" s="383" t="s">
        <v>366</v>
      </c>
      <c r="C39" s="531" t="str">
        <f>'Performance Data Sheet'!C10</f>
        <v>2400576.1</v>
      </c>
      <c r="D39" s="374"/>
      <c r="E39" s="379" t="s">
        <v>431</v>
      </c>
      <c r="F39" s="384" t="str">
        <f>F10</f>
        <v>CS6M20U</v>
      </c>
    </row>
    <row r="40" spans="1:6" ht="18.95" customHeight="1">
      <c r="A40" s="373"/>
      <c r="B40" s="383"/>
      <c r="C40" s="383"/>
      <c r="D40" s="374"/>
      <c r="E40" s="374"/>
      <c r="F40" s="375"/>
    </row>
    <row r="41" spans="1:6" ht="18.95" customHeight="1">
      <c r="A41" s="373"/>
      <c r="B41" s="383"/>
      <c r="C41" s="383"/>
      <c r="D41" s="374"/>
      <c r="E41" s="374"/>
      <c r="F41" s="375"/>
    </row>
    <row r="42" spans="1:6" ht="18.95" customHeight="1">
      <c r="A42" s="373"/>
      <c r="B42" s="374"/>
      <c r="C42" s="374"/>
      <c r="D42" s="374"/>
      <c r="E42" s="374"/>
      <c r="F42" s="375"/>
    </row>
    <row r="43" spans="1:6" ht="18.95" customHeight="1">
      <c r="A43" s="385"/>
      <c r="B43" s="383"/>
      <c r="C43" s="386" t="s">
        <v>432</v>
      </c>
      <c r="D43" s="387" t="str">
        <f>'Performance Data Sheet'!K42</f>
        <v>Jerry R</v>
      </c>
      <c r="E43" s="386" t="s">
        <v>433</v>
      </c>
      <c r="F43" s="387" t="s">
        <v>610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514" t="s">
        <v>255</v>
      </c>
      <c r="B53" s="514" t="s">
        <v>142</v>
      </c>
      <c r="C53" s="514" t="s">
        <v>120</v>
      </c>
      <c r="D53" s="514" t="s">
        <v>135</v>
      </c>
      <c r="E53" s="514" t="s">
        <v>5</v>
      </c>
      <c r="F53" s="515" t="s">
        <v>729</v>
      </c>
    </row>
    <row r="54" spans="1:6" ht="15" customHeight="1">
      <c r="A54" s="516">
        <v>0</v>
      </c>
      <c r="B54" s="517"/>
      <c r="C54" s="518"/>
      <c r="D54" s="518">
        <v>27.452715666462247</v>
      </c>
      <c r="E54" s="518">
        <v>100</v>
      </c>
      <c r="F54" s="519">
        <v>0.42588999999999999</v>
      </c>
    </row>
    <row r="55" spans="1:6" ht="15" customHeight="1">
      <c r="A55" s="520">
        <v>25</v>
      </c>
      <c r="B55" s="521">
        <v>88.697624206542969</v>
      </c>
      <c r="C55" s="522">
        <v>69.767539978027344</v>
      </c>
      <c r="D55" s="522">
        <v>43.638072967529297</v>
      </c>
      <c r="E55" s="522">
        <v>81.736062823683056</v>
      </c>
      <c r="F55" s="523">
        <v>10.546221087613571</v>
      </c>
    </row>
    <row r="56" spans="1:6" ht="15" customHeight="1">
      <c r="A56" s="520">
        <v>50</v>
      </c>
      <c r="B56" s="521">
        <v>93.944129943847656</v>
      </c>
      <c r="C56" s="522">
        <v>83.927726745605469</v>
      </c>
      <c r="D56" s="522">
        <v>68.499259948730469</v>
      </c>
      <c r="E56" s="522">
        <v>73.124158019810224</v>
      </c>
      <c r="F56" s="523">
        <v>19.914491159096585</v>
      </c>
    </row>
    <row r="57" spans="1:6">
      <c r="A57" s="520">
        <v>75</v>
      </c>
      <c r="B57" s="521">
        <v>95.63153076171875</v>
      </c>
      <c r="C57" s="522">
        <v>87.501419067382813</v>
      </c>
      <c r="D57" s="522">
        <v>96.813522338867188</v>
      </c>
      <c r="E57" s="522">
        <v>64.384164104005734</v>
      </c>
      <c r="F57" s="523">
        <v>29.344654840007532</v>
      </c>
    </row>
    <row r="58" spans="1:6">
      <c r="A58" s="520">
        <v>100</v>
      </c>
      <c r="B58" s="521">
        <v>96.338890075683594</v>
      </c>
      <c r="C58" s="522">
        <v>88.279586791992188</v>
      </c>
      <c r="D58" s="522">
        <v>127.00740814208984</v>
      </c>
      <c r="E58" s="522">
        <v>55.071094249664299</v>
      </c>
      <c r="F58" s="523">
        <v>38.838925446744263</v>
      </c>
    </row>
    <row r="59" spans="1:6" ht="13.5" thickBot="1">
      <c r="A59" s="524">
        <v>125</v>
      </c>
      <c r="B59" s="525">
        <v>96.621429443359375</v>
      </c>
      <c r="C59" s="526">
        <v>87.836372375488281</v>
      </c>
      <c r="D59" s="526">
        <v>159.09375</v>
      </c>
      <c r="E59" s="526">
        <v>45.666170996061204</v>
      </c>
      <c r="F59" s="527">
        <v>48.406690483373183</v>
      </c>
    </row>
    <row r="60" spans="1:6">
      <c r="A60" s="528"/>
      <c r="B60" s="529"/>
      <c r="C60" s="529"/>
    </row>
    <row r="61" spans="1:6">
      <c r="A61" s="528"/>
      <c r="B61" s="529"/>
      <c r="C61" s="529"/>
    </row>
    <row r="62" spans="1:6">
      <c r="A62" s="528"/>
      <c r="B62" s="529"/>
      <c r="C62" s="529"/>
    </row>
    <row r="63" spans="1:6">
      <c r="A63" s="528"/>
      <c r="B63" s="529"/>
      <c r="C63" s="529"/>
    </row>
    <row r="64" spans="1:6">
      <c r="A64" s="528"/>
      <c r="B64" s="529"/>
      <c r="C64" s="529"/>
    </row>
    <row r="65" spans="1:3">
      <c r="A65" s="528"/>
      <c r="B65" s="529"/>
      <c r="C65" s="529"/>
    </row>
    <row r="66" spans="1:3">
      <c r="A66" s="528"/>
      <c r="B66" s="529"/>
      <c r="C66" s="529"/>
    </row>
    <row r="67" spans="1:3">
      <c r="A67" s="530"/>
      <c r="B67" s="529"/>
      <c r="C67" s="529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AE8E-BD74-4CB3-A915-6383B70BD9D3}">
  <sheetPr>
    <pageSetUpPr fitToPage="1"/>
  </sheetPr>
  <dimension ref="A1:H67"/>
  <sheetViews>
    <sheetView workbookViewId="0">
      <selection activeCell="D8" sqref="D8"/>
    </sheetView>
  </sheetViews>
  <sheetFormatPr defaultRowHeight="12.75"/>
  <cols>
    <col min="1" max="6" width="16.7109375" style="505" customWidth="1"/>
    <col min="7" max="256" width="9.140625" style="505"/>
    <col min="257" max="262" width="16.7109375" style="505" customWidth="1"/>
    <col min="263" max="512" width="9.140625" style="505"/>
    <col min="513" max="518" width="16.7109375" style="505" customWidth="1"/>
    <col min="519" max="768" width="9.140625" style="505"/>
    <col min="769" max="774" width="16.7109375" style="505" customWidth="1"/>
    <col min="775" max="1024" width="9.140625" style="505"/>
    <col min="1025" max="1030" width="16.7109375" style="505" customWidth="1"/>
    <col min="1031" max="1280" width="9.140625" style="505"/>
    <col min="1281" max="1286" width="16.7109375" style="505" customWidth="1"/>
    <col min="1287" max="1536" width="9.140625" style="505"/>
    <col min="1537" max="1542" width="16.7109375" style="505" customWidth="1"/>
    <col min="1543" max="1792" width="9.140625" style="505"/>
    <col min="1793" max="1798" width="16.7109375" style="505" customWidth="1"/>
    <col min="1799" max="2048" width="9.140625" style="505"/>
    <col min="2049" max="2054" width="16.7109375" style="505" customWidth="1"/>
    <col min="2055" max="2304" width="9.140625" style="505"/>
    <col min="2305" max="2310" width="16.7109375" style="505" customWidth="1"/>
    <col min="2311" max="2560" width="9.140625" style="505"/>
    <col min="2561" max="2566" width="16.7109375" style="505" customWidth="1"/>
    <col min="2567" max="2816" width="9.140625" style="505"/>
    <col min="2817" max="2822" width="16.7109375" style="505" customWidth="1"/>
    <col min="2823" max="3072" width="9.140625" style="505"/>
    <col min="3073" max="3078" width="16.7109375" style="505" customWidth="1"/>
    <col min="3079" max="3328" width="9.140625" style="505"/>
    <col min="3329" max="3334" width="16.7109375" style="505" customWidth="1"/>
    <col min="3335" max="3584" width="9.140625" style="505"/>
    <col min="3585" max="3590" width="16.7109375" style="505" customWidth="1"/>
    <col min="3591" max="3840" width="9.140625" style="505"/>
    <col min="3841" max="3846" width="16.7109375" style="505" customWidth="1"/>
    <col min="3847" max="4096" width="9.140625" style="505"/>
    <col min="4097" max="4102" width="16.7109375" style="505" customWidth="1"/>
    <col min="4103" max="4352" width="9.140625" style="505"/>
    <col min="4353" max="4358" width="16.7109375" style="505" customWidth="1"/>
    <col min="4359" max="4608" width="9.140625" style="505"/>
    <col min="4609" max="4614" width="16.7109375" style="505" customWidth="1"/>
    <col min="4615" max="4864" width="9.140625" style="505"/>
    <col min="4865" max="4870" width="16.7109375" style="505" customWidth="1"/>
    <col min="4871" max="5120" width="9.140625" style="505"/>
    <col min="5121" max="5126" width="16.7109375" style="505" customWidth="1"/>
    <col min="5127" max="5376" width="9.140625" style="505"/>
    <col min="5377" max="5382" width="16.7109375" style="505" customWidth="1"/>
    <col min="5383" max="5632" width="9.140625" style="505"/>
    <col min="5633" max="5638" width="16.7109375" style="505" customWidth="1"/>
    <col min="5639" max="5888" width="9.140625" style="505"/>
    <col min="5889" max="5894" width="16.7109375" style="505" customWidth="1"/>
    <col min="5895" max="6144" width="9.140625" style="505"/>
    <col min="6145" max="6150" width="16.7109375" style="505" customWidth="1"/>
    <col min="6151" max="6400" width="9.140625" style="505"/>
    <col min="6401" max="6406" width="16.7109375" style="505" customWidth="1"/>
    <col min="6407" max="6656" width="9.140625" style="505"/>
    <col min="6657" max="6662" width="16.7109375" style="505" customWidth="1"/>
    <col min="6663" max="6912" width="9.140625" style="505"/>
    <col min="6913" max="6918" width="16.7109375" style="505" customWidth="1"/>
    <col min="6919" max="7168" width="9.140625" style="505"/>
    <col min="7169" max="7174" width="16.7109375" style="505" customWidth="1"/>
    <col min="7175" max="7424" width="9.140625" style="505"/>
    <col min="7425" max="7430" width="16.7109375" style="505" customWidth="1"/>
    <col min="7431" max="7680" width="9.140625" style="505"/>
    <col min="7681" max="7686" width="16.7109375" style="505" customWidth="1"/>
    <col min="7687" max="7936" width="9.140625" style="505"/>
    <col min="7937" max="7942" width="16.7109375" style="505" customWidth="1"/>
    <col min="7943" max="8192" width="9.140625" style="505"/>
    <col min="8193" max="8198" width="16.7109375" style="505" customWidth="1"/>
    <col min="8199" max="8448" width="9.140625" style="505"/>
    <col min="8449" max="8454" width="16.7109375" style="505" customWidth="1"/>
    <col min="8455" max="8704" width="9.140625" style="505"/>
    <col min="8705" max="8710" width="16.7109375" style="505" customWidth="1"/>
    <col min="8711" max="8960" width="9.140625" style="505"/>
    <col min="8961" max="8966" width="16.7109375" style="505" customWidth="1"/>
    <col min="8967" max="9216" width="9.140625" style="505"/>
    <col min="9217" max="9222" width="16.7109375" style="505" customWidth="1"/>
    <col min="9223" max="9472" width="9.140625" style="505"/>
    <col min="9473" max="9478" width="16.7109375" style="505" customWidth="1"/>
    <col min="9479" max="9728" width="9.140625" style="505"/>
    <col min="9729" max="9734" width="16.7109375" style="505" customWidth="1"/>
    <col min="9735" max="9984" width="9.140625" style="505"/>
    <col min="9985" max="9990" width="16.7109375" style="505" customWidth="1"/>
    <col min="9991" max="10240" width="9.140625" style="505"/>
    <col min="10241" max="10246" width="16.7109375" style="505" customWidth="1"/>
    <col min="10247" max="10496" width="9.140625" style="505"/>
    <col min="10497" max="10502" width="16.7109375" style="505" customWidth="1"/>
    <col min="10503" max="10752" width="9.140625" style="505"/>
    <col min="10753" max="10758" width="16.7109375" style="505" customWidth="1"/>
    <col min="10759" max="11008" width="9.140625" style="505"/>
    <col min="11009" max="11014" width="16.7109375" style="505" customWidth="1"/>
    <col min="11015" max="11264" width="9.140625" style="505"/>
    <col min="11265" max="11270" width="16.7109375" style="505" customWidth="1"/>
    <col min="11271" max="11520" width="9.140625" style="505"/>
    <col min="11521" max="11526" width="16.7109375" style="505" customWidth="1"/>
    <col min="11527" max="11776" width="9.140625" style="505"/>
    <col min="11777" max="11782" width="16.7109375" style="505" customWidth="1"/>
    <col min="11783" max="12032" width="9.140625" style="505"/>
    <col min="12033" max="12038" width="16.7109375" style="505" customWidth="1"/>
    <col min="12039" max="12288" width="9.140625" style="505"/>
    <col min="12289" max="12294" width="16.7109375" style="505" customWidth="1"/>
    <col min="12295" max="12544" width="9.140625" style="505"/>
    <col min="12545" max="12550" width="16.7109375" style="505" customWidth="1"/>
    <col min="12551" max="12800" width="9.140625" style="505"/>
    <col min="12801" max="12806" width="16.7109375" style="505" customWidth="1"/>
    <col min="12807" max="13056" width="9.140625" style="505"/>
    <col min="13057" max="13062" width="16.7109375" style="505" customWidth="1"/>
    <col min="13063" max="13312" width="9.140625" style="505"/>
    <col min="13313" max="13318" width="16.7109375" style="505" customWidth="1"/>
    <col min="13319" max="13568" width="9.140625" style="505"/>
    <col min="13569" max="13574" width="16.7109375" style="505" customWidth="1"/>
    <col min="13575" max="13824" width="9.140625" style="505"/>
    <col min="13825" max="13830" width="16.7109375" style="505" customWidth="1"/>
    <col min="13831" max="14080" width="9.140625" style="505"/>
    <col min="14081" max="14086" width="16.7109375" style="505" customWidth="1"/>
    <col min="14087" max="14336" width="9.140625" style="505"/>
    <col min="14337" max="14342" width="16.7109375" style="505" customWidth="1"/>
    <col min="14343" max="14592" width="9.140625" style="505"/>
    <col min="14593" max="14598" width="16.7109375" style="505" customWidth="1"/>
    <col min="14599" max="14848" width="9.140625" style="505"/>
    <col min="14849" max="14854" width="16.7109375" style="505" customWidth="1"/>
    <col min="14855" max="15104" width="9.140625" style="505"/>
    <col min="15105" max="15110" width="16.7109375" style="505" customWidth="1"/>
    <col min="15111" max="15360" width="9.140625" style="505"/>
    <col min="15361" max="15366" width="16.7109375" style="505" customWidth="1"/>
    <col min="15367" max="15616" width="9.140625" style="505"/>
    <col min="15617" max="15622" width="16.7109375" style="505" customWidth="1"/>
    <col min="15623" max="15872" width="9.140625" style="505"/>
    <col min="15873" max="15878" width="16.7109375" style="505" customWidth="1"/>
    <col min="15879" max="16128" width="9.140625" style="505"/>
    <col min="16129" max="16134" width="16.7109375" style="505" customWidth="1"/>
    <col min="16135" max="16384" width="9.140625" style="505"/>
  </cols>
  <sheetData>
    <row r="1" spans="1:6" ht="18.95" customHeight="1">
      <c r="A1" s="502"/>
      <c r="B1" s="503"/>
      <c r="C1" s="503"/>
      <c r="D1" s="503"/>
      <c r="E1" s="503"/>
      <c r="F1" s="504"/>
    </row>
    <row r="2" spans="1:6" ht="26.1" customHeight="1">
      <c r="A2" s="506" t="s">
        <v>265</v>
      </c>
      <c r="B2" s="507"/>
      <c r="C2" s="507"/>
      <c r="D2" s="507"/>
      <c r="E2" s="507"/>
      <c r="F2" s="508"/>
    </row>
    <row r="3" spans="1:6" ht="18.95" customHeight="1">
      <c r="A3" s="509" t="s">
        <v>728</v>
      </c>
      <c r="B3" s="507"/>
      <c r="C3" s="507"/>
      <c r="D3" s="507"/>
      <c r="E3" s="507"/>
      <c r="F3" s="508"/>
    </row>
    <row r="4" spans="1:6" ht="18.95" customHeight="1">
      <c r="A4" s="677" t="s">
        <v>597</v>
      </c>
      <c r="B4" s="678"/>
      <c r="C4" s="678"/>
      <c r="D4" s="678"/>
      <c r="E4" s="678"/>
      <c r="F4" s="679"/>
    </row>
    <row r="5" spans="1:6" ht="18.95" customHeight="1">
      <c r="A5" s="510"/>
      <c r="B5" s="511"/>
      <c r="C5" s="511"/>
      <c r="D5" s="511"/>
      <c r="E5" s="511"/>
      <c r="F5" s="512"/>
    </row>
    <row r="6" spans="1:6" ht="18.95" customHeight="1">
      <c r="A6" s="376" t="s">
        <v>413</v>
      </c>
      <c r="B6" s="668" t="str">
        <f>'Performance Data Sheet'!C17</f>
        <v>GP-10185637</v>
      </c>
      <c r="C6" s="669"/>
      <c r="D6" s="670"/>
      <c r="E6" s="376" t="s">
        <v>414</v>
      </c>
      <c r="F6" s="377" t="s">
        <v>740</v>
      </c>
    </row>
    <row r="7" spans="1:6" ht="18.95" customHeight="1">
      <c r="A7" s="376" t="s">
        <v>415</v>
      </c>
      <c r="B7" s="377" t="str">
        <f>'Performance Data Sheet'!F14</f>
        <v>TEFC</v>
      </c>
      <c r="C7" s="376" t="s">
        <v>416</v>
      </c>
      <c r="D7" s="377" t="s">
        <v>743</v>
      </c>
      <c r="E7" s="376" t="s">
        <v>417</v>
      </c>
      <c r="F7" s="377" t="str">
        <f>'Performance Data Sheet'!C14</f>
        <v>6811US</v>
      </c>
    </row>
    <row r="8" spans="1:6" ht="18.95" customHeight="1">
      <c r="A8" s="376" t="s">
        <v>418</v>
      </c>
      <c r="B8" s="377">
        <v>6</v>
      </c>
      <c r="C8" s="376" t="s">
        <v>419</v>
      </c>
      <c r="D8" s="377" t="s">
        <v>420</v>
      </c>
      <c r="E8" s="376" t="s">
        <v>421</v>
      </c>
      <c r="F8" s="377" t="s">
        <v>358</v>
      </c>
    </row>
    <row r="9" spans="1:6" ht="18.95" customHeight="1">
      <c r="A9" s="376" t="s">
        <v>422</v>
      </c>
      <c r="B9" s="377">
        <v>1000</v>
      </c>
      <c r="C9" s="376" t="s">
        <v>423</v>
      </c>
      <c r="D9" s="377" t="s">
        <v>434</v>
      </c>
      <c r="E9" s="376" t="s">
        <v>2</v>
      </c>
      <c r="F9" s="378">
        <f>'Performance Data Sheet'!K44</f>
        <v>46147</v>
      </c>
    </row>
    <row r="10" spans="1:6" ht="18.95" customHeight="1">
      <c r="A10" s="376" t="s">
        <v>424</v>
      </c>
      <c r="B10" s="377">
        <v>1191</v>
      </c>
      <c r="C10" s="376" t="s">
        <v>257</v>
      </c>
      <c r="D10" s="377" t="s">
        <v>425</v>
      </c>
      <c r="E10" s="376" t="s">
        <v>1</v>
      </c>
      <c r="F10" s="377" t="s">
        <v>375</v>
      </c>
    </row>
    <row r="11" spans="1:6" ht="18.95" customHeight="1">
      <c r="A11" s="373"/>
      <c r="B11" s="374"/>
      <c r="C11" s="374"/>
      <c r="D11" s="374"/>
      <c r="E11" s="374"/>
      <c r="F11" s="375"/>
    </row>
    <row r="12" spans="1:6" ht="18.95" customHeight="1">
      <c r="A12" s="373"/>
      <c r="B12" s="379" t="s">
        <v>426</v>
      </c>
      <c r="C12" s="380" t="s">
        <v>741</v>
      </c>
      <c r="D12" s="379" t="s">
        <v>256</v>
      </c>
      <c r="E12" s="380" t="s">
        <v>425</v>
      </c>
      <c r="F12" s="375"/>
    </row>
    <row r="13" spans="1:6" ht="18.95" customHeight="1">
      <c r="A13" s="373"/>
      <c r="B13" s="379" t="s">
        <v>427</v>
      </c>
      <c r="C13" s="381">
        <v>1.2</v>
      </c>
      <c r="D13" s="379" t="s">
        <v>428</v>
      </c>
      <c r="E13" s="365" t="s">
        <v>425</v>
      </c>
      <c r="F13" s="375"/>
    </row>
    <row r="14" spans="1:6" ht="18.95" customHeight="1">
      <c r="A14" s="373"/>
      <c r="B14" s="379" t="s">
        <v>429</v>
      </c>
      <c r="C14" s="381">
        <v>2.7</v>
      </c>
      <c r="D14" s="379" t="s">
        <v>258</v>
      </c>
      <c r="E14" s="365" t="s">
        <v>425</v>
      </c>
      <c r="F14" s="375"/>
    </row>
    <row r="15" spans="1:6" ht="18.95" customHeight="1">
      <c r="A15" s="373"/>
      <c r="B15" s="379" t="s">
        <v>259</v>
      </c>
      <c r="C15" s="380" t="s">
        <v>742</v>
      </c>
      <c r="D15" s="374"/>
      <c r="E15" s="374"/>
      <c r="F15" s="375"/>
    </row>
    <row r="16" spans="1:6" ht="18.95" customHeight="1">
      <c r="A16" s="510"/>
      <c r="B16" s="511"/>
      <c r="C16" s="511"/>
      <c r="D16" s="511"/>
      <c r="E16" s="511"/>
      <c r="F16" s="512"/>
    </row>
    <row r="17" spans="1:8" ht="18.95" customHeight="1">
      <c r="A17" s="510"/>
      <c r="B17" s="511"/>
      <c r="C17" s="511"/>
      <c r="D17" s="511"/>
      <c r="E17" s="511"/>
      <c r="F17" s="512"/>
    </row>
    <row r="18" spans="1:8" ht="18.95" customHeight="1">
      <c r="A18" s="510"/>
      <c r="B18" s="511"/>
      <c r="C18" s="511"/>
      <c r="D18" s="511"/>
      <c r="E18" s="511"/>
      <c r="F18" s="512"/>
    </row>
    <row r="19" spans="1:8" ht="18.95" customHeight="1">
      <c r="A19" s="510"/>
      <c r="B19" s="511"/>
      <c r="C19" s="511"/>
      <c r="D19" s="511"/>
      <c r="E19" s="511"/>
      <c r="F19" s="512"/>
    </row>
    <row r="20" spans="1:8" ht="18.95" customHeight="1">
      <c r="A20" s="510"/>
      <c r="B20" s="511"/>
      <c r="C20" s="511"/>
      <c r="D20" s="511"/>
      <c r="E20" s="511"/>
      <c r="F20" s="512"/>
    </row>
    <row r="21" spans="1:8" ht="18.95" customHeight="1">
      <c r="A21" s="510"/>
      <c r="B21" s="511"/>
      <c r="C21" s="511"/>
      <c r="D21" s="511"/>
      <c r="E21" s="511"/>
      <c r="F21" s="512"/>
    </row>
    <row r="22" spans="1:8" ht="18.95" customHeight="1">
      <c r="A22" s="510"/>
      <c r="B22" s="511"/>
      <c r="C22" s="511"/>
      <c r="D22" s="511"/>
      <c r="E22" s="511"/>
      <c r="F22" s="512"/>
    </row>
    <row r="23" spans="1:8" ht="18.95" customHeight="1">
      <c r="A23" s="510"/>
      <c r="B23" s="511"/>
      <c r="C23" s="511"/>
      <c r="D23" s="511"/>
      <c r="E23" s="511"/>
      <c r="F23" s="512"/>
    </row>
    <row r="24" spans="1:8" ht="18.95" customHeight="1">
      <c r="A24" s="510"/>
      <c r="B24" s="511"/>
      <c r="C24" s="511"/>
      <c r="D24" s="511"/>
      <c r="E24" s="511"/>
      <c r="F24" s="512"/>
      <c r="H24" s="513"/>
    </row>
    <row r="25" spans="1:8" ht="18.95" customHeight="1">
      <c r="A25" s="510"/>
      <c r="B25" s="511"/>
      <c r="C25" s="511"/>
      <c r="D25" s="511"/>
      <c r="E25" s="511"/>
      <c r="F25" s="512"/>
    </row>
    <row r="26" spans="1:8" ht="18.95" customHeight="1">
      <c r="A26" s="510"/>
      <c r="B26" s="511"/>
      <c r="C26" s="511"/>
      <c r="D26" s="511"/>
      <c r="E26" s="511"/>
      <c r="F26" s="512"/>
    </row>
    <row r="27" spans="1:8" ht="18.95" customHeight="1">
      <c r="A27" s="510"/>
      <c r="B27" s="511"/>
      <c r="C27" s="511"/>
      <c r="D27" s="511"/>
      <c r="E27" s="511"/>
      <c r="F27" s="512"/>
    </row>
    <row r="28" spans="1:8" ht="18.95" customHeight="1">
      <c r="A28" s="510"/>
      <c r="B28" s="511"/>
      <c r="C28" s="511"/>
      <c r="D28" s="511"/>
      <c r="E28" s="511"/>
      <c r="F28" s="512"/>
    </row>
    <row r="29" spans="1:8" ht="18.95" customHeight="1">
      <c r="A29" s="510"/>
      <c r="B29" s="511"/>
      <c r="C29" s="511"/>
      <c r="D29" s="511"/>
      <c r="E29" s="511"/>
      <c r="F29" s="512"/>
    </row>
    <row r="30" spans="1:8" ht="18.95" customHeight="1">
      <c r="A30" s="510"/>
      <c r="B30" s="511"/>
      <c r="C30" s="511"/>
      <c r="D30" s="511"/>
      <c r="E30" s="511"/>
      <c r="F30" s="512"/>
    </row>
    <row r="31" spans="1:8" ht="18.95" customHeight="1">
      <c r="A31" s="510"/>
      <c r="B31" s="511"/>
      <c r="C31" s="511"/>
      <c r="D31" s="511"/>
      <c r="E31" s="511"/>
      <c r="F31" s="512"/>
    </row>
    <row r="32" spans="1:8" ht="18.95" customHeight="1">
      <c r="A32" s="510"/>
      <c r="B32" s="511"/>
      <c r="C32" s="511"/>
      <c r="D32" s="511"/>
      <c r="E32" s="511"/>
      <c r="F32" s="512"/>
    </row>
    <row r="33" spans="1:6" ht="18.95" customHeight="1">
      <c r="A33" s="510"/>
      <c r="B33" s="511"/>
      <c r="C33" s="511"/>
      <c r="D33" s="511"/>
      <c r="E33" s="511"/>
      <c r="F33" s="512"/>
    </row>
    <row r="34" spans="1:6" ht="18.95" customHeight="1">
      <c r="A34" s="510"/>
      <c r="B34" s="511"/>
      <c r="C34" s="511"/>
      <c r="D34" s="511"/>
      <c r="E34" s="511"/>
      <c r="F34" s="512"/>
    </row>
    <row r="35" spans="1:6" ht="18.95" customHeight="1">
      <c r="A35" s="510"/>
      <c r="B35" s="511"/>
      <c r="C35" s="511"/>
      <c r="D35" s="511"/>
      <c r="E35" s="511"/>
      <c r="F35" s="512"/>
    </row>
    <row r="36" spans="1:6" ht="18.95" customHeight="1">
      <c r="A36" s="510"/>
      <c r="B36" s="511"/>
      <c r="C36" s="511"/>
      <c r="D36" s="511"/>
      <c r="E36" s="511"/>
      <c r="F36" s="512"/>
    </row>
    <row r="37" spans="1:6" ht="18.95" customHeight="1">
      <c r="A37" s="510"/>
      <c r="B37" s="511"/>
      <c r="C37" s="511"/>
      <c r="D37" s="511"/>
      <c r="E37" s="511"/>
      <c r="F37" s="512"/>
    </row>
    <row r="38" spans="1:6" ht="18.95" customHeight="1">
      <c r="A38" s="510"/>
      <c r="B38" s="511"/>
      <c r="C38" s="511"/>
      <c r="D38" s="511"/>
      <c r="E38" s="511"/>
      <c r="F38" s="512"/>
    </row>
    <row r="39" spans="1:6" ht="18.95" customHeight="1">
      <c r="A39" s="382" t="s">
        <v>430</v>
      </c>
      <c r="B39" s="383" t="s">
        <v>366</v>
      </c>
      <c r="C39" s="531" t="str">
        <f>'Performance Data Sheet'!C10</f>
        <v>2400576.1</v>
      </c>
      <c r="D39" s="374"/>
      <c r="E39" s="379" t="s">
        <v>431</v>
      </c>
      <c r="F39" s="384" t="str">
        <f>F10</f>
        <v>CS6M20U</v>
      </c>
    </row>
    <row r="40" spans="1:6" ht="18.95" customHeight="1">
      <c r="A40" s="373"/>
      <c r="B40" s="383"/>
      <c r="C40" s="383"/>
      <c r="D40" s="374"/>
      <c r="E40" s="374"/>
      <c r="F40" s="375"/>
    </row>
    <row r="41" spans="1:6" ht="18.95" customHeight="1">
      <c r="A41" s="373"/>
      <c r="B41" s="383"/>
      <c r="C41" s="383"/>
      <c r="D41" s="374"/>
      <c r="E41" s="374"/>
      <c r="F41" s="375"/>
    </row>
    <row r="42" spans="1:6" ht="18.95" customHeight="1">
      <c r="A42" s="373"/>
      <c r="B42" s="374"/>
      <c r="C42" s="374"/>
      <c r="D42" s="374"/>
      <c r="E42" s="374"/>
      <c r="F42" s="375"/>
    </row>
    <row r="43" spans="1:6" ht="18.95" customHeight="1">
      <c r="A43" s="385"/>
      <c r="B43" s="383"/>
      <c r="C43" s="386" t="s">
        <v>432</v>
      </c>
      <c r="D43" s="387" t="str">
        <f>'Performance Data Sheet'!K42</f>
        <v>Jerry R</v>
      </c>
      <c r="E43" s="386" t="s">
        <v>433</v>
      </c>
      <c r="F43" s="387" t="s">
        <v>610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514" t="s">
        <v>255</v>
      </c>
      <c r="B53" s="514" t="s">
        <v>142</v>
      </c>
      <c r="C53" s="514" t="s">
        <v>120</v>
      </c>
      <c r="D53" s="514" t="s">
        <v>135</v>
      </c>
      <c r="E53" s="514" t="s">
        <v>5</v>
      </c>
      <c r="F53" s="515" t="s">
        <v>729</v>
      </c>
    </row>
    <row r="54" spans="1:6" ht="15" customHeight="1">
      <c r="A54" s="516">
        <v>0</v>
      </c>
      <c r="B54" s="517"/>
      <c r="C54" s="518"/>
      <c r="D54" s="518">
        <v>47.549498340054704</v>
      </c>
      <c r="E54" s="518">
        <v>100</v>
      </c>
      <c r="F54" s="519">
        <v>0.42588999999999999</v>
      </c>
    </row>
    <row r="55" spans="1:6" ht="15" customHeight="1">
      <c r="A55" s="520">
        <v>25</v>
      </c>
      <c r="B55" s="521">
        <v>88.697624206542969</v>
      </c>
      <c r="C55" s="522">
        <v>69.767539978027344</v>
      </c>
      <c r="D55" s="522">
        <v>75.583359524158709</v>
      </c>
      <c r="E55" s="522">
        <v>81.736062823683056</v>
      </c>
      <c r="F55" s="523">
        <v>10.546221087613571</v>
      </c>
    </row>
    <row r="56" spans="1:6" ht="15" customHeight="1">
      <c r="A56" s="520">
        <v>50</v>
      </c>
      <c r="B56" s="521">
        <v>93.944129943847656</v>
      </c>
      <c r="C56" s="522">
        <v>83.927726745605469</v>
      </c>
      <c r="D56" s="522">
        <v>118.64419851206905</v>
      </c>
      <c r="E56" s="522">
        <v>73.124158019810224</v>
      </c>
      <c r="F56" s="523">
        <v>19.914491159096585</v>
      </c>
    </row>
    <row r="57" spans="1:6">
      <c r="A57" s="520">
        <v>75</v>
      </c>
      <c r="B57" s="521">
        <v>95.63153076171875</v>
      </c>
      <c r="C57" s="522">
        <v>87.501419067382813</v>
      </c>
      <c r="D57" s="522">
        <v>167.68593955062244</v>
      </c>
      <c r="E57" s="522">
        <v>64.384164104005734</v>
      </c>
      <c r="F57" s="523">
        <v>29.344654840007532</v>
      </c>
    </row>
    <row r="58" spans="1:6">
      <c r="A58" s="520">
        <v>100</v>
      </c>
      <c r="B58" s="521">
        <v>96.338890075683594</v>
      </c>
      <c r="C58" s="522">
        <v>88.279586791992188</v>
      </c>
      <c r="D58" s="522">
        <v>219.98328383973671</v>
      </c>
      <c r="E58" s="522">
        <v>55.071094249664299</v>
      </c>
      <c r="F58" s="523">
        <v>38.838925446744263</v>
      </c>
    </row>
    <row r="59" spans="1:6" ht="13.5" thickBot="1">
      <c r="A59" s="524">
        <v>125</v>
      </c>
      <c r="B59" s="525">
        <v>96.621429443359375</v>
      </c>
      <c r="C59" s="526">
        <v>87.836372375488281</v>
      </c>
      <c r="D59" s="526">
        <v>275.55845816666107</v>
      </c>
      <c r="E59" s="526">
        <v>45.666170996061204</v>
      </c>
      <c r="F59" s="527">
        <v>48.406690483373183</v>
      </c>
    </row>
    <row r="60" spans="1:6">
      <c r="A60" s="528"/>
      <c r="B60" s="529"/>
      <c r="C60" s="529"/>
    </row>
    <row r="61" spans="1:6">
      <c r="A61" s="528"/>
      <c r="B61" s="529"/>
      <c r="C61" s="529"/>
    </row>
    <row r="62" spans="1:6">
      <c r="A62" s="528"/>
      <c r="B62" s="529"/>
      <c r="C62" s="529"/>
    </row>
    <row r="63" spans="1:6">
      <c r="A63" s="528"/>
      <c r="B63" s="529"/>
      <c r="C63" s="529"/>
    </row>
    <row r="64" spans="1:6">
      <c r="A64" s="528"/>
      <c r="B64" s="529"/>
      <c r="C64" s="529"/>
    </row>
    <row r="65" spans="1:3">
      <c r="A65" s="528"/>
      <c r="B65" s="529"/>
      <c r="C65" s="529"/>
    </row>
    <row r="66" spans="1:3">
      <c r="A66" s="528"/>
      <c r="B66" s="529"/>
      <c r="C66" s="529"/>
    </row>
    <row r="67" spans="1:3">
      <c r="A67" s="530"/>
      <c r="B67" s="529"/>
      <c r="C67" s="529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1"/>
  <sheetViews>
    <sheetView workbookViewId="0"/>
  </sheetViews>
  <sheetFormatPr defaultColWidth="9.140625" defaultRowHeight="12.75"/>
  <cols>
    <col min="1" max="1" width="19.7109375" style="348" customWidth="1"/>
    <col min="2" max="7" width="10.7109375" style="348" customWidth="1"/>
    <col min="8" max="16384" width="9.140625" style="348"/>
  </cols>
  <sheetData>
    <row r="1" spans="1:12" ht="21" customHeight="1">
      <c r="A1" s="390" t="s">
        <v>435</v>
      </c>
      <c r="B1" s="641" t="s">
        <v>474</v>
      </c>
      <c r="C1" s="641"/>
      <c r="D1" s="641"/>
      <c r="E1" s="641"/>
      <c r="F1" s="641"/>
      <c r="G1" s="641"/>
    </row>
    <row r="2" spans="1:12" ht="15" customHeight="1"/>
    <row r="3" spans="1:12" ht="20.25">
      <c r="A3" s="391" t="s">
        <v>436</v>
      </c>
    </row>
    <row r="4" spans="1:12" ht="12" customHeight="1">
      <c r="A4" s="349"/>
      <c r="B4" s="349"/>
      <c r="C4" s="349"/>
      <c r="D4" s="349" t="s">
        <v>488</v>
      </c>
      <c r="E4" s="349"/>
      <c r="F4" s="349"/>
      <c r="G4" s="349"/>
      <c r="H4" s="349"/>
      <c r="I4" s="349"/>
      <c r="J4" s="349"/>
      <c r="K4" s="349"/>
      <c r="L4" s="349"/>
    </row>
    <row r="5" spans="1:12" ht="15.6" customHeight="1">
      <c r="A5" s="392" t="s">
        <v>5</v>
      </c>
      <c r="B5" s="392" t="s">
        <v>437</v>
      </c>
      <c r="C5" s="392" t="s">
        <v>438</v>
      </c>
      <c r="D5" s="392" t="s">
        <v>439</v>
      </c>
      <c r="E5" s="392" t="s">
        <v>440</v>
      </c>
      <c r="F5" s="392" t="s">
        <v>441</v>
      </c>
      <c r="G5" s="392" t="s">
        <v>442</v>
      </c>
      <c r="H5" s="349"/>
      <c r="I5" s="349"/>
      <c r="J5" s="349"/>
      <c r="K5" s="349"/>
      <c r="L5" s="349"/>
    </row>
    <row r="6" spans="1:12" ht="15.6" customHeight="1">
      <c r="A6" s="393" t="s">
        <v>443</v>
      </c>
      <c r="B6" s="393" t="s">
        <v>165</v>
      </c>
      <c r="C6" s="393" t="s">
        <v>165</v>
      </c>
      <c r="D6" s="393" t="s">
        <v>444</v>
      </c>
      <c r="E6" s="393" t="s">
        <v>135</v>
      </c>
      <c r="F6" s="393" t="s">
        <v>445</v>
      </c>
      <c r="G6" s="393" t="s">
        <v>445</v>
      </c>
      <c r="H6" s="349"/>
      <c r="I6" s="349"/>
      <c r="J6" s="349"/>
      <c r="K6" s="349"/>
      <c r="L6" s="349"/>
    </row>
    <row r="7" spans="1:12" ht="15.95" customHeight="1">
      <c r="A7" s="394" t="s">
        <v>475</v>
      </c>
      <c r="B7" s="394" t="s">
        <v>489</v>
      </c>
      <c r="C7" s="394" t="s">
        <v>502</v>
      </c>
      <c r="D7" s="394" t="s">
        <v>515</v>
      </c>
      <c r="E7" s="394" t="s">
        <v>528</v>
      </c>
      <c r="F7" s="394" t="s">
        <v>541</v>
      </c>
      <c r="G7" s="394" t="s">
        <v>554</v>
      </c>
      <c r="H7" s="349"/>
      <c r="I7" s="349"/>
      <c r="J7" s="349"/>
      <c r="K7" s="349"/>
      <c r="L7" s="349"/>
    </row>
    <row r="8" spans="1:12" ht="15.95" customHeight="1">
      <c r="A8" s="394" t="s">
        <v>476</v>
      </c>
      <c r="B8" s="394" t="s">
        <v>490</v>
      </c>
      <c r="C8" s="394" t="s">
        <v>503</v>
      </c>
      <c r="D8" s="394" t="s">
        <v>516</v>
      </c>
      <c r="E8" s="394" t="s">
        <v>529</v>
      </c>
      <c r="F8" s="394" t="s">
        <v>542</v>
      </c>
      <c r="G8" s="394" t="s">
        <v>555</v>
      </c>
      <c r="H8" s="349"/>
      <c r="I8" s="349"/>
      <c r="J8" s="349"/>
      <c r="K8" s="349"/>
      <c r="L8" s="349"/>
    </row>
    <row r="9" spans="1:12" ht="15.95" customHeight="1">
      <c r="A9" s="394" t="s">
        <v>477</v>
      </c>
      <c r="B9" s="394" t="s">
        <v>491</v>
      </c>
      <c r="C9" s="394" t="s">
        <v>504</v>
      </c>
      <c r="D9" s="394" t="s">
        <v>517</v>
      </c>
      <c r="E9" s="394" t="s">
        <v>530</v>
      </c>
      <c r="F9" s="394" t="s">
        <v>543</v>
      </c>
      <c r="G9" s="394" t="s">
        <v>556</v>
      </c>
      <c r="H9" s="349"/>
      <c r="I9" s="349"/>
      <c r="J9" s="349"/>
      <c r="K9" s="349"/>
      <c r="L9" s="349"/>
    </row>
    <row r="10" spans="1:12" ht="15.95" customHeight="1">
      <c r="A10" s="394" t="s">
        <v>478</v>
      </c>
      <c r="B10" s="394" t="s">
        <v>492</v>
      </c>
      <c r="C10" s="394" t="s">
        <v>505</v>
      </c>
      <c r="D10" s="394" t="s">
        <v>518</v>
      </c>
      <c r="E10" s="394" t="s">
        <v>531</v>
      </c>
      <c r="F10" s="394" t="s">
        <v>544</v>
      </c>
      <c r="G10" s="394" t="s">
        <v>557</v>
      </c>
      <c r="H10" s="349"/>
      <c r="I10" s="349"/>
      <c r="J10" s="349"/>
      <c r="K10" s="349"/>
      <c r="L10" s="349"/>
    </row>
    <row r="11" spans="1:12" ht="15.95" customHeight="1">
      <c r="A11" s="394" t="s">
        <v>479</v>
      </c>
      <c r="B11" s="394" t="s">
        <v>493</v>
      </c>
      <c r="C11" s="394" t="s">
        <v>506</v>
      </c>
      <c r="D11" s="394" t="s">
        <v>519</v>
      </c>
      <c r="E11" s="394" t="s">
        <v>532</v>
      </c>
      <c r="F11" s="394" t="s">
        <v>545</v>
      </c>
      <c r="G11" s="394" t="s">
        <v>558</v>
      </c>
      <c r="H11" s="349"/>
      <c r="I11" s="349"/>
      <c r="J11" s="349"/>
      <c r="K11" s="349"/>
      <c r="L11" s="349"/>
    </row>
    <row r="12" spans="1:12" ht="15.95" customHeight="1">
      <c r="A12" s="394" t="s">
        <v>480</v>
      </c>
      <c r="B12" s="394" t="s">
        <v>494</v>
      </c>
      <c r="C12" s="394" t="s">
        <v>507</v>
      </c>
      <c r="D12" s="394" t="s">
        <v>520</v>
      </c>
      <c r="E12" s="394" t="s">
        <v>533</v>
      </c>
      <c r="F12" s="394" t="s">
        <v>546</v>
      </c>
      <c r="G12" s="394" t="s">
        <v>559</v>
      </c>
      <c r="H12" s="349"/>
      <c r="I12" s="349"/>
      <c r="J12" s="349"/>
      <c r="K12" s="349"/>
      <c r="L12" s="349"/>
    </row>
    <row r="13" spans="1:12" ht="15.95" customHeight="1">
      <c r="A13" s="394" t="s">
        <v>481</v>
      </c>
      <c r="B13" s="394" t="s">
        <v>495</v>
      </c>
      <c r="C13" s="394" t="s">
        <v>508</v>
      </c>
      <c r="D13" s="394" t="s">
        <v>521</v>
      </c>
      <c r="E13" s="394" t="s">
        <v>534</v>
      </c>
      <c r="F13" s="394" t="s">
        <v>547</v>
      </c>
      <c r="G13" s="394" t="s">
        <v>560</v>
      </c>
      <c r="H13" s="349"/>
      <c r="I13" s="349"/>
      <c r="J13" s="349"/>
      <c r="K13" s="349"/>
      <c r="L13" s="349"/>
    </row>
    <row r="14" spans="1:12" ht="15.95" customHeight="1">
      <c r="A14" s="394" t="s">
        <v>482</v>
      </c>
      <c r="B14" s="394" t="s">
        <v>496</v>
      </c>
      <c r="C14" s="394" t="s">
        <v>509</v>
      </c>
      <c r="D14" s="394" t="s">
        <v>522</v>
      </c>
      <c r="E14" s="394" t="s">
        <v>535</v>
      </c>
      <c r="F14" s="394" t="s">
        <v>548</v>
      </c>
      <c r="G14" s="394" t="s">
        <v>561</v>
      </c>
      <c r="H14" s="349"/>
      <c r="I14" s="349"/>
      <c r="J14" s="349"/>
      <c r="K14" s="349"/>
      <c r="L14" s="349"/>
    </row>
    <row r="15" spans="1:12" ht="15.95" customHeight="1">
      <c r="A15" s="394" t="s">
        <v>483</v>
      </c>
      <c r="B15" s="394" t="s">
        <v>497</v>
      </c>
      <c r="C15" s="394" t="s">
        <v>510</v>
      </c>
      <c r="D15" s="394" t="s">
        <v>523</v>
      </c>
      <c r="E15" s="394" t="s">
        <v>536</v>
      </c>
      <c r="F15" s="394" t="s">
        <v>549</v>
      </c>
      <c r="G15" s="394" t="s">
        <v>562</v>
      </c>
      <c r="H15" s="349"/>
      <c r="I15" s="349"/>
      <c r="J15" s="349"/>
      <c r="K15" s="349"/>
      <c r="L15" s="349"/>
    </row>
    <row r="16" spans="1:12" ht="15.95" customHeight="1">
      <c r="A16" s="394" t="s">
        <v>484</v>
      </c>
      <c r="B16" s="394" t="s">
        <v>498</v>
      </c>
      <c r="C16" s="394" t="s">
        <v>511</v>
      </c>
      <c r="D16" s="394" t="s">
        <v>524</v>
      </c>
      <c r="E16" s="394" t="s">
        <v>537</v>
      </c>
      <c r="F16" s="394" t="s">
        <v>550</v>
      </c>
      <c r="G16" s="394" t="s">
        <v>563</v>
      </c>
      <c r="H16" s="349"/>
      <c r="I16" s="349"/>
      <c r="J16" s="349"/>
      <c r="K16" s="349"/>
      <c r="L16" s="349"/>
    </row>
    <row r="17" spans="1:12" ht="15.95" customHeight="1">
      <c r="A17" s="394" t="s">
        <v>485</v>
      </c>
      <c r="B17" s="394" t="s">
        <v>499</v>
      </c>
      <c r="C17" s="394" t="s">
        <v>512</v>
      </c>
      <c r="D17" s="394" t="s">
        <v>525</v>
      </c>
      <c r="E17" s="394" t="s">
        <v>538</v>
      </c>
      <c r="F17" s="394" t="s">
        <v>551</v>
      </c>
      <c r="G17" s="394" t="s">
        <v>564</v>
      </c>
      <c r="H17" s="349"/>
      <c r="I17" s="349"/>
      <c r="J17" s="349"/>
      <c r="K17" s="349"/>
      <c r="L17" s="349"/>
    </row>
    <row r="18" spans="1:12" ht="15.95" customHeight="1">
      <c r="A18" s="394" t="s">
        <v>486</v>
      </c>
      <c r="B18" s="394" t="s">
        <v>500</v>
      </c>
      <c r="C18" s="394" t="s">
        <v>513</v>
      </c>
      <c r="D18" s="394" t="s">
        <v>526</v>
      </c>
      <c r="E18" s="394" t="s">
        <v>539</v>
      </c>
      <c r="F18" s="394" t="s">
        <v>552</v>
      </c>
      <c r="G18" s="394" t="s">
        <v>565</v>
      </c>
      <c r="H18" s="349"/>
      <c r="I18" s="349"/>
      <c r="J18" s="349"/>
      <c r="K18" s="349"/>
      <c r="L18" s="349"/>
    </row>
    <row r="19" spans="1:12" ht="15.95" customHeight="1">
      <c r="A19" s="394" t="s">
        <v>487</v>
      </c>
      <c r="B19" s="394" t="s">
        <v>501</v>
      </c>
      <c r="C19" s="394" t="s">
        <v>514</v>
      </c>
      <c r="D19" s="394" t="s">
        <v>527</v>
      </c>
      <c r="E19" s="394" t="s">
        <v>540</v>
      </c>
      <c r="F19" s="394" t="s">
        <v>553</v>
      </c>
      <c r="G19" s="394" t="s">
        <v>566</v>
      </c>
      <c r="H19" s="349"/>
      <c r="I19" s="349"/>
      <c r="J19" s="349"/>
      <c r="K19" s="349"/>
      <c r="L19" s="349"/>
    </row>
    <row r="20" spans="1:12" ht="15.75">
      <c r="A20" s="349"/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</row>
    <row r="21" spans="1:12" ht="15.75">
      <c r="A21" s="349"/>
      <c r="B21" s="349"/>
      <c r="C21" s="349"/>
      <c r="D21" s="681" t="s">
        <v>576</v>
      </c>
      <c r="E21" s="682"/>
      <c r="F21" s="682"/>
      <c r="G21" s="683"/>
      <c r="H21" s="349"/>
      <c r="I21" s="349"/>
      <c r="J21" s="349"/>
      <c r="K21" s="349"/>
      <c r="L21" s="349"/>
    </row>
    <row r="22" spans="1:12" ht="17.25" customHeight="1">
      <c r="A22" s="349"/>
      <c r="B22" s="684" t="s">
        <v>446</v>
      </c>
      <c r="C22" s="684"/>
      <c r="D22" s="684" t="s">
        <v>447</v>
      </c>
      <c r="E22" s="684"/>
      <c r="F22" s="684" t="s">
        <v>448</v>
      </c>
      <c r="G22" s="684"/>
      <c r="H22" s="349"/>
      <c r="I22" s="349"/>
      <c r="J22" s="349"/>
      <c r="K22" s="349"/>
      <c r="L22" s="349"/>
    </row>
    <row r="23" spans="1:12" ht="15.75">
      <c r="A23" s="395" t="s">
        <v>449</v>
      </c>
      <c r="B23" s="680" t="s">
        <v>567</v>
      </c>
      <c r="C23" s="680"/>
      <c r="D23" s="680" t="s">
        <v>570</v>
      </c>
      <c r="E23" s="680"/>
      <c r="F23" s="680" t="s">
        <v>573</v>
      </c>
      <c r="G23" s="680"/>
      <c r="H23" s="349"/>
      <c r="I23" s="349"/>
      <c r="J23" s="349"/>
      <c r="K23" s="349"/>
      <c r="L23" s="349"/>
    </row>
    <row r="24" spans="1:12" ht="18" customHeight="1">
      <c r="A24" s="395" t="s">
        <v>450</v>
      </c>
      <c r="B24" s="680" t="s">
        <v>568</v>
      </c>
      <c r="C24" s="680"/>
      <c r="D24" s="680" t="s">
        <v>571</v>
      </c>
      <c r="E24" s="680"/>
      <c r="F24" s="680" t="s">
        <v>574</v>
      </c>
      <c r="G24" s="680"/>
      <c r="H24" s="349"/>
      <c r="I24" s="349"/>
      <c r="J24" s="349"/>
      <c r="K24" s="349"/>
      <c r="L24" s="349"/>
    </row>
    <row r="25" spans="1:12" ht="15.75">
      <c r="A25" s="395" t="s">
        <v>451</v>
      </c>
      <c r="B25" s="680" t="s">
        <v>569</v>
      </c>
      <c r="C25" s="680"/>
      <c r="D25" s="680" t="s">
        <v>572</v>
      </c>
      <c r="E25" s="680"/>
      <c r="F25" s="680" t="s">
        <v>575</v>
      </c>
      <c r="G25" s="680"/>
      <c r="H25" s="349"/>
      <c r="I25" s="349"/>
      <c r="J25" s="349"/>
      <c r="K25" s="349"/>
      <c r="L25" s="349"/>
    </row>
    <row r="26" spans="1:12" ht="15.75">
      <c r="A26" s="34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</row>
    <row r="27" spans="1:12" ht="20.25">
      <c r="A27" s="391" t="s">
        <v>452</v>
      </c>
      <c r="B27" s="349"/>
      <c r="C27" s="349"/>
      <c r="D27" s="349"/>
      <c r="E27" s="349"/>
      <c r="F27" s="349"/>
      <c r="G27" s="349"/>
      <c r="H27" s="349"/>
      <c r="I27" s="349"/>
      <c r="J27" s="349"/>
      <c r="K27" s="349"/>
      <c r="L27" s="349"/>
    </row>
    <row r="28" spans="1:12" ht="15.75">
      <c r="A28" s="349"/>
      <c r="B28" s="349"/>
      <c r="C28" s="349"/>
      <c r="D28" s="349"/>
      <c r="E28" s="685" t="s">
        <v>453</v>
      </c>
      <c r="F28" s="682"/>
      <c r="G28" s="683"/>
      <c r="H28" s="349"/>
      <c r="I28" s="349"/>
      <c r="J28" s="349"/>
      <c r="K28" s="349"/>
      <c r="L28" s="349"/>
    </row>
    <row r="29" spans="1:12" ht="15.75">
      <c r="A29" s="349"/>
      <c r="B29" s="684" t="s">
        <v>454</v>
      </c>
      <c r="C29" s="684"/>
      <c r="D29" s="396" t="s">
        <v>455</v>
      </c>
      <c r="E29" s="396" t="s">
        <v>456</v>
      </c>
      <c r="F29" s="684" t="s">
        <v>457</v>
      </c>
      <c r="G29" s="684"/>
      <c r="H29" s="349"/>
      <c r="I29" s="349"/>
      <c r="J29" s="349"/>
      <c r="K29" s="349"/>
      <c r="L29" s="349"/>
    </row>
    <row r="30" spans="1:12" ht="15.75">
      <c r="A30" s="395" t="s">
        <v>458</v>
      </c>
      <c r="B30" s="680" t="s">
        <v>577</v>
      </c>
      <c r="C30" s="680"/>
      <c r="D30" s="394" t="s">
        <v>580</v>
      </c>
      <c r="E30" s="394" t="s">
        <v>459</v>
      </c>
      <c r="F30" s="680" t="s">
        <v>583</v>
      </c>
      <c r="G30" s="680"/>
      <c r="H30" s="349"/>
      <c r="I30" s="349"/>
      <c r="J30" s="349"/>
      <c r="K30" s="349"/>
      <c r="L30" s="349"/>
    </row>
    <row r="31" spans="1:12" ht="15.75">
      <c r="A31" s="395" t="s">
        <v>460</v>
      </c>
      <c r="B31" s="680" t="s">
        <v>578</v>
      </c>
      <c r="C31" s="680"/>
      <c r="D31" s="394" t="s">
        <v>581</v>
      </c>
      <c r="E31" s="394" t="s">
        <v>461</v>
      </c>
      <c r="F31" s="680" t="s">
        <v>584</v>
      </c>
      <c r="G31" s="680"/>
      <c r="H31" s="349"/>
      <c r="I31" s="349"/>
      <c r="J31" s="349"/>
      <c r="K31" s="349"/>
      <c r="L31" s="349"/>
    </row>
    <row r="32" spans="1:12" ht="15.75">
      <c r="A32" s="395" t="s">
        <v>462</v>
      </c>
      <c r="B32" s="680" t="s">
        <v>579</v>
      </c>
      <c r="C32" s="680"/>
      <c r="D32" s="394" t="s">
        <v>582</v>
      </c>
      <c r="E32" s="394" t="s">
        <v>463</v>
      </c>
      <c r="F32" s="680" t="s">
        <v>585</v>
      </c>
      <c r="G32" s="680"/>
      <c r="H32" s="349"/>
      <c r="I32" s="349"/>
      <c r="J32" s="349"/>
      <c r="K32" s="349"/>
      <c r="L32" s="349"/>
    </row>
    <row r="33" spans="1:12" ht="15.75">
      <c r="A33" s="349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</row>
    <row r="34" spans="1:12" ht="15.75">
      <c r="A34" s="349"/>
      <c r="B34" s="349"/>
      <c r="C34" s="349"/>
      <c r="D34" s="349"/>
      <c r="E34" s="685" t="s">
        <v>464</v>
      </c>
      <c r="F34" s="682"/>
      <c r="G34" s="683"/>
      <c r="H34" s="349"/>
      <c r="I34" s="349"/>
      <c r="J34" s="349"/>
      <c r="K34" s="349"/>
      <c r="L34" s="349"/>
    </row>
    <row r="35" spans="1:12" ht="15.75">
      <c r="A35" s="349"/>
      <c r="B35" s="684" t="s">
        <v>465</v>
      </c>
      <c r="C35" s="684"/>
      <c r="D35" s="396" t="s">
        <v>456</v>
      </c>
      <c r="E35" s="396" t="s">
        <v>466</v>
      </c>
      <c r="F35" s="396" t="s">
        <v>100</v>
      </c>
      <c r="G35" s="396" t="s">
        <v>467</v>
      </c>
      <c r="H35" s="349"/>
      <c r="I35" s="349"/>
      <c r="J35" s="349"/>
      <c r="K35" s="349"/>
      <c r="L35" s="349"/>
    </row>
    <row r="36" spans="1:12" ht="15.75">
      <c r="A36" s="395" t="s">
        <v>458</v>
      </c>
      <c r="B36" s="686" t="s">
        <v>586</v>
      </c>
      <c r="C36" s="687"/>
      <c r="D36" s="397" t="s">
        <v>588</v>
      </c>
      <c r="E36" s="397" t="s">
        <v>468</v>
      </c>
      <c r="F36" s="398" t="s">
        <v>469</v>
      </c>
      <c r="G36" s="394" t="s">
        <v>591</v>
      </c>
      <c r="H36" s="349"/>
      <c r="I36" s="349"/>
      <c r="J36" s="349"/>
      <c r="K36" s="349"/>
      <c r="L36" s="349"/>
    </row>
    <row r="37" spans="1:12" ht="15.75">
      <c r="A37" s="395" t="s">
        <v>460</v>
      </c>
      <c r="B37" s="686" t="s">
        <v>587</v>
      </c>
      <c r="C37" s="687"/>
      <c r="D37" s="397" t="s">
        <v>589</v>
      </c>
      <c r="E37" s="397" t="s">
        <v>468</v>
      </c>
      <c r="F37" s="398" t="s">
        <v>470</v>
      </c>
      <c r="G37" s="399" t="s">
        <v>592</v>
      </c>
      <c r="H37" s="349"/>
      <c r="I37" s="349"/>
      <c r="J37" s="349"/>
      <c r="K37" s="349"/>
      <c r="L37" s="349"/>
    </row>
    <row r="38" spans="1:12" ht="15.75">
      <c r="A38" s="395" t="s">
        <v>462</v>
      </c>
      <c r="B38" s="686" t="s">
        <v>587</v>
      </c>
      <c r="C38" s="687"/>
      <c r="D38" s="397" t="s">
        <v>590</v>
      </c>
      <c r="E38" s="397" t="s">
        <v>468</v>
      </c>
      <c r="F38" s="398" t="s">
        <v>471</v>
      </c>
      <c r="G38" s="394" t="s">
        <v>593</v>
      </c>
      <c r="H38" s="349"/>
      <c r="I38" s="349"/>
      <c r="J38" s="349"/>
      <c r="K38" s="349"/>
      <c r="L38" s="349"/>
    </row>
    <row r="39" spans="1:12" ht="15.75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</row>
    <row r="40" spans="1:12" ht="15.75">
      <c r="A40" s="400" t="s">
        <v>472</v>
      </c>
      <c r="B40" s="688" t="s">
        <v>594</v>
      </c>
      <c r="C40" s="688"/>
      <c r="D40" s="689" t="s">
        <v>473</v>
      </c>
      <c r="E40" s="689"/>
      <c r="F40" s="688" t="s">
        <v>595</v>
      </c>
      <c r="G40" s="688"/>
      <c r="H40" s="349"/>
      <c r="I40" s="349"/>
      <c r="J40" s="349"/>
      <c r="K40" s="349"/>
      <c r="L40" s="349"/>
    </row>
    <row r="41" spans="1:12" ht="15.75">
      <c r="A41" s="349"/>
      <c r="B41" s="349"/>
      <c r="C41" s="349"/>
      <c r="D41" s="349"/>
      <c r="E41" s="349"/>
      <c r="F41" s="349"/>
      <c r="G41" s="349"/>
      <c r="H41" s="349"/>
      <c r="I41" s="349"/>
      <c r="J41" s="349"/>
      <c r="K41" s="349"/>
      <c r="L41" s="349"/>
    </row>
    <row r="42" spans="1:12" ht="15.75">
      <c r="A42" s="349"/>
      <c r="B42" s="349"/>
      <c r="C42" s="349"/>
      <c r="D42" s="349"/>
      <c r="E42" s="349"/>
      <c r="F42" s="349"/>
      <c r="G42" s="349"/>
      <c r="H42" s="349"/>
      <c r="I42" s="349"/>
      <c r="J42" s="349"/>
      <c r="K42" s="349"/>
      <c r="L42" s="349"/>
    </row>
    <row r="43" spans="1:12" ht="15.75">
      <c r="A43" s="349"/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</row>
    <row r="44" spans="1:12" ht="15.75">
      <c r="A44" s="349"/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</row>
    <row r="45" spans="1:12" ht="15.75">
      <c r="A45" s="349"/>
      <c r="B45" s="349"/>
      <c r="C45" s="349"/>
      <c r="D45" s="349"/>
      <c r="E45" s="349"/>
      <c r="F45" s="349"/>
      <c r="G45" s="349"/>
      <c r="H45" s="349"/>
      <c r="I45" s="349"/>
      <c r="J45" s="349"/>
      <c r="K45" s="349"/>
      <c r="L45" s="349"/>
    </row>
    <row r="46" spans="1:12" ht="15.75">
      <c r="A46" s="349"/>
      <c r="B46" s="349"/>
      <c r="C46" s="349"/>
      <c r="D46" s="349"/>
      <c r="E46" s="349"/>
      <c r="F46" s="349"/>
      <c r="G46" s="349"/>
      <c r="H46" s="349"/>
      <c r="I46" s="349"/>
      <c r="J46" s="349"/>
      <c r="K46" s="349"/>
      <c r="L46" s="349"/>
    </row>
    <row r="47" spans="1:12" ht="15.75">
      <c r="A47" s="349"/>
      <c r="B47" s="349"/>
      <c r="C47" s="349"/>
      <c r="D47" s="349"/>
      <c r="E47" s="349"/>
      <c r="F47" s="349"/>
      <c r="G47" s="349"/>
      <c r="H47" s="349"/>
      <c r="I47" s="349"/>
      <c r="J47" s="349"/>
      <c r="K47" s="349"/>
      <c r="L47" s="349"/>
    </row>
    <row r="48" spans="1:12" ht="15.75">
      <c r="A48" s="349"/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9"/>
    </row>
    <row r="49" spans="1:12" ht="15.75">
      <c r="A49" s="349"/>
      <c r="B49" s="349"/>
      <c r="C49" s="349"/>
      <c r="D49" s="349"/>
      <c r="E49" s="349"/>
      <c r="F49" s="349"/>
      <c r="G49" s="349"/>
      <c r="H49" s="349"/>
      <c r="I49" s="349"/>
      <c r="J49" s="349"/>
      <c r="K49" s="349"/>
      <c r="L49" s="349"/>
    </row>
    <row r="50" spans="1:12" ht="15.75">
      <c r="A50" s="349"/>
      <c r="B50" s="349"/>
      <c r="C50" s="349"/>
      <c r="D50" s="349"/>
      <c r="E50" s="349"/>
      <c r="F50" s="349"/>
      <c r="G50" s="349"/>
      <c r="H50" s="349"/>
      <c r="I50" s="349"/>
      <c r="J50" s="349"/>
      <c r="K50" s="349"/>
      <c r="L50" s="349"/>
    </row>
    <row r="51" spans="1:12" ht="15.75">
      <c r="A51" s="349"/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</row>
    <row r="52" spans="1:12" ht="15.75">
      <c r="A52" s="349"/>
      <c r="B52" s="349"/>
      <c r="C52" s="349"/>
      <c r="D52" s="349"/>
      <c r="E52" s="349"/>
      <c r="F52" s="349"/>
      <c r="G52" s="349"/>
      <c r="H52" s="349"/>
      <c r="I52" s="349"/>
      <c r="J52" s="349"/>
      <c r="K52" s="349"/>
      <c r="L52" s="349"/>
    </row>
    <row r="53" spans="1:12" ht="15.75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</row>
    <row r="54" spans="1:12" ht="15.75">
      <c r="A54" s="349"/>
      <c r="B54" s="349"/>
      <c r="C54" s="349"/>
      <c r="D54" s="349"/>
      <c r="E54" s="349"/>
      <c r="F54" s="349"/>
      <c r="G54" s="349"/>
      <c r="H54" s="349"/>
      <c r="I54" s="349"/>
      <c r="J54" s="349"/>
      <c r="K54" s="349"/>
      <c r="L54" s="349"/>
    </row>
    <row r="55" spans="1:12" ht="15.75">
      <c r="A55" s="349"/>
      <c r="B55" s="349"/>
      <c r="C55" s="349"/>
      <c r="D55" s="349"/>
      <c r="E55" s="349"/>
      <c r="F55" s="349"/>
      <c r="G55" s="349"/>
      <c r="H55" s="349"/>
      <c r="I55" s="349"/>
      <c r="J55" s="349"/>
      <c r="K55" s="349"/>
      <c r="L55" s="349"/>
    </row>
    <row r="56" spans="1:12" ht="15.75">
      <c r="A56" s="349"/>
      <c r="B56" s="349"/>
      <c r="C56" s="349"/>
      <c r="D56" s="349"/>
      <c r="E56" s="349"/>
      <c r="F56" s="349"/>
      <c r="G56" s="349"/>
      <c r="H56" s="349"/>
      <c r="I56" s="349"/>
      <c r="J56" s="349"/>
      <c r="K56" s="349"/>
      <c r="L56" s="349"/>
    </row>
    <row r="57" spans="1:12" ht="15.75">
      <c r="A57" s="349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</row>
    <row r="58" spans="1:12" ht="15.75">
      <c r="A58" s="349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</row>
    <row r="59" spans="1:12" ht="15.75">
      <c r="A59" s="349"/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</row>
    <row r="60" spans="1:12" ht="15.75">
      <c r="A60" s="349"/>
      <c r="B60" s="349"/>
      <c r="C60" s="349"/>
      <c r="D60" s="349"/>
      <c r="E60" s="349"/>
      <c r="F60" s="349"/>
      <c r="G60" s="349"/>
      <c r="H60" s="349"/>
      <c r="I60" s="349"/>
      <c r="J60" s="349"/>
      <c r="K60" s="349"/>
      <c r="L60" s="349"/>
    </row>
    <row r="61" spans="1:12" ht="15.75">
      <c r="A61" s="349"/>
      <c r="B61" s="349"/>
      <c r="C61" s="349"/>
      <c r="D61" s="349"/>
      <c r="E61" s="349"/>
      <c r="F61" s="349"/>
      <c r="G61" s="349"/>
      <c r="H61" s="349"/>
      <c r="I61" s="349"/>
      <c r="J61" s="349"/>
      <c r="K61" s="349"/>
      <c r="L61" s="349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11</vt:i4>
      </vt:variant>
    </vt:vector>
  </HeadingPairs>
  <TitlesOfParts>
    <vt:vector size="21" baseType="lpstr">
      <vt:lpstr>DesignSheet</vt:lpstr>
      <vt:lpstr>Data Sheet</vt:lpstr>
      <vt:lpstr>LoginSheet</vt:lpstr>
      <vt:lpstr>Form</vt:lpstr>
      <vt:lpstr>Performance Data Sheet</vt:lpstr>
      <vt:lpstr>STCurve</vt:lpstr>
      <vt:lpstr>Thermdam</vt:lpstr>
      <vt:lpstr>Performance 4000V</vt:lpstr>
      <vt:lpstr>Performance 2300V</vt:lpstr>
      <vt:lpstr>StallTime</vt:lpstr>
      <vt:lpstr>'Data Sheet'!Print_Area</vt:lpstr>
      <vt:lpstr>DesignSheet!Print_Area</vt:lpstr>
      <vt:lpstr>Form!Print_Area</vt:lpstr>
      <vt:lpstr>LoginSheet!Print_Area</vt:lpstr>
      <vt:lpstr>'Performance 2300V'!Print_Area</vt:lpstr>
      <vt:lpstr>'Performance 4000V'!Print_Area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Rodriguez, Jerry (TIC)</cp:lastModifiedBy>
  <cp:lastPrinted>1997-10-31T21:44:37Z</cp:lastPrinted>
  <dcterms:created xsi:type="dcterms:W3CDTF">1997-10-03T20:37:30Z</dcterms:created>
  <dcterms:modified xsi:type="dcterms:W3CDTF">2026-05-05T21:34:19Z</dcterms:modified>
</cp:coreProperties>
</file>