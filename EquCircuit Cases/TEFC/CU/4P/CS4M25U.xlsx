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 TEFC\4P\Cu_SERIES\"/>
    </mc:Choice>
  </mc:AlternateContent>
  <xr:revisionPtr revIDLastSave="0" documentId="13_ncr:1_{1CE34A40-A4C0-4721-A1A2-171F13B4754F}" xr6:coauthVersionLast="47" xr6:coauthVersionMax="47" xr10:uidLastSave="{00000000-0000-0000-0000-000000000000}"/>
  <bookViews>
    <workbookView xWindow="-108" yWindow="-108" windowWidth="23256" windowHeight="12576" tabRatio="842" activeTab="1" xr2:uid="{00000000-000D-0000-FFFF-FFFF00000000}"/>
  </bookViews>
  <sheets>
    <sheet name="DesignSheet" sheetId="2" r:id="rId1"/>
    <sheet name="Data Sheet" sheetId="3" r:id="rId2"/>
    <sheet name="LoginSheet" sheetId="4" r:id="rId3"/>
    <sheet name="STCurve" sheetId="5" r:id="rId4"/>
    <sheet name="Form" sheetId="10" r:id="rId5"/>
    <sheet name="StallTime" sheetId="7" r:id="rId6"/>
    <sheet name="Thermdam" sheetId="8" r:id="rId7"/>
    <sheet name="MagNoise" sheetId="9" r:id="rId8"/>
  </sheets>
  <definedNames>
    <definedName name="_xlnm.Print_Area" localSheetId="1">'Data Sheet'!$A$1:$K$46</definedName>
    <definedName name="_xlnm.Print_Area" localSheetId="0">DesignSheet!$A$1:$J$68</definedName>
    <definedName name="_xlnm.Print_Area" localSheetId="4">Form!$A$1:$F$39</definedName>
    <definedName name="_xlnm.Print_Area" localSheetId="2">LoginSheet!$A$1:$N$79</definedName>
    <definedName name="_xlnm.Print_Area" localSheetId="5">StallTime!$A$1:$G$40</definedName>
    <definedName name="_xlnm.Print_Area" localSheetId="3">STCurve!$A$1:$F$43</definedName>
    <definedName name="_xlnm.Print_Area" localSheetId="6">Thermdam!$A$1:$F$43</definedName>
    <definedName name="Z_852987ED_B4F5_11D1_ABEC_0000832EB49E_.wvu.PrintArea" localSheetId="3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8" l="1"/>
  <c r="C77" i="8" s="1"/>
  <c r="C78" i="8" s="1"/>
  <c r="B76" i="8"/>
  <c r="C75" i="8"/>
  <c r="C74" i="8"/>
  <c r="B74" i="8"/>
  <c r="A69" i="8"/>
  <c r="A70" i="8" s="1"/>
  <c r="E68" i="8"/>
  <c r="D66" i="8"/>
  <c r="F50" i="8"/>
  <c r="A71" i="8" l="1"/>
  <c r="C70" i="8"/>
  <c r="B70" i="8"/>
  <c r="B69" i="8"/>
  <c r="B75" i="8" s="1"/>
  <c r="C69" i="8"/>
  <c r="C71" i="8" l="1"/>
  <c r="B71" i="8"/>
  <c r="A72" i="8"/>
  <c r="A73" i="8" l="1"/>
  <c r="B73" i="8" s="1"/>
  <c r="B72" i="8"/>
  <c r="M28" i="3" l="1"/>
  <c r="M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<sst xmlns="http://schemas.openxmlformats.org/spreadsheetml/2006/main" count="835" uniqueCount="652">
  <si>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</si>
  <si>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</si>
  <si>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</si>
  <si>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</si>
  <si>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</si>
  <si>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</si>
  <si>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</si>
  <si>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</si>
  <si>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</si>
  <si>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</si>
  <si>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</si>
  <si>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</si>
  <si>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</si>
  <si>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</si>
  <si>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</si>
  <si>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</si>
  <si>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</si>
  <si>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</si>
  <si>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</si>
  <si>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</si>
  <si>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</si>
  <si>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</si>
  <si>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</si>
  <si>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</si>
  <si>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</si>
  <si>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</si>
  <si>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</si>
  <si>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</si>
  <si>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</si>
  <si>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</si>
  <si>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</si>
  <si>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</si>
  <si>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</si>
  <si>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</si>
  <si>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</si>
  <si>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</si>
  <si>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</si>
  <si>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</si>
  <si>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</si>
  <si>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</si>
  <si>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</si>
  <si>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</si>
  <si>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</si>
  <si>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</si>
  <si>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</si>
  <si>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</si>
  <si>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</si>
  <si>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</si>
  <si>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</si>
  <si>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</si>
  <si>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</si>
  <si>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</si>
  <si>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</si>
  <si>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</si>
  <si>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</si>
  <si>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</si>
  <si>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</si>
  <si>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</si>
  <si>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</si>
  <si>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</si>
  <si>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</si>
  <si>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</si>
  <si>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</si>
  <si>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</si>
  <si>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</si>
  <si>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</si>
  <si>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</si>
  <si>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</si>
  <si>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</si>
  <si>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</si>
  <si>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</si>
  <si>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</si>
  <si>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</si>
  <si>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</si>
  <si>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</si>
  <si>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</si>
  <si>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</si>
  <si>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</si>
  <si>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</si>
  <si>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</si>
  <si>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</si>
  <si>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</si>
  <si>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</si>
  <si>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</si>
  <si>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</si>
  <si>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</si>
  <si>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</si>
  <si>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</si>
  <si>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</si>
  <si>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</si>
  <si>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</si>
  <si>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</si>
  <si>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</si>
  <si>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</si>
  <si>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</si>
  <si>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</si>
  <si>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</si>
  <si>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</si>
  <si>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</si>
  <si>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</si>
  <si>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</si>
  <si>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</si>
  <si>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</si>
  <si>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</si>
  <si>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</si>
  <si>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</si>
  <si>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</si>
  <si>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</si>
  <si>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</si>
  <si>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</si>
  <si>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</si>
  <si>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</si>
  <si>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</si>
  <si>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</si>
  <si>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</si>
  <si>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</si>
  <si>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</si>
  <si>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</si>
  <si>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</si>
  <si>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</si>
  <si>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</si>
  <si>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</si>
  <si>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</si>
  <si>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</si>
  <si>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</si>
  <si>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</si>
  <si>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</si>
  <si>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</si>
  <si>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</si>
  <si>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</si>
  <si>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</si>
  <si>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</si>
  <si>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</si>
  <si>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</si>
  <si>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</si>
  <si>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</si>
  <si>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</si>
  <si>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</si>
  <si>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</si>
  <si>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</si>
  <si>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</si>
  <si>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</si>
  <si>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</si>
  <si>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</si>
  <si>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</si>
  <si>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</si>
  <si>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</si>
  <si>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</si>
  <si>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</si>
  <si>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</si>
  <si>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</si>
  <si>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</si>
  <si>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</si>
  <si>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</si>
  <si>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</si>
  <si>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</si>
  <si>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</si>
  <si>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</si>
  <si>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</si>
  <si>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</si>
  <si>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</si>
  <si>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</si>
  <si>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</si>
  <si>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</si>
  <si>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</si>
  <si>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</si>
  <si>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</si>
  <si>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>(115°C)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</si>
  <si>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</si>
  <si>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</si>
  <si>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</si>
  <si>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</si>
  <si>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</si>
  <si>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</si>
  <si>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</si>
  <si>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</si>
  <si>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</si>
  <si>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</si>
  <si>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6811US</t>
  </si>
  <si>
    <t>Open</t>
  </si>
  <si>
    <t>Rectang</t>
  </si>
  <si>
    <t>11.58 - 11.58</t>
  </si>
  <si>
    <t>3.65 - 2.00</t>
  </si>
  <si>
    <t>Magnetic</t>
  </si>
  <si>
    <t>1 ~ 14</t>
  </si>
  <si>
    <t>(.102"x.258")x2</t>
  </si>
  <si>
    <t>Wye</t>
  </si>
  <si>
    <t>CU</t>
  </si>
  <si>
    <t>ERD1: 416.0</t>
  </si>
  <si>
    <t>EBL: 50.5</t>
  </si>
  <si>
    <t>ERT: 46.00</t>
  </si>
  <si>
    <t>ERH: 43.00</t>
  </si>
  <si>
    <t>(12 x 35)</t>
  </si>
  <si>
    <t>LB:  -</t>
  </si>
  <si>
    <t>LER:  -</t>
  </si>
  <si>
    <t>Single Cage Data</t>
  </si>
  <si>
    <t>UB: 420.0</t>
  </si>
  <si>
    <t>UER: 1978.0</t>
  </si>
  <si>
    <t>(Coeff.: 0.0577)</t>
  </si>
  <si>
    <t>Skew R.: 0.00</t>
  </si>
  <si>
    <t>K:\Active Projects\6800 Frame TEFC\Electrical Design\4P\Cu_SERIES\CS4M25U.rat</t>
  </si>
  <si>
    <t>2-2-2-0-1-2</t>
  </si>
  <si>
    <t>B.L.-1  P.F.-1</t>
  </si>
  <si>
    <t>6284.2 / 6186.6</t>
  </si>
  <si>
    <t>5701.2 / 5910.1</t>
  </si>
  <si>
    <t>21181.4 / 15691.7</t>
  </si>
  <si>
    <t>9300.0 / 10813.0</t>
  </si>
  <si>
    <t>11687.4 / 4858.7</t>
  </si>
  <si>
    <t>1237.2 / 514.3</t>
  </si>
  <si>
    <t>10450.3 / 4344.4</t>
  </si>
  <si>
    <t>1.75 / 0.73</t>
  </si>
  <si>
    <t>75 / 73</t>
  </si>
  <si>
    <t>Temp. Rise @ 100%:</t>
  </si>
  <si>
    <t>Stray Loss</t>
  </si>
  <si>
    <t>0.914 / 0.900</t>
  </si>
  <si>
    <t>0.951 / 0.937</t>
  </si>
  <si>
    <t>0.962 / 0.948</t>
  </si>
  <si>
    <t>0.967 / 0.952</t>
  </si>
  <si>
    <t>0.968 / 0.953</t>
  </si>
  <si>
    <t>0.724 / 0.715</t>
  </si>
  <si>
    <t>0.868 / 0.859</t>
  </si>
  <si>
    <t>0.902 / 0.892</t>
  </si>
  <si>
    <t>0.907 / 0.897</t>
  </si>
  <si>
    <t>0.899 / 0.889</t>
  </si>
  <si>
    <t>50.89 / 52.25</t>
  </si>
  <si>
    <t>81.49 / 83.66</t>
  </si>
  <si>
    <t>116.31 / 119.41</t>
  </si>
  <si>
    <t>153.58 / 157.67</t>
  </si>
  <si>
    <t>193.42 / 198.57</t>
  </si>
  <si>
    <t>2.30 / 2.36</t>
  </si>
  <si>
    <t>UB: 3.23 / 3.31</t>
  </si>
  <si>
    <t>UER: 2.73 / 2.80</t>
  </si>
  <si>
    <t>1797.4 / 1797.0</t>
  </si>
  <si>
    <t>1794.9 / 1794.5</t>
  </si>
  <si>
    <t>1792.3 / 1791.9</t>
  </si>
  <si>
    <t>1789.6 / 1789.2</t>
  </si>
  <si>
    <t>1786.8 / 1786.4</t>
  </si>
  <si>
    <t>0.0014 / 0.0017</t>
  </si>
  <si>
    <t>0.0028 / 0.0031</t>
  </si>
  <si>
    <t>0.0043 / 0.0045</t>
  </si>
  <si>
    <t>0.0058 / 0.0060</t>
  </si>
  <si>
    <t>0.0073 / 0.0075</t>
  </si>
  <si>
    <t>31.621 / 35.195</t>
  </si>
  <si>
    <t>1.685 / 1.876</t>
  </si>
  <si>
    <t>31.67 / 35.24</t>
  </si>
  <si>
    <t>670.3 / 1023.4</t>
  </si>
  <si>
    <t>436.4 / 666.4</t>
  </si>
  <si>
    <t>209.7 / 573.9</t>
  </si>
  <si>
    <t>41.3 / 113.1</t>
  </si>
  <si>
    <t>211.4 / 220.1</t>
  </si>
  <si>
    <t>Correlated to: TestData_H402126_fan550_lab1473.dat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</si>
  <si>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</si>
  <si>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</si>
  <si>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</si>
  <si>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</si>
  <si>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</si>
  <si>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</si>
  <si>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</si>
  <si>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</si>
  <si>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</si>
  <si>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</si>
  <si>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</si>
  <si>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</si>
  <si>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</si>
  <si>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</si>
  <si>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</si>
  <si>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</si>
  <si>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</si>
  <si>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</si>
  <si>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</si>
  <si>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</si>
  <si>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</si>
  <si>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</si>
  <si>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</si>
  <si>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</si>
  <si>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</si>
  <si>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</si>
  <si>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</si>
  <si>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</si>
  <si>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</si>
  <si>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</si>
  <si>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</si>
  <si>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</si>
  <si>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</si>
  <si>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</si>
  <si>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</si>
  <si>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</si>
  <si>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</si>
  <si>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</si>
  <si>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</si>
  <si>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</si>
  <si>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</si>
  <si>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</si>
  <si>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</si>
  <si>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</si>
  <si>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</si>
  <si>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</si>
  <si>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</si>
  <si>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</si>
  <si>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</si>
  <si>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</si>
  <si>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</si>
  <si>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</si>
  <si>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</si>
  <si>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</si>
  <si>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</si>
  <si>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</si>
  <si>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</si>
  <si>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</si>
  <si>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</si>
  <si>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</si>
  <si>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</si>
  <si>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</si>
  <si>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</si>
  <si>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</si>
  <si>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</si>
  <si>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</si>
  <si>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</si>
  <si>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</si>
  <si>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</si>
  <si>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</si>
  <si>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</si>
  <si>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</si>
  <si>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</si>
  <si>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</si>
  <si>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</si>
  <si>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</si>
  <si>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</si>
  <si>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</si>
  <si>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</si>
  <si>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</si>
  <si>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</si>
  <si>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</si>
  <si>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</si>
  <si>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</si>
  <si>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</si>
  <si>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</si>
  <si>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</si>
  <si>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</si>
  <si>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</si>
  <si>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</si>
  <si>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</si>
  <si>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</si>
  <si>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</si>
  <si>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</si>
  <si>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</si>
  <si>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</si>
  <si>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</si>
  <si>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</si>
  <si>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</si>
  <si>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</si>
  <si>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</si>
  <si>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</si>
  <si>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</si>
  <si>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</si>
  <si>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</si>
  <si>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</si>
  <si>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</si>
  <si>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</si>
  <si>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</si>
  <si>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</si>
  <si>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CS4M25U</t>
  </si>
  <si>
    <t>Type: TIKE - Form: FCW4 - 4 Pole - 1250 HP - 4000 V - 60 Hz - 6811US - Class F</t>
  </si>
  <si>
    <t>17 x 2</t>
  </si>
  <si>
    <t>2 x Wye</t>
  </si>
  <si>
    <t xml:space="preserve"> - </t>
  </si>
  <si>
    <t>75 / 99</t>
  </si>
  <si>
    <t>236 / 1528</t>
  </si>
  <si>
    <t>G</t>
  </si>
  <si>
    <t>331 / 280</t>
  </si>
  <si>
    <t>SHernandez</t>
  </si>
  <si>
    <t>8,9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</si>
  <si>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</si>
  <si>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</si>
  <si>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</si>
  <si>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</si>
  <si>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</si>
  <si>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</si>
  <si>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</si>
  <si>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</si>
  <si>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</si>
  <si>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686.6 kg.m²</t>
  </si>
  <si>
    <t>Acceleration Data (FV V)</t>
  </si>
  <si>
    <t>9.5 (s)</t>
  </si>
  <si>
    <t>507.5 kg.m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</si>
  <si>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</si>
  <si>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</si>
  <si>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</si>
  <si>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</si>
  <si>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</si>
  <si>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</si>
  <si>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</si>
  <si>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</si>
  <si>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</si>
  <si>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</si>
  <si>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</si>
  <si>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</si>
  <si>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</si>
  <si>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</si>
  <si>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</si>
  <si>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</si>
  <si>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</si>
  <si>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</si>
  <si>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</si>
  <si>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</si>
  <si>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</si>
  <si>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</si>
  <si>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4000 V</t>
  </si>
  <si>
    <t>1102.2 lb-ft²</t>
  </si>
  <si>
    <t>4073.0 lb-ft²</t>
  </si>
  <si>
    <t>3678 lb-ft</t>
  </si>
  <si>
    <t>1023 A</t>
  </si>
  <si>
    <t>SH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</si>
  <si>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</si>
  <si>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</si>
  <si>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</si>
  <si>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</si>
  <si>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</si>
  <si>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</si>
  <si>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</si>
  <si>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</si>
  <si>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</si>
  <si>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</si>
  <si>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</si>
  <si>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</si>
  <si>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1456.0</t>
  </si>
  <si>
    <t xml:space="preserve">8T: </t>
  </si>
  <si>
    <t xml:space="preserve">9T: </t>
  </si>
  <si>
    <t>0.0125 ~ 0.0120</t>
  </si>
  <si>
    <t>0.0140 ~ 0.0135</t>
  </si>
  <si>
    <t>AWG. 1/0 x 3</t>
  </si>
  <si>
    <t>8T: 22.33</t>
  </si>
  <si>
    <t>9T: 25.12</t>
  </si>
  <si>
    <t>8T: 13.51</t>
  </si>
  <si>
    <t>9T: 13.51</t>
  </si>
  <si>
    <t>17.10 ~ 16.70</t>
  </si>
  <si>
    <t>13.91</t>
  </si>
  <si>
    <t>3.49</t>
  </si>
  <si>
    <t xml:space="preserve"> (.102"x.258")x 2: </t>
  </si>
  <si>
    <t>988 lbs.</t>
  </si>
  <si>
    <t/>
  </si>
  <si>
    <t xml:space="preserve">1-2, 2-3, 3-1: </t>
  </si>
  <si>
    <t>0.136 ~ 0.128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</si>
  <si>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</si>
  <si>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</si>
  <si>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</si>
  <si>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</si>
  <si>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</si>
  <si>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</si>
  <si>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</si>
  <si>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</si>
  <si>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</si>
  <si>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</si>
  <si>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</si>
  <si>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</si>
  <si>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</si>
  <si>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</si>
  <si>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</si>
  <si>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</si>
  <si>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</si>
  <si>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</si>
  <si>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</si>
  <si>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</si>
  <si>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</si>
  <si>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</si>
  <si>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</si>
  <si>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</si>
  <si>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</si>
  <si>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</si>
  <si>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</si>
  <si>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</si>
  <si>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</si>
  <si>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</si>
  <si>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</si>
  <si>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</si>
  <si>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</si>
  <si>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</si>
  <si>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</si>
  <si>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</si>
  <si>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</si>
  <si>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</si>
  <si>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</si>
  <si>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- 1250.0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</si>
  <si>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</si>
  <si>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</si>
  <si>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</si>
  <si>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</si>
  <si>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</si>
  <si>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</si>
  <si>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</si>
  <si>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</si>
  <si>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</si>
  <si>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</si>
  <si>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</si>
  <si>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</si>
  <si>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</si>
  <si>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- 4073.0 lb-ft²</t>
  </si>
  <si>
    <t>115.0</t>
  </si>
  <si>
    <t>115.1</t>
  </si>
  <si>
    <t>115.2</t>
  </si>
  <si>
    <t>116.3</t>
  </si>
  <si>
    <t>120.2</t>
  </si>
  <si>
    <t>132.5</t>
  </si>
  <si>
    <t>181.0</t>
  </si>
  <si>
    <t>194.2</t>
  </si>
  <si>
    <t>134.2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</si>
  <si>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</si>
  <si>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</si>
  <si>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</si>
  <si>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</si>
  <si>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</si>
  <si>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</si>
  <si>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</si>
  <si>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</si>
  <si>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</si>
  <si>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</si>
  <si>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</si>
  <si>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</si>
  <si>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</si>
  <si>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0.927</t>
  </si>
  <si>
    <t>0.829</t>
  </si>
  <si>
    <t>0.796</t>
  </si>
  <si>
    <t>0.801</t>
  </si>
  <si>
    <t>0.837</t>
  </si>
  <si>
    <t>0.906</t>
  </si>
  <si>
    <t>1.026</t>
  </si>
  <si>
    <t>1.253</t>
  </si>
  <si>
    <t>0.762</t>
  </si>
  <si>
    <t>0.775</t>
  </si>
  <si>
    <t>0.477</t>
  </si>
  <si>
    <t>0.069</t>
  </si>
  <si>
    <t>0.048</t>
  </si>
  <si>
    <t>1020.8</t>
  </si>
  <si>
    <t>1015.8</t>
  </si>
  <si>
    <t>1009.9</t>
  </si>
  <si>
    <t>1002.6</t>
  </si>
  <si>
    <t>993.5</t>
  </si>
  <si>
    <t>982.0</t>
  </si>
  <si>
    <t>967.7</t>
  </si>
  <si>
    <t>949.8</t>
  </si>
  <si>
    <t>933.1</t>
  </si>
  <si>
    <t>914.3</t>
  </si>
  <si>
    <t>859.9</t>
  </si>
  <si>
    <t>572.9</t>
  </si>
  <si>
    <t>189.1</t>
  </si>
  <si>
    <t>258.6</t>
  </si>
  <si>
    <t>229.1</t>
  </si>
  <si>
    <t>217.7</t>
  </si>
  <si>
    <t>216.1</t>
  </si>
  <si>
    <t>222.4</t>
  </si>
  <si>
    <t>235.8</t>
  </si>
  <si>
    <t>260.2</t>
  </si>
  <si>
    <t>307.6</t>
  </si>
  <si>
    <t>179.4</t>
  </si>
  <si>
    <t>177.1</t>
  </si>
  <si>
    <t>103.5</t>
  </si>
  <si>
    <t>0.3</t>
  </si>
  <si>
    <t>986.7</t>
  </si>
  <si>
    <t>790.2</t>
  </si>
  <si>
    <t>670.6</t>
  </si>
  <si>
    <t>585.6</t>
  </si>
  <si>
    <t>519.7</t>
  </si>
  <si>
    <t>462.0</t>
  </si>
  <si>
    <t>409.6</t>
  </si>
  <si>
    <t>361.4</t>
  </si>
  <si>
    <t>275.2</t>
  </si>
  <si>
    <t>201.5</t>
  </si>
  <si>
    <t>77.8</t>
  </si>
  <si>
    <t>18.3</t>
  </si>
  <si>
    <t>22.6</t>
  </si>
  <si>
    <t>2420 kW / s</t>
  </si>
  <si>
    <t>4451 kW / s</t>
  </si>
  <si>
    <t>930 kW / s</t>
  </si>
  <si>
    <t>14°C</t>
  </si>
  <si>
    <t>66°C</t>
  </si>
  <si>
    <t>48°C</t>
  </si>
  <si>
    <t>29°C</t>
  </si>
  <si>
    <t>133°C</t>
  </si>
  <si>
    <t>95°C</t>
  </si>
  <si>
    <t>Acceleration Time:  9.5 s</t>
  </si>
  <si>
    <t>1.9°C / s</t>
  </si>
  <si>
    <t>13.2°C / s</t>
  </si>
  <si>
    <t>9.5°C / s</t>
  </si>
  <si>
    <t>330.4 kW</t>
  </si>
  <si>
    <t>887.0 kW</t>
  </si>
  <si>
    <t>185.4 kW</t>
  </si>
  <si>
    <t>82.1 s</t>
  </si>
  <si>
    <t>19.7 s</t>
  </si>
  <si>
    <t>19.0 s</t>
  </si>
  <si>
    <t>73°C    +</t>
  </si>
  <si>
    <t>98°C    +</t>
  </si>
  <si>
    <t>87°C    +</t>
  </si>
  <si>
    <t>162°C   +</t>
  </si>
  <si>
    <t>82°C   +</t>
  </si>
  <si>
    <t>44.6 s</t>
  </si>
  <si>
    <t>12.2 s</t>
  </si>
  <si>
    <t>8.6 s</t>
  </si>
  <si>
    <t>46.8 s</t>
  </si>
  <si>
    <t>21.2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</si>
  <si>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</si>
  <si>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</si>
  <si>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</si>
  <si>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</si>
  <si>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</si>
  <si>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</si>
  <si>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</si>
  <si>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</si>
  <si>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</si>
  <si>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</si>
  <si>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</si>
  <si>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</si>
  <si>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</si>
  <si>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</si>
  <si>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</si>
  <si>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</si>
  <si>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</si>
  <si>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</si>
  <si>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</si>
  <si>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</si>
  <si>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</si>
  <si>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</si>
  <si>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</si>
  <si>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</si>
  <si>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</si>
  <si>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</si>
  <si>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</si>
  <si>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1620.0 Hz</t>
  </si>
  <si>
    <t>1611.3 Hz</t>
  </si>
  <si>
    <t>1380.0 Hz</t>
  </si>
  <si>
    <t>1371.3 Hz</t>
  </si>
  <si>
    <t>1500.0 Hz</t>
  </si>
  <si>
    <t>1491.3 Hz</t>
  </si>
  <si>
    <t>1384.7 Hz</t>
  </si>
  <si>
    <t>191.4 Hz</t>
  </si>
  <si>
    <t>541.4 Hz</t>
  </si>
  <si>
    <t>1038.0 Hz</t>
  </si>
  <si>
    <t>1678.7 Hz</t>
  </si>
  <si>
    <t>2462.6 Hz</t>
  </si>
  <si>
    <t>3389.4 Hz</t>
  </si>
  <si>
    <t>4459.0 Hz</t>
  </si>
  <si>
    <t>5671.4 Hz</t>
  </si>
  <si>
    <t>7026.5 Hz</t>
  </si>
  <si>
    <t>No matching frequencies detected.</t>
  </si>
  <si>
    <t>QC Limits: CS4M25U</t>
  </si>
  <si>
    <t>M254FTQL11E-C</t>
  </si>
  <si>
    <t>0.00119</t>
  </si>
  <si>
    <t>A. Gracia</t>
  </si>
  <si>
    <t>AG</t>
  </si>
  <si>
    <t>350-FA21-01U</t>
  </si>
  <si>
    <t>LINK:</t>
  </si>
  <si>
    <t>H402126_Rev1.rat with</t>
  </si>
  <si>
    <t>TestData_H402126_fan550_lab1473.dat -&gt; CS4M25U.rat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</si>
</sst>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</numFmts>
  <fonts count="6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sz val="10"/>
      <color indexed="8"/>
      <name val="Arial"/>
      <family val="2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b/>
      <i/>
      <u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/>
    <xf numFmtId="0" fontId="1" fillId="0" borderId="0"/>
    <xf numFmtId="0" fontId="49" fillId="0" borderId="0"/>
  </cellStyleXfs>
  <cellXfs count="582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 applyFill="1"/>
    <xf numFmtId="0" fontId="18" fillId="0" borderId="0" xfId="1" applyFont="1" applyFill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 applyFill="1"/>
    <xf numFmtId="0" fontId="25" fillId="0" borderId="51" xfId="1" applyFont="1" applyFill="1" applyBorder="1"/>
    <xf numFmtId="0" fontId="24" fillId="0" borderId="53" xfId="1" applyFont="1" applyFill="1" applyBorder="1"/>
    <xf numFmtId="0" fontId="25" fillId="0" borderId="53" xfId="1" applyFont="1" applyFill="1" applyBorder="1"/>
    <xf numFmtId="0" fontId="26" fillId="0" borderId="0" xfId="1" applyFont="1" applyFill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Border="1" applyAlignment="1">
      <alignment horizontal="left"/>
    </xf>
    <xf numFmtId="0" fontId="22" fillId="2" borderId="0" xfId="1" applyFont="1" applyFill="1" applyBorder="1"/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Fill="1" applyBorder="1"/>
    <xf numFmtId="0" fontId="24" fillId="0" borderId="21" xfId="1" applyFont="1" applyFill="1" applyBorder="1"/>
    <xf numFmtId="0" fontId="25" fillId="0" borderId="21" xfId="1" applyFont="1" applyFill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Fill="1" applyBorder="1"/>
    <xf numFmtId="0" fontId="25" fillId="0" borderId="24" xfId="1" applyFont="1" applyFill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Fill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Fill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Fill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Fill="1" applyBorder="1"/>
    <xf numFmtId="0" fontId="31" fillId="0" borderId="95" xfId="1" applyNumberFormat="1" applyFont="1" applyFill="1" applyBorder="1" applyAlignment="1">
      <alignment horizontal="center"/>
    </xf>
    <xf numFmtId="0" fontId="31" fillId="0" borderId="96" xfId="1" applyFont="1" applyFill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NumberFormat="1" applyFont="1" applyFill="1" applyBorder="1" applyAlignment="1">
      <alignment horizontal="center"/>
    </xf>
    <xf numFmtId="0" fontId="31" fillId="0" borderId="73" xfId="1" applyFont="1" applyFill="1" applyBorder="1" applyAlignment="1">
      <alignment horizontal="center"/>
    </xf>
    <xf numFmtId="0" fontId="31" fillId="0" borderId="46" xfId="1" applyFont="1" applyFill="1" applyBorder="1"/>
    <xf numFmtId="0" fontId="37" fillId="0" borderId="24" xfId="1" applyFont="1" applyFill="1" applyBorder="1"/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Fill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Fill="1" applyBorder="1"/>
    <xf numFmtId="0" fontId="26" fillId="0" borderId="78" xfId="1" applyFont="1" applyFill="1" applyBorder="1"/>
    <xf numFmtId="0" fontId="26" fillId="0" borderId="86" xfId="1" applyFont="1" applyFill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1" fontId="31" fillId="2" borderId="69" xfId="1" quotePrefix="1" applyNumberFormat="1" applyFont="1" applyFill="1" applyBorder="1" applyAlignment="1">
      <alignment horizontal="center"/>
    </xf>
    <xf numFmtId="2" fontId="26" fillId="0" borderId="0" xfId="1" applyNumberFormat="1" applyFont="1" applyFill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9" xfId="1" quotePrefix="1" applyNumberFormat="1" applyFont="1" applyFill="1" applyBorder="1" applyAlignment="1">
      <alignment horizontal="center"/>
    </xf>
    <xf numFmtId="0" fontId="31" fillId="2" borderId="69" xfId="1" quotePrefix="1" applyFont="1" applyFill="1" applyBorder="1" applyAlignment="1">
      <alignment horizontal="center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 applyFill="1"/>
    <xf numFmtId="0" fontId="29" fillId="2" borderId="109" xfId="1" applyFont="1" applyFill="1" applyBorder="1"/>
    <xf numFmtId="0" fontId="29" fillId="2" borderId="110" xfId="1" applyFont="1" applyFill="1" applyBorder="1"/>
    <xf numFmtId="0" fontId="29" fillId="2" borderId="111" xfId="1" applyFont="1" applyFill="1" applyBorder="1"/>
    <xf numFmtId="0" fontId="36" fillId="2" borderId="111" xfId="1" applyFont="1" applyFill="1" applyBorder="1"/>
    <xf numFmtId="166" fontId="31" fillId="2" borderId="111" xfId="1" applyNumberFormat="1" applyFont="1" applyFill="1" applyBorder="1" applyAlignment="1">
      <alignment horizontal="center"/>
    </xf>
    <xf numFmtId="0" fontId="31" fillId="2" borderId="112" xfId="1" quotePrefix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31" fillId="2" borderId="113" xfId="1" applyFont="1" applyFill="1" applyBorder="1" applyAlignment="1">
      <alignment horizontal="center"/>
    </xf>
    <xf numFmtId="0" fontId="41" fillId="0" borderId="0" xfId="1" applyFont="1" applyFill="1" applyAlignment="1">
      <alignment horizontal="right"/>
    </xf>
    <xf numFmtId="2" fontId="26" fillId="0" borderId="0" xfId="2" applyNumberFormat="1" applyFont="1" applyFill="1"/>
    <xf numFmtId="0" fontId="29" fillId="2" borderId="0" xfId="1" applyFont="1" applyFill="1" applyBorder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26" fillId="0" borderId="0" xfId="1" applyFont="1" applyFill="1" applyAlignment="1">
      <alignment horizontal="right"/>
    </xf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 applyFill="1"/>
    <xf numFmtId="0" fontId="29" fillId="0" borderId="115" xfId="1" applyFont="1" applyFill="1" applyBorder="1"/>
    <xf numFmtId="0" fontId="29" fillId="2" borderId="118" xfId="1" applyFont="1" applyFill="1" applyBorder="1"/>
    <xf numFmtId="0" fontId="43" fillId="2" borderId="119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20" xfId="1" applyFont="1" applyFill="1" applyBorder="1"/>
    <xf numFmtId="0" fontId="29" fillId="2" borderId="23" xfId="1" applyFont="1" applyFill="1" applyBorder="1"/>
    <xf numFmtId="14" fontId="24" fillId="2" borderId="123" xfId="1" applyNumberFormat="1" applyFont="1" applyFill="1" applyBorder="1" applyAlignment="1">
      <alignment horizontal="center"/>
    </xf>
    <xf numFmtId="0" fontId="22" fillId="0" borderId="23" xfId="1" applyFont="1" applyFill="1" applyBorder="1"/>
    <xf numFmtId="0" fontId="22" fillId="2" borderId="124" xfId="1" applyFont="1" applyFill="1" applyBorder="1" applyAlignment="1">
      <alignment horizontal="left"/>
    </xf>
    <xf numFmtId="0" fontId="22" fillId="2" borderId="125" xfId="1" applyFont="1" applyFill="1" applyBorder="1" applyAlignment="1">
      <alignment horizontal="left"/>
    </xf>
    <xf numFmtId="0" fontId="22" fillId="0" borderId="0" xfId="1" applyFont="1" applyFill="1"/>
    <xf numFmtId="0" fontId="22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6" fillId="0" borderId="126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6" xfId="3" applyBorder="1"/>
    <xf numFmtId="0" fontId="46" fillId="0" borderId="0" xfId="3" applyFont="1"/>
    <xf numFmtId="0" fontId="46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6" fillId="0" borderId="128" xfId="3" applyFont="1" applyBorder="1" applyAlignment="1">
      <alignment horizontal="center"/>
    </xf>
    <xf numFmtId="0" fontId="46" fillId="0" borderId="129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31" fillId="2" borderId="63" xfId="1" quotePrefix="1" applyFont="1" applyFill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8" fillId="0" borderId="40" xfId="0" applyNumberFormat="1" applyFont="1" applyFill="1" applyBorder="1" applyAlignment="1">
      <alignment horizontal="left"/>
    </xf>
    <xf numFmtId="166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50" fillId="0" borderId="60" xfId="4" applyFont="1" applyBorder="1"/>
    <xf numFmtId="0" fontId="50" fillId="0" borderId="61" xfId="4" applyFont="1" applyBorder="1"/>
    <xf numFmtId="0" fontId="50" fillId="0" borderId="38" xfId="4" applyFont="1" applyBorder="1"/>
    <xf numFmtId="0" fontId="49" fillId="0" borderId="0" xfId="4"/>
    <xf numFmtId="0" fontId="51" fillId="0" borderId="82" xfId="4" applyFont="1" applyBorder="1" applyAlignment="1">
      <alignment horizontal="centerContinuous"/>
    </xf>
    <xf numFmtId="0" fontId="50" fillId="0" borderId="0" xfId="4" applyFont="1" applyBorder="1" applyAlignment="1">
      <alignment horizontal="centerContinuous"/>
    </xf>
    <xf numFmtId="0" fontId="50" fillId="0" borderId="107" xfId="4" applyFont="1" applyBorder="1" applyAlignment="1">
      <alignment horizontal="centerContinuous"/>
    </xf>
    <xf numFmtId="0" fontId="52" fillId="0" borderId="82" xfId="4" applyFont="1" applyBorder="1" applyAlignment="1">
      <alignment horizontal="centerContinuous"/>
    </xf>
    <xf numFmtId="0" fontId="50" fillId="0" borderId="82" xfId="4" applyFont="1" applyBorder="1"/>
    <xf numFmtId="0" fontId="50" fillId="0" borderId="0" xfId="4" applyFont="1" applyBorder="1"/>
    <xf numFmtId="0" fontId="50" fillId="0" borderId="107" xfId="4" applyFont="1" applyBorder="1"/>
    <xf numFmtId="0" fontId="53" fillId="0" borderId="1" xfId="4" applyFont="1" applyBorder="1" applyAlignment="1">
      <alignment horizontal="right"/>
    </xf>
    <xf numFmtId="0" fontId="50" fillId="0" borderId="1" xfId="4" applyFont="1" applyBorder="1" applyAlignment="1">
      <alignment horizontal="center"/>
    </xf>
    <xf numFmtId="14" fontId="50" fillId="0" borderId="1" xfId="4" applyNumberFormat="1" applyFont="1" applyBorder="1" applyAlignment="1">
      <alignment horizontal="center"/>
    </xf>
    <xf numFmtId="0" fontId="53" fillId="0" borderId="0" xfId="4" applyFont="1" applyBorder="1" applyAlignment="1">
      <alignment horizontal="right"/>
    </xf>
    <xf numFmtId="0" fontId="50" fillId="0" borderId="0" xfId="4" applyFont="1" applyBorder="1" applyAlignment="1">
      <alignment horizontal="center"/>
    </xf>
    <xf numFmtId="9" fontId="50" fillId="0" borderId="0" xfId="4" applyNumberFormat="1" applyFont="1" applyBorder="1" applyAlignment="1">
      <alignment horizontal="center"/>
    </xf>
    <xf numFmtId="0" fontId="53" fillId="0" borderId="82" xfId="4" applyFont="1" applyBorder="1" applyAlignment="1">
      <alignment horizontal="right"/>
    </xf>
    <xf numFmtId="0" fontId="50" fillId="0" borderId="40" xfId="4" applyFont="1" applyBorder="1"/>
    <xf numFmtId="0" fontId="50" fillId="0" borderId="39" xfId="4" applyFont="1" applyBorder="1" applyAlignment="1">
      <alignment horizontal="center"/>
    </xf>
    <xf numFmtId="0" fontId="50" fillId="0" borderId="84" xfId="4" applyFont="1" applyBorder="1"/>
    <xf numFmtId="0" fontId="53" fillId="0" borderId="17" xfId="4" applyFont="1" applyBorder="1" applyAlignment="1">
      <alignment horizontal="right"/>
    </xf>
    <xf numFmtId="0" fontId="50" fillId="0" borderId="131" xfId="4" applyFont="1" applyBorder="1"/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0" fontId="54" fillId="0" borderId="0" xfId="4" applyFont="1"/>
    <xf numFmtId="0" fontId="6" fillId="0" borderId="0" xfId="4" applyFont="1" applyAlignment="1">
      <alignment horizontal="right"/>
    </xf>
    <xf numFmtId="0" fontId="16" fillId="0" borderId="0" xfId="4" applyFont="1"/>
    <xf numFmtId="0" fontId="57" fillId="0" borderId="26" xfId="4" applyFont="1" applyBorder="1" applyAlignment="1">
      <alignment horizontal="center"/>
    </xf>
    <xf numFmtId="0" fontId="57" fillId="0" borderId="28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57" fillId="0" borderId="1" xfId="4" applyFont="1" applyBorder="1" applyAlignment="1">
      <alignment horizontal="right"/>
    </xf>
    <xf numFmtId="0" fontId="57" fillId="0" borderId="1" xfId="4" applyFont="1" applyBorder="1" applyAlignment="1">
      <alignment horizontal="center"/>
    </xf>
    <xf numFmtId="0" fontId="54" fillId="0" borderId="130" xfId="4" applyFont="1" applyBorder="1" applyAlignment="1">
      <alignment horizontal="center"/>
    </xf>
    <xf numFmtId="0" fontId="54" fillId="0" borderId="131" xfId="4" quotePrefix="1" applyFont="1" applyBorder="1" applyAlignment="1">
      <alignment horizontal="center"/>
    </xf>
    <xf numFmtId="0" fontId="54" fillId="0" borderId="131" xfId="4" applyFont="1" applyBorder="1" applyAlignment="1">
      <alignment horizontal="center"/>
    </xf>
    <xf numFmtId="0" fontId="57" fillId="0" borderId="0" xfId="4" applyFont="1" applyAlignment="1">
      <alignment horizontal="right"/>
    </xf>
    <xf numFmtId="0" fontId="59" fillId="0" borderId="0" xfId="4" applyFont="1"/>
    <xf numFmtId="0" fontId="49" fillId="0" borderId="0" xfId="4" applyBorder="1"/>
    <xf numFmtId="0" fontId="55" fillId="0" borderId="0" xfId="4" applyFont="1" applyFill="1" applyBorder="1"/>
    <xf numFmtId="0" fontId="49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3" fillId="0" borderId="0" xfId="4" applyFont="1" applyAlignment="1">
      <alignment horizontal="right"/>
    </xf>
    <xf numFmtId="0" fontId="6" fillId="0" borderId="0" xfId="4" applyFont="1"/>
    <xf numFmtId="0" fontId="53" fillId="0" borderId="0" xfId="4" applyFont="1"/>
    <xf numFmtId="0" fontId="50" fillId="0" borderId="0" xfId="4" applyFont="1"/>
    <xf numFmtId="0" fontId="23" fillId="0" borderId="17" xfId="4" applyFont="1" applyBorder="1" applyAlignment="1">
      <alignment horizontal="right"/>
    </xf>
    <xf numFmtId="0" fontId="23" fillId="0" borderId="131" xfId="4" applyFont="1" applyBorder="1" applyAlignment="1">
      <alignment horizontal="left"/>
    </xf>
    <xf numFmtId="0" fontId="23" fillId="0" borderId="131" xfId="4" quotePrefix="1" applyFont="1" applyBorder="1" applyAlignment="1">
      <alignment horizontal="left"/>
    </xf>
    <xf numFmtId="0" fontId="54" fillId="0" borderId="0" xfId="0" applyFont="1"/>
    <xf numFmtId="0" fontId="56" fillId="0" borderId="20" xfId="0" applyFont="1" applyBorder="1" applyAlignment="1">
      <alignment horizontal="right"/>
    </xf>
    <xf numFmtId="0" fontId="56" fillId="0" borderId="47" xfId="0" applyFont="1" applyBorder="1" applyAlignment="1">
      <alignment horizontal="right"/>
    </xf>
    <xf numFmtId="0" fontId="56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6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54" fillId="0" borderId="134" xfId="0" applyFont="1" applyBorder="1" applyAlignment="1">
      <alignment horizontal="center"/>
    </xf>
    <xf numFmtId="0" fontId="23" fillId="0" borderId="48" xfId="0" applyFont="1" applyBorder="1"/>
    <xf numFmtId="0" fontId="56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6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14" fontId="24" fillId="2" borderId="121" xfId="1" applyNumberFormat="1" applyFont="1" applyFill="1" applyBorder="1" applyAlignment="1">
      <alignment horizontal="center"/>
    </xf>
    <xf numFmtId="14" fontId="24" fillId="2" borderId="122" xfId="1" applyNumberFormat="1" applyFont="1" applyFill="1" applyBorder="1" applyAlignment="1">
      <alignment horizontal="center"/>
    </xf>
    <xf numFmtId="0" fontId="26" fillId="0" borderId="45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26" fillId="0" borderId="40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0" fillId="0" borderId="38" xfId="1" applyFont="1" applyFill="1" applyBorder="1" applyAlignment="1">
      <alignment horizontal="left"/>
    </xf>
    <xf numFmtId="0" fontId="26" fillId="0" borderId="45" xfId="2" applyFont="1" applyFill="1" applyBorder="1" applyAlignment="1">
      <alignment horizontal="center"/>
    </xf>
    <xf numFmtId="0" fontId="26" fillId="0" borderId="0" xfId="2" applyFont="1" applyFill="1" applyBorder="1" applyAlignment="1">
      <alignment horizontal="center"/>
    </xf>
    <xf numFmtId="0" fontId="26" fillId="0" borderId="107" xfId="2" applyFont="1" applyFill="1" applyBorder="1" applyAlignment="1">
      <alignment horizontal="center"/>
    </xf>
    <xf numFmtId="0" fontId="26" fillId="0" borderId="46" xfId="2" applyFont="1" applyFill="1" applyBorder="1" applyAlignment="1">
      <alignment horizontal="center"/>
    </xf>
    <xf numFmtId="0" fontId="26" fillId="0" borderId="23" xfId="2" applyFont="1" applyFill="1" applyBorder="1" applyAlignment="1">
      <alignment horizontal="center"/>
    </xf>
    <xf numFmtId="0" fontId="26" fillId="0" borderId="48" xfId="2" applyFont="1" applyFill="1" applyBorder="1" applyAlignment="1">
      <alignment horizontal="center"/>
    </xf>
    <xf numFmtId="0" fontId="43" fillId="2" borderId="116" xfId="1" applyFont="1" applyFill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0" fontId="20" fillId="0" borderId="79" xfId="1" applyFont="1" applyFill="1" applyBorder="1" applyAlignment="1">
      <alignment horizontal="left"/>
    </xf>
    <xf numFmtId="0" fontId="20" fillId="0" borderId="80" xfId="1" applyFont="1" applyFill="1" applyBorder="1" applyAlignment="1">
      <alignment horizontal="left"/>
    </xf>
    <xf numFmtId="0" fontId="20" fillId="0" borderId="81" xfId="1" applyFont="1" applyFill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Fill="1" applyBorder="1" applyAlignment="1">
      <alignment horizontal="center"/>
    </xf>
    <xf numFmtId="0" fontId="31" fillId="0" borderId="65" xfId="1" applyFont="1" applyFill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31" fillId="0" borderId="64" xfId="1" applyFont="1" applyFill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6" fillId="0" borderId="106" xfId="1" applyFont="1" applyFill="1" applyBorder="1" applyAlignment="1">
      <alignment horizontal="left"/>
    </xf>
    <xf numFmtId="0" fontId="26" fillId="0" borderId="76" xfId="1" applyFont="1" applyFill="1" applyBorder="1" applyAlignment="1">
      <alignment horizontal="left"/>
    </xf>
    <xf numFmtId="0" fontId="29" fillId="0" borderId="74" xfId="1" applyFont="1" applyFill="1" applyBorder="1" applyAlignment="1">
      <alignment horizontal="left"/>
    </xf>
    <xf numFmtId="0" fontId="29" fillId="0" borderId="67" xfId="1" applyFont="1" applyFill="1" applyBorder="1" applyAlignment="1">
      <alignment horizontal="left"/>
    </xf>
    <xf numFmtId="0" fontId="29" fillId="0" borderId="68" xfId="1" applyFont="1" applyFill="1" applyBorder="1" applyAlignment="1">
      <alignment horizontal="left"/>
    </xf>
    <xf numFmtId="166" fontId="31" fillId="0" borderId="64" xfId="1" applyNumberFormat="1" applyFont="1" applyFill="1" applyBorder="1" applyAlignment="1">
      <alignment horizontal="center"/>
    </xf>
    <xf numFmtId="166" fontId="31" fillId="0" borderId="65" xfId="1" applyNumberFormat="1" applyFont="1" applyFill="1" applyBorder="1" applyAlignment="1">
      <alignment horizontal="center"/>
    </xf>
    <xf numFmtId="0" fontId="29" fillId="0" borderId="62" xfId="1" applyFont="1" applyFill="1" applyBorder="1" applyAlignment="1">
      <alignment horizontal="left"/>
    </xf>
    <xf numFmtId="0" fontId="29" fillId="0" borderId="63" xfId="1" applyFont="1" applyFill="1" applyBorder="1" applyAlignment="1">
      <alignment horizontal="left"/>
    </xf>
    <xf numFmtId="2" fontId="31" fillId="0" borderId="64" xfId="1" applyNumberFormat="1" applyFont="1" applyFill="1" applyBorder="1" applyAlignment="1">
      <alignment horizontal="center"/>
    </xf>
    <xf numFmtId="2" fontId="31" fillId="0" borderId="65" xfId="1" applyNumberFormat="1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Fill="1" applyBorder="1" applyAlignment="1">
      <alignment horizontal="left"/>
    </xf>
    <xf numFmtId="0" fontId="29" fillId="0" borderId="58" xfId="1" applyFont="1" applyFill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9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0" fontId="50" fillId="0" borderId="17" xfId="4" applyFont="1" applyBorder="1" applyAlignment="1">
      <alignment horizontal="center"/>
    </xf>
    <xf numFmtId="0" fontId="50" fillId="0" borderId="130" xfId="4" applyFont="1" applyBorder="1" applyAlignment="1">
      <alignment horizontal="center"/>
    </xf>
    <xf numFmtId="0" fontId="50" fillId="0" borderId="131" xfId="4" applyFon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3" fillId="0" borderId="12" xfId="0" applyFont="1" applyBorder="1" applyAlignment="1">
      <alignment horizontal="left"/>
    </xf>
    <xf numFmtId="0" fontId="53" fillId="0" borderId="13" xfId="0" applyFont="1" applyBorder="1" applyAlignment="1">
      <alignment horizontal="left"/>
    </xf>
    <xf numFmtId="0" fontId="53" fillId="0" borderId="14" xfId="0" applyFont="1" applyBorder="1" applyAlignment="1">
      <alignment horizontal="left"/>
    </xf>
    <xf numFmtId="0" fontId="23" fillId="0" borderId="60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6" fillId="0" borderId="101" xfId="0" applyFont="1" applyBorder="1" applyAlignment="1">
      <alignment horizontal="center"/>
    </xf>
    <xf numFmtId="0" fontId="56" fillId="0" borderId="61" xfId="0" applyFont="1" applyBorder="1" applyAlignment="1">
      <alignment horizontal="center"/>
    </xf>
    <xf numFmtId="0" fontId="56" fillId="0" borderId="27" xfId="0" applyFont="1" applyBorder="1" applyAlignment="1">
      <alignment horizontal="center"/>
    </xf>
    <xf numFmtId="0" fontId="8" fillId="0" borderId="135" xfId="0" applyFont="1" applyBorder="1" applyAlignment="1">
      <alignment horizontal="right"/>
    </xf>
    <xf numFmtId="0" fontId="8" fillId="0" borderId="132" xfId="0" applyFont="1" applyBorder="1" applyAlignment="1">
      <alignment horizontal="right"/>
    </xf>
    <xf numFmtId="0" fontId="23" fillId="0" borderId="132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6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4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56" fillId="0" borderId="101" xfId="0" applyFont="1" applyBorder="1" applyAlignment="1">
      <alignment horizontal="right"/>
    </xf>
    <xf numFmtId="0" fontId="56" fillId="0" borderId="61" xfId="0" applyFont="1" applyBorder="1" applyAlignment="1">
      <alignment horizontal="right"/>
    </xf>
    <xf numFmtId="0" fontId="56" fillId="0" borderId="46" xfId="0" applyFont="1" applyBorder="1" applyAlignment="1">
      <alignment horizontal="right"/>
    </xf>
    <xf numFmtId="0" fontId="56" fillId="0" borderId="23" xfId="0" applyFont="1" applyBorder="1" applyAlignment="1">
      <alignment horizontal="right"/>
    </xf>
    <xf numFmtId="0" fontId="54" fillId="0" borderId="17" xfId="4" applyFont="1" applyBorder="1" applyAlignment="1">
      <alignment horizontal="right"/>
    </xf>
    <xf numFmtId="0" fontId="54" fillId="0" borderId="130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7" fillId="0" borderId="0" xfId="4" applyFont="1" applyAlignment="1">
      <alignment horizontal="right"/>
    </xf>
    <xf numFmtId="0" fontId="54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23" fillId="0" borderId="130" xfId="4" applyFont="1" applyBorder="1" applyAlignment="1">
      <alignment horizontal="center"/>
    </xf>
    <xf numFmtId="0" fontId="23" fillId="0" borderId="131" xfId="4" applyFont="1" applyBorder="1" applyAlignment="1">
      <alignment horizontal="center"/>
    </xf>
    <xf numFmtId="0" fontId="57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6" fillId="0" borderId="17" xfId="4" applyFont="1" applyBorder="1" applyAlignment="1">
      <alignment horizontal="center"/>
    </xf>
    <xf numFmtId="0" fontId="52" fillId="0" borderId="82" xfId="4" applyFont="1" applyBorder="1" applyAlignment="1">
      <alignment horizontal="center"/>
    </xf>
    <xf numFmtId="0" fontId="52" fillId="0" borderId="0" xfId="4" applyFont="1" applyBorder="1" applyAlignment="1">
      <alignment horizontal="center"/>
    </xf>
    <xf numFmtId="0" fontId="52" fillId="0" borderId="107" xfId="4" applyFont="1" applyBorder="1" applyAlignment="1">
      <alignment horizontal="center"/>
    </xf>
    <xf numFmtId="0" fontId="58" fillId="0" borderId="82" xfId="4" applyFont="1" applyBorder="1" applyAlignment="1">
      <alignment horizontal="center"/>
    </xf>
    <xf numFmtId="0" fontId="58" fillId="0" borderId="0" xfId="4" applyFont="1" applyBorder="1" applyAlignment="1">
      <alignment horizontal="center"/>
    </xf>
    <xf numFmtId="0" fontId="58" fillId="0" borderId="107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31" xfId="4" applyFont="1" applyBorder="1" applyAlignment="1">
      <alignment horizontal="center"/>
    </xf>
    <xf numFmtId="0" fontId="60" fillId="0" borderId="0" xfId="4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4" xr:uid="{00000000-0005-0000-0000-000002000000}"/>
    <cellStyle name="Normal_OPTEST" xfId="2" xr:uid="{00000000-0005-0000-0000-000003000000}"/>
    <cellStyle name="Normal_PROJ_REV_HIST" xfId="3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168.36525413967996</c:v>
                </c:pt>
                <c:pt idx="2">
                  <c:v>220</c:v>
                </c:pt>
                <c:pt idx="3">
                  <c:v>141.95917092883073</c:v>
                </c:pt>
                <c:pt idx="4">
                  <c:v>123.10914185708398</c:v>
                </c:pt>
                <c:pt idx="5">
                  <c:v>117.31732188684821</c:v>
                </c:pt>
                <c:pt idx="6">
                  <c:v>115.21900788080265</c:v>
                </c:pt>
                <c:pt idx="7">
                  <c:v>115.15504242474238</c:v>
                </c:pt>
                <c:pt idx="8">
                  <c:v>115.09936888585187</c:v>
                </c:pt>
                <c:pt idx="9">
                  <c:v>115.06558137677476</c:v>
                </c:pt>
                <c:pt idx="10">
                  <c:v>115.03732775733366</c:v>
                </c:pt>
                <c:pt idx="11">
                  <c:v>115.02101241989054</c:v>
                </c:pt>
                <c:pt idx="12">
                  <c:v>115.00529717121879</c:v>
                </c:pt>
                <c:pt idx="13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7F-447B-A581-817AA1B51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3488"/>
        <c:axId val="17382540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0.20041507482528687</c:v>
                </c:pt>
                <c:pt idx="1">
                  <c:v>207.702880859375</c:v>
                </c:pt>
                <c:pt idx="2">
                  <c:v>517.42486572265625</c:v>
                </c:pt>
                <c:pt idx="3">
                  <c:v>571.10650634765625</c:v>
                </c:pt>
                <c:pt idx="4">
                  <c:v>586.2589111328125</c:v>
                </c:pt>
                <c:pt idx="5">
                  <c:v>594.84332275390625</c:v>
                </c:pt>
                <c:pt idx="6">
                  <c:v>607.41864013671875</c:v>
                </c:pt>
                <c:pt idx="7">
                  <c:v>617.47967529296875</c:v>
                </c:pt>
                <c:pt idx="8">
                  <c:v>625.5645751953125</c:v>
                </c:pt>
                <c:pt idx="9">
                  <c:v>632.01898193359375</c:v>
                </c:pt>
                <c:pt idx="10">
                  <c:v>637.11492919921875</c:v>
                </c:pt>
                <c:pt idx="11">
                  <c:v>641.2349853515625</c:v>
                </c:pt>
                <c:pt idx="12">
                  <c:v>644.6253662109375</c:v>
                </c:pt>
                <c:pt idx="13">
                  <c:v>647.46832275390625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7F-447B-A581-817AA1B51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48064"/>
        <c:axId val="173849600"/>
      </c:scatterChart>
      <c:valAx>
        <c:axId val="17382348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3825408"/>
        <c:crossesAt val="0"/>
        <c:crossBetween val="midCat"/>
        <c:majorUnit val="0.2"/>
        <c:minorUnit val="0.2"/>
      </c:valAx>
      <c:valAx>
        <c:axId val="17382540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3823488"/>
        <c:crosses val="max"/>
        <c:crossBetween val="midCat"/>
        <c:majorUnit val="50"/>
        <c:minorUnit val="50"/>
      </c:valAx>
      <c:valAx>
        <c:axId val="17384806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73849600"/>
        <c:crosses val="autoZero"/>
        <c:crossBetween val="midCat"/>
      </c:valAx>
      <c:valAx>
        <c:axId val="17384960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384806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168.36525413967996</c:v>
                </c:pt>
                <c:pt idx="2">
                  <c:v>220</c:v>
                </c:pt>
                <c:pt idx="3">
                  <c:v>141.95917092883073</c:v>
                </c:pt>
                <c:pt idx="4">
                  <c:v>123.10914185708398</c:v>
                </c:pt>
                <c:pt idx="5">
                  <c:v>117.31732188684821</c:v>
                </c:pt>
                <c:pt idx="6">
                  <c:v>115.21900788080265</c:v>
                </c:pt>
                <c:pt idx="7">
                  <c:v>115.15504242474238</c:v>
                </c:pt>
                <c:pt idx="8">
                  <c:v>115.09936888585187</c:v>
                </c:pt>
                <c:pt idx="9">
                  <c:v>115.06558137677476</c:v>
                </c:pt>
                <c:pt idx="10">
                  <c:v>115.03732775733366</c:v>
                </c:pt>
                <c:pt idx="11">
                  <c:v>115.02101241989054</c:v>
                </c:pt>
                <c:pt idx="12">
                  <c:v>115.00529717121879</c:v>
                </c:pt>
                <c:pt idx="13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75-41A5-8F79-DBC51599A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88128"/>
        <c:axId val="18909004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0.20041507482528687</c:v>
                </c:pt>
                <c:pt idx="1">
                  <c:v>207.702880859375</c:v>
                </c:pt>
                <c:pt idx="2">
                  <c:v>517.42486572265625</c:v>
                </c:pt>
                <c:pt idx="3">
                  <c:v>571.10650634765625</c:v>
                </c:pt>
                <c:pt idx="4">
                  <c:v>586.2589111328125</c:v>
                </c:pt>
                <c:pt idx="5">
                  <c:v>594.84332275390625</c:v>
                </c:pt>
                <c:pt idx="6">
                  <c:v>607.41864013671875</c:v>
                </c:pt>
                <c:pt idx="7">
                  <c:v>617.47967529296875</c:v>
                </c:pt>
                <c:pt idx="8">
                  <c:v>625.5645751953125</c:v>
                </c:pt>
                <c:pt idx="9">
                  <c:v>632.01898193359375</c:v>
                </c:pt>
                <c:pt idx="10">
                  <c:v>637.11492919921875</c:v>
                </c:pt>
                <c:pt idx="11">
                  <c:v>641.2349853515625</c:v>
                </c:pt>
                <c:pt idx="12">
                  <c:v>644.6253662109375</c:v>
                </c:pt>
                <c:pt idx="13">
                  <c:v>647.46832275390625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75-41A5-8F79-DBC51599A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92224"/>
        <c:axId val="189093760"/>
      </c:scatterChart>
      <c:valAx>
        <c:axId val="18908812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9090048"/>
        <c:crosses val="autoZero"/>
        <c:crossBetween val="midCat"/>
        <c:majorUnit val="20"/>
        <c:minorUnit val="20"/>
      </c:valAx>
      <c:valAx>
        <c:axId val="189090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9088128"/>
        <c:crosses val="autoZero"/>
        <c:crossBetween val="midCat"/>
      </c:valAx>
      <c:valAx>
        <c:axId val="1890922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89093760"/>
        <c:crosses val="autoZero"/>
        <c:crossBetween val="midCat"/>
      </c:valAx>
      <c:valAx>
        <c:axId val="189093760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909222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94106551236624469"/>
          <c:w val="0.19709996776718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647.46835443037969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40.757040137798427</c:v>
                </c:pt>
                <c:pt idx="2">
                  <c:v>58.690137798429724</c:v>
                </c:pt>
                <c:pt idx="3">
                  <c:v>91.703340310046471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C8-445F-A999-CC62B63E7C22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647.46835443037969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17.467302916199326</c:v>
                </c:pt>
                <c:pt idx="2">
                  <c:v>25.152916199327024</c:v>
                </c:pt>
                <c:pt idx="3">
                  <c:v>39.301431561448489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C8-445F-A999-CC62B63E7C22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220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129.92208780644125</c:v>
                </c:pt>
                <c:pt idx="3">
                  <c:v>194.0811435133258</c:v>
                </c:pt>
                <c:pt idx="4">
                  <c:v>436.6825729049832</c:v>
                </c:pt>
                <c:pt idx="5" formatCode="0">
                  <c:v>900</c:v>
                </c:pt>
                <c:pt idx="6" formatCode="0">
                  <c:v>1800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C8-445F-A999-CC62B63E7C22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647.46835443037969</c:v>
                </c:pt>
                <c:pt idx="1">
                  <c:v>646.07594936708858</c:v>
                </c:pt>
                <c:pt idx="2">
                  <c:v>642.91139240506334</c:v>
                </c:pt>
                <c:pt idx="3">
                  <c:v>639.17721518987344</c:v>
                </c:pt>
                <c:pt idx="4">
                  <c:v>634.55696202531647</c:v>
                </c:pt>
                <c:pt idx="5">
                  <c:v>628.79746835443041</c:v>
                </c:pt>
                <c:pt idx="6">
                  <c:v>621.51898734177212</c:v>
                </c:pt>
                <c:pt idx="7">
                  <c:v>612.46835443037969</c:v>
                </c:pt>
                <c:pt idx="8">
                  <c:v>601.13924050632909</c:v>
                </c:pt>
                <c:pt idx="9">
                  <c:v>590.56962025316454</c:v>
                </c:pt>
                <c:pt idx="10">
                  <c:v>578.6708860759494</c:v>
                </c:pt>
                <c:pt idx="11">
                  <c:v>544.24050632911394</c:v>
                </c:pt>
                <c:pt idx="12">
                  <c:v>362.59493670886076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0.92699998617172241</c:v>
                </c:pt>
                <c:pt idx="2">
                  <c:v>1.7560000419616699</c:v>
                </c:pt>
                <c:pt idx="3">
                  <c:v>2.5520000457763672</c:v>
                </c:pt>
                <c:pt idx="4">
                  <c:v>3.3530001640319824</c:v>
                </c:pt>
                <c:pt idx="5">
                  <c:v>4.190000057220459</c:v>
                </c:pt>
                <c:pt idx="6">
                  <c:v>5.0960001945495605</c:v>
                </c:pt>
                <c:pt idx="7">
                  <c:v>6.1220002174377441</c:v>
                </c:pt>
                <c:pt idx="8">
                  <c:v>7.375</c:v>
                </c:pt>
                <c:pt idx="9">
                  <c:v>8.1370000839233398</c:v>
                </c:pt>
                <c:pt idx="10">
                  <c:v>8.9119997024536133</c:v>
                </c:pt>
                <c:pt idx="11">
                  <c:v>9.3889999389648438</c:v>
                </c:pt>
                <c:pt idx="12">
                  <c:v>9.4580001831054688</c:v>
                </c:pt>
                <c:pt idx="13">
                  <c:v>9.5060005187988281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C8-445F-A999-CC62B63E7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98624"/>
        <c:axId val="203500544"/>
      </c:scatterChart>
      <c:valAx>
        <c:axId val="20349862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500544"/>
        <c:crossesAt val="0.1"/>
        <c:crossBetween val="midCat"/>
        <c:majorUnit val="100"/>
      </c:valAx>
      <c:valAx>
        <c:axId val="203500544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49862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41.05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6.00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54455" y="7778115"/>
          <a:ext cx="82105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65.0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17.0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49680" y="6273165"/>
          <a:ext cx="95440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809625</xdr:colOff>
      <xdr:row>28</xdr:row>
      <xdr:rowOff>200025</xdr:rowOff>
    </xdr:from>
    <xdr:to>
      <xdr:col>4</xdr:col>
      <xdr:colOff>581025</xdr:colOff>
      <xdr:row>29</xdr:row>
      <xdr:rowOff>128867</xdr:rowOff>
    </xdr:to>
    <xdr:sp macro="" textlink="">
      <xdr:nvSpPr>
        <xdr:cNvPr id="96" name="Text 219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2543175" y="6667500"/>
          <a:ext cx="647700" cy="157442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311-FA21</a:t>
          </a:r>
        </a:p>
      </xdr:txBody>
    </xdr:sp>
    <xdr:clientData/>
  </xdr:twoCellAnchor>
  <xdr:twoCellAnchor>
    <xdr:from>
      <xdr:col>3</xdr:col>
      <xdr:colOff>800100</xdr:colOff>
      <xdr:row>35</xdr:row>
      <xdr:rowOff>9525</xdr:rowOff>
    </xdr:from>
    <xdr:to>
      <xdr:col>4</xdr:col>
      <xdr:colOff>571500</xdr:colOff>
      <xdr:row>35</xdr:row>
      <xdr:rowOff>166967</xdr:rowOff>
    </xdr:to>
    <xdr:sp macro="" textlink="">
      <xdr:nvSpPr>
        <xdr:cNvPr id="97" name="Text 219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2533650" y="8077200"/>
          <a:ext cx="647700" cy="157442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411-FA21</a:t>
          </a:r>
        </a:p>
      </xdr:txBody>
    </xdr:sp>
    <xdr:clientData/>
  </xdr:twoCellAnchor>
  <xdr:twoCellAnchor editAs="oneCell"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45" name="Radius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46" name="Height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47" name="Clear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48" name="Thickness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49" name="Radius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0" name="Height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1" name="Clear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2" name="Thickness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3" name="Height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4" name="Clear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5" name="Clear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6" name="Height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7" name="Clear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8" name="Clear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wrap="square" lIns="27432" tIns="18288" rIns="27432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 editAs="oneCell"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59" name="Text 583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3</xdr:col>
      <xdr:colOff>295275</xdr:colOff>
      <xdr:row>40</xdr:row>
      <xdr:rowOff>123825</xdr:rowOff>
    </xdr:from>
    <xdr:to>
      <xdr:col>3</xdr:col>
      <xdr:colOff>581025</xdr:colOff>
      <xdr:row>41</xdr:row>
      <xdr:rowOff>0</xdr:rowOff>
    </xdr:to>
    <xdr:sp macro="" textlink="">
      <xdr:nvSpPr>
        <xdr:cNvPr id="160" name="Thickness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2028825" y="9334500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wrap="square" lIns="27432" tIns="18288" rIns="27432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1" name="Radius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2" name="Clear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63" name="Thickness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4" name="Radius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65" name="Thickness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6" name="Radius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67" name="Height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8" name="Clear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69" name="Thickness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809625</xdr:colOff>
      <xdr:row>40</xdr:row>
      <xdr:rowOff>85725</xdr:rowOff>
    </xdr:from>
    <xdr:to>
      <xdr:col>4</xdr:col>
      <xdr:colOff>581025</xdr:colOff>
      <xdr:row>41</xdr:row>
      <xdr:rowOff>19050</xdr:rowOff>
    </xdr:to>
    <xdr:sp macro="" textlink="">
      <xdr:nvSpPr>
        <xdr:cNvPr id="170" name="Text 21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543175" y="9296400"/>
          <a:ext cx="647700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051-FA21</a:t>
          </a:r>
        </a:p>
      </xdr:txBody>
    </xdr:sp>
    <xdr:clientData/>
  </xdr:twoCellAnchor>
  <xdr:twoCellAnchor>
    <xdr:from>
      <xdr:col>3</xdr:col>
      <xdr:colOff>552450</xdr:colOff>
      <xdr:row>42</xdr:row>
      <xdr:rowOff>114300</xdr:rowOff>
    </xdr:from>
    <xdr:to>
      <xdr:col>4</xdr:col>
      <xdr:colOff>0</xdr:colOff>
      <xdr:row>43</xdr:row>
      <xdr:rowOff>9525</xdr:rowOff>
    </xdr:to>
    <xdr:sp macro="" textlink="">
      <xdr:nvSpPr>
        <xdr:cNvPr id="171" name="Radius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2286000" y="978217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416</a:t>
          </a:r>
        </a:p>
        <a:p>
          <a:pPr algn="ctr" rtl="0">
            <a:defRPr sz="1000"/>
          </a:pPr>
          <a:endParaRPr lang="en-US" sz="600" b="1" i="0" strike="noStrike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72" name="Height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73" name="Clear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74" name="Thickness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46.0</a:t>
          </a:r>
        </a:p>
      </xdr:txBody>
    </xdr:sp>
    <xdr:clientData/>
  </xdr:twoCellAnchor>
  <xdr:twoCellAnchor>
    <xdr:from>
      <xdr:col>2</xdr:col>
      <xdr:colOff>457200</xdr:colOff>
      <xdr:row>41</xdr:row>
      <xdr:rowOff>161925</xdr:rowOff>
    </xdr:from>
    <xdr:to>
      <xdr:col>2</xdr:col>
      <xdr:colOff>457200</xdr:colOff>
      <xdr:row>42</xdr:row>
      <xdr:rowOff>66675</xdr:rowOff>
    </xdr:to>
    <xdr:sp macro="" textlink="">
      <xdr:nvSpPr>
        <xdr:cNvPr id="175" name="Line 116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ShapeType="1"/>
        </xdr:cNvSpPr>
      </xdr:nvSpPr>
      <xdr:spPr bwMode="auto">
        <a:xfrm flipV="1">
          <a:off x="1676400" y="9601200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41</xdr:row>
      <xdr:rowOff>171450</xdr:rowOff>
    </xdr:from>
    <xdr:to>
      <xdr:col>3</xdr:col>
      <xdr:colOff>247650</xdr:colOff>
      <xdr:row>42</xdr:row>
      <xdr:rowOff>76200</xdr:rowOff>
    </xdr:to>
    <xdr:sp macro="" textlink="">
      <xdr:nvSpPr>
        <xdr:cNvPr id="176" name="Line 117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ShapeType="1"/>
        </xdr:cNvSpPr>
      </xdr:nvSpPr>
      <xdr:spPr bwMode="auto">
        <a:xfrm flipV="1">
          <a:off x="1981200" y="9610725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41</xdr:row>
      <xdr:rowOff>209550</xdr:rowOff>
    </xdr:from>
    <xdr:to>
      <xdr:col>3</xdr:col>
      <xdr:colOff>238125</xdr:colOff>
      <xdr:row>41</xdr:row>
      <xdr:rowOff>209550</xdr:rowOff>
    </xdr:to>
    <xdr:sp macro="" textlink="">
      <xdr:nvSpPr>
        <xdr:cNvPr id="177" name="Line 118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ShapeType="1"/>
        </xdr:cNvSpPr>
      </xdr:nvSpPr>
      <xdr:spPr bwMode="auto">
        <a:xfrm flipV="1">
          <a:off x="1685925" y="96488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40</xdr:row>
      <xdr:rowOff>180975</xdr:rowOff>
    </xdr:from>
    <xdr:to>
      <xdr:col>3</xdr:col>
      <xdr:colOff>19050</xdr:colOff>
      <xdr:row>41</xdr:row>
      <xdr:rowOff>142875</xdr:rowOff>
    </xdr:to>
    <xdr:sp macro="" textlink="">
      <xdr:nvSpPr>
        <xdr:cNvPr id="178" name="Line 119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ShapeType="1"/>
        </xdr:cNvSpPr>
      </xdr:nvSpPr>
      <xdr:spPr bwMode="auto">
        <a:xfrm flipV="1">
          <a:off x="1752600" y="93916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79" name="Text 583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285750</xdr:colOff>
      <xdr:row>39</xdr:row>
      <xdr:rowOff>161925</xdr:rowOff>
    </xdr:from>
    <xdr:to>
      <xdr:col>2</xdr:col>
      <xdr:colOff>161925</xdr:colOff>
      <xdr:row>39</xdr:row>
      <xdr:rowOff>161925</xdr:rowOff>
    </xdr:to>
    <xdr:sp macro="" textlink="">
      <xdr:nvSpPr>
        <xdr:cNvPr id="180" name="Line 12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ShapeType="1"/>
        </xdr:cNvSpPr>
      </xdr:nvSpPr>
      <xdr:spPr bwMode="auto">
        <a:xfrm flipV="1">
          <a:off x="1095375" y="91440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161925</xdr:rowOff>
    </xdr:from>
    <xdr:to>
      <xdr:col>2</xdr:col>
      <xdr:colOff>161925</xdr:colOff>
      <xdr:row>42</xdr:row>
      <xdr:rowOff>209550</xdr:rowOff>
    </xdr:to>
    <xdr:sp macro="" textlink="">
      <xdr:nvSpPr>
        <xdr:cNvPr id="181" name="Line 122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ShapeType="1"/>
        </xdr:cNvSpPr>
      </xdr:nvSpPr>
      <xdr:spPr bwMode="auto">
        <a:xfrm>
          <a:off x="1381125" y="914400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41</xdr:row>
      <xdr:rowOff>57150</xdr:rowOff>
    </xdr:from>
    <xdr:to>
      <xdr:col>2</xdr:col>
      <xdr:colOff>447675</xdr:colOff>
      <xdr:row>41</xdr:row>
      <xdr:rowOff>57150</xdr:rowOff>
    </xdr:to>
    <xdr:sp macro="" textlink="">
      <xdr:nvSpPr>
        <xdr:cNvPr id="182" name="Line 123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ShapeType="1"/>
        </xdr:cNvSpPr>
      </xdr:nvSpPr>
      <xdr:spPr bwMode="auto">
        <a:xfrm flipV="1">
          <a:off x="1390650" y="94964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457200</xdr:colOff>
      <xdr:row>39</xdr:row>
      <xdr:rowOff>171450</xdr:rowOff>
    </xdr:from>
    <xdr:to>
      <xdr:col>3</xdr:col>
      <xdr:colOff>247650</xdr:colOff>
      <xdr:row>41</xdr:row>
      <xdr:rowOff>142875</xdr:rowOff>
    </xdr:to>
    <xdr:sp macro="" textlink="">
      <xdr:nvSpPr>
        <xdr:cNvPr id="183" name="Rectangle 124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rrowheads="1"/>
        </xdr:cNvSpPr>
      </xdr:nvSpPr>
      <xdr:spPr bwMode="auto">
        <a:xfrm>
          <a:off x="1676400" y="9153525"/>
          <a:ext cx="30480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40</xdr:row>
      <xdr:rowOff>219075</xdr:rowOff>
    </xdr:from>
    <xdr:to>
      <xdr:col>2</xdr:col>
      <xdr:colOff>457200</xdr:colOff>
      <xdr:row>40</xdr:row>
      <xdr:rowOff>219075</xdr:rowOff>
    </xdr:to>
    <xdr:sp macro="" textlink="">
      <xdr:nvSpPr>
        <xdr:cNvPr id="184" name="Line 125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ShapeType="1"/>
        </xdr:cNvSpPr>
      </xdr:nvSpPr>
      <xdr:spPr bwMode="auto">
        <a:xfrm>
          <a:off x="1381125" y="94297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190500</xdr:rowOff>
    </xdr:from>
    <xdr:to>
      <xdr:col>2</xdr:col>
      <xdr:colOff>457200</xdr:colOff>
      <xdr:row>39</xdr:row>
      <xdr:rowOff>190500</xdr:rowOff>
    </xdr:to>
    <xdr:sp macro="" textlink="">
      <xdr:nvSpPr>
        <xdr:cNvPr id="185" name="Line 126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ShapeType="1"/>
        </xdr:cNvSpPr>
      </xdr:nvSpPr>
      <xdr:spPr bwMode="auto">
        <a:xfrm>
          <a:off x="1381125" y="91725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41</xdr:row>
      <xdr:rowOff>142875</xdr:rowOff>
    </xdr:from>
    <xdr:to>
      <xdr:col>3</xdr:col>
      <xdr:colOff>666750</xdr:colOff>
      <xdr:row>41</xdr:row>
      <xdr:rowOff>142875</xdr:rowOff>
    </xdr:to>
    <xdr:sp macro="" textlink="">
      <xdr:nvSpPr>
        <xdr:cNvPr id="186" name="Line 127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ShapeType="1"/>
        </xdr:cNvSpPr>
      </xdr:nvSpPr>
      <xdr:spPr bwMode="auto">
        <a:xfrm>
          <a:off x="2028825" y="9582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41</xdr:row>
      <xdr:rowOff>142875</xdr:rowOff>
    </xdr:from>
    <xdr:to>
      <xdr:col>3</xdr:col>
      <xdr:colOff>628650</xdr:colOff>
      <xdr:row>42</xdr:row>
      <xdr:rowOff>95250</xdr:rowOff>
    </xdr:to>
    <xdr:sp macro="" textlink="">
      <xdr:nvSpPr>
        <xdr:cNvPr id="187" name="Line 128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ShapeType="1"/>
        </xdr:cNvSpPr>
      </xdr:nvSpPr>
      <xdr:spPr bwMode="auto">
        <a:xfrm flipV="1">
          <a:off x="2362200" y="95821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285750</xdr:colOff>
      <xdr:row>39</xdr:row>
      <xdr:rowOff>171450</xdr:rowOff>
    </xdr:from>
    <xdr:to>
      <xdr:col>3</xdr:col>
      <xdr:colOff>504825</xdr:colOff>
      <xdr:row>39</xdr:row>
      <xdr:rowOff>171450</xdr:rowOff>
    </xdr:to>
    <xdr:sp macro="" textlink="">
      <xdr:nvSpPr>
        <xdr:cNvPr id="188" name="Line 129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ShapeType="1"/>
        </xdr:cNvSpPr>
      </xdr:nvSpPr>
      <xdr:spPr bwMode="auto">
        <a:xfrm>
          <a:off x="2019300" y="91535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581025</xdr:colOff>
      <xdr:row>41</xdr:row>
      <xdr:rowOff>9525</xdr:rowOff>
    </xdr:to>
    <xdr:sp macro="" textlink="">
      <xdr:nvSpPr>
        <xdr:cNvPr id="189" name="Thickness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028825" y="934402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43.0</a:t>
          </a:r>
        </a:p>
      </xdr:txBody>
    </xdr:sp>
    <xdr:clientData/>
  </xdr:twoCellAnchor>
  <xdr:twoCellAnchor>
    <xdr:from>
      <xdr:col>3</xdr:col>
      <xdr:colOff>428625</xdr:colOff>
      <xdr:row>39</xdr:row>
      <xdr:rowOff>171450</xdr:rowOff>
    </xdr:from>
    <xdr:to>
      <xdr:col>3</xdr:col>
      <xdr:colOff>428625</xdr:colOff>
      <xdr:row>40</xdr:row>
      <xdr:rowOff>85725</xdr:rowOff>
    </xdr:to>
    <xdr:sp macro="" textlink="">
      <xdr:nvSpPr>
        <xdr:cNvPr id="190" name="Line 13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ShapeType="1"/>
        </xdr:cNvSpPr>
      </xdr:nvSpPr>
      <xdr:spPr bwMode="auto">
        <a:xfrm flipV="1">
          <a:off x="2162175" y="915352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41</xdr:row>
      <xdr:rowOff>19050</xdr:rowOff>
    </xdr:from>
    <xdr:to>
      <xdr:col>3</xdr:col>
      <xdr:colOff>438150</xdr:colOff>
      <xdr:row>41</xdr:row>
      <xdr:rowOff>142875</xdr:rowOff>
    </xdr:to>
    <xdr:sp macro="" textlink="">
      <xdr:nvSpPr>
        <xdr:cNvPr id="191" name="Line 132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ShapeType="1"/>
        </xdr:cNvSpPr>
      </xdr:nvSpPr>
      <xdr:spPr bwMode="auto">
        <a:xfrm>
          <a:off x="2171700" y="9458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0.6844</cdr:x>
      <cdr:y>0.62436</cdr:y>
    </cdr:from>
    <cdr:to>
      <cdr:x>0.92025</cdr:x>
      <cdr:y>0.64505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2634" y="40202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0.66812</cdr:x>
      <cdr:y>0.52461</cdr:y>
    </cdr:from>
    <cdr:to>
      <cdr:x>0.95094</cdr:x>
      <cdr:y>0.54974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07384" y="33779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21" zoomScale="95" zoomScaleNormal="95" workbookViewId="0">
      <selection activeCell="O35" sqref="O35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</cols>
  <sheetData>
    <row r="1" spans="1:10" ht="17.399999999999999">
      <c r="A1" s="35" t="s">
        <v>168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201</v>
      </c>
    </row>
    <row r="2" spans="1:10" ht="17.399999999999999">
      <c r="A2" s="35" t="s">
        <v>174</v>
      </c>
      <c r="B2" s="2"/>
      <c r="C2" s="2"/>
      <c r="D2" s="2"/>
      <c r="E2" s="2"/>
      <c r="F2" s="2"/>
      <c r="G2" s="2"/>
      <c r="H2" s="2"/>
      <c r="I2" s="2"/>
      <c r="J2" s="133" t="s">
        <v>202</v>
      </c>
    </row>
    <row r="3" spans="1:10" ht="15" customHeight="1" thickBot="1">
      <c r="A3" s="51" t="s">
        <v>1</v>
      </c>
      <c r="B3" s="98" t="s">
        <v>200</v>
      </c>
      <c r="C3" s="1"/>
      <c r="D3" s="51"/>
      <c r="E3" s="1"/>
      <c r="F3" s="1"/>
      <c r="G3" s="51" t="s">
        <v>2</v>
      </c>
      <c r="H3" s="151">
        <v>41800</v>
      </c>
      <c r="I3" s="51" t="s">
        <v>3</v>
      </c>
      <c r="J3" s="152">
        <v>0.32587962962962963</v>
      </c>
    </row>
    <row r="4" spans="1:10" ht="15" customHeight="1">
      <c r="A4" s="13" t="s">
        <v>4</v>
      </c>
      <c r="B4" s="13" t="s">
        <v>172</v>
      </c>
      <c r="C4" s="13" t="s">
        <v>5</v>
      </c>
      <c r="D4" s="13" t="s">
        <v>173</v>
      </c>
      <c r="E4" s="13" t="s">
        <v>6</v>
      </c>
      <c r="F4" s="13" t="s">
        <v>7</v>
      </c>
      <c r="G4" s="13" t="s">
        <v>176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4</v>
      </c>
      <c r="B5" s="115">
        <v>1250</v>
      </c>
      <c r="C5" s="145">
        <v>1800</v>
      </c>
      <c r="D5" s="52" t="s">
        <v>177</v>
      </c>
      <c r="E5" s="145">
        <v>4000</v>
      </c>
      <c r="F5" s="145">
        <v>60</v>
      </c>
      <c r="G5" s="52">
        <v>115</v>
      </c>
      <c r="H5" s="80" t="s">
        <v>235</v>
      </c>
      <c r="I5" s="79" t="s">
        <v>240</v>
      </c>
      <c r="J5" s="52" t="s">
        <v>178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26.860594499999998</v>
      </c>
      <c r="J7" s="108" t="s">
        <v>19</v>
      </c>
    </row>
    <row r="8" spans="1:10" ht="15" customHeight="1">
      <c r="A8" s="7" t="s">
        <v>20</v>
      </c>
      <c r="B8" s="71">
        <v>3</v>
      </c>
      <c r="C8" s="54"/>
      <c r="D8" s="7"/>
      <c r="E8" s="53"/>
      <c r="F8" s="4"/>
      <c r="G8" s="17"/>
      <c r="H8" s="11" t="s">
        <v>21</v>
      </c>
      <c r="I8" s="70">
        <v>31.8557226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29.358158549999999</v>
      </c>
      <c r="J9" s="106">
        <v>916.55178959496948</v>
      </c>
    </row>
    <row r="10" spans="1:10" ht="15" customHeight="1">
      <c r="A10" s="7" t="s">
        <v>27</v>
      </c>
      <c r="B10" s="71">
        <v>740</v>
      </c>
      <c r="C10" s="75">
        <v>740</v>
      </c>
      <c r="D10" s="7"/>
      <c r="E10" s="53"/>
      <c r="F10" s="119" t="s">
        <v>196</v>
      </c>
      <c r="G10" s="117" t="s">
        <v>197</v>
      </c>
      <c r="H10" s="11" t="s">
        <v>28</v>
      </c>
      <c r="I10" s="70">
        <v>15.276445851402322</v>
      </c>
      <c r="J10" s="105" t="s">
        <v>29</v>
      </c>
    </row>
    <row r="11" spans="1:10" ht="15" customHeight="1" thickBot="1">
      <c r="A11" s="7" t="s">
        <v>30</v>
      </c>
      <c r="B11" s="71">
        <v>770</v>
      </c>
      <c r="C11" s="75">
        <v>507</v>
      </c>
      <c r="D11" s="7" t="s">
        <v>31</v>
      </c>
      <c r="E11" s="70">
        <v>0.86657999999999991</v>
      </c>
      <c r="F11" s="120"/>
      <c r="G11" s="116"/>
      <c r="H11" s="11" t="s">
        <v>32</v>
      </c>
      <c r="I11" s="70">
        <v>31.398655764668757</v>
      </c>
      <c r="J11" s="106">
        <v>26591.150078706563</v>
      </c>
    </row>
    <row r="12" spans="1:10" ht="15" customHeight="1">
      <c r="A12" s="7" t="s">
        <v>33</v>
      </c>
      <c r="B12" s="71">
        <v>513</v>
      </c>
      <c r="C12" s="75">
        <v>200</v>
      </c>
      <c r="D12" s="7" t="s">
        <v>34</v>
      </c>
      <c r="E12" s="140" t="s">
        <v>175</v>
      </c>
      <c r="F12" s="126" t="s">
        <v>189</v>
      </c>
      <c r="G12" s="118" t="s">
        <v>188</v>
      </c>
      <c r="H12" s="11" t="s">
        <v>35</v>
      </c>
      <c r="I12" s="70">
        <v>1.2197490501415673</v>
      </c>
      <c r="J12" s="105" t="s">
        <v>36</v>
      </c>
    </row>
    <row r="13" spans="1:10" ht="15" customHeight="1" thickBot="1">
      <c r="A13" s="7" t="s">
        <v>37</v>
      </c>
      <c r="B13" s="71">
        <v>63.5</v>
      </c>
      <c r="C13" s="75">
        <v>112.45000076293945</v>
      </c>
      <c r="D13" s="7" t="s">
        <v>38</v>
      </c>
      <c r="E13" s="72">
        <v>17</v>
      </c>
      <c r="F13" s="126"/>
      <c r="G13" s="118" t="s">
        <v>190</v>
      </c>
      <c r="H13" s="11" t="s">
        <v>40</v>
      </c>
      <c r="I13" s="70">
        <v>1.0145568918222785</v>
      </c>
      <c r="J13" s="106">
        <v>153.58151245117188</v>
      </c>
    </row>
    <row r="14" spans="1:10" ht="15" customHeight="1" thickBot="1">
      <c r="A14" s="136" t="s">
        <v>41</v>
      </c>
      <c r="B14" s="137">
        <v>688.20001220703125</v>
      </c>
      <c r="C14" s="138">
        <v>688.20001220703125</v>
      </c>
      <c r="D14" s="7" t="s">
        <v>42</v>
      </c>
      <c r="E14" s="53" t="s">
        <v>185</v>
      </c>
      <c r="F14" s="53" t="s">
        <v>192</v>
      </c>
      <c r="G14" s="118" t="s">
        <v>191</v>
      </c>
      <c r="H14" s="51" t="s">
        <v>43</v>
      </c>
      <c r="I14" s="70">
        <v>1.237504805114805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175</v>
      </c>
      <c r="F15" s="53"/>
      <c r="G15" s="118"/>
      <c r="H15" s="11" t="s">
        <v>47</v>
      </c>
      <c r="I15" s="70">
        <v>0.97811904826498275</v>
      </c>
      <c r="J15" s="106">
        <v>27.170220588235296</v>
      </c>
    </row>
    <row r="16" spans="1:10" ht="15" customHeight="1">
      <c r="A16" s="7" t="s">
        <v>48</v>
      </c>
      <c r="B16" s="53">
        <v>60</v>
      </c>
      <c r="C16" s="54">
        <v>50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0.95650599867242181</v>
      </c>
      <c r="J16" s="107" t="s">
        <v>51</v>
      </c>
    </row>
    <row r="17" spans="1:10" ht="15" customHeight="1" thickBot="1">
      <c r="A17" s="7" t="s">
        <v>52</v>
      </c>
      <c r="B17" s="53" t="s">
        <v>179</v>
      </c>
      <c r="C17" s="54" t="s">
        <v>180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0.93557673708121603</v>
      </c>
      <c r="J17" s="106">
        <v>486.00668754184164</v>
      </c>
    </row>
    <row r="18" spans="1:10" ht="15" customHeight="1">
      <c r="A18" s="7" t="s">
        <v>55</v>
      </c>
      <c r="B18" s="53" t="s">
        <v>175</v>
      </c>
      <c r="C18" s="75">
        <v>0</v>
      </c>
      <c r="D18" s="7" t="s">
        <v>56</v>
      </c>
      <c r="E18" s="142">
        <v>1456</v>
      </c>
      <c r="F18" s="72">
        <v>887</v>
      </c>
      <c r="G18" s="76"/>
      <c r="H18" s="14" t="s">
        <v>57</v>
      </c>
      <c r="I18" s="134" t="s">
        <v>198</v>
      </c>
      <c r="J18" s="135"/>
    </row>
    <row r="19" spans="1:10" ht="15" customHeight="1">
      <c r="A19" s="7" t="s">
        <v>58</v>
      </c>
      <c r="B19" s="71">
        <v>65</v>
      </c>
      <c r="C19" s="75">
        <v>41.049999237060547</v>
      </c>
      <c r="D19" s="7" t="s">
        <v>59</v>
      </c>
      <c r="E19" s="72">
        <v>170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181</v>
      </c>
      <c r="C20" s="75">
        <v>12.050000190734863</v>
      </c>
      <c r="D20" s="7" t="s">
        <v>166</v>
      </c>
      <c r="E20" s="69">
        <v>6.4667911639166784E-2</v>
      </c>
      <c r="F20" s="53"/>
      <c r="G20" s="54"/>
      <c r="H20" s="11" t="s">
        <v>63</v>
      </c>
      <c r="I20" s="70">
        <v>17.64019775390625</v>
      </c>
      <c r="J20" s="74">
        <v>17.64019775390625</v>
      </c>
    </row>
    <row r="21" spans="1:10" ht="15" customHeight="1">
      <c r="A21" s="7" t="s">
        <v>64</v>
      </c>
      <c r="B21" s="71">
        <v>17</v>
      </c>
      <c r="C21" s="75">
        <v>3</v>
      </c>
      <c r="D21" s="11" t="s">
        <v>167</v>
      </c>
      <c r="E21" s="69">
        <v>8.8807210679327273E-2</v>
      </c>
      <c r="F21" s="69">
        <v>7.801007479429245E-2</v>
      </c>
      <c r="G21" s="73">
        <v>1.6307003705931772E-2</v>
      </c>
      <c r="H21" s="11" t="s">
        <v>65</v>
      </c>
      <c r="I21" s="70">
        <v>28.128721237182617</v>
      </c>
      <c r="J21" s="74">
        <v>22.920938491821289</v>
      </c>
    </row>
    <row r="22" spans="1:10" ht="15" customHeight="1">
      <c r="A22" s="7" t="s">
        <v>66</v>
      </c>
      <c r="B22" s="71">
        <v>3.6500000953674316</v>
      </c>
      <c r="C22" s="75">
        <v>6</v>
      </c>
      <c r="D22" s="7" t="s">
        <v>67</v>
      </c>
      <c r="E22" s="53" t="s">
        <v>187</v>
      </c>
      <c r="F22" s="53" t="s">
        <v>187</v>
      </c>
      <c r="G22" s="54" t="s">
        <v>187</v>
      </c>
      <c r="H22" s="11" t="s">
        <v>68</v>
      </c>
      <c r="I22" s="70">
        <v>4.4773201942443848</v>
      </c>
      <c r="J22" s="74">
        <v>4.3328342437744141</v>
      </c>
    </row>
    <row r="23" spans="1:10" ht="15" customHeight="1">
      <c r="A23" s="7" t="s">
        <v>69</v>
      </c>
      <c r="B23" s="71">
        <v>9.8605947494506836</v>
      </c>
      <c r="C23" s="75">
        <v>14.653447151184082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10.52893543566571</v>
      </c>
      <c r="J23" s="17" t="s">
        <v>199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4.0282922706736697</v>
      </c>
      <c r="J24" s="74">
        <v>3.9431600355755223</v>
      </c>
    </row>
    <row r="25" spans="1:10" ht="15" customHeight="1">
      <c r="A25" s="7" t="s">
        <v>75</v>
      </c>
      <c r="B25" s="53" t="s">
        <v>175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0.18312428891658783</v>
      </c>
      <c r="J25" s="74">
        <v>0.37578374147415161</v>
      </c>
    </row>
    <row r="26" spans="1:10" ht="15" customHeight="1">
      <c r="A26" s="7" t="s">
        <v>78</v>
      </c>
      <c r="B26" s="55" t="s">
        <v>182</v>
      </c>
      <c r="C26" s="62" t="s">
        <v>183</v>
      </c>
      <c r="D26" s="11" t="s">
        <v>79</v>
      </c>
      <c r="E26" s="71">
        <v>440.15225944053617</v>
      </c>
      <c r="F26" s="71">
        <v>174.18177672672272</v>
      </c>
      <c r="G26" s="75">
        <v>50.818072728609586</v>
      </c>
      <c r="H26" s="11" t="s">
        <v>80</v>
      </c>
      <c r="I26" s="70">
        <v>3.7416243553161621</v>
      </c>
      <c r="J26" s="74">
        <v>3.4250893592834473</v>
      </c>
    </row>
    <row r="27" spans="1:10" ht="15" customHeight="1" thickBot="1">
      <c r="A27" s="7" t="s">
        <v>81</v>
      </c>
      <c r="B27" s="53" t="s">
        <v>175</v>
      </c>
      <c r="C27" s="54" t="s">
        <v>175</v>
      </c>
      <c r="D27" s="12" t="s">
        <v>82</v>
      </c>
      <c r="E27" s="82" t="s">
        <v>175</v>
      </c>
      <c r="F27" s="82" t="s">
        <v>175</v>
      </c>
      <c r="G27" s="84" t="s">
        <v>175</v>
      </c>
      <c r="H27" s="12" t="s">
        <v>83</v>
      </c>
      <c r="I27" s="81">
        <v>3.746103048324585</v>
      </c>
      <c r="J27" s="83">
        <v>3.4456422328948975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35.004475783018869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35.036976060784191</v>
      </c>
      <c r="D30" s="11" t="s">
        <v>95</v>
      </c>
      <c r="E30" s="71">
        <v>30.237803750000001</v>
      </c>
      <c r="F30" s="71">
        <v>874.01401550292974</v>
      </c>
      <c r="G30" s="71">
        <v>12.472718831352964</v>
      </c>
      <c r="H30" s="76">
        <v>191.78622485213469</v>
      </c>
      <c r="I30" s="72">
        <v>96995.16213329797</v>
      </c>
      <c r="J30" s="76">
        <v>4922.3336203415547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6.5</v>
      </c>
      <c r="F31" s="71">
        <v>1017.9092140410824</v>
      </c>
      <c r="G31" s="71">
        <v>10.709531773223384</v>
      </c>
      <c r="H31" s="76">
        <v>25.441610327139969</v>
      </c>
      <c r="I31" s="72">
        <v>26465.639565068141</v>
      </c>
      <c r="J31" s="76">
        <v>1049.239217578747</v>
      </c>
    </row>
    <row r="32" spans="1:10" ht="15" customHeight="1">
      <c r="A32" s="7" t="s">
        <v>98</v>
      </c>
      <c r="B32" s="70" t="s">
        <v>242</v>
      </c>
      <c r="C32" s="112"/>
      <c r="D32" s="11" t="s">
        <v>99</v>
      </c>
      <c r="E32" s="71">
        <v>16.685769947421075</v>
      </c>
      <c r="F32" s="71">
        <v>1547.7618379547121</v>
      </c>
      <c r="G32" s="71">
        <v>7.0432871535554611</v>
      </c>
      <c r="H32" s="76">
        <v>30.873364216181418</v>
      </c>
      <c r="I32" s="10" t="s">
        <v>100</v>
      </c>
      <c r="J32" s="76">
        <v>5971.5728379203019</v>
      </c>
    </row>
    <row r="33" spans="1:10" ht="15" customHeight="1">
      <c r="A33" s="7" t="s">
        <v>101</v>
      </c>
      <c r="B33" s="70" t="s">
        <v>243</v>
      </c>
      <c r="C33" s="113" t="s">
        <v>102</v>
      </c>
      <c r="D33" s="11" t="s">
        <v>97</v>
      </c>
      <c r="E33" s="71">
        <v>4.104999923706055</v>
      </c>
      <c r="F33" s="71">
        <v>1260.5628135399966</v>
      </c>
      <c r="G33" s="71">
        <v>8.6479871950339149</v>
      </c>
      <c r="H33" s="76">
        <v>9.2665417280442544</v>
      </c>
      <c r="I33" s="10" t="s">
        <v>103</v>
      </c>
      <c r="J33" s="75" t="s">
        <v>210</v>
      </c>
    </row>
    <row r="34" spans="1:10" ht="15" customHeight="1" thickBot="1">
      <c r="A34" s="18" t="s">
        <v>104</v>
      </c>
      <c r="B34" s="81" t="s">
        <v>244</v>
      </c>
      <c r="C34" s="114">
        <v>10.901331070029814</v>
      </c>
      <c r="D34" s="12" t="s">
        <v>20</v>
      </c>
      <c r="E34" s="81">
        <v>0.30000000000000004</v>
      </c>
      <c r="F34" s="82">
        <v>2409.3045757696268</v>
      </c>
      <c r="G34" s="82">
        <v>4.5246795194200375</v>
      </c>
      <c r="H34" s="85">
        <v>1080.1885795298012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212</v>
      </c>
      <c r="E35" s="150" t="s">
        <v>211</v>
      </c>
      <c r="F35" s="16"/>
      <c r="G35" s="27" t="s">
        <v>107</v>
      </c>
      <c r="H35" s="87" t="s">
        <v>205</v>
      </c>
      <c r="I35" s="11" t="s">
        <v>108</v>
      </c>
      <c r="J35" s="76" t="s">
        <v>209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203</v>
      </c>
      <c r="I36" s="11" t="s">
        <v>111</v>
      </c>
      <c r="J36" s="76" t="s">
        <v>208</v>
      </c>
    </row>
    <row r="37" spans="1:10" ht="15" customHeight="1" thickBot="1">
      <c r="A37" s="7" t="s">
        <v>112</v>
      </c>
      <c r="B37" s="71" t="s">
        <v>224</v>
      </c>
      <c r="C37" s="71" t="s">
        <v>225</v>
      </c>
      <c r="D37" s="71" t="s">
        <v>226</v>
      </c>
      <c r="E37" s="71" t="s">
        <v>227</v>
      </c>
      <c r="F37" s="75" t="s">
        <v>228</v>
      </c>
      <c r="G37" s="11" t="s">
        <v>113</v>
      </c>
      <c r="H37" s="76" t="s">
        <v>204</v>
      </c>
      <c r="I37" s="12" t="s">
        <v>114</v>
      </c>
      <c r="J37" s="85" t="s">
        <v>207</v>
      </c>
    </row>
    <row r="38" spans="1:10" ht="15" customHeight="1" thickBot="1">
      <c r="A38" s="7" t="s">
        <v>115</v>
      </c>
      <c r="B38" s="70" t="s">
        <v>214</v>
      </c>
      <c r="C38" s="70" t="s">
        <v>215</v>
      </c>
      <c r="D38" s="70" t="s">
        <v>216</v>
      </c>
      <c r="E38" s="70" t="s">
        <v>217</v>
      </c>
      <c r="F38" s="74" t="s">
        <v>218</v>
      </c>
      <c r="G38" s="18" t="s">
        <v>116</v>
      </c>
      <c r="H38" s="85" t="s">
        <v>206</v>
      </c>
      <c r="I38" s="141" t="s">
        <v>213</v>
      </c>
      <c r="J38" s="86">
        <v>19225.48828125</v>
      </c>
    </row>
    <row r="39" spans="1:10" ht="15" customHeight="1">
      <c r="A39" s="7" t="s">
        <v>117</v>
      </c>
      <c r="B39" s="70" t="s">
        <v>219</v>
      </c>
      <c r="C39" s="70" t="s">
        <v>220</v>
      </c>
      <c r="D39" s="70" t="s">
        <v>221</v>
      </c>
      <c r="E39" s="70" t="s">
        <v>222</v>
      </c>
      <c r="F39" s="74" t="s">
        <v>223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237</v>
      </c>
      <c r="C40" s="69" t="s">
        <v>238</v>
      </c>
      <c r="D40" s="69" t="s">
        <v>239</v>
      </c>
      <c r="E40" s="69" t="s">
        <v>240</v>
      </c>
      <c r="F40" s="73" t="s">
        <v>241</v>
      </c>
      <c r="G40" s="37" t="s">
        <v>121</v>
      </c>
      <c r="H40" s="93" t="s">
        <v>245</v>
      </c>
      <c r="I40" s="57"/>
      <c r="J40" s="58"/>
    </row>
    <row r="41" spans="1:10" ht="15" customHeight="1">
      <c r="A41" s="7" t="s">
        <v>5</v>
      </c>
      <c r="B41" s="72" t="s">
        <v>232</v>
      </c>
      <c r="C41" s="72" t="s">
        <v>233</v>
      </c>
      <c r="D41" s="72" t="s">
        <v>234</v>
      </c>
      <c r="E41" s="72" t="s">
        <v>235</v>
      </c>
      <c r="F41" s="76" t="s">
        <v>236</v>
      </c>
      <c r="G41" s="38" t="s">
        <v>122</v>
      </c>
      <c r="H41" s="94" t="s">
        <v>246</v>
      </c>
      <c r="I41" s="59"/>
      <c r="J41" s="60"/>
    </row>
    <row r="42" spans="1:10" ht="15" customHeight="1">
      <c r="A42" s="7" t="s">
        <v>123</v>
      </c>
      <c r="B42" s="70">
        <v>8.3453420897480868</v>
      </c>
      <c r="C42" s="70">
        <v>8.3453420897480868</v>
      </c>
      <c r="D42" s="70">
        <v>8.3453420897480868</v>
      </c>
      <c r="E42" s="70">
        <v>8.3453420897480868</v>
      </c>
      <c r="F42" s="74">
        <v>8.3453420897480868</v>
      </c>
      <c r="G42" s="37" t="s">
        <v>124</v>
      </c>
      <c r="H42" s="93" t="s">
        <v>247</v>
      </c>
      <c r="I42" s="57"/>
      <c r="J42" s="99">
        <v>0.10906383041620658</v>
      </c>
    </row>
    <row r="43" spans="1:10" ht="15" customHeight="1" thickBot="1">
      <c r="A43" s="18" t="s">
        <v>125</v>
      </c>
      <c r="B43" s="81">
        <v>8.3453420897480868</v>
      </c>
      <c r="C43" s="81"/>
      <c r="D43" s="81" t="s">
        <v>250</v>
      </c>
      <c r="E43" s="81"/>
      <c r="F43" s="83"/>
      <c r="G43" s="38" t="s">
        <v>122</v>
      </c>
      <c r="H43" s="94" t="s">
        <v>248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1982.4839816491838</v>
      </c>
      <c r="I44" s="92">
        <v>2.52004233506758E-2</v>
      </c>
      <c r="J44" s="99">
        <v>0.64679911434359705</v>
      </c>
    </row>
    <row r="45" spans="1:10" ht="15" customHeight="1">
      <c r="A45" s="7" t="s">
        <v>129</v>
      </c>
      <c r="B45" s="70">
        <v>0.22276411950588226</v>
      </c>
      <c r="C45" s="5" t="s">
        <v>130</v>
      </c>
      <c r="D45" s="74">
        <v>5.9442403726279736E-3</v>
      </c>
      <c r="E45" s="7" t="s">
        <v>131</v>
      </c>
      <c r="F45" s="76">
        <v>542.57913599284382</v>
      </c>
      <c r="G45" s="39" t="s">
        <v>122</v>
      </c>
      <c r="H45" s="88" t="s">
        <v>249</v>
      </c>
      <c r="I45" s="61"/>
      <c r="J45" s="62"/>
    </row>
    <row r="46" spans="1:10" ht="15" customHeight="1">
      <c r="A46" s="7" t="s">
        <v>132</v>
      </c>
      <c r="B46" s="70">
        <v>0.22997173666954041</v>
      </c>
      <c r="C46" s="5" t="s">
        <v>133</v>
      </c>
      <c r="D46" s="74">
        <v>5.797017365694046E-3</v>
      </c>
      <c r="E46" s="7" t="s">
        <v>134</v>
      </c>
      <c r="F46" s="76">
        <v>972.62434720718886</v>
      </c>
      <c r="G46" s="38" t="s">
        <v>135</v>
      </c>
      <c r="H46" s="96">
        <v>431.24319747397186</v>
      </c>
      <c r="I46" s="59"/>
      <c r="J46" s="60"/>
    </row>
    <row r="47" spans="1:10" ht="15" customHeight="1">
      <c r="A47" s="7" t="s">
        <v>136</v>
      </c>
      <c r="B47" s="70">
        <v>0.45273584127426147</v>
      </c>
      <c r="C47" s="5" t="s">
        <v>137</v>
      </c>
      <c r="D47" s="74">
        <v>9.9731907248497009E-3</v>
      </c>
      <c r="E47" s="7" t="s">
        <v>138</v>
      </c>
      <c r="F47" s="76">
        <v>797.16909741462007</v>
      </c>
      <c r="G47" s="66" t="s">
        <v>139</v>
      </c>
      <c r="H47" s="95">
        <v>1933.1684952523135</v>
      </c>
      <c r="I47" s="92">
        <v>2.4559051506666162E-2</v>
      </c>
      <c r="J47" s="97">
        <v>0.65551511597982148</v>
      </c>
    </row>
    <row r="48" spans="1:10" ht="15" customHeight="1">
      <c r="A48" s="7" t="s">
        <v>140</v>
      </c>
      <c r="B48" s="70">
        <v>1.090159360319376E-2</v>
      </c>
      <c r="C48" s="5" t="s">
        <v>100</v>
      </c>
      <c r="D48" s="74">
        <v>3.2616041600704193E-2</v>
      </c>
      <c r="E48" s="7" t="s">
        <v>141</v>
      </c>
      <c r="F48" s="76">
        <v>8.0769047603487092</v>
      </c>
      <c r="G48" s="67" t="s">
        <v>122</v>
      </c>
      <c r="H48" s="88">
        <v>207.31029439703093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0.9673839807510376</v>
      </c>
      <c r="E49" s="18" t="s">
        <v>143</v>
      </c>
      <c r="F49" s="85">
        <v>19.755020533831853</v>
      </c>
      <c r="G49" s="68" t="s">
        <v>135</v>
      </c>
      <c r="H49" s="96">
        <v>425.65099527428021</v>
      </c>
      <c r="I49" s="59"/>
      <c r="J49" s="63"/>
    </row>
    <row r="50" spans="1:10" ht="15" customHeight="1">
      <c r="A50" s="14" t="s">
        <v>195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50</v>
      </c>
      <c r="C51" s="10" t="s">
        <v>146</v>
      </c>
      <c r="D51" s="71" t="s">
        <v>175</v>
      </c>
      <c r="E51" s="10" t="s">
        <v>147</v>
      </c>
      <c r="F51" s="75" t="s">
        <v>175</v>
      </c>
      <c r="G51" s="10" t="s">
        <v>148</v>
      </c>
      <c r="H51" s="69">
        <v>4.1620683541967914E-2</v>
      </c>
      <c r="I51" s="46" t="s">
        <v>149</v>
      </c>
      <c r="J51" s="40"/>
    </row>
    <row r="52" spans="1:10" ht="15" customHeight="1">
      <c r="A52" s="11" t="s">
        <v>58</v>
      </c>
      <c r="B52" s="71">
        <v>41.049999237060547</v>
      </c>
      <c r="C52" s="10" t="s">
        <v>150</v>
      </c>
      <c r="D52" s="71" t="s">
        <v>175</v>
      </c>
      <c r="E52" s="10" t="s">
        <v>151</v>
      </c>
      <c r="F52" s="75" t="s">
        <v>175</v>
      </c>
      <c r="G52" s="10" t="s">
        <v>169</v>
      </c>
      <c r="H52" s="71">
        <v>190216.26</v>
      </c>
      <c r="I52" s="100" t="s">
        <v>229</v>
      </c>
      <c r="J52" s="64"/>
    </row>
    <row r="53" spans="1:10" ht="15" customHeight="1">
      <c r="A53" s="11" t="s">
        <v>64</v>
      </c>
      <c r="B53" s="71">
        <v>3</v>
      </c>
      <c r="C53" s="10" t="s">
        <v>152</v>
      </c>
      <c r="D53" s="71" t="s">
        <v>175</v>
      </c>
      <c r="E53" s="10" t="s">
        <v>153</v>
      </c>
      <c r="F53" s="75" t="s">
        <v>175</v>
      </c>
      <c r="G53" s="10" t="s">
        <v>170</v>
      </c>
      <c r="H53" s="70">
        <v>185.80061545212152</v>
      </c>
      <c r="I53" s="45" t="s">
        <v>154</v>
      </c>
      <c r="J53" s="40"/>
    </row>
    <row r="54" spans="1:10" ht="15" customHeight="1">
      <c r="A54" s="11" t="s">
        <v>66</v>
      </c>
      <c r="B54" s="71">
        <v>6</v>
      </c>
      <c r="C54" s="10" t="s">
        <v>155</v>
      </c>
      <c r="D54" s="71" t="s">
        <v>175</v>
      </c>
      <c r="E54" s="10" t="s">
        <v>153</v>
      </c>
      <c r="F54" s="75" t="s">
        <v>175</v>
      </c>
      <c r="G54" s="10" t="s">
        <v>171</v>
      </c>
      <c r="H54" s="72">
        <v>438746</v>
      </c>
      <c r="I54" s="101" t="s">
        <v>230</v>
      </c>
      <c r="J54" s="102" t="s">
        <v>193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175</v>
      </c>
      <c r="E55" s="10" t="s">
        <v>158</v>
      </c>
      <c r="F55" s="75" t="s">
        <v>175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175</v>
      </c>
      <c r="C56" s="22" t="s">
        <v>162</v>
      </c>
      <c r="D56" s="82" t="s">
        <v>175</v>
      </c>
      <c r="E56" s="22" t="s">
        <v>163</v>
      </c>
      <c r="F56" s="84" t="s">
        <v>175</v>
      </c>
      <c r="G56" s="22" t="s">
        <v>164</v>
      </c>
      <c r="H56" s="81">
        <v>0.89993499999999993</v>
      </c>
      <c r="I56" s="103" t="s">
        <v>231</v>
      </c>
      <c r="J56" s="63" t="s">
        <v>194</v>
      </c>
    </row>
    <row r="57" spans="1:10" ht="15" customHeight="1">
      <c r="A57" s="24" t="s">
        <v>372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373</v>
      </c>
      <c r="D58" s="4" t="s">
        <v>119</v>
      </c>
      <c r="E58" s="4" t="s">
        <v>165</v>
      </c>
      <c r="F58" s="17" t="s">
        <v>374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0.20041507482528687</v>
      </c>
      <c r="D59" s="130">
        <v>0.68736839294433594</v>
      </c>
      <c r="E59" s="88">
        <v>115.03732775733366</v>
      </c>
      <c r="F59" s="89">
        <v>637.11492919921875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168.36525413967996</v>
      </c>
      <c r="C60" s="89">
        <v>207.702880859375</v>
      </c>
      <c r="D60" s="130">
        <v>0.79157894849777222</v>
      </c>
      <c r="E60" s="88">
        <v>115.02101241989054</v>
      </c>
      <c r="F60" s="89">
        <v>641.2349853515625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220</v>
      </c>
      <c r="C61" s="89">
        <v>517.42486572265625</v>
      </c>
      <c r="D61" s="130">
        <v>0.89578944444656372</v>
      </c>
      <c r="E61" s="88">
        <v>115.00529717121879</v>
      </c>
      <c r="F61" s="89">
        <v>644.6253662109375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141.95917092883073</v>
      </c>
      <c r="C62" s="89">
        <v>571.10650634765625</v>
      </c>
      <c r="D62" s="131">
        <v>1</v>
      </c>
      <c r="E62" s="88">
        <v>115</v>
      </c>
      <c r="F62" s="89">
        <v>647.46832275390625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123.10914185708398</v>
      </c>
      <c r="C63" s="89">
        <v>586.2589111328125</v>
      </c>
      <c r="D63" s="347"/>
      <c r="E63" s="348"/>
      <c r="F63" s="349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117.31732188684821</v>
      </c>
      <c r="C64" s="89">
        <v>594.84332275390625</v>
      </c>
      <c r="D64" s="350" t="s">
        <v>382</v>
      </c>
      <c r="E64" s="351"/>
      <c r="F64" s="351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115.21900788080265</v>
      </c>
      <c r="C65" s="89">
        <v>607.41864013671875</v>
      </c>
      <c r="D65" s="352" t="s">
        <v>376</v>
      </c>
      <c r="E65" s="354" t="s">
        <v>380</v>
      </c>
      <c r="F65" s="355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115.15504242474238</v>
      </c>
      <c r="C66" s="89">
        <v>617.47967529296875</v>
      </c>
      <c r="D66" s="352" t="s">
        <v>377</v>
      </c>
      <c r="E66" s="354" t="s">
        <v>381</v>
      </c>
      <c r="F66" s="355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115.09936888585187</v>
      </c>
      <c r="C67" s="89">
        <v>625.5645751953125</v>
      </c>
      <c r="D67" s="352" t="s">
        <v>378</v>
      </c>
      <c r="E67" s="354" t="s">
        <v>383</v>
      </c>
      <c r="F67" s="355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115.06558137677476</v>
      </c>
      <c r="C68" s="91">
        <v>632.01898193359375</v>
      </c>
      <c r="D68" s="353" t="s">
        <v>379</v>
      </c>
      <c r="E68" s="356" t="s">
        <v>384</v>
      </c>
      <c r="F68" s="356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46" t="s">
        <v>375</v>
      </c>
      <c r="B99" s="346"/>
      <c r="C99" s="346"/>
      <c r="D99" s="346"/>
      <c r="E99" s="346"/>
      <c r="F99" s="346"/>
      <c r="G99" s="346"/>
      <c r="H99" s="346"/>
      <c r="I99" s="346"/>
    </row>
    <row r="100" spans="1:9">
      <c r="A100" s="346">
        <v>100</v>
      </c>
      <c r="B100" s="346"/>
      <c r="C100" s="346"/>
      <c r="D100" s="346"/>
      <c r="E100" s="346"/>
      <c r="F100" s="346"/>
      <c r="G100" s="346"/>
      <c r="H100" s="346"/>
      <c r="I100" s="346"/>
    </row>
    <row r="101" spans="1:9">
      <c r="A101" s="346">
        <v>99.599998474121094</v>
      </c>
      <c r="B101" s="346"/>
      <c r="C101" s="346"/>
      <c r="D101" s="346"/>
      <c r="E101" s="346"/>
      <c r="F101" s="346"/>
      <c r="G101" s="346"/>
      <c r="H101" s="346"/>
      <c r="I101" s="346"/>
    </row>
    <row r="102" spans="1:9">
      <c r="A102" s="346">
        <v>98</v>
      </c>
      <c r="B102" s="346"/>
      <c r="C102" s="346"/>
      <c r="D102" s="346"/>
      <c r="E102" s="346"/>
      <c r="F102" s="346"/>
      <c r="G102" s="346"/>
      <c r="H102" s="346"/>
      <c r="I102" s="346"/>
    </row>
    <row r="103" spans="1:9">
      <c r="A103" s="346">
        <v>83.852630615234375</v>
      </c>
      <c r="B103" s="346"/>
      <c r="C103" s="346"/>
      <c r="D103" s="346"/>
      <c r="E103" s="346"/>
      <c r="F103" s="346"/>
      <c r="G103" s="346"/>
      <c r="H103" s="346"/>
      <c r="I103" s="346"/>
    </row>
    <row r="104" spans="1:9">
      <c r="A104" s="346">
        <v>70.305259704589844</v>
      </c>
      <c r="B104" s="346"/>
      <c r="C104" s="346"/>
      <c r="D104" s="346"/>
      <c r="E104" s="346"/>
      <c r="F104" s="346"/>
      <c r="G104" s="346"/>
      <c r="H104" s="346"/>
      <c r="I104" s="346"/>
    </row>
    <row r="105" spans="1:9">
      <c r="A105" s="346">
        <v>57.410526275634766</v>
      </c>
      <c r="B105" s="346"/>
      <c r="C105" s="346"/>
      <c r="D105" s="346"/>
      <c r="E105" s="346"/>
      <c r="F105" s="346"/>
      <c r="G105" s="346"/>
      <c r="H105" s="346"/>
      <c r="I105" s="346"/>
    </row>
    <row r="106" spans="1:9">
      <c r="A106" s="346">
        <v>38.010524749755859</v>
      </c>
      <c r="B106" s="346"/>
      <c r="C106" s="346"/>
      <c r="D106" s="346"/>
      <c r="E106" s="346"/>
      <c r="F106" s="346"/>
      <c r="G106" s="346"/>
      <c r="H106" s="346"/>
      <c r="I106" s="346"/>
    </row>
    <row r="107" spans="1:9">
      <c r="A107" s="346">
        <v>24.778947830200195</v>
      </c>
      <c r="B107" s="346"/>
      <c r="C107" s="346"/>
      <c r="D107" s="346"/>
      <c r="E107" s="346"/>
      <c r="F107" s="346"/>
      <c r="G107" s="346"/>
      <c r="H107" s="346"/>
      <c r="I107" s="346"/>
    </row>
    <row r="108" spans="1:9">
      <c r="A108" s="346">
        <v>15.684209823608398</v>
      </c>
      <c r="B108" s="346"/>
      <c r="C108" s="346"/>
      <c r="D108" s="346"/>
      <c r="E108" s="346"/>
      <c r="F108" s="346"/>
      <c r="G108" s="346"/>
      <c r="H108" s="346"/>
      <c r="I108" s="346"/>
    </row>
    <row r="109" spans="1:9">
      <c r="A109" s="346">
        <v>9.0105257034301758</v>
      </c>
      <c r="B109" s="346"/>
      <c r="C109" s="346"/>
      <c r="D109" s="346"/>
      <c r="E109" s="346"/>
      <c r="F109" s="346"/>
      <c r="G109" s="346"/>
      <c r="H109" s="346"/>
      <c r="I109" s="346"/>
    </row>
    <row r="110" spans="1:9">
      <c r="A110" s="346">
        <v>6.2526321411132813</v>
      </c>
      <c r="B110" s="346"/>
      <c r="C110" s="346"/>
      <c r="D110" s="346"/>
      <c r="E110" s="346"/>
      <c r="F110" s="346"/>
      <c r="G110" s="346"/>
      <c r="H110" s="346"/>
      <c r="I110" s="346"/>
    </row>
    <row r="111" spans="1:9">
      <c r="A111" s="346">
        <v>7.8315787315368652</v>
      </c>
      <c r="B111" s="346"/>
      <c r="C111" s="346"/>
      <c r="D111" s="346"/>
      <c r="E111" s="346"/>
      <c r="F111" s="346"/>
      <c r="G111" s="346"/>
      <c r="H111" s="346"/>
      <c r="I111" s="346"/>
    </row>
    <row r="112" spans="1:9">
      <c r="A112" s="346">
        <v>14.70526123046875</v>
      </c>
      <c r="B112" s="346"/>
      <c r="C112" s="346"/>
      <c r="D112" s="346"/>
      <c r="E112" s="346"/>
      <c r="F112" s="346"/>
      <c r="G112" s="346"/>
      <c r="H112" s="346"/>
      <c r="I112" s="346"/>
    </row>
    <row r="113" spans="1:9">
      <c r="A113" s="346">
        <v>30</v>
      </c>
      <c r="B113" s="346"/>
      <c r="C113" s="346"/>
      <c r="D113" s="346"/>
      <c r="E113" s="346"/>
      <c r="F113" s="346"/>
      <c r="G113" s="346"/>
      <c r="H113" s="346"/>
      <c r="I113" s="346"/>
    </row>
  </sheetData>
  <printOptions horizontalCentered="1"/>
  <pageMargins left="0.86614173228346503" right="0" top="0.23622047244094499" bottom="0.23622047244094499" header="0" footer="0"/>
  <pageSetup scale="76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30" workbookViewId="0">
      <selection activeCell="G39" sqref="G39"/>
    </sheetView>
  </sheetViews>
  <sheetFormatPr defaultColWidth="9.109375" defaultRowHeight="15"/>
  <cols>
    <col min="1" max="1" width="12.109375" style="304" customWidth="1"/>
    <col min="2" max="2" width="6.109375" style="304" customWidth="1"/>
    <col min="3" max="3" width="7.6640625" style="304" customWidth="1"/>
    <col min="4" max="5" width="13.109375" style="304" customWidth="1"/>
    <col min="6" max="6" width="9.44140625" style="304" customWidth="1"/>
    <col min="7" max="7" width="5.6640625" style="304" customWidth="1"/>
    <col min="8" max="8" width="7.88671875" style="304" customWidth="1"/>
    <col min="9" max="9" width="6.5546875" style="304" customWidth="1"/>
    <col min="10" max="10" width="12" style="305" customWidth="1"/>
    <col min="11" max="11" width="12" style="304" customWidth="1"/>
    <col min="12" max="12" width="16" style="153" customWidth="1"/>
    <col min="13" max="26" width="9.109375" style="153"/>
    <col min="27" max="16384" width="9.109375" style="154"/>
  </cols>
  <sheetData>
    <row r="1" spans="1:26" ht="20.25" customHeight="1">
      <c r="A1" s="493" t="s">
        <v>251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</row>
    <row r="2" spans="1:26" ht="20.25" customHeight="1">
      <c r="A2" s="494" t="s">
        <v>252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</row>
    <row r="3" spans="1:26" ht="18.75" customHeight="1" thickBot="1">
      <c r="A3" s="155" t="s">
        <v>1</v>
      </c>
      <c r="B3" s="156" t="s">
        <v>361</v>
      </c>
      <c r="C3" s="157"/>
      <c r="D3" s="157"/>
      <c r="E3" s="157"/>
      <c r="F3" s="158"/>
      <c r="G3" s="157"/>
      <c r="H3" s="157"/>
      <c r="I3" s="155" t="s">
        <v>253</v>
      </c>
      <c r="J3" s="495" t="s">
        <v>644</v>
      </c>
      <c r="K3" s="495"/>
    </row>
    <row r="4" spans="1:26" s="167" customFormat="1" ht="18.45" customHeight="1" thickBot="1">
      <c r="A4" s="159" t="s">
        <v>362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254</v>
      </c>
      <c r="R4" s="165"/>
      <c r="S4" s="163"/>
      <c r="T4" s="164" t="s">
        <v>255</v>
      </c>
      <c r="U4" s="166"/>
      <c r="V4" s="163"/>
      <c r="W4" s="163"/>
      <c r="X4" s="163"/>
      <c r="Y4" s="163"/>
      <c r="Z4" s="163"/>
    </row>
    <row r="5" spans="1:26" s="167" customFormat="1" ht="18.45" customHeight="1">
      <c r="A5" s="496" t="s">
        <v>256</v>
      </c>
      <c r="B5" s="497"/>
      <c r="C5" s="497"/>
      <c r="D5" s="168"/>
      <c r="E5" s="169"/>
      <c r="F5" s="170" t="s">
        <v>257</v>
      </c>
      <c r="G5" s="171"/>
      <c r="H5" s="171"/>
      <c r="I5" s="172"/>
      <c r="J5" s="173" t="s">
        <v>258</v>
      </c>
      <c r="K5" s="174" t="s">
        <v>259</v>
      </c>
      <c r="L5" s="163"/>
      <c r="M5" s="163"/>
      <c r="N5" s="163"/>
      <c r="O5" s="163"/>
      <c r="P5" s="163"/>
      <c r="Q5" s="175" t="s">
        <v>260</v>
      </c>
      <c r="R5" s="176"/>
      <c r="S5" s="163"/>
      <c r="T5" s="175" t="s">
        <v>261</v>
      </c>
      <c r="U5" s="177"/>
      <c r="V5" s="163"/>
      <c r="W5" s="163"/>
      <c r="X5" s="163"/>
      <c r="Y5" s="163"/>
      <c r="Z5" s="163"/>
    </row>
    <row r="6" spans="1:26" s="167" customFormat="1" ht="18.45" customHeight="1">
      <c r="A6" s="498" t="s">
        <v>67</v>
      </c>
      <c r="B6" s="499"/>
      <c r="C6" s="499"/>
      <c r="D6" s="500" t="s">
        <v>265</v>
      </c>
      <c r="E6" s="501"/>
      <c r="F6" s="428" t="s">
        <v>263</v>
      </c>
      <c r="G6" s="429"/>
      <c r="H6" s="429"/>
      <c r="I6" s="429"/>
      <c r="J6" s="429"/>
      <c r="K6" s="430"/>
      <c r="L6" s="163"/>
      <c r="M6" s="163"/>
      <c r="N6" s="163"/>
      <c r="O6" s="163"/>
      <c r="P6" s="163"/>
      <c r="Q6" s="175" t="s">
        <v>264</v>
      </c>
      <c r="R6" s="176"/>
      <c r="S6" s="163"/>
      <c r="T6" s="175" t="s">
        <v>265</v>
      </c>
      <c r="U6" s="177"/>
      <c r="V6" s="163"/>
      <c r="W6" s="163"/>
      <c r="X6" s="163"/>
      <c r="Y6" s="163"/>
      <c r="Z6" s="163"/>
    </row>
    <row r="7" spans="1:26" s="167" customFormat="1" ht="18.45" customHeight="1">
      <c r="A7" s="489" t="s">
        <v>20</v>
      </c>
      <c r="B7" s="490"/>
      <c r="C7" s="490"/>
      <c r="D7" s="491">
        <v>3</v>
      </c>
      <c r="E7" s="492"/>
      <c r="F7" s="178" t="s">
        <v>266</v>
      </c>
      <c r="G7" s="179"/>
      <c r="H7" s="180"/>
      <c r="I7" s="181"/>
      <c r="J7" s="182">
        <v>35</v>
      </c>
      <c r="K7" s="183" t="s">
        <v>175</v>
      </c>
      <c r="L7" s="163"/>
      <c r="M7" s="163"/>
      <c r="N7" s="163"/>
      <c r="O7" s="163"/>
      <c r="P7" s="163"/>
      <c r="Q7" s="175" t="s">
        <v>267</v>
      </c>
      <c r="R7" s="176"/>
      <c r="S7" s="163"/>
      <c r="T7" s="175" t="s">
        <v>262</v>
      </c>
      <c r="U7" s="177"/>
      <c r="V7" s="163"/>
      <c r="W7" s="163"/>
      <c r="X7" s="163"/>
      <c r="Y7" s="163"/>
      <c r="Z7" s="163"/>
    </row>
    <row r="8" spans="1:26" s="167" customFormat="1" ht="18.45" customHeight="1">
      <c r="A8" s="489" t="s">
        <v>268</v>
      </c>
      <c r="B8" s="490"/>
      <c r="C8" s="490"/>
      <c r="D8" s="475">
        <v>740</v>
      </c>
      <c r="E8" s="471"/>
      <c r="F8" s="184" t="s">
        <v>269</v>
      </c>
      <c r="G8" s="185"/>
      <c r="H8" s="186"/>
      <c r="I8" s="187"/>
      <c r="J8" s="188">
        <v>15915</v>
      </c>
      <c r="K8" s="189" t="s">
        <v>175</v>
      </c>
      <c r="L8" s="163"/>
      <c r="M8" s="163"/>
      <c r="N8" s="163"/>
      <c r="O8" s="163"/>
      <c r="P8" s="163"/>
      <c r="Q8" s="175" t="s">
        <v>270</v>
      </c>
      <c r="R8" s="176"/>
      <c r="S8" s="163"/>
      <c r="T8" s="175" t="s">
        <v>271</v>
      </c>
      <c r="U8" s="177"/>
      <c r="V8" s="163"/>
      <c r="W8" s="163"/>
      <c r="X8" s="163"/>
      <c r="Y8" s="163"/>
      <c r="Z8" s="163"/>
    </row>
    <row r="9" spans="1:26" s="167" customFormat="1" ht="18.45" customHeight="1">
      <c r="A9" s="484" t="s">
        <v>272</v>
      </c>
      <c r="B9" s="485"/>
      <c r="C9" s="486"/>
      <c r="D9" s="475" t="s">
        <v>371</v>
      </c>
      <c r="E9" s="471"/>
      <c r="F9" s="178" t="s">
        <v>273</v>
      </c>
      <c r="G9" s="179"/>
      <c r="H9" s="190">
        <v>3</v>
      </c>
      <c r="I9" s="191" t="s">
        <v>274</v>
      </c>
      <c r="J9" s="188">
        <v>183.7</v>
      </c>
      <c r="K9" s="189" t="s">
        <v>175</v>
      </c>
      <c r="L9" s="163"/>
      <c r="M9" s="163"/>
      <c r="N9" s="163" t="s">
        <v>39</v>
      </c>
      <c r="O9" s="163"/>
      <c r="P9" s="163"/>
      <c r="Q9" s="175" t="s">
        <v>275</v>
      </c>
      <c r="R9" s="176"/>
      <c r="S9" s="163"/>
      <c r="T9" s="175" t="s">
        <v>276</v>
      </c>
      <c r="U9" s="177"/>
      <c r="V9" s="163"/>
      <c r="W9" s="163"/>
      <c r="X9" s="163"/>
      <c r="Y9" s="163"/>
      <c r="Z9" s="163"/>
    </row>
    <row r="10" spans="1:26" s="167" customFormat="1" ht="18.45" customHeight="1" thickBot="1">
      <c r="A10" s="484" t="s">
        <v>277</v>
      </c>
      <c r="B10" s="485"/>
      <c r="C10" s="486"/>
      <c r="D10" s="458" t="s">
        <v>185</v>
      </c>
      <c r="E10" s="459"/>
      <c r="F10" s="178" t="s">
        <v>278</v>
      </c>
      <c r="G10" s="179"/>
      <c r="H10" s="190">
        <v>3</v>
      </c>
      <c r="I10" s="191" t="s">
        <v>274</v>
      </c>
      <c r="J10" s="192">
        <v>1150</v>
      </c>
      <c r="K10" s="189" t="s">
        <v>175</v>
      </c>
      <c r="L10" s="163"/>
      <c r="M10" s="163"/>
      <c r="N10" s="163"/>
      <c r="O10" s="163"/>
      <c r="P10" s="163"/>
      <c r="Q10" s="175" t="s">
        <v>279</v>
      </c>
      <c r="R10" s="176"/>
      <c r="S10" s="163"/>
      <c r="T10" s="193" t="s">
        <v>280</v>
      </c>
      <c r="U10" s="194"/>
      <c r="V10" s="163"/>
      <c r="W10" s="163"/>
      <c r="X10" s="163"/>
      <c r="Y10" s="163"/>
      <c r="Z10" s="163"/>
    </row>
    <row r="11" spans="1:26" s="167" customFormat="1" ht="18.45" customHeight="1" thickBot="1">
      <c r="A11" s="484" t="s">
        <v>281</v>
      </c>
      <c r="B11" s="485"/>
      <c r="C11" s="486"/>
      <c r="D11" s="453" t="s">
        <v>175</v>
      </c>
      <c r="E11" s="454"/>
      <c r="F11" s="195" t="s">
        <v>282</v>
      </c>
      <c r="G11" s="196"/>
      <c r="H11" s="197">
        <v>3</v>
      </c>
      <c r="I11" s="191" t="s">
        <v>274</v>
      </c>
      <c r="J11" s="198">
        <v>36097</v>
      </c>
      <c r="K11" s="199" t="s">
        <v>175</v>
      </c>
      <c r="L11" s="163"/>
      <c r="M11" s="163"/>
      <c r="N11" s="163"/>
      <c r="O11" s="163"/>
      <c r="P11" s="163"/>
      <c r="Q11" s="193" t="s">
        <v>283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45" customHeight="1">
      <c r="A12" s="201" t="s">
        <v>284</v>
      </c>
      <c r="C12" s="202"/>
      <c r="D12" s="487" t="s">
        <v>175</v>
      </c>
      <c r="E12" s="488"/>
      <c r="F12" s="455" t="s">
        <v>285</v>
      </c>
      <c r="G12" s="456"/>
      <c r="H12" s="456"/>
      <c r="I12" s="456"/>
      <c r="J12" s="456"/>
      <c r="K12" s="457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45" customHeight="1">
      <c r="A13" s="484" t="s">
        <v>53</v>
      </c>
      <c r="B13" s="485"/>
      <c r="C13" s="486"/>
      <c r="D13" s="478" t="s">
        <v>364</v>
      </c>
      <c r="E13" s="479"/>
      <c r="F13" s="203"/>
      <c r="G13" s="204" t="s">
        <v>286</v>
      </c>
      <c r="H13" s="205"/>
      <c r="I13" s="206" t="s">
        <v>287</v>
      </c>
      <c r="J13" s="207" t="s">
        <v>366</v>
      </c>
      <c r="K13" s="208" t="s">
        <v>175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45" customHeight="1">
      <c r="A14" s="484" t="s">
        <v>56</v>
      </c>
      <c r="B14" s="485"/>
      <c r="C14" s="486"/>
      <c r="D14" s="487">
        <v>1456</v>
      </c>
      <c r="E14" s="488"/>
      <c r="F14" s="203"/>
      <c r="G14" s="209" t="s">
        <v>10</v>
      </c>
      <c r="H14" s="210"/>
      <c r="I14" s="210"/>
      <c r="J14" s="192" t="s">
        <v>175</v>
      </c>
      <c r="K14" s="189" t="s">
        <v>175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45" customHeight="1">
      <c r="A15" s="472" t="s">
        <v>288</v>
      </c>
      <c r="B15" s="473"/>
      <c r="C15" s="474"/>
      <c r="D15" s="451">
        <v>13.906399726867676</v>
      </c>
      <c r="E15" s="452"/>
      <c r="F15" s="203"/>
      <c r="G15" s="209" t="s">
        <v>289</v>
      </c>
      <c r="H15" s="210"/>
      <c r="I15" s="210"/>
      <c r="J15" s="192" t="s">
        <v>175</v>
      </c>
      <c r="K15" s="189" t="s">
        <v>175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45" customHeight="1">
      <c r="A16" s="448" t="s">
        <v>290</v>
      </c>
      <c r="B16" s="449"/>
      <c r="C16" s="450"/>
      <c r="D16" s="451">
        <v>3.4935998916625977</v>
      </c>
      <c r="E16" s="452"/>
      <c r="F16" s="211"/>
      <c r="G16" s="212" t="s">
        <v>17</v>
      </c>
      <c r="H16" s="213"/>
      <c r="I16" s="213"/>
      <c r="J16" s="198" t="s">
        <v>175</v>
      </c>
      <c r="K16" s="199" t="s">
        <v>175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45" customHeight="1">
      <c r="A17" s="214" t="s">
        <v>291</v>
      </c>
      <c r="B17" s="215"/>
      <c r="C17" s="216"/>
      <c r="D17" s="453" t="s">
        <v>363</v>
      </c>
      <c r="E17" s="454"/>
      <c r="F17" s="455" t="s">
        <v>292</v>
      </c>
      <c r="G17" s="456"/>
      <c r="H17" s="456"/>
      <c r="I17" s="456"/>
      <c r="J17" s="456"/>
      <c r="K17" s="457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45" customHeight="1">
      <c r="A18" s="217" t="s">
        <v>293</v>
      </c>
      <c r="B18" s="218"/>
      <c r="C18" s="216"/>
      <c r="D18" s="458" t="s">
        <v>175</v>
      </c>
      <c r="E18" s="459"/>
      <c r="F18" s="460"/>
      <c r="G18" s="461"/>
      <c r="H18" s="219" t="s">
        <v>294</v>
      </c>
      <c r="I18" s="220"/>
      <c r="J18" s="188">
        <v>158</v>
      </c>
      <c r="K18" s="189"/>
      <c r="L18" s="163"/>
      <c r="M18" s="163">
        <f>J18*6.5</f>
        <v>1027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45" customHeight="1">
      <c r="A19" s="466" t="s">
        <v>295</v>
      </c>
      <c r="B19" s="467"/>
      <c r="C19" s="468"/>
      <c r="D19" s="469" t="s">
        <v>175</v>
      </c>
      <c r="E19" s="454"/>
      <c r="F19" s="462"/>
      <c r="G19" s="463"/>
      <c r="H19" s="219" t="s">
        <v>5</v>
      </c>
      <c r="I19" s="181"/>
      <c r="J19" s="188">
        <v>1789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45" customHeight="1" thickBot="1">
      <c r="A20" s="221" t="s">
        <v>296</v>
      </c>
      <c r="C20" s="222"/>
      <c r="D20" s="470" t="s">
        <v>184</v>
      </c>
      <c r="E20" s="471"/>
      <c r="F20" s="462"/>
      <c r="G20" s="463"/>
      <c r="H20" s="219" t="s">
        <v>297</v>
      </c>
      <c r="I20" s="181"/>
      <c r="J20" s="192" t="s">
        <v>368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45" customHeight="1" thickBot="1">
      <c r="A21" s="472" t="s">
        <v>298</v>
      </c>
      <c r="B21" s="473"/>
      <c r="C21" s="474"/>
      <c r="D21" s="475" t="s">
        <v>175</v>
      </c>
      <c r="E21" s="471"/>
      <c r="F21" s="462"/>
      <c r="G21" s="463"/>
      <c r="H21" s="223" t="s">
        <v>299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300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45" customHeight="1">
      <c r="A22" s="217" t="s">
        <v>301</v>
      </c>
      <c r="B22" s="224"/>
      <c r="C22" s="224"/>
      <c r="D22" s="476">
        <v>6.6000000000000003E-2</v>
      </c>
      <c r="E22" s="477"/>
      <c r="F22" s="462"/>
      <c r="G22" s="463"/>
      <c r="H22" s="219" t="s">
        <v>258</v>
      </c>
      <c r="I22" s="181"/>
      <c r="J22" s="344" t="s">
        <v>175</v>
      </c>
      <c r="K22" s="189"/>
      <c r="L22" s="163"/>
      <c r="M22" s="163"/>
      <c r="N22" s="163"/>
      <c r="O22" s="163"/>
      <c r="P22" s="163"/>
      <c r="Q22" s="175" t="s">
        <v>302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45" customHeight="1">
      <c r="A23" s="225" t="s">
        <v>303</v>
      </c>
      <c r="B23" s="226" t="s">
        <v>304</v>
      </c>
      <c r="C23" s="227"/>
      <c r="D23" s="478">
        <v>988</v>
      </c>
      <c r="E23" s="479"/>
      <c r="F23" s="462"/>
      <c r="G23" s="463"/>
      <c r="H23" s="228" t="s">
        <v>305</v>
      </c>
      <c r="I23" s="229"/>
      <c r="J23" s="230"/>
      <c r="K23" s="231"/>
      <c r="L23" s="163"/>
      <c r="Q23" s="175" t="s">
        <v>306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45" customHeight="1" thickBot="1">
      <c r="A24" s="232" t="s">
        <v>307</v>
      </c>
      <c r="B24" s="233" t="s">
        <v>308</v>
      </c>
      <c r="C24" s="234"/>
      <c r="D24" s="480" t="s">
        <v>175</v>
      </c>
      <c r="E24" s="481"/>
      <c r="F24" s="462"/>
      <c r="G24" s="463"/>
      <c r="H24" s="219" t="s">
        <v>309</v>
      </c>
      <c r="I24" s="202"/>
      <c r="J24" s="235"/>
      <c r="K24" s="236"/>
      <c r="Q24" s="237" t="s">
        <v>175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45" customHeight="1">
      <c r="A25" s="239" t="s">
        <v>310</v>
      </c>
      <c r="B25" s="240"/>
      <c r="C25" s="240"/>
      <c r="D25" s="241"/>
      <c r="E25" s="241" t="s">
        <v>311</v>
      </c>
      <c r="F25" s="462"/>
      <c r="G25" s="463"/>
      <c r="H25" s="219" t="s">
        <v>312</v>
      </c>
      <c r="I25" s="202"/>
      <c r="J25" s="242"/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45" customHeight="1">
      <c r="A26" s="243" t="s">
        <v>313</v>
      </c>
      <c r="B26" s="244"/>
      <c r="C26" s="245"/>
      <c r="D26" s="246" t="s">
        <v>367</v>
      </c>
      <c r="E26" s="246" t="s">
        <v>369</v>
      </c>
      <c r="F26" s="464"/>
      <c r="G26" s="465"/>
      <c r="H26" s="482"/>
      <c r="I26" s="483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45" customHeight="1">
      <c r="A27" s="426" t="s">
        <v>314</v>
      </c>
      <c r="B27" s="427"/>
      <c r="C27" s="427"/>
      <c r="D27" s="427"/>
      <c r="E27" s="427"/>
      <c r="F27" s="428" t="s">
        <v>315</v>
      </c>
      <c r="G27" s="429"/>
      <c r="H27" s="429"/>
      <c r="I27" s="429"/>
      <c r="J27" s="429"/>
      <c r="K27" s="430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45" customHeight="1">
      <c r="A28" s="433"/>
      <c r="B28" s="434"/>
      <c r="C28" s="434"/>
      <c r="D28" s="434"/>
      <c r="E28" s="435"/>
      <c r="F28" s="249"/>
      <c r="G28" s="250"/>
      <c r="H28" s="209" t="s">
        <v>316</v>
      </c>
      <c r="I28" s="251" t="s">
        <v>365</v>
      </c>
      <c r="J28" s="188">
        <v>1023</v>
      </c>
      <c r="K28" s="252" t="s">
        <v>175</v>
      </c>
      <c r="M28" s="167">
        <f>(J28/J18)*100</f>
        <v>647.46835443037969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45" customHeight="1">
      <c r="A29" s="433"/>
      <c r="B29" s="434"/>
      <c r="C29" s="434"/>
      <c r="D29" s="434"/>
      <c r="E29" s="435"/>
      <c r="F29" s="254"/>
      <c r="G29" s="255"/>
      <c r="H29" s="209" t="s">
        <v>317</v>
      </c>
      <c r="I29" s="256">
        <v>60</v>
      </c>
      <c r="J29" s="188">
        <v>115</v>
      </c>
      <c r="K29" s="257" t="s">
        <v>175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45" customHeight="1">
      <c r="A30" s="433"/>
      <c r="B30" s="434"/>
      <c r="C30" s="434"/>
      <c r="D30" s="434"/>
      <c r="E30" s="435"/>
      <c r="F30" s="254"/>
      <c r="G30" s="255"/>
      <c r="H30" s="209" t="s">
        <v>318</v>
      </c>
      <c r="I30" s="256">
        <v>175</v>
      </c>
      <c r="J30" s="188">
        <v>220</v>
      </c>
      <c r="K30" s="258" t="s">
        <v>175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45" customHeight="1">
      <c r="A31" s="433"/>
      <c r="B31" s="434"/>
      <c r="C31" s="434"/>
      <c r="D31" s="434"/>
      <c r="E31" s="435"/>
      <c r="F31" s="254"/>
      <c r="G31" s="255"/>
      <c r="H31" s="209" t="s">
        <v>319</v>
      </c>
      <c r="I31" s="210"/>
      <c r="J31" s="259">
        <v>0.6</v>
      </c>
      <c r="K31" s="183" t="s">
        <v>175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45" customHeight="1">
      <c r="A32" s="436"/>
      <c r="B32" s="437"/>
      <c r="C32" s="437"/>
      <c r="D32" s="437"/>
      <c r="E32" s="438"/>
      <c r="F32" s="254"/>
      <c r="G32" s="260" t="s">
        <v>320</v>
      </c>
      <c r="H32" s="209" t="s">
        <v>321</v>
      </c>
      <c r="I32" s="261"/>
      <c r="J32" s="182">
        <v>95.2</v>
      </c>
      <c r="K32" s="257" t="s">
        <v>175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45" customHeight="1">
      <c r="A33" s="426" t="s">
        <v>322</v>
      </c>
      <c r="B33" s="427"/>
      <c r="C33" s="427"/>
      <c r="D33" s="427"/>
      <c r="E33" s="439"/>
      <c r="F33" s="263"/>
      <c r="G33" s="264"/>
      <c r="H33" s="265" t="s">
        <v>323</v>
      </c>
      <c r="I33" s="266"/>
      <c r="J33" s="267">
        <v>89.7</v>
      </c>
      <c r="K33" s="268" t="s">
        <v>175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45" customHeight="1">
      <c r="A34" s="433"/>
      <c r="B34" s="434"/>
      <c r="C34" s="434"/>
      <c r="D34" s="434"/>
      <c r="E34" s="435"/>
      <c r="F34" s="184" t="s">
        <v>324</v>
      </c>
      <c r="G34" s="269"/>
      <c r="H34" s="270" t="s">
        <v>14</v>
      </c>
      <c r="I34" s="271"/>
      <c r="J34" s="272">
        <v>6187</v>
      </c>
      <c r="K34" s="273" t="s">
        <v>175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45" customHeight="1">
      <c r="A35" s="433"/>
      <c r="B35" s="434"/>
      <c r="C35" s="434"/>
      <c r="D35" s="434"/>
      <c r="E35" s="435"/>
      <c r="F35" s="203"/>
      <c r="G35" s="276"/>
      <c r="H35" s="277" t="s">
        <v>15</v>
      </c>
      <c r="I35" s="278"/>
      <c r="J35" s="188">
        <v>5910</v>
      </c>
      <c r="K35" s="183" t="s">
        <v>175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45" customHeight="1">
      <c r="A36" s="433"/>
      <c r="B36" s="434"/>
      <c r="C36" s="434"/>
      <c r="D36" s="434"/>
      <c r="E36" s="435"/>
      <c r="F36" s="203"/>
      <c r="G36" s="276"/>
      <c r="H36" s="277" t="s">
        <v>325</v>
      </c>
      <c r="I36" s="278"/>
      <c r="J36" s="188">
        <v>4859</v>
      </c>
      <c r="K36" s="183" t="s">
        <v>175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45" customHeight="1">
      <c r="A37" s="433"/>
      <c r="B37" s="434"/>
      <c r="C37" s="434"/>
      <c r="D37" s="434"/>
      <c r="E37" s="435"/>
      <c r="F37" s="254"/>
      <c r="G37" s="276"/>
      <c r="H37" s="277" t="s">
        <v>326</v>
      </c>
      <c r="I37" s="278"/>
      <c r="J37" s="188">
        <v>10813</v>
      </c>
      <c r="K37" s="183" t="s">
        <v>175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45" customHeight="1">
      <c r="A38" s="436"/>
      <c r="B38" s="437"/>
      <c r="C38" s="437"/>
      <c r="D38" s="437"/>
      <c r="E38" s="438"/>
      <c r="F38" s="211"/>
      <c r="G38" s="280"/>
      <c r="H38" s="281" t="s">
        <v>327</v>
      </c>
      <c r="I38" s="282"/>
      <c r="J38" s="283">
        <v>19225</v>
      </c>
      <c r="K38" s="284" t="s">
        <v>175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45" customHeight="1">
      <c r="A39" s="426" t="s">
        <v>328</v>
      </c>
      <c r="B39" s="427"/>
      <c r="C39" s="427"/>
      <c r="D39" s="427"/>
      <c r="E39" s="427"/>
      <c r="F39" s="285" t="s">
        <v>329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45" customHeight="1">
      <c r="A40" s="440"/>
      <c r="B40" s="441"/>
      <c r="C40" s="441"/>
      <c r="D40" s="441"/>
      <c r="E40" s="442"/>
      <c r="F40" s="288" t="s">
        <v>649</v>
      </c>
      <c r="G40" s="289" t="s">
        <v>650</v>
      </c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45" customHeight="1">
      <c r="A41" s="440"/>
      <c r="B41" s="441"/>
      <c r="C41" s="441"/>
      <c r="D41" s="441"/>
      <c r="E41" s="442"/>
      <c r="F41" s="288"/>
      <c r="G41" s="291" t="s">
        <v>651</v>
      </c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45" customHeight="1">
      <c r="A42" s="440"/>
      <c r="B42" s="441"/>
      <c r="C42" s="441"/>
      <c r="D42" s="441"/>
      <c r="E42" s="442"/>
      <c r="F42" s="288"/>
      <c r="G42" s="289" t="s">
        <v>643</v>
      </c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45" customHeight="1">
      <c r="A43" s="440"/>
      <c r="B43" s="441"/>
      <c r="C43" s="441"/>
      <c r="D43" s="441"/>
      <c r="E43" s="442"/>
      <c r="F43" s="288"/>
      <c r="G43" s="291" t="s">
        <v>648</v>
      </c>
      <c r="H43" s="291"/>
      <c r="I43" s="291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443"/>
      <c r="B44" s="444"/>
      <c r="C44" s="444"/>
      <c r="D44" s="444"/>
      <c r="E44" s="445"/>
      <c r="F44" s="288"/>
      <c r="G44" s="291"/>
      <c r="H44" s="291"/>
      <c r="I44" s="291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330</v>
      </c>
      <c r="B45" s="446" t="s">
        <v>646</v>
      </c>
      <c r="C45" s="447"/>
      <c r="D45" s="295" t="s">
        <v>331</v>
      </c>
      <c r="E45" s="296" t="s">
        <v>370</v>
      </c>
      <c r="F45" s="297"/>
      <c r="G45" s="291"/>
      <c r="H45" s="291"/>
      <c r="I45" s="291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332</v>
      </c>
      <c r="B46" s="431">
        <v>41807</v>
      </c>
      <c r="C46" s="432"/>
      <c r="D46" s="299" t="s">
        <v>332</v>
      </c>
      <c r="E46" s="300">
        <v>41800</v>
      </c>
      <c r="F46" s="301"/>
      <c r="G46" s="302"/>
      <c r="H46" s="302"/>
      <c r="I46" s="302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16" zoomScale="75" zoomScaleNormal="75" workbookViewId="0"/>
  </sheetViews>
  <sheetFormatPr defaultColWidth="9.109375" defaultRowHeight="13.2"/>
  <cols>
    <col min="1" max="1" width="9.109375" style="311" customWidth="1"/>
    <col min="2" max="2" width="18.109375" style="311" customWidth="1"/>
    <col min="3" max="3" width="21.5546875" style="311" customWidth="1"/>
    <col min="4" max="4" width="21.33203125" style="311" bestFit="1" customWidth="1"/>
    <col min="5" max="5" width="6.88671875" style="311" bestFit="1" customWidth="1"/>
    <col min="6" max="6" width="29.88671875" style="311" customWidth="1"/>
    <col min="7" max="7" width="43.6640625" style="311" customWidth="1"/>
    <col min="8" max="8" width="17.109375" style="311" customWidth="1"/>
    <col min="9" max="9" width="7.88671875" style="311" customWidth="1"/>
    <col min="10" max="10" width="2.33203125" style="311" bestFit="1" customWidth="1"/>
    <col min="11" max="12" width="2.33203125" style="311" customWidth="1"/>
    <col min="13" max="13" width="2.5546875" style="311" bestFit="1" customWidth="1"/>
    <col min="14" max="14" width="2.33203125" style="311" bestFit="1" customWidth="1"/>
    <col min="15" max="16384" width="9.10937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333</v>
      </c>
      <c r="K1" s="310" t="s">
        <v>334</v>
      </c>
      <c r="L1" s="310" t="s">
        <v>335</v>
      </c>
      <c r="M1" s="310" t="s">
        <v>334</v>
      </c>
      <c r="N1" s="310"/>
    </row>
    <row r="2" spans="2:14" ht="12.75" customHeight="1">
      <c r="B2" s="526" t="s">
        <v>336</v>
      </c>
      <c r="C2" s="527"/>
      <c r="D2" s="527"/>
      <c r="E2" s="527"/>
      <c r="F2" s="527"/>
      <c r="G2" s="527"/>
      <c r="H2" s="312"/>
      <c r="I2" s="313"/>
      <c r="J2" s="314" t="s">
        <v>337</v>
      </c>
      <c r="K2" s="314" t="s">
        <v>338</v>
      </c>
      <c r="L2" s="314" t="s">
        <v>339</v>
      </c>
      <c r="M2" s="314" t="s">
        <v>340</v>
      </c>
      <c r="N2" s="314" t="s">
        <v>341</v>
      </c>
    </row>
    <row r="3" spans="2:14" ht="12.75" customHeight="1">
      <c r="B3" s="526"/>
      <c r="C3" s="527"/>
      <c r="D3" s="527"/>
      <c r="E3" s="527"/>
      <c r="F3" s="527"/>
      <c r="G3" s="527"/>
      <c r="H3" s="312"/>
      <c r="I3" s="313"/>
      <c r="J3" s="314" t="s">
        <v>342</v>
      </c>
      <c r="K3" s="314"/>
      <c r="L3" s="314" t="s">
        <v>343</v>
      </c>
      <c r="M3" s="314" t="s">
        <v>333</v>
      </c>
      <c r="N3" s="314"/>
    </row>
    <row r="4" spans="2:14" ht="12.75" customHeight="1">
      <c r="B4" s="526"/>
      <c r="C4" s="527"/>
      <c r="D4" s="527"/>
      <c r="E4" s="527"/>
      <c r="F4" s="527"/>
      <c r="G4" s="527"/>
      <c r="H4" s="312"/>
      <c r="I4" s="313"/>
      <c r="J4" s="314" t="s">
        <v>344</v>
      </c>
      <c r="K4" s="314"/>
      <c r="L4" s="314" t="s">
        <v>339</v>
      </c>
      <c r="M4" s="314" t="s">
        <v>337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345</v>
      </c>
      <c r="L5" s="314" t="s">
        <v>334</v>
      </c>
      <c r="M5" s="314"/>
      <c r="N5" s="314" t="s">
        <v>339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338</v>
      </c>
      <c r="K6" s="314" t="s">
        <v>346</v>
      </c>
      <c r="L6" s="314"/>
      <c r="M6" s="314" t="s">
        <v>334</v>
      </c>
      <c r="N6" s="314" t="s">
        <v>347</v>
      </c>
    </row>
    <row r="7" spans="2:14" ht="12.75" customHeight="1">
      <c r="B7" s="317"/>
      <c r="D7" s="320"/>
      <c r="H7" s="319"/>
      <c r="I7" s="313"/>
      <c r="J7" s="314" t="s">
        <v>348</v>
      </c>
      <c r="K7" s="314" t="s">
        <v>342</v>
      </c>
      <c r="L7" s="314" t="s">
        <v>342</v>
      </c>
      <c r="M7" s="314" t="s">
        <v>337</v>
      </c>
      <c r="N7" s="314" t="s">
        <v>349</v>
      </c>
    </row>
    <row r="8" spans="2:14" ht="12.75" customHeight="1">
      <c r="B8" s="317"/>
      <c r="G8" s="320"/>
      <c r="H8" s="321"/>
      <c r="I8" s="314" t="s">
        <v>349</v>
      </c>
      <c r="J8" s="314" t="s">
        <v>334</v>
      </c>
      <c r="K8" s="314" t="s">
        <v>350</v>
      </c>
      <c r="L8" s="314" t="s">
        <v>337</v>
      </c>
      <c r="M8" s="314" t="s">
        <v>349</v>
      </c>
      <c r="N8" s="314" t="s">
        <v>346</v>
      </c>
    </row>
    <row r="9" spans="2:14">
      <c r="B9" s="314" t="s">
        <v>351</v>
      </c>
      <c r="C9" s="321" t="s">
        <v>352</v>
      </c>
      <c r="D9" s="321" t="s">
        <v>353</v>
      </c>
      <c r="E9" s="321" t="s">
        <v>354</v>
      </c>
      <c r="F9" s="314" t="s">
        <v>355</v>
      </c>
      <c r="G9" s="314" t="s">
        <v>356</v>
      </c>
      <c r="H9" s="314" t="s">
        <v>357</v>
      </c>
      <c r="I9" s="314" t="s">
        <v>344</v>
      </c>
      <c r="J9" s="314" t="s">
        <v>348</v>
      </c>
      <c r="K9" s="314" t="s">
        <v>337</v>
      </c>
      <c r="L9" s="314" t="s">
        <v>350</v>
      </c>
      <c r="M9" s="314" t="s">
        <v>334</v>
      </c>
      <c r="N9" s="314" t="s">
        <v>335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528" t="s">
        <v>358</v>
      </c>
      <c r="C53" s="528"/>
      <c r="D53" s="528"/>
      <c r="E53" s="528"/>
      <c r="F53" s="528"/>
      <c r="G53" s="528"/>
      <c r="H53" s="528"/>
      <c r="I53" s="528"/>
      <c r="J53" s="528"/>
      <c r="K53" s="528"/>
      <c r="L53" s="528"/>
      <c r="M53" s="528"/>
      <c r="N53" s="528"/>
    </row>
    <row r="54" spans="2:14" ht="15" customHeight="1" thickBot="1">
      <c r="B54" s="336" t="s">
        <v>359</v>
      </c>
      <c r="C54" s="529" t="s">
        <v>356</v>
      </c>
      <c r="D54" s="530"/>
      <c r="E54" s="530"/>
      <c r="F54" s="530"/>
      <c r="G54" s="530"/>
      <c r="H54" s="337"/>
      <c r="I54" s="529" t="s">
        <v>351</v>
      </c>
      <c r="J54" s="530"/>
      <c r="K54" s="531"/>
      <c r="L54" s="529" t="s">
        <v>360</v>
      </c>
      <c r="M54" s="530"/>
      <c r="N54" s="532"/>
    </row>
    <row r="55" spans="2:14" ht="15" customHeight="1">
      <c r="B55" s="338"/>
      <c r="C55" s="518"/>
      <c r="D55" s="519"/>
      <c r="E55" s="519"/>
      <c r="F55" s="519"/>
      <c r="G55" s="519"/>
      <c r="H55" s="339"/>
      <c r="I55" s="520"/>
      <c r="J55" s="521"/>
      <c r="K55" s="522"/>
      <c r="L55" s="523"/>
      <c r="M55" s="524"/>
      <c r="N55" s="525"/>
    </row>
    <row r="56" spans="2:14" ht="15" customHeight="1">
      <c r="B56" s="340"/>
      <c r="C56" s="502"/>
      <c r="D56" s="503"/>
      <c r="E56" s="503"/>
      <c r="F56" s="503"/>
      <c r="G56" s="503"/>
      <c r="H56" s="341"/>
      <c r="I56" s="504"/>
      <c r="J56" s="505"/>
      <c r="K56" s="506"/>
      <c r="L56" s="507"/>
      <c r="M56" s="508"/>
      <c r="N56" s="509"/>
    </row>
    <row r="57" spans="2:14" ht="15" customHeight="1">
      <c r="B57" s="340"/>
      <c r="C57" s="502"/>
      <c r="D57" s="503"/>
      <c r="E57" s="503"/>
      <c r="F57" s="503"/>
      <c r="G57" s="503"/>
      <c r="H57" s="341"/>
      <c r="I57" s="504"/>
      <c r="J57" s="505"/>
      <c r="K57" s="506"/>
      <c r="L57" s="507"/>
      <c r="M57" s="508"/>
      <c r="N57" s="509"/>
    </row>
    <row r="58" spans="2:14" ht="15" customHeight="1">
      <c r="B58" s="340"/>
      <c r="C58" s="502"/>
      <c r="D58" s="503"/>
      <c r="E58" s="503"/>
      <c r="F58" s="503"/>
      <c r="G58" s="503"/>
      <c r="H58" s="341"/>
      <c r="I58" s="504"/>
      <c r="J58" s="505"/>
      <c r="K58" s="506"/>
      <c r="L58" s="507"/>
      <c r="M58" s="508"/>
      <c r="N58" s="509"/>
    </row>
    <row r="59" spans="2:14" ht="15" customHeight="1">
      <c r="B59" s="340"/>
      <c r="C59" s="502"/>
      <c r="D59" s="503"/>
      <c r="E59" s="503"/>
      <c r="F59" s="503"/>
      <c r="G59" s="503"/>
      <c r="H59" s="341"/>
      <c r="I59" s="504"/>
      <c r="J59" s="505"/>
      <c r="K59" s="506"/>
      <c r="L59" s="507"/>
      <c r="M59" s="508"/>
      <c r="N59" s="509"/>
    </row>
    <row r="60" spans="2:14" ht="15" customHeight="1">
      <c r="B60" s="340"/>
      <c r="C60" s="502"/>
      <c r="D60" s="503"/>
      <c r="E60" s="503"/>
      <c r="F60" s="503"/>
      <c r="G60" s="503"/>
      <c r="H60" s="341"/>
      <c r="I60" s="504"/>
      <c r="J60" s="505"/>
      <c r="K60" s="506"/>
      <c r="L60" s="507"/>
      <c r="M60" s="508"/>
      <c r="N60" s="509"/>
    </row>
    <row r="61" spans="2:14" ht="15" customHeight="1">
      <c r="B61" s="340"/>
      <c r="C61" s="502"/>
      <c r="D61" s="503"/>
      <c r="E61" s="503"/>
      <c r="F61" s="503"/>
      <c r="G61" s="503"/>
      <c r="H61" s="341"/>
      <c r="I61" s="504"/>
      <c r="J61" s="505"/>
      <c r="K61" s="506"/>
      <c r="L61" s="507"/>
      <c r="M61" s="508"/>
      <c r="N61" s="509"/>
    </row>
    <row r="62" spans="2:14" ht="15" customHeight="1">
      <c r="B62" s="340"/>
      <c r="C62" s="502"/>
      <c r="D62" s="503"/>
      <c r="E62" s="503"/>
      <c r="F62" s="503"/>
      <c r="G62" s="503"/>
      <c r="H62" s="341"/>
      <c r="I62" s="504"/>
      <c r="J62" s="505"/>
      <c r="K62" s="506"/>
      <c r="L62" s="507"/>
      <c r="M62" s="508"/>
      <c r="N62" s="509"/>
    </row>
    <row r="63" spans="2:14" ht="15" customHeight="1">
      <c r="B63" s="340"/>
      <c r="C63" s="502"/>
      <c r="D63" s="503"/>
      <c r="E63" s="503"/>
      <c r="F63" s="503"/>
      <c r="G63" s="503"/>
      <c r="H63" s="341"/>
      <c r="I63" s="504"/>
      <c r="J63" s="505"/>
      <c r="K63" s="506"/>
      <c r="L63" s="507"/>
      <c r="M63" s="508"/>
      <c r="N63" s="509"/>
    </row>
    <row r="64" spans="2:14" ht="15" customHeight="1">
      <c r="B64" s="340"/>
      <c r="C64" s="502"/>
      <c r="D64" s="503"/>
      <c r="E64" s="503"/>
      <c r="F64" s="503"/>
      <c r="G64" s="503"/>
      <c r="H64" s="341"/>
      <c r="I64" s="504"/>
      <c r="J64" s="505"/>
      <c r="K64" s="506"/>
      <c r="L64" s="507"/>
      <c r="M64" s="508"/>
      <c r="N64" s="509"/>
    </row>
    <row r="65" spans="2:14" ht="15" customHeight="1">
      <c r="B65" s="340"/>
      <c r="C65" s="502"/>
      <c r="D65" s="503"/>
      <c r="E65" s="503"/>
      <c r="F65" s="503"/>
      <c r="G65" s="503"/>
      <c r="H65" s="341"/>
      <c r="I65" s="504"/>
      <c r="J65" s="505"/>
      <c r="K65" s="506"/>
      <c r="L65" s="507"/>
      <c r="M65" s="508"/>
      <c r="N65" s="509"/>
    </row>
    <row r="66" spans="2:14" ht="15" customHeight="1">
      <c r="B66" s="340"/>
      <c r="C66" s="502"/>
      <c r="D66" s="503"/>
      <c r="E66" s="503"/>
      <c r="F66" s="503"/>
      <c r="G66" s="503"/>
      <c r="H66" s="341"/>
      <c r="I66" s="504"/>
      <c r="J66" s="505"/>
      <c r="K66" s="506"/>
      <c r="L66" s="507"/>
      <c r="M66" s="508"/>
      <c r="N66" s="509"/>
    </row>
    <row r="67" spans="2:14" ht="15" customHeight="1">
      <c r="B67" s="340"/>
      <c r="C67" s="502"/>
      <c r="D67" s="503"/>
      <c r="E67" s="503"/>
      <c r="F67" s="503"/>
      <c r="G67" s="503"/>
      <c r="H67" s="341"/>
      <c r="I67" s="504"/>
      <c r="J67" s="505"/>
      <c r="K67" s="506"/>
      <c r="L67" s="507"/>
      <c r="M67" s="508"/>
      <c r="N67" s="509"/>
    </row>
    <row r="68" spans="2:14" ht="15" customHeight="1">
      <c r="B68" s="340"/>
      <c r="C68" s="502"/>
      <c r="D68" s="503"/>
      <c r="E68" s="503"/>
      <c r="F68" s="503"/>
      <c r="G68" s="503"/>
      <c r="H68" s="341"/>
      <c r="I68" s="504"/>
      <c r="J68" s="505"/>
      <c r="K68" s="506"/>
      <c r="L68" s="507"/>
      <c r="M68" s="508"/>
      <c r="N68" s="509"/>
    </row>
    <row r="69" spans="2:14" ht="15" customHeight="1">
      <c r="B69" s="340"/>
      <c r="C69" s="502"/>
      <c r="D69" s="503"/>
      <c r="E69" s="503"/>
      <c r="F69" s="503"/>
      <c r="G69" s="503"/>
      <c r="H69" s="341"/>
      <c r="I69" s="504"/>
      <c r="J69" s="505"/>
      <c r="K69" s="506"/>
      <c r="L69" s="507"/>
      <c r="M69" s="508"/>
      <c r="N69" s="509"/>
    </row>
    <row r="70" spans="2:14" ht="15" customHeight="1">
      <c r="B70" s="340"/>
      <c r="C70" s="502"/>
      <c r="D70" s="503"/>
      <c r="E70" s="503"/>
      <c r="F70" s="503"/>
      <c r="G70" s="503"/>
      <c r="H70" s="341"/>
      <c r="I70" s="504"/>
      <c r="J70" s="505"/>
      <c r="K70" s="506"/>
      <c r="L70" s="507"/>
      <c r="M70" s="508"/>
      <c r="N70" s="509"/>
    </row>
    <row r="71" spans="2:14" ht="15" customHeight="1">
      <c r="B71" s="340"/>
      <c r="C71" s="502"/>
      <c r="D71" s="503"/>
      <c r="E71" s="503"/>
      <c r="F71" s="503"/>
      <c r="G71" s="503"/>
      <c r="H71" s="341"/>
      <c r="I71" s="504"/>
      <c r="J71" s="505"/>
      <c r="K71" s="506"/>
      <c r="L71" s="507"/>
      <c r="M71" s="508"/>
      <c r="N71" s="509"/>
    </row>
    <row r="72" spans="2:14">
      <c r="B72" s="340"/>
      <c r="C72" s="502"/>
      <c r="D72" s="503"/>
      <c r="E72" s="503"/>
      <c r="F72" s="503"/>
      <c r="G72" s="503"/>
      <c r="H72" s="341"/>
      <c r="I72" s="504"/>
      <c r="J72" s="505"/>
      <c r="K72" s="506"/>
      <c r="L72" s="507"/>
      <c r="M72" s="508"/>
      <c r="N72" s="509"/>
    </row>
    <row r="73" spans="2:14">
      <c r="B73" s="340"/>
      <c r="C73" s="502"/>
      <c r="D73" s="503"/>
      <c r="E73" s="503"/>
      <c r="F73" s="503"/>
      <c r="G73" s="503"/>
      <c r="H73" s="341"/>
      <c r="I73" s="504"/>
      <c r="J73" s="505"/>
      <c r="K73" s="506"/>
      <c r="L73" s="507"/>
      <c r="M73" s="508"/>
      <c r="N73" s="509"/>
    </row>
    <row r="74" spans="2:14">
      <c r="B74" s="340"/>
      <c r="C74" s="502"/>
      <c r="D74" s="503"/>
      <c r="E74" s="503"/>
      <c r="F74" s="503"/>
      <c r="G74" s="503"/>
      <c r="H74" s="341"/>
      <c r="I74" s="504"/>
      <c r="J74" s="505"/>
      <c r="K74" s="506"/>
      <c r="L74" s="507"/>
      <c r="M74" s="508"/>
      <c r="N74" s="509"/>
    </row>
    <row r="75" spans="2:14">
      <c r="B75" s="340"/>
      <c r="C75" s="502"/>
      <c r="D75" s="503"/>
      <c r="E75" s="503"/>
      <c r="F75" s="503"/>
      <c r="G75" s="503"/>
      <c r="H75" s="341"/>
      <c r="I75" s="504"/>
      <c r="J75" s="505"/>
      <c r="K75" s="506"/>
      <c r="L75" s="507"/>
      <c r="M75" s="508"/>
      <c r="N75" s="509"/>
    </row>
    <row r="76" spans="2:14">
      <c r="B76" s="340"/>
      <c r="C76" s="502"/>
      <c r="D76" s="503"/>
      <c r="E76" s="503"/>
      <c r="F76" s="503"/>
      <c r="G76" s="503"/>
      <c r="H76" s="341"/>
      <c r="I76" s="504"/>
      <c r="J76" s="505"/>
      <c r="K76" s="506"/>
      <c r="L76" s="507"/>
      <c r="M76" s="508"/>
      <c r="N76" s="509"/>
    </row>
    <row r="77" spans="2:14">
      <c r="B77" s="340"/>
      <c r="C77" s="502"/>
      <c r="D77" s="503"/>
      <c r="E77" s="503"/>
      <c r="F77" s="503"/>
      <c r="G77" s="503"/>
      <c r="H77" s="341"/>
      <c r="I77" s="504"/>
      <c r="J77" s="505"/>
      <c r="K77" s="506"/>
      <c r="L77" s="507"/>
      <c r="M77" s="508"/>
      <c r="N77" s="509"/>
    </row>
    <row r="78" spans="2:14">
      <c r="B78" s="340"/>
      <c r="C78" s="502"/>
      <c r="D78" s="503"/>
      <c r="E78" s="503"/>
      <c r="F78" s="503"/>
      <c r="G78" s="503"/>
      <c r="H78" s="341"/>
      <c r="I78" s="504"/>
      <c r="J78" s="505"/>
      <c r="K78" s="506"/>
      <c r="L78" s="507"/>
      <c r="M78" s="508"/>
      <c r="N78" s="509"/>
    </row>
    <row r="79" spans="2:14" ht="13.8" thickBot="1">
      <c r="B79" s="342"/>
      <c r="C79" s="510"/>
      <c r="D79" s="511"/>
      <c r="E79" s="511"/>
      <c r="F79" s="511"/>
      <c r="G79" s="511"/>
      <c r="H79" s="343"/>
      <c r="I79" s="512"/>
      <c r="J79" s="513"/>
      <c r="K79" s="514"/>
      <c r="L79" s="515"/>
      <c r="M79" s="516"/>
      <c r="N79" s="517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7"/>
  <sheetViews>
    <sheetView topLeftCell="A13" workbookViewId="0">
      <selection activeCell="I40" sqref="I40"/>
    </sheetView>
  </sheetViews>
  <sheetFormatPr defaultColWidth="9.109375" defaultRowHeight="13.2"/>
  <cols>
    <col min="1" max="6" width="16.6640625" style="360" customWidth="1"/>
    <col min="7" max="16384" width="9.109375" style="360"/>
  </cols>
  <sheetData>
    <row r="1" spans="1:6" ht="18.899999999999999" customHeight="1">
      <c r="A1" s="357"/>
      <c r="B1" s="358"/>
      <c r="C1" s="358"/>
      <c r="D1" s="358"/>
      <c r="E1" s="358"/>
      <c r="F1" s="359"/>
    </row>
    <row r="2" spans="1:6" ht="26.1" customHeight="1">
      <c r="A2" s="361" t="s">
        <v>251</v>
      </c>
      <c r="B2" s="362"/>
      <c r="C2" s="362"/>
      <c r="D2" s="362"/>
      <c r="E2" s="362"/>
      <c r="F2" s="363"/>
    </row>
    <row r="3" spans="1:6" ht="18.899999999999999" customHeight="1">
      <c r="A3" s="364" t="s">
        <v>385</v>
      </c>
      <c r="B3" s="362"/>
      <c r="C3" s="362"/>
      <c r="D3" s="362"/>
      <c r="E3" s="362"/>
      <c r="F3" s="363"/>
    </row>
    <row r="4" spans="1:6" ht="18.899999999999999" customHeight="1">
      <c r="A4" s="365"/>
      <c r="B4" s="366"/>
      <c r="C4" s="366"/>
      <c r="D4" s="366"/>
      <c r="E4" s="366"/>
      <c r="F4" s="367"/>
    </row>
    <row r="5" spans="1:6" ht="18.899999999999999" customHeight="1">
      <c r="A5" s="365"/>
      <c r="B5" s="366"/>
      <c r="C5" s="366"/>
      <c r="D5" s="366"/>
      <c r="E5" s="366"/>
      <c r="F5" s="367"/>
    </row>
    <row r="6" spans="1:6" ht="18.899999999999999" customHeight="1">
      <c r="A6" s="368" t="s">
        <v>386</v>
      </c>
      <c r="B6" s="533" t="s">
        <v>644</v>
      </c>
      <c r="C6" s="534"/>
      <c r="D6" s="535"/>
      <c r="E6" s="368" t="s">
        <v>387</v>
      </c>
      <c r="F6" s="369">
        <v>158</v>
      </c>
    </row>
    <row r="7" spans="1:6" ht="18.899999999999999" customHeight="1">
      <c r="A7" s="368" t="s">
        <v>388</v>
      </c>
      <c r="B7" s="369" t="s">
        <v>177</v>
      </c>
      <c r="C7" s="368" t="s">
        <v>389</v>
      </c>
      <c r="D7" s="369" t="s">
        <v>407</v>
      </c>
      <c r="E7" s="368" t="s">
        <v>390</v>
      </c>
      <c r="F7" s="369" t="s">
        <v>178</v>
      </c>
    </row>
    <row r="8" spans="1:6" ht="18.899999999999999" customHeight="1">
      <c r="A8" s="368" t="s">
        <v>391</v>
      </c>
      <c r="B8" s="369">
        <v>4</v>
      </c>
      <c r="C8" s="368" t="s">
        <v>392</v>
      </c>
      <c r="D8" s="369" t="s">
        <v>393</v>
      </c>
      <c r="E8" s="368" t="s">
        <v>394</v>
      </c>
      <c r="F8" s="369" t="s">
        <v>344</v>
      </c>
    </row>
    <row r="9" spans="1:6" ht="18.899999999999999" customHeight="1">
      <c r="A9" s="368" t="s">
        <v>395</v>
      </c>
      <c r="B9" s="369">
        <v>1250</v>
      </c>
      <c r="C9" s="368" t="s">
        <v>396</v>
      </c>
      <c r="D9" s="369" t="s">
        <v>408</v>
      </c>
      <c r="E9" s="368" t="s">
        <v>2</v>
      </c>
      <c r="F9" s="370">
        <v>41800</v>
      </c>
    </row>
    <row r="10" spans="1:6" ht="18.899999999999999" customHeight="1">
      <c r="A10" s="368" t="s">
        <v>397</v>
      </c>
      <c r="B10" s="369">
        <v>1789</v>
      </c>
      <c r="C10" s="368" t="s">
        <v>377</v>
      </c>
      <c r="D10" s="369" t="s">
        <v>398</v>
      </c>
      <c r="E10" s="368" t="s">
        <v>1</v>
      </c>
      <c r="F10" s="369" t="s">
        <v>361</v>
      </c>
    </row>
    <row r="11" spans="1:6" ht="18.899999999999999" customHeight="1">
      <c r="A11" s="365"/>
      <c r="B11" s="366"/>
      <c r="C11" s="366"/>
      <c r="D11" s="366"/>
      <c r="E11" s="366"/>
      <c r="F11" s="367"/>
    </row>
    <row r="12" spans="1:6" ht="18.899999999999999" customHeight="1">
      <c r="A12" s="365"/>
      <c r="B12" s="371" t="s">
        <v>399</v>
      </c>
      <c r="C12" s="372" t="s">
        <v>411</v>
      </c>
      <c r="D12" s="371" t="s">
        <v>376</v>
      </c>
      <c r="E12" s="372" t="s">
        <v>398</v>
      </c>
      <c r="F12" s="367"/>
    </row>
    <row r="13" spans="1:6" ht="18.899999999999999" customHeight="1">
      <c r="A13" s="365"/>
      <c r="B13" s="371" t="s">
        <v>400</v>
      </c>
      <c r="C13" s="373">
        <v>1.1499999999999999</v>
      </c>
      <c r="D13" s="371" t="s">
        <v>401</v>
      </c>
      <c r="E13" s="372" t="s">
        <v>398</v>
      </c>
      <c r="F13" s="367"/>
    </row>
    <row r="14" spans="1:6" ht="18.899999999999999" customHeight="1">
      <c r="A14" s="365"/>
      <c r="B14" s="371" t="s">
        <v>402</v>
      </c>
      <c r="C14" s="373">
        <v>2.2000000000000002</v>
      </c>
      <c r="D14" s="371" t="s">
        <v>378</v>
      </c>
      <c r="E14" s="372" t="s">
        <v>398</v>
      </c>
      <c r="F14" s="367"/>
    </row>
    <row r="15" spans="1:6" ht="18.899999999999999" customHeight="1">
      <c r="A15" s="365"/>
      <c r="B15" s="371" t="s">
        <v>379</v>
      </c>
      <c r="C15" s="372" t="s">
        <v>410</v>
      </c>
      <c r="D15" s="366"/>
      <c r="E15" s="366"/>
      <c r="F15" s="367"/>
    </row>
    <row r="16" spans="1:6" ht="18.899999999999999" customHeight="1">
      <c r="A16" s="365"/>
      <c r="B16" s="366"/>
      <c r="C16" s="366"/>
      <c r="D16" s="366"/>
      <c r="E16" s="366"/>
      <c r="F16" s="367"/>
    </row>
    <row r="17" spans="1:6" ht="18.899999999999999" customHeight="1">
      <c r="A17" s="365"/>
      <c r="B17" s="366"/>
      <c r="C17" s="366"/>
      <c r="D17" s="366"/>
      <c r="E17" s="366"/>
      <c r="F17" s="367"/>
    </row>
    <row r="18" spans="1:6" ht="18.899999999999999" customHeight="1">
      <c r="A18" s="365"/>
      <c r="B18" s="366"/>
      <c r="C18" s="366"/>
      <c r="D18" s="366"/>
      <c r="E18" s="366"/>
      <c r="F18" s="367"/>
    </row>
    <row r="19" spans="1:6" ht="18.899999999999999" customHeight="1">
      <c r="A19" s="365"/>
      <c r="B19" s="366"/>
      <c r="C19" s="366"/>
      <c r="D19" s="366"/>
      <c r="E19" s="366"/>
      <c r="F19" s="367"/>
    </row>
    <row r="20" spans="1:6" ht="18.899999999999999" customHeight="1">
      <c r="A20" s="365"/>
      <c r="B20" s="366"/>
      <c r="C20" s="366"/>
      <c r="D20" s="366"/>
      <c r="E20" s="366"/>
      <c r="F20" s="367"/>
    </row>
    <row r="21" spans="1:6" ht="18.899999999999999" customHeight="1">
      <c r="A21" s="365"/>
      <c r="B21" s="366"/>
      <c r="C21" s="366"/>
      <c r="D21" s="366"/>
      <c r="E21" s="366"/>
      <c r="F21" s="367"/>
    </row>
    <row r="22" spans="1:6" ht="18.899999999999999" customHeight="1">
      <c r="A22" s="365"/>
      <c r="B22" s="366"/>
      <c r="C22" s="366"/>
      <c r="D22" s="366"/>
      <c r="E22" s="366"/>
      <c r="F22" s="367"/>
    </row>
    <row r="23" spans="1:6" ht="18.899999999999999" customHeight="1">
      <c r="A23" s="365"/>
      <c r="B23" s="366"/>
      <c r="C23" s="366"/>
      <c r="D23" s="366"/>
      <c r="E23" s="366"/>
      <c r="F23" s="367"/>
    </row>
    <row r="24" spans="1:6" ht="18.899999999999999" customHeight="1">
      <c r="A24" s="365"/>
      <c r="B24" s="366"/>
      <c r="C24" s="366"/>
      <c r="D24" s="366"/>
      <c r="E24" s="366"/>
      <c r="F24" s="367"/>
    </row>
    <row r="25" spans="1:6" ht="18.899999999999999" customHeight="1">
      <c r="A25" s="365"/>
      <c r="B25" s="366"/>
      <c r="C25" s="366"/>
      <c r="D25" s="366"/>
      <c r="E25" s="366"/>
      <c r="F25" s="367"/>
    </row>
    <row r="26" spans="1:6" ht="18.899999999999999" customHeight="1">
      <c r="A26" s="365"/>
      <c r="B26" s="366"/>
      <c r="C26" s="366"/>
      <c r="D26" s="366"/>
      <c r="E26" s="366"/>
      <c r="F26" s="367"/>
    </row>
    <row r="27" spans="1:6" ht="18.899999999999999" customHeight="1">
      <c r="A27" s="365"/>
      <c r="B27" s="366"/>
      <c r="C27" s="366"/>
      <c r="D27" s="366"/>
      <c r="E27" s="366"/>
      <c r="F27" s="367"/>
    </row>
    <row r="28" spans="1:6" ht="18.899999999999999" customHeight="1">
      <c r="A28" s="365"/>
      <c r="B28" s="366"/>
      <c r="C28" s="366"/>
      <c r="D28" s="366"/>
      <c r="E28" s="366"/>
      <c r="F28" s="367"/>
    </row>
    <row r="29" spans="1:6" ht="18.899999999999999" customHeight="1">
      <c r="A29" s="365"/>
      <c r="B29" s="366"/>
      <c r="C29" s="366"/>
      <c r="D29" s="366"/>
      <c r="E29" s="366"/>
      <c r="F29" s="367"/>
    </row>
    <row r="30" spans="1:6" ht="18.899999999999999" customHeight="1">
      <c r="A30" s="365"/>
      <c r="B30" s="366"/>
      <c r="C30" s="366"/>
      <c r="D30" s="366"/>
      <c r="E30" s="366"/>
      <c r="F30" s="367"/>
    </row>
    <row r="31" spans="1:6" ht="18.899999999999999" customHeight="1">
      <c r="A31" s="365"/>
      <c r="B31" s="366"/>
      <c r="C31" s="366"/>
      <c r="D31" s="366"/>
      <c r="E31" s="366"/>
      <c r="F31" s="367"/>
    </row>
    <row r="32" spans="1:6" ht="18.899999999999999" customHeight="1">
      <c r="A32" s="365"/>
      <c r="B32" s="366"/>
      <c r="C32" s="366"/>
      <c r="D32" s="366"/>
      <c r="E32" s="366"/>
      <c r="F32" s="367"/>
    </row>
    <row r="33" spans="1:6" ht="18.899999999999999" customHeight="1">
      <c r="A33" s="365"/>
      <c r="B33" s="366"/>
      <c r="C33" s="366"/>
      <c r="D33" s="366"/>
      <c r="E33" s="366"/>
      <c r="F33" s="367"/>
    </row>
    <row r="34" spans="1:6" ht="18.899999999999999" customHeight="1">
      <c r="A34" s="365"/>
      <c r="B34" s="366"/>
      <c r="C34" s="366"/>
      <c r="D34" s="366"/>
      <c r="E34" s="366"/>
      <c r="F34" s="367"/>
    </row>
    <row r="35" spans="1:6" ht="18.899999999999999" customHeight="1">
      <c r="A35" s="365"/>
      <c r="B35" s="366"/>
      <c r="C35" s="366"/>
      <c r="D35" s="366"/>
      <c r="E35" s="366"/>
      <c r="F35" s="367"/>
    </row>
    <row r="36" spans="1:6" ht="18.899999999999999" customHeight="1">
      <c r="A36" s="365"/>
      <c r="B36" s="366"/>
      <c r="C36" s="366"/>
      <c r="D36" s="366"/>
      <c r="E36" s="366"/>
      <c r="F36" s="367"/>
    </row>
    <row r="37" spans="1:6" ht="18.899999999999999" customHeight="1">
      <c r="A37" s="365"/>
      <c r="B37" s="366"/>
      <c r="C37" s="366"/>
      <c r="D37" s="366"/>
      <c r="E37" s="366"/>
      <c r="F37" s="367"/>
    </row>
    <row r="38" spans="1:6" ht="18.899999999999999" customHeight="1">
      <c r="A38" s="365"/>
      <c r="B38" s="366"/>
      <c r="C38" s="366"/>
      <c r="D38" s="366"/>
      <c r="E38" s="366"/>
      <c r="F38" s="367"/>
    </row>
    <row r="39" spans="1:6" ht="18.899999999999999" customHeight="1">
      <c r="A39" s="374" t="s">
        <v>403</v>
      </c>
      <c r="B39" s="375"/>
      <c r="C39" s="375"/>
      <c r="D39" s="366"/>
      <c r="E39" s="371" t="s">
        <v>404</v>
      </c>
      <c r="F39" s="376"/>
    </row>
    <row r="40" spans="1:6" ht="18.899999999999999" customHeight="1">
      <c r="A40" s="365"/>
      <c r="B40" s="375"/>
      <c r="C40" s="375"/>
      <c r="D40" s="366"/>
      <c r="E40" s="366"/>
      <c r="F40" s="367"/>
    </row>
    <row r="41" spans="1:6" ht="18.899999999999999" customHeight="1">
      <c r="A41" s="365"/>
      <c r="B41" s="375"/>
      <c r="C41" s="375"/>
      <c r="D41" s="366"/>
      <c r="E41" s="366"/>
      <c r="F41" s="367"/>
    </row>
    <row r="42" spans="1:6" ht="18.899999999999999" customHeight="1">
      <c r="A42" s="365"/>
      <c r="B42" s="366"/>
      <c r="C42" s="366"/>
      <c r="D42" s="366"/>
      <c r="E42" s="366"/>
      <c r="F42" s="367"/>
    </row>
    <row r="43" spans="1:6" ht="18.899999999999999" customHeight="1">
      <c r="A43" s="377"/>
      <c r="B43" s="375"/>
      <c r="C43" s="378" t="s">
        <v>405</v>
      </c>
      <c r="D43" s="379" t="s">
        <v>412</v>
      </c>
      <c r="E43" s="378" t="s">
        <v>406</v>
      </c>
      <c r="F43" s="379" t="s">
        <v>647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46" t="s">
        <v>375</v>
      </c>
      <c r="E53" s="346"/>
      <c r="F53" s="346"/>
      <c r="G53" s="346"/>
      <c r="H53" s="346"/>
      <c r="I53" s="346"/>
      <c r="J53" s="346"/>
      <c r="K53" s="346"/>
      <c r="L53" s="346"/>
    </row>
    <row r="54" spans="1:12" ht="15" customHeight="1">
      <c r="A54" s="380">
        <v>100</v>
      </c>
      <c r="B54" s="345">
        <v>0</v>
      </c>
      <c r="C54" s="345">
        <v>0.20041507482528687</v>
      </c>
      <c r="D54" s="346">
        <v>100</v>
      </c>
      <c r="E54" s="346"/>
      <c r="F54" s="346"/>
      <c r="G54" s="346"/>
      <c r="H54" s="346"/>
      <c r="I54" s="346"/>
      <c r="J54" s="346"/>
      <c r="K54" s="346"/>
      <c r="L54" s="346"/>
    </row>
    <row r="55" spans="1:12" ht="15" customHeight="1">
      <c r="A55" s="380">
        <v>99.799999967217445</v>
      </c>
      <c r="B55" s="345">
        <v>168.36525413967996</v>
      </c>
      <c r="C55" s="345">
        <v>207.702880859375</v>
      </c>
      <c r="D55" s="346">
        <v>99.599998474121094</v>
      </c>
      <c r="E55" s="346"/>
      <c r="F55" s="346"/>
      <c r="G55" s="346"/>
      <c r="H55" s="346"/>
      <c r="I55" s="346"/>
      <c r="J55" s="346"/>
      <c r="K55" s="346"/>
      <c r="L55" s="346"/>
    </row>
    <row r="56" spans="1:12" ht="15" customHeight="1">
      <c r="A56" s="380">
        <v>98.999999836087227</v>
      </c>
      <c r="B56" s="345">
        <v>220</v>
      </c>
      <c r="C56" s="345">
        <v>517.42486572265625</v>
      </c>
      <c r="D56" s="346">
        <v>98</v>
      </c>
      <c r="E56" s="346"/>
      <c r="F56" s="346"/>
      <c r="G56" s="346"/>
      <c r="H56" s="346"/>
      <c r="I56" s="346"/>
      <c r="J56" s="346"/>
      <c r="K56" s="346"/>
      <c r="L56" s="346"/>
    </row>
    <row r="57" spans="1:12">
      <c r="A57" s="380">
        <v>93.789473548531532</v>
      </c>
      <c r="B57" s="345">
        <v>141.95917092883073</v>
      </c>
      <c r="C57" s="345">
        <v>571.10650634765625</v>
      </c>
      <c r="D57" s="346">
        <v>83.852630615234375</v>
      </c>
      <c r="E57" s="346"/>
      <c r="F57" s="346"/>
      <c r="G57" s="346"/>
      <c r="H57" s="346"/>
      <c r="I57" s="346"/>
      <c r="J57" s="346"/>
      <c r="K57" s="346"/>
      <c r="L57" s="346"/>
    </row>
    <row r="58" spans="1:12">
      <c r="A58" s="380">
        <v>88.578946888446808</v>
      </c>
      <c r="B58" s="345">
        <v>123.10914185708398</v>
      </c>
      <c r="C58" s="345">
        <v>586.2589111328125</v>
      </c>
      <c r="D58" s="346">
        <v>70.305259704589844</v>
      </c>
      <c r="E58" s="346"/>
      <c r="F58" s="346"/>
      <c r="G58" s="346"/>
      <c r="H58" s="346"/>
      <c r="I58" s="346"/>
      <c r="J58" s="346"/>
      <c r="K58" s="346"/>
      <c r="L58" s="346"/>
    </row>
    <row r="59" spans="1:12">
      <c r="A59" s="380">
        <v>83.368420600891113</v>
      </c>
      <c r="B59" s="345">
        <v>117.31732188684821</v>
      </c>
      <c r="C59" s="345">
        <v>594.84332275390625</v>
      </c>
      <c r="D59" s="346">
        <v>57.410526275634766</v>
      </c>
      <c r="E59" s="346"/>
      <c r="F59" s="346"/>
      <c r="G59" s="346"/>
      <c r="H59" s="346"/>
      <c r="I59" s="346"/>
      <c r="J59" s="346"/>
      <c r="K59" s="346"/>
      <c r="L59" s="346"/>
    </row>
    <row r="60" spans="1:12">
      <c r="A60" s="380">
        <v>72.947368025779724</v>
      </c>
      <c r="B60" s="345">
        <v>115.21900788080265</v>
      </c>
      <c r="C60" s="345">
        <v>607.41864013671875</v>
      </c>
      <c r="D60" s="346">
        <v>38.010524749755859</v>
      </c>
      <c r="E60" s="346"/>
      <c r="F60" s="346"/>
      <c r="G60" s="346"/>
      <c r="H60" s="346"/>
      <c r="I60" s="346"/>
      <c r="J60" s="346"/>
      <c r="K60" s="346"/>
      <c r="L60" s="346"/>
    </row>
    <row r="61" spans="1:12">
      <c r="A61" s="380">
        <v>62.526315450668335</v>
      </c>
      <c r="B61" s="345">
        <v>115.15504242474238</v>
      </c>
      <c r="C61" s="345">
        <v>617.47967529296875</v>
      </c>
      <c r="D61" s="346">
        <v>24.778947830200195</v>
      </c>
      <c r="E61" s="346"/>
      <c r="F61" s="346"/>
      <c r="G61" s="346"/>
      <c r="H61" s="346"/>
      <c r="I61" s="346"/>
      <c r="J61" s="346"/>
      <c r="K61" s="346"/>
      <c r="L61" s="346"/>
    </row>
    <row r="62" spans="1:12">
      <c r="A62" s="380">
        <v>52.105262875556946</v>
      </c>
      <c r="B62" s="345">
        <v>115.09936888585187</v>
      </c>
      <c r="C62" s="345">
        <v>625.5645751953125</v>
      </c>
      <c r="D62" s="346">
        <v>15.684209823608398</v>
      </c>
      <c r="E62" s="346"/>
      <c r="F62" s="346"/>
      <c r="G62" s="346"/>
      <c r="H62" s="346"/>
      <c r="I62" s="346"/>
      <c r="J62" s="346"/>
      <c r="K62" s="346"/>
      <c r="L62" s="346"/>
    </row>
    <row r="63" spans="1:12">
      <c r="A63" s="380">
        <v>41.684210300445557</v>
      </c>
      <c r="B63" s="345">
        <v>115.06558137677476</v>
      </c>
      <c r="C63" s="345">
        <v>632.01898193359375</v>
      </c>
      <c r="D63" s="346">
        <v>9.0105257034301758</v>
      </c>
      <c r="E63" s="346"/>
      <c r="F63" s="346"/>
      <c r="G63" s="346"/>
      <c r="H63" s="346"/>
      <c r="I63" s="346"/>
      <c r="J63" s="346"/>
      <c r="K63" s="346"/>
      <c r="L63" s="346"/>
    </row>
    <row r="64" spans="1:12">
      <c r="A64" s="380">
        <v>31.263160705566406</v>
      </c>
      <c r="B64" s="345">
        <v>115.03732775733366</v>
      </c>
      <c r="C64" s="345">
        <v>637.11492919921875</v>
      </c>
      <c r="D64" s="346">
        <v>6.2526321411132813</v>
      </c>
      <c r="E64" s="346"/>
      <c r="F64" s="346"/>
      <c r="G64" s="346"/>
      <c r="H64" s="346"/>
      <c r="I64" s="346"/>
      <c r="J64" s="346"/>
      <c r="K64" s="346"/>
      <c r="L64" s="346"/>
    </row>
    <row r="65" spans="1:12">
      <c r="A65" s="380">
        <v>20.842105150222778</v>
      </c>
      <c r="B65" s="345">
        <v>115.02101241989054</v>
      </c>
      <c r="C65" s="345">
        <v>641.2349853515625</v>
      </c>
      <c r="D65" s="346">
        <v>7.8315787315368652</v>
      </c>
      <c r="E65" s="346"/>
      <c r="F65" s="346"/>
      <c r="G65" s="346"/>
      <c r="H65" s="346"/>
      <c r="I65" s="346"/>
      <c r="J65" s="346"/>
      <c r="K65" s="346"/>
      <c r="L65" s="346"/>
    </row>
    <row r="66" spans="1:12">
      <c r="A66" s="380">
        <v>10.421055555343628</v>
      </c>
      <c r="B66" s="345">
        <v>115.00529717121879</v>
      </c>
      <c r="C66" s="345">
        <v>644.6253662109375</v>
      </c>
      <c r="D66" s="346">
        <v>14.70526123046875</v>
      </c>
      <c r="E66" s="346"/>
      <c r="F66" s="346"/>
      <c r="G66" s="346"/>
      <c r="H66" s="346"/>
      <c r="I66" s="346"/>
      <c r="J66" s="346"/>
      <c r="K66" s="346"/>
      <c r="L66" s="346"/>
    </row>
    <row r="67" spans="1:12">
      <c r="A67" s="381">
        <v>0</v>
      </c>
      <c r="B67" s="345">
        <v>115</v>
      </c>
      <c r="C67" s="345">
        <v>647.46832275390625</v>
      </c>
      <c r="D67" s="346">
        <v>30</v>
      </c>
      <c r="E67" s="346"/>
      <c r="F67" s="346"/>
      <c r="G67" s="346"/>
      <c r="H67" s="346"/>
      <c r="I67" s="346"/>
      <c r="J67" s="346"/>
      <c r="K67" s="346"/>
      <c r="L67" s="346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1"/>
  <sheetViews>
    <sheetView workbookViewId="0">
      <selection activeCell="H29" sqref="H29"/>
    </sheetView>
  </sheetViews>
  <sheetFormatPr defaultRowHeight="13.2"/>
  <cols>
    <col min="1" max="6" width="14.6640625" customWidth="1"/>
    <col min="257" max="262" width="14.6640625" customWidth="1"/>
    <col min="513" max="518" width="14.6640625" customWidth="1"/>
    <col min="769" max="774" width="14.6640625" customWidth="1"/>
    <col min="1025" max="1030" width="14.6640625" customWidth="1"/>
    <col min="1281" max="1286" width="14.6640625" customWidth="1"/>
    <col min="1537" max="1542" width="14.6640625" customWidth="1"/>
    <col min="1793" max="1798" width="14.6640625" customWidth="1"/>
    <col min="2049" max="2054" width="14.6640625" customWidth="1"/>
    <col min="2305" max="2310" width="14.6640625" customWidth="1"/>
    <col min="2561" max="2566" width="14.6640625" customWidth="1"/>
    <col min="2817" max="2822" width="14.6640625" customWidth="1"/>
    <col min="3073" max="3078" width="14.6640625" customWidth="1"/>
    <col min="3329" max="3334" width="14.6640625" customWidth="1"/>
    <col min="3585" max="3590" width="14.6640625" customWidth="1"/>
    <col min="3841" max="3846" width="14.6640625" customWidth="1"/>
    <col min="4097" max="4102" width="14.6640625" customWidth="1"/>
    <col min="4353" max="4358" width="14.6640625" customWidth="1"/>
    <col min="4609" max="4614" width="14.6640625" customWidth="1"/>
    <col min="4865" max="4870" width="14.6640625" customWidth="1"/>
    <col min="5121" max="5126" width="14.6640625" customWidth="1"/>
    <col min="5377" max="5382" width="14.6640625" customWidth="1"/>
    <col min="5633" max="5638" width="14.6640625" customWidth="1"/>
    <col min="5889" max="5894" width="14.6640625" customWidth="1"/>
    <col min="6145" max="6150" width="14.6640625" customWidth="1"/>
    <col min="6401" max="6406" width="14.6640625" customWidth="1"/>
    <col min="6657" max="6662" width="14.6640625" customWidth="1"/>
    <col min="6913" max="6918" width="14.6640625" customWidth="1"/>
    <col min="7169" max="7174" width="14.6640625" customWidth="1"/>
    <col min="7425" max="7430" width="14.6640625" customWidth="1"/>
    <col min="7681" max="7686" width="14.6640625" customWidth="1"/>
    <col min="7937" max="7942" width="14.6640625" customWidth="1"/>
    <col min="8193" max="8198" width="14.6640625" customWidth="1"/>
    <col min="8449" max="8454" width="14.6640625" customWidth="1"/>
    <col min="8705" max="8710" width="14.6640625" customWidth="1"/>
    <col min="8961" max="8966" width="14.6640625" customWidth="1"/>
    <col min="9217" max="9222" width="14.6640625" customWidth="1"/>
    <col min="9473" max="9478" width="14.6640625" customWidth="1"/>
    <col min="9729" max="9734" width="14.6640625" customWidth="1"/>
    <col min="9985" max="9990" width="14.6640625" customWidth="1"/>
    <col min="10241" max="10246" width="14.6640625" customWidth="1"/>
    <col min="10497" max="10502" width="14.6640625" customWidth="1"/>
    <col min="10753" max="10758" width="14.6640625" customWidth="1"/>
    <col min="11009" max="11014" width="14.6640625" customWidth="1"/>
    <col min="11265" max="11270" width="14.6640625" customWidth="1"/>
    <col min="11521" max="11526" width="14.6640625" customWidth="1"/>
    <col min="11777" max="11782" width="14.6640625" customWidth="1"/>
    <col min="12033" max="12038" width="14.6640625" customWidth="1"/>
    <col min="12289" max="12294" width="14.6640625" customWidth="1"/>
    <col min="12545" max="12550" width="14.6640625" customWidth="1"/>
    <col min="12801" max="12806" width="14.6640625" customWidth="1"/>
    <col min="13057" max="13062" width="14.6640625" customWidth="1"/>
    <col min="13313" max="13318" width="14.6640625" customWidth="1"/>
    <col min="13569" max="13574" width="14.6640625" customWidth="1"/>
    <col min="13825" max="13830" width="14.6640625" customWidth="1"/>
    <col min="14081" max="14086" width="14.6640625" customWidth="1"/>
    <col min="14337" max="14342" width="14.6640625" customWidth="1"/>
    <col min="14593" max="14598" width="14.6640625" customWidth="1"/>
    <col min="14849" max="14854" width="14.6640625" customWidth="1"/>
    <col min="15105" max="15110" width="14.6640625" customWidth="1"/>
    <col min="15361" max="15366" width="14.6640625" customWidth="1"/>
    <col min="15617" max="15622" width="14.6640625" customWidth="1"/>
    <col min="15873" max="15878" width="14.6640625" customWidth="1"/>
    <col min="16129" max="16134" width="14.6640625" customWidth="1"/>
  </cols>
  <sheetData>
    <row r="1" spans="1:7" ht="20.399999999999999">
      <c r="A1" s="536" t="s">
        <v>413</v>
      </c>
      <c r="B1" s="536"/>
      <c r="C1" s="536"/>
      <c r="D1" s="536"/>
      <c r="E1" s="536"/>
      <c r="F1" s="536"/>
    </row>
    <row r="2" spans="1:7" ht="18" thickBot="1">
      <c r="A2" s="409"/>
      <c r="B2" s="409"/>
      <c r="C2" s="537" t="s">
        <v>425</v>
      </c>
      <c r="D2" s="537"/>
      <c r="E2" s="409"/>
      <c r="F2" s="409"/>
      <c r="G2" s="409"/>
    </row>
    <row r="3" spans="1:7" ht="18">
      <c r="A3" s="538" t="s">
        <v>414</v>
      </c>
      <c r="B3" s="539"/>
      <c r="C3" s="540"/>
      <c r="D3" s="538" t="s">
        <v>415</v>
      </c>
      <c r="E3" s="539"/>
      <c r="F3" s="540"/>
      <c r="G3" s="409"/>
    </row>
    <row r="4" spans="1:7" ht="16.2">
      <c r="A4" s="410" t="s">
        <v>426</v>
      </c>
      <c r="B4" s="541" t="s">
        <v>428</v>
      </c>
      <c r="C4" s="542"/>
      <c r="D4" s="543" t="s">
        <v>430</v>
      </c>
      <c r="E4" s="544"/>
      <c r="F4" s="545"/>
      <c r="G4" s="409"/>
    </row>
    <row r="5" spans="1:7" ht="16.8" thickBot="1">
      <c r="A5" s="411" t="s">
        <v>427</v>
      </c>
      <c r="B5" s="549" t="s">
        <v>429</v>
      </c>
      <c r="C5" s="550"/>
      <c r="D5" s="551" t="s">
        <v>645</v>
      </c>
      <c r="E5" s="552"/>
      <c r="F5" s="553"/>
      <c r="G5" s="409"/>
    </row>
    <row r="6" spans="1:7" ht="18">
      <c r="A6" s="538" t="s">
        <v>416</v>
      </c>
      <c r="B6" s="539"/>
      <c r="C6" s="539"/>
      <c r="D6" s="539"/>
      <c r="E6" s="539"/>
      <c r="F6" s="540"/>
      <c r="G6" s="409"/>
    </row>
    <row r="7" spans="1:7" ht="16.2">
      <c r="A7" s="412" t="s">
        <v>417</v>
      </c>
      <c r="B7" s="413" t="s">
        <v>431</v>
      </c>
      <c r="C7" s="414" t="s">
        <v>418</v>
      </c>
      <c r="D7" s="415" t="s">
        <v>433</v>
      </c>
      <c r="E7" s="554" t="s">
        <v>419</v>
      </c>
      <c r="F7" s="555"/>
      <c r="G7" s="409"/>
    </row>
    <row r="8" spans="1:7" ht="16.2" thickBot="1">
      <c r="A8" s="416"/>
      <c r="B8" s="417" t="s">
        <v>432</v>
      </c>
      <c r="C8" s="418"/>
      <c r="D8" s="419" t="s">
        <v>434</v>
      </c>
      <c r="E8" s="556" t="s">
        <v>435</v>
      </c>
      <c r="F8" s="553"/>
      <c r="G8" s="409"/>
    </row>
    <row r="9" spans="1:7" ht="18">
      <c r="A9" s="538" t="s">
        <v>420</v>
      </c>
      <c r="B9" s="539"/>
      <c r="C9" s="540"/>
      <c r="D9" s="538" t="s">
        <v>421</v>
      </c>
      <c r="E9" s="539"/>
      <c r="F9" s="540"/>
      <c r="G9" s="409"/>
    </row>
    <row r="10" spans="1:7" ht="16.2">
      <c r="A10" s="420" t="s">
        <v>422</v>
      </c>
      <c r="B10" s="557" t="s">
        <v>436</v>
      </c>
      <c r="C10" s="542"/>
      <c r="D10" s="558" t="s">
        <v>438</v>
      </c>
      <c r="E10" s="559"/>
      <c r="F10" s="421" t="s">
        <v>439</v>
      </c>
      <c r="G10" s="409"/>
    </row>
    <row r="11" spans="1:7" ht="16.8" thickBot="1">
      <c r="A11" s="422" t="s">
        <v>423</v>
      </c>
      <c r="B11" s="552" t="s">
        <v>437</v>
      </c>
      <c r="C11" s="553"/>
      <c r="D11" s="560"/>
      <c r="E11" s="561"/>
      <c r="F11" s="423" t="s">
        <v>440</v>
      </c>
      <c r="G11" s="409"/>
    </row>
    <row r="12" spans="1:7" ht="18">
      <c r="A12" s="538" t="s">
        <v>424</v>
      </c>
      <c r="B12" s="539"/>
      <c r="C12" s="539"/>
      <c r="D12" s="539"/>
      <c r="E12" s="539"/>
      <c r="F12" s="540"/>
      <c r="G12" s="409"/>
    </row>
    <row r="13" spans="1:7" ht="16.2" thickBot="1">
      <c r="A13" s="546" t="s">
        <v>441</v>
      </c>
      <c r="B13" s="547"/>
      <c r="C13" s="548" t="s">
        <v>442</v>
      </c>
      <c r="D13" s="548"/>
      <c r="E13" s="548"/>
      <c r="F13" s="424"/>
      <c r="G13" s="409"/>
    </row>
    <row r="14" spans="1:7" ht="18.899999999999999" customHeight="1">
      <c r="A14" s="425"/>
      <c r="B14" s="425"/>
      <c r="C14" s="425"/>
      <c r="D14" s="425"/>
      <c r="E14" s="425"/>
      <c r="F14" s="425"/>
      <c r="G14" s="409"/>
    </row>
    <row r="15" spans="1:7" ht="15.6">
      <c r="G15" s="409"/>
    </row>
    <row r="16" spans="1:7" ht="15.6">
      <c r="G16" s="409"/>
    </row>
    <row r="17" spans="7:7" ht="15.6">
      <c r="G17" s="409"/>
    </row>
    <row r="18" spans="7:7" ht="15.6">
      <c r="G18" s="409"/>
    </row>
    <row r="19" spans="7:7" ht="15.6">
      <c r="G19" s="409"/>
    </row>
    <row r="20" spans="7:7" ht="15.6">
      <c r="G20" s="409"/>
    </row>
    <row r="21" spans="7:7" ht="15.6">
      <c r="G21" s="409"/>
    </row>
    <row r="22" spans="7:7" ht="15.6">
      <c r="G22" s="409"/>
    </row>
    <row r="23" spans="7:7" ht="15.6">
      <c r="G23" s="409"/>
    </row>
    <row r="24" spans="7:7" ht="15.6">
      <c r="G24" s="409"/>
    </row>
    <row r="25" spans="7:7" ht="15.6">
      <c r="G25" s="409"/>
    </row>
    <row r="26" spans="7:7" ht="15.6">
      <c r="G26" s="409"/>
    </row>
    <row r="27" spans="7:7" ht="18.899999999999999" customHeight="1">
      <c r="G27" s="409"/>
    </row>
    <row r="28" spans="7:7" ht="15.6">
      <c r="G28" s="409"/>
    </row>
    <row r="29" spans="7:7" ht="15.6">
      <c r="G29" s="409"/>
    </row>
    <row r="30" spans="7:7" ht="15.6">
      <c r="G30" s="409"/>
    </row>
    <row r="31" spans="7:7" ht="15.6">
      <c r="G31" s="409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workbookViewId="0"/>
  </sheetViews>
  <sheetFormatPr defaultColWidth="9.109375" defaultRowHeight="13.2"/>
  <cols>
    <col min="1" max="1" width="19.6640625" style="360" customWidth="1"/>
    <col min="2" max="7" width="10.6640625" style="360" customWidth="1"/>
    <col min="8" max="16384" width="9.109375" style="360"/>
  </cols>
  <sheetData>
    <row r="1" spans="1:12" ht="21" customHeight="1">
      <c r="A1" s="383" t="s">
        <v>443</v>
      </c>
      <c r="B1" s="571" t="s">
        <v>482</v>
      </c>
      <c r="C1" s="571"/>
      <c r="D1" s="571"/>
      <c r="E1" s="571"/>
      <c r="F1" s="571"/>
      <c r="G1" s="571"/>
    </row>
    <row r="2" spans="1:12" ht="15" customHeight="1"/>
    <row r="3" spans="1:12" ht="20.399999999999999">
      <c r="A3" s="384" t="s">
        <v>444</v>
      </c>
    </row>
    <row r="4" spans="1:12" ht="12" customHeight="1">
      <c r="A4" s="382"/>
      <c r="B4" s="382"/>
      <c r="C4" s="382"/>
      <c r="D4" s="382" t="s">
        <v>496</v>
      </c>
      <c r="E4" s="382"/>
      <c r="F4" s="382"/>
      <c r="G4" s="382"/>
      <c r="H4" s="382"/>
      <c r="I4" s="382"/>
      <c r="J4" s="382"/>
      <c r="K4" s="382"/>
      <c r="L4" s="382"/>
    </row>
    <row r="5" spans="1:12" ht="15.6" customHeight="1">
      <c r="A5" s="385" t="s">
        <v>5</v>
      </c>
      <c r="B5" s="385" t="s">
        <v>445</v>
      </c>
      <c r="C5" s="385" t="s">
        <v>446</v>
      </c>
      <c r="D5" s="385" t="s">
        <v>447</v>
      </c>
      <c r="E5" s="385" t="s">
        <v>448</v>
      </c>
      <c r="F5" s="385" t="s">
        <v>449</v>
      </c>
      <c r="G5" s="385" t="s">
        <v>450</v>
      </c>
      <c r="H5" s="382"/>
      <c r="I5" s="382"/>
      <c r="J5" s="382"/>
      <c r="K5" s="382"/>
      <c r="L5" s="382"/>
    </row>
    <row r="6" spans="1:12" ht="15.6" customHeight="1">
      <c r="A6" s="386" t="s">
        <v>451</v>
      </c>
      <c r="B6" s="386" t="s">
        <v>165</v>
      </c>
      <c r="C6" s="386" t="s">
        <v>165</v>
      </c>
      <c r="D6" s="386" t="s">
        <v>452</v>
      </c>
      <c r="E6" s="386" t="s">
        <v>135</v>
      </c>
      <c r="F6" s="386" t="s">
        <v>453</v>
      </c>
      <c r="G6" s="386" t="s">
        <v>453</v>
      </c>
      <c r="H6" s="382"/>
      <c r="I6" s="382"/>
      <c r="J6" s="382"/>
      <c r="K6" s="382"/>
      <c r="L6" s="382"/>
    </row>
    <row r="7" spans="1:12" ht="15.9" customHeight="1">
      <c r="A7" s="387" t="s">
        <v>483</v>
      </c>
      <c r="B7" s="387" t="s">
        <v>497</v>
      </c>
      <c r="C7" s="387" t="s">
        <v>506</v>
      </c>
      <c r="D7" s="387" t="s">
        <v>519</v>
      </c>
      <c r="E7" s="387" t="s">
        <v>532</v>
      </c>
      <c r="F7" s="387" t="s">
        <v>545</v>
      </c>
      <c r="G7" s="387" t="s">
        <v>557</v>
      </c>
      <c r="H7" s="382"/>
      <c r="I7" s="382"/>
      <c r="J7" s="382"/>
      <c r="K7" s="382"/>
      <c r="L7" s="382"/>
    </row>
    <row r="8" spans="1:12" ht="15.9" customHeight="1">
      <c r="A8" s="387" t="s">
        <v>484</v>
      </c>
      <c r="B8" s="387" t="s">
        <v>497</v>
      </c>
      <c r="C8" s="387" t="s">
        <v>507</v>
      </c>
      <c r="D8" s="387" t="s">
        <v>520</v>
      </c>
      <c r="E8" s="387" t="s">
        <v>533</v>
      </c>
      <c r="F8" s="387" t="s">
        <v>546</v>
      </c>
      <c r="G8" s="387" t="s">
        <v>558</v>
      </c>
      <c r="H8" s="382"/>
      <c r="I8" s="382"/>
      <c r="J8" s="382"/>
      <c r="K8" s="382"/>
      <c r="L8" s="382"/>
    </row>
    <row r="9" spans="1:12" ht="15.9" customHeight="1">
      <c r="A9" s="387" t="s">
        <v>485</v>
      </c>
      <c r="B9" s="387" t="s">
        <v>497</v>
      </c>
      <c r="C9" s="387" t="s">
        <v>508</v>
      </c>
      <c r="D9" s="387" t="s">
        <v>521</v>
      </c>
      <c r="E9" s="387" t="s">
        <v>534</v>
      </c>
      <c r="F9" s="387" t="s">
        <v>547</v>
      </c>
      <c r="G9" s="387" t="s">
        <v>559</v>
      </c>
      <c r="H9" s="382"/>
      <c r="I9" s="382"/>
      <c r="J9" s="382"/>
      <c r="K9" s="382"/>
      <c r="L9" s="382"/>
    </row>
    <row r="10" spans="1:12" ht="15.9" customHeight="1">
      <c r="A10" s="387" t="s">
        <v>486</v>
      </c>
      <c r="B10" s="387" t="s">
        <v>498</v>
      </c>
      <c r="C10" s="387" t="s">
        <v>509</v>
      </c>
      <c r="D10" s="387" t="s">
        <v>522</v>
      </c>
      <c r="E10" s="387" t="s">
        <v>535</v>
      </c>
      <c r="F10" s="387" t="s">
        <v>548</v>
      </c>
      <c r="G10" s="387" t="s">
        <v>560</v>
      </c>
      <c r="H10" s="382"/>
      <c r="I10" s="382"/>
      <c r="J10" s="382"/>
      <c r="K10" s="382"/>
      <c r="L10" s="382"/>
    </row>
    <row r="11" spans="1:12" ht="15.9" customHeight="1">
      <c r="A11" s="387" t="s">
        <v>487</v>
      </c>
      <c r="B11" s="387" t="s">
        <v>498</v>
      </c>
      <c r="C11" s="387" t="s">
        <v>510</v>
      </c>
      <c r="D11" s="387" t="s">
        <v>523</v>
      </c>
      <c r="E11" s="387" t="s">
        <v>536</v>
      </c>
      <c r="F11" s="387" t="s">
        <v>549</v>
      </c>
      <c r="G11" s="387" t="s">
        <v>561</v>
      </c>
      <c r="H11" s="382"/>
      <c r="I11" s="382"/>
      <c r="J11" s="382"/>
      <c r="K11" s="382"/>
      <c r="L11" s="382"/>
    </row>
    <row r="12" spans="1:12" ht="15.9" customHeight="1">
      <c r="A12" s="387" t="s">
        <v>488</v>
      </c>
      <c r="B12" s="387" t="s">
        <v>498</v>
      </c>
      <c r="C12" s="387" t="s">
        <v>511</v>
      </c>
      <c r="D12" s="387" t="s">
        <v>524</v>
      </c>
      <c r="E12" s="387" t="s">
        <v>537</v>
      </c>
      <c r="F12" s="387" t="s">
        <v>550</v>
      </c>
      <c r="G12" s="387" t="s">
        <v>562</v>
      </c>
      <c r="H12" s="382"/>
      <c r="I12" s="382"/>
      <c r="J12" s="382"/>
      <c r="K12" s="382"/>
      <c r="L12" s="382"/>
    </row>
    <row r="13" spans="1:12" ht="15.9" customHeight="1">
      <c r="A13" s="387" t="s">
        <v>489</v>
      </c>
      <c r="B13" s="387" t="s">
        <v>499</v>
      </c>
      <c r="C13" s="387" t="s">
        <v>512</v>
      </c>
      <c r="D13" s="387" t="s">
        <v>525</v>
      </c>
      <c r="E13" s="387" t="s">
        <v>538</v>
      </c>
      <c r="F13" s="387" t="s">
        <v>551</v>
      </c>
      <c r="G13" s="387" t="s">
        <v>563</v>
      </c>
      <c r="H13" s="382"/>
      <c r="I13" s="382"/>
      <c r="J13" s="382"/>
      <c r="K13" s="382"/>
      <c r="L13" s="382"/>
    </row>
    <row r="14" spans="1:12" ht="15.9" customHeight="1">
      <c r="A14" s="387" t="s">
        <v>490</v>
      </c>
      <c r="B14" s="387" t="s">
        <v>500</v>
      </c>
      <c r="C14" s="387" t="s">
        <v>513</v>
      </c>
      <c r="D14" s="387" t="s">
        <v>526</v>
      </c>
      <c r="E14" s="387" t="s">
        <v>539</v>
      </c>
      <c r="F14" s="387" t="s">
        <v>552</v>
      </c>
      <c r="G14" s="387" t="s">
        <v>564</v>
      </c>
      <c r="H14" s="382"/>
      <c r="I14" s="382"/>
      <c r="J14" s="382"/>
      <c r="K14" s="382"/>
      <c r="L14" s="382"/>
    </row>
    <row r="15" spans="1:12" ht="15.9" customHeight="1">
      <c r="A15" s="387" t="s">
        <v>491</v>
      </c>
      <c r="B15" s="387" t="s">
        <v>501</v>
      </c>
      <c r="C15" s="387" t="s">
        <v>514</v>
      </c>
      <c r="D15" s="387" t="s">
        <v>527</v>
      </c>
      <c r="E15" s="387" t="s">
        <v>540</v>
      </c>
      <c r="F15" s="387" t="s">
        <v>553</v>
      </c>
      <c r="G15" s="387" t="s">
        <v>565</v>
      </c>
      <c r="H15" s="382"/>
      <c r="I15" s="382"/>
      <c r="J15" s="382"/>
      <c r="K15" s="382"/>
      <c r="L15" s="382"/>
    </row>
    <row r="16" spans="1:12" ht="15.9" customHeight="1">
      <c r="A16" s="387" t="s">
        <v>492</v>
      </c>
      <c r="B16" s="387" t="s">
        <v>502</v>
      </c>
      <c r="C16" s="387" t="s">
        <v>515</v>
      </c>
      <c r="D16" s="387" t="s">
        <v>528</v>
      </c>
      <c r="E16" s="387" t="s">
        <v>541</v>
      </c>
      <c r="F16" s="387" t="s">
        <v>554</v>
      </c>
      <c r="G16" s="387" t="s">
        <v>566</v>
      </c>
      <c r="H16" s="382"/>
      <c r="I16" s="382"/>
      <c r="J16" s="382"/>
      <c r="K16" s="382"/>
      <c r="L16" s="382"/>
    </row>
    <row r="17" spans="1:12" ht="15.9" customHeight="1">
      <c r="A17" s="387" t="s">
        <v>493</v>
      </c>
      <c r="B17" s="387" t="s">
        <v>503</v>
      </c>
      <c r="C17" s="387" t="s">
        <v>516</v>
      </c>
      <c r="D17" s="387" t="s">
        <v>529</v>
      </c>
      <c r="E17" s="387" t="s">
        <v>542</v>
      </c>
      <c r="F17" s="387" t="s">
        <v>555</v>
      </c>
      <c r="G17" s="387" t="s">
        <v>567</v>
      </c>
      <c r="H17" s="382"/>
      <c r="I17" s="382"/>
      <c r="J17" s="382"/>
      <c r="K17" s="382"/>
      <c r="L17" s="382"/>
    </row>
    <row r="18" spans="1:12" ht="15.9" customHeight="1">
      <c r="A18" s="387" t="s">
        <v>494</v>
      </c>
      <c r="B18" s="387" t="s">
        <v>504</v>
      </c>
      <c r="C18" s="387" t="s">
        <v>517</v>
      </c>
      <c r="D18" s="387" t="s">
        <v>530</v>
      </c>
      <c r="E18" s="387" t="s">
        <v>543</v>
      </c>
      <c r="F18" s="387" t="s">
        <v>510</v>
      </c>
      <c r="G18" s="387" t="s">
        <v>568</v>
      </c>
      <c r="H18" s="382"/>
      <c r="I18" s="382"/>
      <c r="J18" s="382"/>
      <c r="K18" s="382"/>
      <c r="L18" s="382"/>
    </row>
    <row r="19" spans="1:12" ht="15.9" customHeight="1">
      <c r="A19" s="387" t="s">
        <v>495</v>
      </c>
      <c r="B19" s="387" t="s">
        <v>505</v>
      </c>
      <c r="C19" s="387" t="s">
        <v>518</v>
      </c>
      <c r="D19" s="387" t="s">
        <v>531</v>
      </c>
      <c r="E19" s="387" t="s">
        <v>544</v>
      </c>
      <c r="F19" s="387" t="s">
        <v>556</v>
      </c>
      <c r="G19" s="387" t="s">
        <v>569</v>
      </c>
      <c r="H19" s="382"/>
      <c r="I19" s="382"/>
      <c r="J19" s="382"/>
      <c r="K19" s="382"/>
      <c r="L19" s="382"/>
    </row>
    <row r="20" spans="1:12" ht="15.6">
      <c r="A20" s="382"/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382"/>
    </row>
    <row r="21" spans="1:12" ht="16.2">
      <c r="A21" s="382"/>
      <c r="B21" s="382"/>
      <c r="C21" s="382"/>
      <c r="D21" s="572" t="s">
        <v>579</v>
      </c>
      <c r="E21" s="568"/>
      <c r="F21" s="568"/>
      <c r="G21" s="569"/>
      <c r="H21" s="382"/>
      <c r="I21" s="382"/>
      <c r="J21" s="382"/>
      <c r="K21" s="382"/>
      <c r="L21" s="382"/>
    </row>
    <row r="22" spans="1:12" ht="17.25" customHeight="1">
      <c r="A22" s="382"/>
      <c r="B22" s="570" t="s">
        <v>454</v>
      </c>
      <c r="C22" s="570"/>
      <c r="D22" s="570" t="s">
        <v>455</v>
      </c>
      <c r="E22" s="570"/>
      <c r="F22" s="570" t="s">
        <v>456</v>
      </c>
      <c r="G22" s="570"/>
      <c r="H22" s="382"/>
      <c r="I22" s="382"/>
      <c r="J22" s="382"/>
      <c r="K22" s="382"/>
      <c r="L22" s="382"/>
    </row>
    <row r="23" spans="1:12" ht="15.6">
      <c r="A23" s="388" t="s">
        <v>457</v>
      </c>
      <c r="B23" s="566" t="s">
        <v>570</v>
      </c>
      <c r="C23" s="566"/>
      <c r="D23" s="566" t="s">
        <v>573</v>
      </c>
      <c r="E23" s="566"/>
      <c r="F23" s="566" t="s">
        <v>576</v>
      </c>
      <c r="G23" s="566"/>
      <c r="H23" s="382"/>
      <c r="I23" s="382"/>
      <c r="J23" s="382"/>
      <c r="K23" s="382"/>
      <c r="L23" s="382"/>
    </row>
    <row r="24" spans="1:12" ht="18" customHeight="1">
      <c r="A24" s="388" t="s">
        <v>458</v>
      </c>
      <c r="B24" s="566" t="s">
        <v>571</v>
      </c>
      <c r="C24" s="566"/>
      <c r="D24" s="566" t="s">
        <v>574</v>
      </c>
      <c r="E24" s="566"/>
      <c r="F24" s="566" t="s">
        <v>577</v>
      </c>
      <c r="G24" s="566"/>
      <c r="H24" s="382"/>
      <c r="I24" s="382"/>
      <c r="J24" s="382"/>
      <c r="K24" s="382"/>
      <c r="L24" s="382"/>
    </row>
    <row r="25" spans="1:12" ht="15.6">
      <c r="A25" s="388" t="s">
        <v>459</v>
      </c>
      <c r="B25" s="566" t="s">
        <v>572</v>
      </c>
      <c r="C25" s="566"/>
      <c r="D25" s="566" t="s">
        <v>575</v>
      </c>
      <c r="E25" s="566"/>
      <c r="F25" s="566" t="s">
        <v>578</v>
      </c>
      <c r="G25" s="566"/>
      <c r="H25" s="382"/>
      <c r="I25" s="382"/>
      <c r="J25" s="382"/>
      <c r="K25" s="382"/>
      <c r="L25" s="382"/>
    </row>
    <row r="26" spans="1:12" ht="15.6">
      <c r="A26" s="382"/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382"/>
    </row>
    <row r="27" spans="1:12" ht="20.399999999999999">
      <c r="A27" s="384" t="s">
        <v>460</v>
      </c>
      <c r="B27" s="382"/>
      <c r="C27" s="382"/>
      <c r="D27" s="382"/>
      <c r="E27" s="382"/>
      <c r="F27" s="382"/>
      <c r="G27" s="382"/>
      <c r="H27" s="382"/>
      <c r="I27" s="382"/>
      <c r="J27" s="382"/>
      <c r="K27" s="382"/>
      <c r="L27" s="382"/>
    </row>
    <row r="28" spans="1:12" ht="15.6">
      <c r="A28" s="382"/>
      <c r="B28" s="382"/>
      <c r="C28" s="382"/>
      <c r="D28" s="382"/>
      <c r="E28" s="567" t="s">
        <v>461</v>
      </c>
      <c r="F28" s="568"/>
      <c r="G28" s="569"/>
      <c r="H28" s="382"/>
      <c r="I28" s="382"/>
      <c r="J28" s="382"/>
      <c r="K28" s="382"/>
      <c r="L28" s="382"/>
    </row>
    <row r="29" spans="1:12" ht="15.6">
      <c r="A29" s="382"/>
      <c r="B29" s="570" t="s">
        <v>462</v>
      </c>
      <c r="C29" s="570"/>
      <c r="D29" s="389" t="s">
        <v>463</v>
      </c>
      <c r="E29" s="389" t="s">
        <v>464</v>
      </c>
      <c r="F29" s="570" t="s">
        <v>465</v>
      </c>
      <c r="G29" s="570"/>
      <c r="H29" s="382"/>
      <c r="I29" s="382"/>
      <c r="J29" s="382"/>
      <c r="K29" s="382"/>
      <c r="L29" s="382"/>
    </row>
    <row r="30" spans="1:12" ht="15.6">
      <c r="A30" s="388" t="s">
        <v>466</v>
      </c>
      <c r="B30" s="566" t="s">
        <v>580</v>
      </c>
      <c r="C30" s="566"/>
      <c r="D30" s="387" t="s">
        <v>583</v>
      </c>
      <c r="E30" s="387" t="s">
        <v>467</v>
      </c>
      <c r="F30" s="566" t="s">
        <v>586</v>
      </c>
      <c r="G30" s="566"/>
      <c r="H30" s="382"/>
      <c r="I30" s="382"/>
      <c r="J30" s="382"/>
      <c r="K30" s="382"/>
      <c r="L30" s="382"/>
    </row>
    <row r="31" spans="1:12" ht="15.6">
      <c r="A31" s="388" t="s">
        <v>468</v>
      </c>
      <c r="B31" s="566" t="s">
        <v>581</v>
      </c>
      <c r="C31" s="566"/>
      <c r="D31" s="387" t="s">
        <v>584</v>
      </c>
      <c r="E31" s="387" t="s">
        <v>469</v>
      </c>
      <c r="F31" s="566" t="s">
        <v>587</v>
      </c>
      <c r="G31" s="566"/>
      <c r="H31" s="382"/>
      <c r="I31" s="382"/>
      <c r="J31" s="382"/>
      <c r="K31" s="382"/>
      <c r="L31" s="382"/>
    </row>
    <row r="32" spans="1:12" ht="15.6">
      <c r="A32" s="388" t="s">
        <v>470</v>
      </c>
      <c r="B32" s="566" t="s">
        <v>582</v>
      </c>
      <c r="C32" s="566"/>
      <c r="D32" s="387" t="s">
        <v>585</v>
      </c>
      <c r="E32" s="387" t="s">
        <v>471</v>
      </c>
      <c r="F32" s="566" t="s">
        <v>588</v>
      </c>
      <c r="G32" s="566"/>
      <c r="H32" s="382"/>
      <c r="I32" s="382"/>
      <c r="J32" s="382"/>
      <c r="K32" s="382"/>
      <c r="L32" s="382"/>
    </row>
    <row r="33" spans="1:12" ht="15.6">
      <c r="A33" s="382"/>
      <c r="B33" s="382"/>
      <c r="C33" s="382"/>
      <c r="D33" s="382"/>
      <c r="E33" s="382"/>
      <c r="F33" s="382"/>
      <c r="G33" s="382"/>
      <c r="H33" s="382"/>
      <c r="I33" s="382"/>
      <c r="J33" s="382"/>
      <c r="K33" s="382"/>
      <c r="L33" s="382"/>
    </row>
    <row r="34" spans="1:12" ht="15.6">
      <c r="A34" s="382"/>
      <c r="B34" s="382"/>
      <c r="C34" s="382"/>
      <c r="D34" s="382"/>
      <c r="E34" s="567" t="s">
        <v>472</v>
      </c>
      <c r="F34" s="568"/>
      <c r="G34" s="569"/>
      <c r="H34" s="382"/>
      <c r="I34" s="382"/>
      <c r="J34" s="382"/>
      <c r="K34" s="382"/>
      <c r="L34" s="382"/>
    </row>
    <row r="35" spans="1:12" ht="15.6">
      <c r="A35" s="382"/>
      <c r="B35" s="570" t="s">
        <v>473</v>
      </c>
      <c r="C35" s="570"/>
      <c r="D35" s="389" t="s">
        <v>464</v>
      </c>
      <c r="E35" s="389" t="s">
        <v>474</v>
      </c>
      <c r="F35" s="389" t="s">
        <v>100</v>
      </c>
      <c r="G35" s="389" t="s">
        <v>475</v>
      </c>
      <c r="H35" s="382"/>
      <c r="I35" s="382"/>
      <c r="J35" s="382"/>
      <c r="K35" s="382"/>
      <c r="L35" s="382"/>
    </row>
    <row r="36" spans="1:12" ht="15.6">
      <c r="A36" s="388" t="s">
        <v>466</v>
      </c>
      <c r="B36" s="562" t="s">
        <v>589</v>
      </c>
      <c r="C36" s="563"/>
      <c r="D36" s="390" t="s">
        <v>591</v>
      </c>
      <c r="E36" s="390" t="s">
        <v>476</v>
      </c>
      <c r="F36" s="391" t="s">
        <v>477</v>
      </c>
      <c r="G36" s="387" t="s">
        <v>594</v>
      </c>
      <c r="H36" s="382"/>
      <c r="I36" s="382"/>
      <c r="J36" s="382"/>
      <c r="K36" s="382"/>
      <c r="L36" s="382"/>
    </row>
    <row r="37" spans="1:12" ht="15.6">
      <c r="A37" s="388" t="s">
        <v>468</v>
      </c>
      <c r="B37" s="562" t="s">
        <v>590</v>
      </c>
      <c r="C37" s="563"/>
      <c r="D37" s="390" t="s">
        <v>592</v>
      </c>
      <c r="E37" s="390" t="s">
        <v>476</v>
      </c>
      <c r="F37" s="391" t="s">
        <v>478</v>
      </c>
      <c r="G37" s="392" t="s">
        <v>595</v>
      </c>
      <c r="H37" s="382"/>
      <c r="I37" s="382"/>
      <c r="J37" s="382"/>
      <c r="K37" s="382"/>
      <c r="L37" s="382"/>
    </row>
    <row r="38" spans="1:12" ht="15.6">
      <c r="A38" s="388" t="s">
        <v>470</v>
      </c>
      <c r="B38" s="562" t="s">
        <v>590</v>
      </c>
      <c r="C38" s="563"/>
      <c r="D38" s="390" t="s">
        <v>593</v>
      </c>
      <c r="E38" s="390" t="s">
        <v>476</v>
      </c>
      <c r="F38" s="391" t="s">
        <v>479</v>
      </c>
      <c r="G38" s="387" t="s">
        <v>596</v>
      </c>
      <c r="H38" s="382"/>
      <c r="I38" s="382"/>
      <c r="J38" s="382"/>
      <c r="K38" s="382"/>
      <c r="L38" s="382"/>
    </row>
    <row r="39" spans="1:12" ht="15.6">
      <c r="A39" s="382"/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</row>
    <row r="40" spans="1:12" ht="15.6">
      <c r="A40" s="393" t="s">
        <v>480</v>
      </c>
      <c r="B40" s="564" t="s">
        <v>597</v>
      </c>
      <c r="C40" s="564"/>
      <c r="D40" s="565" t="s">
        <v>481</v>
      </c>
      <c r="E40" s="565"/>
      <c r="F40" s="564" t="s">
        <v>598</v>
      </c>
      <c r="G40" s="564"/>
      <c r="H40" s="382"/>
      <c r="I40" s="382"/>
      <c r="J40" s="382"/>
      <c r="K40" s="382"/>
      <c r="L40" s="382"/>
    </row>
    <row r="41" spans="1:12" ht="15.6">
      <c r="A41" s="382"/>
      <c r="B41" s="382"/>
      <c r="C41" s="382"/>
      <c r="D41" s="382"/>
      <c r="E41" s="382"/>
      <c r="F41" s="382"/>
      <c r="G41" s="382"/>
      <c r="H41" s="382"/>
      <c r="I41" s="382"/>
      <c r="J41" s="382"/>
      <c r="K41" s="382"/>
      <c r="L41" s="382"/>
    </row>
    <row r="42" spans="1:12" ht="15.6">
      <c r="A42" s="382"/>
      <c r="B42" s="382"/>
      <c r="C42" s="382"/>
      <c r="D42" s="382"/>
      <c r="E42" s="382"/>
      <c r="F42" s="382"/>
      <c r="G42" s="382"/>
      <c r="H42" s="382"/>
      <c r="I42" s="382"/>
      <c r="J42" s="382"/>
      <c r="K42" s="382"/>
      <c r="L42" s="382"/>
    </row>
    <row r="43" spans="1:12" ht="15.6">
      <c r="A43" s="382"/>
      <c r="B43" s="382"/>
      <c r="C43" s="382"/>
      <c r="D43" s="382"/>
      <c r="E43" s="382"/>
      <c r="F43" s="382"/>
      <c r="G43" s="382"/>
      <c r="H43" s="382"/>
      <c r="I43" s="382"/>
      <c r="J43" s="382"/>
      <c r="K43" s="382"/>
      <c r="L43" s="382"/>
    </row>
    <row r="44" spans="1:12" ht="15.6">
      <c r="A44" s="382"/>
      <c r="B44" s="382"/>
      <c r="C44" s="382"/>
      <c r="D44" s="382"/>
      <c r="E44" s="382"/>
      <c r="F44" s="382"/>
      <c r="G44" s="382"/>
      <c r="H44" s="382"/>
      <c r="I44" s="382"/>
      <c r="J44" s="382"/>
      <c r="K44" s="382"/>
      <c r="L44" s="382"/>
    </row>
    <row r="45" spans="1:12" ht="15.6">
      <c r="A45" s="382"/>
      <c r="B45" s="382"/>
      <c r="C45" s="382"/>
      <c r="D45" s="382"/>
      <c r="E45" s="382"/>
      <c r="F45" s="382"/>
      <c r="G45" s="382"/>
      <c r="H45" s="382"/>
      <c r="I45" s="382"/>
      <c r="J45" s="382"/>
      <c r="K45" s="382"/>
      <c r="L45" s="382"/>
    </row>
    <row r="46" spans="1:12" ht="15.6">
      <c r="A46" s="382"/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2"/>
    </row>
    <row r="47" spans="1:12" ht="15.6">
      <c r="A47" s="382"/>
      <c r="B47" s="382"/>
      <c r="C47" s="382"/>
      <c r="D47" s="382"/>
      <c r="E47" s="382"/>
      <c r="F47" s="382"/>
      <c r="G47" s="382"/>
      <c r="H47" s="382"/>
      <c r="I47" s="382"/>
      <c r="J47" s="382"/>
      <c r="K47" s="382"/>
      <c r="L47" s="382"/>
    </row>
    <row r="48" spans="1:12" ht="15.6">
      <c r="A48" s="382"/>
      <c r="B48" s="382"/>
      <c r="C48" s="382"/>
      <c r="D48" s="382"/>
      <c r="E48" s="382"/>
      <c r="F48" s="382"/>
      <c r="G48" s="382"/>
      <c r="H48" s="382"/>
      <c r="I48" s="382"/>
      <c r="J48" s="382"/>
      <c r="K48" s="382"/>
      <c r="L48" s="382"/>
    </row>
    <row r="49" spans="1:12" ht="15.6">
      <c r="A49" s="382"/>
      <c r="B49" s="382"/>
      <c r="C49" s="382"/>
      <c r="D49" s="382"/>
      <c r="E49" s="382"/>
      <c r="F49" s="382"/>
      <c r="G49" s="382"/>
      <c r="H49" s="382"/>
      <c r="I49" s="382"/>
      <c r="J49" s="382"/>
      <c r="K49" s="382"/>
      <c r="L49" s="382"/>
    </row>
    <row r="50" spans="1:12" ht="15.6">
      <c r="A50" s="382"/>
      <c r="B50" s="382"/>
      <c r="C50" s="382"/>
      <c r="D50" s="382"/>
      <c r="E50" s="382"/>
      <c r="F50" s="382"/>
      <c r="G50" s="382"/>
      <c r="H50" s="382"/>
      <c r="I50" s="382"/>
      <c r="J50" s="382"/>
      <c r="K50" s="382"/>
      <c r="L50" s="382"/>
    </row>
    <row r="51" spans="1:12" ht="15.6">
      <c r="A51" s="382"/>
      <c r="B51" s="382"/>
      <c r="C51" s="382"/>
      <c r="D51" s="382"/>
      <c r="E51" s="382"/>
      <c r="F51" s="382"/>
      <c r="G51" s="382"/>
      <c r="H51" s="382"/>
      <c r="I51" s="382"/>
      <c r="J51" s="382"/>
      <c r="K51" s="382"/>
      <c r="L51" s="382"/>
    </row>
    <row r="52" spans="1:12" ht="15.6">
      <c r="A52" s="382"/>
      <c r="B52" s="382"/>
      <c r="C52" s="382"/>
      <c r="D52" s="382"/>
      <c r="E52" s="382"/>
      <c r="F52" s="382"/>
      <c r="G52" s="382"/>
      <c r="H52" s="382"/>
      <c r="I52" s="382"/>
      <c r="J52" s="382"/>
      <c r="K52" s="382"/>
      <c r="L52" s="382"/>
    </row>
    <row r="53" spans="1:12" ht="15.6">
      <c r="A53" s="382"/>
      <c r="B53" s="382"/>
      <c r="C53" s="382"/>
      <c r="D53" s="382"/>
      <c r="E53" s="382"/>
      <c r="F53" s="382"/>
      <c r="G53" s="382"/>
      <c r="H53" s="382"/>
      <c r="I53" s="382"/>
      <c r="J53" s="382"/>
      <c r="K53" s="382"/>
      <c r="L53" s="382"/>
    </row>
    <row r="54" spans="1:12" ht="15.6">
      <c r="A54" s="382"/>
      <c r="B54" s="382"/>
      <c r="C54" s="382"/>
      <c r="D54" s="382"/>
      <c r="E54" s="382"/>
      <c r="F54" s="382"/>
      <c r="G54" s="382"/>
      <c r="H54" s="382"/>
      <c r="I54" s="382"/>
      <c r="J54" s="382"/>
      <c r="K54" s="382"/>
      <c r="L54" s="382"/>
    </row>
    <row r="55" spans="1:12" ht="15.6">
      <c r="A55" s="382"/>
      <c r="B55" s="382"/>
      <c r="C55" s="382"/>
      <c r="D55" s="382"/>
      <c r="E55" s="382"/>
      <c r="F55" s="382"/>
      <c r="G55" s="382"/>
      <c r="H55" s="382"/>
      <c r="I55" s="382"/>
      <c r="J55" s="382"/>
      <c r="K55" s="382"/>
      <c r="L55" s="382"/>
    </row>
    <row r="56" spans="1:12" ht="15.6">
      <c r="A56" s="382"/>
      <c r="B56" s="382"/>
      <c r="C56" s="382"/>
      <c r="D56" s="382"/>
      <c r="E56" s="382"/>
      <c r="F56" s="382"/>
      <c r="G56" s="382"/>
      <c r="H56" s="382"/>
      <c r="I56" s="382"/>
      <c r="J56" s="382"/>
      <c r="K56" s="382"/>
      <c r="L56" s="382"/>
    </row>
    <row r="57" spans="1:12" ht="15.6">
      <c r="A57" s="382"/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6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6">
      <c r="A59" s="382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2"/>
    </row>
    <row r="60" spans="1:12" ht="15.6">
      <c r="A60" s="382"/>
      <c r="B60" s="382"/>
      <c r="C60" s="382"/>
      <c r="D60" s="382"/>
      <c r="E60" s="382"/>
      <c r="F60" s="382"/>
      <c r="G60" s="382"/>
      <c r="H60" s="382"/>
      <c r="I60" s="382"/>
      <c r="J60" s="382"/>
      <c r="K60" s="382"/>
      <c r="L60" s="382"/>
    </row>
    <row r="61" spans="1:12" ht="15.6">
      <c r="A61" s="382"/>
      <c r="B61" s="382"/>
      <c r="C61" s="382"/>
      <c r="D61" s="382"/>
      <c r="E61" s="382"/>
      <c r="F61" s="382"/>
      <c r="G61" s="382"/>
      <c r="H61" s="382"/>
      <c r="I61" s="382"/>
      <c r="J61" s="382"/>
      <c r="K61" s="382"/>
      <c r="L61" s="382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topLeftCell="A13" workbookViewId="0">
      <selection activeCell="K37" sqref="K37"/>
    </sheetView>
  </sheetViews>
  <sheetFormatPr defaultColWidth="9.109375" defaultRowHeight="13.2"/>
  <cols>
    <col min="1" max="6" width="16.6640625" style="360" customWidth="1"/>
    <col min="7" max="16384" width="9.109375" style="360"/>
  </cols>
  <sheetData>
    <row r="1" spans="1:6" ht="18.899999999999999" customHeight="1">
      <c r="A1" s="357"/>
      <c r="B1" s="358"/>
      <c r="C1" s="358"/>
      <c r="D1" s="358"/>
      <c r="E1" s="358"/>
      <c r="F1" s="359"/>
    </row>
    <row r="2" spans="1:6" ht="26.1" customHeight="1">
      <c r="A2" s="361" t="s">
        <v>251</v>
      </c>
      <c r="B2" s="362"/>
      <c r="C2" s="362"/>
      <c r="D2" s="362"/>
      <c r="E2" s="362"/>
      <c r="F2" s="363"/>
    </row>
    <row r="3" spans="1:6" ht="18.899999999999999" customHeight="1">
      <c r="A3" s="573" t="s">
        <v>599</v>
      </c>
      <c r="B3" s="574"/>
      <c r="C3" s="574"/>
      <c r="D3" s="574"/>
      <c r="E3" s="574"/>
      <c r="F3" s="575"/>
    </row>
    <row r="4" spans="1:6" ht="18.899999999999999" customHeight="1">
      <c r="A4" s="576" t="s">
        <v>600</v>
      </c>
      <c r="B4" s="577"/>
      <c r="C4" s="577"/>
      <c r="D4" s="577"/>
      <c r="E4" s="577"/>
      <c r="F4" s="578"/>
    </row>
    <row r="5" spans="1:6" ht="18.899999999999999" customHeight="1">
      <c r="A5" s="365"/>
      <c r="B5" s="366"/>
      <c r="C5" s="366"/>
      <c r="D5" s="366"/>
      <c r="E5" s="366"/>
      <c r="F5" s="367"/>
    </row>
    <row r="6" spans="1:6" ht="18.899999999999999" customHeight="1">
      <c r="A6" s="368" t="s">
        <v>386</v>
      </c>
      <c r="B6" s="533" t="s">
        <v>644</v>
      </c>
      <c r="C6" s="534"/>
      <c r="D6" s="535"/>
      <c r="E6" s="368" t="s">
        <v>387</v>
      </c>
      <c r="F6" s="369">
        <v>158</v>
      </c>
    </row>
    <row r="7" spans="1:6" ht="18.899999999999999" customHeight="1">
      <c r="A7" s="368" t="s">
        <v>388</v>
      </c>
      <c r="B7" s="369" t="s">
        <v>177</v>
      </c>
      <c r="C7" s="368" t="s">
        <v>389</v>
      </c>
      <c r="D7" s="369" t="s">
        <v>407</v>
      </c>
      <c r="E7" s="368" t="s">
        <v>390</v>
      </c>
      <c r="F7" s="369" t="s">
        <v>178</v>
      </c>
    </row>
    <row r="8" spans="1:6" ht="18.899999999999999" customHeight="1">
      <c r="A8" s="368" t="s">
        <v>391</v>
      </c>
      <c r="B8" s="369">
        <v>4</v>
      </c>
      <c r="C8" s="368" t="s">
        <v>392</v>
      </c>
      <c r="D8" s="369" t="s">
        <v>393</v>
      </c>
      <c r="E8" s="368" t="s">
        <v>394</v>
      </c>
      <c r="F8" s="369" t="s">
        <v>344</v>
      </c>
    </row>
    <row r="9" spans="1:6" ht="18.899999999999999" customHeight="1">
      <c r="A9" s="368" t="s">
        <v>395</v>
      </c>
      <c r="B9" s="369">
        <v>1250</v>
      </c>
      <c r="C9" s="368" t="s">
        <v>396</v>
      </c>
      <c r="D9" s="369" t="s">
        <v>408</v>
      </c>
      <c r="E9" s="368" t="s">
        <v>2</v>
      </c>
      <c r="F9" s="370">
        <v>41800</v>
      </c>
    </row>
    <row r="10" spans="1:6" ht="18.899999999999999" customHeight="1">
      <c r="A10" s="368" t="s">
        <v>397</v>
      </c>
      <c r="B10" s="369">
        <v>1789</v>
      </c>
      <c r="C10" s="368" t="s">
        <v>377</v>
      </c>
      <c r="D10" s="369" t="s">
        <v>409</v>
      </c>
      <c r="E10" s="368" t="s">
        <v>1</v>
      </c>
      <c r="F10" s="369" t="s">
        <v>361</v>
      </c>
    </row>
    <row r="11" spans="1:6" ht="18.899999999999999" customHeight="1">
      <c r="A11" s="365"/>
      <c r="B11" s="366"/>
      <c r="C11" s="366"/>
      <c r="D11" s="366"/>
      <c r="E11" s="366"/>
      <c r="F11" s="367"/>
    </row>
    <row r="12" spans="1:6" ht="18.899999999999999" customHeight="1">
      <c r="A12" s="365"/>
      <c r="B12" s="371"/>
      <c r="C12" s="372"/>
      <c r="D12" s="371"/>
      <c r="E12" s="372"/>
      <c r="F12" s="367"/>
    </row>
    <row r="13" spans="1:6" ht="18.899999999999999" customHeight="1">
      <c r="A13" s="365"/>
      <c r="B13" s="371"/>
      <c r="C13" s="373"/>
      <c r="D13" s="371"/>
      <c r="E13" s="372"/>
      <c r="F13" s="367"/>
    </row>
    <row r="14" spans="1:6" ht="18.899999999999999" customHeight="1">
      <c r="A14" s="365"/>
      <c r="B14" s="371"/>
      <c r="C14" s="373"/>
      <c r="D14" s="371"/>
      <c r="E14" s="372"/>
      <c r="F14" s="367"/>
    </row>
    <row r="15" spans="1:6" ht="18.899999999999999" customHeight="1">
      <c r="A15" s="365"/>
      <c r="B15" s="371"/>
      <c r="C15" s="372"/>
      <c r="D15" s="366"/>
      <c r="E15" s="366"/>
      <c r="F15" s="367"/>
    </row>
    <row r="16" spans="1:6" ht="18.899999999999999" customHeight="1">
      <c r="A16" s="365"/>
      <c r="B16" s="366"/>
      <c r="C16" s="366"/>
      <c r="D16" s="366"/>
      <c r="E16" s="366"/>
      <c r="F16" s="367"/>
    </row>
    <row r="17" spans="1:6" ht="18.899999999999999" customHeight="1">
      <c r="A17" s="365"/>
      <c r="B17" s="366"/>
      <c r="C17" s="366"/>
      <c r="D17" s="366"/>
      <c r="E17" s="366"/>
      <c r="F17" s="367"/>
    </row>
    <row r="18" spans="1:6" ht="18.899999999999999" customHeight="1">
      <c r="A18" s="365"/>
      <c r="B18" s="366"/>
      <c r="C18" s="366"/>
      <c r="D18" s="366"/>
      <c r="E18" s="366"/>
      <c r="F18" s="367"/>
    </row>
    <row r="19" spans="1:6" ht="18.899999999999999" customHeight="1">
      <c r="A19" s="365"/>
      <c r="B19" s="366"/>
      <c r="C19" s="366"/>
      <c r="D19" s="366"/>
      <c r="E19" s="366"/>
      <c r="F19" s="367"/>
    </row>
    <row r="20" spans="1:6" ht="18.899999999999999" customHeight="1">
      <c r="A20" s="365"/>
      <c r="B20" s="366"/>
      <c r="C20" s="366"/>
      <c r="D20" s="366"/>
      <c r="E20" s="366"/>
      <c r="F20" s="367"/>
    </row>
    <row r="21" spans="1:6" ht="18.899999999999999" customHeight="1">
      <c r="A21" s="365"/>
      <c r="B21" s="366"/>
      <c r="C21" s="366"/>
      <c r="D21" s="366"/>
      <c r="E21" s="366"/>
      <c r="F21" s="367"/>
    </row>
    <row r="22" spans="1:6" ht="18.899999999999999" customHeight="1">
      <c r="A22" s="365"/>
      <c r="B22" s="366"/>
      <c r="C22" s="366"/>
      <c r="D22" s="366"/>
      <c r="E22" s="366"/>
      <c r="F22" s="367"/>
    </row>
    <row r="23" spans="1:6" ht="18.899999999999999" customHeight="1">
      <c r="A23" s="365"/>
      <c r="B23" s="366"/>
      <c r="C23" s="366"/>
      <c r="D23" s="366"/>
      <c r="E23" s="366"/>
      <c r="F23" s="367"/>
    </row>
    <row r="24" spans="1:6" ht="18.899999999999999" customHeight="1">
      <c r="A24" s="365"/>
      <c r="B24" s="366"/>
      <c r="C24" s="366"/>
      <c r="D24" s="366"/>
      <c r="E24" s="366"/>
      <c r="F24" s="367"/>
    </row>
    <row r="25" spans="1:6" ht="18.899999999999999" customHeight="1">
      <c r="A25" s="365"/>
      <c r="B25" s="366"/>
      <c r="C25" s="366"/>
      <c r="D25" s="366"/>
      <c r="E25" s="366"/>
      <c r="F25" s="367"/>
    </row>
    <row r="26" spans="1:6" ht="18.899999999999999" customHeight="1">
      <c r="A26" s="365"/>
      <c r="B26" s="366"/>
      <c r="C26" s="366"/>
      <c r="D26" s="366"/>
      <c r="E26" s="366"/>
      <c r="F26" s="367"/>
    </row>
    <row r="27" spans="1:6" ht="18.899999999999999" customHeight="1">
      <c r="A27" s="365"/>
      <c r="B27" s="366"/>
      <c r="C27" s="366"/>
      <c r="D27" s="366"/>
      <c r="E27" s="366"/>
      <c r="F27" s="367"/>
    </row>
    <row r="28" spans="1:6" ht="18.899999999999999" customHeight="1">
      <c r="A28" s="365"/>
      <c r="B28" s="366"/>
      <c r="C28" s="366"/>
      <c r="D28" s="366"/>
      <c r="E28" s="366"/>
      <c r="F28" s="367"/>
    </row>
    <row r="29" spans="1:6" ht="18.899999999999999" customHeight="1">
      <c r="A29" s="365"/>
      <c r="B29" s="366"/>
      <c r="C29" s="366"/>
      <c r="D29" s="366"/>
      <c r="E29" s="366"/>
      <c r="F29" s="367"/>
    </row>
    <row r="30" spans="1:6" ht="18.899999999999999" customHeight="1">
      <c r="A30" s="365"/>
      <c r="B30" s="366"/>
      <c r="C30" s="366"/>
      <c r="D30" s="366"/>
      <c r="E30" s="366"/>
      <c r="F30" s="367"/>
    </row>
    <row r="31" spans="1:6" ht="18.899999999999999" customHeight="1">
      <c r="A31" s="365"/>
      <c r="B31" s="366"/>
      <c r="C31" s="366"/>
      <c r="D31" s="366"/>
      <c r="E31" s="366"/>
      <c r="F31" s="367"/>
    </row>
    <row r="32" spans="1:6" ht="18.899999999999999" customHeight="1">
      <c r="A32" s="365"/>
      <c r="B32" s="366"/>
      <c r="C32" s="366"/>
      <c r="D32" s="366"/>
      <c r="E32" s="366"/>
      <c r="F32" s="367"/>
    </row>
    <row r="33" spans="1:6" ht="18.899999999999999" customHeight="1">
      <c r="A33" s="365"/>
      <c r="B33" s="366"/>
      <c r="C33" s="366"/>
      <c r="D33" s="366"/>
      <c r="E33" s="366"/>
      <c r="F33" s="367"/>
    </row>
    <row r="34" spans="1:6" ht="18.899999999999999" customHeight="1">
      <c r="A34" s="365"/>
      <c r="B34" s="366"/>
      <c r="C34" s="366"/>
      <c r="D34" s="366"/>
      <c r="E34" s="366"/>
      <c r="F34" s="367"/>
    </row>
    <row r="35" spans="1:6" ht="18.899999999999999" customHeight="1">
      <c r="A35" s="365"/>
      <c r="B35" s="366"/>
      <c r="C35" s="366"/>
      <c r="D35" s="366"/>
      <c r="E35" s="366"/>
      <c r="F35" s="367"/>
    </row>
    <row r="36" spans="1:6" ht="18.899999999999999" customHeight="1">
      <c r="A36" s="365"/>
      <c r="B36" s="366"/>
      <c r="C36" s="366"/>
      <c r="D36" s="366"/>
      <c r="E36" s="366"/>
      <c r="F36" s="367"/>
    </row>
    <row r="37" spans="1:6" ht="18.899999999999999" customHeight="1">
      <c r="A37" s="365"/>
      <c r="B37" s="366"/>
      <c r="C37" s="366"/>
      <c r="D37" s="366"/>
      <c r="E37" s="366"/>
      <c r="F37" s="367"/>
    </row>
    <row r="38" spans="1:6" ht="18.899999999999999" customHeight="1">
      <c r="A38" s="365"/>
      <c r="B38" s="366"/>
      <c r="C38" s="366"/>
      <c r="D38" s="366"/>
      <c r="E38" s="366"/>
      <c r="F38" s="367"/>
    </row>
    <row r="39" spans="1:6" ht="18.899999999999999" customHeight="1">
      <c r="A39" s="374" t="s">
        <v>403</v>
      </c>
      <c r="B39" s="375"/>
      <c r="C39" s="375"/>
      <c r="D39" s="366"/>
      <c r="E39" s="371" t="s">
        <v>404</v>
      </c>
      <c r="F39" s="376"/>
    </row>
    <row r="40" spans="1:6" ht="18.899999999999999" customHeight="1">
      <c r="A40" s="365"/>
      <c r="B40" s="375"/>
      <c r="C40" s="375"/>
      <c r="D40" s="366"/>
      <c r="E40" s="366"/>
      <c r="F40" s="367"/>
    </row>
    <row r="41" spans="1:6" ht="18.899999999999999" customHeight="1">
      <c r="A41" s="365"/>
      <c r="B41" s="375"/>
      <c r="C41" s="375"/>
      <c r="D41" s="366"/>
      <c r="E41" s="366"/>
      <c r="F41" s="367"/>
    </row>
    <row r="42" spans="1:6" ht="18.899999999999999" customHeight="1">
      <c r="A42" s="365"/>
      <c r="B42" s="366"/>
      <c r="C42" s="366"/>
      <c r="D42" s="366"/>
      <c r="E42" s="366"/>
      <c r="F42" s="367"/>
    </row>
    <row r="43" spans="1:6" ht="18.899999999999999" customHeight="1">
      <c r="A43" s="377"/>
      <c r="B43" s="375"/>
      <c r="C43" s="378" t="s">
        <v>405</v>
      </c>
      <c r="D43" s="379" t="s">
        <v>412</v>
      </c>
      <c r="E43" s="378" t="s">
        <v>406</v>
      </c>
      <c r="F43" s="379" t="s">
        <v>647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94" t="e">
        <f>5252.1*B50/D53</f>
        <v>#DIV/0!</v>
      </c>
      <c r="G50" s="394"/>
    </row>
    <row r="51" spans="6:9" ht="15" customHeight="1">
      <c r="G51" s="395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96"/>
    </row>
    <row r="63" spans="6:9">
      <c r="I63" s="397" t="s">
        <v>39</v>
      </c>
    </row>
    <row r="64" spans="6:9">
      <c r="I64" s="397"/>
    </row>
    <row r="65" spans="1:9">
      <c r="I65" s="397"/>
    </row>
    <row r="66" spans="1:9">
      <c r="D66" s="394" t="e">
        <f>D65/D64</f>
        <v>#DIV/0!</v>
      </c>
    </row>
    <row r="67" spans="1:9">
      <c r="A67" s="398" t="s">
        <v>373</v>
      </c>
      <c r="B67" s="398" t="s">
        <v>601</v>
      </c>
      <c r="C67" s="398" t="s">
        <v>602</v>
      </c>
      <c r="E67" s="398" t="s">
        <v>603</v>
      </c>
      <c r="F67" s="398" t="s">
        <v>604</v>
      </c>
    </row>
    <row r="68" spans="1:9">
      <c r="A68" s="399">
        <v>647.46835443037969</v>
      </c>
      <c r="B68" s="400">
        <v>35</v>
      </c>
      <c r="C68" s="400">
        <v>15</v>
      </c>
      <c r="E68" s="399">
        <f>A68</f>
        <v>647.46835443037969</v>
      </c>
      <c r="F68" s="400">
        <v>1E-4</v>
      </c>
    </row>
    <row r="69" spans="1:9">
      <c r="A69" s="399">
        <f>FLOOR(A68,100)</f>
        <v>600</v>
      </c>
      <c r="B69" s="400">
        <f>((A68/A69)^2)*B68</f>
        <v>40.757040137798427</v>
      </c>
      <c r="C69" s="400">
        <f>((A68/A69)^2)*C68</f>
        <v>17.467302916199326</v>
      </c>
      <c r="E69" s="399">
        <v>646.07594936708858</v>
      </c>
      <c r="F69" s="400">
        <v>0.92699998617172241</v>
      </c>
    </row>
    <row r="70" spans="1:9">
      <c r="A70" s="399">
        <f>A69-100</f>
        <v>500</v>
      </c>
      <c r="B70" s="400">
        <f>((A68/A70)^2)*B68</f>
        <v>58.690137798429724</v>
      </c>
      <c r="C70" s="400">
        <f>((A68/A70)^2)*C68</f>
        <v>25.152916199327024</v>
      </c>
      <c r="E70" s="399">
        <v>642.91139240506334</v>
      </c>
      <c r="F70" s="400">
        <v>1.7560000419616699</v>
      </c>
    </row>
    <row r="71" spans="1:9">
      <c r="A71" s="399">
        <f>A70-100</f>
        <v>400</v>
      </c>
      <c r="B71" s="400">
        <f>((A68/A71)^2)*B68</f>
        <v>91.703340310046471</v>
      </c>
      <c r="C71" s="400">
        <f>((A68/A71)^2)*C68</f>
        <v>39.301431561448489</v>
      </c>
      <c r="E71" s="399">
        <v>639.17721518987344</v>
      </c>
      <c r="F71" s="400">
        <v>2.5520000457763672</v>
      </c>
    </row>
    <row r="72" spans="1:9">
      <c r="A72" s="399">
        <f>A71-100</f>
        <v>300</v>
      </c>
      <c r="B72" s="400">
        <f>((A68/A72)^2)*B68</f>
        <v>163.02816055119371</v>
      </c>
      <c r="C72" s="400"/>
      <c r="E72" s="399">
        <v>634.55696202531647</v>
      </c>
      <c r="F72" s="400">
        <v>3.3530001640319824</v>
      </c>
    </row>
    <row r="73" spans="1:9">
      <c r="A73" s="399">
        <f>A72-100</f>
        <v>200</v>
      </c>
      <c r="B73" s="400">
        <f>((A68/A73)^2)*B68</f>
        <v>366.81336124018588</v>
      </c>
      <c r="C73" s="400"/>
      <c r="E73" s="399">
        <v>628.79746835443041</v>
      </c>
      <c r="F73" s="400">
        <v>4.190000057220459</v>
      </c>
    </row>
    <row r="74" spans="1:9">
      <c r="A74" s="399">
        <v>220</v>
      </c>
      <c r="B74" s="400">
        <f>((A68/A74)^2)*B68</f>
        <v>303.15153821502957</v>
      </c>
      <c r="C74" s="400">
        <f>((A68/A74)^2)*C68</f>
        <v>129.92208780644125</v>
      </c>
      <c r="E74" s="399">
        <v>621.51898734177212</v>
      </c>
      <c r="F74" s="400">
        <v>5.0960001945495605</v>
      </c>
    </row>
    <row r="75" spans="1:9">
      <c r="A75" s="401">
        <v>180</v>
      </c>
      <c r="B75" s="400">
        <f>((A68/A75)^2)*B69</f>
        <v>527.34486374416247</v>
      </c>
      <c r="C75" s="400">
        <f>((A68/A75)^2)*C68</f>
        <v>194.0811435133258</v>
      </c>
      <c r="E75" s="399">
        <v>612.46835443037969</v>
      </c>
      <c r="F75" s="400">
        <v>6.1220002174377441</v>
      </c>
    </row>
    <row r="76" spans="1:9">
      <c r="A76" s="401">
        <v>120</v>
      </c>
      <c r="B76" s="400">
        <f>((A68/A76)^2)*B68</f>
        <v>1018.9260034449608</v>
      </c>
      <c r="C76" s="400">
        <f>((A68/A76)^2)*C68</f>
        <v>436.6825729049832</v>
      </c>
      <c r="E76" s="399">
        <v>601.13924050632909</v>
      </c>
      <c r="F76" s="400">
        <v>7.375</v>
      </c>
    </row>
    <row r="77" spans="1:9">
      <c r="A77" s="401">
        <v>110</v>
      </c>
      <c r="B77" s="400"/>
      <c r="C77" s="399">
        <f>CEILING(C76*2,100)</f>
        <v>900</v>
      </c>
      <c r="E77" s="399">
        <v>590.56962025316454</v>
      </c>
      <c r="F77" s="400">
        <v>8.1370000839233398</v>
      </c>
    </row>
    <row r="78" spans="1:9">
      <c r="A78" s="401">
        <v>110</v>
      </c>
      <c r="B78" s="400"/>
      <c r="C78" s="399">
        <f>2*C77</f>
        <v>1800</v>
      </c>
      <c r="E78" s="399">
        <v>578.6708860759494</v>
      </c>
      <c r="F78" s="400">
        <v>8.9119997024536133</v>
      </c>
    </row>
    <row r="79" spans="1:9">
      <c r="A79" s="401">
        <v>110</v>
      </c>
      <c r="B79" s="401"/>
      <c r="C79" s="401">
        <v>10000</v>
      </c>
      <c r="E79" s="399">
        <v>544.24050632911394</v>
      </c>
      <c r="F79" s="400">
        <v>9.3889999389648438</v>
      </c>
    </row>
    <row r="80" spans="1:9">
      <c r="E80" s="399">
        <v>362.59493670886076</v>
      </c>
      <c r="F80" s="400">
        <v>9.4580001831054688</v>
      </c>
    </row>
    <row r="81" spans="5:6">
      <c r="E81" s="399">
        <v>0</v>
      </c>
      <c r="F81" s="400">
        <v>9.5060005187988281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activeCell="P24" sqref="P24"/>
    </sheetView>
  </sheetViews>
  <sheetFormatPr defaultColWidth="9.109375" defaultRowHeight="13.2"/>
  <cols>
    <col min="1" max="1" width="9.5546875" style="360" customWidth="1"/>
    <col min="2" max="11" width="7.6640625" style="360" customWidth="1"/>
    <col min="12" max="16384" width="9.109375" style="360"/>
  </cols>
  <sheetData>
    <row r="1" spans="1:12" ht="20.399999999999999">
      <c r="A1" s="581" t="s">
        <v>605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382"/>
    </row>
    <row r="2" spans="1:12" ht="30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</row>
    <row r="3" spans="1:12" ht="18">
      <c r="A3" s="402" t="s">
        <v>443</v>
      </c>
      <c r="B3" s="403" t="s">
        <v>482</v>
      </c>
      <c r="C3" s="382"/>
      <c r="D3" s="382"/>
      <c r="E3" s="382"/>
      <c r="F3" s="382"/>
      <c r="G3" s="382"/>
      <c r="H3" s="382"/>
      <c r="I3" s="382"/>
      <c r="J3" s="382"/>
      <c r="K3" s="382"/>
      <c r="L3" s="382"/>
    </row>
    <row r="4" spans="1:12" ht="12" customHeight="1">
      <c r="A4" s="382"/>
      <c r="B4" s="382"/>
      <c r="C4" s="382"/>
      <c r="D4" s="382"/>
      <c r="E4" s="382"/>
      <c r="F4" s="382"/>
      <c r="G4" s="382"/>
      <c r="H4" s="382"/>
      <c r="I4" s="382"/>
      <c r="J4" s="382"/>
      <c r="K4" s="382"/>
      <c r="L4" s="382"/>
    </row>
    <row r="5" spans="1:12" ht="18">
      <c r="A5" s="404" t="s">
        <v>606</v>
      </c>
      <c r="B5" s="405"/>
      <c r="C5" s="405"/>
      <c r="D5" s="405"/>
      <c r="E5" s="405"/>
      <c r="F5" s="382"/>
      <c r="G5" s="382"/>
      <c r="H5" s="382"/>
      <c r="I5" s="382"/>
      <c r="J5" s="382"/>
      <c r="K5" s="382"/>
      <c r="L5" s="382"/>
    </row>
    <row r="6" spans="1:12" ht="17.25" customHeight="1">
      <c r="A6" s="382"/>
      <c r="B6" s="382"/>
      <c r="C6" s="382"/>
      <c r="D6" s="382"/>
      <c r="E6" s="382"/>
      <c r="F6" s="382"/>
      <c r="G6" s="382"/>
      <c r="H6" s="382"/>
      <c r="I6" s="382"/>
      <c r="J6" s="382"/>
      <c r="K6" s="382"/>
      <c r="L6" s="382"/>
    </row>
    <row r="7" spans="1:12" ht="15.6">
      <c r="A7" s="382"/>
      <c r="B7" s="406" t="s">
        <v>607</v>
      </c>
      <c r="C7" s="407">
        <v>0</v>
      </c>
      <c r="D7" s="406" t="s">
        <v>607</v>
      </c>
      <c r="E7" s="408" t="s">
        <v>608</v>
      </c>
      <c r="F7" s="406" t="s">
        <v>607</v>
      </c>
      <c r="G7" s="408" t="s">
        <v>609</v>
      </c>
      <c r="H7" s="406" t="s">
        <v>610</v>
      </c>
      <c r="I7" s="408">
        <v>0</v>
      </c>
      <c r="J7" s="406" t="s">
        <v>610</v>
      </c>
      <c r="K7" s="408">
        <v>6.0000000000000001E-3</v>
      </c>
      <c r="L7" s="382"/>
    </row>
    <row r="8" spans="1:12" ht="15.6">
      <c r="A8" s="387" t="s">
        <v>611</v>
      </c>
      <c r="B8" s="566">
        <v>6</v>
      </c>
      <c r="C8" s="566"/>
      <c r="D8" s="566">
        <v>18</v>
      </c>
      <c r="E8" s="566"/>
      <c r="F8" s="566">
        <v>6</v>
      </c>
      <c r="G8" s="566"/>
      <c r="H8" s="566" t="s">
        <v>626</v>
      </c>
      <c r="I8" s="566"/>
      <c r="J8" s="566" t="s">
        <v>627</v>
      </c>
      <c r="K8" s="566"/>
      <c r="L8" s="382"/>
    </row>
    <row r="9" spans="1:12" ht="15.6">
      <c r="A9" s="387" t="s">
        <v>612</v>
      </c>
      <c r="B9" s="566">
        <v>14</v>
      </c>
      <c r="C9" s="566"/>
      <c r="D9" s="566">
        <v>26</v>
      </c>
      <c r="E9" s="566"/>
      <c r="F9" s="566">
        <v>2</v>
      </c>
      <c r="G9" s="566"/>
      <c r="H9" s="566" t="s">
        <v>628</v>
      </c>
      <c r="I9" s="566"/>
      <c r="J9" s="566" t="s">
        <v>629</v>
      </c>
      <c r="K9" s="566"/>
      <c r="L9" s="382"/>
    </row>
    <row r="10" spans="1:12" ht="15.6">
      <c r="A10" s="387" t="s">
        <v>613</v>
      </c>
      <c r="B10" s="566">
        <v>10</v>
      </c>
      <c r="C10" s="566"/>
      <c r="D10" s="566">
        <v>22</v>
      </c>
      <c r="E10" s="566"/>
      <c r="F10" s="566">
        <v>2</v>
      </c>
      <c r="G10" s="566"/>
      <c r="H10" s="566" t="s">
        <v>630</v>
      </c>
      <c r="I10" s="566"/>
      <c r="J10" s="566" t="s">
        <v>631</v>
      </c>
      <c r="K10" s="566"/>
      <c r="L10" s="382"/>
    </row>
    <row r="11" spans="1:12" ht="26.25" customHeight="1">
      <c r="A11" s="382"/>
      <c r="B11" s="382"/>
      <c r="C11" s="382"/>
      <c r="D11" s="382"/>
      <c r="E11" s="382"/>
      <c r="F11" s="382"/>
      <c r="G11" s="382"/>
      <c r="H11" s="382"/>
      <c r="I11" s="382"/>
      <c r="J11" s="382"/>
      <c r="K11" s="382"/>
      <c r="L11" s="382"/>
    </row>
    <row r="12" spans="1:12" ht="18">
      <c r="A12" s="404" t="s">
        <v>614</v>
      </c>
      <c r="B12" s="382"/>
      <c r="C12" s="382"/>
      <c r="D12" s="382"/>
      <c r="E12" s="382"/>
      <c r="F12" s="382"/>
      <c r="G12" s="382"/>
      <c r="H12" s="382"/>
      <c r="I12" s="382"/>
      <c r="J12" s="382"/>
      <c r="K12" s="382"/>
      <c r="L12" s="382"/>
    </row>
    <row r="13" spans="1:12" ht="15.6">
      <c r="A13" s="382"/>
      <c r="B13" s="382"/>
      <c r="C13" s="382"/>
      <c r="D13" s="382"/>
      <c r="E13" s="382"/>
      <c r="F13" s="382"/>
      <c r="G13" s="382"/>
      <c r="H13" s="382"/>
      <c r="I13" s="382"/>
      <c r="J13" s="382"/>
      <c r="K13" s="382"/>
      <c r="L13" s="382"/>
    </row>
    <row r="14" spans="1:12" ht="15.6">
      <c r="A14" s="382"/>
      <c r="B14" s="579" t="s">
        <v>615</v>
      </c>
      <c r="C14" s="562"/>
      <c r="D14" s="580" t="s">
        <v>632</v>
      </c>
      <c r="E14" s="566"/>
      <c r="F14" s="579" t="s">
        <v>616</v>
      </c>
      <c r="G14" s="562"/>
      <c r="H14" s="580" t="s">
        <v>637</v>
      </c>
      <c r="I14" s="566"/>
      <c r="J14" s="382"/>
      <c r="K14" s="382"/>
      <c r="L14" s="382"/>
    </row>
    <row r="15" spans="1:12" ht="15.6">
      <c r="A15" s="382"/>
      <c r="B15" s="579" t="s">
        <v>617</v>
      </c>
      <c r="C15" s="562"/>
      <c r="D15" s="580" t="s">
        <v>633</v>
      </c>
      <c r="E15" s="566"/>
      <c r="F15" s="579" t="s">
        <v>618</v>
      </c>
      <c r="G15" s="562"/>
      <c r="H15" s="580" t="s">
        <v>638</v>
      </c>
      <c r="I15" s="566"/>
      <c r="J15" s="382"/>
      <c r="K15" s="382"/>
      <c r="L15" s="382"/>
    </row>
    <row r="16" spans="1:12" ht="15.6">
      <c r="A16" s="382"/>
      <c r="B16" s="579" t="s">
        <v>619</v>
      </c>
      <c r="C16" s="562"/>
      <c r="D16" s="580" t="s">
        <v>634</v>
      </c>
      <c r="E16" s="566"/>
      <c r="F16" s="579" t="s">
        <v>620</v>
      </c>
      <c r="G16" s="562"/>
      <c r="H16" s="580" t="s">
        <v>639</v>
      </c>
      <c r="I16" s="566"/>
      <c r="J16" s="382"/>
      <c r="K16" s="382"/>
      <c r="L16" s="382"/>
    </row>
    <row r="17" spans="1:12" ht="15.6">
      <c r="A17" s="382"/>
      <c r="B17" s="579" t="s">
        <v>621</v>
      </c>
      <c r="C17" s="562"/>
      <c r="D17" s="580" t="s">
        <v>635</v>
      </c>
      <c r="E17" s="566"/>
      <c r="F17" s="579" t="s">
        <v>622</v>
      </c>
      <c r="G17" s="562"/>
      <c r="H17" s="580" t="s">
        <v>640</v>
      </c>
      <c r="I17" s="566"/>
      <c r="J17" s="382"/>
      <c r="K17" s="382"/>
      <c r="L17" s="382"/>
    </row>
    <row r="18" spans="1:12" ht="15.6">
      <c r="A18" s="382"/>
      <c r="B18" s="579" t="s">
        <v>623</v>
      </c>
      <c r="C18" s="562"/>
      <c r="D18" s="580" t="s">
        <v>636</v>
      </c>
      <c r="E18" s="566"/>
      <c r="F18" s="579" t="s">
        <v>624</v>
      </c>
      <c r="G18" s="562"/>
      <c r="H18" s="580" t="s">
        <v>641</v>
      </c>
      <c r="I18" s="566"/>
      <c r="J18" s="382"/>
      <c r="K18" s="382"/>
      <c r="L18" s="382"/>
    </row>
    <row r="19" spans="1:12" ht="27" customHeight="1">
      <c r="A19" s="382"/>
      <c r="B19" s="382"/>
      <c r="C19" s="382"/>
      <c r="D19" s="382"/>
      <c r="E19" s="382"/>
      <c r="F19" s="382"/>
      <c r="G19" s="382"/>
      <c r="H19" s="382"/>
      <c r="I19" s="382"/>
      <c r="J19" s="382"/>
      <c r="K19" s="382"/>
      <c r="L19" s="382"/>
    </row>
    <row r="20" spans="1:12" ht="18">
      <c r="A20" s="404" t="s">
        <v>625</v>
      </c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382"/>
    </row>
    <row r="21" spans="1:12" ht="15.6">
      <c r="A21" s="382"/>
      <c r="B21" s="382"/>
      <c r="C21" s="382"/>
      <c r="D21" s="382"/>
      <c r="E21" s="382"/>
      <c r="F21" s="382"/>
      <c r="G21" s="382"/>
      <c r="H21" s="382"/>
      <c r="I21" s="382"/>
      <c r="J21" s="382"/>
      <c r="K21" s="382"/>
      <c r="L21" s="382"/>
    </row>
    <row r="22" spans="1:12" ht="18">
      <c r="A22" s="382"/>
      <c r="B22" s="404" t="s">
        <v>642</v>
      </c>
      <c r="C22" s="382"/>
      <c r="D22" s="382"/>
      <c r="E22" s="382"/>
      <c r="F22" s="382"/>
      <c r="G22" s="382"/>
      <c r="H22" s="382"/>
      <c r="I22" s="382"/>
      <c r="J22" s="382"/>
      <c r="K22" s="382"/>
      <c r="L22" s="382"/>
    </row>
    <row r="23" spans="1:12" ht="15.6">
      <c r="A23" s="382"/>
      <c r="B23" s="382"/>
      <c r="C23" s="382"/>
      <c r="D23" s="382"/>
      <c r="E23" s="382"/>
      <c r="F23" s="382"/>
      <c r="G23" s="382"/>
      <c r="H23" s="382"/>
      <c r="I23" s="382"/>
      <c r="J23" s="382"/>
      <c r="K23" s="382"/>
      <c r="L23" s="382"/>
    </row>
    <row r="24" spans="1:12" ht="15.6">
      <c r="A24" s="382"/>
      <c r="B24" s="382"/>
      <c r="C24" s="382"/>
      <c r="D24" s="382"/>
      <c r="E24" s="382"/>
      <c r="F24" s="382"/>
      <c r="G24" s="382"/>
      <c r="H24" s="382"/>
      <c r="I24" s="382"/>
      <c r="J24" s="382"/>
      <c r="K24" s="382"/>
      <c r="L24" s="382"/>
    </row>
    <row r="25" spans="1:12" ht="15.6">
      <c r="A25" s="382"/>
      <c r="B25" s="382"/>
      <c r="C25" s="382"/>
      <c r="D25" s="382"/>
      <c r="E25" s="382"/>
      <c r="F25" s="382"/>
      <c r="G25" s="382"/>
      <c r="H25" s="382"/>
      <c r="I25" s="382"/>
      <c r="J25" s="382"/>
      <c r="K25" s="382"/>
      <c r="L25" s="382"/>
    </row>
    <row r="26" spans="1:12" ht="15.6">
      <c r="A26" s="382"/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382"/>
    </row>
    <row r="27" spans="1:12" ht="15.6">
      <c r="A27" s="382"/>
      <c r="B27" s="382"/>
      <c r="C27" s="382"/>
      <c r="D27" s="382"/>
      <c r="E27" s="382"/>
      <c r="F27" s="382"/>
      <c r="G27" s="382"/>
      <c r="H27" s="382"/>
      <c r="I27" s="382"/>
      <c r="J27" s="382"/>
      <c r="K27" s="382"/>
      <c r="L27" s="382"/>
    </row>
    <row r="28" spans="1:12" ht="15.6">
      <c r="A28" s="382"/>
      <c r="B28" s="382"/>
      <c r="C28" s="382"/>
      <c r="D28" s="382"/>
      <c r="E28" s="382"/>
      <c r="F28" s="382"/>
      <c r="G28" s="382"/>
      <c r="H28" s="382"/>
      <c r="I28" s="382"/>
      <c r="J28" s="382"/>
      <c r="K28" s="382"/>
      <c r="L28" s="382"/>
    </row>
    <row r="29" spans="1:12" ht="15.6">
      <c r="A29" s="382"/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</row>
    <row r="30" spans="1:12" ht="15.6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</row>
    <row r="31" spans="1:12" ht="15.6">
      <c r="A31" s="382"/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2"/>
    </row>
    <row r="32" spans="1:12" ht="15.6">
      <c r="A32" s="382"/>
      <c r="B32" s="382"/>
      <c r="C32" s="382"/>
      <c r="D32" s="382"/>
      <c r="E32" s="382"/>
      <c r="F32" s="382"/>
      <c r="G32" s="382"/>
      <c r="H32" s="382"/>
      <c r="I32" s="382"/>
      <c r="J32" s="382"/>
      <c r="K32" s="382"/>
      <c r="L32" s="382"/>
    </row>
    <row r="33" spans="1:12" ht="15.6">
      <c r="A33" s="382"/>
      <c r="B33" s="382"/>
      <c r="C33" s="382"/>
      <c r="D33" s="382"/>
      <c r="E33" s="382"/>
      <c r="F33" s="382"/>
      <c r="G33" s="382"/>
      <c r="H33" s="382"/>
      <c r="I33" s="382"/>
      <c r="J33" s="382"/>
      <c r="K33" s="382"/>
      <c r="L33" s="382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DesignSheet</vt:lpstr>
      <vt:lpstr>Data Sheet</vt:lpstr>
      <vt:lpstr>LoginSheet</vt:lpstr>
      <vt:lpstr>STCurve</vt:lpstr>
      <vt:lpstr>Form</vt:lpstr>
      <vt:lpstr>StallTime</vt:lpstr>
      <vt:lpstr>Thermdam</vt:lpstr>
      <vt:lpstr>MagNoise</vt:lpstr>
      <vt:lpstr>'Data Sheet'!Print_Area</vt:lpstr>
      <vt:lpstr>DesignSheet!Print_Area</vt:lpstr>
      <vt:lpstr>Form!Print_Area</vt:lpstr>
      <vt:lpstr>LoginSheet!Print_Area</vt:lpstr>
      <vt:lpstr>StallTime!Print_Area</vt:lpstr>
      <vt:lpstr>STCurve!Print_Area</vt:lpstr>
      <vt:lpstr>Thermdam!Print_Area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</cp:lastModifiedBy>
  <cp:lastPrinted>2014-06-13T19:33:19Z</cp:lastPrinted>
  <dcterms:created xsi:type="dcterms:W3CDTF">1997-10-03T20:37:30Z</dcterms:created>
  <dcterms:modified xsi:type="dcterms:W3CDTF">2023-08-21T18:47:27Z</dcterms:modified>
</cp:coreProperties>
</file>