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N:\DESPRO\BASE MV DESIGNS\"/>
    </mc:Choice>
  </mc:AlternateContent>
  <xr:revisionPtr revIDLastSave="0" documentId="13_ncr:9_{FA61AB27-686F-46A0-A4FC-70F0EE1590AA}" xr6:coauthVersionLast="47" xr6:coauthVersionMax="47" xr10:uidLastSave="{00000000-0000-0000-0000-000000000000}"/>
  <bookViews>
    <workbookView xWindow="-120" yWindow="-120" windowWidth="29040" windowHeight="17520" tabRatio="769" activeTab="8" xr2:uid="{FC8DBAD2-E63A-4294-90E0-BA4E9AD098A5}"/>
  </bookViews>
  <sheets>
    <sheet name="DesignSheet" sheetId="2" r:id="rId1"/>
    <sheet name="DesignSheet 0.8V" sheetId="13" r:id="rId2"/>
    <sheet name="Data Sheet" sheetId="3" r:id="rId3"/>
    <sheet name="LoginSheet" sheetId="4" r:id="rId4"/>
    <sheet name="Performance Data Sheet" sheetId="10" r:id="rId5"/>
    <sheet name="STCurve" sheetId="7" r:id="rId6"/>
    <sheet name="Thermdam" sheetId="6" r:id="rId7"/>
    <sheet name="Performance" sheetId="8" r:id="rId8"/>
    <sheet name="Circuit Param." sheetId="11" r:id="rId9"/>
    <sheet name="PERFORMANCE data" sheetId="12" r:id="rId10"/>
    <sheet name="StallTime" sheetId="5" r:id="rId11"/>
  </sheets>
  <externalReferences>
    <externalReference r:id="rId12"/>
    <externalReference r:id="rId13"/>
    <externalReference r:id="rId14"/>
  </externalReferences>
  <definedNames>
    <definedName name="_Regression_Int" localSheetId="8" hidden="1">1</definedName>
    <definedName name="_Regression_Int" localSheetId="9" hidden="1">1</definedName>
    <definedName name="_Regression_Int" localSheetId="4" hidden="1">1</definedName>
    <definedName name="_xlnm.Print_Area" localSheetId="8">'Circuit Param.'!$A$1:$M$42</definedName>
    <definedName name="_xlnm.Print_Area" localSheetId="2">'Data Sheet'!$A$1:$K$46</definedName>
    <definedName name="_xlnm.Print_Area" localSheetId="0">DesignSheet!$A$1:$J$69</definedName>
    <definedName name="_xlnm.Print_Area" localSheetId="1">'DesignSheet 0.8V'!$A$1:$J$69</definedName>
    <definedName name="_xlnm.Print_Area" localSheetId="3">LoginSheet!$A$1:$N$79</definedName>
    <definedName name="_xlnm.Print_Area" localSheetId="7">Performance!$A$1:$F$43</definedName>
    <definedName name="_xlnm.Print_Area" localSheetId="9">'PERFORMANCE data'!$A$1:$M$54</definedName>
    <definedName name="_xlnm.Print_Area" localSheetId="4">'Performance Data Sheet'!$A$1:$M$44</definedName>
    <definedName name="_xlnm.Print_Area" localSheetId="10">StallTime!$A$1:$G$40</definedName>
    <definedName name="_xlnm.Print_Area" localSheetId="5">STCurve!$A$1:$F$43</definedName>
    <definedName name="_xlnm.Print_Area" localSheetId="6">Thermdam!$A$1:$F$43</definedName>
    <definedName name="Print_Area_MI" localSheetId="8">'Circuit Param.'!$A$8:$N$43</definedName>
    <definedName name="Print_Area_MI" localSheetId="9">'PERFORMANCE data'!$A$10:$N$18</definedName>
    <definedName name="Print_Area_MI">'Performance Data Sheet'!$A$10:$N$42</definedName>
    <definedName name="thermal">#REF!</definedName>
    <definedName name="transfer">#REF!</definedName>
    <definedName name="unit_sht">"unit_sht"</definedName>
    <definedName name="vassvelo">#REF!</definedName>
    <definedName name="velcoity">#REF!</definedName>
    <definedName name="viscosity">#REF!</definedName>
    <definedName name="vollheatre">#REF!</definedName>
    <definedName name="volumetri">#REF!</definedName>
    <definedName name="weight">#REF!</definedName>
    <definedName name="weights">#REF!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2" i="13" l="1"/>
  <c r="M50" i="13"/>
  <c r="M53" i="13" s="1"/>
  <c r="M49" i="13"/>
  <c r="M48" i="13"/>
  <c r="M47" i="13"/>
  <c r="M46" i="13"/>
  <c r="M41" i="13"/>
  <c r="N41" i="13" s="1"/>
  <c r="L41" i="13"/>
  <c r="M40" i="13"/>
  <c r="N40" i="13" s="1"/>
  <c r="L40" i="13"/>
  <c r="M39" i="13"/>
  <c r="N39" i="13" s="1"/>
  <c r="L39" i="13"/>
  <c r="M38" i="13"/>
  <c r="N38" i="13" s="1"/>
  <c r="L38" i="13"/>
  <c r="P34" i="13"/>
  <c r="P33" i="13"/>
  <c r="M33" i="13"/>
  <c r="P32" i="13"/>
  <c r="M32" i="13"/>
  <c r="P31" i="13"/>
  <c r="M31" i="13"/>
  <c r="P30" i="13"/>
  <c r="M30" i="13"/>
  <c r="M29" i="13"/>
  <c r="G69" i="6"/>
  <c r="G70" i="6"/>
  <c r="G71" i="6"/>
  <c r="G72" i="6"/>
  <c r="G73" i="6"/>
  <c r="G74" i="6"/>
  <c r="G75" i="6"/>
  <c r="G76" i="6"/>
  <c r="G77" i="6"/>
  <c r="G78" i="6"/>
  <c r="G79" i="6"/>
  <c r="G68" i="6"/>
  <c r="H68" i="6"/>
  <c r="F9" i="6"/>
  <c r="F7" i="6"/>
  <c r="D7" i="6"/>
  <c r="B7" i="6"/>
  <c r="F6" i="6"/>
  <c r="B6" i="6"/>
  <c r="C12" i="8"/>
  <c r="F9" i="8"/>
  <c r="F7" i="8"/>
  <c r="D7" i="8"/>
  <c r="B7" i="8"/>
  <c r="F6" i="8"/>
  <c r="B6" i="8"/>
  <c r="D43" i="8"/>
  <c r="F39" i="8"/>
  <c r="C39" i="8"/>
  <c r="D43" i="6"/>
  <c r="F39" i="6"/>
  <c r="C39" i="6"/>
  <c r="F39" i="7"/>
  <c r="D43" i="7"/>
  <c r="C39" i="7"/>
  <c r="C12" i="7"/>
  <c r="F6" i="7"/>
  <c r="D7" i="7"/>
  <c r="F9" i="7"/>
  <c r="F7" i="7"/>
  <c r="B7" i="7"/>
  <c r="B6" i="7"/>
  <c r="C76" i="6"/>
  <c r="C77" i="6" s="1"/>
  <c r="C78" i="6" s="1"/>
  <c r="B76" i="6"/>
  <c r="C75" i="6"/>
  <c r="C74" i="6"/>
  <c r="B74" i="6"/>
  <c r="A69" i="6"/>
  <c r="A70" i="6" s="1"/>
  <c r="E68" i="6"/>
  <c r="D66" i="6"/>
  <c r="F50" i="6"/>
  <c r="A71" i="6" l="1"/>
  <c r="C70" i="6"/>
  <c r="B70" i="6"/>
  <c r="B69" i="6"/>
  <c r="B75" i="6" s="1"/>
  <c r="C69" i="6"/>
  <c r="M28" i="3"/>
  <c r="M18" i="3"/>
  <c r="P31" i="2"/>
  <c r="P32" i="2"/>
  <c r="P33" i="2"/>
  <c r="P34" i="2"/>
  <c r="P30" i="2"/>
  <c r="M52" i="2"/>
  <c r="L41" i="2"/>
  <c r="L40" i="2"/>
  <c r="M39" i="2"/>
  <c r="L39" i="2"/>
  <c r="M38" i="2"/>
  <c r="L38" i="2"/>
  <c r="M33" i="2"/>
  <c r="M32" i="2"/>
  <c r="M31" i="2"/>
  <c r="M30" i="2"/>
  <c r="M29" i="2"/>
  <c r="M50" i="2"/>
  <c r="M49" i="2"/>
  <c r="M48" i="2"/>
  <c r="M46" i="2"/>
  <c r="M47" i="2"/>
  <c r="A72" i="6" l="1"/>
  <c r="C71" i="6"/>
  <c r="B71" i="6"/>
  <c r="N40" i="2"/>
  <c r="N41" i="2"/>
  <c r="N39" i="2"/>
  <c r="N38" i="2"/>
  <c r="M53" i="2"/>
  <c r="A73" i="6" l="1"/>
  <c r="B73" i="6" s="1"/>
  <c r="B7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Paulo Yoshiura</author>
  </authors>
  <commentList>
    <comment ref="K4" authorId="0" shapeId="0" xr:uid="{82B1F65A-E6FF-4046-8EA5-6632853042BB}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 xr:uid="{55C8E853-CB97-422B-9CC3-05B11729AE40}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 xr:uid="{C87A04BD-E6D8-4606-8D02-80EAD8EE872B}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<sst xmlns="http://schemas.openxmlformats.org/spreadsheetml/2006/main" count="1449" uniqueCount="829">
  <si>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</si>
  <si>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</si>
  <si>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</si>
  <si>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</si>
  <si>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</si>
  <si>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</si>
  <si>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</si>
  <si>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</si>
  <si>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</si>
  <si>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</si>
  <si>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</si>
  <si>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</si>
  <si>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</si>
  <si>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</si>
  <si>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</si>
  <si>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</si>
  <si>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</si>
  <si>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</si>
  <si>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</si>
  <si>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</si>
  <si>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</si>
  <si>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</si>
  <si>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</si>
  <si>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</si>
  <si>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</si>
  <si>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</si>
  <si>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</si>
  <si>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</si>
  <si>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</si>
  <si>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</si>
  <si>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</si>
  <si>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</si>
  <si>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</si>
  <si>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</si>
  <si>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</si>
  <si>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</si>
  <si>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</si>
  <si>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</si>
  <si>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</si>
  <si>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</si>
  <si>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</si>
  <si>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</si>
  <si>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</si>
  <si>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</si>
  <si>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</si>
  <si>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</si>
  <si>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</si>
  <si>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</si>
  <si>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</si>
  <si>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</si>
  <si>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</si>
  <si>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</si>
  <si>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</si>
  <si>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</si>
  <si>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</si>
  <si>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</si>
  <si>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</si>
  <si>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</si>
  <si>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</si>
  <si>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</si>
  <si>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</si>
  <si>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</si>
  <si>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</si>
  <si>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</si>
  <si>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</si>
  <si>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</si>
  <si>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</si>
  <si>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</si>
  <si>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</si>
  <si>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</si>
  <si>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</si>
  <si>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</si>
  <si>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</si>
  <si>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</si>
  <si>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</si>
  <si>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</si>
  <si>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</si>
  <si>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</si>
  <si>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</si>
  <si>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</si>
  <si>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</si>
  <si>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</si>
  <si>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</si>
  <si>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</si>
  <si>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</si>
  <si>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</si>
  <si>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</si>
  <si>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</si>
  <si>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</si>
  <si>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</si>
  <si>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</si>
  <si>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</si>
  <si>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</si>
  <si>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</si>
  <si>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</si>
  <si>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</si>
  <si>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</si>
  <si>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</si>
  <si>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</si>
  <si>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</si>
  <si>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</si>
  <si>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</si>
  <si>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</si>
  <si>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</si>
  <si>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</si>
  <si>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</si>
  <si>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</si>
  <si>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</si>
  <si>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</si>
  <si>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</si>
  <si>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</si>
  <si>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</si>
  <si>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</si>
  <si>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</si>
  <si>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</si>
  <si>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</si>
  <si>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</si>
  <si>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</si>
  <si>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</si>
  <si>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</si>
  <si>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</si>
  <si>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</si>
  <si>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</si>
  <si>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</si>
  <si>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</si>
  <si>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</si>
  <si>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</si>
  <si>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</si>
  <si>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</si>
  <si>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</si>
  <si>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</si>
  <si>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</si>
  <si>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</si>
  <si>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</si>
  <si>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</si>
  <si>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</si>
  <si>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</si>
  <si>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</si>
  <si>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</si>
  <si>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</si>
  <si>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</si>
  <si>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</si>
  <si>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</si>
  <si>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</si>
  <si>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</si>
  <si>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</si>
  <si>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</si>
  <si>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</si>
  <si>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</si>
  <si>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</si>
  <si>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</si>
  <si>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</si>
  <si>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</si>
  <si>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</si>
  <si>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</si>
  <si>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</si>
  <si>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</si>
  <si>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</si>
  <si>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</si>
  <si>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</si>
  <si>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</si>
  <si>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</si>
  <si>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</si>
  <si>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</si>
  <si>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</si>
  <si>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S-T Curve Data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</si>
  <si>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</si>
  <si>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</si>
  <si>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</si>
  <si>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</si>
  <si>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</si>
  <si>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</si>
  <si>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</si>
  <si>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</si>
  <si>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</si>
  <si>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</si>
  <si>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</si>
  <si>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</si>
  <si>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</si>
  <si>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</si>
  <si>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</si>
  <si>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</si>
  <si>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</si>
  <si>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</si>
  <si>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</si>
  <si>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</si>
  <si>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</si>
  <si>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</si>
  <si>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</si>
  <si>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</si>
  <si>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</si>
  <si>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</si>
  <si>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</si>
  <si>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r>
      <t>Kline/in</t>
    </r>
    <r>
      <rPr>
        <i/>
        <vertAlign val="superscript"/>
        <sz val="10"/>
        <rFont val="Times New Roman"/>
        <family val="1"/>
      </rPr>
      <t>2</t>
    </r>
  </si>
  <si>
    <t>FCW4</t>
  </si>
  <si>
    <t>5011US</t>
  </si>
  <si>
    <t>Open</t>
  </si>
  <si>
    <t>Rectang</t>
  </si>
  <si>
    <t>7.08 - 7.08</t>
  </si>
  <si>
    <t>2.83 - 2.00</t>
  </si>
  <si>
    <t>Magnetic</t>
  </si>
  <si>
    <t>1 ~ 14</t>
  </si>
  <si>
    <t>(.081"x.258")x1</t>
  </si>
  <si>
    <t>Wye</t>
  </si>
  <si>
    <t>(105°C)</t>
  </si>
  <si>
    <t>CU</t>
  </si>
  <si>
    <t>Special</t>
  </si>
  <si>
    <t>ERD1: 278.4</t>
  </si>
  <si>
    <t>EBL: 63.5</t>
  </si>
  <si>
    <t>ERT: 45.00</t>
  </si>
  <si>
    <t>ERH: 35.00</t>
  </si>
  <si>
    <t>(8 x 30)</t>
  </si>
  <si>
    <t>LB:  -</t>
  </si>
  <si>
    <t>LER:  -</t>
  </si>
  <si>
    <t>Single Cage Data</t>
  </si>
  <si>
    <t>UB: 240.0</t>
  </si>
  <si>
    <t>UER: 1575.0</t>
  </si>
  <si>
    <t>(Coeff.: 0.1603)</t>
  </si>
  <si>
    <t>Skew R.: 0.00</t>
  </si>
  <si>
    <t>N:\DESPRO\RAT FILES\CS4450.rat</t>
  </si>
  <si>
    <t>2-2-2-0-1-2</t>
  </si>
  <si>
    <t>B.L.-1  P.F.-1</t>
  </si>
  <si>
    <t>5322.6 / 5490.0</t>
  </si>
  <si>
    <t>3543.9 / 3829.6</t>
  </si>
  <si>
    <t>7757.4 / 6810.0</t>
  </si>
  <si>
    <t>3500.0 / 4732.4</t>
  </si>
  <si>
    <t>4120.9 / 1896.3</t>
  </si>
  <si>
    <t>443.2 / 204.0</t>
  </si>
  <si>
    <t>3677.7 / 1692.3</t>
  </si>
  <si>
    <t>1.75 / 0.81</t>
  </si>
  <si>
    <t>74 / 74</t>
  </si>
  <si>
    <t>Temp. Rise @ 100%:</t>
  </si>
  <si>
    <t>Stray Loss</t>
  </si>
  <si>
    <t>0.909 / 0.899</t>
  </si>
  <si>
    <t>0.945 / 0.934</t>
  </si>
  <si>
    <t>0.953 / 0.942</t>
  </si>
  <si>
    <t>0.954 / 0.943</t>
  </si>
  <si>
    <t>0.952 / 0.941</t>
  </si>
  <si>
    <t>0.762 / 0.758</t>
  </si>
  <si>
    <t>0.890 / 0.886</t>
  </si>
  <si>
    <t>0.919 / 0.914</t>
  </si>
  <si>
    <t>0.922 / 0.918</t>
  </si>
  <si>
    <t>0.916 / 0.911</t>
  </si>
  <si>
    <t>17.49 / 17.78</t>
  </si>
  <si>
    <t>28.81 / 29.29</t>
  </si>
  <si>
    <t>41.50 / 42.19</t>
  </si>
  <si>
    <t>55.05 / 55.97</t>
  </si>
  <si>
    <t>69.48 / 70.63</t>
  </si>
  <si>
    <t>4.18 / 4.25</t>
  </si>
  <si>
    <t>UB: 3.87 / 3.93</t>
  </si>
  <si>
    <t>UER: 2.35 / 2.39</t>
  </si>
  <si>
    <t>1795.6 / 1793.4</t>
  </si>
  <si>
    <t>1791.3 / 1789.1</t>
  </si>
  <si>
    <t>1787.0 / 1784.8</t>
  </si>
  <si>
    <t>1782.2 / 1780.0</t>
  </si>
  <si>
    <t>1777.6 / 1775.4</t>
  </si>
  <si>
    <t>0.0024 / 0.0037</t>
  </si>
  <si>
    <t>0.0048 / 0.0060</t>
  </si>
  <si>
    <t>0.0072 / 0.0085</t>
  </si>
  <si>
    <t>0.0099 / 0.0111</t>
  </si>
  <si>
    <t>0.0125 / 0.0137</t>
  </si>
  <si>
    <t>10.183 / 11.356</t>
  </si>
  <si>
    <t>0.594 / 0.663</t>
  </si>
  <si>
    <t>10.20 / 11.38</t>
  </si>
  <si>
    <t>269.0 / 355.5</t>
  </si>
  <si>
    <t>488.6 / 645.6</t>
  </si>
  <si>
    <t>146.7 / 218.2</t>
  </si>
  <si>
    <t>80.0 / 118.9</t>
  </si>
  <si>
    <t>224.5 / 253.3</t>
  </si>
  <si>
    <t>Correlated to: CS4450_LAB 3085, 3086_RM.dat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</si>
  <si>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</si>
  <si>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</si>
  <si>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</si>
  <si>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</si>
  <si>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</si>
  <si>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</si>
  <si>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</si>
  <si>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</si>
  <si>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</si>
  <si>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</si>
  <si>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</si>
  <si>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</si>
  <si>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</si>
  <si>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</si>
  <si>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</si>
  <si>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</si>
  <si>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</si>
  <si>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</si>
  <si>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</si>
  <si>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</si>
  <si>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</si>
  <si>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</si>
  <si>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</si>
  <si>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</si>
  <si>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</si>
  <si>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</si>
  <si>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</si>
  <si>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</si>
  <si>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Standard Eff.</t>
  </si>
  <si>
    <t>M54 - 26Ga.</t>
  </si>
  <si>
    <t>Wire 2 (size &amp; number)</t>
  </si>
  <si>
    <t>Impedance watts</t>
  </si>
  <si>
    <t>OWP</t>
  </si>
  <si>
    <t>TIPA Lam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</si>
  <si>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</si>
  <si>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</si>
  <si>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Dry Kiln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</si>
  <si>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</si>
  <si>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</si>
  <si>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</si>
  <si>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</si>
  <si>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</si>
  <si>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</si>
  <si>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</si>
  <si>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</si>
  <si>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</si>
  <si>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</si>
  <si>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</si>
  <si>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</si>
  <si>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</si>
  <si>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</si>
  <si>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</si>
  <si>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</si>
  <si>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</si>
  <si>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</si>
  <si>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</si>
  <si>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</si>
  <si>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</si>
  <si>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</si>
  <si>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</si>
  <si>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</si>
  <si>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</si>
  <si>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</si>
  <si>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</si>
  <si>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</si>
  <si>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</si>
  <si>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</si>
  <si>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</si>
  <si>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</si>
  <si>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</si>
  <si>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</si>
  <si>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</si>
  <si>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</si>
  <si>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</si>
  <si>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</si>
  <si>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</si>
  <si>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</si>
  <si>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</si>
  <si>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</si>
  <si>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   (Reference)</t>
  </si>
  <si>
    <t>Note</t>
  </si>
  <si>
    <t>Approved</t>
  </si>
  <si>
    <t>Design</t>
  </si>
  <si>
    <t>Jerry R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</si>
  <si>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</si>
  <si>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</si>
  <si>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</si>
  <si>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</si>
  <si>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</si>
  <si>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</si>
  <si>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</si>
  <si>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</si>
  <si>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</si>
  <si>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</si>
  <si>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</si>
  <si>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</si>
  <si>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</si>
  <si>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</si>
  <si>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</si>
  <si>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</si>
  <si>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</si>
  <si>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</si>
  <si>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</si>
  <si>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</si>
  <si>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</si>
  <si>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</si>
  <si>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</si>
  <si>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</si>
  <si>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</si>
  <si>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</si>
  <si>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</si>
  <si>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</si>
  <si>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CS4450</t>
  </si>
  <si>
    <t>Type: TIKE - Form: FCW4 - 4 Pole - 450 HP - 4000 V - 60 Hz - 5011US - Class F</t>
  </si>
  <si>
    <t>16 x 1</t>
  </si>
  <si>
    <t>1 x Wye</t>
  </si>
  <si>
    <t>74 / 98</t>
  </si>
  <si>
    <t>425 / 2702</t>
  </si>
  <si>
    <t>393 / 239</t>
  </si>
  <si>
    <t>4504FTQL11E-C</t>
  </si>
  <si>
    <t>Shernandez</t>
  </si>
  <si>
    <t>V.Phillips</t>
  </si>
  <si>
    <t>Q.C. Limits: CS4450</t>
  </si>
  <si>
    <t>Rev.2 Use link: CS4450.rat with CS4450_LAB 3085, 3086_RM.dat.  Z.X 08/27/2019</t>
  </si>
  <si>
    <t>Rev.1 The file ID was changed from CF to CS</t>
  </si>
  <si>
    <t>for sleeve bearing design.</t>
  </si>
  <si>
    <t>A. Gracia  04/15/10</t>
  </si>
  <si>
    <t>S-T Curve Data (Custom Values)</t>
  </si>
  <si>
    <t>Current (%)</t>
  </si>
  <si>
    <t>Current(%)</t>
  </si>
  <si>
    <t>Load</t>
  </si>
  <si>
    <t>Load Type:</t>
  </si>
  <si>
    <t>Load Inertia:</t>
  </si>
  <si>
    <t>Accel. Time:</t>
  </si>
  <si>
    <t>Rated Torque:</t>
  </si>
  <si>
    <t>Fan / Pump</t>
  </si>
  <si>
    <t>289.0 kg.m²</t>
  </si>
  <si>
    <t>183.5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</si>
  <si>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</si>
  <si>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</si>
  <si>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</si>
  <si>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</si>
  <si>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</si>
  <si>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</si>
  <si>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</si>
  <si>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</si>
  <si>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</si>
  <si>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</si>
  <si>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</si>
  <si>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</si>
  <si>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</si>
  <si>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</si>
  <si>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</si>
  <si>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</si>
  <si>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</si>
  <si>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</si>
  <si>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</si>
  <si>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</si>
  <si>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</si>
  <si>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</si>
  <si>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</si>
  <si>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</si>
  <si>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</si>
  <si>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</si>
  <si>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</si>
  <si>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</si>
  <si>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</si>
  <si>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</si>
  <si>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</si>
  <si>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</si>
  <si>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</si>
  <si>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</si>
  <si>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</si>
  <si>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</si>
  <si>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</si>
  <si>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</si>
  <si>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</si>
  <si>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4 Pole - 450.0 HP - 1800 RPM - 4000 V - 60 Hz</t>
  </si>
  <si>
    <t>0~180</t>
  </si>
  <si>
    <t>180~360</t>
  </si>
  <si>
    <t>360~540</t>
  </si>
  <si>
    <t>540~720</t>
  </si>
  <si>
    <t>720~900</t>
  </si>
  <si>
    <t>900~1080</t>
  </si>
  <si>
    <t>1080~1265</t>
  </si>
  <si>
    <t>1265~1450</t>
  </si>
  <si>
    <t>1450~1543</t>
  </si>
  <si>
    <t>1543~1635</t>
  </si>
  <si>
    <t>1635~1728</t>
  </si>
  <si>
    <t>1728~1782</t>
  </si>
  <si>
    <t/>
  </si>
  <si>
    <t>Load Type: Fan / Pump - 1714.4 lb-ft²</t>
  </si>
  <si>
    <t>115.0</t>
  </si>
  <si>
    <t>116.9</t>
  </si>
  <si>
    <t>124.6</t>
  </si>
  <si>
    <t>139.8</t>
  </si>
  <si>
    <t>169.7</t>
  </si>
  <si>
    <t>220.1</t>
  </si>
  <si>
    <t>175.0</t>
  </si>
  <si>
    <t>22.5</t>
  </si>
  <si>
    <t>11.5</t>
  </si>
  <si>
    <t>7.0</t>
  </si>
  <si>
    <t>11.0</t>
  </si>
  <si>
    <t>18.0</t>
  </si>
  <si>
    <t>27.7</t>
  </si>
  <si>
    <t>42.4</t>
  </si>
  <si>
    <t>57.1</t>
  </si>
  <si>
    <t>69.5</t>
  </si>
  <si>
    <t>83.0</t>
  </si>
  <si>
    <t>94.1</t>
  </si>
  <si>
    <t>0.909</t>
  </si>
  <si>
    <t>0.813</t>
  </si>
  <si>
    <t>0.779</t>
  </si>
  <si>
    <t>0.809</t>
  </si>
  <si>
    <t>0.867</t>
  </si>
  <si>
    <t>0.970</t>
  </si>
  <si>
    <t>1.051</t>
  </si>
  <si>
    <t>0.523</t>
  </si>
  <si>
    <t>0.432</t>
  </si>
  <si>
    <t>0.315</t>
  </si>
  <si>
    <t>0.313</t>
  </si>
  <si>
    <t>354.5</t>
  </si>
  <si>
    <t>351.2</t>
  </si>
  <si>
    <t>347.4</t>
  </si>
  <si>
    <t>342.9</t>
  </si>
  <si>
    <t>337.6</t>
  </si>
  <si>
    <t>331.4</t>
  </si>
  <si>
    <t>324.0</t>
  </si>
  <si>
    <t>314.4</t>
  </si>
  <si>
    <t>303.8</t>
  </si>
  <si>
    <t>288.9</t>
  </si>
  <si>
    <t>248.6</t>
  </si>
  <si>
    <t>140.7</t>
  </si>
  <si>
    <t>202.4</t>
  </si>
  <si>
    <t>177.8</t>
  </si>
  <si>
    <t>167.0</t>
  </si>
  <si>
    <t>163.1</t>
  </si>
  <si>
    <t>164.6</t>
  </si>
  <si>
    <t>170.6</t>
  </si>
  <si>
    <t>183.3</t>
  </si>
  <si>
    <t>189.0</t>
  </si>
  <si>
    <t>87.5</t>
  </si>
  <si>
    <t>67.8</t>
  </si>
  <si>
    <t>43.1</t>
  </si>
  <si>
    <t>1.7</t>
  </si>
  <si>
    <t>330.8</t>
  </si>
  <si>
    <t>266.1</t>
  </si>
  <si>
    <t>226.6</t>
  </si>
  <si>
    <t>198.3</t>
  </si>
  <si>
    <t>176.5</t>
  </si>
  <si>
    <t>157.7</t>
  </si>
  <si>
    <t>137.2</t>
  </si>
  <si>
    <t>114.1</t>
  </si>
  <si>
    <t>81.5</t>
  </si>
  <si>
    <t>56.6</t>
  </si>
  <si>
    <t>33.7</t>
  </si>
  <si>
    <t>8.1</t>
  </si>
  <si>
    <t>1618 kW / s</t>
  </si>
  <si>
    <t>1594 kW / s</t>
  </si>
  <si>
    <t>193 kW / s</t>
  </si>
  <si>
    <t>36°C</t>
  </si>
  <si>
    <t>49°C</t>
  </si>
  <si>
    <t>18°C</t>
  </si>
  <si>
    <t>72°C</t>
  </si>
  <si>
    <t>97°C</t>
  </si>
  <si>
    <t>Acceleration Time:  8.6 s</t>
  </si>
  <si>
    <t>5.9°C / s</t>
  </si>
  <si>
    <t>10.5°C / s</t>
  </si>
  <si>
    <t>3.9°C / s</t>
  </si>
  <si>
    <t>264.6 kW</t>
  </si>
  <si>
    <t>344.3 kW</t>
  </si>
  <si>
    <t>41.8 kW</t>
  </si>
  <si>
    <t>27.1 s</t>
  </si>
  <si>
    <t>24.7 s</t>
  </si>
  <si>
    <t>45.9 s</t>
  </si>
  <si>
    <t>74°C    +</t>
  </si>
  <si>
    <t>100°C    +</t>
  </si>
  <si>
    <t>86°C    +</t>
  </si>
  <si>
    <t>160°C   +</t>
  </si>
  <si>
    <t>80°C   +</t>
  </si>
  <si>
    <t>14.6 s</t>
  </si>
  <si>
    <t>15.2 s</t>
  </si>
  <si>
    <t>20.4 s</t>
  </si>
  <si>
    <t>43.2 s</t>
  </si>
  <si>
    <t>19.2 s</t>
  </si>
  <si>
    <t>Thermal Limit &amp; Acceleration Curves</t>
  </si>
  <si>
    <t>Design Values (For Reference Only)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</si>
  <si>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</si>
  <si>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</si>
  <si>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</si>
  <si>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</si>
  <si>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</si>
  <si>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</si>
  <si>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</si>
  <si>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</si>
  <si>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</si>
  <si>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</si>
  <si>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</si>
  <si>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</si>
  <si>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Comments:</t>
  </si>
  <si>
    <t>D.E.Curve #:</t>
  </si>
  <si>
    <t>Prepared by:</t>
  </si>
  <si>
    <t>Checked by:</t>
  </si>
  <si>
    <t>Cold</t>
  </si>
  <si>
    <t>Hot</t>
  </si>
  <si>
    <t>CURRENT (%)</t>
  </si>
  <si>
    <t>Accel. Time</t>
  </si>
  <si>
    <t>192.6 lb-ft²</t>
  </si>
  <si>
    <t>1714.4 lb-ft²</t>
  </si>
  <si>
    <t>Torque 80%</t>
  </si>
  <si>
    <t>LRA 80%</t>
  </si>
  <si>
    <t>Acceleration Data (FV / 0.80 V)</t>
  </si>
  <si>
    <t>8.6 / 16.4 (s)</t>
  </si>
  <si>
    <t>Speed Torque/Current Curve</t>
  </si>
  <si>
    <t>Locked Rotor Amps:</t>
  </si>
  <si>
    <t>Locked Rotor Torque:</t>
  </si>
  <si>
    <t>Starting at:</t>
  </si>
  <si>
    <t>Breakdown Torque:</t>
  </si>
  <si>
    <t>FV / 0.80 (V)</t>
  </si>
  <si>
    <t>1328 lb-ft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</si>
  <si>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</si>
  <si>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</si>
  <si>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</si>
  <si>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</si>
  <si>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</si>
  <si>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</si>
  <si>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</si>
  <si>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</si>
  <si>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</si>
  <si>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</si>
  <si>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</si>
  <si>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</si>
  <si>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</si>
  <si>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</si>
  <si>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</si>
  <si>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</si>
  <si>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</si>
  <si>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</si>
  <si>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</si>
  <si>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</si>
  <si>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</si>
  <si>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</si>
  <si>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</si>
  <si>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</si>
  <si>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</si>
  <si>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</si>
  <si>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</si>
  <si>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</si>
  <si>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</si>
  <si>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</si>
  <si>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</si>
  <si>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</si>
  <si>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</si>
  <si>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</si>
  <si>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</si>
  <si>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</si>
  <si>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</si>
  <si>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</si>
  <si>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</si>
  <si>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</si>
  <si>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</si>
  <si>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</si>
  <si>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</si>
  <si>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</si>
  <si>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</si>
  <si>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</si>
  <si>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</si>
  <si>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</si>
  <si>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</si>
  <si>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</si>
  <si>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</si>
  <si>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</si>
  <si>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</si>
  <si>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</si>
  <si>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</si>
  <si>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</si>
  <si>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</si>
  <si>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</si>
  <si>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</si>
  <si>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</si>
  <si>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</si>
  <si>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</si>
  <si>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</si>
  <si>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DATE:</t>
  </si>
  <si>
    <t>6205ZZ</t>
  </si>
  <si>
    <t>TEFC</t>
  </si>
  <si>
    <t>6206UU</t>
  </si>
  <si>
    <t>ODP</t>
  </si>
  <si>
    <t>6207ZZ</t>
  </si>
  <si>
    <t>B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</si>
  <si>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</si>
  <si>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</si>
  <si>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</si>
  <si>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</si>
  <si>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</si>
  <si>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</si>
  <si>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</si>
  <si>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</si>
  <si>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</si>
  <si>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</si>
  <si>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</si>
  <si>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</si>
  <si>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</si>
  <si>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</si>
  <si>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</si>
  <si>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</si>
  <si>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</si>
  <si>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</si>
  <si>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</si>
  <si>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</si>
  <si>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</si>
  <si>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</si>
  <si>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</si>
  <si>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</si>
  <si>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</si>
  <si>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</si>
  <si>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</si>
  <si>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</si>
  <si>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</si>
  <si>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</si>
  <si>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</si>
  <si>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</si>
  <si>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</si>
  <si>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</si>
  <si>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</si>
  <si>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</si>
  <si>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</si>
  <si>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</si>
  <si>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1.0</t>
  </si>
  <si>
    <t>MPCF-1109</t>
  </si>
  <si>
    <t>EQUIVALENT CIRCUIT DATA</t>
  </si>
  <si>
    <t>NEW</t>
  </si>
  <si>
    <t>REV. 0</t>
  </si>
  <si>
    <t xml:space="preserve">All Values are Presented in Ohms/Phase, Equivalent Wye Connection. </t>
  </si>
  <si>
    <t>Paul Anderson</t>
  </si>
  <si>
    <t>Primary Resistance (R1) :</t>
  </si>
  <si>
    <t>.585</t>
  </si>
  <si>
    <t>Secondary Resistance (R2) :</t>
  </si>
  <si>
    <t>.442</t>
  </si>
  <si>
    <t>Starting Resistance (R3) :</t>
  </si>
  <si>
    <t>1.24</t>
  </si>
  <si>
    <t>Primary Reactance (X1) :</t>
  </si>
  <si>
    <t>Secondary Reactance (X2) :</t>
  </si>
  <si>
    <t>Starting Reactance (X3) :</t>
  </si>
  <si>
    <t>3.06</t>
  </si>
  <si>
    <t>Magnetizing Reactance (Xm) :</t>
  </si>
  <si>
    <t>Transient Reactance :</t>
  </si>
  <si>
    <t>Sub Transient Reactance :</t>
  </si>
  <si>
    <t>Short Circuit Time Constant :</t>
  </si>
  <si>
    <t>Sub Transient Time Constant :</t>
  </si>
  <si>
    <t>Open Circuit Time Constant :</t>
  </si>
  <si>
    <t>JERRY R</t>
  </si>
  <si>
    <t>MPCF-1082</t>
  </si>
  <si>
    <t>2/14/02</t>
  </si>
  <si>
    <t>M. CAMPBELL</t>
  </si>
  <si>
    <t>API 541 PERFORMANCE SPECIFICATIONS</t>
  </si>
  <si>
    <t>P.A.A</t>
  </si>
  <si>
    <t>LOCKED ROTOR DATA</t>
  </si>
  <si>
    <t>AMPS AT RATED VOLTAGE:</t>
  </si>
  <si>
    <t>POWER FACTOR:</t>
  </si>
  <si>
    <t>AMPS AT 80% VOLTAGE:</t>
  </si>
  <si>
    <t>TORQUE VALUES</t>
  </si>
  <si>
    <t>CURVE NUMBERS</t>
  </si>
  <si>
    <t>FULL LOAD (LB.FT):</t>
  </si>
  <si>
    <t>SPEED-TORQUE CURVE:</t>
  </si>
  <si>
    <t>LOCKED ROTOR TORQUE (% OF FLT):</t>
  </si>
  <si>
    <t>SPEED-CURRENT CURVE:</t>
  </si>
  <si>
    <t>PULL UP TORQUE (% OF FLT):</t>
  </si>
  <si>
    <t>ACCELERATION CURVE:</t>
  </si>
  <si>
    <t>BREAKDOWN TORQUE (% OF FLT):</t>
  </si>
  <si>
    <t>LOCKED ROTOR WITHSTAND TIMES</t>
  </si>
  <si>
    <t>COLD CONDITION</t>
  </si>
  <si>
    <t>HOT CONDITION</t>
  </si>
  <si>
    <t>100% VOLTAGE:</t>
  </si>
  <si>
    <t>35</t>
  </si>
  <si>
    <t>15</t>
  </si>
  <si>
    <t>90% VOLTAGE:</t>
  </si>
  <si>
    <t>43</t>
  </si>
  <si>
    <t>19</t>
  </si>
  <si>
    <t>80% VOLTAGE:</t>
  </si>
  <si>
    <t>55</t>
  </si>
  <si>
    <t>24</t>
  </si>
  <si>
    <t>70% VOLTAGE:</t>
  </si>
  <si>
    <t>71</t>
  </si>
  <si>
    <t>30</t>
  </si>
  <si>
    <t>DESIGN DATA</t>
  </si>
  <si>
    <r>
      <t>MOTOR ROTOR wk</t>
    </r>
    <r>
      <rPr>
        <vertAlign val="superscript"/>
        <sz val="8"/>
        <rFont val="Univers"/>
        <family val="2"/>
      </rPr>
      <t xml:space="preserve">2 </t>
    </r>
    <r>
      <rPr>
        <sz val="8"/>
        <rFont val="Univers"/>
        <family val="2"/>
      </rPr>
      <t>(LB.FT</t>
    </r>
    <r>
      <rPr>
        <vertAlign val="superscript"/>
        <sz val="8"/>
        <rFont val="Univers"/>
        <family val="2"/>
      </rPr>
      <t>2</t>
    </r>
    <r>
      <rPr>
        <sz val="8"/>
        <rFont val="Univers"/>
        <family val="2"/>
      </rPr>
      <t>):</t>
    </r>
  </si>
  <si>
    <t>192.6</t>
  </si>
  <si>
    <t>NO LOAD CURRENT:</t>
  </si>
  <si>
    <t>AIR GAP:</t>
  </si>
  <si>
    <t>1.8</t>
  </si>
  <si>
    <t>ACCELERATION TIME:</t>
  </si>
  <si>
    <t>LOAD CHARACTERISTICS</t>
  </si>
  <si>
    <t>LOAD</t>
  </si>
  <si>
    <t>1/2</t>
  </si>
  <si>
    <t>3/4</t>
  </si>
  <si>
    <t>FULL</t>
  </si>
  <si>
    <t>SF</t>
  </si>
  <si>
    <t>AMPS (A)</t>
  </si>
  <si>
    <t>EFFICIENCY (%)</t>
  </si>
  <si>
    <t>POWER FACTOR (%)</t>
  </si>
  <si>
    <t>GUARENTEED EFFICIENCY (%)</t>
  </si>
  <si>
    <t>EFFICIENCY TO BE DETERMINED BY IEEE 112, METHOD B</t>
  </si>
  <si>
    <t>ALL CHARACTERISTICS ARE AVERAGE EXPECTED VALUES BASED UPON RATED VOLTAGE, FREQUENCY AND SINEWAVE POWER INPUT.</t>
  </si>
  <si>
    <t>9 / 17 (s)</t>
  </si>
  <si>
    <t>1770.5 / 1768.3</t>
  </si>
  <si>
    <t>0.0164 / 0.0176</t>
  </si>
  <si>
    <t>7.888 / 8.797</t>
  </si>
  <si>
    <t>0.510 / 0.568</t>
  </si>
  <si>
    <t>7.90 / 8.82</t>
  </si>
  <si>
    <t>129 / 120</t>
  </si>
  <si>
    <t>6409.2 / 5626.5</t>
  </si>
  <si>
    <t>2562.0 / 1178.9</t>
  </si>
  <si>
    <t>9062.8 / 9347.8</t>
  </si>
  <si>
    <t>265.3 / 122.1</t>
  </si>
  <si>
    <t>19.01 / 19.59</t>
  </si>
  <si>
    <t>34.70 / 35.76</t>
  </si>
  <si>
    <t>52.14 / 53.73</t>
  </si>
  <si>
    <t>71.84 / 74.03</t>
  </si>
  <si>
    <t>95.70 / 98.62</t>
  </si>
  <si>
    <t>6237.8 / 6740.6</t>
  </si>
  <si>
    <t>2827.3 / 1301.0</t>
  </si>
  <si>
    <t>0.920 / 0.897</t>
  </si>
  <si>
    <t>0.945 / 0.922</t>
  </si>
  <si>
    <t>0.947 / 0.924</t>
  </si>
  <si>
    <t>0.942 / 0.919</t>
  </si>
  <si>
    <t>0.932 / 0.909</t>
  </si>
  <si>
    <t>0.866 / 0.862</t>
  </si>
  <si>
    <t>0.923 / 0.919</t>
  </si>
  <si>
    <t>0.920 / 0.915</t>
  </si>
  <si>
    <t>0.895 / 0.891</t>
  </si>
  <si>
    <t>0.849 / 0.845</t>
  </si>
  <si>
    <t>0.0038 / 0.0050</t>
  </si>
  <si>
    <t>0.0076 / 0.0088</t>
  </si>
  <si>
    <t>0.0118 / 0.0130</t>
  </si>
  <si>
    <t>0.0217 / 0.0229</t>
  </si>
  <si>
    <t>213.4 / 281.9</t>
  </si>
  <si>
    <t>1793.1 / 1790.9</t>
  </si>
  <si>
    <t>1786.3 / 1784.1</t>
  </si>
  <si>
    <t>1778.7 / 1776.5</t>
  </si>
  <si>
    <t>1761.0 / 1758.8</t>
  </si>
  <si>
    <t>297.0 / 392.5</t>
  </si>
  <si>
    <t>92.3 / 137.3</t>
  </si>
  <si>
    <t>50.0 / 74.4</t>
  </si>
  <si>
    <t>142.9 / 161.3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</si>
  <si>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</si>
  <si>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5.45 / 5.62</t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</si>
  <si>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</si>
  <si>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UB: 5.13 / 5.29</t>
  </si>
  <si>
    <t>UER: 3.12 / 3.22</t>
  </si>
  <si>
    <t>282</t>
  </si>
  <si>
    <t>356</t>
  </si>
  <si>
    <t>11.4</t>
  </si>
  <si>
    <t>9 / 17</t>
  </si>
  <si>
    <t>4.759</t>
  </si>
  <si>
    <t>3.748</t>
  </si>
  <si>
    <t>202.579</t>
  </si>
  <si>
    <t>8.439</t>
  </si>
  <si>
    <t>6.431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</si>
</sst>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81" formatCode="0.00000"/>
    <numFmt numFmtId="182" formatCode="0.0000"/>
    <numFmt numFmtId="183" formatCode="0.000"/>
    <numFmt numFmtId="184" formatCode="0.0"/>
    <numFmt numFmtId="188" formatCode="0.0%"/>
    <numFmt numFmtId="189" formatCode=".0000"/>
    <numFmt numFmtId="190" formatCode="mm/dd/yy"/>
    <numFmt numFmtId="191" formatCode="0.00_);\(0.00\)"/>
    <numFmt numFmtId="192" formatCode="General_)"/>
    <numFmt numFmtId="193" formatCode="General&quot;°C&quot;"/>
    <numFmt numFmtId="194" formatCode="m/d/yy"/>
    <numFmt numFmtId="196" formatCode="@\ &quot;Ohms/Phase&quot;"/>
    <numFmt numFmtId="197" formatCode=".0"/>
    <numFmt numFmtId="198" formatCode="@\ &quot; A&quot;"/>
    <numFmt numFmtId="199" formatCode="@\ &quot;(s)&quot;"/>
    <numFmt numFmtId="200" formatCode="@\ &quot;mm&quot;"/>
  </numFmts>
  <fonts count="96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8"/>
      <color indexed="8"/>
      <name val="Times New Roman"/>
      <family val="1"/>
    </font>
    <font>
      <sz val="10"/>
      <color indexed="8"/>
      <name val="Times New Roman"/>
      <family val="1"/>
    </font>
    <font>
      <i/>
      <sz val="8"/>
      <color indexed="8"/>
      <name val="Times New Roman"/>
      <family val="1"/>
    </font>
    <font>
      <b/>
      <i/>
      <sz val="10"/>
      <color indexed="8"/>
      <name val="Times New Roman"/>
      <family val="1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u/>
      <sz val="10"/>
      <color indexed="8"/>
      <name val="Univers (W1)"/>
    </font>
    <font>
      <sz val="10"/>
      <color indexed="8"/>
      <name val="Univers"/>
      <family val="2"/>
    </font>
    <font>
      <sz val="10"/>
      <color indexed="8"/>
      <name val="WP Greek Century"/>
      <charset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color indexed="8"/>
      <name val="Arial"/>
      <family val="2"/>
    </font>
    <font>
      <b/>
      <i/>
      <sz val="12"/>
      <color indexed="8"/>
      <name val="Comic Sans MS"/>
      <family val="4"/>
    </font>
    <font>
      <sz val="11"/>
      <color rgb="FFFF0000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u/>
      <sz val="14"/>
      <name val="Times New Roman"/>
      <family val="1"/>
    </font>
    <font>
      <b/>
      <i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  <font>
      <sz val="10"/>
      <name val="Helv"/>
    </font>
    <font>
      <b/>
      <sz val="12"/>
      <name val="Univers (W1)"/>
    </font>
    <font>
      <sz val="10"/>
      <name val="Univers (W1)"/>
    </font>
    <font>
      <i/>
      <sz val="10"/>
      <name val="Script"/>
      <family val="4"/>
      <charset val="255"/>
    </font>
    <font>
      <sz val="12"/>
      <name val="Univers"/>
      <family val="2"/>
    </font>
    <font>
      <sz val="9"/>
      <name val="Univers"/>
      <family val="2"/>
    </font>
    <font>
      <sz val="9"/>
      <name val="Helv"/>
    </font>
    <font>
      <sz val="11"/>
      <name val="Univers (W1)"/>
      <family val="2"/>
    </font>
    <font>
      <sz val="11"/>
      <name val="Univers (W1)"/>
    </font>
    <font>
      <sz val="10"/>
      <name val="Univers"/>
      <family val="2"/>
    </font>
    <font>
      <sz val="8"/>
      <name val="Univers"/>
      <family val="2"/>
    </font>
    <font>
      <sz val="11"/>
      <name val="Univers"/>
      <family val="2"/>
    </font>
    <font>
      <vertAlign val="superscript"/>
      <sz val="8"/>
      <name val="Univers"/>
      <family val="2"/>
    </font>
    <font>
      <sz val="8"/>
      <name val="Helv"/>
    </font>
    <font>
      <b/>
      <sz val="12"/>
      <name val="Helv"/>
    </font>
    <font>
      <sz val="7"/>
      <name val="Univers (W1)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hair">
        <color indexed="23"/>
      </left>
      <right style="medium">
        <color indexed="64"/>
      </right>
      <top/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11">
    <xf numFmtId="0" fontId="0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192" fontId="67" fillId="0" borderId="0"/>
    <xf numFmtId="0" fontId="80" fillId="0" borderId="0"/>
    <xf numFmtId="0" fontId="67" fillId="0" borderId="0"/>
    <xf numFmtId="0" fontId="67" fillId="0" borderId="0"/>
    <xf numFmtId="0" fontId="1" fillId="0" borderId="0"/>
    <xf numFmtId="0" fontId="1" fillId="0" borderId="0"/>
  </cellStyleXfs>
  <cellXfs count="1073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82" fontId="2" fillId="0" borderId="1" xfId="0" applyNumberFormat="1" applyFont="1" applyBorder="1" applyAlignment="1">
      <alignment horizontal="center"/>
    </xf>
    <xf numFmtId="18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4" fontId="2" fillId="0" borderId="1" xfId="0" applyNumberFormat="1" applyFont="1" applyBorder="1" applyAlignment="1">
      <alignment horizontal="center"/>
    </xf>
    <xf numFmtId="182" fontId="2" fillId="0" borderId="9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84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83" fontId="2" fillId="0" borderId="25" xfId="0" applyNumberFormat="1" applyFont="1" applyBorder="1" applyAlignment="1">
      <alignment horizontal="center"/>
    </xf>
    <xf numFmtId="184" fontId="2" fillId="0" borderId="25" xfId="0" applyNumberFormat="1" applyFont="1" applyBorder="1" applyAlignment="1">
      <alignment horizontal="center"/>
    </xf>
    <xf numFmtId="183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83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84" fontId="2" fillId="0" borderId="33" xfId="0" applyNumberFormat="1" applyFont="1" applyBorder="1" applyAlignment="1">
      <alignment horizontal="center"/>
    </xf>
    <xf numFmtId="184" fontId="2" fillId="0" borderId="34" xfId="0" applyNumberFormat="1" applyFont="1" applyBorder="1" applyAlignment="1">
      <alignment horizontal="center"/>
    </xf>
    <xf numFmtId="184" fontId="2" fillId="0" borderId="10" xfId="0" applyNumberFormat="1" applyFont="1" applyBorder="1" applyAlignment="1">
      <alignment horizontal="center"/>
    </xf>
    <xf numFmtId="184" fontId="2" fillId="0" borderId="30" xfId="0" applyNumberFormat="1" applyFont="1" applyBorder="1" applyAlignment="1">
      <alignment horizontal="center"/>
    </xf>
    <xf numFmtId="184" fontId="2" fillId="0" borderId="35" xfId="0" applyNumberFormat="1" applyFont="1" applyBorder="1" applyAlignment="1">
      <alignment horizontal="center"/>
    </xf>
    <xf numFmtId="184" fontId="2" fillId="0" borderId="36" xfId="0" applyNumberFormat="1" applyFont="1" applyBorder="1" applyAlignment="1">
      <alignment horizontal="center"/>
    </xf>
    <xf numFmtId="184" fontId="2" fillId="0" borderId="37" xfId="0" applyNumberFormat="1" applyFont="1" applyBorder="1" applyAlignment="1">
      <alignment horizontal="center"/>
    </xf>
    <xf numFmtId="183" fontId="2" fillId="0" borderId="26" xfId="0" applyNumberFormat="1" applyFont="1" applyBorder="1" applyAlignment="1">
      <alignment horizontal="center"/>
    </xf>
    <xf numFmtId="184" fontId="2" fillId="0" borderId="38" xfId="0" applyNumberFormat="1" applyFont="1" applyBorder="1" applyAlignment="1">
      <alignment horizontal="center"/>
    </xf>
    <xf numFmtId="184" fontId="2" fillId="0" borderId="39" xfId="0" applyNumberFormat="1" applyFont="1" applyBorder="1" applyAlignment="1">
      <alignment horizontal="center"/>
    </xf>
    <xf numFmtId="184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84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83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84" fontId="14" fillId="0" borderId="1" xfId="0" applyNumberFormat="1" applyFont="1" applyBorder="1" applyAlignment="1">
      <alignment horizontal="center"/>
    </xf>
    <xf numFmtId="184" fontId="2" fillId="0" borderId="7" xfId="0" applyNumberFormat="1" applyFont="1" applyBorder="1" applyAlignment="1">
      <alignment horizontal="center"/>
    </xf>
    <xf numFmtId="184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82" fontId="0" fillId="0" borderId="0" xfId="0" applyNumberFormat="1"/>
    <xf numFmtId="184" fontId="0" fillId="0" borderId="0" xfId="0" applyNumberFormat="1"/>
    <xf numFmtId="188" fontId="2" fillId="2" borderId="1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0" fontId="12" fillId="0" borderId="47" xfId="0" applyFont="1" applyBorder="1" applyAlignment="1">
      <alignment horizontal="right"/>
    </xf>
    <xf numFmtId="0" fontId="3" fillId="0" borderId="1" xfId="0" applyFont="1" applyBorder="1" applyAlignment="1"/>
    <xf numFmtId="0" fontId="3" fillId="0" borderId="11" xfId="0" applyFont="1" applyBorder="1" applyAlignment="1"/>
    <xf numFmtId="1" fontId="0" fillId="0" borderId="0" xfId="0" applyNumberFormat="1" applyAlignment="1">
      <alignment horizontal="left"/>
    </xf>
    <xf numFmtId="182" fontId="2" fillId="0" borderId="0" xfId="0" applyNumberFormat="1" applyFont="1" applyFill="1" applyBorder="1" applyAlignment="1">
      <alignment horizontal="center"/>
    </xf>
    <xf numFmtId="181" fontId="2" fillId="0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84" fontId="1" fillId="0" borderId="9" xfId="0" applyNumberFormat="1" applyFont="1" applyBorder="1" applyAlignment="1">
      <alignment horizontal="center"/>
    </xf>
    <xf numFmtId="183" fontId="1" fillId="0" borderId="11" xfId="0" applyNumberFormat="1" applyFont="1" applyBorder="1" applyAlignment="1">
      <alignment horizontal="center"/>
    </xf>
    <xf numFmtId="2" fontId="1" fillId="0" borderId="11" xfId="0" applyNumberFormat="1" applyFont="1" applyBorder="1" applyAlignment="1">
      <alignment horizontal="center"/>
    </xf>
    <xf numFmtId="184" fontId="1" fillId="0" borderId="33" xfId="0" applyNumberFormat="1" applyFont="1" applyBorder="1" applyAlignment="1">
      <alignment horizontal="center"/>
    </xf>
    <xf numFmtId="0" fontId="1" fillId="0" borderId="0" xfId="0" applyFont="1"/>
    <xf numFmtId="184" fontId="1" fillId="0" borderId="0" xfId="0" applyNumberFormat="1" applyFont="1"/>
    <xf numFmtId="184" fontId="1" fillId="0" borderId="1" xfId="0" applyNumberFormat="1" applyFont="1" applyBorder="1" applyAlignment="1">
      <alignment horizontal="center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2" fillId="0" borderId="1" xfId="0" applyNumberFormat="1" applyFont="1" applyBorder="1" applyAlignment="1">
      <alignment horizontal="center"/>
    </xf>
    <xf numFmtId="2" fontId="22" fillId="0" borderId="9" xfId="0" applyNumberFormat="1" applyFont="1" applyBorder="1" applyAlignment="1">
      <alignment horizontal="center"/>
    </xf>
    <xf numFmtId="183" fontId="22" fillId="0" borderId="1" xfId="0" applyNumberFormat="1" applyFont="1" applyBorder="1" applyAlignment="1">
      <alignment horizontal="center"/>
    </xf>
    <xf numFmtId="183" fontId="22" fillId="0" borderId="9" xfId="0" applyNumberFormat="1" applyFont="1" applyBorder="1" applyAlignment="1">
      <alignment horizontal="center"/>
    </xf>
    <xf numFmtId="182" fontId="22" fillId="0" borderId="1" xfId="0" applyNumberFormat="1" applyFont="1" applyBorder="1" applyAlignment="1">
      <alignment horizontal="center"/>
    </xf>
    <xf numFmtId="182" fontId="22" fillId="0" borderId="9" xfId="0" applyNumberFormat="1" applyFont="1" applyBorder="1" applyAlignment="1">
      <alignment horizontal="center"/>
    </xf>
    <xf numFmtId="184" fontId="22" fillId="0" borderId="1" xfId="0" applyNumberFormat="1" applyFont="1" applyBorder="1" applyAlignment="1">
      <alignment horizontal="center"/>
    </xf>
    <xf numFmtId="184" fontId="22" fillId="0" borderId="9" xfId="0" applyNumberFormat="1" applyFont="1" applyBorder="1" applyAlignment="1">
      <alignment horizontal="center"/>
    </xf>
    <xf numFmtId="183" fontId="22" fillId="0" borderId="11" xfId="0" applyNumberFormat="1" applyFont="1" applyBorder="1" applyAlignment="1">
      <alignment horizontal="center"/>
    </xf>
    <xf numFmtId="183" fontId="23" fillId="0" borderId="31" xfId="0" applyNumberFormat="1" applyFont="1" applyBorder="1" applyAlignment="1">
      <alignment horizontal="center"/>
    </xf>
    <xf numFmtId="183" fontId="23" fillId="0" borderId="51" xfId="0" applyNumberFormat="1" applyFont="1" applyBorder="1" applyAlignment="1">
      <alignment horizontal="center"/>
    </xf>
    <xf numFmtId="183" fontId="23" fillId="0" borderId="32" xfId="0" applyNumberFormat="1" applyFont="1" applyBorder="1" applyAlignment="1">
      <alignment horizontal="center"/>
    </xf>
    <xf numFmtId="0" fontId="25" fillId="0" borderId="0" xfId="1" applyFont="1" applyAlignment="1">
      <alignment horizontal="center"/>
    </xf>
    <xf numFmtId="0" fontId="26" fillId="0" borderId="0" xfId="1" applyFont="1"/>
    <xf numFmtId="0" fontId="27" fillId="0" borderId="0" xfId="1" applyFont="1"/>
    <xf numFmtId="0" fontId="28" fillId="5" borderId="0" xfId="1" applyFont="1" applyFill="1" applyAlignment="1">
      <alignment horizontal="center"/>
    </xf>
    <xf numFmtId="0" fontId="29" fillId="5" borderId="0" xfId="1" applyFont="1" applyFill="1" applyAlignment="1">
      <alignment horizontal="right"/>
    </xf>
    <xf numFmtId="0" fontId="30" fillId="5" borderId="0" xfId="1" applyFont="1" applyFill="1"/>
    <xf numFmtId="0" fontId="31" fillId="5" borderId="0" xfId="1" applyFont="1" applyFill="1"/>
    <xf numFmtId="0" fontId="28" fillId="5" borderId="0" xfId="1" applyFont="1" applyFill="1" applyAlignment="1">
      <alignment horizontal="center"/>
    </xf>
    <xf numFmtId="0" fontId="30" fillId="5" borderId="23" xfId="1" applyFont="1" applyFill="1" applyBorder="1" applyAlignment="1">
      <alignment horizontal="center"/>
    </xf>
    <xf numFmtId="0" fontId="32" fillId="0" borderId="52" xfId="1" applyFont="1" applyBorder="1" applyAlignment="1">
      <alignment horizontal="left" vertical="center"/>
    </xf>
    <xf numFmtId="0" fontId="32" fillId="0" borderId="53" xfId="1" applyFont="1" applyBorder="1" applyAlignment="1">
      <alignment vertical="center"/>
    </xf>
    <xf numFmtId="0" fontId="24" fillId="0" borderId="53" xfId="1" applyBorder="1"/>
    <xf numFmtId="0" fontId="32" fillId="0" borderId="54" xfId="1" applyFont="1" applyBorder="1" applyAlignment="1">
      <alignment horizontal="right" vertical="center"/>
    </xf>
    <xf numFmtId="0" fontId="19" fillId="0" borderId="0" xfId="1" applyFont="1"/>
    <xf numFmtId="0" fontId="33" fillId="0" borderId="52" xfId="1" applyFont="1" applyBorder="1"/>
    <xf numFmtId="0" fontId="19" fillId="0" borderId="54" xfId="1" applyFont="1" applyBorder="1"/>
    <xf numFmtId="0" fontId="33" fillId="0" borderId="54" xfId="1" applyFont="1" applyBorder="1"/>
    <xf numFmtId="0" fontId="34" fillId="0" borderId="0" xfId="1" applyFont="1"/>
    <xf numFmtId="0" fontId="35" fillId="5" borderId="12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left"/>
    </xf>
    <xf numFmtId="0" fontId="35" fillId="5" borderId="13" xfId="1" applyFont="1" applyFill="1" applyBorder="1" applyAlignment="1">
      <alignment horizontal="center"/>
    </xf>
    <xf numFmtId="0" fontId="35" fillId="5" borderId="55" xfId="1" applyFont="1" applyFill="1" applyBorder="1" applyAlignment="1">
      <alignment horizontal="center"/>
    </xf>
    <xf numFmtId="0" fontId="35" fillId="5" borderId="0" xfId="1" quotePrefix="1" applyFont="1" applyFill="1" applyAlignment="1">
      <alignment horizontal="left"/>
    </xf>
    <xf numFmtId="0" fontId="18" fillId="5" borderId="56" xfId="1" applyFont="1" applyFill="1" applyBorder="1" applyAlignment="1">
      <alignment horizontal="right"/>
    </xf>
    <xf numFmtId="0" fontId="35" fillId="5" borderId="57" xfId="1" applyFont="1" applyFill="1" applyBorder="1" applyAlignment="1">
      <alignment horizontal="center"/>
    </xf>
    <xf numFmtId="0" fontId="35" fillId="5" borderId="21" xfId="1" applyFont="1" applyFill="1" applyBorder="1" applyAlignment="1">
      <alignment horizontal="center"/>
    </xf>
    <xf numFmtId="0" fontId="33" fillId="0" borderId="45" xfId="1" applyFont="1" applyBorder="1"/>
    <xf numFmtId="0" fontId="19" fillId="0" borderId="21" xfId="1" applyFont="1" applyBorder="1"/>
    <xf numFmtId="0" fontId="33" fillId="0" borderId="21" xfId="1" applyFont="1" applyBorder="1"/>
    <xf numFmtId="0" fontId="36" fillId="0" borderId="58" xfId="1" applyFont="1" applyBorder="1" applyAlignment="1">
      <alignment horizontal="left"/>
    </xf>
    <xf numFmtId="0" fontId="36" fillId="0" borderId="59" xfId="1" applyFont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29" fillId="5" borderId="61" xfId="1" applyFont="1" applyFill="1" applyBorder="1" applyAlignment="1">
      <alignment horizontal="left"/>
    </xf>
    <xf numFmtId="0" fontId="29" fillId="5" borderId="62" xfId="1" applyFont="1" applyFill="1" applyBorder="1" applyAlignment="1">
      <alignment horizontal="left"/>
    </xf>
    <xf numFmtId="0" fontId="29" fillId="5" borderId="27" xfId="1" applyFont="1" applyFill="1" applyBorder="1" applyAlignment="1">
      <alignment horizontal="left"/>
    </xf>
    <xf numFmtId="0" fontId="36" fillId="0" borderId="63" xfId="1" applyFont="1" applyBorder="1" applyAlignment="1">
      <alignment horizontal="left"/>
    </xf>
    <xf numFmtId="0" fontId="36" fillId="0" borderId="64" xfId="1" applyFont="1" applyBorder="1" applyAlignment="1">
      <alignment horizontal="left"/>
    </xf>
    <xf numFmtId="2" fontId="38" fillId="0" borderId="65" xfId="1" applyNumberFormat="1" applyFont="1" applyBorder="1" applyAlignment="1">
      <alignment horizontal="center"/>
    </xf>
    <xf numFmtId="2" fontId="38" fillId="0" borderId="66" xfId="1" applyNumberFormat="1" applyFont="1" applyBorder="1" applyAlignment="1">
      <alignment horizontal="center"/>
    </xf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84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8" fillId="0" borderId="65" xfId="1" applyFont="1" applyBorder="1" applyAlignment="1">
      <alignment horizontal="center"/>
    </xf>
    <xf numFmtId="0" fontId="38" fillId="0" borderId="66" xfId="1" applyFont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36" fillId="0" borderId="75" xfId="1" applyFont="1" applyBorder="1" applyAlignment="1">
      <alignment horizontal="left"/>
    </xf>
    <xf numFmtId="0" fontId="36" fillId="0" borderId="68" xfId="1" applyFont="1" applyBorder="1" applyAlignment="1">
      <alignment horizontal="left"/>
    </xf>
    <xf numFmtId="0" fontId="36" fillId="0" borderId="69" xfId="1" applyFont="1" applyBorder="1" applyAlignment="1">
      <alignment horizontal="left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184" fontId="38" fillId="5" borderId="65" xfId="1" applyNumberFormat="1" applyFont="1" applyFill="1" applyBorder="1" applyAlignment="1">
      <alignment horizontal="center"/>
    </xf>
    <xf numFmtId="184" fontId="38" fillId="5" borderId="66" xfId="1" applyNumberFormat="1" applyFont="1" applyFill="1" applyBorder="1" applyAlignment="1">
      <alignment horizontal="center"/>
    </xf>
    <xf numFmtId="0" fontId="33" fillId="0" borderId="46" xfId="1" applyFont="1" applyBorder="1"/>
    <xf numFmtId="0" fontId="33" fillId="0" borderId="24" xfId="1" applyFont="1" applyBorder="1"/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36" fillId="5" borderId="63" xfId="1" quotePrefix="1" applyFont="1" applyFill="1" applyBorder="1" applyAlignment="1">
      <alignment horizontal="left"/>
    </xf>
    <xf numFmtId="0" fontId="34" fillId="0" borderId="69" xfId="1" applyFont="1" applyBorder="1"/>
    <xf numFmtId="184" fontId="38" fillId="0" borderId="65" xfId="1" applyNumberFormat="1" applyFont="1" applyBorder="1" applyAlignment="1">
      <alignment horizontal="center"/>
    </xf>
    <xf numFmtId="184" fontId="38" fillId="0" borderId="66" xfId="1" applyNumberFormat="1" applyFont="1" applyBorder="1" applyAlignment="1">
      <alignment horizontal="center"/>
    </xf>
    <xf numFmtId="0" fontId="29" fillId="0" borderId="80" xfId="1" applyFont="1" applyBorder="1" applyAlignment="1">
      <alignment horizontal="left"/>
    </xf>
    <xf numFmtId="0" fontId="29" fillId="0" borderId="81" xfId="1" applyFont="1" applyBorder="1" applyAlignment="1">
      <alignment horizontal="left"/>
    </xf>
    <xf numFmtId="0" fontId="29" fillId="0" borderId="82" xfId="1" applyFont="1" applyBorder="1" applyAlignment="1">
      <alignment horizontal="left"/>
    </xf>
    <xf numFmtId="0" fontId="19" fillId="0" borderId="24" xfId="1" applyFont="1" applyBorder="1"/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20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6" xfId="1" applyFont="1" applyFill="1" applyBorder="1"/>
    <xf numFmtId="0" fontId="20" fillId="5" borderId="69" xfId="1" applyFont="1" applyFill="1" applyBorder="1" applyAlignment="1">
      <alignment horizontal="right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Alignment="1">
      <alignment horizontal="center"/>
    </xf>
    <xf numFmtId="0" fontId="36" fillId="5" borderId="58" xfId="1" quotePrefix="1" applyFont="1" applyFill="1" applyBorder="1" applyAlignment="1">
      <alignment horizontal="left"/>
    </xf>
    <xf numFmtId="0" fontId="34" fillId="0" borderId="93" xfId="1" applyFont="1" applyBorder="1"/>
    <xf numFmtId="0" fontId="38" fillId="0" borderId="92" xfId="1" applyFont="1" applyBorder="1" applyAlignment="1">
      <alignment horizontal="center"/>
    </xf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189" fontId="38" fillId="5" borderId="65" xfId="1" applyNumberFormat="1" applyFont="1" applyFill="1" applyBorder="1" applyAlignment="1">
      <alignment horizontal="center"/>
    </xf>
    <xf numFmtId="189" fontId="38" fillId="5" borderId="66" xfId="1" applyNumberFormat="1" applyFont="1" applyFill="1" applyBorder="1" applyAlignment="1">
      <alignment horizontal="center"/>
    </xf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4" fillId="0" borderId="96" xfId="1" applyFont="1" applyBorder="1"/>
    <xf numFmtId="0" fontId="38" fillId="0" borderId="96" xfId="1" applyFont="1" applyBorder="1" applyAlignment="1">
      <alignment horizontal="center"/>
    </xf>
    <xf numFmtId="0" fontId="38" fillId="0" borderId="97" xfId="1" applyFont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8" fillId="0" borderId="69" xfId="1" applyFont="1" applyBorder="1" applyAlignment="1">
      <alignment horizontal="center"/>
    </xf>
    <xf numFmtId="0" fontId="38" fillId="0" borderId="74" xfId="1" applyFont="1" applyBorder="1" applyAlignment="1">
      <alignment horizontal="center"/>
    </xf>
    <xf numFmtId="0" fontId="38" fillId="0" borderId="46" xfId="1" applyFont="1" applyBorder="1"/>
    <xf numFmtId="0" fontId="43" fillId="0" borderId="24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21" fillId="5" borderId="103" xfId="1" applyFont="1" applyFill="1" applyBorder="1" applyAlignment="1">
      <alignment horizontal="center"/>
    </xf>
    <xf numFmtId="184" fontId="38" fillId="0" borderId="69" xfId="1" applyNumberFormat="1" applyFont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4" fillId="0" borderId="107" xfId="1" applyFont="1" applyBorder="1" applyAlignment="1">
      <alignment horizontal="left"/>
    </xf>
    <xf numFmtId="0" fontId="34" fillId="0" borderId="77" xfId="1" applyFont="1" applyBorder="1" applyAlignment="1">
      <alignment horizontal="left"/>
    </xf>
    <xf numFmtId="0" fontId="34" fillId="0" borderId="78" xfId="1" applyFont="1" applyBorder="1"/>
    <xf numFmtId="0" fontId="34" fillId="0" borderId="79" xfId="1" applyFont="1" applyBorder="1"/>
    <xf numFmtId="0" fontId="29" fillId="0" borderId="102" xfId="1" applyFont="1" applyBorder="1" applyAlignment="1">
      <alignment horizontal="left"/>
    </xf>
    <xf numFmtId="0" fontId="29" fillId="0" borderId="62" xfId="1" applyFont="1" applyBorder="1" applyAlignment="1">
      <alignment horizontal="left"/>
    </xf>
    <xf numFmtId="0" fontId="34" fillId="0" borderId="45" xfId="1" applyFont="1" applyBorder="1" applyAlignment="1">
      <alignment horizontal="center"/>
    </xf>
    <xf numFmtId="0" fontId="34" fillId="0" borderId="0" xfId="1" applyFont="1" applyAlignment="1">
      <alignment horizontal="center"/>
    </xf>
    <xf numFmtId="0" fontId="34" fillId="0" borderId="108" xfId="1" applyFont="1" applyBorder="1" applyAlignment="1">
      <alignment horizontal="center"/>
    </xf>
    <xf numFmtId="0" fontId="34" fillId="0" borderId="87" xfId="1" applyFont="1" applyBorder="1"/>
    <xf numFmtId="0" fontId="36" fillId="5" borderId="96" xfId="1" applyFont="1" applyFill="1" applyBorder="1"/>
    <xf numFmtId="0" fontId="20" fillId="5" borderId="64" xfId="1" applyFont="1" applyFill="1" applyBorder="1" applyAlignment="1">
      <alignment horizontal="right" shrinkToFit="1"/>
    </xf>
    <xf numFmtId="1" fontId="38" fillId="5" borderId="70" xfId="1" quotePrefix="1" applyNumberFormat="1" applyFont="1" applyFill="1" applyBorder="1" applyAlignment="1">
      <alignment horizontal="center"/>
    </xf>
    <xf numFmtId="2" fontId="34" fillId="0" borderId="0" xfId="1" applyNumberFormat="1" applyFont="1"/>
    <xf numFmtId="0" fontId="36" fillId="5" borderId="83" xfId="1" applyFont="1" applyFill="1" applyBorder="1"/>
    <xf numFmtId="0" fontId="36" fillId="5" borderId="56" xfId="1" applyFont="1" applyFill="1" applyBorder="1"/>
    <xf numFmtId="0" fontId="20" fillId="5" borderId="64" xfId="1" applyFont="1" applyFill="1" applyBorder="1" applyAlignment="1">
      <alignment horizontal="right"/>
    </xf>
    <xf numFmtId="2" fontId="38" fillId="5" borderId="70" xfId="1" quotePrefix="1" applyNumberFormat="1" applyFont="1" applyFill="1" applyBorder="1" applyAlignment="1">
      <alignment horizontal="center"/>
    </xf>
    <xf numFmtId="0" fontId="38" fillId="5" borderId="70" xfId="1" quotePrefix="1" applyFont="1" applyFill="1" applyBorder="1" applyAlignment="1">
      <alignment horizontal="center"/>
    </xf>
    <xf numFmtId="2" fontId="38" fillId="5" borderId="64" xfId="1" applyNumberFormat="1" applyFont="1" applyFill="1" applyBorder="1" applyAlignment="1">
      <alignment horizontal="center"/>
    </xf>
    <xf numFmtId="0" fontId="34" fillId="0" borderId="109" xfId="1" applyFont="1" applyBorder="1" applyAlignment="1">
      <alignment horizontal="center"/>
    </xf>
    <xf numFmtId="0" fontId="34" fillId="0" borderId="40" xfId="1" applyFont="1" applyBorder="1" applyAlignment="1">
      <alignment horizontal="center"/>
    </xf>
    <xf numFmtId="0" fontId="34" fillId="0" borderId="39" xfId="1" applyFont="1" applyBorder="1" applyAlignment="1">
      <alignment horizontal="center"/>
    </xf>
    <xf numFmtId="0" fontId="20" fillId="5" borderId="56" xfId="1" applyFont="1" applyFill="1" applyBorder="1" applyAlignment="1">
      <alignment horizontal="right"/>
    </xf>
    <xf numFmtId="0" fontId="20" fillId="5" borderId="64" xfId="1" applyFont="1" applyFill="1" applyBorder="1"/>
    <xf numFmtId="0" fontId="45" fillId="0" borderId="0" xfId="1" applyFont="1"/>
    <xf numFmtId="0" fontId="29" fillId="0" borderId="38" xfId="1" applyFont="1" applyBorder="1" applyAlignment="1">
      <alignment horizontal="left"/>
    </xf>
    <xf numFmtId="0" fontId="36" fillId="5" borderId="110" xfId="1" applyFont="1" applyFill="1" applyBorder="1"/>
    <xf numFmtId="0" fontId="36" fillId="5" borderId="111" xfId="1" applyFont="1" applyFill="1" applyBorder="1"/>
    <xf numFmtId="0" fontId="36" fillId="5" borderId="112" xfId="1" applyFont="1" applyFill="1" applyBorder="1"/>
    <xf numFmtId="0" fontId="20" fillId="5" borderId="112" xfId="1" applyFont="1" applyFill="1" applyBorder="1"/>
    <xf numFmtId="184" fontId="38" fillId="5" borderId="112" xfId="1" applyNumberFormat="1" applyFont="1" applyFill="1" applyBorder="1" applyAlignment="1">
      <alignment horizontal="center"/>
    </xf>
    <xf numFmtId="0" fontId="38" fillId="5" borderId="113" xfId="1" quotePrefix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38" fillId="5" borderId="114" xfId="1" applyFont="1" applyFill="1" applyBorder="1" applyAlignment="1">
      <alignment horizontal="center"/>
    </xf>
    <xf numFmtId="0" fontId="46" fillId="0" borderId="0" xfId="1" applyFont="1" applyAlignment="1">
      <alignment horizontal="right"/>
    </xf>
    <xf numFmtId="2" fontId="34" fillId="0" borderId="0" xfId="2" applyNumberFormat="1" applyFont="1"/>
    <xf numFmtId="0" fontId="36" fillId="5" borderId="0" xfId="1" applyFont="1" applyFill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0" fontId="34" fillId="0" borderId="0" xfId="1" applyFont="1" applyAlignment="1">
      <alignment horizontal="right"/>
    </xf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38" fillId="5" borderId="115" xfId="1" applyFont="1" applyFill="1" applyBorder="1" applyAlignment="1">
      <alignment horizontal="center"/>
    </xf>
    <xf numFmtId="0" fontId="29" fillId="5" borderId="80" xfId="1" applyFont="1" applyFill="1" applyBorder="1" applyAlignment="1">
      <alignment horizontal="left"/>
    </xf>
    <xf numFmtId="0" fontId="29" fillId="5" borderId="81" xfId="1" applyFont="1" applyFill="1" applyBorder="1" applyAlignment="1">
      <alignment horizontal="left"/>
    </xf>
    <xf numFmtId="0" fontId="29" fillId="5" borderId="82" xfId="1" applyFont="1" applyFill="1" applyBorder="1" applyAlignment="1">
      <alignment horizontal="left"/>
    </xf>
    <xf numFmtId="0" fontId="34" fillId="0" borderId="46" xfId="1" applyFont="1" applyBorder="1" applyAlignment="1">
      <alignment horizontal="center"/>
    </xf>
    <xf numFmtId="0" fontId="34" fillId="0" borderId="23" xfId="1" applyFont="1" applyBorder="1" applyAlignment="1">
      <alignment horizontal="center"/>
    </xf>
    <xf numFmtId="0" fontId="34" fillId="0" borderId="48" xfId="1" applyFont="1" applyBorder="1" applyAlignment="1">
      <alignment horizontal="center"/>
    </xf>
    <xf numFmtId="0" fontId="36" fillId="0" borderId="116" xfId="1" applyFont="1" applyBorder="1"/>
    <xf numFmtId="0" fontId="36" fillId="5" borderId="121" xfId="1" applyFont="1" applyFill="1" applyBorder="1"/>
    <xf numFmtId="0" fontId="31" fillId="0" borderId="0" xfId="1" applyFont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50" fillId="0" borderId="41" xfId="3" applyFont="1" applyBorder="1" applyAlignment="1">
      <alignment horizontal="center"/>
    </xf>
    <xf numFmtId="0" fontId="1" fillId="0" borderId="0" xfId="3"/>
    <xf numFmtId="0" fontId="51" fillId="0" borderId="45" xfId="3" applyFont="1" applyBorder="1" applyAlignment="1">
      <alignment horizontal="center"/>
    </xf>
    <xf numFmtId="0" fontId="51" fillId="0" borderId="0" xfId="3" applyFont="1" applyAlignment="1">
      <alignment horizontal="center"/>
    </xf>
    <xf numFmtId="0" fontId="51" fillId="0" borderId="127" xfId="3" applyFont="1" applyBorder="1" applyAlignment="1">
      <alignment horizontal="center"/>
    </xf>
    <xf numFmtId="0" fontId="1" fillId="0" borderId="127" xfId="3" applyBorder="1" applyAlignment="1">
      <alignment horizontal="center"/>
    </xf>
    <xf numFmtId="0" fontId="50" fillId="0" borderId="127" xfId="3" applyFont="1" applyBorder="1" applyAlignment="1">
      <alignment horizontal="center"/>
    </xf>
    <xf numFmtId="0" fontId="51" fillId="0" borderId="45" xfId="3" applyFont="1" applyBorder="1" applyAlignment="1">
      <alignment horizontal="center"/>
    </xf>
    <xf numFmtId="0" fontId="51" fillId="0" borderId="0" xfId="3" applyFont="1" applyAlignment="1">
      <alignment horizontal="center"/>
    </xf>
    <xf numFmtId="0" fontId="1" fillId="0" borderId="45" xfId="3" applyBorder="1"/>
    <xf numFmtId="0" fontId="52" fillId="0" borderId="0" xfId="3" applyFont="1"/>
    <xf numFmtId="0" fontId="1" fillId="0" borderId="127" xfId="3" applyBorder="1"/>
    <xf numFmtId="0" fontId="50" fillId="0" borderId="0" xfId="3" applyFont="1"/>
    <xf numFmtId="0" fontId="50" fillId="0" borderId="127" xfId="3" applyFont="1" applyBorder="1"/>
    <xf numFmtId="190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50" fillId="0" borderId="1" xfId="3" applyNumberFormat="1" applyFont="1" applyBorder="1"/>
    <xf numFmtId="191" fontId="50" fillId="0" borderId="1" xfId="3" applyNumberFormat="1" applyFont="1" applyBorder="1"/>
    <xf numFmtId="0" fontId="1" fillId="0" borderId="1" xfId="3" applyBorder="1"/>
    <xf numFmtId="0" fontId="1" fillId="0" borderId="9" xfId="3" applyBorder="1"/>
    <xf numFmtId="191" fontId="1" fillId="0" borderId="1" xfId="3" applyNumberFormat="1" applyBorder="1"/>
    <xf numFmtId="0" fontId="1" fillId="0" borderId="1" xfId="3" applyBorder="1" applyAlignment="1">
      <alignment horizontal="center"/>
    </xf>
    <xf numFmtId="190" fontId="1" fillId="0" borderId="18" xfId="3" applyNumberFormat="1" applyBorder="1"/>
    <xf numFmtId="49" fontId="1" fillId="0" borderId="26" xfId="3" applyNumberFormat="1" applyBorder="1"/>
    <xf numFmtId="191" fontId="1" fillId="0" borderId="26" xfId="3" applyNumberFormat="1" applyBorder="1"/>
    <xf numFmtId="0" fontId="1" fillId="0" borderId="26" xfId="3" applyBorder="1"/>
    <xf numFmtId="0" fontId="1" fillId="0" borderId="128" xfId="3" applyBorder="1"/>
    <xf numFmtId="0" fontId="51" fillId="0" borderId="53" xfId="3" applyFont="1" applyBorder="1" applyAlignment="1">
      <alignment horizontal="center"/>
    </xf>
    <xf numFmtId="0" fontId="50" fillId="0" borderId="129" xfId="3" applyFont="1" applyBorder="1" applyAlignment="1">
      <alignment horizontal="center"/>
    </xf>
    <xf numFmtId="0" fontId="50" fillId="0" borderId="15" xfId="3" applyFont="1" applyBorder="1" applyAlignment="1">
      <alignment horizontal="center"/>
    </xf>
    <xf numFmtId="0" fontId="50" fillId="0" borderId="7" xfId="3" applyFont="1" applyBorder="1" applyAlignment="1">
      <alignment horizontal="center"/>
    </xf>
    <xf numFmtId="0" fontId="50" fillId="0" borderId="130" xfId="3" applyFont="1" applyBorder="1" applyAlignment="1">
      <alignment horizontal="center"/>
    </xf>
    <xf numFmtId="0" fontId="50" fillId="0" borderId="130" xfId="3" applyFont="1" applyBorder="1" applyAlignment="1">
      <alignment horizontal="center"/>
    </xf>
    <xf numFmtId="0" fontId="50" fillId="0" borderId="8" xfId="3" applyFont="1" applyBorder="1" applyAlignment="1">
      <alignment horizontal="center"/>
    </xf>
    <xf numFmtId="49" fontId="50" fillId="0" borderId="2" xfId="3" applyNumberFormat="1" applyFon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0" fontId="1" fillId="0" borderId="55" xfId="3" applyBorder="1" applyAlignment="1">
      <alignment horizontal="left"/>
    </xf>
    <xf numFmtId="190" fontId="1" fillId="0" borderId="50" xfId="3" applyNumberFormat="1" applyBorder="1" applyAlignment="1">
      <alignment horizontal="center"/>
    </xf>
    <xf numFmtId="190" fontId="1" fillId="0" borderId="13" xfId="3" applyNumberFormat="1" applyBorder="1" applyAlignment="1">
      <alignment horizontal="center"/>
    </xf>
    <xf numFmtId="190" fontId="1" fillId="0" borderId="55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49" fontId="1" fillId="0" borderId="3" xfId="3" applyNumberFormat="1" applyBorder="1"/>
    <xf numFmtId="0" fontId="1" fillId="0" borderId="17" xfId="3" applyBorder="1" applyAlignment="1">
      <alignment horizontal="left"/>
    </xf>
    <xf numFmtId="0" fontId="1" fillId="0" borderId="131" xfId="3" applyBorder="1" applyAlignment="1">
      <alignment horizontal="left"/>
    </xf>
    <xf numFmtId="0" fontId="1" fillId="0" borderId="132" xfId="3" applyBorder="1" applyAlignment="1">
      <alignment horizontal="left"/>
    </xf>
    <xf numFmtId="190" fontId="1" fillId="0" borderId="17" xfId="3" applyNumberFormat="1" applyBorder="1" applyAlignment="1">
      <alignment horizontal="center"/>
    </xf>
    <xf numFmtId="190" fontId="1" fillId="0" borderId="131" xfId="3" applyNumberFormat="1" applyBorder="1" applyAlignment="1">
      <alignment horizontal="center"/>
    </xf>
    <xf numFmtId="190" fontId="1" fillId="0" borderId="132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31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49" fontId="1" fillId="0" borderId="4" xfId="3" applyNumberFormat="1" applyBorder="1"/>
    <xf numFmtId="0" fontId="1" fillId="0" borderId="31" xfId="3" applyBorder="1" applyAlignment="1">
      <alignment horizontal="left"/>
    </xf>
    <xf numFmtId="0" fontId="1" fillId="0" borderId="51" xfId="3" applyBorder="1" applyAlignment="1">
      <alignment horizontal="left"/>
    </xf>
    <xf numFmtId="0" fontId="1" fillId="0" borderId="133" xfId="3" applyBorder="1" applyAlignment="1">
      <alignment horizontal="left"/>
    </xf>
    <xf numFmtId="190" fontId="1" fillId="0" borderId="31" xfId="3" applyNumberFormat="1" applyBorder="1" applyAlignment="1">
      <alignment horizontal="center"/>
    </xf>
    <xf numFmtId="190" fontId="1" fillId="0" borderId="51" xfId="3" applyNumberFormat="1" applyBorder="1" applyAlignment="1">
      <alignment horizontal="center"/>
    </xf>
    <xf numFmtId="190" fontId="1" fillId="0" borderId="133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51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53" fillId="5" borderId="117" xfId="2" applyFont="1" applyFill="1" applyBorder="1" applyAlignment="1">
      <alignment horizontal="center"/>
    </xf>
    <xf numFmtId="0" fontId="53" fillId="5" borderId="118" xfId="2" applyFont="1" applyFill="1" applyBorder="1" applyAlignment="1">
      <alignment horizontal="center"/>
    </xf>
    <xf numFmtId="0" fontId="36" fillId="5" borderId="119" xfId="2" applyFont="1" applyFill="1" applyBorder="1"/>
    <xf numFmtId="0" fontId="54" fillId="5" borderId="120" xfId="2" applyFont="1" applyFill="1" applyBorder="1" applyAlignment="1">
      <alignment horizontal="center" shrinkToFit="1"/>
    </xf>
    <xf numFmtId="14" fontId="19" fillId="5" borderId="122" xfId="2" applyNumberFormat="1" applyFont="1" applyFill="1" applyBorder="1" applyAlignment="1">
      <alignment horizontal="center"/>
    </xf>
    <xf numFmtId="14" fontId="19" fillId="5" borderId="123" xfId="2" applyNumberFormat="1" applyFont="1" applyFill="1" applyBorder="1" applyAlignment="1">
      <alignment horizontal="center"/>
    </xf>
    <xf numFmtId="0" fontId="36" fillId="5" borderId="23" xfId="2" applyFont="1" applyFill="1" applyBorder="1"/>
    <xf numFmtId="14" fontId="19" fillId="5" borderId="124" xfId="2" applyNumberFormat="1" applyFont="1" applyFill="1" applyBorder="1" applyAlignment="1">
      <alignment horizontal="center"/>
    </xf>
    <xf numFmtId="0" fontId="31" fillId="5" borderId="83" xfId="2" applyFont="1" applyFill="1" applyBorder="1"/>
    <xf numFmtId="0" fontId="34" fillId="5" borderId="72" xfId="2" applyFont="1" applyFill="1" applyBorder="1" applyAlignment="1">
      <alignment horizontal="left"/>
    </xf>
    <xf numFmtId="0" fontId="34" fillId="5" borderId="84" xfId="2" applyFont="1" applyFill="1" applyBorder="1" applyAlignment="1">
      <alignment horizontal="left"/>
    </xf>
    <xf numFmtId="0" fontId="34" fillId="0" borderId="0" xfId="2" applyFont="1"/>
    <xf numFmtId="0" fontId="31" fillId="5" borderId="68" xfId="2" applyFont="1" applyFill="1" applyBorder="1" applyAlignment="1">
      <alignment horizontal="left"/>
    </xf>
    <xf numFmtId="0" fontId="31" fillId="5" borderId="74" xfId="2" applyFont="1" applyFill="1" applyBorder="1" applyAlignment="1">
      <alignment horizontal="left"/>
    </xf>
    <xf numFmtId="0" fontId="47" fillId="0" borderId="0" xfId="2" applyFont="1"/>
    <xf numFmtId="0" fontId="19" fillId="0" borderId="0" xfId="2" applyFont="1"/>
    <xf numFmtId="0" fontId="55" fillId="5" borderId="68" xfId="2" applyFont="1" applyFill="1" applyBorder="1" applyAlignment="1">
      <alignment horizontal="left"/>
    </xf>
    <xf numFmtId="0" fontId="31" fillId="5" borderId="45" xfId="2" applyFont="1" applyFill="1" applyBorder="1"/>
    <xf numFmtId="0" fontId="31" fillId="0" borderId="23" xfId="2" applyFont="1" applyBorder="1"/>
    <xf numFmtId="0" fontId="31" fillId="5" borderId="125" xfId="2" applyFont="1" applyFill="1" applyBorder="1" applyAlignment="1">
      <alignment horizontal="left"/>
    </xf>
    <xf numFmtId="0" fontId="31" fillId="5" borderId="126" xfId="2" applyFont="1" applyFill="1" applyBorder="1" applyAlignment="1">
      <alignment horizontal="left"/>
    </xf>
    <xf numFmtId="184" fontId="2" fillId="0" borderId="0" xfId="0" applyNumberFormat="1" applyFont="1" applyBorder="1" applyAlignment="1">
      <alignment horizontal="center"/>
    </xf>
    <xf numFmtId="184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84" fontId="2" fillId="0" borderId="36" xfId="0" applyNumberFormat="1" applyFont="1" applyFill="1" applyBorder="1" applyAlignment="1">
      <alignment horizontal="center"/>
    </xf>
    <xf numFmtId="184" fontId="2" fillId="0" borderId="134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84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centerContinuous"/>
    </xf>
    <xf numFmtId="184" fontId="2" fillId="0" borderId="0" xfId="0" applyNumberFormat="1" applyFont="1" applyBorder="1" applyAlignment="1">
      <alignment horizontal="centerContinuous"/>
    </xf>
    <xf numFmtId="184" fontId="2" fillId="0" borderId="23" xfId="0" applyNumberFormat="1" applyFont="1" applyFill="1" applyBorder="1" applyAlignment="1">
      <alignment horizontal="centerContinuous"/>
    </xf>
    <xf numFmtId="0" fontId="6" fillId="0" borderId="0" xfId="4" applyFont="1" applyAlignment="1">
      <alignment horizontal="right"/>
    </xf>
    <xf numFmtId="0" fontId="6" fillId="0" borderId="0" xfId="4" applyFont="1" applyAlignment="1">
      <alignment horizontal="center"/>
    </xf>
    <xf numFmtId="0" fontId="1" fillId="0" borderId="0" xfId="4"/>
    <xf numFmtId="0" fontId="25" fillId="0" borderId="0" xfId="4" applyFont="1"/>
    <xf numFmtId="0" fontId="56" fillId="0" borderId="0" xfId="4" applyFont="1"/>
    <xf numFmtId="0" fontId="57" fillId="0" borderId="26" xfId="4" applyFont="1" applyBorder="1" applyAlignment="1">
      <alignment horizontal="center"/>
    </xf>
    <xf numFmtId="0" fontId="57" fillId="0" borderId="28" xfId="4" applyFont="1" applyBorder="1" applyAlignment="1">
      <alignment horizontal="center"/>
    </xf>
    <xf numFmtId="0" fontId="56" fillId="0" borderId="1" xfId="4" applyFont="1" applyBorder="1" applyAlignment="1">
      <alignment horizontal="center"/>
    </xf>
    <xf numFmtId="0" fontId="58" fillId="0" borderId="17" xfId="4" applyFont="1" applyBorder="1" applyAlignment="1">
      <alignment horizontal="center"/>
    </xf>
    <xf numFmtId="0" fontId="32" fillId="0" borderId="131" xfId="4" applyFont="1" applyBorder="1" applyAlignment="1">
      <alignment horizontal="center"/>
    </xf>
    <xf numFmtId="0" fontId="32" fillId="0" borderId="132" xfId="4" applyFont="1" applyBorder="1" applyAlignment="1">
      <alignment horizontal="center"/>
    </xf>
    <xf numFmtId="0" fontId="57" fillId="0" borderId="1" xfId="4" applyFont="1" applyBorder="1" applyAlignment="1">
      <alignment horizontal="center"/>
    </xf>
    <xf numFmtId="0" fontId="57" fillId="0" borderId="1" xfId="4" applyFont="1" applyBorder="1" applyAlignment="1">
      <alignment horizontal="right"/>
    </xf>
    <xf numFmtId="0" fontId="56" fillId="0" borderId="1" xfId="4" applyFont="1" applyBorder="1" applyAlignment="1">
      <alignment horizontal="center"/>
    </xf>
    <xf numFmtId="0" fontId="32" fillId="0" borderId="17" xfId="4" applyFont="1" applyBorder="1" applyAlignment="1">
      <alignment horizontal="center"/>
    </xf>
    <xf numFmtId="0" fontId="57" fillId="0" borderId="1" xfId="4" applyFont="1" applyBorder="1" applyAlignment="1">
      <alignment horizontal="center"/>
    </xf>
    <xf numFmtId="0" fontId="56" fillId="0" borderId="17" xfId="4" applyFont="1" applyBorder="1" applyAlignment="1">
      <alignment horizontal="right"/>
    </xf>
    <xf numFmtId="0" fontId="56" fillId="0" borderId="131" xfId="4" applyFont="1" applyBorder="1" applyAlignment="1">
      <alignment horizontal="right"/>
    </xf>
    <xf numFmtId="0" fontId="56" fillId="0" borderId="131" xfId="4" applyFont="1" applyBorder="1" applyAlignment="1">
      <alignment horizontal="center"/>
    </xf>
    <xf numFmtId="0" fontId="56" fillId="0" borderId="132" xfId="4" quotePrefix="1" applyFont="1" applyBorder="1" applyAlignment="1">
      <alignment horizontal="center"/>
    </xf>
    <xf numFmtId="0" fontId="56" fillId="0" borderId="132" xfId="4" applyFont="1" applyBorder="1" applyAlignment="1">
      <alignment horizontal="center"/>
    </xf>
    <xf numFmtId="0" fontId="57" fillId="0" borderId="0" xfId="4" applyFont="1" applyAlignment="1">
      <alignment horizontal="right"/>
    </xf>
    <xf numFmtId="0" fontId="32" fillId="0" borderId="0" xfId="4" applyFont="1" applyAlignment="1">
      <alignment horizontal="center"/>
    </xf>
    <xf numFmtId="0" fontId="57" fillId="0" borderId="0" xfId="4" applyFont="1" applyAlignment="1">
      <alignment horizontal="right"/>
    </xf>
    <xf numFmtId="0" fontId="56" fillId="0" borderId="62" xfId="4" applyFont="1" applyBorder="1" applyAlignment="1">
      <alignment horizontal="center"/>
    </xf>
    <xf numFmtId="0" fontId="59" fillId="0" borderId="61" xfId="4" applyFont="1" applyBorder="1"/>
    <xf numFmtId="0" fontId="59" fillId="0" borderId="62" xfId="4" applyFont="1" applyBorder="1"/>
    <xf numFmtId="0" fontId="59" fillId="0" borderId="38" xfId="4" applyFont="1" applyBorder="1"/>
    <xf numFmtId="0" fontId="60" fillId="0" borderId="83" xfId="4" applyFont="1" applyBorder="1" applyAlignment="1">
      <alignment horizontal="centerContinuous"/>
    </xf>
    <xf numFmtId="0" fontId="59" fillId="0" borderId="0" xfId="4" applyFont="1" applyAlignment="1">
      <alignment horizontal="centerContinuous"/>
    </xf>
    <xf numFmtId="0" fontId="59" fillId="0" borderId="108" xfId="4" applyFont="1" applyBorder="1" applyAlignment="1">
      <alignment horizontal="centerContinuous"/>
    </xf>
    <xf numFmtId="0" fontId="61" fillId="0" borderId="83" xfId="4" applyFont="1" applyBorder="1" applyAlignment="1">
      <alignment horizontal="center"/>
    </xf>
    <xf numFmtId="0" fontId="61" fillId="0" borderId="0" xfId="4" applyFont="1" applyAlignment="1">
      <alignment horizontal="center"/>
    </xf>
    <xf numFmtId="0" fontId="61" fillId="0" borderId="108" xfId="4" applyFont="1" applyBorder="1" applyAlignment="1">
      <alignment horizontal="center"/>
    </xf>
    <xf numFmtId="0" fontId="62" fillId="0" borderId="83" xfId="4" applyFont="1" applyBorder="1" applyAlignment="1">
      <alignment horizontal="center"/>
    </xf>
    <xf numFmtId="0" fontId="62" fillId="0" borderId="0" xfId="4" applyFont="1" applyAlignment="1">
      <alignment horizontal="center"/>
    </xf>
    <xf numFmtId="0" fontId="62" fillId="0" borderId="108" xfId="4" applyFont="1" applyBorder="1" applyAlignment="1">
      <alignment horizontal="center"/>
    </xf>
    <xf numFmtId="0" fontId="59" fillId="0" borderId="83" xfId="4" applyFont="1" applyBorder="1"/>
    <xf numFmtId="0" fontId="59" fillId="0" borderId="0" xfId="4" applyFont="1"/>
    <xf numFmtId="0" fontId="59" fillId="0" borderId="108" xfId="4" applyFont="1" applyBorder="1"/>
    <xf numFmtId="0" fontId="63" fillId="0" borderId="1" xfId="4" applyFont="1" applyBorder="1" applyAlignment="1">
      <alignment horizontal="right"/>
    </xf>
    <xf numFmtId="0" fontId="59" fillId="0" borderId="17" xfId="4" applyFont="1" applyBorder="1" applyAlignment="1">
      <alignment horizontal="center"/>
    </xf>
    <xf numFmtId="0" fontId="59" fillId="0" borderId="131" xfId="4" applyFont="1" applyBorder="1" applyAlignment="1">
      <alignment horizontal="center"/>
    </xf>
    <xf numFmtId="0" fontId="59" fillId="0" borderId="132" xfId="4" applyFont="1" applyBorder="1" applyAlignment="1">
      <alignment horizontal="center"/>
    </xf>
    <xf numFmtId="0" fontId="59" fillId="0" borderId="1" xfId="4" applyFont="1" applyBorder="1" applyAlignment="1">
      <alignment horizontal="center"/>
    </xf>
    <xf numFmtId="14" fontId="59" fillId="0" borderId="1" xfId="4" applyNumberFormat="1" applyFont="1" applyBorder="1" applyAlignment="1">
      <alignment horizontal="center"/>
    </xf>
    <xf numFmtId="0" fontId="63" fillId="0" borderId="0" xfId="4" applyFont="1" applyAlignment="1">
      <alignment horizontal="right"/>
    </xf>
    <xf numFmtId="0" fontId="59" fillId="0" borderId="0" xfId="4" applyFont="1" applyAlignment="1">
      <alignment horizontal="center"/>
    </xf>
    <xf numFmtId="9" fontId="59" fillId="0" borderId="0" xfId="4" applyNumberFormat="1" applyFont="1" applyAlignment="1">
      <alignment horizontal="center"/>
    </xf>
    <xf numFmtId="0" fontId="63" fillId="0" borderId="83" xfId="4" applyFont="1" applyBorder="1" applyAlignment="1">
      <alignment horizontal="right"/>
    </xf>
    <xf numFmtId="0" fontId="59" fillId="0" borderId="40" xfId="4" applyFont="1" applyBorder="1"/>
    <xf numFmtId="0" fontId="59" fillId="0" borderId="39" xfId="4" applyFont="1" applyBorder="1" applyAlignment="1">
      <alignment horizontal="center"/>
    </xf>
    <xf numFmtId="0" fontId="59" fillId="0" borderId="85" xfId="4" applyFont="1" applyBorder="1"/>
    <xf numFmtId="0" fontId="63" fillId="0" borderId="17" xfId="4" applyFont="1" applyBorder="1" applyAlignment="1">
      <alignment horizontal="right"/>
    </xf>
    <xf numFmtId="0" fontId="59" fillId="0" borderId="132" xfId="4" applyFont="1" applyBorder="1"/>
    <xf numFmtId="0" fontId="64" fillId="0" borderId="0" xfId="4" applyFont="1"/>
    <xf numFmtId="0" fontId="65" fillId="0" borderId="0" xfId="4" applyFont="1"/>
    <xf numFmtId="0" fontId="2" fillId="0" borderId="1" xfId="4" applyFont="1" applyBorder="1" applyAlignment="1">
      <alignment horizontal="center"/>
    </xf>
    <xf numFmtId="1" fontId="2" fillId="5" borderId="1" xfId="4" applyNumberFormat="1" applyFont="1" applyFill="1" applyBorder="1" applyAlignment="1">
      <alignment horizontal="center"/>
    </xf>
    <xf numFmtId="2" fontId="2" fillId="5" borderId="1" xfId="4" applyNumberFormat="1" applyFont="1" applyFill="1" applyBorder="1" applyAlignment="1">
      <alignment horizontal="center"/>
    </xf>
    <xf numFmtId="0" fontId="2" fillId="5" borderId="1" xfId="4" applyFont="1" applyFill="1" applyBorder="1" applyAlignment="1">
      <alignment horizontal="center"/>
    </xf>
    <xf numFmtId="0" fontId="61" fillId="0" borderId="83" xfId="4" applyFont="1" applyBorder="1" applyAlignment="1">
      <alignment horizontal="centerContinuous"/>
    </xf>
    <xf numFmtId="184" fontId="3" fillId="0" borderId="0" xfId="4" quotePrefix="1" applyNumberFormat="1" applyFont="1" applyAlignment="1">
      <alignment horizontal="center"/>
    </xf>
    <xf numFmtId="184" fontId="2" fillId="0" borderId="0" xfId="4" applyNumberFormat="1" applyFont="1" applyAlignment="1">
      <alignment horizontal="center"/>
    </xf>
    <xf numFmtId="184" fontId="3" fillId="0" borderId="0" xfId="4" applyNumberFormat="1" applyFont="1" applyAlignment="1">
      <alignment horizontal="center"/>
    </xf>
    <xf numFmtId="184" fontId="3" fillId="0" borderId="0" xfId="0" quotePrefix="1" applyNumberFormat="1" applyFont="1" applyBorder="1" applyAlignment="1">
      <alignment horizontal="center"/>
    </xf>
    <xf numFmtId="184" fontId="3" fillId="0" borderId="0" xfId="0" applyNumberFormat="1" applyFont="1" applyBorder="1" applyAlignment="1">
      <alignment horizontal="center"/>
    </xf>
    <xf numFmtId="0" fontId="66" fillId="0" borderId="0" xfId="4" applyFont="1"/>
    <xf numFmtId="0" fontId="2" fillId="0" borderId="44" xfId="4" applyFont="1" applyBorder="1" applyAlignment="1">
      <alignment horizontal="center"/>
    </xf>
    <xf numFmtId="0" fontId="2" fillId="0" borderId="54" xfId="4" applyFont="1" applyBorder="1" applyAlignment="1">
      <alignment horizontal="center"/>
    </xf>
    <xf numFmtId="184" fontId="3" fillId="0" borderId="135" xfId="4" quotePrefix="1" applyNumberFormat="1" applyFont="1" applyBorder="1" applyAlignment="1">
      <alignment horizontal="center"/>
    </xf>
    <xf numFmtId="184" fontId="2" fillId="0" borderId="39" xfId="4" applyNumberFormat="1" applyFont="1" applyBorder="1" applyAlignment="1">
      <alignment horizontal="center"/>
    </xf>
    <xf numFmtId="184" fontId="2" fillId="0" borderId="28" xfId="4" applyNumberFormat="1" applyFont="1" applyBorder="1" applyAlignment="1">
      <alignment horizontal="center"/>
    </xf>
    <xf numFmtId="184" fontId="2" fillId="0" borderId="136" xfId="4" applyNumberFormat="1" applyFont="1" applyBorder="1" applyAlignment="1">
      <alignment horizontal="center"/>
    </xf>
    <xf numFmtId="184" fontId="3" fillId="0" borderId="137" xfId="4" quotePrefix="1" applyNumberFormat="1" applyFont="1" applyBorder="1" applyAlignment="1">
      <alignment horizontal="center"/>
    </xf>
    <xf numFmtId="184" fontId="2" fillId="0" borderId="132" xfId="4" applyNumberFormat="1" applyFont="1" applyBorder="1" applyAlignment="1">
      <alignment horizontal="center"/>
    </xf>
    <xf numFmtId="184" fontId="2" fillId="0" borderId="1" xfId="4" applyNumberFormat="1" applyFont="1" applyBorder="1" applyAlignment="1">
      <alignment horizontal="center"/>
    </xf>
    <xf numFmtId="184" fontId="2" fillId="0" borderId="9" xfId="4" applyNumberFormat="1" applyFont="1" applyBorder="1" applyAlignment="1">
      <alignment horizontal="center"/>
    </xf>
    <xf numFmtId="184" fontId="3" fillId="0" borderId="25" xfId="4" quotePrefix="1" applyNumberFormat="1" applyFont="1" applyBorder="1" applyAlignment="1">
      <alignment horizontal="center"/>
    </xf>
    <xf numFmtId="184" fontId="2" fillId="0" borderId="133" xfId="4" applyNumberFormat="1" applyFont="1" applyBorder="1" applyAlignment="1">
      <alignment horizontal="center"/>
    </xf>
    <xf numFmtId="184" fontId="2" fillId="0" borderId="11" xfId="4" applyNumberFormat="1" applyFont="1" applyBorder="1" applyAlignment="1">
      <alignment horizontal="center"/>
    </xf>
    <xf numFmtId="184" fontId="2" fillId="0" borderId="33" xfId="4" applyNumberFormat="1" applyFont="1" applyBorder="1" applyAlignment="1">
      <alignment horizontal="center"/>
    </xf>
    <xf numFmtId="192" fontId="68" fillId="0" borderId="6" xfId="5" applyFont="1" applyBorder="1" applyAlignment="1">
      <alignment horizontal="centerContinuous"/>
    </xf>
    <xf numFmtId="192" fontId="68" fillId="0" borderId="7" xfId="5" applyFont="1" applyBorder="1" applyAlignment="1">
      <alignment horizontal="centerContinuous"/>
    </xf>
    <xf numFmtId="192" fontId="69" fillId="0" borderId="12" xfId="5" applyFont="1" applyBorder="1" applyAlignment="1">
      <alignment horizontal="left"/>
    </xf>
    <xf numFmtId="192" fontId="70" fillId="0" borderId="55" xfId="5" applyFont="1" applyBorder="1"/>
    <xf numFmtId="192" fontId="69" fillId="0" borderId="13" xfId="5" applyFont="1" applyBorder="1" applyAlignment="1">
      <alignment horizontal="centerContinuous"/>
    </xf>
    <xf numFmtId="192" fontId="70" fillId="0" borderId="14" xfId="5" applyFont="1" applyBorder="1" applyAlignment="1">
      <alignment horizontal="centerContinuous"/>
    </xf>
    <xf numFmtId="192" fontId="71" fillId="0" borderId="0" xfId="5" applyFont="1"/>
    <xf numFmtId="192" fontId="67" fillId="0" borderId="0" xfId="5"/>
    <xf numFmtId="192" fontId="68" fillId="0" borderId="45" xfId="5" applyFont="1" applyBorder="1" applyAlignment="1">
      <alignment horizontal="centerContinuous"/>
    </xf>
    <xf numFmtId="192" fontId="68" fillId="0" borderId="0" xfId="5" applyFont="1" applyAlignment="1">
      <alignment horizontal="centerContinuous"/>
    </xf>
    <xf numFmtId="192" fontId="69" fillId="0" borderId="109" xfId="5" applyFont="1" applyBorder="1" applyAlignment="1">
      <alignment horizontal="left"/>
    </xf>
    <xf numFmtId="192" fontId="70" fillId="0" borderId="39" xfId="5" applyFont="1" applyBorder="1"/>
    <xf numFmtId="192" fontId="69" fillId="0" borderId="40" xfId="5" applyFont="1" applyBorder="1" applyAlignment="1">
      <alignment horizontal="centerContinuous"/>
    </xf>
    <xf numFmtId="192" fontId="70" fillId="0" borderId="29" xfId="5" applyFont="1" applyBorder="1" applyAlignment="1">
      <alignment horizontal="centerContinuous"/>
    </xf>
    <xf numFmtId="192" fontId="70" fillId="0" borderId="45" xfId="5" applyFont="1" applyBorder="1" applyAlignment="1">
      <alignment horizontal="centerContinuous"/>
    </xf>
    <xf numFmtId="192" fontId="70" fillId="0" borderId="0" xfId="5" applyFont="1" applyAlignment="1">
      <alignment horizontal="centerContinuous"/>
    </xf>
    <xf numFmtId="192" fontId="69" fillId="0" borderId="40" xfId="5" quotePrefix="1" applyFont="1" applyBorder="1" applyAlignment="1">
      <alignment horizontal="centerContinuous"/>
    </xf>
    <xf numFmtId="192" fontId="72" fillId="0" borderId="45" xfId="5" applyFont="1" applyBorder="1" applyAlignment="1">
      <alignment horizontal="centerContinuous"/>
    </xf>
    <xf numFmtId="192" fontId="71" fillId="0" borderId="45" xfId="5" applyFont="1" applyBorder="1" applyAlignment="1">
      <alignment horizontal="centerContinuous"/>
    </xf>
    <xf numFmtId="192" fontId="71" fillId="0" borderId="46" xfId="5" applyFont="1" applyBorder="1" applyAlignment="1">
      <alignment horizontal="centerContinuous"/>
    </xf>
    <xf numFmtId="192" fontId="70" fillId="0" borderId="23" xfId="5" applyFont="1" applyBorder="1" applyAlignment="1">
      <alignment horizontal="centerContinuous"/>
    </xf>
    <xf numFmtId="192" fontId="69" fillId="0" borderId="46" xfId="5" applyFont="1" applyBorder="1" applyAlignment="1">
      <alignment horizontal="left"/>
    </xf>
    <xf numFmtId="192" fontId="70" fillId="0" borderId="48" xfId="5" applyFont="1" applyBorder="1"/>
    <xf numFmtId="192" fontId="73" fillId="0" borderId="23" xfId="5" applyFont="1" applyBorder="1" applyAlignment="1">
      <alignment horizontal="centerContinuous"/>
    </xf>
    <xf numFmtId="192" fontId="70" fillId="0" borderId="24" xfId="5" applyFont="1" applyBorder="1" applyAlignment="1">
      <alignment horizontal="centerContinuous"/>
    </xf>
    <xf numFmtId="192" fontId="71" fillId="0" borderId="0" xfId="5" applyFont="1" applyAlignment="1">
      <alignment horizontal="centerContinuous"/>
    </xf>
    <xf numFmtId="192" fontId="69" fillId="0" borderId="0" xfId="5" applyFont="1" applyAlignment="1">
      <alignment horizontal="left"/>
    </xf>
    <xf numFmtId="192" fontId="70" fillId="0" borderId="0" xfId="5" applyFont="1"/>
    <xf numFmtId="192" fontId="69" fillId="0" borderId="0" xfId="5" applyFont="1" applyAlignment="1">
      <alignment horizontal="centerContinuous"/>
    </xf>
    <xf numFmtId="192" fontId="74" fillId="0" borderId="0" xfId="5" applyFont="1"/>
    <xf numFmtId="192" fontId="74" fillId="0" borderId="0" xfId="5" applyFont="1" applyAlignment="1">
      <alignment horizontal="right"/>
    </xf>
    <xf numFmtId="192" fontId="74" fillId="0" borderId="0" xfId="5" applyFont="1" applyAlignment="1" applyProtection="1">
      <alignment horizontal="left"/>
      <protection locked="0"/>
    </xf>
    <xf numFmtId="192" fontId="74" fillId="0" borderId="0" xfId="5" applyFont="1" applyAlignment="1">
      <alignment horizontal="centerContinuous"/>
    </xf>
    <xf numFmtId="192" fontId="74" fillId="0" borderId="0" xfId="5" applyFont="1" applyAlignment="1">
      <alignment horizontal="left"/>
    </xf>
    <xf numFmtId="49" fontId="74" fillId="0" borderId="0" xfId="5" quotePrefix="1" applyNumberFormat="1" applyFont="1" applyAlignment="1" applyProtection="1">
      <alignment horizontal="left"/>
      <protection locked="0"/>
    </xf>
    <xf numFmtId="192" fontId="75" fillId="0" borderId="138" xfId="5" applyFont="1" applyBorder="1" applyAlignment="1">
      <alignment horizontal="centerContinuous"/>
    </xf>
    <xf numFmtId="192" fontId="71" fillId="0" borderId="139" xfId="5" applyFont="1" applyBorder="1" applyAlignment="1">
      <alignment horizontal="centerContinuous"/>
    </xf>
    <xf numFmtId="192" fontId="71" fillId="0" borderId="140" xfId="5" applyFont="1" applyBorder="1" applyAlignment="1">
      <alignment horizontal="centerContinuous"/>
    </xf>
    <xf numFmtId="192" fontId="74" fillId="0" borderId="45" xfId="5" applyFont="1" applyBorder="1"/>
    <xf numFmtId="192" fontId="74" fillId="0" borderId="0" xfId="5" applyFont="1" applyAlignment="1" applyProtection="1">
      <alignment horizontal="center"/>
      <protection locked="0"/>
    </xf>
    <xf numFmtId="192" fontId="74" fillId="0" borderId="21" xfId="5" applyFont="1" applyBorder="1" applyAlignment="1" applyProtection="1">
      <alignment horizontal="center"/>
      <protection locked="0"/>
    </xf>
    <xf numFmtId="192" fontId="74" fillId="0" borderId="0" xfId="5" applyFont="1" applyAlignment="1">
      <alignment horizontal="center"/>
    </xf>
    <xf numFmtId="49" fontId="74" fillId="0" borderId="0" xfId="5" applyNumberFormat="1" applyFont="1" applyAlignment="1">
      <alignment horizontal="center"/>
    </xf>
    <xf numFmtId="193" fontId="74" fillId="0" borderId="0" xfId="5" applyNumberFormat="1" applyFont="1" applyAlignment="1" applyProtection="1">
      <alignment horizontal="center"/>
      <protection locked="0"/>
    </xf>
    <xf numFmtId="192" fontId="74" fillId="0" borderId="0" xfId="5" quotePrefix="1" applyFont="1" applyAlignment="1">
      <alignment horizontal="right"/>
    </xf>
    <xf numFmtId="192" fontId="74" fillId="0" borderId="0" xfId="5" quotePrefix="1" applyFont="1" applyAlignment="1" applyProtection="1">
      <alignment horizontal="center"/>
      <protection locked="0"/>
    </xf>
    <xf numFmtId="192" fontId="74" fillId="0" borderId="21" xfId="5" applyFont="1" applyBorder="1"/>
    <xf numFmtId="192" fontId="74" fillId="0" borderId="46" xfId="5" applyFont="1" applyBorder="1"/>
    <xf numFmtId="192" fontId="74" fillId="0" borderId="23" xfId="5" applyFont="1" applyBorder="1" applyAlignment="1">
      <alignment horizontal="right"/>
    </xf>
    <xf numFmtId="184" fontId="74" fillId="0" borderId="23" xfId="5" quotePrefix="1" applyNumberFormat="1" applyFont="1" applyBorder="1" applyAlignment="1" applyProtection="1">
      <alignment horizontal="center"/>
      <protection locked="0"/>
    </xf>
    <xf numFmtId="192" fontId="74" fillId="0" borderId="23" xfId="5" applyFont="1" applyBorder="1"/>
    <xf numFmtId="184" fontId="74" fillId="0" borderId="23" xfId="5" applyNumberFormat="1" applyFont="1" applyBorder="1"/>
    <xf numFmtId="192" fontId="74" fillId="0" borderId="24" xfId="5" applyFont="1" applyBorder="1"/>
    <xf numFmtId="192" fontId="76" fillId="0" borderId="45" xfId="5" quotePrefix="1" applyFont="1" applyBorder="1" applyAlignment="1">
      <alignment horizontal="left"/>
    </xf>
    <xf numFmtId="192" fontId="70" fillId="0" borderId="0" xfId="5" quotePrefix="1" applyFont="1" applyAlignment="1">
      <alignment horizontal="right"/>
    </xf>
    <xf numFmtId="192" fontId="70" fillId="0" borderId="108" xfId="5" applyFont="1" applyBorder="1"/>
    <xf numFmtId="192" fontId="76" fillId="0" borderId="0" xfId="5" applyFont="1" applyAlignment="1">
      <alignment horizontal="left"/>
    </xf>
    <xf numFmtId="192" fontId="70" fillId="0" borderId="0" xfId="5" applyFont="1" applyAlignment="1">
      <alignment horizontal="right"/>
    </xf>
    <xf numFmtId="192" fontId="70" fillId="0" borderId="108" xfId="5" applyFont="1" applyBorder="1" applyAlignment="1">
      <alignment horizontal="right"/>
    </xf>
    <xf numFmtId="192" fontId="76" fillId="0" borderId="0" xfId="5" quotePrefix="1" applyFont="1" applyAlignment="1">
      <alignment horizontal="left"/>
    </xf>
    <xf numFmtId="192" fontId="70" fillId="0" borderId="21" xfId="5" applyFont="1" applyBorder="1"/>
    <xf numFmtId="192" fontId="67" fillId="0" borderId="45" xfId="5" applyBorder="1"/>
    <xf numFmtId="192" fontId="74" fillId="0" borderId="108" xfId="5" applyFont="1" applyBorder="1" applyAlignment="1" applyProtection="1">
      <alignment horizontal="center"/>
      <protection locked="0"/>
    </xf>
    <xf numFmtId="1" fontId="74" fillId="0" borderId="108" xfId="5" applyNumberFormat="1" applyFont="1" applyBorder="1" applyAlignment="1">
      <alignment horizontal="center"/>
    </xf>
    <xf numFmtId="192" fontId="74" fillId="0" borderId="108" xfId="5" applyFont="1" applyBorder="1"/>
    <xf numFmtId="192" fontId="74" fillId="0" borderId="48" xfId="5" applyFont="1" applyBorder="1"/>
    <xf numFmtId="192" fontId="74" fillId="0" borderId="48" xfId="5" applyFont="1" applyBorder="1" applyAlignment="1">
      <alignment horizontal="left"/>
    </xf>
    <xf numFmtId="192" fontId="75" fillId="0" borderId="141" xfId="5" applyFont="1" applyBorder="1" applyAlignment="1">
      <alignment horizontal="centerContinuous"/>
    </xf>
    <xf numFmtId="192" fontId="71" fillId="0" borderId="142" xfId="5" applyFont="1" applyBorder="1" applyAlignment="1">
      <alignment horizontal="centerContinuous"/>
    </xf>
    <xf numFmtId="192" fontId="67" fillId="0" borderId="143" xfId="5" applyBorder="1"/>
    <xf numFmtId="192" fontId="71" fillId="0" borderId="144" xfId="5" applyFont="1" applyBorder="1" applyAlignment="1">
      <alignment horizontal="centerContinuous"/>
    </xf>
    <xf numFmtId="192" fontId="76" fillId="0" borderId="45" xfId="5" applyFont="1" applyBorder="1" applyAlignment="1">
      <alignment horizontal="left"/>
    </xf>
    <xf numFmtId="192" fontId="67" fillId="0" borderId="108" xfId="5" applyBorder="1"/>
    <xf numFmtId="184" fontId="74" fillId="0" borderId="0" xfId="5" applyNumberFormat="1" applyFont="1" applyAlignment="1" applyProtection="1">
      <alignment horizontal="center"/>
      <protection locked="0"/>
    </xf>
    <xf numFmtId="192" fontId="74" fillId="0" borderId="45" xfId="5" applyFont="1" applyBorder="1" applyAlignment="1">
      <alignment horizontal="left"/>
    </xf>
    <xf numFmtId="192" fontId="67" fillId="0" borderId="48" xfId="5" applyBorder="1"/>
    <xf numFmtId="192" fontId="71" fillId="0" borderId="0" xfId="5" applyFont="1" applyAlignment="1">
      <alignment horizontal="left"/>
    </xf>
    <xf numFmtId="192" fontId="71" fillId="0" borderId="141" xfId="5" applyFont="1" applyBorder="1"/>
    <xf numFmtId="192" fontId="70" fillId="0" borderId="142" xfId="5" applyFont="1" applyBorder="1" applyAlignment="1">
      <alignment horizontal="left"/>
    </xf>
    <xf numFmtId="192" fontId="70" fillId="0" borderId="144" xfId="5" applyFont="1" applyBorder="1" applyAlignment="1">
      <alignment horizontal="left"/>
    </xf>
    <xf numFmtId="192" fontId="74" fillId="0" borderId="45" xfId="5" quotePrefix="1" applyFont="1" applyBorder="1" applyAlignment="1">
      <alignment horizontal="left"/>
    </xf>
    <xf numFmtId="192" fontId="74" fillId="0" borderId="21" xfId="5" applyFont="1" applyBorder="1" applyAlignment="1">
      <alignment horizontal="left"/>
    </xf>
    <xf numFmtId="192" fontId="77" fillId="0" borderId="145" xfId="5" applyFont="1" applyBorder="1"/>
    <xf numFmtId="192" fontId="74" fillId="0" borderId="0" xfId="5" quotePrefix="1" applyFont="1" applyAlignment="1">
      <alignment horizontal="left"/>
    </xf>
    <xf numFmtId="192" fontId="74" fillId="0" borderId="146" xfId="5" quotePrefix="1" applyFont="1" applyBorder="1" applyAlignment="1">
      <alignment horizontal="left"/>
    </xf>
    <xf numFmtId="192" fontId="74" fillId="0" borderId="147" xfId="5" quotePrefix="1" applyFont="1" applyBorder="1" applyAlignment="1">
      <alignment horizontal="left"/>
    </xf>
    <xf numFmtId="192" fontId="74" fillId="0" borderId="46" xfId="5" applyFont="1" applyBorder="1" applyAlignment="1">
      <alignment horizontal="left"/>
    </xf>
    <xf numFmtId="192" fontId="74" fillId="0" borderId="23" xfId="5" applyFont="1" applyBorder="1" applyAlignment="1">
      <alignment horizontal="left"/>
    </xf>
    <xf numFmtId="192" fontId="74" fillId="0" borderId="24" xfId="5" applyFont="1" applyBorder="1" applyAlignment="1">
      <alignment horizontal="left"/>
    </xf>
    <xf numFmtId="192" fontId="70" fillId="0" borderId="0" xfId="5" applyFont="1" applyAlignment="1">
      <alignment horizontal="left"/>
    </xf>
    <xf numFmtId="192" fontId="78" fillId="0" borderId="0" xfId="5" applyFont="1" applyAlignment="1">
      <alignment horizontal="right"/>
    </xf>
    <xf numFmtId="192" fontId="79" fillId="0" borderId="148" xfId="5" applyFont="1" applyBorder="1" applyAlignment="1" applyProtection="1">
      <alignment horizontal="center"/>
      <protection locked="0"/>
    </xf>
    <xf numFmtId="14" fontId="24" fillId="0" borderId="148" xfId="5" quotePrefix="1" applyNumberFormat="1" applyFont="1" applyBorder="1" applyAlignment="1" applyProtection="1">
      <alignment horizontal="center"/>
      <protection locked="0"/>
    </xf>
    <xf numFmtId="192" fontId="67" fillId="0" borderId="0" xfId="5" applyAlignment="1">
      <alignment horizontal="right"/>
    </xf>
    <xf numFmtId="192" fontId="68" fillId="0" borderId="6" xfId="6" applyNumberFormat="1" applyFont="1" applyBorder="1" applyAlignment="1">
      <alignment horizontal="centerContinuous"/>
    </xf>
    <xf numFmtId="192" fontId="68" fillId="0" borderId="7" xfId="6" applyNumberFormat="1" applyFont="1" applyBorder="1" applyAlignment="1">
      <alignment horizontal="centerContinuous"/>
    </xf>
    <xf numFmtId="192" fontId="69" fillId="0" borderId="12" xfId="6" applyNumberFormat="1" applyFont="1" applyBorder="1" applyAlignment="1">
      <alignment horizontal="left"/>
    </xf>
    <xf numFmtId="192" fontId="70" fillId="0" borderId="55" xfId="6" applyNumberFormat="1" applyFont="1" applyBorder="1"/>
    <xf numFmtId="192" fontId="69" fillId="0" borderId="13" xfId="6" applyNumberFormat="1" applyFont="1" applyBorder="1" applyAlignment="1">
      <alignment horizontal="centerContinuous"/>
    </xf>
    <xf numFmtId="192" fontId="70" fillId="0" borderId="14" xfId="6" applyNumberFormat="1" applyFont="1" applyBorder="1" applyAlignment="1">
      <alignment horizontal="centerContinuous"/>
    </xf>
    <xf numFmtId="192" fontId="80" fillId="0" borderId="0" xfId="6" applyNumberFormat="1"/>
    <xf numFmtId="192" fontId="68" fillId="0" borderId="45" xfId="6" applyNumberFormat="1" applyFont="1" applyBorder="1" applyAlignment="1">
      <alignment horizontal="centerContinuous"/>
    </xf>
    <xf numFmtId="192" fontId="68" fillId="0" borderId="0" xfId="6" applyNumberFormat="1" applyFont="1" applyAlignment="1">
      <alignment horizontal="centerContinuous"/>
    </xf>
    <xf numFmtId="192" fontId="69" fillId="0" borderId="109" xfId="6" applyNumberFormat="1" applyFont="1" applyBorder="1" applyAlignment="1">
      <alignment horizontal="left"/>
    </xf>
    <xf numFmtId="192" fontId="70" fillId="0" borderId="39" xfId="6" applyNumberFormat="1" applyFont="1" applyBorder="1"/>
    <xf numFmtId="192" fontId="69" fillId="0" borderId="40" xfId="6" applyNumberFormat="1" applyFont="1" applyBorder="1" applyAlignment="1">
      <alignment horizontal="centerContinuous"/>
    </xf>
    <xf numFmtId="192" fontId="70" fillId="0" borderId="29" xfId="6" applyNumberFormat="1" applyFont="1" applyBorder="1" applyAlignment="1">
      <alignment horizontal="centerContinuous"/>
    </xf>
    <xf numFmtId="192" fontId="70" fillId="0" borderId="45" xfId="6" applyNumberFormat="1" applyFont="1" applyBorder="1" applyAlignment="1">
      <alignment horizontal="centerContinuous"/>
    </xf>
    <xf numFmtId="192" fontId="70" fillId="0" borderId="0" xfId="6" applyNumberFormat="1" applyFont="1" applyAlignment="1">
      <alignment horizontal="centerContinuous"/>
    </xf>
    <xf numFmtId="194" fontId="69" fillId="0" borderId="17" xfId="6" quotePrefix="1" applyNumberFormat="1" applyFont="1" applyBorder="1" applyAlignment="1">
      <alignment horizontal="center"/>
    </xf>
    <xf numFmtId="194" fontId="69" fillId="0" borderId="16" xfId="6" quotePrefix="1" applyNumberFormat="1" applyFont="1" applyBorder="1" applyAlignment="1">
      <alignment horizontal="center"/>
    </xf>
    <xf numFmtId="192" fontId="24" fillId="0" borderId="45" xfId="6" applyNumberFormat="1" applyFont="1" applyBorder="1" applyAlignment="1">
      <alignment horizontal="center"/>
    </xf>
    <xf numFmtId="192" fontId="81" fillId="0" borderId="0" xfId="6" applyNumberFormat="1" applyFont="1" applyAlignment="1">
      <alignment horizontal="center"/>
    </xf>
    <xf numFmtId="192" fontId="81" fillId="0" borderId="21" xfId="6" applyNumberFormat="1" applyFont="1" applyBorder="1" applyAlignment="1">
      <alignment horizontal="center"/>
    </xf>
    <xf numFmtId="192" fontId="24" fillId="0" borderId="0" xfId="6" applyNumberFormat="1" applyFont="1" applyAlignment="1">
      <alignment horizontal="center"/>
    </xf>
    <xf numFmtId="192" fontId="24" fillId="0" borderId="21" xfId="6" applyNumberFormat="1" applyFont="1" applyBorder="1" applyAlignment="1">
      <alignment horizontal="center"/>
    </xf>
    <xf numFmtId="192" fontId="71" fillId="0" borderId="45" xfId="6" applyNumberFormat="1" applyFont="1" applyBorder="1" applyAlignment="1">
      <alignment horizontal="centerContinuous"/>
    </xf>
    <xf numFmtId="192" fontId="82" fillId="0" borderId="46" xfId="6" applyNumberFormat="1" applyFont="1" applyBorder="1" applyAlignment="1">
      <alignment horizontal="centerContinuous"/>
    </xf>
    <xf numFmtId="192" fontId="70" fillId="0" borderId="23" xfId="6" applyNumberFormat="1" applyFont="1" applyBorder="1" applyAlignment="1">
      <alignment horizontal="centerContinuous"/>
    </xf>
    <xf numFmtId="192" fontId="69" fillId="0" borderId="46" xfId="6" applyNumberFormat="1" applyFont="1" applyBorder="1" applyAlignment="1">
      <alignment horizontal="left"/>
    </xf>
    <xf numFmtId="192" fontId="70" fillId="0" borderId="48" xfId="6" applyNumberFormat="1" applyFont="1" applyBorder="1"/>
    <xf numFmtId="192" fontId="83" fillId="0" borderId="23" xfId="6" applyNumberFormat="1" applyFont="1" applyBorder="1" applyAlignment="1">
      <alignment horizontal="centerContinuous"/>
    </xf>
    <xf numFmtId="192" fontId="70" fillId="0" borderId="24" xfId="6" applyNumberFormat="1" applyFont="1" applyBorder="1" applyAlignment="1">
      <alignment horizontal="centerContinuous"/>
    </xf>
    <xf numFmtId="192" fontId="70" fillId="0" borderId="0" xfId="7" applyNumberFormat="1" applyFont="1" applyAlignment="1">
      <alignment horizontal="centerContinuous"/>
    </xf>
    <xf numFmtId="192" fontId="70" fillId="0" borderId="0" xfId="7" applyNumberFormat="1" applyFont="1"/>
    <xf numFmtId="192" fontId="70" fillId="0" borderId="0" xfId="6" applyNumberFormat="1" applyFont="1"/>
    <xf numFmtId="192" fontId="75" fillId="0" borderId="0" xfId="6" applyNumberFormat="1" applyFont="1" applyAlignment="1">
      <alignment horizontal="center"/>
    </xf>
    <xf numFmtId="192" fontId="84" fillId="0" borderId="12" xfId="6" applyNumberFormat="1" applyFont="1" applyBorder="1" applyAlignment="1">
      <alignment horizontal="right"/>
    </xf>
    <xf numFmtId="192" fontId="84" fillId="0" borderId="13" xfId="6" applyNumberFormat="1" applyFont="1" applyBorder="1" applyAlignment="1">
      <alignment horizontal="right"/>
    </xf>
    <xf numFmtId="196" fontId="24" fillId="0" borderId="13" xfId="6" applyNumberFormat="1" applyFont="1" applyBorder="1" applyAlignment="1">
      <alignment horizontal="center"/>
    </xf>
    <xf numFmtId="196" fontId="24" fillId="0" borderId="14" xfId="6" applyNumberFormat="1" applyFont="1" applyBorder="1" applyAlignment="1">
      <alignment horizontal="center"/>
    </xf>
    <xf numFmtId="192" fontId="74" fillId="0" borderId="0" xfId="6" applyNumberFormat="1" applyFont="1" applyAlignment="1">
      <alignment horizontal="center"/>
    </xf>
    <xf numFmtId="192" fontId="84" fillId="0" borderId="149" xfId="6" applyNumberFormat="1" applyFont="1" applyBorder="1" applyAlignment="1">
      <alignment horizontal="right"/>
    </xf>
    <xf numFmtId="192" fontId="84" fillId="0" borderId="131" xfId="6" applyNumberFormat="1" applyFont="1" applyBorder="1" applyAlignment="1">
      <alignment horizontal="right"/>
    </xf>
    <xf numFmtId="196" fontId="24" fillId="0" borderId="131" xfId="6" applyNumberFormat="1" applyFont="1" applyBorder="1" applyAlignment="1">
      <alignment horizontal="center"/>
    </xf>
    <xf numFmtId="196" fontId="24" fillId="0" borderId="16" xfId="6" applyNumberFormat="1" applyFont="1" applyBorder="1" applyAlignment="1">
      <alignment horizontal="center"/>
    </xf>
    <xf numFmtId="184" fontId="74" fillId="0" borderId="0" xfId="6" applyNumberFormat="1" applyFont="1" applyAlignment="1">
      <alignment horizontal="center"/>
    </xf>
    <xf numFmtId="184" fontId="74" fillId="0" borderId="0" xfId="6" quotePrefix="1" applyNumberFormat="1" applyFont="1" applyAlignment="1">
      <alignment horizontal="center"/>
    </xf>
    <xf numFmtId="1" fontId="74" fillId="0" borderId="0" xfId="6" applyNumberFormat="1" applyFont="1" applyAlignment="1">
      <alignment horizontal="center"/>
    </xf>
    <xf numFmtId="1" fontId="74" fillId="0" borderId="0" xfId="6" quotePrefix="1" applyNumberFormat="1" applyFont="1" applyAlignment="1">
      <alignment horizontal="center"/>
    </xf>
    <xf numFmtId="192" fontId="85" fillId="0" borderId="149" xfId="6" applyNumberFormat="1" applyFont="1" applyBorder="1" applyAlignment="1">
      <alignment horizontal="right"/>
    </xf>
    <xf numFmtId="192" fontId="84" fillId="0" borderId="131" xfId="6" applyNumberFormat="1" applyFont="1" applyBorder="1" applyAlignment="1">
      <alignment horizontal="right"/>
    </xf>
    <xf numFmtId="184" fontId="84" fillId="0" borderId="131" xfId="6" applyNumberFormat="1" applyFont="1" applyBorder="1" applyAlignment="1">
      <alignment horizontal="right"/>
    </xf>
    <xf numFmtId="184" fontId="24" fillId="0" borderId="131" xfId="6" applyNumberFormat="1" applyFont="1" applyBorder="1" applyAlignment="1">
      <alignment horizontal="left"/>
    </xf>
    <xf numFmtId="184" fontId="24" fillId="0" borderId="131" xfId="6" applyNumberFormat="1" applyFont="1" applyBorder="1" applyAlignment="1">
      <alignment horizontal="center"/>
    </xf>
    <xf numFmtId="192" fontId="74" fillId="0" borderId="16" xfId="6" applyNumberFormat="1" applyFont="1" applyBorder="1"/>
    <xf numFmtId="192" fontId="74" fillId="0" borderId="0" xfId="6" applyNumberFormat="1" applyFont="1"/>
    <xf numFmtId="192" fontId="74" fillId="0" borderId="0" xfId="6" applyNumberFormat="1" applyFont="1" applyAlignment="1">
      <alignment horizontal="centerContinuous"/>
    </xf>
    <xf numFmtId="184" fontId="84" fillId="0" borderId="149" xfId="6" applyNumberFormat="1" applyFont="1" applyBorder="1" applyAlignment="1">
      <alignment horizontal="right" vertical="center"/>
    </xf>
    <xf numFmtId="184" fontId="84" fillId="0" borderId="131" xfId="6" applyNumberFormat="1" applyFont="1" applyBorder="1" applyAlignment="1">
      <alignment horizontal="right" vertical="center"/>
    </xf>
    <xf numFmtId="192" fontId="86" fillId="0" borderId="0" xfId="6" applyNumberFormat="1" applyFont="1" applyAlignment="1">
      <alignment horizontal="center"/>
    </xf>
    <xf numFmtId="192" fontId="75" fillId="0" borderId="0" xfId="8" applyNumberFormat="1" applyFont="1" applyAlignment="1">
      <alignment horizontal="center"/>
    </xf>
    <xf numFmtId="39" fontId="84" fillId="0" borderId="149" xfId="6" applyNumberFormat="1" applyFont="1" applyBorder="1" applyAlignment="1">
      <alignment horizontal="right"/>
    </xf>
    <xf numFmtId="39" fontId="84" fillId="0" borderId="131" xfId="6" applyNumberFormat="1" applyFont="1" applyBorder="1" applyAlignment="1">
      <alignment horizontal="right"/>
    </xf>
    <xf numFmtId="39" fontId="74" fillId="0" borderId="0" xfId="6" applyNumberFormat="1" applyFont="1" applyAlignment="1">
      <alignment horizontal="center"/>
    </xf>
    <xf numFmtId="192" fontId="71" fillId="0" borderId="0" xfId="8" applyNumberFormat="1" applyFont="1" applyAlignment="1">
      <alignment horizontal="centerContinuous"/>
    </xf>
    <xf numFmtId="192" fontId="74" fillId="0" borderId="0" xfId="8" applyNumberFormat="1" applyFont="1" applyAlignment="1">
      <alignment horizontal="centerContinuous"/>
    </xf>
    <xf numFmtId="192" fontId="77" fillId="0" borderId="0" xfId="6" applyNumberFormat="1" applyFont="1" applyAlignment="1">
      <alignment horizontal="center"/>
    </xf>
    <xf numFmtId="1" fontId="84" fillId="0" borderId="131" xfId="6" applyNumberFormat="1" applyFont="1" applyBorder="1" applyAlignment="1">
      <alignment horizontal="right"/>
    </xf>
    <xf numFmtId="1" fontId="24" fillId="0" borderId="131" xfId="6" applyNumberFormat="1" applyFont="1" applyBorder="1" applyAlignment="1">
      <alignment horizontal="left"/>
    </xf>
    <xf numFmtId="1" fontId="24" fillId="0" borderId="131" xfId="6" applyNumberFormat="1" applyFont="1" applyBorder="1" applyAlignment="1">
      <alignment horizontal="center"/>
    </xf>
    <xf numFmtId="192" fontId="87" fillId="0" borderId="0" xfId="8" applyNumberFormat="1" applyFont="1" applyAlignment="1">
      <alignment horizontal="center"/>
    </xf>
    <xf numFmtId="183" fontId="74" fillId="0" borderId="0" xfId="8" quotePrefix="1" applyNumberFormat="1" applyFont="1" applyAlignment="1">
      <alignment horizontal="center"/>
    </xf>
    <xf numFmtId="183" fontId="74" fillId="0" borderId="0" xfId="8" applyNumberFormat="1" applyFont="1" applyAlignment="1">
      <alignment horizontal="center"/>
    </xf>
    <xf numFmtId="192" fontId="24" fillId="0" borderId="131" xfId="6" applyNumberFormat="1" applyFont="1" applyBorder="1" applyAlignment="1">
      <alignment horizontal="left"/>
    </xf>
    <xf numFmtId="39" fontId="24" fillId="0" borderId="131" xfId="6" applyNumberFormat="1" applyFont="1" applyBorder="1" applyAlignment="1">
      <alignment horizontal="center"/>
    </xf>
    <xf numFmtId="192" fontId="86" fillId="0" borderId="16" xfId="6" applyNumberFormat="1" applyFont="1" applyBorder="1" applyAlignment="1">
      <alignment horizontal="center"/>
    </xf>
    <xf numFmtId="192" fontId="24" fillId="0" borderId="131" xfId="6" applyNumberFormat="1" applyFont="1" applyBorder="1" applyAlignment="1">
      <alignment horizontal="center"/>
    </xf>
    <xf numFmtId="192" fontId="24" fillId="0" borderId="16" xfId="6" applyNumberFormat="1" applyFont="1" applyBorder="1" applyAlignment="1">
      <alignment horizontal="center"/>
    </xf>
    <xf numFmtId="192" fontId="84" fillId="0" borderId="150" xfId="6" applyNumberFormat="1" applyFont="1" applyBorder="1" applyAlignment="1">
      <alignment horizontal="right"/>
    </xf>
    <xf numFmtId="192" fontId="84" fillId="0" borderId="51" xfId="6" applyNumberFormat="1" applyFont="1" applyBorder="1" applyAlignment="1">
      <alignment horizontal="right"/>
    </xf>
    <xf numFmtId="192" fontId="24" fillId="0" borderId="51" xfId="6" applyNumberFormat="1" applyFont="1" applyBorder="1" applyAlignment="1">
      <alignment horizontal="center"/>
    </xf>
    <xf numFmtId="192" fontId="24" fillId="0" borderId="32" xfId="6" applyNumberFormat="1" applyFont="1" applyBorder="1" applyAlignment="1">
      <alignment horizontal="center"/>
    </xf>
    <xf numFmtId="192" fontId="75" fillId="0" borderId="0" xfId="8" applyNumberFormat="1" applyFont="1" applyAlignment="1">
      <alignment horizontal="centerContinuous"/>
    </xf>
    <xf numFmtId="192" fontId="74" fillId="0" borderId="0" xfId="8" quotePrefix="1" applyNumberFormat="1" applyFont="1" applyAlignment="1">
      <alignment horizontal="center"/>
    </xf>
    <xf numFmtId="197" fontId="74" fillId="0" borderId="0" xfId="8" quotePrefix="1" applyNumberFormat="1" applyFont="1" applyAlignment="1">
      <alignment horizontal="centerContinuous"/>
    </xf>
    <xf numFmtId="192" fontId="74" fillId="0" borderId="0" xfId="6" applyNumberFormat="1" applyFont="1" applyAlignment="1">
      <alignment horizontal="left"/>
    </xf>
    <xf numFmtId="192" fontId="24" fillId="0" borderId="0" xfId="8" applyNumberFormat="1" applyFont="1" applyAlignment="1">
      <alignment horizontal="center"/>
    </xf>
    <xf numFmtId="192" fontId="24" fillId="0" borderId="0" xfId="8" applyNumberFormat="1" applyFont="1" applyAlignment="1">
      <alignment horizontal="center" wrapText="1"/>
    </xf>
    <xf numFmtId="1" fontId="77" fillId="0" borderId="0" xfId="6" applyNumberFormat="1" applyFont="1" applyAlignment="1">
      <alignment horizontal="center"/>
    </xf>
    <xf numFmtId="192" fontId="77" fillId="0" borderId="0" xfId="6" applyNumberFormat="1" applyFont="1"/>
    <xf numFmtId="192" fontId="88" fillId="0" borderId="0" xfId="8" applyNumberFormat="1" applyFont="1" applyAlignment="1">
      <alignment horizontal="center"/>
    </xf>
    <xf numFmtId="192" fontId="71" fillId="0" borderId="0" xfId="8" applyNumberFormat="1" applyFont="1" applyAlignment="1">
      <alignment horizontal="center"/>
    </xf>
    <xf numFmtId="192" fontId="78" fillId="0" borderId="0" xfId="6" applyNumberFormat="1" applyFont="1" applyAlignment="1">
      <alignment horizontal="left"/>
    </xf>
    <xf numFmtId="1" fontId="80" fillId="0" borderId="0" xfId="6" applyNumberFormat="1" applyAlignment="1">
      <alignment horizontal="center"/>
    </xf>
    <xf numFmtId="1" fontId="71" fillId="0" borderId="0" xfId="6" applyNumberFormat="1" applyFont="1" applyAlignment="1">
      <alignment horizontal="center"/>
    </xf>
    <xf numFmtId="192" fontId="78" fillId="0" borderId="0" xfId="6" applyNumberFormat="1" applyFont="1" applyAlignment="1">
      <alignment horizontal="right"/>
    </xf>
    <xf numFmtId="192" fontId="71" fillId="0" borderId="148" xfId="6" applyNumberFormat="1" applyFont="1" applyBorder="1" applyAlignment="1">
      <alignment horizontal="centerContinuous"/>
    </xf>
    <xf numFmtId="14" fontId="71" fillId="0" borderId="148" xfId="6" quotePrefix="1" applyNumberFormat="1" applyFont="1" applyBorder="1" applyAlignment="1">
      <alignment horizontal="centerContinuous"/>
    </xf>
    <xf numFmtId="192" fontId="68" fillId="0" borderId="6" xfId="7" applyNumberFormat="1" applyFont="1" applyBorder="1" applyAlignment="1">
      <alignment horizontal="centerContinuous"/>
    </xf>
    <xf numFmtId="192" fontId="68" fillId="0" borderId="7" xfId="7" applyNumberFormat="1" applyFont="1" applyBorder="1" applyAlignment="1">
      <alignment horizontal="centerContinuous"/>
    </xf>
    <xf numFmtId="192" fontId="69" fillId="0" borderId="12" xfId="7" applyNumberFormat="1" applyFont="1" applyBorder="1" applyAlignment="1">
      <alignment horizontal="left"/>
    </xf>
    <xf numFmtId="192" fontId="70" fillId="0" borderId="55" xfId="7" applyNumberFormat="1" applyFont="1" applyBorder="1"/>
    <xf numFmtId="192" fontId="69" fillId="0" borderId="50" xfId="7" applyNumberFormat="1" applyFont="1" applyBorder="1" applyAlignment="1">
      <alignment horizontal="center"/>
    </xf>
    <xf numFmtId="192" fontId="69" fillId="0" borderId="14" xfId="7" applyNumberFormat="1" applyFont="1" applyBorder="1" applyAlignment="1">
      <alignment horizontal="center"/>
    </xf>
    <xf numFmtId="192" fontId="71" fillId="0" borderId="0" xfId="7" applyNumberFormat="1" applyFont="1"/>
    <xf numFmtId="192" fontId="67" fillId="0" borderId="0" xfId="7" applyNumberFormat="1"/>
    <xf numFmtId="192" fontId="68" fillId="0" borderId="45" xfId="7" applyNumberFormat="1" applyFont="1" applyBorder="1" applyAlignment="1">
      <alignment horizontal="centerContinuous"/>
    </xf>
    <xf numFmtId="192" fontId="68" fillId="0" borderId="0" xfId="7" applyNumberFormat="1" applyFont="1" applyAlignment="1">
      <alignment horizontal="centerContinuous"/>
    </xf>
    <xf numFmtId="192" fontId="69" fillId="0" borderId="109" xfId="7" applyNumberFormat="1" applyFont="1" applyBorder="1" applyAlignment="1">
      <alignment horizontal="left"/>
    </xf>
    <xf numFmtId="192" fontId="70" fillId="0" borderId="39" xfId="7" applyNumberFormat="1" applyFont="1" applyBorder="1"/>
    <xf numFmtId="192" fontId="69" fillId="0" borderId="40" xfId="7" applyNumberFormat="1" applyFont="1" applyBorder="1" applyAlignment="1">
      <alignment horizontal="centerContinuous"/>
    </xf>
    <xf numFmtId="192" fontId="70" fillId="0" borderId="29" xfId="7" applyNumberFormat="1" applyFont="1" applyBorder="1" applyAlignment="1">
      <alignment horizontal="centerContinuous"/>
    </xf>
    <xf numFmtId="192" fontId="70" fillId="0" borderId="45" xfId="7" applyNumberFormat="1" applyFont="1" applyBorder="1" applyAlignment="1">
      <alignment horizontal="centerContinuous"/>
    </xf>
    <xf numFmtId="192" fontId="69" fillId="0" borderId="17" xfId="7" quotePrefix="1" applyNumberFormat="1" applyFont="1" applyBorder="1" applyAlignment="1">
      <alignment horizontal="center"/>
    </xf>
    <xf numFmtId="192" fontId="67" fillId="0" borderId="16" xfId="7" applyNumberFormat="1" applyBorder="1" applyAlignment="1">
      <alignment horizontal="center"/>
    </xf>
    <xf numFmtId="192" fontId="72" fillId="0" borderId="45" xfId="7" applyNumberFormat="1" applyFont="1" applyBorder="1" applyAlignment="1">
      <alignment horizontal="centerContinuous"/>
    </xf>
    <xf numFmtId="192" fontId="69" fillId="0" borderId="17" xfId="7" applyNumberFormat="1" applyFont="1" applyBorder="1" applyAlignment="1">
      <alignment horizontal="center"/>
    </xf>
    <xf numFmtId="192" fontId="69" fillId="0" borderId="16" xfId="7" quotePrefix="1" applyNumberFormat="1" applyFont="1" applyBorder="1" applyAlignment="1">
      <alignment horizontal="center"/>
    </xf>
    <xf numFmtId="192" fontId="69" fillId="0" borderId="16" xfId="7" applyNumberFormat="1" applyFont="1" applyBorder="1" applyAlignment="1">
      <alignment horizontal="center"/>
    </xf>
    <xf numFmtId="192" fontId="71" fillId="0" borderId="45" xfId="7" applyNumberFormat="1" applyFont="1" applyBorder="1" applyAlignment="1">
      <alignment horizontal="centerContinuous"/>
    </xf>
    <xf numFmtId="192" fontId="71" fillId="0" borderId="46" xfId="7" applyNumberFormat="1" applyFont="1" applyBorder="1" applyAlignment="1">
      <alignment horizontal="centerContinuous"/>
    </xf>
    <xf numFmtId="192" fontId="70" fillId="0" borderId="23" xfId="7" applyNumberFormat="1" applyFont="1" applyBorder="1" applyAlignment="1">
      <alignment horizontal="centerContinuous"/>
    </xf>
    <xf numFmtId="192" fontId="69" fillId="0" borderId="46" xfId="7" applyNumberFormat="1" applyFont="1" applyBorder="1" applyAlignment="1">
      <alignment horizontal="left"/>
    </xf>
    <xf numFmtId="192" fontId="70" fillId="0" borderId="48" xfId="7" applyNumberFormat="1" applyFont="1" applyBorder="1"/>
    <xf numFmtId="192" fontId="89" fillId="0" borderId="31" xfId="7" applyNumberFormat="1" applyFont="1" applyBorder="1" applyAlignment="1">
      <alignment horizontal="center"/>
    </xf>
    <xf numFmtId="192" fontId="89" fillId="0" borderId="32" xfId="7" applyNumberFormat="1" applyFont="1" applyBorder="1" applyAlignment="1">
      <alignment horizontal="center"/>
    </xf>
    <xf numFmtId="192" fontId="84" fillId="0" borderId="141" xfId="7" applyNumberFormat="1" applyFont="1" applyBorder="1" applyAlignment="1">
      <alignment horizontal="center"/>
    </xf>
    <xf numFmtId="192" fontId="84" fillId="0" borderId="142" xfId="7" applyNumberFormat="1" applyFont="1" applyBorder="1" applyAlignment="1">
      <alignment horizontal="center"/>
    </xf>
    <xf numFmtId="192" fontId="84" fillId="0" borderId="144" xfId="7" applyNumberFormat="1" applyFont="1" applyBorder="1" applyAlignment="1">
      <alignment horizontal="center"/>
    </xf>
    <xf numFmtId="192" fontId="86" fillId="0" borderId="151" xfId="7" applyNumberFormat="1" applyFont="1" applyBorder="1"/>
    <xf numFmtId="192" fontId="86" fillId="0" borderId="152" xfId="7" applyNumberFormat="1" applyFont="1" applyBorder="1"/>
    <xf numFmtId="192" fontId="67" fillId="0" borderId="152" xfId="7" applyNumberFormat="1" applyBorder="1"/>
    <xf numFmtId="192" fontId="86" fillId="0" borderId="152" xfId="7" applyNumberFormat="1" applyFont="1" applyBorder="1" applyAlignment="1">
      <alignment horizontal="right"/>
    </xf>
    <xf numFmtId="198" fontId="85" fillId="0" borderId="152" xfId="7" applyNumberFormat="1" applyFont="1" applyBorder="1"/>
    <xf numFmtId="192" fontId="85" fillId="0" borderId="152" xfId="7" applyNumberFormat="1" applyFont="1" applyBorder="1"/>
    <xf numFmtId="192" fontId="85" fillId="0" borderId="152" xfId="7" applyNumberFormat="1" applyFont="1" applyBorder="1" applyAlignment="1">
      <alignment horizontal="right"/>
    </xf>
    <xf numFmtId="192" fontId="85" fillId="0" borderId="152" xfId="7" quotePrefix="1" applyNumberFormat="1" applyFont="1" applyBorder="1"/>
    <xf numFmtId="192" fontId="67" fillId="0" borderId="153" xfId="7" applyNumberFormat="1" applyBorder="1"/>
    <xf numFmtId="192" fontId="67" fillId="0" borderId="46" xfId="7" applyNumberFormat="1" applyBorder="1"/>
    <xf numFmtId="192" fontId="67" fillId="0" borderId="23" xfId="7" applyNumberFormat="1" applyBorder="1"/>
    <xf numFmtId="192" fontId="85" fillId="0" borderId="23" xfId="7" applyNumberFormat="1" applyFont="1" applyBorder="1" applyAlignment="1">
      <alignment horizontal="right"/>
    </xf>
    <xf numFmtId="198" fontId="85" fillId="0" borderId="23" xfId="7" applyNumberFormat="1" applyFont="1" applyBorder="1"/>
    <xf numFmtId="192" fontId="85" fillId="0" borderId="23" xfId="7" applyNumberFormat="1" applyFont="1" applyBorder="1"/>
    <xf numFmtId="192" fontId="67" fillId="0" borderId="24" xfId="7" applyNumberFormat="1" applyBorder="1"/>
    <xf numFmtId="192" fontId="84" fillId="0" borderId="127" xfId="7" applyNumberFormat="1" applyFont="1" applyBorder="1" applyAlignment="1">
      <alignment horizontal="center"/>
    </xf>
    <xf numFmtId="192" fontId="67" fillId="0" borderId="151" xfId="7" applyNumberFormat="1" applyBorder="1"/>
    <xf numFmtId="192" fontId="89" fillId="0" borderId="152" xfId="7" applyNumberFormat="1" applyFont="1" applyBorder="1" applyAlignment="1">
      <alignment horizontal="right"/>
    </xf>
    <xf numFmtId="192" fontId="85" fillId="0" borderId="127" xfId="7" applyNumberFormat="1" applyFont="1" applyBorder="1" applyAlignment="1">
      <alignment horizontal="right"/>
    </xf>
    <xf numFmtId="192" fontId="90" fillId="0" borderId="152" xfId="7" applyNumberFormat="1" applyFont="1" applyBorder="1" applyAlignment="1">
      <alignment horizontal="right"/>
    </xf>
    <xf numFmtId="192" fontId="85" fillId="0" borderId="154" xfId="7" applyNumberFormat="1" applyFont="1" applyBorder="1" applyAlignment="1">
      <alignment horizontal="center"/>
    </xf>
    <xf numFmtId="192" fontId="85" fillId="0" borderId="155" xfId="7" applyNumberFormat="1" applyFont="1" applyBorder="1" applyAlignment="1">
      <alignment horizontal="center"/>
    </xf>
    <xf numFmtId="192" fontId="85" fillId="0" borderId="156" xfId="7" applyNumberFormat="1" applyFont="1" applyBorder="1" applyAlignment="1">
      <alignment horizontal="center"/>
    </xf>
    <xf numFmtId="192" fontId="67" fillId="0" borderId="45" xfId="7" applyNumberFormat="1" applyBorder="1"/>
    <xf numFmtId="192" fontId="85" fillId="0" borderId="0" xfId="7" applyNumberFormat="1" applyFont="1" applyAlignment="1">
      <alignment horizontal="right"/>
    </xf>
    <xf numFmtId="192" fontId="89" fillId="0" borderId="0" xfId="7" applyNumberFormat="1" applyFont="1" applyAlignment="1">
      <alignment horizontal="right"/>
    </xf>
    <xf numFmtId="192" fontId="67" fillId="0" borderId="127" xfId="7" applyNumberFormat="1" applyBorder="1"/>
    <xf numFmtId="192" fontId="90" fillId="0" borderId="0" xfId="7" applyNumberFormat="1" applyFont="1" applyAlignment="1">
      <alignment horizontal="right"/>
    </xf>
    <xf numFmtId="192" fontId="89" fillId="0" borderId="23" xfId="7" applyNumberFormat="1" applyFont="1" applyBorder="1" applyAlignment="1">
      <alignment horizontal="right"/>
    </xf>
    <xf numFmtId="192" fontId="90" fillId="0" borderId="23" xfId="7" applyNumberFormat="1" applyFont="1" applyBorder="1" applyAlignment="1">
      <alignment horizontal="right"/>
    </xf>
    <xf numFmtId="192" fontId="85" fillId="0" borderId="23" xfId="7" applyNumberFormat="1" applyFont="1" applyBorder="1" applyAlignment="1">
      <alignment horizontal="center"/>
    </xf>
    <xf numFmtId="192" fontId="85" fillId="0" borderId="24" xfId="7" applyNumberFormat="1" applyFont="1" applyBorder="1" applyAlignment="1">
      <alignment horizontal="center"/>
    </xf>
    <xf numFmtId="192" fontId="67" fillId="0" borderId="141" xfId="7" applyNumberFormat="1" applyBorder="1" applyAlignment="1">
      <alignment horizontal="center"/>
    </xf>
    <xf numFmtId="192" fontId="67" fillId="0" borderId="142" xfId="7" applyNumberFormat="1" applyBorder="1" applyAlignment="1">
      <alignment horizontal="center"/>
    </xf>
    <xf numFmtId="192" fontId="67" fillId="0" borderId="144" xfId="7" applyNumberFormat="1" applyBorder="1" applyAlignment="1">
      <alignment horizontal="center"/>
    </xf>
    <xf numFmtId="192" fontId="89" fillId="0" borderId="157" xfId="7" applyNumberFormat="1" applyFont="1" applyBorder="1" applyAlignment="1">
      <alignment horizontal="center"/>
    </xf>
    <xf numFmtId="192" fontId="89" fillId="0" borderId="155" xfId="7" applyNumberFormat="1" applyFont="1" applyBorder="1" applyAlignment="1">
      <alignment horizontal="center"/>
    </xf>
    <xf numFmtId="192" fontId="89" fillId="0" borderId="158" xfId="7" applyNumberFormat="1" applyFont="1" applyBorder="1" applyAlignment="1">
      <alignment horizontal="center"/>
    </xf>
    <xf numFmtId="192" fontId="67" fillId="0" borderId="159" xfId="7" applyNumberFormat="1" applyBorder="1"/>
    <xf numFmtId="192" fontId="89" fillId="0" borderId="154" xfId="7" applyNumberFormat="1" applyFont="1" applyBorder="1" applyAlignment="1">
      <alignment horizontal="center"/>
    </xf>
    <xf numFmtId="192" fontId="89" fillId="0" borderId="156" xfId="7" applyNumberFormat="1" applyFont="1" applyBorder="1" applyAlignment="1">
      <alignment horizontal="center"/>
    </xf>
    <xf numFmtId="192" fontId="67" fillId="0" borderId="0" xfId="7" applyNumberFormat="1" applyAlignment="1">
      <alignment horizontal="right"/>
    </xf>
    <xf numFmtId="199" fontId="91" fillId="0" borderId="62" xfId="7" applyNumberFormat="1" applyFont="1" applyBorder="1" applyAlignment="1">
      <alignment horizontal="left"/>
    </xf>
    <xf numFmtId="199" fontId="91" fillId="0" borderId="38" xfId="7" applyNumberFormat="1" applyFont="1" applyBorder="1" applyAlignment="1">
      <alignment horizontal="left"/>
    </xf>
    <xf numFmtId="192" fontId="67" fillId="0" borderId="30" xfId="7" applyNumberFormat="1" applyBorder="1"/>
    <xf numFmtId="199" fontId="91" fillId="0" borderId="27" xfId="7" applyNumberFormat="1" applyFont="1" applyBorder="1" applyAlignment="1">
      <alignment horizontal="left"/>
    </xf>
    <xf numFmtId="199" fontId="91" fillId="0" borderId="0" xfId="7" applyNumberFormat="1" applyFont="1" applyAlignment="1">
      <alignment horizontal="left"/>
    </xf>
    <xf numFmtId="199" fontId="91" fillId="0" borderId="108" xfId="7" applyNumberFormat="1" applyFont="1" applyBorder="1" applyAlignment="1">
      <alignment horizontal="left"/>
    </xf>
    <xf numFmtId="199" fontId="91" fillId="0" borderId="21" xfId="7" applyNumberFormat="1" applyFont="1" applyBorder="1" applyAlignment="1">
      <alignment horizontal="left"/>
    </xf>
    <xf numFmtId="192" fontId="67" fillId="0" borderId="23" xfId="7" applyNumberFormat="1" applyBorder="1" applyAlignment="1">
      <alignment horizontal="right"/>
    </xf>
    <xf numFmtId="199" fontId="91" fillId="0" borderId="23" xfId="7" applyNumberFormat="1" applyFont="1" applyBorder="1" applyAlignment="1">
      <alignment horizontal="left"/>
    </xf>
    <xf numFmtId="199" fontId="91" fillId="0" borderId="48" xfId="7" applyNumberFormat="1" applyFont="1" applyBorder="1" applyAlignment="1">
      <alignment horizontal="left"/>
    </xf>
    <xf numFmtId="199" fontId="91" fillId="0" borderId="24" xfId="7" applyNumberFormat="1" applyFont="1" applyBorder="1" applyAlignment="1">
      <alignment horizontal="left"/>
    </xf>
    <xf numFmtId="49" fontId="85" fillId="0" borderId="152" xfId="7" applyNumberFormat="1" applyFont="1" applyBorder="1" applyAlignment="1">
      <alignment horizontal="left"/>
    </xf>
    <xf numFmtId="198" fontId="85" fillId="0" borderId="152" xfId="7" applyNumberFormat="1" applyFont="1" applyBorder="1" applyAlignment="1">
      <alignment horizontal="left"/>
    </xf>
    <xf numFmtId="198" fontId="85" fillId="0" borderId="153" xfId="7" applyNumberFormat="1" applyFont="1" applyBorder="1" applyAlignment="1">
      <alignment horizontal="left"/>
    </xf>
    <xf numFmtId="0" fontId="1" fillId="0" borderId="0" xfId="9"/>
    <xf numFmtId="200" fontId="85" fillId="0" borderId="23" xfId="7" applyNumberFormat="1" applyFont="1" applyBorder="1" applyAlignment="1">
      <alignment horizontal="left"/>
    </xf>
    <xf numFmtId="199" fontId="85" fillId="0" borderId="23" xfId="7" applyNumberFormat="1" applyFont="1" applyBorder="1" applyAlignment="1">
      <alignment horizontal="left"/>
    </xf>
    <xf numFmtId="199" fontId="85" fillId="0" borderId="24" xfId="7" applyNumberFormat="1" applyFont="1" applyBorder="1" applyAlignment="1">
      <alignment horizontal="left"/>
    </xf>
    <xf numFmtId="192" fontId="67" fillId="0" borderId="0" xfId="7" applyNumberFormat="1" applyAlignment="1">
      <alignment horizontal="center"/>
    </xf>
    <xf numFmtId="192" fontId="67" fillId="0" borderId="46" xfId="7" applyNumberFormat="1" applyBorder="1" applyAlignment="1">
      <alignment horizontal="center"/>
    </xf>
    <xf numFmtId="192" fontId="67" fillId="0" borderId="23" xfId="7" applyNumberFormat="1" applyBorder="1" applyAlignment="1">
      <alignment horizontal="center"/>
    </xf>
    <xf numFmtId="192" fontId="67" fillId="0" borderId="24" xfId="7" applyNumberFormat="1" applyBorder="1" applyAlignment="1">
      <alignment horizontal="center"/>
    </xf>
    <xf numFmtId="192" fontId="85" fillId="0" borderId="12" xfId="7" applyNumberFormat="1" applyFont="1" applyBorder="1" applyAlignment="1">
      <alignment horizontal="right"/>
    </xf>
    <xf numFmtId="192" fontId="85" fillId="0" borderId="13" xfId="7" applyNumberFormat="1" applyFont="1" applyBorder="1" applyAlignment="1">
      <alignment horizontal="right"/>
    </xf>
    <xf numFmtId="192" fontId="85" fillId="0" borderId="14" xfId="7" applyNumberFormat="1" applyFont="1" applyBorder="1" applyAlignment="1">
      <alignment horizontal="right"/>
    </xf>
    <xf numFmtId="192" fontId="67" fillId="0" borderId="2" xfId="7" quotePrefix="1" applyNumberFormat="1" applyBorder="1" applyAlignment="1">
      <alignment horizontal="center"/>
    </xf>
    <xf numFmtId="192" fontId="67" fillId="0" borderId="22" xfId="7" quotePrefix="1" applyNumberFormat="1" applyBorder="1" applyAlignment="1">
      <alignment horizontal="center"/>
    </xf>
    <xf numFmtId="192" fontId="67" fillId="0" borderId="22" xfId="7" applyNumberFormat="1" applyBorder="1" applyAlignment="1">
      <alignment horizontal="center"/>
    </xf>
    <xf numFmtId="192" fontId="67" fillId="0" borderId="10" xfId="7" applyNumberFormat="1" applyBorder="1" applyAlignment="1">
      <alignment horizontal="center"/>
    </xf>
    <xf numFmtId="192" fontId="85" fillId="0" borderId="149" xfId="7" applyNumberFormat="1" applyFont="1" applyBorder="1" applyAlignment="1">
      <alignment horizontal="right"/>
    </xf>
    <xf numFmtId="192" fontId="85" fillId="0" borderId="131" xfId="7" applyNumberFormat="1" applyFont="1" applyBorder="1" applyAlignment="1">
      <alignment horizontal="right"/>
    </xf>
    <xf numFmtId="192" fontId="85" fillId="0" borderId="16" xfId="7" applyNumberFormat="1" applyFont="1" applyBorder="1" applyAlignment="1">
      <alignment horizontal="right"/>
    </xf>
    <xf numFmtId="184" fontId="85" fillId="0" borderId="3" xfId="7" applyNumberFormat="1" applyFont="1" applyBorder="1" applyAlignment="1">
      <alignment horizontal="center"/>
    </xf>
    <xf numFmtId="184" fontId="85" fillId="0" borderId="1" xfId="7" applyNumberFormat="1" applyFont="1" applyBorder="1" applyAlignment="1">
      <alignment horizontal="center"/>
    </xf>
    <xf numFmtId="184" fontId="85" fillId="0" borderId="9" xfId="7" applyNumberFormat="1" applyFont="1" applyBorder="1" applyAlignment="1">
      <alignment horizontal="center"/>
    </xf>
    <xf numFmtId="192" fontId="90" fillId="0" borderId="150" xfId="7" applyNumberFormat="1" applyFont="1" applyBorder="1" applyAlignment="1">
      <alignment horizontal="right"/>
    </xf>
    <xf numFmtId="192" fontId="90" fillId="0" borderId="51" xfId="7" applyNumberFormat="1" applyFont="1" applyBorder="1" applyAlignment="1">
      <alignment horizontal="right"/>
    </xf>
    <xf numFmtId="192" fontId="90" fillId="0" borderId="32" xfId="7" applyNumberFormat="1" applyFont="1" applyBorder="1" applyAlignment="1">
      <alignment horizontal="right"/>
    </xf>
    <xf numFmtId="184" fontId="85" fillId="0" borderId="4" xfId="7" quotePrefix="1" applyNumberFormat="1" applyFont="1" applyBorder="1" applyAlignment="1">
      <alignment horizontal="center"/>
    </xf>
    <xf numFmtId="184" fontId="85" fillId="0" borderId="11" xfId="7" quotePrefix="1" applyNumberFormat="1" applyFont="1" applyBorder="1" applyAlignment="1">
      <alignment horizontal="center"/>
    </xf>
    <xf numFmtId="184" fontId="85" fillId="0" borderId="33" xfId="7" quotePrefix="1" applyNumberFormat="1" applyFont="1" applyBorder="1" applyAlignment="1">
      <alignment horizontal="center"/>
    </xf>
    <xf numFmtId="192" fontId="93" fillId="0" borderId="0" xfId="7" applyNumberFormat="1" applyFont="1" applyAlignment="1">
      <alignment horizontal="center"/>
    </xf>
    <xf numFmtId="192" fontId="94" fillId="0" borderId="0" xfId="7" applyNumberFormat="1" applyFont="1" applyAlignment="1">
      <alignment horizontal="right"/>
    </xf>
    <xf numFmtId="192" fontId="84" fillId="0" borderId="40" xfId="7" applyNumberFormat="1" applyFont="1" applyBorder="1" applyAlignment="1">
      <alignment horizontal="center"/>
    </xf>
    <xf numFmtId="192" fontId="85" fillId="0" borderId="0" xfId="7" applyNumberFormat="1" applyFont="1"/>
    <xf numFmtId="194" fontId="84" fillId="0" borderId="40" xfId="7" applyNumberFormat="1" applyFont="1" applyBorder="1" applyAlignment="1">
      <alignment horizontal="center"/>
    </xf>
    <xf numFmtId="0" fontId="5" fillId="0" borderId="0" xfId="10" applyFont="1"/>
    <xf numFmtId="192" fontId="95" fillId="0" borderId="0" xfId="7" applyNumberFormat="1" applyFont="1" applyAlignment="1">
      <alignment horizontal="left"/>
    </xf>
    <xf numFmtId="192" fontId="74" fillId="0" borderId="0" xfId="7" applyNumberFormat="1" applyFont="1" applyAlignment="1">
      <alignment horizontal="left"/>
    </xf>
    <xf numFmtId="49" fontId="59" fillId="0" borderId="40" xfId="4" applyNumberFormat="1" applyFont="1" applyBorder="1"/>
    <xf numFmtId="2" fontId="1" fillId="0" borderId="0" xfId="4" applyNumberFormat="1"/>
    <xf numFmtId="0" fontId="6" fillId="0" borderId="0" xfId="9" applyFont="1" applyAlignment="1">
      <alignment horizontal="centerContinuous"/>
    </xf>
    <xf numFmtId="0" fontId="1" fillId="0" borderId="0" xfId="9" applyAlignment="1">
      <alignment horizontal="centerContinuous"/>
    </xf>
    <xf numFmtId="0" fontId="3" fillId="0" borderId="0" xfId="9" applyFont="1" applyAlignment="1">
      <alignment horizontal="centerContinuous"/>
    </xf>
    <xf numFmtId="0" fontId="10" fillId="0" borderId="0" xfId="9" applyFont="1" applyAlignment="1">
      <alignment horizontal="center"/>
    </xf>
    <xf numFmtId="0" fontId="3" fillId="0" borderId="0" xfId="9" applyFont="1" applyAlignment="1">
      <alignment horizontal="right"/>
    </xf>
    <xf numFmtId="0" fontId="3" fillId="0" borderId="0" xfId="9" applyFont="1"/>
    <xf numFmtId="0" fontId="2" fillId="0" borderId="0" xfId="9" applyFont="1"/>
    <xf numFmtId="14" fontId="3" fillId="0" borderId="0" xfId="9" applyNumberFormat="1" applyFont="1" applyAlignment="1">
      <alignment horizontal="center"/>
    </xf>
    <xf numFmtId="19" fontId="3" fillId="0" borderId="0" xfId="9" applyNumberFormat="1" applyFont="1"/>
    <xf numFmtId="0" fontId="4" fillId="0" borderId="5" xfId="9" applyFont="1" applyBorder="1" applyAlignment="1">
      <alignment horizontal="center"/>
    </xf>
    <xf numFmtId="0" fontId="4" fillId="0" borderId="41" xfId="9" applyFont="1" applyBorder="1" applyAlignment="1">
      <alignment horizontal="center"/>
    </xf>
    <xf numFmtId="0" fontId="2" fillId="0" borderId="25" xfId="9" applyFont="1" applyBorder="1" applyAlignment="1">
      <alignment horizontal="center"/>
    </xf>
    <xf numFmtId="2" fontId="2" fillId="0" borderId="25" xfId="9" applyNumberFormat="1" applyFont="1" applyBorder="1" applyAlignment="1">
      <alignment horizontal="center"/>
    </xf>
    <xf numFmtId="1" fontId="2" fillId="0" borderId="25" xfId="9" applyNumberFormat="1" applyFont="1" applyBorder="1" applyAlignment="1">
      <alignment horizontal="center"/>
    </xf>
    <xf numFmtId="1" fontId="2" fillId="0" borderId="44" xfId="9" applyNumberFormat="1" applyFont="1" applyBorder="1" applyAlignment="1">
      <alignment horizontal="center"/>
    </xf>
    <xf numFmtId="184" fontId="2" fillId="0" borderId="25" xfId="9" applyNumberFormat="1" applyFont="1" applyBorder="1" applyAlignment="1">
      <alignment horizontal="center"/>
    </xf>
    <xf numFmtId="183" fontId="2" fillId="0" borderId="25" xfId="9" applyNumberFormat="1" applyFont="1" applyBorder="1" applyAlignment="1">
      <alignment horizontal="center"/>
    </xf>
    <xf numFmtId="0" fontId="4" fillId="0" borderId="12" xfId="9" applyFont="1" applyBorder="1"/>
    <xf numFmtId="0" fontId="3" fillId="0" borderId="13" xfId="9" applyFont="1" applyBorder="1" applyAlignment="1">
      <alignment horizontal="center"/>
    </xf>
    <xf numFmtId="0" fontId="3" fillId="0" borderId="14" xfId="9" applyFont="1" applyBorder="1" applyAlignment="1">
      <alignment horizontal="center"/>
    </xf>
    <xf numFmtId="0" fontId="4" fillId="0" borderId="12" xfId="9" applyFont="1" applyBorder="1" applyAlignment="1">
      <alignment horizontal="left"/>
    </xf>
    <xf numFmtId="0" fontId="2" fillId="3" borderId="0" xfId="9" applyFont="1" applyFill="1"/>
    <xf numFmtId="0" fontId="2" fillId="0" borderId="7" xfId="9" applyFont="1" applyBorder="1"/>
    <xf numFmtId="0" fontId="2" fillId="0" borderId="8" xfId="9" applyFont="1" applyBorder="1"/>
    <xf numFmtId="0" fontId="4" fillId="0" borderId="0" xfId="9" applyFont="1"/>
    <xf numFmtId="0" fontId="2" fillId="0" borderId="0" xfId="9" applyFont="1" applyAlignment="1">
      <alignment horizontal="centerContinuous"/>
    </xf>
    <xf numFmtId="0" fontId="2" fillId="0" borderId="14" xfId="9" applyFont="1" applyBorder="1" applyAlignment="1">
      <alignment horizontal="centerContinuous"/>
    </xf>
    <xf numFmtId="0" fontId="1" fillId="0" borderId="45" xfId="9" applyBorder="1"/>
    <xf numFmtId="0" fontId="3" fillId="0" borderId="1" xfId="9" applyFont="1" applyBorder="1" applyAlignment="1">
      <alignment horizontal="center"/>
    </xf>
    <xf numFmtId="0" fontId="3" fillId="0" borderId="9" xfId="9" applyFont="1" applyBorder="1" applyAlignment="1">
      <alignment horizontal="center"/>
    </xf>
    <xf numFmtId="0" fontId="2" fillId="0" borderId="1" xfId="9" applyFont="1" applyBorder="1" applyAlignment="1">
      <alignment horizontal="centerContinuous"/>
    </xf>
    <xf numFmtId="0" fontId="3" fillId="0" borderId="3" xfId="9" applyFont="1" applyBorder="1" applyAlignment="1">
      <alignment horizontal="right"/>
    </xf>
    <xf numFmtId="183" fontId="2" fillId="0" borderId="1" xfId="9" applyNumberFormat="1" applyFont="1" applyBorder="1" applyAlignment="1">
      <alignment horizontal="center"/>
    </xf>
    <xf numFmtId="0" fontId="3" fillId="0" borderId="44" xfId="9" applyFont="1" applyBorder="1" applyAlignment="1">
      <alignment horizontal="center"/>
    </xf>
    <xf numFmtId="2" fontId="2" fillId="0" borderId="1" xfId="9" applyNumberFormat="1" applyFont="1" applyBorder="1" applyAlignment="1">
      <alignment horizontal="center"/>
    </xf>
    <xf numFmtId="0" fontId="2" fillId="0" borderId="9" xfId="9" applyFont="1" applyBorder="1" applyAlignment="1">
      <alignment horizontal="center"/>
    </xf>
    <xf numFmtId="0" fontId="3" fillId="0" borderId="3" xfId="9" applyFont="1" applyBorder="1"/>
    <xf numFmtId="0" fontId="2" fillId="0" borderId="1" xfId="9" applyFont="1" applyBorder="1" applyAlignment="1">
      <alignment horizontal="center"/>
    </xf>
    <xf numFmtId="0" fontId="3" fillId="0" borderId="41" xfId="9" applyFont="1" applyBorder="1" applyAlignment="1">
      <alignment horizontal="center"/>
    </xf>
    <xf numFmtId="0" fontId="2" fillId="0" borderId="0" xfId="9" applyFont="1" applyAlignment="1">
      <alignment horizontal="center"/>
    </xf>
    <xf numFmtId="0" fontId="3" fillId="0" borderId="17" xfId="9" applyFont="1" applyBorder="1" applyAlignment="1">
      <alignment horizontal="centerContinuous"/>
    </xf>
    <xf numFmtId="0" fontId="2" fillId="0" borderId="16" xfId="9" applyFont="1" applyBorder="1" applyAlignment="1">
      <alignment horizontal="centerContinuous"/>
    </xf>
    <xf numFmtId="184" fontId="2" fillId="0" borderId="42" xfId="9" applyNumberFormat="1" applyFont="1" applyBorder="1" applyAlignment="1">
      <alignment horizontal="center"/>
    </xf>
    <xf numFmtId="2" fontId="2" fillId="0" borderId="9" xfId="9" applyNumberFormat="1" applyFont="1" applyBorder="1" applyAlignment="1">
      <alignment horizontal="center"/>
    </xf>
    <xf numFmtId="0" fontId="2" fillId="0" borderId="30" xfId="9" applyFont="1" applyBorder="1" applyAlignment="1">
      <alignment horizontal="left"/>
    </xf>
    <xf numFmtId="0" fontId="2" fillId="0" borderId="21" xfId="9" applyFont="1" applyBorder="1" applyAlignment="1">
      <alignment horizontal="left"/>
    </xf>
    <xf numFmtId="0" fontId="2" fillId="0" borderId="28" xfId="9" applyFont="1" applyBorder="1" applyAlignment="1">
      <alignment horizontal="left"/>
    </xf>
    <xf numFmtId="0" fontId="2" fillId="0" borderId="29" xfId="9" applyFont="1" applyBorder="1" applyAlignment="1">
      <alignment horizontal="left"/>
    </xf>
    <xf numFmtId="188" fontId="2" fillId="2" borderId="1" xfId="9" applyNumberFormat="1" applyFont="1" applyFill="1" applyBorder="1" applyAlignment="1">
      <alignment horizontal="center"/>
    </xf>
    <xf numFmtId="0" fontId="2" fillId="0" borderId="1" xfId="9" applyFont="1" applyBorder="1" applyAlignment="1">
      <alignment horizontal="left"/>
    </xf>
    <xf numFmtId="0" fontId="2" fillId="0" borderId="9" xfId="9" applyFont="1" applyBorder="1" applyAlignment="1">
      <alignment horizontal="left"/>
    </xf>
    <xf numFmtId="184" fontId="2" fillId="0" borderId="1" xfId="9" applyNumberFormat="1" applyFont="1" applyBorder="1" applyAlignment="1">
      <alignment horizontal="center"/>
    </xf>
    <xf numFmtId="0" fontId="3" fillId="0" borderId="47" xfId="9" applyFont="1" applyBorder="1" applyAlignment="1">
      <alignment horizontal="right"/>
    </xf>
    <xf numFmtId="2" fontId="2" fillId="0" borderId="48" xfId="9" applyNumberFormat="1" applyFont="1" applyBorder="1" applyAlignment="1">
      <alignment horizontal="center"/>
    </xf>
    <xf numFmtId="2" fontId="2" fillId="0" borderId="24" xfId="9" applyNumberFormat="1" applyFont="1" applyBorder="1" applyAlignment="1">
      <alignment horizontal="center"/>
    </xf>
    <xf numFmtId="0" fontId="4" fillId="0" borderId="6" xfId="9" applyFont="1" applyBorder="1"/>
    <xf numFmtId="184" fontId="2" fillId="0" borderId="7" xfId="9" applyNumberFormat="1" applyFont="1" applyBorder="1" applyAlignment="1">
      <alignment horizontal="center"/>
    </xf>
    <xf numFmtId="184" fontId="2" fillId="0" borderId="8" xfId="9" applyNumberFormat="1" applyFont="1" applyBorder="1" applyAlignment="1">
      <alignment horizontal="center"/>
    </xf>
    <xf numFmtId="0" fontId="3" fillId="0" borderId="43" xfId="9" applyFont="1" applyBorder="1" applyAlignment="1">
      <alignment horizontal="center"/>
    </xf>
    <xf numFmtId="184" fontId="14" fillId="0" borderId="1" xfId="9" applyNumberFormat="1" applyFont="1" applyBorder="1" applyAlignment="1">
      <alignment horizontal="center"/>
    </xf>
    <xf numFmtId="184" fontId="2" fillId="0" borderId="9" xfId="9" applyNumberFormat="1" applyFont="1" applyBorder="1" applyAlignment="1">
      <alignment horizontal="center"/>
    </xf>
    <xf numFmtId="0" fontId="4" fillId="0" borderId="7" xfId="9" applyFont="1" applyBorder="1" applyAlignment="1">
      <alignment horizontal="centerContinuous"/>
    </xf>
    <xf numFmtId="0" fontId="4" fillId="0" borderId="8" xfId="9" applyFont="1" applyBorder="1" applyAlignment="1">
      <alignment horizontal="centerContinuous"/>
    </xf>
    <xf numFmtId="0" fontId="1" fillId="0" borderId="3" xfId="9" applyBorder="1"/>
    <xf numFmtId="0" fontId="3" fillId="0" borderId="9" xfId="9" applyFont="1" applyBorder="1" applyAlignment="1">
      <alignment horizontal="centerContinuous"/>
    </xf>
    <xf numFmtId="181" fontId="2" fillId="0" borderId="1" xfId="9" applyNumberFormat="1" applyFont="1" applyBorder="1" applyAlignment="1">
      <alignment horizontal="center"/>
    </xf>
    <xf numFmtId="183" fontId="2" fillId="0" borderId="9" xfId="9" applyNumberFormat="1" applyFont="1" applyBorder="1" applyAlignment="1">
      <alignment horizontal="center"/>
    </xf>
    <xf numFmtId="182" fontId="2" fillId="0" borderId="1" xfId="9" applyNumberFormat="1" applyFont="1" applyBorder="1" applyAlignment="1">
      <alignment horizontal="center"/>
    </xf>
    <xf numFmtId="182" fontId="2" fillId="0" borderId="9" xfId="9" applyNumberFormat="1" applyFont="1" applyBorder="1" applyAlignment="1">
      <alignment horizontal="center"/>
    </xf>
    <xf numFmtId="0" fontId="3" fillId="0" borderId="45" xfId="9" applyFont="1" applyBorder="1"/>
    <xf numFmtId="0" fontId="2" fillId="0" borderId="21" xfId="9" applyFont="1" applyBorder="1" applyAlignment="1">
      <alignment horizontal="center"/>
    </xf>
    <xf numFmtId="0" fontId="3" fillId="0" borderId="4" xfId="9" applyFont="1" applyBorder="1" applyAlignment="1">
      <alignment horizontal="right"/>
    </xf>
    <xf numFmtId="2" fontId="2" fillId="0" borderId="11" xfId="9" applyNumberFormat="1" applyFont="1" applyBorder="1" applyAlignment="1">
      <alignment horizontal="center"/>
    </xf>
    <xf numFmtId="2" fontId="2" fillId="0" borderId="33" xfId="9" applyNumberFormat="1" applyFont="1" applyBorder="1" applyAlignment="1">
      <alignment horizontal="center"/>
    </xf>
    <xf numFmtId="183" fontId="2" fillId="0" borderId="11" xfId="9" applyNumberFormat="1" applyFont="1" applyBorder="1" applyAlignment="1">
      <alignment horizontal="center"/>
    </xf>
    <xf numFmtId="183" fontId="2" fillId="0" borderId="33" xfId="9" applyNumberFormat="1" applyFont="1" applyBorder="1" applyAlignment="1">
      <alignment horizontal="center"/>
    </xf>
    <xf numFmtId="0" fontId="2" fillId="0" borderId="21" xfId="9" applyFont="1" applyBorder="1"/>
    <xf numFmtId="0" fontId="3" fillId="0" borderId="7" xfId="9" applyFont="1" applyBorder="1" applyAlignment="1">
      <alignment horizontal="centerContinuous"/>
    </xf>
    <xf numFmtId="0" fontId="2" fillId="0" borderId="7" xfId="9" applyFont="1" applyBorder="1" applyAlignment="1">
      <alignment horizontal="centerContinuous"/>
    </xf>
    <xf numFmtId="0" fontId="2" fillId="0" borderId="13" xfId="9" applyFont="1" applyBorder="1"/>
    <xf numFmtId="0" fontId="4" fillId="0" borderId="15" xfId="9" applyFont="1" applyBorder="1"/>
    <xf numFmtId="0" fontId="2" fillId="0" borderId="3" xfId="9" applyFont="1" applyBorder="1"/>
    <xf numFmtId="0" fontId="2" fillId="0" borderId="17" xfId="9" applyFont="1" applyBorder="1" applyAlignment="1">
      <alignment horizontal="right"/>
    </xf>
    <xf numFmtId="2" fontId="2" fillId="0" borderId="16" xfId="9" applyNumberFormat="1" applyFont="1" applyBorder="1" applyAlignment="1">
      <alignment horizontal="center"/>
    </xf>
    <xf numFmtId="184" fontId="1" fillId="0" borderId="0" xfId="9" applyNumberFormat="1"/>
    <xf numFmtId="0" fontId="2" fillId="0" borderId="4" xfId="9" applyFont="1" applyBorder="1"/>
    <xf numFmtId="0" fontId="2" fillId="0" borderId="31" xfId="9" applyFont="1" applyBorder="1" applyAlignment="1">
      <alignment horizontal="right"/>
    </xf>
    <xf numFmtId="2" fontId="2" fillId="0" borderId="32" xfId="9" applyNumberFormat="1" applyFont="1" applyBorder="1" applyAlignment="1">
      <alignment horizontal="center"/>
    </xf>
    <xf numFmtId="2" fontId="1" fillId="0" borderId="1" xfId="9" applyNumberFormat="1" applyBorder="1" applyAlignment="1">
      <alignment horizontal="center"/>
    </xf>
    <xf numFmtId="184" fontId="1" fillId="0" borderId="9" xfId="9" applyNumberFormat="1" applyBorder="1" applyAlignment="1">
      <alignment horizontal="center"/>
    </xf>
    <xf numFmtId="184" fontId="1" fillId="0" borderId="1" xfId="9" applyNumberFormat="1" applyBorder="1" applyAlignment="1">
      <alignment horizontal="center"/>
    </xf>
    <xf numFmtId="0" fontId="1" fillId="0" borderId="13" xfId="9" applyBorder="1"/>
    <xf numFmtId="0" fontId="2" fillId="0" borderId="14" xfId="9" applyFont="1" applyBorder="1"/>
    <xf numFmtId="0" fontId="2" fillId="0" borderId="16" xfId="9" applyFont="1" applyBorder="1" applyAlignment="1">
      <alignment horizontal="center"/>
    </xf>
    <xf numFmtId="0" fontId="3" fillId="0" borderId="1" xfId="9" applyFont="1" applyBorder="1" applyAlignment="1">
      <alignment horizontal="right"/>
    </xf>
    <xf numFmtId="0" fontId="3" fillId="0" borderId="0" xfId="9" applyFont="1" applyAlignment="1">
      <alignment horizontal="center"/>
    </xf>
    <xf numFmtId="0" fontId="3" fillId="0" borderId="4" xfId="9" applyFont="1" applyBorder="1"/>
    <xf numFmtId="182" fontId="2" fillId="0" borderId="0" xfId="9" applyNumberFormat="1" applyFont="1" applyAlignment="1">
      <alignment horizontal="center"/>
    </xf>
    <xf numFmtId="183" fontId="1" fillId="0" borderId="11" xfId="9" applyNumberFormat="1" applyBorder="1" applyAlignment="1">
      <alignment horizontal="center"/>
    </xf>
    <xf numFmtId="2" fontId="1" fillId="0" borderId="11" xfId="9" applyNumberFormat="1" applyBorder="1" applyAlignment="1">
      <alignment horizontal="center"/>
    </xf>
    <xf numFmtId="184" fontId="1" fillId="0" borderId="33" xfId="9" applyNumberFormat="1" applyBorder="1" applyAlignment="1">
      <alignment horizontal="center"/>
    </xf>
    <xf numFmtId="0" fontId="2" fillId="0" borderId="7" xfId="9" applyFont="1" applyBorder="1" applyAlignment="1">
      <alignment horizontal="right"/>
    </xf>
    <xf numFmtId="49" fontId="2" fillId="0" borderId="7" xfId="9" applyNumberFormat="1" applyFont="1" applyBorder="1" applyAlignment="1">
      <alignment horizontal="center"/>
    </xf>
    <xf numFmtId="0" fontId="3" fillId="0" borderId="2" xfId="9" applyFont="1" applyBorder="1" applyAlignment="1">
      <alignment horizontal="right"/>
    </xf>
    <xf numFmtId="184" fontId="2" fillId="0" borderId="10" xfId="9" applyNumberFormat="1" applyFont="1" applyBorder="1" applyAlignment="1">
      <alignment horizontal="center"/>
    </xf>
    <xf numFmtId="2" fontId="22" fillId="0" borderId="1" xfId="9" applyNumberFormat="1" applyFont="1" applyBorder="1" applyAlignment="1">
      <alignment horizontal="center"/>
    </xf>
    <xf numFmtId="2" fontId="22" fillId="0" borderId="9" xfId="9" applyNumberFormat="1" applyFont="1" applyBorder="1" applyAlignment="1">
      <alignment horizontal="center"/>
    </xf>
    <xf numFmtId="184" fontId="2" fillId="0" borderId="33" xfId="9" applyNumberFormat="1" applyFont="1" applyBorder="1" applyAlignment="1">
      <alignment horizontal="center"/>
    </xf>
    <xf numFmtId="0" fontId="16" fillId="0" borderId="0" xfId="9" applyFont="1"/>
    <xf numFmtId="183" fontId="22" fillId="0" borderId="1" xfId="9" applyNumberFormat="1" applyFont="1" applyBorder="1" applyAlignment="1">
      <alignment horizontal="center"/>
    </xf>
    <xf numFmtId="183" fontId="22" fillId="0" borderId="9" xfId="9" applyNumberFormat="1" applyFont="1" applyBorder="1" applyAlignment="1">
      <alignment horizontal="center"/>
    </xf>
    <xf numFmtId="0" fontId="3" fillId="0" borderId="49" xfId="9" applyFont="1" applyBorder="1" applyAlignment="1">
      <alignment horizontal="right"/>
    </xf>
    <xf numFmtId="184" fontId="2" fillId="0" borderId="34" xfId="9" applyNumberFormat="1" applyFont="1" applyBorder="1" applyAlignment="1">
      <alignment horizontal="center"/>
    </xf>
    <xf numFmtId="182" fontId="1" fillId="0" borderId="0" xfId="9" applyNumberFormat="1"/>
    <xf numFmtId="0" fontId="3" fillId="0" borderId="22" xfId="9" applyFont="1" applyBorder="1" applyAlignment="1">
      <alignment horizontal="center"/>
    </xf>
    <xf numFmtId="0" fontId="3" fillId="0" borderId="10" xfId="9" applyFont="1" applyBorder="1" applyAlignment="1">
      <alignment horizontal="center"/>
    </xf>
    <xf numFmtId="182" fontId="22" fillId="0" borderId="1" xfId="9" applyNumberFormat="1" applyFont="1" applyBorder="1" applyAlignment="1">
      <alignment horizontal="center"/>
    </xf>
    <xf numFmtId="182" fontId="22" fillId="0" borderId="9" xfId="9" applyNumberFormat="1" applyFont="1" applyBorder="1" applyAlignment="1">
      <alignment horizontal="center"/>
    </xf>
    <xf numFmtId="0" fontId="3" fillId="0" borderId="18" xfId="9" applyFont="1" applyBorder="1" applyAlignment="1">
      <alignment horizontal="right"/>
    </xf>
    <xf numFmtId="184" fontId="2" fillId="0" borderId="38" xfId="9" applyNumberFormat="1" applyFont="1" applyBorder="1" applyAlignment="1">
      <alignment horizontal="center"/>
    </xf>
    <xf numFmtId="0" fontId="2" fillId="0" borderId="26" xfId="9" applyFont="1" applyBorder="1" applyAlignment="1">
      <alignment horizontal="center"/>
    </xf>
    <xf numFmtId="0" fontId="2" fillId="0" borderId="27" xfId="9" applyFont="1" applyBorder="1" applyAlignment="1">
      <alignment horizontal="center"/>
    </xf>
    <xf numFmtId="184" fontId="22" fillId="0" borderId="1" xfId="9" applyNumberFormat="1" applyFont="1" applyBorder="1" applyAlignment="1">
      <alignment horizontal="center"/>
    </xf>
    <xf numFmtId="184" fontId="22" fillId="0" borderId="9" xfId="9" applyNumberFormat="1" applyFont="1" applyBorder="1" applyAlignment="1">
      <alignment horizontal="center"/>
    </xf>
    <xf numFmtId="0" fontId="3" fillId="0" borderId="19" xfId="9" applyFont="1" applyBorder="1" applyAlignment="1">
      <alignment horizontal="right"/>
    </xf>
    <xf numFmtId="184" fontId="2" fillId="0" borderId="39" xfId="9" applyNumberFormat="1" applyFont="1" applyBorder="1" applyAlignment="1">
      <alignment horizontal="center"/>
    </xf>
    <xf numFmtId="0" fontId="2" fillId="0" borderId="28" xfId="9" applyFont="1" applyBorder="1" applyAlignment="1">
      <alignment horizontal="center"/>
    </xf>
    <xf numFmtId="0" fontId="2" fillId="0" borderId="29" xfId="9" applyFont="1" applyBorder="1" applyAlignment="1">
      <alignment horizontal="center"/>
    </xf>
    <xf numFmtId="2" fontId="2" fillId="0" borderId="27" xfId="9" applyNumberFormat="1" applyFont="1" applyBorder="1" applyAlignment="1">
      <alignment horizontal="center"/>
    </xf>
    <xf numFmtId="183" fontId="22" fillId="0" borderId="11" xfId="9" applyNumberFormat="1" applyFont="1" applyBorder="1" applyAlignment="1">
      <alignment horizontal="center"/>
    </xf>
    <xf numFmtId="183" fontId="23" fillId="0" borderId="31" xfId="9" applyNumberFormat="1" applyFont="1" applyBorder="1" applyAlignment="1">
      <alignment horizontal="center"/>
    </xf>
    <xf numFmtId="183" fontId="23" fillId="0" borderId="51" xfId="9" applyNumberFormat="1" applyFont="1" applyBorder="1" applyAlignment="1">
      <alignment horizontal="center"/>
    </xf>
    <xf numFmtId="183" fontId="23" fillId="0" borderId="32" xfId="9" applyNumberFormat="1" applyFont="1" applyBorder="1" applyAlignment="1">
      <alignment horizontal="center"/>
    </xf>
    <xf numFmtId="0" fontId="4" fillId="0" borderId="2" xfId="9" applyFont="1" applyBorder="1"/>
    <xf numFmtId="0" fontId="2" fillId="0" borderId="50" xfId="9" applyFont="1" applyBorder="1"/>
    <xf numFmtId="0" fontId="2" fillId="0" borderId="10" xfId="9" applyFont="1" applyBorder="1"/>
    <xf numFmtId="184" fontId="2" fillId="0" borderId="26" xfId="9" applyNumberFormat="1" applyFont="1" applyBorder="1" applyAlignment="1">
      <alignment horizontal="center"/>
    </xf>
    <xf numFmtId="183" fontId="2" fillId="0" borderId="26" xfId="9" applyNumberFormat="1" applyFont="1" applyBorder="1" applyAlignment="1">
      <alignment horizontal="center"/>
    </xf>
    <xf numFmtId="0" fontId="3" fillId="0" borderId="1" xfId="9" applyFont="1" applyBorder="1"/>
    <xf numFmtId="0" fontId="3" fillId="0" borderId="20" xfId="9" applyFont="1" applyBorder="1" applyAlignment="1">
      <alignment horizontal="right"/>
    </xf>
    <xf numFmtId="184" fontId="2" fillId="0" borderId="30" xfId="9" applyNumberFormat="1" applyFont="1" applyBorder="1" applyAlignment="1">
      <alignment horizontal="center"/>
    </xf>
    <xf numFmtId="0" fontId="2" fillId="0" borderId="30" xfId="9" applyFont="1" applyBorder="1" applyAlignment="1">
      <alignment horizontal="center"/>
    </xf>
    <xf numFmtId="1" fontId="2" fillId="0" borderId="28" xfId="9" applyNumberFormat="1" applyFont="1" applyBorder="1" applyAlignment="1">
      <alignment horizontal="center"/>
    </xf>
    <xf numFmtId="0" fontId="1" fillId="0" borderId="0" xfId="9" applyAlignment="1">
      <alignment horizontal="right"/>
    </xf>
    <xf numFmtId="184" fontId="1" fillId="0" borderId="0" xfId="9" applyNumberFormat="1" applyAlignment="1">
      <alignment horizontal="left"/>
    </xf>
    <xf numFmtId="0" fontId="3" fillId="0" borderId="26" xfId="9" applyFont="1" applyBorder="1" applyAlignment="1">
      <alignment horizontal="right"/>
    </xf>
    <xf numFmtId="2" fontId="2" fillId="0" borderId="21" xfId="9" applyNumberFormat="1" applyFont="1" applyBorder="1" applyAlignment="1">
      <alignment horizontal="center"/>
    </xf>
    <xf numFmtId="0" fontId="3" fillId="0" borderId="30" xfId="9" applyFont="1" applyBorder="1" applyAlignment="1">
      <alignment horizontal="right"/>
    </xf>
    <xf numFmtId="2" fontId="1" fillId="0" borderId="0" xfId="9" applyNumberFormat="1" applyAlignment="1">
      <alignment horizontal="left"/>
    </xf>
    <xf numFmtId="0" fontId="2" fillId="0" borderId="11" xfId="9" applyFont="1" applyBorder="1" applyAlignment="1">
      <alignment horizontal="center"/>
    </xf>
    <xf numFmtId="0" fontId="3" fillId="0" borderId="11" xfId="9" applyFont="1" applyBorder="1"/>
    <xf numFmtId="0" fontId="3" fillId="0" borderId="28" xfId="9" applyFont="1" applyBorder="1" applyAlignment="1">
      <alignment horizontal="right"/>
    </xf>
    <xf numFmtId="0" fontId="2" fillId="0" borderId="24" xfId="9" applyFont="1" applyBorder="1" applyAlignment="1">
      <alignment horizontal="center"/>
    </xf>
    <xf numFmtId="0" fontId="1" fillId="0" borderId="0" xfId="9" applyAlignment="1">
      <alignment horizontal="left"/>
    </xf>
    <xf numFmtId="0" fontId="3" fillId="0" borderId="0" xfId="9" applyFont="1" applyAlignment="1">
      <alignment horizontal="left"/>
    </xf>
    <xf numFmtId="2" fontId="2" fillId="0" borderId="40" xfId="9" applyNumberFormat="1" applyFont="1" applyBorder="1" applyAlignment="1">
      <alignment horizontal="centerContinuous"/>
    </xf>
    <xf numFmtId="0" fontId="2" fillId="0" borderId="29" xfId="9" applyFont="1" applyBorder="1" applyAlignment="1">
      <alignment horizontal="centerContinuous"/>
    </xf>
    <xf numFmtId="1" fontId="1" fillId="0" borderId="0" xfId="9" applyNumberFormat="1" applyAlignment="1">
      <alignment horizontal="left"/>
    </xf>
    <xf numFmtId="0" fontId="2" fillId="0" borderId="40" xfId="9" applyFont="1" applyBorder="1" applyAlignment="1">
      <alignment horizontal="center"/>
    </xf>
    <xf numFmtId="0" fontId="3" fillId="0" borderId="11" xfId="9" applyFont="1" applyBorder="1" applyAlignment="1">
      <alignment horizontal="right"/>
    </xf>
    <xf numFmtId="0" fontId="2" fillId="0" borderId="23" xfId="9" applyFont="1" applyBorder="1" applyAlignment="1">
      <alignment horizontal="center"/>
    </xf>
    <xf numFmtId="0" fontId="5" fillId="0" borderId="12" xfId="9" applyFont="1" applyBorder="1"/>
    <xf numFmtId="0" fontId="5" fillId="0" borderId="13" xfId="9" applyFont="1" applyBorder="1"/>
    <xf numFmtId="0" fontId="5" fillId="0" borderId="14" xfId="9" applyFont="1" applyBorder="1"/>
    <xf numFmtId="0" fontId="3" fillId="0" borderId="3" xfId="9" applyFont="1" applyBorder="1" applyAlignment="1">
      <alignment horizontal="center"/>
    </xf>
    <xf numFmtId="0" fontId="5" fillId="0" borderId="45" xfId="9" applyFont="1" applyBorder="1"/>
    <xf numFmtId="0" fontId="5" fillId="0" borderId="0" xfId="9" applyFont="1"/>
    <xf numFmtId="0" fontId="5" fillId="0" borderId="21" xfId="9" applyFont="1" applyBorder="1"/>
    <xf numFmtId="2" fontId="3" fillId="0" borderId="20" xfId="9" quotePrefix="1" applyNumberFormat="1" applyFont="1" applyBorder="1" applyAlignment="1">
      <alignment horizontal="center"/>
    </xf>
    <xf numFmtId="184" fontId="2" fillId="0" borderId="35" xfId="9" applyNumberFormat="1" applyFont="1" applyBorder="1" applyAlignment="1">
      <alignment horizontal="center"/>
    </xf>
    <xf numFmtId="2" fontId="3" fillId="0" borderId="30" xfId="9" quotePrefix="1" applyNumberFormat="1" applyFont="1" applyBorder="1" applyAlignment="1">
      <alignment horizontal="center"/>
    </xf>
    <xf numFmtId="183" fontId="3" fillId="0" borderId="20" xfId="9" quotePrefix="1" applyNumberFormat="1" applyFont="1" applyBorder="1" applyAlignment="1">
      <alignment horizontal="center"/>
    </xf>
    <xf numFmtId="2" fontId="3" fillId="0" borderId="30" xfId="9" applyNumberFormat="1" applyFont="1" applyBorder="1" applyAlignment="1">
      <alignment horizontal="center"/>
    </xf>
    <xf numFmtId="2" fontId="3" fillId="0" borderId="47" xfId="9" quotePrefix="1" applyNumberFormat="1" applyFont="1" applyBorder="1" applyAlignment="1">
      <alignment horizontal="center"/>
    </xf>
    <xf numFmtId="184" fontId="2" fillId="0" borderId="36" xfId="9" applyNumberFormat="1" applyFont="1" applyBorder="1" applyAlignment="1">
      <alignment horizontal="center"/>
    </xf>
    <xf numFmtId="184" fontId="2" fillId="0" borderId="37" xfId="9" applyNumberFormat="1" applyFont="1" applyBorder="1" applyAlignment="1">
      <alignment horizontal="center"/>
    </xf>
    <xf numFmtId="2" fontId="3" fillId="0" borderId="36" xfId="9" applyNumberFormat="1" applyFont="1" applyBorder="1" applyAlignment="1">
      <alignment horizontal="center"/>
    </xf>
    <xf numFmtId="0" fontId="5" fillId="0" borderId="46" xfId="9" applyFont="1" applyBorder="1"/>
    <xf numFmtId="0" fontId="5" fillId="0" borderId="23" xfId="9" applyFont="1" applyBorder="1"/>
    <xf numFmtId="0" fontId="5" fillId="0" borderId="24" xfId="9" applyFont="1" applyBorder="1"/>
    <xf numFmtId="0" fontId="17" fillId="4" borderId="0" xfId="9" applyFont="1" applyFill="1"/>
    <xf numFmtId="0" fontId="5" fillId="4" borderId="0" xfId="9" applyFont="1" applyFill="1"/>
  </cellXfs>
  <cellStyles count="11">
    <cellStyle name="Normal" xfId="0" builtinId="0"/>
    <cellStyle name="Normal 2" xfId="1" xr:uid="{19A03860-B3D9-4198-A4E3-D3D98790013C}"/>
    <cellStyle name="Normal 2 2 2" xfId="9" xr:uid="{40586175-EFEA-46BA-AA7B-67052AA61BAD}"/>
    <cellStyle name="Normal 3" xfId="4" xr:uid="{1863CF65-7408-4582-9137-CF46AB18CAD8}"/>
    <cellStyle name="Normal 4" xfId="5" xr:uid="{E23F2300-0A76-438F-B87E-145D7923CB69}"/>
    <cellStyle name="Normal 5" xfId="10" xr:uid="{EC9363AC-D118-4946-B0A5-D26CA1F530DA}"/>
    <cellStyle name="Normal_MPCF1082 2" xfId="7" xr:uid="{A7323C13-FC49-47ED-9228-128D041E48F3}"/>
    <cellStyle name="Normal_MPCF1109" xfId="6" xr:uid="{B1462EB5-F9FB-4E1C-926F-0C8D60E93BB7}"/>
    <cellStyle name="Normal_OPTEST" xfId="2" xr:uid="{480CF6A8-5B57-4D2A-A7F6-236CB1A595D0}"/>
    <cellStyle name="Normal_PROJ_REV_HIST" xfId="3" xr:uid="{171B3D66-27D5-453C-A60C-9830F76A5D7E}"/>
    <cellStyle name="Normal_Rev. 1 2" xfId="8" xr:uid="{AD15BE39-098D-487D-BC68-E36B028EDBF2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97.323438371703332</c:v>
                </c:pt>
                <c:pt idx="2">
                  <c:v>250</c:v>
                </c:pt>
                <c:pt idx="3">
                  <c:v>190.20345539789906</c:v>
                </c:pt>
                <c:pt idx="4">
                  <c:v>149.15354177461541</c:v>
                </c:pt>
                <c:pt idx="5">
                  <c:v>130.4296564265012</c:v>
                </c:pt>
                <c:pt idx="6">
                  <c:v>118.82093845296841</c:v>
                </c:pt>
                <c:pt idx="7">
                  <c:v>115</c:v>
                </c:pt>
                <c:pt idx="8">
                  <c:v>115.0000182483185</c:v>
                </c:pt>
                <c:pt idx="9">
                  <c:v>115.00004525397601</c:v>
                </c:pt>
                <c:pt idx="10">
                  <c:v>115.00218325571205</c:v>
                </c:pt>
                <c:pt idx="11">
                  <c:v>115.00301107928379</c:v>
                </c:pt>
                <c:pt idx="12">
                  <c:v>115.00421547297283</c:v>
                </c:pt>
                <c:pt idx="13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DB-45B6-9D8E-94DD22B9E6AE}"/>
            </c:ext>
          </c:extLst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98.400001525878906</c:v>
                </c:pt>
                <c:pt idx="2">
                  <c:v>89.75</c:v>
                </c:pt>
                <c:pt idx="3">
                  <c:v>76.228569030761719</c:v>
                </c:pt>
                <c:pt idx="4">
                  <c:v>62.857139587402344</c:v>
                </c:pt>
                <c:pt idx="5">
                  <c:v>51.25714111328125</c:v>
                </c:pt>
                <c:pt idx="6">
                  <c:v>33.485713958740234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DB-45B6-9D8E-94DD22B9E6AE}"/>
            </c:ext>
          </c:extLst>
        </c:ser>
        <c:ser>
          <c:idx val="3"/>
          <c:order val="3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DesignSheet!$B$100:$B$113</c:f>
              <c:numCache>
                <c:formatCode>0.0</c:formatCode>
                <c:ptCount val="14"/>
                <c:pt idx="0">
                  <c:v>0</c:v>
                </c:pt>
                <c:pt idx="1">
                  <c:v>62.287003809422323</c:v>
                </c:pt>
                <c:pt idx="2">
                  <c:v>160.00000476837161</c:v>
                </c:pt>
                <c:pt idx="3">
                  <c:v>121.73021847159313</c:v>
                </c:pt>
                <c:pt idx="4">
                  <c:v>95.4582743292532</c:v>
                </c:pt>
                <c:pt idx="5">
                  <c:v>83.474982956498295</c:v>
                </c:pt>
                <c:pt idx="6">
                  <c:v>76.04540265695455</c:v>
                </c:pt>
                <c:pt idx="7">
                  <c:v>73.600002193450948</c:v>
                </c:pt>
                <c:pt idx="8">
                  <c:v>73.600011959076241</c:v>
                </c:pt>
                <c:pt idx="9">
                  <c:v>73.600031490326813</c:v>
                </c:pt>
                <c:pt idx="10">
                  <c:v>73.601398677867564</c:v>
                </c:pt>
                <c:pt idx="11">
                  <c:v>73.601930904445922</c:v>
                </c:pt>
                <c:pt idx="12">
                  <c:v>73.602702388843923</c:v>
                </c:pt>
                <c:pt idx="13">
                  <c:v>73.600002193450948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ADB-45B6-9D8E-94DD22B9E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455048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0.1821456253528595</c:v>
                </c:pt>
                <c:pt idx="1">
                  <c:v>112.65149688720703</c:v>
                </c:pt>
                <c:pt idx="2">
                  <c:v>390.02215576171875</c:v>
                </c:pt>
                <c:pt idx="3">
                  <c:v>497.94375610351563</c:v>
                </c:pt>
                <c:pt idx="4">
                  <c:v>533.81915283203125</c:v>
                </c:pt>
                <c:pt idx="5">
                  <c:v>551.29949951171875</c:v>
                </c:pt>
                <c:pt idx="6">
                  <c:v>571.4322509765625</c:v>
                </c:pt>
                <c:pt idx="7">
                  <c:v>585.791259765625</c:v>
                </c:pt>
                <c:pt idx="8">
                  <c:v>597.712890625</c:v>
                </c:pt>
                <c:pt idx="9">
                  <c:v>608.00775146484375</c:v>
                </c:pt>
                <c:pt idx="10">
                  <c:v>616.74298095703125</c:v>
                </c:pt>
                <c:pt idx="11">
                  <c:v>624.08251953125</c:v>
                </c:pt>
                <c:pt idx="12">
                  <c:v>630.343017578125</c:v>
                </c:pt>
                <c:pt idx="13">
                  <c:v>635.71429443359375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DB-45B6-9D8E-94DD22B9E6AE}"/>
            </c:ext>
          </c:extLst>
        </c:ser>
        <c:ser>
          <c:idx val="4"/>
          <c:order val="4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7.9999994486570358E-3</c:v>
                </c:pt>
                <c:pt idx="2">
                  <c:v>3.9999999105930328E-2</c:v>
                </c:pt>
                <c:pt idx="3" formatCode="0.00">
                  <c:v>9.1428570449352264E-2</c:v>
                </c:pt>
                <c:pt idx="4" formatCode="0.00">
                  <c:v>0.1428571492433548</c:v>
                </c:pt>
                <c:pt idx="5" formatCode="0.00">
                  <c:v>0.19428572058677673</c:v>
                </c:pt>
                <c:pt idx="6" formatCode="0.00">
                  <c:v>0.29714286327362061</c:v>
                </c:pt>
                <c:pt idx="7" formatCode="0.00">
                  <c:v>0.40000000596046448</c:v>
                </c:pt>
                <c:pt idx="8" formatCode="0.00">
                  <c:v>0.5</c:v>
                </c:pt>
                <c:pt idx="9" formatCode="0.00">
                  <c:v>0.60000002384185791</c:v>
                </c:pt>
                <c:pt idx="10" formatCode="0.00">
                  <c:v>0.69999998807907104</c:v>
                </c:pt>
                <c:pt idx="11" formatCode="0.00">
                  <c:v>0.80000001192092896</c:v>
                </c:pt>
                <c:pt idx="12" formatCode="0.00">
                  <c:v>0.89999997615814209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DesignSheet!$C$100:$C$113</c:f>
              <c:numCache>
                <c:formatCode>0.0</c:formatCode>
                <c:ptCount val="14"/>
                <c:pt idx="0">
                  <c:v>8.1601247787475586</c:v>
                </c:pt>
                <c:pt idx="1">
                  <c:v>90.121200561523438</c:v>
                </c:pt>
                <c:pt idx="2">
                  <c:v>312.01773071289063</c:v>
                </c:pt>
                <c:pt idx="3">
                  <c:v>398.35501098632813</c:v>
                </c:pt>
                <c:pt idx="4">
                  <c:v>427.05532836914063</c:v>
                </c:pt>
                <c:pt idx="5">
                  <c:v>441.03961181640625</c:v>
                </c:pt>
                <c:pt idx="6">
                  <c:v>457.14581298828125</c:v>
                </c:pt>
                <c:pt idx="7">
                  <c:v>468.63302612304688</c:v>
                </c:pt>
                <c:pt idx="8">
                  <c:v>478.17031860351563</c:v>
                </c:pt>
                <c:pt idx="9">
                  <c:v>486.40621948242188</c:v>
                </c:pt>
                <c:pt idx="10">
                  <c:v>493.39437866210938</c:v>
                </c:pt>
                <c:pt idx="11">
                  <c:v>499.26602172851563</c:v>
                </c:pt>
                <c:pt idx="12">
                  <c:v>504.2744140625</c:v>
                </c:pt>
                <c:pt idx="13">
                  <c:v>508.57144165039063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ADB-45B6-9D8E-94DD22B9E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81455048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81455048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42350740643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('DesignSheet 0.8V'!$A$59:$A$68,'DesignSheet 0.8V'!$D$59:$D$62)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0.01</c:v>
                </c:pt>
                <c:pt idx="2">
                  <c:v>0.05</c:v>
                </c:pt>
                <c:pt idx="3" formatCode="0.00">
                  <c:v>0.1</c:v>
                </c:pt>
                <c:pt idx="4" formatCode="0.00">
                  <c:v>0.15</c:v>
                </c:pt>
                <c:pt idx="5" formatCode="0.00">
                  <c:v>0.2</c:v>
                </c:pt>
                <c:pt idx="6" formatCode="0.00">
                  <c:v>0.3</c:v>
                </c:pt>
                <c:pt idx="7" formatCode="0.00">
                  <c:v>0.4</c:v>
                </c:pt>
                <c:pt idx="8" formatCode="0.00">
                  <c:v>0.5</c:v>
                </c:pt>
                <c:pt idx="9" formatCode="0.00">
                  <c:v>0.6</c:v>
                </c:pt>
                <c:pt idx="10" formatCode="0.00">
                  <c:v>0.7</c:v>
                </c:pt>
                <c:pt idx="11" formatCode="0.00">
                  <c:v>0.8</c:v>
                </c:pt>
                <c:pt idx="12" formatCode="0.00">
                  <c:v>0.9</c:v>
                </c:pt>
                <c:pt idx="13" formatCode="0.00">
                  <c:v>1</c:v>
                </c:pt>
              </c:numCache>
            </c:numRef>
          </c:xVal>
          <c:yVal>
            <c:numRef>
              <c:f>('DesignSheet 0.8V'!$B$59:$B$68,'DesignSheet 0.8V'!$E$59:$E$62)</c:f>
              <c:numCache>
                <c:formatCode>0.0</c:formatCode>
                <c:ptCount val="14"/>
                <c:pt idx="0">
                  <c:v>0</c:v>
                </c:pt>
                <c:pt idx="1">
                  <c:v>62.034231445873182</c:v>
                </c:pt>
                <c:pt idx="2">
                  <c:v>158.71417248442995</c:v>
                </c:pt>
                <c:pt idx="3">
                  <c:v>135.66522047438482</c:v>
                </c:pt>
                <c:pt idx="4">
                  <c:v>111.4183665526662</c:v>
                </c:pt>
                <c:pt idx="5">
                  <c:v>96.796965604450492</c:v>
                </c:pt>
                <c:pt idx="6">
                  <c:v>82.442673079603381</c:v>
                </c:pt>
                <c:pt idx="7">
                  <c:v>75.96173698686745</c:v>
                </c:pt>
                <c:pt idx="8">
                  <c:v>72.005902738289208</c:v>
                </c:pt>
                <c:pt idx="9">
                  <c:v>68.894696306940702</c:v>
                </c:pt>
                <c:pt idx="10">
                  <c:v>66.138878930933203</c:v>
                </c:pt>
                <c:pt idx="11">
                  <c:v>63.58353447141485</c:v>
                </c:pt>
                <c:pt idx="12">
                  <c:v>61.220209529181432</c:v>
                </c:pt>
                <c:pt idx="13">
                  <c:v>59.043432963547517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20-4DE4-8826-B289C465F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103184"/>
        <c:axId val="1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('DesignSheet 0.8V'!$A$59:$A$68,'DesignSheet 0.8V'!$D$59:$D$62)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0.01</c:v>
                </c:pt>
                <c:pt idx="2">
                  <c:v>0.05</c:v>
                </c:pt>
                <c:pt idx="3" formatCode="0.00">
                  <c:v>0.1</c:v>
                </c:pt>
                <c:pt idx="4" formatCode="0.00">
                  <c:v>0.15</c:v>
                </c:pt>
                <c:pt idx="5" formatCode="0.00">
                  <c:v>0.2</c:v>
                </c:pt>
                <c:pt idx="6" formatCode="0.00">
                  <c:v>0.3</c:v>
                </c:pt>
                <c:pt idx="7" formatCode="0.00">
                  <c:v>0.4</c:v>
                </c:pt>
                <c:pt idx="8" formatCode="0.00">
                  <c:v>0.5</c:v>
                </c:pt>
                <c:pt idx="9" formatCode="0.00">
                  <c:v>0.6</c:v>
                </c:pt>
                <c:pt idx="10" formatCode="0.00">
                  <c:v>0.7</c:v>
                </c:pt>
                <c:pt idx="11" formatCode="0.00">
                  <c:v>0.8</c:v>
                </c:pt>
                <c:pt idx="12" formatCode="0.00">
                  <c:v>0.9</c:v>
                </c:pt>
                <c:pt idx="13" formatCode="0.00">
                  <c:v>1</c:v>
                </c:pt>
              </c:numCache>
            </c:numRef>
          </c:xVal>
          <c:yVal>
            <c:numRef>
              <c:f>('DesignSheet 0.8V'!$C$59:$C$68,'DesignSheet 0.8V'!$F$59:$F$62)</c:f>
              <c:numCache>
                <c:formatCode>0.0</c:formatCode>
                <c:ptCount val="14"/>
                <c:pt idx="0">
                  <c:v>0</c:v>
                </c:pt>
                <c:pt idx="1">
                  <c:v>41.435279846191406</c:v>
                </c:pt>
                <c:pt idx="2">
                  <c:v>143.23854064941406</c:v>
                </c:pt>
                <c:pt idx="3">
                  <c:v>182.62400817871094</c:v>
                </c:pt>
                <c:pt idx="4">
                  <c:v>195.68307495117188</c:v>
                </c:pt>
                <c:pt idx="5">
                  <c:v>202.04618835449219</c:v>
                </c:pt>
                <c:pt idx="6">
                  <c:v>209.34608459472656</c:v>
                </c:pt>
                <c:pt idx="7">
                  <c:v>214.55201721191406</c:v>
                </c:pt>
                <c:pt idx="8">
                  <c:v>218.91700744628906</c:v>
                </c:pt>
                <c:pt idx="9">
                  <c:v>222.63368225097656</c:v>
                </c:pt>
                <c:pt idx="10">
                  <c:v>225.80702209472656</c:v>
                </c:pt>
                <c:pt idx="11">
                  <c:v>228.47917175292969</c:v>
                </c:pt>
                <c:pt idx="12">
                  <c:v>230.75808715820313</c:v>
                </c:pt>
                <c:pt idx="13">
                  <c:v>232.71299743652344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20-4DE4-8826-B289C465F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40103184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78528976983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At val="0"/>
        <c:crossBetween val="midCat"/>
        <c:majorUnit val="0.2"/>
        <c:minorUnit val="0.2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49319697107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40103184"/>
        <c:crosses val="max"/>
        <c:crossBetween val="midCat"/>
        <c:majorUnit val="50"/>
        <c:minorUnit val="50"/>
      </c:valAx>
      <c:valAx>
        <c:axId val="3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(A)</a:t>
                </a:r>
              </a:p>
            </c:rich>
          </c:tx>
          <c:layout>
            <c:manualLayout>
              <c:xMode val="edge"/>
              <c:yMode val="edge"/>
              <c:x val="0.92683199082873269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80692545009"/>
          <c:y val="2.851711026615969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 (FV / 0.80)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97.323438371703332</c:v>
                </c:pt>
                <c:pt idx="2">
                  <c:v>250</c:v>
                </c:pt>
                <c:pt idx="3">
                  <c:v>190.20345539789906</c:v>
                </c:pt>
                <c:pt idx="4">
                  <c:v>149.15354177461541</c:v>
                </c:pt>
                <c:pt idx="5">
                  <c:v>130.4296564265012</c:v>
                </c:pt>
                <c:pt idx="6">
                  <c:v>118.82093845296841</c:v>
                </c:pt>
                <c:pt idx="7">
                  <c:v>115</c:v>
                </c:pt>
                <c:pt idx="8">
                  <c:v>115.0000182483185</c:v>
                </c:pt>
                <c:pt idx="9">
                  <c:v>115.00004525397601</c:v>
                </c:pt>
                <c:pt idx="10">
                  <c:v>115.00218325571205</c:v>
                </c:pt>
                <c:pt idx="11">
                  <c:v>115.00301107928379</c:v>
                </c:pt>
                <c:pt idx="12">
                  <c:v>115.00421547297283</c:v>
                </c:pt>
                <c:pt idx="13">
                  <c:v>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79-4D45-ABD3-97AD5C449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102104"/>
        <c:axId val="1"/>
      </c:scatterChar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98.400001525878906</c:v>
                </c:pt>
                <c:pt idx="2">
                  <c:v>89.75</c:v>
                </c:pt>
                <c:pt idx="3">
                  <c:v>76.228569030761719</c:v>
                </c:pt>
                <c:pt idx="4">
                  <c:v>62.857139587402344</c:v>
                </c:pt>
                <c:pt idx="5">
                  <c:v>51.25714111328125</c:v>
                </c:pt>
                <c:pt idx="6">
                  <c:v>33.485713958740234</c:v>
                </c:pt>
                <c:pt idx="7">
                  <c:v>22</c:v>
                </c:pt>
                <c:pt idx="8">
                  <c:v>14</c:v>
                </c:pt>
                <c:pt idx="9">
                  <c:v>7.9999995231628418</c:v>
                </c:pt>
                <c:pt idx="10">
                  <c:v>5.9999995231628418</c:v>
                </c:pt>
                <c:pt idx="11">
                  <c:v>8.0000009536743164</c:v>
                </c:pt>
                <c:pt idx="12">
                  <c:v>14.999996185302734</c:v>
                </c:pt>
                <c:pt idx="13">
                  <c:v>30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079-4D45-ABD3-97AD5C449F7C}"/>
            </c:ext>
          </c:extLst>
        </c:ser>
        <c:ser>
          <c:idx val="3"/>
          <c:order val="3"/>
          <c:spPr>
            <a:ln w="25400">
              <a:solidFill>
                <a:srgbClr val="000000"/>
              </a:solidFill>
              <a:prstDash val="solid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STCurve!$E$54:$E$67</c:f>
              <c:numCache>
                <c:formatCode>0.0</c:formatCode>
                <c:ptCount val="14"/>
                <c:pt idx="0">
                  <c:v>0</c:v>
                </c:pt>
                <c:pt idx="1">
                  <c:v>62.287003809422323</c:v>
                </c:pt>
                <c:pt idx="2">
                  <c:v>160.00000476837161</c:v>
                </c:pt>
                <c:pt idx="3">
                  <c:v>121.73021847159313</c:v>
                </c:pt>
                <c:pt idx="4">
                  <c:v>95.4582743292532</c:v>
                </c:pt>
                <c:pt idx="5">
                  <c:v>83.474982956498295</c:v>
                </c:pt>
                <c:pt idx="6">
                  <c:v>76.04540265695455</c:v>
                </c:pt>
                <c:pt idx="7">
                  <c:v>73.600002193450948</c:v>
                </c:pt>
                <c:pt idx="8">
                  <c:v>73.600011959076241</c:v>
                </c:pt>
                <c:pt idx="9">
                  <c:v>73.600031490326813</c:v>
                </c:pt>
                <c:pt idx="10">
                  <c:v>73.601398677867564</c:v>
                </c:pt>
                <c:pt idx="11">
                  <c:v>73.601930904445922</c:v>
                </c:pt>
                <c:pt idx="12">
                  <c:v>73.602702388843923</c:v>
                </c:pt>
                <c:pt idx="13">
                  <c:v>73.600002193450948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79-4D45-ABD3-97AD5C449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102104"/>
        <c:axId val="1"/>
      </c:scatterChart>
      <c:scatterChart>
        <c:scatterStyle val="lineMarker"/>
        <c:varyColors val="0"/>
        <c:ser>
          <c:idx val="1"/>
          <c:order val="1"/>
          <c:tx>
            <c:v>Current (FV / 0.80)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0.1821456253528595</c:v>
                </c:pt>
                <c:pt idx="1">
                  <c:v>112.65149688720703</c:v>
                </c:pt>
                <c:pt idx="2">
                  <c:v>390.02215576171875</c:v>
                </c:pt>
                <c:pt idx="3">
                  <c:v>497.94375610351563</c:v>
                </c:pt>
                <c:pt idx="4">
                  <c:v>533.81915283203125</c:v>
                </c:pt>
                <c:pt idx="5">
                  <c:v>551.29949951171875</c:v>
                </c:pt>
                <c:pt idx="6">
                  <c:v>571.4322509765625</c:v>
                </c:pt>
                <c:pt idx="7">
                  <c:v>585.791259765625</c:v>
                </c:pt>
                <c:pt idx="8">
                  <c:v>597.712890625</c:v>
                </c:pt>
                <c:pt idx="9">
                  <c:v>608.00775146484375</c:v>
                </c:pt>
                <c:pt idx="10">
                  <c:v>616.74298095703125</c:v>
                </c:pt>
                <c:pt idx="11">
                  <c:v>624.08251953125</c:v>
                </c:pt>
                <c:pt idx="12">
                  <c:v>630.343017578125</c:v>
                </c:pt>
                <c:pt idx="13">
                  <c:v>635.71429443359375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79-4D45-ABD3-97AD5C449F7C}"/>
            </c:ext>
          </c:extLst>
        </c:ser>
        <c:ser>
          <c:idx val="4"/>
          <c:order val="4"/>
          <c:spPr>
            <a:ln w="25400">
              <a:solidFill>
                <a:srgbClr val="000000"/>
              </a:solidFill>
              <a:prstDash val="lg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99.200000055134296</c:v>
                </c:pt>
                <c:pt idx="2">
                  <c:v>96.000000089406967</c:v>
                </c:pt>
                <c:pt idx="3">
                  <c:v>90.857142955064774</c:v>
                </c:pt>
                <c:pt idx="4">
                  <c:v>85.71428507566452</c:v>
                </c:pt>
                <c:pt idx="5">
                  <c:v>80.571427941322327</c:v>
                </c:pt>
                <c:pt idx="6">
                  <c:v>70.285713672637939</c:v>
                </c:pt>
                <c:pt idx="7">
                  <c:v>59.999999403953552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STCurve!$F$54:$F$67</c:f>
              <c:numCache>
                <c:formatCode>0.0</c:formatCode>
                <c:ptCount val="14"/>
                <c:pt idx="0">
                  <c:v>8.1601247787475586</c:v>
                </c:pt>
                <c:pt idx="1">
                  <c:v>90.121200561523438</c:v>
                </c:pt>
                <c:pt idx="2">
                  <c:v>312.01773071289063</c:v>
                </c:pt>
                <c:pt idx="3">
                  <c:v>398.35501098632813</c:v>
                </c:pt>
                <c:pt idx="4">
                  <c:v>427.05532836914063</c:v>
                </c:pt>
                <c:pt idx="5">
                  <c:v>441.03961181640625</c:v>
                </c:pt>
                <c:pt idx="6">
                  <c:v>457.14581298828125</c:v>
                </c:pt>
                <c:pt idx="7">
                  <c:v>468.63302612304688</c:v>
                </c:pt>
                <c:pt idx="8">
                  <c:v>478.17031860351563</c:v>
                </c:pt>
                <c:pt idx="9">
                  <c:v>486.40621948242188</c:v>
                </c:pt>
                <c:pt idx="10">
                  <c:v>493.39437866210938</c:v>
                </c:pt>
                <c:pt idx="11">
                  <c:v>499.26602172851563</c:v>
                </c:pt>
                <c:pt idx="12">
                  <c:v>504.2744140625</c:v>
                </c:pt>
                <c:pt idx="13">
                  <c:v>508.57144165039063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079-4D45-ABD3-97AD5C449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40102104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7186075424"/>
              <c:y val="0.8460084029420276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"/>
        <c:crosses val="autoZero"/>
        <c:crossBetween val="midCat"/>
        <c:majorUnit val="20"/>
        <c:minorUnit val="2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175438596492E-2"/>
              <c:y val="0.2965781463628833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40102104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306119629783"/>
              <c:y val="0.29277586499406205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34386020168531561"/>
          <c:y val="0.94296657784697058"/>
          <c:w val="0.24147497352304645"/>
          <c:h val="5.7033422153029353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635.71428571428567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39.290674603174608</c:v>
                </c:pt>
                <c:pt idx="2">
                  <c:v>56.578571428571422</c:v>
                </c:pt>
                <c:pt idx="3">
                  <c:v>88.404017857142847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93-4FE8-A7E1-A7C2B76ECCA6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635.71428571428567</c:v>
                </c:pt>
                <c:pt idx="1">
                  <c:v>600</c:v>
                </c:pt>
                <c:pt idx="2">
                  <c:v>500</c:v>
                </c:pt>
                <c:pt idx="3">
                  <c:v>400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16.838860544217688</c:v>
                </c:pt>
                <c:pt idx="2">
                  <c:v>24.247959183673466</c:v>
                </c:pt>
                <c:pt idx="3">
                  <c:v>37.887436224489797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93-4FE8-A7E1-A7C2B76ECCA6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300</c:v>
                </c:pt>
                <c:pt idx="1">
                  <c:v>200</c:v>
                </c:pt>
                <c:pt idx="2">
                  <c:v>250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96.991836734693862</c:v>
                </c:pt>
                <c:pt idx="3">
                  <c:v>187.09845049130763</c:v>
                </c:pt>
                <c:pt idx="4">
                  <c:v>288.32293916377483</c:v>
                </c:pt>
                <c:pt idx="5" formatCode="0">
                  <c:v>600</c:v>
                </c:pt>
                <c:pt idx="6" formatCode="0">
                  <c:v>1200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B93-4FE8-A7E1-A7C2B76ECCA6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635.71428571428567</c:v>
                </c:pt>
                <c:pt idx="1">
                  <c:v>633.03571428571433</c:v>
                </c:pt>
                <c:pt idx="2">
                  <c:v>627.14285714285711</c:v>
                </c:pt>
                <c:pt idx="3">
                  <c:v>620.35714285714289</c:v>
                </c:pt>
                <c:pt idx="4">
                  <c:v>612.32142857142856</c:v>
                </c:pt>
                <c:pt idx="5">
                  <c:v>602.85714285714289</c:v>
                </c:pt>
                <c:pt idx="6">
                  <c:v>591.78571428571433</c:v>
                </c:pt>
                <c:pt idx="7">
                  <c:v>578.57142857142856</c:v>
                </c:pt>
                <c:pt idx="8">
                  <c:v>561.42857142857133</c:v>
                </c:pt>
                <c:pt idx="9">
                  <c:v>542.5</c:v>
                </c:pt>
                <c:pt idx="10">
                  <c:v>515.89285714285711</c:v>
                </c:pt>
                <c:pt idx="11">
                  <c:v>443.92857142857144</c:v>
                </c:pt>
                <c:pt idx="12">
                  <c:v>120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0.95572439644205565</c:v>
                </c:pt>
                <c:pt idx="2">
                  <c:v>1.8105142470080851</c:v>
                </c:pt>
                <c:pt idx="3">
                  <c:v>2.6295563257951735</c:v>
                </c:pt>
                <c:pt idx="4">
                  <c:v>3.4485985299191473</c:v>
                </c:pt>
                <c:pt idx="5">
                  <c:v>4.299182513288498</c:v>
                </c:pt>
                <c:pt idx="6">
                  <c:v>5.2107481555795667</c:v>
                </c:pt>
                <c:pt idx="7">
                  <c:v>6.2306078749866485</c:v>
                </c:pt>
                <c:pt idx="8">
                  <c:v>7.3356315013208384</c:v>
                </c:pt>
                <c:pt idx="9">
                  <c:v>7.8855144986524577</c:v>
                </c:pt>
                <c:pt idx="10">
                  <c:v>8.3397203311052319</c:v>
                </c:pt>
                <c:pt idx="11">
                  <c:v>8.6709120212669362</c:v>
                </c:pt>
                <c:pt idx="12">
                  <c:v>9.0000005584907523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B93-4FE8-A7E1-A7C2B76ECCA6}"/>
            </c:ext>
          </c:extLst>
        </c:ser>
        <c:ser>
          <c:idx val="4"/>
          <c:order val="4"/>
          <c:marker>
            <c:symbol val="none"/>
          </c:marker>
          <c:xVal>
            <c:numRef>
              <c:f>Thermdam!$G$68:$G$80</c:f>
              <c:numCache>
                <c:formatCode>General</c:formatCode>
                <c:ptCount val="13"/>
                <c:pt idx="0">
                  <c:v>508.57142857142856</c:v>
                </c:pt>
                <c:pt idx="1">
                  <c:v>506.4285714285715</c:v>
                </c:pt>
                <c:pt idx="2">
                  <c:v>501.71428571428572</c:v>
                </c:pt>
                <c:pt idx="3">
                  <c:v>496.28571428571433</c:v>
                </c:pt>
                <c:pt idx="4">
                  <c:v>489.85714285714289</c:v>
                </c:pt>
                <c:pt idx="5">
                  <c:v>482.28571428571433</c:v>
                </c:pt>
                <c:pt idx="6">
                  <c:v>473.4285714285715</c:v>
                </c:pt>
                <c:pt idx="7">
                  <c:v>462.85714285714289</c:v>
                </c:pt>
                <c:pt idx="8">
                  <c:v>449.14285714285711</c:v>
                </c:pt>
                <c:pt idx="9">
                  <c:v>434</c:v>
                </c:pt>
                <c:pt idx="10">
                  <c:v>412.71428571428572</c:v>
                </c:pt>
                <c:pt idx="11">
                  <c:v>355.14285714285717</c:v>
                </c:pt>
                <c:pt idx="12">
                  <c:v>120</c:v>
                </c:pt>
              </c:numCache>
            </c:numRef>
          </c:xVal>
          <c:yVal>
            <c:numRef>
              <c:f>Thermdam!$H$68:$H$80</c:f>
              <c:numCache>
                <c:formatCode>General</c:formatCode>
                <c:ptCount val="13"/>
                <c:pt idx="0" formatCode="0.00">
                  <c:v>1E-4</c:v>
                </c:pt>
                <c:pt idx="1">
                  <c:v>1.8052582551954344</c:v>
                </c:pt>
                <c:pt idx="2">
                  <c:v>3.4198622560311018</c:v>
                </c:pt>
                <c:pt idx="3">
                  <c:v>4.9669426482312451</c:v>
                </c:pt>
                <c:pt idx="4">
                  <c:v>6.5140232771789783</c:v>
                </c:pt>
                <c:pt idx="5">
                  <c:v>8.1206828575255106</c:v>
                </c:pt>
                <c:pt idx="6">
                  <c:v>9.8425300835926883</c:v>
                </c:pt>
                <c:pt idx="7">
                  <c:v>11.76893290898353</c:v>
                </c:pt>
                <c:pt idx="8">
                  <c:v>13.856200986529918</c:v>
                </c:pt>
                <c:pt idx="9">
                  <c:v>14.89486948135964</c:v>
                </c:pt>
                <c:pt idx="10">
                  <c:v>15.752814336221361</c:v>
                </c:pt>
                <c:pt idx="11">
                  <c:v>16.378399007850902</c:v>
                </c:pt>
                <c:pt idx="12">
                  <c:v>17.000011054927597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B93-4FE8-A7E1-A7C2B76EC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6076552"/>
        <c:axId val="1"/>
      </c:scatterChart>
      <c:valAx>
        <c:axId val="1086076552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7632359564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.1"/>
        <c:crossBetween val="midCat"/>
        <c:majorUnit val="100"/>
      </c:valAx>
      <c:valAx>
        <c:axId val="1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555824752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86076552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89.896644592285156</c:v>
                </c:pt>
                <c:pt idx="2">
                  <c:v>93.365455627441406</c:v>
                </c:pt>
                <c:pt idx="3">
                  <c:v>94.208465576171875</c:v>
                </c:pt>
                <c:pt idx="4">
                  <c:v>94.3095703125</c:v>
                </c:pt>
                <c:pt idx="5">
                  <c:v>94.119583129882813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C4-4ABB-AB8A-97BCD92AD19D}"/>
            </c:ext>
          </c:extLst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75.83502197265625</c:v>
                </c:pt>
                <c:pt idx="1">
                  <c:v>88.660690307617188</c:v>
                </c:pt>
                <c:pt idx="2">
                  <c:v>91.484405517578125</c:v>
                </c:pt>
                <c:pt idx="3">
                  <c:v>91.849159240722656</c:v>
                </c:pt>
                <c:pt idx="4">
                  <c:v>91.161888122558594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C4-4ABB-AB8A-97BCD92AD19D}"/>
            </c:ext>
          </c:extLst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78.147804788465862</c:v>
                </c:pt>
                <c:pt idx="2">
                  <c:v>63.979894770824963</c:v>
                </c:pt>
                <c:pt idx="3">
                  <c:v>49.427962654763924</c:v>
                </c:pt>
                <c:pt idx="4">
                  <c:v>33.499333696598214</c:v>
                </c:pt>
                <c:pt idx="5">
                  <c:v>18.185114422247594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C4-4ABB-AB8A-97BCD92AD19D}"/>
            </c:ext>
          </c:extLst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0.68100000000000005</c:v>
                </c:pt>
                <c:pt idx="1">
                  <c:v>9.3470010182069014</c:v>
                </c:pt>
                <c:pt idx="2">
                  <c:v>17.999463583029211</c:v>
                </c:pt>
                <c:pt idx="3">
                  <c:v>26.757596725362735</c:v>
                </c:pt>
                <c:pt idx="4">
                  <c:v>35.638548718878013</c:v>
                </c:pt>
                <c:pt idx="5">
                  <c:v>44.638110049108214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C4-4ABB-AB8A-97BCD92AD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0101024"/>
        <c:axId val="1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10.376617767495544</c:v>
                </c:pt>
                <c:pt idx="1">
                  <c:v>17.790763854980469</c:v>
                </c:pt>
                <c:pt idx="2">
                  <c:v>29.303573608398438</c:v>
                </c:pt>
                <c:pt idx="3">
                  <c:v>42.217464447021484</c:v>
                </c:pt>
                <c:pt idx="4">
                  <c:v>56.006305694580078</c:v>
                </c:pt>
                <c:pt idx="5">
                  <c:v>70.678054809570313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C4-4ABB-AB8A-97BCD92AD1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40101024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6581008769"/>
              <c:y val="0.9204563350035790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  <c:majorUnit val="25"/>
        <c:minorUnit val="12.5"/>
      </c:valAx>
      <c:valAx>
        <c:axId val="1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0773159169"/>
              <c:y val="0.2556822158593812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40101024"/>
        <c:crosses val="autoZero"/>
        <c:crossBetween val="midCat"/>
        <c:majorUnit val="10"/>
        <c:minorUnit val="5"/>
      </c:valAx>
      <c:valAx>
        <c:axId val="3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  <c:max val="8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6960467141"/>
              <c:y val="0.3200763540921021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"/>
        <c:crosses val="max"/>
        <c:crossBetween val="midCat"/>
        <c:majorUnit val="8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6350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6" name="Chart 1">
          <a:extLst>
            <a:ext uri="{FF2B5EF4-FFF2-40B4-BE49-F238E27FC236}">
              <a16:creationId xmlns:a16="http://schemas.microsoft.com/office/drawing/2014/main" id="{F9ACEDEA-B749-6518-F7D4-6242F043C4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B7416A-8832-4F31-AC13-A17293D798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75BD175-3D0E-441C-A5F5-D2195913604C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5A0EEF5-1E46-4D42-A884-DF3FED252613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D743C31D-EB7F-4CE0-9B94-BE4CA4E5033F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95FD706-FF37-4CE6-93D0-162387801047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597224E-BE87-4C93-A91A-8A02796C5D7F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240030</xdr:colOff>
      <xdr:row>35</xdr:row>
      <xdr:rowOff>114300</xdr:rowOff>
    </xdr:from>
    <xdr:to>
      <xdr:col>3</xdr:col>
      <xdr:colOff>546796</xdr:colOff>
      <xdr:row>36</xdr:row>
      <xdr:rowOff>9525</xdr:rowOff>
    </xdr:to>
    <xdr:sp macro="" textlink="">
      <xdr:nvSpPr>
        <xdr:cNvPr id="7" name="Depth2">
          <a:extLst>
            <a:ext uri="{FF2B5EF4-FFF2-40B4-BE49-F238E27FC236}">
              <a16:creationId xmlns:a16="http://schemas.microsoft.com/office/drawing/2014/main" id="{C82392D9-AADC-4552-885D-603FB46E9D56}"/>
            </a:ext>
          </a:extLst>
        </xdr:cNvPr>
        <xdr:cNvSpPr txBox="1">
          <a:spLocks noChangeArrowheads="1"/>
        </xdr:cNvSpPr>
      </xdr:nvSpPr>
      <xdr:spPr bwMode="auto">
        <a:xfrm>
          <a:off x="1973580" y="8181975"/>
          <a:ext cx="30676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32.05</a:t>
          </a:r>
        </a:p>
      </xdr:txBody>
    </xdr:sp>
    <xdr:clientData/>
  </xdr:twoCellAnchor>
  <xdr:twoCellAnchor>
    <xdr:from>
      <xdr:col>1</xdr:col>
      <xdr:colOff>314325</xdr:colOff>
      <xdr:row>33</xdr:row>
      <xdr:rowOff>190500</xdr:rowOff>
    </xdr:from>
    <xdr:to>
      <xdr:col>2</xdr:col>
      <xdr:colOff>123825</xdr:colOff>
      <xdr:row>34</xdr:row>
      <xdr:rowOff>66675</xdr:rowOff>
    </xdr:to>
    <xdr:sp macro="" textlink="">
      <xdr:nvSpPr>
        <xdr:cNvPr id="8" name="Tip2">
          <a:extLst>
            <a:ext uri="{FF2B5EF4-FFF2-40B4-BE49-F238E27FC236}">
              <a16:creationId xmlns:a16="http://schemas.microsoft.com/office/drawing/2014/main" id="{61EF6643-61E5-4D4E-AACB-CB82FE16C5F1}"/>
            </a:ext>
          </a:extLst>
        </xdr:cNvPr>
        <xdr:cNvSpPr txBox="1">
          <a:spLocks noChangeArrowheads="1"/>
        </xdr:cNvSpPr>
      </xdr:nvSpPr>
      <xdr:spPr bwMode="auto">
        <a:xfrm>
          <a:off x="1123950" y="7800975"/>
          <a:ext cx="21907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2.00</a:t>
          </a:r>
        </a:p>
      </xdr:txBody>
    </xdr:sp>
    <xdr:clientData/>
  </xdr:twoCellAnchor>
  <xdr:twoCellAnchor>
    <xdr:from>
      <xdr:col>2</xdr:col>
      <xdr:colOff>230505</xdr:colOff>
      <xdr:row>33</xdr:row>
      <xdr:rowOff>57150</xdr:rowOff>
    </xdr:from>
    <xdr:to>
      <xdr:col>3</xdr:col>
      <xdr:colOff>38154</xdr:colOff>
      <xdr:row>33</xdr:row>
      <xdr:rowOff>152400</xdr:rowOff>
    </xdr:to>
    <xdr:sp macro="" textlink="">
      <xdr:nvSpPr>
        <xdr:cNvPr id="9" name="Opening">
          <a:extLst>
            <a:ext uri="{FF2B5EF4-FFF2-40B4-BE49-F238E27FC236}">
              <a16:creationId xmlns:a16="http://schemas.microsoft.com/office/drawing/2014/main" id="{D3FFE11B-D3B6-49A8-814D-0C0BFD9F0597}"/>
            </a:ext>
          </a:extLst>
        </xdr:cNvPr>
        <xdr:cNvSpPr txBox="1">
          <a:spLocks noChangeArrowheads="1"/>
        </xdr:cNvSpPr>
      </xdr:nvSpPr>
      <xdr:spPr bwMode="auto">
        <a:xfrm>
          <a:off x="1449705" y="7667625"/>
          <a:ext cx="321999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182880</xdr:colOff>
      <xdr:row>36</xdr:row>
      <xdr:rowOff>171450</xdr:rowOff>
    </xdr:from>
    <xdr:to>
      <xdr:col>3</xdr:col>
      <xdr:colOff>38188</xdr:colOff>
      <xdr:row>37</xdr:row>
      <xdr:rowOff>38100</xdr:rowOff>
    </xdr:to>
    <xdr:sp macro="" textlink="">
      <xdr:nvSpPr>
        <xdr:cNvPr id="10" name="Width3">
          <a:extLst>
            <a:ext uri="{FF2B5EF4-FFF2-40B4-BE49-F238E27FC236}">
              <a16:creationId xmlns:a16="http://schemas.microsoft.com/office/drawing/2014/main" id="{CD5D2B06-715A-41FC-A486-40B986011109}"/>
            </a:ext>
          </a:extLst>
        </xdr:cNvPr>
        <xdr:cNvSpPr txBox="1">
          <a:spLocks noChangeArrowheads="1"/>
        </xdr:cNvSpPr>
      </xdr:nvSpPr>
      <xdr:spPr bwMode="auto">
        <a:xfrm>
          <a:off x="1402080" y="8467725"/>
          <a:ext cx="369658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8.05</a:t>
          </a:r>
        </a:p>
      </xdr:txBody>
    </xdr:sp>
    <xdr:clientData/>
  </xdr:twoCellAnchor>
  <xdr:twoCellAnchor>
    <xdr:from>
      <xdr:col>2</xdr:col>
      <xdr:colOff>104775</xdr:colOff>
      <xdr:row>33</xdr:row>
      <xdr:rowOff>180975</xdr:rowOff>
    </xdr:from>
    <xdr:to>
      <xdr:col>3</xdr:col>
      <xdr:colOff>400050</xdr:colOff>
      <xdr:row>37</xdr:row>
      <xdr:rowOff>171450</xdr:rowOff>
    </xdr:to>
    <xdr:grpSp>
      <xdr:nvGrpSpPr>
        <xdr:cNvPr id="11" name="Group 155">
          <a:extLst>
            <a:ext uri="{FF2B5EF4-FFF2-40B4-BE49-F238E27FC236}">
              <a16:creationId xmlns:a16="http://schemas.microsoft.com/office/drawing/2014/main" id="{4875A020-15CD-4A85-A049-88E1E3692698}"/>
            </a:ext>
          </a:extLst>
        </xdr:cNvPr>
        <xdr:cNvGrpSpPr>
          <a:grpSpLocks/>
        </xdr:cNvGrpSpPr>
      </xdr:nvGrpSpPr>
      <xdr:grpSpPr bwMode="auto">
        <a:xfrm>
          <a:off x="1323975" y="7791450"/>
          <a:ext cx="809625" cy="904875"/>
          <a:chOff x="133" y="794"/>
          <a:chExt cx="85" cy="95"/>
        </a:xfrm>
      </xdr:grpSpPr>
      <xdr:sp macro="" textlink="">
        <xdr:nvSpPr>
          <xdr:cNvPr id="12" name="Line 62">
            <a:extLst>
              <a:ext uri="{FF2B5EF4-FFF2-40B4-BE49-F238E27FC236}">
                <a16:creationId xmlns:a16="http://schemas.microsoft.com/office/drawing/2014/main" id="{636A9903-A18A-FF9F-AA46-C63797B22778}"/>
              </a:ext>
            </a:extLst>
          </xdr:cNvPr>
          <xdr:cNvSpPr>
            <a:spLocks noChangeShapeType="1"/>
          </xdr:cNvSpPr>
        </xdr:nvSpPr>
        <xdr:spPr bwMode="auto">
          <a:xfrm>
            <a:off x="134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63">
            <a:extLst>
              <a:ext uri="{FF2B5EF4-FFF2-40B4-BE49-F238E27FC236}">
                <a16:creationId xmlns:a16="http://schemas.microsoft.com/office/drawing/2014/main" id="{ECA7662A-4755-71D1-B8E5-E55111ADB748}"/>
              </a:ext>
            </a:extLst>
          </xdr:cNvPr>
          <xdr:cNvSpPr>
            <a:spLocks noChangeShapeType="1"/>
          </xdr:cNvSpPr>
        </xdr:nvSpPr>
        <xdr:spPr bwMode="auto">
          <a:xfrm flipH="1">
            <a:off x="170" y="794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64">
            <a:extLst>
              <a:ext uri="{FF2B5EF4-FFF2-40B4-BE49-F238E27FC236}">
                <a16:creationId xmlns:a16="http://schemas.microsoft.com/office/drawing/2014/main" id="{8F53DA58-5F04-8ECE-442F-363ABA780819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76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65">
            <a:extLst>
              <a:ext uri="{FF2B5EF4-FFF2-40B4-BE49-F238E27FC236}">
                <a16:creationId xmlns:a16="http://schemas.microsoft.com/office/drawing/2014/main" id="{23D57222-B5BA-5CA0-C719-AE6A6826AE2A}"/>
              </a:ext>
            </a:extLst>
          </xdr:cNvPr>
          <xdr:cNvSpPr>
            <a:spLocks noChangeShapeType="1"/>
          </xdr:cNvSpPr>
        </xdr:nvSpPr>
        <xdr:spPr bwMode="auto">
          <a:xfrm>
            <a:off x="154" y="877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69">
            <a:extLst>
              <a:ext uri="{FF2B5EF4-FFF2-40B4-BE49-F238E27FC236}">
                <a16:creationId xmlns:a16="http://schemas.microsoft.com/office/drawing/2014/main" id="{526A4ABB-2787-CBBA-995D-1C1BD2DCCDA7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889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70">
            <a:extLst>
              <a:ext uri="{FF2B5EF4-FFF2-40B4-BE49-F238E27FC236}">
                <a16:creationId xmlns:a16="http://schemas.microsoft.com/office/drawing/2014/main" id="{DD8D4847-AD8C-2DAE-1E80-58C12EE84D3D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795"/>
            <a:ext cx="0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71">
            <a:extLst>
              <a:ext uri="{FF2B5EF4-FFF2-40B4-BE49-F238E27FC236}">
                <a16:creationId xmlns:a16="http://schemas.microsoft.com/office/drawing/2014/main" id="{1D4798A6-5D65-1654-27C9-087AE4FA0CE5}"/>
              </a:ext>
            </a:extLst>
          </xdr:cNvPr>
          <xdr:cNvSpPr>
            <a:spLocks noChangeShapeType="1"/>
          </xdr:cNvSpPr>
        </xdr:nvSpPr>
        <xdr:spPr bwMode="auto">
          <a:xfrm>
            <a:off x="210" y="847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72">
            <a:extLst>
              <a:ext uri="{FF2B5EF4-FFF2-40B4-BE49-F238E27FC236}">
                <a16:creationId xmlns:a16="http://schemas.microsoft.com/office/drawing/2014/main" id="{D5238589-1441-EBC3-B7AA-D4962B41547C}"/>
              </a:ext>
            </a:extLst>
          </xdr:cNvPr>
          <xdr:cNvSpPr>
            <a:spLocks noChangeShapeType="1"/>
          </xdr:cNvSpPr>
        </xdr:nvSpPr>
        <xdr:spPr bwMode="auto">
          <a:xfrm>
            <a:off x="200" y="794"/>
            <a:ext cx="1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74">
            <a:extLst>
              <a:ext uri="{FF2B5EF4-FFF2-40B4-BE49-F238E27FC236}">
                <a16:creationId xmlns:a16="http://schemas.microsoft.com/office/drawing/2014/main" id="{984BBB74-A1D2-7647-2FCD-4656A5147A6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71"/>
            <a:ext cx="0" cy="1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75">
            <a:extLst>
              <a:ext uri="{FF2B5EF4-FFF2-40B4-BE49-F238E27FC236}">
                <a16:creationId xmlns:a16="http://schemas.microsoft.com/office/drawing/2014/main" id="{275398DD-88E0-11AE-DDEA-6AE7B53F55EA}"/>
              </a:ext>
            </a:extLst>
          </xdr:cNvPr>
          <xdr:cNvSpPr>
            <a:spLocks noChangeShapeType="1"/>
          </xdr:cNvSpPr>
        </xdr:nvSpPr>
        <xdr:spPr bwMode="auto">
          <a:xfrm flipV="1">
            <a:off x="190" y="868"/>
            <a:ext cx="0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76">
            <a:extLst>
              <a:ext uri="{FF2B5EF4-FFF2-40B4-BE49-F238E27FC236}">
                <a16:creationId xmlns:a16="http://schemas.microsoft.com/office/drawing/2014/main" id="{BC277B56-2E37-6122-D02E-8377F7948F06}"/>
              </a:ext>
            </a:extLst>
          </xdr:cNvPr>
          <xdr:cNvSpPr>
            <a:spLocks noChangeShapeType="1"/>
          </xdr:cNvSpPr>
        </xdr:nvSpPr>
        <xdr:spPr bwMode="auto">
          <a:xfrm flipV="1">
            <a:off x="133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77">
            <a:extLst>
              <a:ext uri="{FF2B5EF4-FFF2-40B4-BE49-F238E27FC236}">
                <a16:creationId xmlns:a16="http://schemas.microsoft.com/office/drawing/2014/main" id="{E1C431EC-29E2-61C8-B509-8DDC7E044194}"/>
              </a:ext>
            </a:extLst>
          </xdr:cNvPr>
          <xdr:cNvSpPr>
            <a:spLocks noChangeShapeType="1"/>
          </xdr:cNvSpPr>
        </xdr:nvSpPr>
        <xdr:spPr bwMode="auto">
          <a:xfrm flipH="1">
            <a:off x="133" y="805"/>
            <a:ext cx="0" cy="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78">
            <a:extLst>
              <a:ext uri="{FF2B5EF4-FFF2-40B4-BE49-F238E27FC236}">
                <a16:creationId xmlns:a16="http://schemas.microsoft.com/office/drawing/2014/main" id="{99E4ED4F-F1C4-7370-AB80-287653CAA3A9}"/>
              </a:ext>
            </a:extLst>
          </xdr:cNvPr>
          <xdr:cNvSpPr>
            <a:spLocks noChangeShapeType="1"/>
          </xdr:cNvSpPr>
        </xdr:nvSpPr>
        <xdr:spPr bwMode="auto">
          <a:xfrm flipV="1">
            <a:off x="154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79">
            <a:extLst>
              <a:ext uri="{FF2B5EF4-FFF2-40B4-BE49-F238E27FC236}">
                <a16:creationId xmlns:a16="http://schemas.microsoft.com/office/drawing/2014/main" id="{22FC37ED-C894-D212-CE8A-2C2AAA2B6BA5}"/>
              </a:ext>
            </a:extLst>
          </xdr:cNvPr>
          <xdr:cNvSpPr>
            <a:spLocks noChangeShapeType="1"/>
          </xdr:cNvSpPr>
        </xdr:nvSpPr>
        <xdr:spPr bwMode="auto">
          <a:xfrm>
            <a:off x="170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6" name="Line 81">
            <a:extLst>
              <a:ext uri="{FF2B5EF4-FFF2-40B4-BE49-F238E27FC236}">
                <a16:creationId xmlns:a16="http://schemas.microsoft.com/office/drawing/2014/main" id="{C0EFF42F-3500-245B-76DC-27E1921A13E3}"/>
              </a:ext>
            </a:extLst>
          </xdr:cNvPr>
          <xdr:cNvSpPr>
            <a:spLocks noChangeShapeType="1"/>
          </xdr:cNvSpPr>
        </xdr:nvSpPr>
        <xdr:spPr bwMode="auto">
          <a:xfrm>
            <a:off x="139" y="794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82">
            <a:extLst>
              <a:ext uri="{FF2B5EF4-FFF2-40B4-BE49-F238E27FC236}">
                <a16:creationId xmlns:a16="http://schemas.microsoft.com/office/drawing/2014/main" id="{6367BE02-0EE6-30D5-1D69-A2AC13D7037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83">
            <a:extLst>
              <a:ext uri="{FF2B5EF4-FFF2-40B4-BE49-F238E27FC236}">
                <a16:creationId xmlns:a16="http://schemas.microsoft.com/office/drawing/2014/main" id="{3426B968-3E31-5F58-FDA1-A6D21BFE1B6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" y="794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9" name="Line 84">
            <a:extLst>
              <a:ext uri="{FF2B5EF4-FFF2-40B4-BE49-F238E27FC236}">
                <a16:creationId xmlns:a16="http://schemas.microsoft.com/office/drawing/2014/main" id="{2197FA06-F1C7-6834-97D5-44CE05D6625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9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0" name="Line 85">
            <a:extLst>
              <a:ext uri="{FF2B5EF4-FFF2-40B4-BE49-F238E27FC236}">
                <a16:creationId xmlns:a16="http://schemas.microsoft.com/office/drawing/2014/main" id="{7624A52E-3485-5C57-3B51-72CF62E3F84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7" y="801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86">
            <a:extLst>
              <a:ext uri="{FF2B5EF4-FFF2-40B4-BE49-F238E27FC236}">
                <a16:creationId xmlns:a16="http://schemas.microsoft.com/office/drawing/2014/main" id="{20641ED1-6A4B-C774-818D-C57EBFF2D650}"/>
              </a:ext>
            </a:extLst>
          </xdr:cNvPr>
          <xdr:cNvSpPr>
            <a:spLocks noChangeShapeType="1"/>
          </xdr:cNvSpPr>
        </xdr:nvSpPr>
        <xdr:spPr bwMode="auto">
          <a:xfrm>
            <a:off x="190" y="805"/>
            <a:ext cx="0" cy="8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87">
            <a:extLst>
              <a:ext uri="{FF2B5EF4-FFF2-40B4-BE49-F238E27FC236}">
                <a16:creationId xmlns:a16="http://schemas.microsoft.com/office/drawing/2014/main" id="{AE86D3F6-E582-FD50-2597-3D854340797F}"/>
              </a:ext>
            </a:extLst>
          </xdr:cNvPr>
          <xdr:cNvSpPr>
            <a:spLocks noChangeShapeType="1"/>
          </xdr:cNvSpPr>
        </xdr:nvSpPr>
        <xdr:spPr bwMode="auto">
          <a:xfrm>
            <a:off x="169" y="805"/>
            <a:ext cx="21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3" name="Line 88">
            <a:extLst>
              <a:ext uri="{FF2B5EF4-FFF2-40B4-BE49-F238E27FC236}">
                <a16:creationId xmlns:a16="http://schemas.microsoft.com/office/drawing/2014/main" id="{37CCC2B9-D911-03F1-95C7-542177435105}"/>
              </a:ext>
            </a:extLst>
          </xdr:cNvPr>
          <xdr:cNvSpPr>
            <a:spLocks noChangeShapeType="1"/>
          </xdr:cNvSpPr>
        </xdr:nvSpPr>
        <xdr:spPr bwMode="auto">
          <a:xfrm>
            <a:off x="133" y="889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" name="Line 89">
            <a:extLst>
              <a:ext uri="{FF2B5EF4-FFF2-40B4-BE49-F238E27FC236}">
                <a16:creationId xmlns:a16="http://schemas.microsoft.com/office/drawing/2014/main" id="{F224311F-7BE0-69FD-A970-BA4B629B32AE}"/>
              </a:ext>
            </a:extLst>
          </xdr:cNvPr>
          <xdr:cNvSpPr>
            <a:spLocks noChangeShapeType="1"/>
          </xdr:cNvSpPr>
        </xdr:nvSpPr>
        <xdr:spPr bwMode="auto">
          <a:xfrm>
            <a:off x="154" y="797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5" name="Line 90">
            <a:extLst>
              <a:ext uri="{FF2B5EF4-FFF2-40B4-BE49-F238E27FC236}">
                <a16:creationId xmlns:a16="http://schemas.microsoft.com/office/drawing/2014/main" id="{05793DF3-ACF3-85F0-FA3A-22F344D0B00A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91">
            <a:extLst>
              <a:ext uri="{FF2B5EF4-FFF2-40B4-BE49-F238E27FC236}">
                <a16:creationId xmlns:a16="http://schemas.microsoft.com/office/drawing/2014/main" id="{FBCD083E-4EF1-9766-C769-B07551888490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54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92">
            <a:extLst>
              <a:ext uri="{FF2B5EF4-FFF2-40B4-BE49-F238E27FC236}">
                <a16:creationId xmlns:a16="http://schemas.microsoft.com/office/drawing/2014/main" id="{F8CA85AF-BF73-1E0A-15E0-95C2C1803290}"/>
              </a:ext>
            </a:extLst>
          </xdr:cNvPr>
          <xdr:cNvSpPr>
            <a:spLocks noChangeShapeType="1"/>
          </xdr:cNvSpPr>
        </xdr:nvSpPr>
        <xdr:spPr bwMode="auto">
          <a:xfrm flipH="1">
            <a:off x="154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93">
            <a:extLst>
              <a:ext uri="{FF2B5EF4-FFF2-40B4-BE49-F238E27FC236}">
                <a16:creationId xmlns:a16="http://schemas.microsoft.com/office/drawing/2014/main" id="{715662B8-F5B5-7599-426D-48EA42723B83}"/>
              </a:ext>
            </a:extLst>
          </xdr:cNvPr>
          <xdr:cNvSpPr>
            <a:spLocks noChangeShapeType="1"/>
          </xdr:cNvSpPr>
        </xdr:nvSpPr>
        <xdr:spPr bwMode="auto">
          <a:xfrm flipV="1">
            <a:off x="167" y="797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94">
            <a:extLst>
              <a:ext uri="{FF2B5EF4-FFF2-40B4-BE49-F238E27FC236}">
                <a16:creationId xmlns:a16="http://schemas.microsoft.com/office/drawing/2014/main" id="{D2037BD8-6410-1768-02AB-E3ECF858B7E0}"/>
              </a:ext>
            </a:extLst>
          </xdr:cNvPr>
          <xdr:cNvSpPr>
            <a:spLocks noChangeShapeType="1"/>
          </xdr:cNvSpPr>
        </xdr:nvSpPr>
        <xdr:spPr bwMode="auto">
          <a:xfrm>
            <a:off x="167" y="795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182880</xdr:colOff>
      <xdr:row>29</xdr:row>
      <xdr:rowOff>76200</xdr:rowOff>
    </xdr:from>
    <xdr:to>
      <xdr:col>3</xdr:col>
      <xdr:colOff>441960</xdr:colOff>
      <xdr:row>29</xdr:row>
      <xdr:rowOff>200025</xdr:rowOff>
    </xdr:to>
    <xdr:sp macro="" textlink="">
      <xdr:nvSpPr>
        <xdr:cNvPr id="40" name="Depth">
          <a:extLst>
            <a:ext uri="{FF2B5EF4-FFF2-40B4-BE49-F238E27FC236}">
              <a16:creationId xmlns:a16="http://schemas.microsoft.com/office/drawing/2014/main" id="{ABEE792C-E839-494E-9801-D94AC615E409}"/>
            </a:ext>
          </a:extLst>
        </xdr:cNvPr>
        <xdr:cNvSpPr txBox="1">
          <a:spLocks noChangeArrowheads="1"/>
        </xdr:cNvSpPr>
      </xdr:nvSpPr>
      <xdr:spPr bwMode="auto">
        <a:xfrm>
          <a:off x="1916430" y="6772275"/>
          <a:ext cx="25908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50.5</a:t>
          </a:r>
        </a:p>
      </xdr:txBody>
    </xdr:sp>
    <xdr:clientData/>
  </xdr:twoCellAnchor>
  <xdr:twoCellAnchor>
    <xdr:from>
      <xdr:col>1</xdr:col>
      <xdr:colOff>114300</xdr:colOff>
      <xdr:row>30</xdr:row>
      <xdr:rowOff>219075</xdr:rowOff>
    </xdr:from>
    <xdr:to>
      <xdr:col>2</xdr:col>
      <xdr:colOff>87705</xdr:colOff>
      <xdr:row>31</xdr:row>
      <xdr:rowOff>87766</xdr:rowOff>
    </xdr:to>
    <xdr:sp macro="" textlink="">
      <xdr:nvSpPr>
        <xdr:cNvPr id="41" name="Tip">
          <a:extLst>
            <a:ext uri="{FF2B5EF4-FFF2-40B4-BE49-F238E27FC236}">
              <a16:creationId xmlns:a16="http://schemas.microsoft.com/office/drawing/2014/main" id="{62F28CDA-860F-4234-A287-E324F73AB97F}"/>
            </a:ext>
          </a:extLst>
        </xdr:cNvPr>
        <xdr:cNvSpPr txBox="1">
          <a:spLocks noChangeArrowheads="1"/>
        </xdr:cNvSpPr>
      </xdr:nvSpPr>
      <xdr:spPr bwMode="auto">
        <a:xfrm>
          <a:off x="923925" y="7143750"/>
          <a:ext cx="382980" cy="97291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238125</xdr:colOff>
      <xdr:row>26</xdr:row>
      <xdr:rowOff>190500</xdr:rowOff>
    </xdr:from>
    <xdr:to>
      <xdr:col>3</xdr:col>
      <xdr:colOff>28575</xdr:colOff>
      <xdr:row>27</xdr:row>
      <xdr:rowOff>57150</xdr:rowOff>
    </xdr:to>
    <xdr:sp macro="" textlink="">
      <xdr:nvSpPr>
        <xdr:cNvPr id="42" name="Width">
          <a:extLst>
            <a:ext uri="{FF2B5EF4-FFF2-40B4-BE49-F238E27FC236}">
              <a16:creationId xmlns:a16="http://schemas.microsoft.com/office/drawing/2014/main" id="{926645E2-D914-463B-9176-66FEE2B5A095}"/>
            </a:ext>
          </a:extLst>
        </xdr:cNvPr>
        <xdr:cNvSpPr txBox="1">
          <a:spLocks noChangeArrowheads="1"/>
        </xdr:cNvSpPr>
      </xdr:nvSpPr>
      <xdr:spPr bwMode="auto">
        <a:xfrm>
          <a:off x="1457325" y="6200775"/>
          <a:ext cx="30480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10.1</a:t>
          </a:r>
        </a:p>
      </xdr:txBody>
    </xdr:sp>
    <xdr:clientData/>
  </xdr:twoCellAnchor>
  <xdr:twoCellAnchor>
    <xdr:from>
      <xdr:col>2</xdr:col>
      <xdr:colOff>0</xdr:colOff>
      <xdr:row>27</xdr:row>
      <xdr:rowOff>47625</xdr:rowOff>
    </xdr:from>
    <xdr:to>
      <xdr:col>3</xdr:col>
      <xdr:colOff>428625</xdr:colOff>
      <xdr:row>31</xdr:row>
      <xdr:rowOff>209550</xdr:rowOff>
    </xdr:to>
    <xdr:grpSp>
      <xdr:nvGrpSpPr>
        <xdr:cNvPr id="43" name="Group 209">
          <a:extLst>
            <a:ext uri="{FF2B5EF4-FFF2-40B4-BE49-F238E27FC236}">
              <a16:creationId xmlns:a16="http://schemas.microsoft.com/office/drawing/2014/main" id="{FFD39469-5F19-4F70-9DEF-289F7DDCAD23}"/>
            </a:ext>
          </a:extLst>
        </xdr:cNvPr>
        <xdr:cNvGrpSpPr>
          <a:grpSpLocks/>
        </xdr:cNvGrpSpPr>
      </xdr:nvGrpSpPr>
      <xdr:grpSpPr bwMode="auto">
        <a:xfrm>
          <a:off x="1219200" y="6286500"/>
          <a:ext cx="942975" cy="1076325"/>
          <a:chOff x="128" y="636"/>
          <a:chExt cx="99" cy="113"/>
        </a:xfrm>
      </xdr:grpSpPr>
      <xdr:sp macro="" textlink="">
        <xdr:nvSpPr>
          <xdr:cNvPr id="44" name="Line 162">
            <a:extLst>
              <a:ext uri="{FF2B5EF4-FFF2-40B4-BE49-F238E27FC236}">
                <a16:creationId xmlns:a16="http://schemas.microsoft.com/office/drawing/2014/main" id="{50026AC1-53A7-65A3-BB27-398EE8E675FC}"/>
              </a:ext>
            </a:extLst>
          </xdr:cNvPr>
          <xdr:cNvSpPr>
            <a:spLocks noChangeShapeType="1"/>
          </xdr:cNvSpPr>
        </xdr:nvSpPr>
        <xdr:spPr bwMode="auto">
          <a:xfrm flipH="1">
            <a:off x="192" y="650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3">
            <a:extLst>
              <a:ext uri="{FF2B5EF4-FFF2-40B4-BE49-F238E27FC236}">
                <a16:creationId xmlns:a16="http://schemas.microsoft.com/office/drawing/2014/main" id="{9F65A19F-EE3F-32D4-8AFB-5BA01C5E9341}"/>
              </a:ext>
            </a:extLst>
          </xdr:cNvPr>
          <xdr:cNvSpPr>
            <a:spLocks noChangeShapeType="1"/>
          </xdr:cNvSpPr>
        </xdr:nvSpPr>
        <xdr:spPr bwMode="auto">
          <a:xfrm flipH="1">
            <a:off x="144" y="651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4">
            <a:extLst>
              <a:ext uri="{FF2B5EF4-FFF2-40B4-BE49-F238E27FC236}">
                <a16:creationId xmlns:a16="http://schemas.microsoft.com/office/drawing/2014/main" id="{A16A00FA-46CC-EAAE-C458-955830F9377E}"/>
              </a:ext>
            </a:extLst>
          </xdr:cNvPr>
          <xdr:cNvSpPr>
            <a:spLocks noChangeShapeType="1"/>
          </xdr:cNvSpPr>
        </xdr:nvSpPr>
        <xdr:spPr bwMode="auto">
          <a:xfrm>
            <a:off x="193" y="650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5">
            <a:extLst>
              <a:ext uri="{FF2B5EF4-FFF2-40B4-BE49-F238E27FC236}">
                <a16:creationId xmlns:a16="http://schemas.microsoft.com/office/drawing/2014/main" id="{4A804023-F8C6-E1B1-1FE9-2E854644AA70}"/>
              </a:ext>
            </a:extLst>
          </xdr:cNvPr>
          <xdr:cNvSpPr>
            <a:spLocks noChangeShapeType="1"/>
          </xdr:cNvSpPr>
        </xdr:nvSpPr>
        <xdr:spPr bwMode="auto">
          <a:xfrm>
            <a:off x="146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6">
            <a:extLst>
              <a:ext uri="{FF2B5EF4-FFF2-40B4-BE49-F238E27FC236}">
                <a16:creationId xmlns:a16="http://schemas.microsoft.com/office/drawing/2014/main" id="{675310ED-89F9-CDEF-B063-29C6594144E3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7">
            <a:extLst>
              <a:ext uri="{FF2B5EF4-FFF2-40B4-BE49-F238E27FC236}">
                <a16:creationId xmlns:a16="http://schemas.microsoft.com/office/drawing/2014/main" id="{06AEE89A-FB54-61D2-5B1F-EFE53458EA14}"/>
              </a:ext>
            </a:extLst>
          </xdr:cNvPr>
          <xdr:cNvSpPr>
            <a:spLocks noChangeShapeType="1"/>
          </xdr:cNvSpPr>
        </xdr:nvSpPr>
        <xdr:spPr bwMode="auto">
          <a:xfrm flipH="1">
            <a:off x="200" y="728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8">
            <a:extLst>
              <a:ext uri="{FF2B5EF4-FFF2-40B4-BE49-F238E27FC236}">
                <a16:creationId xmlns:a16="http://schemas.microsoft.com/office/drawing/2014/main" id="{82374C16-B9FA-8BBB-7BCA-8432807350CD}"/>
              </a:ext>
            </a:extLst>
          </xdr:cNvPr>
          <xdr:cNvSpPr>
            <a:spLocks noChangeShapeType="1"/>
          </xdr:cNvSpPr>
        </xdr:nvSpPr>
        <xdr:spPr bwMode="auto">
          <a:xfrm>
            <a:off x="140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9">
            <a:extLst>
              <a:ext uri="{FF2B5EF4-FFF2-40B4-BE49-F238E27FC236}">
                <a16:creationId xmlns:a16="http://schemas.microsoft.com/office/drawing/2014/main" id="{E2658586-0058-8A90-D2C8-E0508F7117D1}"/>
              </a:ext>
            </a:extLst>
          </xdr:cNvPr>
          <xdr:cNvSpPr>
            <a:spLocks noChangeShapeType="1"/>
          </xdr:cNvSpPr>
        </xdr:nvSpPr>
        <xdr:spPr bwMode="auto">
          <a:xfrm>
            <a:off x="192" y="72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70">
            <a:extLst>
              <a:ext uri="{FF2B5EF4-FFF2-40B4-BE49-F238E27FC236}">
                <a16:creationId xmlns:a16="http://schemas.microsoft.com/office/drawing/2014/main" id="{4EFBB4DD-40FF-2DE0-F3CF-5375A081E46B}"/>
              </a:ext>
            </a:extLst>
          </xdr:cNvPr>
          <xdr:cNvSpPr>
            <a:spLocks noChangeShapeType="1"/>
          </xdr:cNvSpPr>
        </xdr:nvSpPr>
        <xdr:spPr bwMode="auto">
          <a:xfrm>
            <a:off x="147" y="73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1">
            <a:extLst>
              <a:ext uri="{FF2B5EF4-FFF2-40B4-BE49-F238E27FC236}">
                <a16:creationId xmlns:a16="http://schemas.microsoft.com/office/drawing/2014/main" id="{BAC01C6C-F06D-9A73-E154-90123776A530}"/>
              </a:ext>
            </a:extLst>
          </xdr:cNvPr>
          <xdr:cNvSpPr>
            <a:spLocks noChangeShapeType="1"/>
          </xdr:cNvSpPr>
        </xdr:nvSpPr>
        <xdr:spPr bwMode="auto">
          <a:xfrm>
            <a:off x="192" y="738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2">
            <a:extLst>
              <a:ext uri="{FF2B5EF4-FFF2-40B4-BE49-F238E27FC236}">
                <a16:creationId xmlns:a16="http://schemas.microsoft.com/office/drawing/2014/main" id="{3D2DF358-3196-90AD-3D2E-C61BC6801607}"/>
              </a:ext>
            </a:extLst>
          </xdr:cNvPr>
          <xdr:cNvSpPr>
            <a:spLocks noChangeShapeType="1"/>
          </xdr:cNvSpPr>
        </xdr:nvSpPr>
        <xdr:spPr bwMode="auto">
          <a:xfrm flipH="1">
            <a:off x="131" y="738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3">
            <a:extLst>
              <a:ext uri="{FF2B5EF4-FFF2-40B4-BE49-F238E27FC236}">
                <a16:creationId xmlns:a16="http://schemas.microsoft.com/office/drawing/2014/main" id="{F0C6066B-F596-BEE0-4C4C-570B5A967EE1}"/>
              </a:ext>
            </a:extLst>
          </xdr:cNvPr>
          <xdr:cNvSpPr>
            <a:spLocks noChangeShapeType="1"/>
          </xdr:cNvSpPr>
        </xdr:nvSpPr>
        <xdr:spPr bwMode="auto">
          <a:xfrm>
            <a:off x="200" y="652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4">
            <a:extLst>
              <a:ext uri="{FF2B5EF4-FFF2-40B4-BE49-F238E27FC236}">
                <a16:creationId xmlns:a16="http://schemas.microsoft.com/office/drawing/2014/main" id="{0FC6511F-D9A2-10A3-C0F0-FDAE90EB7C29}"/>
              </a:ext>
            </a:extLst>
          </xdr:cNvPr>
          <xdr:cNvSpPr>
            <a:spLocks noChangeShapeType="1"/>
          </xdr:cNvSpPr>
        </xdr:nvSpPr>
        <xdr:spPr bwMode="auto">
          <a:xfrm flipV="1">
            <a:off x="210" y="653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5">
            <a:extLst>
              <a:ext uri="{FF2B5EF4-FFF2-40B4-BE49-F238E27FC236}">
                <a16:creationId xmlns:a16="http://schemas.microsoft.com/office/drawing/2014/main" id="{06775FF4-A5E6-F1B3-7761-A4DB9D7E35D8}"/>
              </a:ext>
            </a:extLst>
          </xdr:cNvPr>
          <xdr:cNvSpPr>
            <a:spLocks noChangeShapeType="1"/>
          </xdr:cNvSpPr>
        </xdr:nvSpPr>
        <xdr:spPr bwMode="auto">
          <a:xfrm>
            <a:off x="210" y="707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6">
            <a:extLst>
              <a:ext uri="{FF2B5EF4-FFF2-40B4-BE49-F238E27FC236}">
                <a16:creationId xmlns:a16="http://schemas.microsoft.com/office/drawing/2014/main" id="{01FE0250-D817-3227-8318-78AC273B66A1}"/>
              </a:ext>
            </a:extLst>
          </xdr:cNvPr>
          <xdr:cNvSpPr>
            <a:spLocks noChangeShapeType="1"/>
          </xdr:cNvSpPr>
        </xdr:nvSpPr>
        <xdr:spPr bwMode="auto">
          <a:xfrm flipV="1">
            <a:off x="134" y="739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7">
            <a:extLst>
              <a:ext uri="{FF2B5EF4-FFF2-40B4-BE49-F238E27FC236}">
                <a16:creationId xmlns:a16="http://schemas.microsoft.com/office/drawing/2014/main" id="{C395D1EB-F1E5-B1C3-E4D2-D6263D712A73}"/>
              </a:ext>
            </a:extLst>
          </xdr:cNvPr>
          <xdr:cNvSpPr>
            <a:spLocks noChangeShapeType="1"/>
          </xdr:cNvSpPr>
        </xdr:nvSpPr>
        <xdr:spPr bwMode="auto">
          <a:xfrm>
            <a:off x="132" y="71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8">
            <a:extLst>
              <a:ext uri="{FF2B5EF4-FFF2-40B4-BE49-F238E27FC236}">
                <a16:creationId xmlns:a16="http://schemas.microsoft.com/office/drawing/2014/main" id="{1EC14CDB-7DE1-A37B-EB0F-E498CA1396B9}"/>
              </a:ext>
            </a:extLst>
          </xdr:cNvPr>
          <xdr:cNvSpPr>
            <a:spLocks noChangeShapeType="1"/>
          </xdr:cNvSpPr>
        </xdr:nvSpPr>
        <xdr:spPr bwMode="auto">
          <a:xfrm>
            <a:off x="128" y="723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9">
            <a:extLst>
              <a:ext uri="{FF2B5EF4-FFF2-40B4-BE49-F238E27FC236}">
                <a16:creationId xmlns:a16="http://schemas.microsoft.com/office/drawing/2014/main" id="{A5851697-387F-636E-6DAF-A76640168534}"/>
              </a:ext>
            </a:extLst>
          </xdr:cNvPr>
          <xdr:cNvSpPr>
            <a:spLocks noChangeShapeType="1"/>
          </xdr:cNvSpPr>
        </xdr:nvSpPr>
        <xdr:spPr bwMode="auto">
          <a:xfrm flipV="1">
            <a:off x="193" y="636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80">
            <a:extLst>
              <a:ext uri="{FF2B5EF4-FFF2-40B4-BE49-F238E27FC236}">
                <a16:creationId xmlns:a16="http://schemas.microsoft.com/office/drawing/2014/main" id="{4F4D8347-3193-21F7-1BF6-919843DF96B2}"/>
              </a:ext>
            </a:extLst>
          </xdr:cNvPr>
          <xdr:cNvSpPr>
            <a:spLocks noChangeShapeType="1"/>
          </xdr:cNvSpPr>
        </xdr:nvSpPr>
        <xdr:spPr bwMode="auto">
          <a:xfrm flipV="1">
            <a:off x="145" y="637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1">
            <a:extLst>
              <a:ext uri="{FF2B5EF4-FFF2-40B4-BE49-F238E27FC236}">
                <a16:creationId xmlns:a16="http://schemas.microsoft.com/office/drawing/2014/main" id="{77641978-A6C1-702D-0B95-B9EDF600880A}"/>
              </a:ext>
            </a:extLst>
          </xdr:cNvPr>
          <xdr:cNvSpPr>
            <a:spLocks noChangeShapeType="1"/>
          </xdr:cNvSpPr>
        </xdr:nvSpPr>
        <xdr:spPr bwMode="auto">
          <a:xfrm>
            <a:off x="154" y="642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2">
            <a:extLst>
              <a:ext uri="{FF2B5EF4-FFF2-40B4-BE49-F238E27FC236}">
                <a16:creationId xmlns:a16="http://schemas.microsoft.com/office/drawing/2014/main" id="{03699538-0C47-EB07-A02A-6D285933B77B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642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3">
            <a:extLst>
              <a:ext uri="{FF2B5EF4-FFF2-40B4-BE49-F238E27FC236}">
                <a16:creationId xmlns:a16="http://schemas.microsoft.com/office/drawing/2014/main" id="{71EF2319-EBF0-175B-9E20-ED047A1DD485}"/>
              </a:ext>
            </a:extLst>
          </xdr:cNvPr>
          <xdr:cNvSpPr>
            <a:spLocks noChangeShapeType="1"/>
          </xdr:cNvSpPr>
        </xdr:nvSpPr>
        <xdr:spPr bwMode="auto">
          <a:xfrm>
            <a:off x="140" y="72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4">
            <a:extLst>
              <a:ext uri="{FF2B5EF4-FFF2-40B4-BE49-F238E27FC236}">
                <a16:creationId xmlns:a16="http://schemas.microsoft.com/office/drawing/2014/main" id="{EF885C9D-2255-D40A-ABF3-E5FB2BE264BE}"/>
              </a:ext>
            </a:extLst>
          </xdr:cNvPr>
          <xdr:cNvSpPr>
            <a:spLocks noChangeShapeType="1"/>
          </xdr:cNvSpPr>
        </xdr:nvSpPr>
        <xdr:spPr bwMode="auto">
          <a:xfrm>
            <a:off x="192" y="729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5">
            <a:extLst>
              <a:ext uri="{FF2B5EF4-FFF2-40B4-BE49-F238E27FC236}">
                <a16:creationId xmlns:a16="http://schemas.microsoft.com/office/drawing/2014/main" id="{74AED04B-C168-976E-35F1-6765C5000A98}"/>
              </a:ext>
            </a:extLst>
          </xdr:cNvPr>
          <xdr:cNvSpPr>
            <a:spLocks noChangeShapeType="1"/>
          </xdr:cNvSpPr>
        </xdr:nvSpPr>
        <xdr:spPr bwMode="auto">
          <a:xfrm flipV="1">
            <a:off x="200" y="721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6">
            <a:extLst>
              <a:ext uri="{FF2B5EF4-FFF2-40B4-BE49-F238E27FC236}">
                <a16:creationId xmlns:a16="http://schemas.microsoft.com/office/drawing/2014/main" id="{93F7D5EC-7C6E-8D8D-BA81-8CE7669189F3}"/>
              </a:ext>
            </a:extLst>
          </xdr:cNvPr>
          <xdr:cNvSpPr>
            <a:spLocks noChangeShapeType="1"/>
          </xdr:cNvSpPr>
        </xdr:nvSpPr>
        <xdr:spPr bwMode="auto">
          <a:xfrm>
            <a:off x="193" y="722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181199</xdr:colOff>
      <xdr:row>42</xdr:row>
      <xdr:rowOff>66114</xdr:rowOff>
    </xdr:from>
    <xdr:to>
      <xdr:col>3</xdr:col>
      <xdr:colOff>506918</xdr:colOff>
      <xdr:row>42</xdr:row>
      <xdr:rowOff>191060</xdr:rowOff>
    </xdr:to>
    <xdr:sp macro="" textlink="">
      <xdr:nvSpPr>
        <xdr:cNvPr id="69" name="Radius">
          <a:extLst>
            <a:ext uri="{FF2B5EF4-FFF2-40B4-BE49-F238E27FC236}">
              <a16:creationId xmlns:a16="http://schemas.microsoft.com/office/drawing/2014/main" id="{BCFD7744-A369-465D-BCEB-CDFE46874132}"/>
            </a:ext>
          </a:extLst>
        </xdr:cNvPr>
        <xdr:cNvSpPr txBox="1">
          <a:spLocks noChangeArrowheads="1"/>
        </xdr:cNvSpPr>
      </xdr:nvSpPr>
      <xdr:spPr bwMode="auto">
        <a:xfrm>
          <a:off x="1914749" y="9733989"/>
          <a:ext cx="325719" cy="124946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278.4</a:t>
          </a:r>
        </a:p>
      </xdr:txBody>
    </xdr:sp>
    <xdr:clientData/>
  </xdr:twoCellAnchor>
  <xdr:twoCellAnchor>
    <xdr:from>
      <xdr:col>3</xdr:col>
      <xdr:colOff>335281</xdr:colOff>
      <xdr:row>40</xdr:row>
      <xdr:rowOff>64247</xdr:rowOff>
    </xdr:from>
    <xdr:to>
      <xdr:col>3</xdr:col>
      <xdr:colOff>593272</xdr:colOff>
      <xdr:row>40</xdr:row>
      <xdr:rowOff>149819</xdr:rowOff>
    </xdr:to>
    <xdr:sp macro="" textlink="">
      <xdr:nvSpPr>
        <xdr:cNvPr id="70" name="Height">
          <a:extLst>
            <a:ext uri="{FF2B5EF4-FFF2-40B4-BE49-F238E27FC236}">
              <a16:creationId xmlns:a16="http://schemas.microsoft.com/office/drawing/2014/main" id="{B1AE7009-E06F-41D0-AF4C-FC5C69D7C8E1}"/>
            </a:ext>
          </a:extLst>
        </xdr:cNvPr>
        <xdr:cNvSpPr txBox="1">
          <a:spLocks noChangeArrowheads="1"/>
        </xdr:cNvSpPr>
      </xdr:nvSpPr>
      <xdr:spPr bwMode="auto">
        <a:xfrm>
          <a:off x="2068831" y="9274922"/>
          <a:ext cx="257991" cy="85572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35.0</a:t>
          </a:r>
        </a:p>
      </xdr:txBody>
    </xdr:sp>
    <xdr:clientData/>
  </xdr:twoCellAnchor>
  <xdr:twoCellAnchor>
    <xdr:from>
      <xdr:col>2</xdr:col>
      <xdr:colOff>122928</xdr:colOff>
      <xdr:row>41</xdr:row>
      <xdr:rowOff>52107</xdr:rowOff>
    </xdr:from>
    <xdr:to>
      <xdr:col>2</xdr:col>
      <xdr:colOff>389628</xdr:colOff>
      <xdr:row>41</xdr:row>
      <xdr:rowOff>166407</xdr:rowOff>
    </xdr:to>
    <xdr:sp macro="" textlink="">
      <xdr:nvSpPr>
        <xdr:cNvPr id="71" name="Clear">
          <a:extLst>
            <a:ext uri="{FF2B5EF4-FFF2-40B4-BE49-F238E27FC236}">
              <a16:creationId xmlns:a16="http://schemas.microsoft.com/office/drawing/2014/main" id="{8893C98A-DE2F-42E7-9E05-29E90CB1E4C9}"/>
            </a:ext>
          </a:extLst>
        </xdr:cNvPr>
        <xdr:cNvSpPr txBox="1">
          <a:spLocks noChangeArrowheads="1"/>
        </xdr:cNvSpPr>
      </xdr:nvSpPr>
      <xdr:spPr bwMode="auto">
        <a:xfrm>
          <a:off x="1342128" y="9491382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63.5</a:t>
          </a:r>
        </a:p>
      </xdr:txBody>
    </xdr:sp>
    <xdr:clientData/>
  </xdr:twoCellAnchor>
  <xdr:twoCellAnchor>
    <xdr:from>
      <xdr:col>2</xdr:col>
      <xdr:colOff>420258</xdr:colOff>
      <xdr:row>41</xdr:row>
      <xdr:rowOff>169582</xdr:rowOff>
    </xdr:from>
    <xdr:to>
      <xdr:col>3</xdr:col>
      <xdr:colOff>192779</xdr:colOff>
      <xdr:row>42</xdr:row>
      <xdr:rowOff>45757</xdr:rowOff>
    </xdr:to>
    <xdr:sp macro="" textlink="">
      <xdr:nvSpPr>
        <xdr:cNvPr id="72" name="Thickness">
          <a:extLst>
            <a:ext uri="{FF2B5EF4-FFF2-40B4-BE49-F238E27FC236}">
              <a16:creationId xmlns:a16="http://schemas.microsoft.com/office/drawing/2014/main" id="{9C7C8612-C02C-4A44-8718-FA116522805B}"/>
            </a:ext>
          </a:extLst>
        </xdr:cNvPr>
        <xdr:cNvSpPr txBox="1">
          <a:spLocks noChangeArrowheads="1"/>
        </xdr:cNvSpPr>
      </xdr:nvSpPr>
      <xdr:spPr bwMode="auto">
        <a:xfrm>
          <a:off x="1639458" y="9608857"/>
          <a:ext cx="286871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45.0</a:t>
          </a:r>
        </a:p>
      </xdr:txBody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3" name="Rectangle 210">
          <a:extLst>
            <a:ext uri="{FF2B5EF4-FFF2-40B4-BE49-F238E27FC236}">
              <a16:creationId xmlns:a16="http://schemas.microsoft.com/office/drawing/2014/main" id="{3DE93218-F83A-4026-9CD8-9114D9852A7A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74" name="Rectangle 211">
          <a:extLst>
            <a:ext uri="{FF2B5EF4-FFF2-40B4-BE49-F238E27FC236}">
              <a16:creationId xmlns:a16="http://schemas.microsoft.com/office/drawing/2014/main" id="{39A7B13E-ACC0-46EE-8101-995808A4FCEE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75" name="Rectangle 212">
          <a:extLst>
            <a:ext uri="{FF2B5EF4-FFF2-40B4-BE49-F238E27FC236}">
              <a16:creationId xmlns:a16="http://schemas.microsoft.com/office/drawing/2014/main" id="{31672A68-BBC6-4D33-90DA-614DC590C5C9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76" name="Rectangle 213">
          <a:extLst>
            <a:ext uri="{FF2B5EF4-FFF2-40B4-BE49-F238E27FC236}">
              <a16:creationId xmlns:a16="http://schemas.microsoft.com/office/drawing/2014/main" id="{80FF40EE-B538-41EE-ABB5-2B5A995167AD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77" name="Rectangle 214">
          <a:extLst>
            <a:ext uri="{FF2B5EF4-FFF2-40B4-BE49-F238E27FC236}">
              <a16:creationId xmlns:a16="http://schemas.microsoft.com/office/drawing/2014/main" id="{9C4654AF-358E-4412-BC08-2C71986412CA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238125</xdr:colOff>
      <xdr:row>39</xdr:row>
      <xdr:rowOff>104775</xdr:rowOff>
    </xdr:from>
    <xdr:to>
      <xdr:col>3</xdr:col>
      <xdr:colOff>428625</xdr:colOff>
      <xdr:row>42</xdr:row>
      <xdr:rowOff>152400</xdr:rowOff>
    </xdr:to>
    <xdr:grpSp>
      <xdr:nvGrpSpPr>
        <xdr:cNvPr id="78" name="Group 104">
          <a:extLst>
            <a:ext uri="{FF2B5EF4-FFF2-40B4-BE49-F238E27FC236}">
              <a16:creationId xmlns:a16="http://schemas.microsoft.com/office/drawing/2014/main" id="{ACA7C23D-1D14-4409-B959-970ED024898A}"/>
            </a:ext>
          </a:extLst>
        </xdr:cNvPr>
        <xdr:cNvGrpSpPr>
          <a:grpSpLocks/>
        </xdr:cNvGrpSpPr>
      </xdr:nvGrpSpPr>
      <xdr:grpSpPr bwMode="auto">
        <a:xfrm>
          <a:off x="1047750" y="9086850"/>
          <a:ext cx="1114425" cy="733425"/>
          <a:chOff x="921807" y="9129183"/>
          <a:chExt cx="1110192" cy="729192"/>
        </a:xfrm>
      </xdr:grpSpPr>
      <xdr:grpSp>
        <xdr:nvGrpSpPr>
          <xdr:cNvPr id="79" name="Group 112">
            <a:extLst>
              <a:ext uri="{FF2B5EF4-FFF2-40B4-BE49-F238E27FC236}">
                <a16:creationId xmlns:a16="http://schemas.microsoft.com/office/drawing/2014/main" id="{C0B89C13-F383-E5B9-B524-F90DC05CF04A}"/>
              </a:ext>
            </a:extLst>
          </xdr:cNvPr>
          <xdr:cNvGrpSpPr>
            <a:grpSpLocks/>
          </xdr:cNvGrpSpPr>
        </xdr:nvGrpSpPr>
        <xdr:grpSpPr bwMode="auto">
          <a:xfrm>
            <a:off x="921807" y="9129183"/>
            <a:ext cx="887941" cy="729192"/>
            <a:chOff x="13440000" y="15720000"/>
            <a:chExt cx="1904539" cy="1540000"/>
          </a:xfrm>
        </xdr:grpSpPr>
        <xdr:grpSp>
          <xdr:nvGrpSpPr>
            <xdr:cNvPr id="90" name="Group 113">
              <a:extLst>
                <a:ext uri="{FF2B5EF4-FFF2-40B4-BE49-F238E27FC236}">
                  <a16:creationId xmlns:a16="http://schemas.microsoft.com/office/drawing/2014/main" id="{C463D99D-0168-50BA-757C-18AFC85DF52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3440000" y="15720000"/>
              <a:ext cx="1904539" cy="1540000"/>
              <a:chOff x="13440000" y="15720000"/>
              <a:chExt cx="1904539" cy="1540000"/>
            </a:xfrm>
          </xdr:grpSpPr>
          <xdr:sp macro="" textlink="">
            <xdr:nvSpPr>
              <xdr:cNvPr id="92" name="Line 114">
                <a:extLst>
                  <a:ext uri="{FF2B5EF4-FFF2-40B4-BE49-F238E27FC236}">
                    <a16:creationId xmlns:a16="http://schemas.microsoft.com/office/drawing/2014/main" id="{7D1B886D-6738-F5CA-50F1-154D6F0E759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3" name="Line 115">
                <a:extLst>
                  <a:ext uri="{FF2B5EF4-FFF2-40B4-BE49-F238E27FC236}">
                    <a16:creationId xmlns:a16="http://schemas.microsoft.com/office/drawing/2014/main" id="{F0851192-0B62-EF42-9DEF-B36AEF678C3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4" name="Line 116">
                <a:extLst>
                  <a:ext uri="{FF2B5EF4-FFF2-40B4-BE49-F238E27FC236}">
                    <a16:creationId xmlns:a16="http://schemas.microsoft.com/office/drawing/2014/main" id="{C4813D5A-541C-103F-17AD-65383B0F81F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4059999" y="15818346"/>
                <a:ext cx="1284540" cy="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5" name="Line 117">
                <a:extLst>
                  <a:ext uri="{FF2B5EF4-FFF2-40B4-BE49-F238E27FC236}">
                    <a16:creationId xmlns:a16="http://schemas.microsoft.com/office/drawing/2014/main" id="{033DE5FF-7C39-D1CF-04F4-5592A72CFE5E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6" name="Line 118">
                <a:extLst>
                  <a:ext uri="{FF2B5EF4-FFF2-40B4-BE49-F238E27FC236}">
                    <a16:creationId xmlns:a16="http://schemas.microsoft.com/office/drawing/2014/main" id="{80CCA6D6-4CED-3FA0-638A-A39B886D1B9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060000" y="16259998"/>
                <a:ext cx="644580" cy="745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97" name="Line 119">
                <a:extLst>
                  <a:ext uri="{FF2B5EF4-FFF2-40B4-BE49-F238E27FC236}">
                    <a16:creationId xmlns:a16="http://schemas.microsoft.com/office/drawing/2014/main" id="{C6739D7C-B8DC-0006-8EAD-CA729582FC11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4686237" y="15818346"/>
                <a:ext cx="13764" cy="821654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91" name="Line 120">
              <a:extLst>
                <a:ext uri="{FF2B5EF4-FFF2-40B4-BE49-F238E27FC236}">
                  <a16:creationId xmlns:a16="http://schemas.microsoft.com/office/drawing/2014/main" id="{C2B9EE10-E93B-F009-CF07-7000B9B9354C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80" name="Group 106">
            <a:extLst>
              <a:ext uri="{FF2B5EF4-FFF2-40B4-BE49-F238E27FC236}">
                <a16:creationId xmlns:a16="http://schemas.microsoft.com/office/drawing/2014/main" id="{837DA305-630C-1970-2814-37965B30D1D9}"/>
              </a:ext>
            </a:extLst>
          </xdr:cNvPr>
          <xdr:cNvGrpSpPr>
            <a:grpSpLocks/>
          </xdr:cNvGrpSpPr>
        </xdr:nvGrpSpPr>
        <xdr:grpSpPr bwMode="auto">
          <a:xfrm>
            <a:off x="1214967" y="9175750"/>
            <a:ext cx="817032" cy="597957"/>
            <a:chOff x="1214967" y="9175750"/>
            <a:chExt cx="817032" cy="597957"/>
          </a:xfrm>
        </xdr:grpSpPr>
        <xdr:sp macro="" textlink="">
          <xdr:nvSpPr>
            <xdr:cNvPr id="81" name="Line 121">
              <a:extLst>
                <a:ext uri="{FF2B5EF4-FFF2-40B4-BE49-F238E27FC236}">
                  <a16:creationId xmlns:a16="http://schemas.microsoft.com/office/drawing/2014/main" id="{1700BC6D-AD7F-91D9-5EA1-BBE4D0F948A8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214967" y="9479492"/>
              <a:ext cx="276225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arrow" w="sm" len="sm"/>
              <a:tailEnd type="arrow" w="sm" len="sm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82" name="Group 108">
              <a:extLst>
                <a:ext uri="{FF2B5EF4-FFF2-40B4-BE49-F238E27FC236}">
                  <a16:creationId xmlns:a16="http://schemas.microsoft.com/office/drawing/2014/main" id="{B7D46DBF-0A8D-AA8F-56E2-6D344623DC1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00717" y="9175750"/>
              <a:ext cx="531282" cy="597957"/>
              <a:chOff x="1500717" y="9175750"/>
              <a:chExt cx="531282" cy="597957"/>
            </a:xfrm>
          </xdr:grpSpPr>
          <xdr:sp macro="" textlink="">
            <xdr:nvSpPr>
              <xdr:cNvPr id="83" name="Line 102">
                <a:extLst>
                  <a:ext uri="{FF2B5EF4-FFF2-40B4-BE49-F238E27FC236}">
                    <a16:creationId xmlns:a16="http://schemas.microsoft.com/office/drawing/2014/main" id="{DE5D3241-3C49-DF4F-8A4B-2E623CEF09B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841499" y="9559925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4" name="Line 103">
                <a:extLst>
                  <a:ext uri="{FF2B5EF4-FFF2-40B4-BE49-F238E27FC236}">
                    <a16:creationId xmlns:a16="http://schemas.microsoft.com/office/drawing/2014/main" id="{DA8B2F5C-A249-1340-04B9-05EF00E7350B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500717" y="9584267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5" name="Line 104">
                <a:extLst>
                  <a:ext uri="{FF2B5EF4-FFF2-40B4-BE49-F238E27FC236}">
                    <a16:creationId xmlns:a16="http://schemas.microsoft.com/office/drawing/2014/main" id="{52FCF730-18F7-4558-D7C8-FC04D7011202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807633" y="9593792"/>
                <a:ext cx="0" cy="132291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6" name="Line 105">
                <a:extLst>
                  <a:ext uri="{FF2B5EF4-FFF2-40B4-BE49-F238E27FC236}">
                    <a16:creationId xmlns:a16="http://schemas.microsoft.com/office/drawing/2014/main" id="{43B18A3B-D9FC-443E-C854-8BC25C56C8BC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510242" y="9630833"/>
                <a:ext cx="28786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7" name="Line 106">
                <a:extLst>
                  <a:ext uri="{FF2B5EF4-FFF2-40B4-BE49-F238E27FC236}">
                    <a16:creationId xmlns:a16="http://schemas.microsoft.com/office/drawing/2014/main" id="{5C0BC769-0AE6-079A-7D58-24B3C7D55B5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940982" y="9572624"/>
                <a:ext cx="1059" cy="201083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8" name="Line 107">
                <a:extLst>
                  <a:ext uri="{FF2B5EF4-FFF2-40B4-BE49-F238E27FC236}">
                    <a16:creationId xmlns:a16="http://schemas.microsoft.com/office/drawing/2014/main" id="{1B20F966-0EA1-3CC2-3CA9-4C89254FFD7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942041" y="9191624"/>
                <a:ext cx="5292" cy="3524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 type="arrow" w="sm" len="sm"/>
                <a:tailEnd type="arrow" w="sm" len="sm"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89" name="Line 102">
                <a:extLst>
                  <a:ext uri="{FF2B5EF4-FFF2-40B4-BE49-F238E27FC236}">
                    <a16:creationId xmlns:a16="http://schemas.microsoft.com/office/drawing/2014/main" id="{638FCD72-E552-E5A4-A582-CFA2571EDC4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H="1">
                <a:off x="1825625" y="9175750"/>
                <a:ext cx="1905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</xdr:grpSp>
    </xdr:grpSp>
    <xdr:clientData/>
  </xdr:twoCellAnchor>
  <xdr:twoCellAnchor>
    <xdr:from>
      <xdr:col>6</xdr:col>
      <xdr:colOff>11430</xdr:colOff>
      <xdr:row>52</xdr:row>
      <xdr:rowOff>154305</xdr:rowOff>
    </xdr:from>
    <xdr:to>
      <xdr:col>6</xdr:col>
      <xdr:colOff>316548</xdr:colOff>
      <xdr:row>53</xdr:row>
      <xdr:rowOff>47955</xdr:rowOff>
    </xdr:to>
    <xdr:sp macro="" textlink="">
      <xdr:nvSpPr>
        <xdr:cNvPr id="98" name="Radius">
          <a:extLst>
            <a:ext uri="{FF2B5EF4-FFF2-40B4-BE49-F238E27FC236}">
              <a16:creationId xmlns:a16="http://schemas.microsoft.com/office/drawing/2014/main" id="{95EE5ED0-8EB3-4742-BF07-466DF4F778EC}"/>
            </a:ext>
          </a:extLst>
        </xdr:cNvPr>
        <xdr:cNvSpPr txBox="1">
          <a:spLocks noChangeArrowheads="1"/>
        </xdr:cNvSpPr>
      </xdr:nvSpPr>
      <xdr:spPr bwMode="auto">
        <a:xfrm>
          <a:off x="4126230" y="11908155"/>
          <a:ext cx="305118" cy="936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354330</xdr:colOff>
      <xdr:row>52</xdr:row>
      <xdr:rowOff>11430</xdr:rowOff>
    </xdr:from>
    <xdr:to>
      <xdr:col>6</xdr:col>
      <xdr:colOff>49530</xdr:colOff>
      <xdr:row>52</xdr:row>
      <xdr:rowOff>126683</xdr:rowOff>
    </xdr:to>
    <xdr:sp macro="" textlink="">
      <xdr:nvSpPr>
        <xdr:cNvPr id="99" name="Thickness">
          <a:extLst>
            <a:ext uri="{FF2B5EF4-FFF2-40B4-BE49-F238E27FC236}">
              <a16:creationId xmlns:a16="http://schemas.microsoft.com/office/drawing/2014/main" id="{9BDCCF47-4E00-4BC7-B2ED-8CAD706A0EE5}"/>
            </a:ext>
          </a:extLst>
        </xdr:cNvPr>
        <xdr:cNvSpPr txBox="1">
          <a:spLocks noChangeArrowheads="1"/>
        </xdr:cNvSpPr>
      </xdr:nvSpPr>
      <xdr:spPr bwMode="auto">
        <a:xfrm>
          <a:off x="3840480" y="11765280"/>
          <a:ext cx="323850" cy="11525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11430</xdr:colOff>
      <xdr:row>52</xdr:row>
      <xdr:rowOff>154305</xdr:rowOff>
    </xdr:from>
    <xdr:to>
      <xdr:col>6</xdr:col>
      <xdr:colOff>316548</xdr:colOff>
      <xdr:row>53</xdr:row>
      <xdr:rowOff>47955</xdr:rowOff>
    </xdr:to>
    <xdr:sp macro="" textlink="">
      <xdr:nvSpPr>
        <xdr:cNvPr id="100" name="Radius">
          <a:extLst>
            <a:ext uri="{FF2B5EF4-FFF2-40B4-BE49-F238E27FC236}">
              <a16:creationId xmlns:a16="http://schemas.microsoft.com/office/drawing/2014/main" id="{6B68AB41-DBD2-4FDD-8F4B-D07DDB91D95F}"/>
            </a:ext>
          </a:extLst>
        </xdr:cNvPr>
        <xdr:cNvSpPr txBox="1">
          <a:spLocks noChangeArrowheads="1"/>
        </xdr:cNvSpPr>
      </xdr:nvSpPr>
      <xdr:spPr bwMode="auto">
        <a:xfrm>
          <a:off x="4126230" y="11908155"/>
          <a:ext cx="305118" cy="936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354330</xdr:colOff>
      <xdr:row>52</xdr:row>
      <xdr:rowOff>11430</xdr:rowOff>
    </xdr:from>
    <xdr:to>
      <xdr:col>6</xdr:col>
      <xdr:colOff>49530</xdr:colOff>
      <xdr:row>52</xdr:row>
      <xdr:rowOff>126683</xdr:rowOff>
    </xdr:to>
    <xdr:sp macro="" textlink="">
      <xdr:nvSpPr>
        <xdr:cNvPr id="101" name="Thickness">
          <a:extLst>
            <a:ext uri="{FF2B5EF4-FFF2-40B4-BE49-F238E27FC236}">
              <a16:creationId xmlns:a16="http://schemas.microsoft.com/office/drawing/2014/main" id="{EB20F126-C7F5-434A-99BF-52B1E66001E7}"/>
            </a:ext>
          </a:extLst>
        </xdr:cNvPr>
        <xdr:cNvSpPr txBox="1">
          <a:spLocks noChangeArrowheads="1"/>
        </xdr:cNvSpPr>
      </xdr:nvSpPr>
      <xdr:spPr bwMode="auto">
        <a:xfrm>
          <a:off x="3840480" y="11765280"/>
          <a:ext cx="323850" cy="11525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11430</xdr:colOff>
      <xdr:row>52</xdr:row>
      <xdr:rowOff>154305</xdr:rowOff>
    </xdr:from>
    <xdr:to>
      <xdr:col>6</xdr:col>
      <xdr:colOff>316548</xdr:colOff>
      <xdr:row>53</xdr:row>
      <xdr:rowOff>47955</xdr:rowOff>
    </xdr:to>
    <xdr:sp macro="" textlink="">
      <xdr:nvSpPr>
        <xdr:cNvPr id="102" name="Radius">
          <a:extLst>
            <a:ext uri="{FF2B5EF4-FFF2-40B4-BE49-F238E27FC236}">
              <a16:creationId xmlns:a16="http://schemas.microsoft.com/office/drawing/2014/main" id="{6A03E321-951A-4AF4-BD70-58656068F8CA}"/>
            </a:ext>
          </a:extLst>
        </xdr:cNvPr>
        <xdr:cNvSpPr txBox="1">
          <a:spLocks noChangeArrowheads="1"/>
        </xdr:cNvSpPr>
      </xdr:nvSpPr>
      <xdr:spPr bwMode="auto">
        <a:xfrm>
          <a:off x="4126230" y="11908155"/>
          <a:ext cx="305118" cy="936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5</xdr:col>
      <xdr:colOff>354330</xdr:colOff>
      <xdr:row>52</xdr:row>
      <xdr:rowOff>11430</xdr:rowOff>
    </xdr:from>
    <xdr:to>
      <xdr:col>6</xdr:col>
      <xdr:colOff>49530</xdr:colOff>
      <xdr:row>52</xdr:row>
      <xdr:rowOff>126683</xdr:rowOff>
    </xdr:to>
    <xdr:sp macro="" textlink="">
      <xdr:nvSpPr>
        <xdr:cNvPr id="103" name="Thickness">
          <a:extLst>
            <a:ext uri="{FF2B5EF4-FFF2-40B4-BE49-F238E27FC236}">
              <a16:creationId xmlns:a16="http://schemas.microsoft.com/office/drawing/2014/main" id="{3655B663-E8FF-4BAD-9541-58FBAC9EB410}"/>
            </a:ext>
          </a:extLst>
        </xdr:cNvPr>
        <xdr:cNvSpPr txBox="1">
          <a:spLocks noChangeArrowheads="1"/>
        </xdr:cNvSpPr>
      </xdr:nvSpPr>
      <xdr:spPr bwMode="auto">
        <a:xfrm>
          <a:off x="3840480" y="11765280"/>
          <a:ext cx="323850" cy="115253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6</xdr:col>
      <xdr:colOff>19050</xdr:colOff>
      <xdr:row>52</xdr:row>
      <xdr:rowOff>152400</xdr:rowOff>
    </xdr:from>
    <xdr:to>
      <xdr:col>6</xdr:col>
      <xdr:colOff>304800</xdr:colOff>
      <xdr:row>53</xdr:row>
      <xdr:rowOff>47625</xdr:rowOff>
    </xdr:to>
    <xdr:sp macro="" textlink="">
      <xdr:nvSpPr>
        <xdr:cNvPr id="104" name="Radius">
          <a:extLst>
            <a:ext uri="{FF2B5EF4-FFF2-40B4-BE49-F238E27FC236}">
              <a16:creationId xmlns:a16="http://schemas.microsoft.com/office/drawing/2014/main" id="{6ACF272A-B6F0-4439-A6B5-E81DDC03434E}"/>
            </a:ext>
          </a:extLst>
        </xdr:cNvPr>
        <xdr:cNvSpPr txBox="1">
          <a:spLocks noChangeArrowheads="1"/>
        </xdr:cNvSpPr>
      </xdr:nvSpPr>
      <xdr:spPr bwMode="auto">
        <a:xfrm>
          <a:off x="4133850" y="11906250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352425</xdr:colOff>
      <xdr:row>52</xdr:row>
      <xdr:rowOff>19050</xdr:rowOff>
    </xdr:from>
    <xdr:to>
      <xdr:col>6</xdr:col>
      <xdr:colOff>47625</xdr:colOff>
      <xdr:row>52</xdr:row>
      <xdr:rowOff>123825</xdr:rowOff>
    </xdr:to>
    <xdr:sp macro="" textlink="">
      <xdr:nvSpPr>
        <xdr:cNvPr id="105" name="Thickness">
          <a:extLst>
            <a:ext uri="{FF2B5EF4-FFF2-40B4-BE49-F238E27FC236}">
              <a16:creationId xmlns:a16="http://schemas.microsoft.com/office/drawing/2014/main" id="{47E9CE77-0630-430E-BE32-172154C51BFC}"/>
            </a:ext>
          </a:extLst>
        </xdr:cNvPr>
        <xdr:cNvSpPr txBox="1">
          <a:spLocks noChangeArrowheads="1"/>
        </xdr:cNvSpPr>
      </xdr:nvSpPr>
      <xdr:spPr bwMode="auto">
        <a:xfrm>
          <a:off x="3838575" y="11772900"/>
          <a:ext cx="3238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381000</xdr:colOff>
      <xdr:row>52</xdr:row>
      <xdr:rowOff>133350</xdr:rowOff>
    </xdr:from>
    <xdr:to>
      <xdr:col>6</xdr:col>
      <xdr:colOff>504825</xdr:colOff>
      <xdr:row>53</xdr:row>
      <xdr:rowOff>0</xdr:rowOff>
    </xdr:to>
    <xdr:sp macro="" textlink="">
      <xdr:nvSpPr>
        <xdr:cNvPr id="106" name="Text 583">
          <a:extLst>
            <a:ext uri="{FF2B5EF4-FFF2-40B4-BE49-F238E27FC236}">
              <a16:creationId xmlns:a16="http://schemas.microsoft.com/office/drawing/2014/main" id="{F8EDDE09-A81E-4E77-92F5-5BE007F1D07E}"/>
            </a:ext>
          </a:extLst>
        </xdr:cNvPr>
        <xdr:cNvSpPr txBox="1">
          <a:spLocks noChangeArrowheads="1"/>
        </xdr:cNvSpPr>
      </xdr:nvSpPr>
      <xdr:spPr bwMode="auto">
        <a:xfrm>
          <a:off x="4495800" y="11887200"/>
          <a:ext cx="0" cy="666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699135</xdr:colOff>
      <xdr:row>28</xdr:row>
      <xdr:rowOff>190500</xdr:rowOff>
    </xdr:from>
    <xdr:to>
      <xdr:col>4</xdr:col>
      <xdr:colOff>725908</xdr:colOff>
      <xdr:row>29</xdr:row>
      <xdr:rowOff>123825</xdr:rowOff>
    </xdr:to>
    <xdr:sp macro="" textlink="">
      <xdr:nvSpPr>
        <xdr:cNvPr id="107" name="Text 219">
          <a:extLst>
            <a:ext uri="{FF2B5EF4-FFF2-40B4-BE49-F238E27FC236}">
              <a16:creationId xmlns:a16="http://schemas.microsoft.com/office/drawing/2014/main" id="{034411DA-393B-4691-B0D4-7E425739114E}"/>
            </a:ext>
          </a:extLst>
        </xdr:cNvPr>
        <xdr:cNvSpPr txBox="1">
          <a:spLocks noChangeArrowheads="1"/>
        </xdr:cNvSpPr>
      </xdr:nvSpPr>
      <xdr:spPr bwMode="auto">
        <a:xfrm>
          <a:off x="2432685" y="6657975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</a:t>
          </a:r>
        </a:p>
      </xdr:txBody>
    </xdr:sp>
    <xdr:clientData/>
  </xdr:twoCellAnchor>
  <xdr:twoCellAnchor>
    <xdr:from>
      <xdr:col>3</xdr:col>
      <xdr:colOff>699135</xdr:colOff>
      <xdr:row>34</xdr:row>
      <xdr:rowOff>200025</xdr:rowOff>
    </xdr:from>
    <xdr:to>
      <xdr:col>4</xdr:col>
      <xdr:colOff>725908</xdr:colOff>
      <xdr:row>35</xdr:row>
      <xdr:rowOff>133350</xdr:rowOff>
    </xdr:to>
    <xdr:sp macro="" textlink="">
      <xdr:nvSpPr>
        <xdr:cNvPr id="108" name="Text 219">
          <a:extLst>
            <a:ext uri="{FF2B5EF4-FFF2-40B4-BE49-F238E27FC236}">
              <a16:creationId xmlns:a16="http://schemas.microsoft.com/office/drawing/2014/main" id="{8CF9F12B-304D-49A4-8BC4-93A8395729FA}"/>
            </a:ext>
          </a:extLst>
        </xdr:cNvPr>
        <xdr:cNvSpPr txBox="1">
          <a:spLocks noChangeArrowheads="1"/>
        </xdr:cNvSpPr>
      </xdr:nvSpPr>
      <xdr:spPr bwMode="auto">
        <a:xfrm>
          <a:off x="2432685" y="803910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</a:t>
          </a:r>
        </a:p>
      </xdr:txBody>
    </xdr:sp>
    <xdr:clientData/>
  </xdr:twoCellAnchor>
  <xdr:twoCellAnchor>
    <xdr:from>
      <xdr:col>3</xdr:col>
      <xdr:colOff>699135</xdr:colOff>
      <xdr:row>40</xdr:row>
      <xdr:rowOff>142875</xdr:rowOff>
    </xdr:from>
    <xdr:to>
      <xdr:col>4</xdr:col>
      <xdr:colOff>725908</xdr:colOff>
      <xdr:row>41</xdr:row>
      <xdr:rowOff>76200</xdr:rowOff>
    </xdr:to>
    <xdr:sp macro="" textlink="">
      <xdr:nvSpPr>
        <xdr:cNvPr id="109" name="Text 219">
          <a:extLst>
            <a:ext uri="{FF2B5EF4-FFF2-40B4-BE49-F238E27FC236}">
              <a16:creationId xmlns:a16="http://schemas.microsoft.com/office/drawing/2014/main" id="{D06F549D-5C7D-456A-88A5-C2D425F11235}"/>
            </a:ext>
          </a:extLst>
        </xdr:cNvPr>
        <xdr:cNvSpPr txBox="1">
          <a:spLocks noChangeArrowheads="1"/>
        </xdr:cNvSpPr>
      </xdr:nvSpPr>
      <xdr:spPr bwMode="auto">
        <a:xfrm>
          <a:off x="2432685" y="9353550"/>
          <a:ext cx="903073" cy="16192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</a:t>
          </a:r>
        </a:p>
      </xdr:txBody>
    </xdr:sp>
    <xdr:clientData/>
  </xdr:twoCellAnchor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10" name="Rectangle 1">
          <a:extLst>
            <a:ext uri="{FF2B5EF4-FFF2-40B4-BE49-F238E27FC236}">
              <a16:creationId xmlns:a16="http://schemas.microsoft.com/office/drawing/2014/main" id="{9561C2EC-0F85-4CE8-B25A-2F27791C55C4}"/>
            </a:ext>
          </a:extLst>
        </xdr:cNvPr>
        <xdr:cNvSpPr>
          <a:spLocks noChangeArrowheads="1"/>
        </xdr:cNvSpPr>
      </xdr:nvSpPr>
      <xdr:spPr bwMode="auto">
        <a:xfrm>
          <a:off x="56102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111" name="Rectangle 2">
          <a:extLst>
            <a:ext uri="{FF2B5EF4-FFF2-40B4-BE49-F238E27FC236}">
              <a16:creationId xmlns:a16="http://schemas.microsoft.com/office/drawing/2014/main" id="{65FBE12B-EBC9-4602-A702-263303B21010}"/>
            </a:ext>
          </a:extLst>
        </xdr:cNvPr>
        <xdr:cNvSpPr>
          <a:spLocks noChangeArrowheads="1"/>
        </xdr:cNvSpPr>
      </xdr:nvSpPr>
      <xdr:spPr bwMode="auto">
        <a:xfrm>
          <a:off x="54768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112" name="Rectangle 3">
          <a:extLst>
            <a:ext uri="{FF2B5EF4-FFF2-40B4-BE49-F238E27FC236}">
              <a16:creationId xmlns:a16="http://schemas.microsoft.com/office/drawing/2014/main" id="{D46E2263-D5BB-407B-8290-9DA7DFE360D5}"/>
            </a:ext>
          </a:extLst>
        </xdr:cNvPr>
        <xdr:cNvSpPr>
          <a:spLocks noChangeArrowheads="1"/>
        </xdr:cNvSpPr>
      </xdr:nvSpPr>
      <xdr:spPr bwMode="auto">
        <a:xfrm>
          <a:off x="54864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113" name="Rectangle 4">
          <a:extLst>
            <a:ext uri="{FF2B5EF4-FFF2-40B4-BE49-F238E27FC236}">
              <a16:creationId xmlns:a16="http://schemas.microsoft.com/office/drawing/2014/main" id="{311F77CE-4772-42F4-9015-A013E069797F}"/>
            </a:ext>
          </a:extLst>
        </xdr:cNvPr>
        <xdr:cNvSpPr>
          <a:spLocks noChangeArrowheads="1"/>
        </xdr:cNvSpPr>
      </xdr:nvSpPr>
      <xdr:spPr bwMode="auto">
        <a:xfrm>
          <a:off x="54578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114" name="Rectangle 5">
          <a:extLst>
            <a:ext uri="{FF2B5EF4-FFF2-40B4-BE49-F238E27FC236}">
              <a16:creationId xmlns:a16="http://schemas.microsoft.com/office/drawing/2014/main" id="{6B8DE4BC-EE80-45B6-9676-1FCE2B411BAD}"/>
            </a:ext>
          </a:extLst>
        </xdr:cNvPr>
        <xdr:cNvSpPr>
          <a:spLocks noChangeArrowheads="1"/>
        </xdr:cNvSpPr>
      </xdr:nvSpPr>
      <xdr:spPr bwMode="auto">
        <a:xfrm>
          <a:off x="56007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15" name="Rectangle 90">
          <a:extLst>
            <a:ext uri="{FF2B5EF4-FFF2-40B4-BE49-F238E27FC236}">
              <a16:creationId xmlns:a16="http://schemas.microsoft.com/office/drawing/2014/main" id="{69912350-9108-4296-963C-4F55261F4AA7}"/>
            </a:ext>
          </a:extLst>
        </xdr:cNvPr>
        <xdr:cNvSpPr>
          <a:spLocks noChangeArrowheads="1"/>
        </xdr:cNvSpPr>
      </xdr:nvSpPr>
      <xdr:spPr bwMode="auto">
        <a:xfrm>
          <a:off x="56102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116" name="Rectangle 91">
          <a:extLst>
            <a:ext uri="{FF2B5EF4-FFF2-40B4-BE49-F238E27FC236}">
              <a16:creationId xmlns:a16="http://schemas.microsoft.com/office/drawing/2014/main" id="{12419202-5EF4-44F4-BA6A-3B513CE1760C}"/>
            </a:ext>
          </a:extLst>
        </xdr:cNvPr>
        <xdr:cNvSpPr>
          <a:spLocks noChangeArrowheads="1"/>
        </xdr:cNvSpPr>
      </xdr:nvSpPr>
      <xdr:spPr bwMode="auto">
        <a:xfrm>
          <a:off x="54768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17" name="Rectangle 92">
          <a:extLst>
            <a:ext uri="{FF2B5EF4-FFF2-40B4-BE49-F238E27FC236}">
              <a16:creationId xmlns:a16="http://schemas.microsoft.com/office/drawing/2014/main" id="{9E55293D-6657-47C1-8654-A87E13B06E4E}"/>
            </a:ext>
          </a:extLst>
        </xdr:cNvPr>
        <xdr:cNvSpPr>
          <a:spLocks noChangeArrowheads="1"/>
        </xdr:cNvSpPr>
      </xdr:nvSpPr>
      <xdr:spPr bwMode="auto">
        <a:xfrm>
          <a:off x="54864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18" name="Rectangle 93">
          <a:extLst>
            <a:ext uri="{FF2B5EF4-FFF2-40B4-BE49-F238E27FC236}">
              <a16:creationId xmlns:a16="http://schemas.microsoft.com/office/drawing/2014/main" id="{9F72F0DE-8A1B-4334-A44F-B907BA76A9CD}"/>
            </a:ext>
          </a:extLst>
        </xdr:cNvPr>
        <xdr:cNvSpPr>
          <a:spLocks noChangeArrowheads="1"/>
        </xdr:cNvSpPr>
      </xdr:nvSpPr>
      <xdr:spPr bwMode="auto">
        <a:xfrm>
          <a:off x="54578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19" name="Rectangle 94">
          <a:extLst>
            <a:ext uri="{FF2B5EF4-FFF2-40B4-BE49-F238E27FC236}">
              <a16:creationId xmlns:a16="http://schemas.microsoft.com/office/drawing/2014/main" id="{C8227597-8442-443C-93E2-E31B03E56B6F}"/>
            </a:ext>
          </a:extLst>
        </xdr:cNvPr>
        <xdr:cNvSpPr>
          <a:spLocks noChangeArrowheads="1"/>
        </xdr:cNvSpPr>
      </xdr:nvSpPr>
      <xdr:spPr bwMode="auto">
        <a:xfrm>
          <a:off x="56007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DAA85ED7-7504-49E0-942E-2A8DE5617B0E}"/>
            </a:ext>
          </a:extLst>
        </xdr:cNvPr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75010FA6-C62F-4A3A-B1A3-B402B6FAEF78}"/>
            </a:ext>
          </a:extLst>
        </xdr:cNvPr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6CD29512-E55B-4835-BE93-2B2CD4CAEC20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0B7476F3-C146-4F50-AD4F-7191C0320F94}"/>
            </a:ext>
          </a:extLst>
        </xdr:cNvPr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>
          <a:extLst>
            <a:ext uri="{FF2B5EF4-FFF2-40B4-BE49-F238E27FC236}">
              <a16:creationId xmlns:a16="http://schemas.microsoft.com/office/drawing/2014/main" id="{06FE443B-F03C-4169-A18A-05A40BA11BED}"/>
            </a:ext>
          </a:extLst>
        </xdr:cNvPr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B5CDC4-9BE7-4F98-827C-C15E539E11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AA4EC3-3778-4975-B79E-534F8F987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0.63994</cdr:x>
      <cdr:y>0.64877</cdr:y>
    </cdr:from>
    <cdr:to>
      <cdr:x>0.87554</cdr:x>
      <cdr:y>0.66922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0.64483</cdr:x>
      <cdr:y>0.50909</cdr:y>
    </cdr:from>
    <cdr:to>
      <cdr:x>0.92716</cdr:x>
      <cdr:y>0.53421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71168" y="3277956"/>
          <a:ext cx="1651165" cy="16174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0.66749</cdr:x>
      <cdr:y>0.75985</cdr:y>
    </cdr:from>
    <cdr:to>
      <cdr:x>0.91268</cdr:x>
      <cdr:y>0.78474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0.29956</cdr:x>
      <cdr:y>0.36108</cdr:y>
    </cdr:from>
    <cdr:to>
      <cdr:x>0.6237</cdr:x>
      <cdr:y>0.38818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0.62346</cdr:x>
      <cdr:y>0.19384</cdr:y>
    </cdr:from>
    <cdr:to>
      <cdr:x>0.94834</cdr:x>
      <cdr:y>0.22242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EB1636-1462-4202-A3D7-0339D1DED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16</xdr:row>
      <xdr:rowOff>85725</xdr:rowOff>
    </xdr:from>
    <xdr:to>
      <xdr:col>0</xdr:col>
      <xdr:colOff>1104900</xdr:colOff>
      <xdr:row>17</xdr:row>
      <xdr:rowOff>57150</xdr:rowOff>
    </xdr:to>
    <xdr:sp macro="" textlink="">
      <xdr:nvSpPr>
        <xdr:cNvPr id="3" name="RPM11">
          <a:extLst>
            <a:ext uri="{FF2B5EF4-FFF2-40B4-BE49-F238E27FC236}">
              <a16:creationId xmlns:a16="http://schemas.microsoft.com/office/drawing/2014/main" id="{1608A78E-AF21-40D0-BA91-34910D65553C}"/>
            </a:ext>
          </a:extLst>
        </xdr:cNvPr>
        <xdr:cNvSpPr txBox="1">
          <a:spLocks noChangeArrowheads="1"/>
        </xdr:cNvSpPr>
      </xdr:nvSpPr>
      <xdr:spPr bwMode="auto">
        <a:xfrm>
          <a:off x="581025" y="39814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1800</a:t>
          </a:r>
        </a:p>
      </xdr:txBody>
    </xdr:sp>
    <xdr:clientData/>
  </xdr:twoCellAnchor>
  <xdr:twoCellAnchor>
    <xdr:from>
      <xdr:col>0</xdr:col>
      <xdr:colOff>571500</xdr:colOff>
      <xdr:row>18</xdr:row>
      <xdr:rowOff>28575</xdr:rowOff>
    </xdr:from>
    <xdr:to>
      <xdr:col>0</xdr:col>
      <xdr:colOff>1095375</xdr:colOff>
      <xdr:row>19</xdr:row>
      <xdr:rowOff>0</xdr:rowOff>
    </xdr:to>
    <xdr:sp macro="" textlink="">
      <xdr:nvSpPr>
        <xdr:cNvPr id="4" name="RPM10">
          <a:extLst>
            <a:ext uri="{FF2B5EF4-FFF2-40B4-BE49-F238E27FC236}">
              <a16:creationId xmlns:a16="http://schemas.microsoft.com/office/drawing/2014/main" id="{96EB9DA1-B5CE-4CA7-B33D-43B7CBF25908}"/>
            </a:ext>
          </a:extLst>
        </xdr:cNvPr>
        <xdr:cNvSpPr txBox="1">
          <a:spLocks noChangeArrowheads="1"/>
        </xdr:cNvSpPr>
      </xdr:nvSpPr>
      <xdr:spPr bwMode="auto">
        <a:xfrm>
          <a:off x="571500" y="44005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1797</a:t>
          </a:r>
        </a:p>
      </xdr:txBody>
    </xdr:sp>
    <xdr:clientData/>
  </xdr:twoCellAnchor>
  <xdr:twoCellAnchor>
    <xdr:from>
      <xdr:col>0</xdr:col>
      <xdr:colOff>561975</xdr:colOff>
      <xdr:row>19</xdr:row>
      <xdr:rowOff>200025</xdr:rowOff>
    </xdr:from>
    <xdr:to>
      <xdr:col>0</xdr:col>
      <xdr:colOff>1085850</xdr:colOff>
      <xdr:row>20</xdr:row>
      <xdr:rowOff>171450</xdr:rowOff>
    </xdr:to>
    <xdr:sp macro="" textlink="">
      <xdr:nvSpPr>
        <xdr:cNvPr id="5" name="RPM9">
          <a:extLst>
            <a:ext uri="{FF2B5EF4-FFF2-40B4-BE49-F238E27FC236}">
              <a16:creationId xmlns:a16="http://schemas.microsoft.com/office/drawing/2014/main" id="{40E65318-B7DE-4388-B573-6F61F09BC38C}"/>
            </a:ext>
          </a:extLst>
        </xdr:cNvPr>
        <xdr:cNvSpPr txBox="1">
          <a:spLocks noChangeArrowheads="1"/>
        </xdr:cNvSpPr>
      </xdr:nvSpPr>
      <xdr:spPr bwMode="auto">
        <a:xfrm>
          <a:off x="561975" y="48101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1794</a:t>
          </a:r>
        </a:p>
      </xdr:txBody>
    </xdr:sp>
    <xdr:clientData/>
  </xdr:twoCellAnchor>
  <xdr:twoCellAnchor>
    <xdr:from>
      <xdr:col>0</xdr:col>
      <xdr:colOff>561975</xdr:colOff>
      <xdr:row>21</xdr:row>
      <xdr:rowOff>133350</xdr:rowOff>
    </xdr:from>
    <xdr:to>
      <xdr:col>0</xdr:col>
      <xdr:colOff>1085850</xdr:colOff>
      <xdr:row>22</xdr:row>
      <xdr:rowOff>104775</xdr:rowOff>
    </xdr:to>
    <xdr:sp macro="" textlink="">
      <xdr:nvSpPr>
        <xdr:cNvPr id="6" name="RPM8">
          <a:extLst>
            <a:ext uri="{FF2B5EF4-FFF2-40B4-BE49-F238E27FC236}">
              <a16:creationId xmlns:a16="http://schemas.microsoft.com/office/drawing/2014/main" id="{BF0B1448-38F5-48B8-9CA9-96EEB9BFC52A}"/>
            </a:ext>
          </a:extLst>
        </xdr:cNvPr>
        <xdr:cNvSpPr txBox="1">
          <a:spLocks noChangeArrowheads="1"/>
        </xdr:cNvSpPr>
      </xdr:nvSpPr>
      <xdr:spPr bwMode="auto">
        <a:xfrm>
          <a:off x="561975" y="52197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1791</a:t>
          </a:r>
        </a:p>
      </xdr:txBody>
    </xdr:sp>
    <xdr:clientData/>
  </xdr:twoCellAnchor>
  <xdr:twoCellAnchor>
    <xdr:from>
      <xdr:col>0</xdr:col>
      <xdr:colOff>571500</xdr:colOff>
      <xdr:row>23</xdr:row>
      <xdr:rowOff>66675</xdr:rowOff>
    </xdr:from>
    <xdr:to>
      <xdr:col>0</xdr:col>
      <xdr:colOff>1095375</xdr:colOff>
      <xdr:row>24</xdr:row>
      <xdr:rowOff>38100</xdr:rowOff>
    </xdr:to>
    <xdr:sp macro="" textlink="">
      <xdr:nvSpPr>
        <xdr:cNvPr id="7" name="RPM7">
          <a:extLst>
            <a:ext uri="{FF2B5EF4-FFF2-40B4-BE49-F238E27FC236}">
              <a16:creationId xmlns:a16="http://schemas.microsoft.com/office/drawing/2014/main" id="{85036E23-662F-4D53-B841-2FAC4A659529}"/>
            </a:ext>
          </a:extLst>
        </xdr:cNvPr>
        <xdr:cNvSpPr txBox="1">
          <a:spLocks noChangeArrowheads="1"/>
        </xdr:cNvSpPr>
      </xdr:nvSpPr>
      <xdr:spPr bwMode="auto">
        <a:xfrm>
          <a:off x="571500" y="56292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1788</a:t>
          </a:r>
        </a:p>
      </xdr:txBody>
    </xdr:sp>
    <xdr:clientData/>
  </xdr:twoCellAnchor>
  <xdr:twoCellAnchor>
    <xdr:from>
      <xdr:col>0</xdr:col>
      <xdr:colOff>571500</xdr:colOff>
      <xdr:row>25</xdr:row>
      <xdr:rowOff>0</xdr:rowOff>
    </xdr:from>
    <xdr:to>
      <xdr:col>0</xdr:col>
      <xdr:colOff>1095375</xdr:colOff>
      <xdr:row>25</xdr:row>
      <xdr:rowOff>209550</xdr:rowOff>
    </xdr:to>
    <xdr:sp macro="" textlink="">
      <xdr:nvSpPr>
        <xdr:cNvPr id="8" name="RPM6">
          <a:extLst>
            <a:ext uri="{FF2B5EF4-FFF2-40B4-BE49-F238E27FC236}">
              <a16:creationId xmlns:a16="http://schemas.microsoft.com/office/drawing/2014/main" id="{6AB74048-7A82-417C-B6A5-7A45481C07D1}"/>
            </a:ext>
          </a:extLst>
        </xdr:cNvPr>
        <xdr:cNvSpPr txBox="1">
          <a:spLocks noChangeArrowheads="1"/>
        </xdr:cNvSpPr>
      </xdr:nvSpPr>
      <xdr:spPr bwMode="auto">
        <a:xfrm>
          <a:off x="571500" y="60388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1785</a:t>
          </a:r>
        </a:p>
      </xdr:txBody>
    </xdr:sp>
    <xdr:clientData/>
  </xdr:twoCellAnchor>
  <xdr:twoCellAnchor>
    <xdr:from>
      <xdr:col>0</xdr:col>
      <xdr:colOff>561975</xdr:colOff>
      <xdr:row>26</xdr:row>
      <xdr:rowOff>171450</xdr:rowOff>
    </xdr:from>
    <xdr:to>
      <xdr:col>0</xdr:col>
      <xdr:colOff>1085850</xdr:colOff>
      <xdr:row>27</xdr:row>
      <xdr:rowOff>142875</xdr:rowOff>
    </xdr:to>
    <xdr:sp macro="" textlink="">
      <xdr:nvSpPr>
        <xdr:cNvPr id="9" name="RPM5">
          <a:extLst>
            <a:ext uri="{FF2B5EF4-FFF2-40B4-BE49-F238E27FC236}">
              <a16:creationId xmlns:a16="http://schemas.microsoft.com/office/drawing/2014/main" id="{F729FD61-CA43-4507-B3A3-64297A18AD02}"/>
            </a:ext>
          </a:extLst>
        </xdr:cNvPr>
        <xdr:cNvSpPr txBox="1">
          <a:spLocks noChangeArrowheads="1"/>
        </xdr:cNvSpPr>
      </xdr:nvSpPr>
      <xdr:spPr bwMode="auto">
        <a:xfrm>
          <a:off x="561975" y="644842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1782</a:t>
          </a:r>
        </a:p>
      </xdr:txBody>
    </xdr:sp>
    <xdr:clientData/>
  </xdr:twoCellAnchor>
  <xdr:twoCellAnchor>
    <xdr:from>
      <xdr:col>0</xdr:col>
      <xdr:colOff>552450</xdr:colOff>
      <xdr:row>28</xdr:row>
      <xdr:rowOff>104775</xdr:rowOff>
    </xdr:from>
    <xdr:to>
      <xdr:col>0</xdr:col>
      <xdr:colOff>1076325</xdr:colOff>
      <xdr:row>29</xdr:row>
      <xdr:rowOff>76200</xdr:rowOff>
    </xdr:to>
    <xdr:sp macro="" textlink="">
      <xdr:nvSpPr>
        <xdr:cNvPr id="10" name="RPM4">
          <a:extLst>
            <a:ext uri="{FF2B5EF4-FFF2-40B4-BE49-F238E27FC236}">
              <a16:creationId xmlns:a16="http://schemas.microsoft.com/office/drawing/2014/main" id="{A2E88F9F-E2EF-4279-A34E-1ABB3741AC41}"/>
            </a:ext>
          </a:extLst>
        </xdr:cNvPr>
        <xdr:cNvSpPr txBox="1">
          <a:spLocks noChangeArrowheads="1"/>
        </xdr:cNvSpPr>
      </xdr:nvSpPr>
      <xdr:spPr bwMode="auto">
        <a:xfrm>
          <a:off x="552450" y="68580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1779</a:t>
          </a:r>
        </a:p>
      </xdr:txBody>
    </xdr:sp>
    <xdr:clientData/>
  </xdr:twoCellAnchor>
  <xdr:twoCellAnchor>
    <xdr:from>
      <xdr:col>0</xdr:col>
      <xdr:colOff>552450</xdr:colOff>
      <xdr:row>30</xdr:row>
      <xdr:rowOff>47625</xdr:rowOff>
    </xdr:from>
    <xdr:to>
      <xdr:col>0</xdr:col>
      <xdr:colOff>1076325</xdr:colOff>
      <xdr:row>31</xdr:row>
      <xdr:rowOff>19050</xdr:rowOff>
    </xdr:to>
    <xdr:sp macro="" textlink="">
      <xdr:nvSpPr>
        <xdr:cNvPr id="11" name="RPM3">
          <a:extLst>
            <a:ext uri="{FF2B5EF4-FFF2-40B4-BE49-F238E27FC236}">
              <a16:creationId xmlns:a16="http://schemas.microsoft.com/office/drawing/2014/main" id="{FA763778-17B2-4C0B-82CD-95CB49CFA7CD}"/>
            </a:ext>
          </a:extLst>
        </xdr:cNvPr>
        <xdr:cNvSpPr txBox="1">
          <a:spLocks noChangeArrowheads="1"/>
        </xdr:cNvSpPr>
      </xdr:nvSpPr>
      <xdr:spPr bwMode="auto">
        <a:xfrm>
          <a:off x="552450" y="727710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1776</a:t>
          </a:r>
        </a:p>
      </xdr:txBody>
    </xdr:sp>
    <xdr:clientData/>
  </xdr:twoCellAnchor>
  <xdr:twoCellAnchor>
    <xdr:from>
      <xdr:col>0</xdr:col>
      <xdr:colOff>552450</xdr:colOff>
      <xdr:row>31</xdr:row>
      <xdr:rowOff>219075</xdr:rowOff>
    </xdr:from>
    <xdr:to>
      <xdr:col>0</xdr:col>
      <xdr:colOff>1076325</xdr:colOff>
      <xdr:row>32</xdr:row>
      <xdr:rowOff>190500</xdr:rowOff>
    </xdr:to>
    <xdr:sp macro="" textlink="">
      <xdr:nvSpPr>
        <xdr:cNvPr id="12" name="RPM2">
          <a:extLst>
            <a:ext uri="{FF2B5EF4-FFF2-40B4-BE49-F238E27FC236}">
              <a16:creationId xmlns:a16="http://schemas.microsoft.com/office/drawing/2014/main" id="{F780729A-7D27-4BF5-802A-050114E96DDB}"/>
            </a:ext>
          </a:extLst>
        </xdr:cNvPr>
        <xdr:cNvSpPr txBox="1">
          <a:spLocks noChangeArrowheads="1"/>
        </xdr:cNvSpPr>
      </xdr:nvSpPr>
      <xdr:spPr bwMode="auto">
        <a:xfrm>
          <a:off x="552450" y="7686675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1773</a:t>
          </a:r>
        </a:p>
      </xdr:txBody>
    </xdr:sp>
    <xdr:clientData/>
  </xdr:twoCellAnchor>
  <xdr:twoCellAnchor>
    <xdr:from>
      <xdr:col>0</xdr:col>
      <xdr:colOff>561975</xdr:colOff>
      <xdr:row>33</xdr:row>
      <xdr:rowOff>152400</xdr:rowOff>
    </xdr:from>
    <xdr:to>
      <xdr:col>0</xdr:col>
      <xdr:colOff>1085850</xdr:colOff>
      <xdr:row>34</xdr:row>
      <xdr:rowOff>123825</xdr:rowOff>
    </xdr:to>
    <xdr:sp macro="" textlink="">
      <xdr:nvSpPr>
        <xdr:cNvPr id="13" name="RPM1">
          <a:extLst>
            <a:ext uri="{FF2B5EF4-FFF2-40B4-BE49-F238E27FC236}">
              <a16:creationId xmlns:a16="http://schemas.microsoft.com/office/drawing/2014/main" id="{A71C5626-F8E0-44F7-B470-D7CB1046FD6B}"/>
            </a:ext>
          </a:extLst>
        </xdr:cNvPr>
        <xdr:cNvSpPr txBox="1">
          <a:spLocks noChangeArrowheads="1"/>
        </xdr:cNvSpPr>
      </xdr:nvSpPr>
      <xdr:spPr bwMode="auto">
        <a:xfrm>
          <a:off x="561975" y="8096250"/>
          <a:ext cx="523875" cy="209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1770</a:t>
          </a:r>
        </a:p>
      </xdr:txBody>
    </xdr:sp>
    <xdr:clientData/>
  </xdr:twoCellAnchor>
  <xdr:twoCellAnchor>
    <xdr:from>
      <xdr:col>0</xdr:col>
      <xdr:colOff>190500</xdr:colOff>
      <xdr:row>24</xdr:row>
      <xdr:rowOff>133350</xdr:rowOff>
    </xdr:from>
    <xdr:to>
      <xdr:col>0</xdr:col>
      <xdr:colOff>400050</xdr:colOff>
      <xdr:row>27</xdr:row>
      <xdr:rowOff>0</xdr:rowOff>
    </xdr:to>
    <xdr:sp macro="" textlink="">
      <xdr:nvSpPr>
        <xdr:cNvPr id="14" name="RPM">
          <a:extLst>
            <a:ext uri="{FF2B5EF4-FFF2-40B4-BE49-F238E27FC236}">
              <a16:creationId xmlns:a16="http://schemas.microsoft.com/office/drawing/2014/main" id="{28B2F052-8000-4ADC-9CD5-E41C86C48D72}"/>
            </a:ext>
          </a:extLst>
        </xdr:cNvPr>
        <xdr:cNvSpPr txBox="1">
          <a:spLocks noChangeArrowheads="1"/>
        </xdr:cNvSpPr>
      </xdr:nvSpPr>
      <xdr:spPr bwMode="auto">
        <a:xfrm>
          <a:off x="190500" y="5934075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352424</xdr:colOff>
      <xdr:row>16</xdr:row>
      <xdr:rowOff>85726</xdr:rowOff>
    </xdr:from>
    <xdr:to>
      <xdr:col>5</xdr:col>
      <xdr:colOff>828674</xdr:colOff>
      <xdr:row>17</xdr:row>
      <xdr:rowOff>9526</xdr:rowOff>
    </xdr:to>
    <xdr:sp macro="" textlink="">
      <xdr:nvSpPr>
        <xdr:cNvPr id="15" name="Watts11">
          <a:extLst>
            <a:ext uri="{FF2B5EF4-FFF2-40B4-BE49-F238E27FC236}">
              <a16:creationId xmlns:a16="http://schemas.microsoft.com/office/drawing/2014/main" id="{0C8F272B-5D9A-4DFD-A239-D199E35369AB}"/>
            </a:ext>
          </a:extLst>
        </xdr:cNvPr>
        <xdr:cNvSpPr txBox="1">
          <a:spLocks noChangeArrowheads="1"/>
        </xdr:cNvSpPr>
      </xdr:nvSpPr>
      <xdr:spPr bwMode="auto">
        <a:xfrm>
          <a:off x="5924549" y="39814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918308</xdr:colOff>
      <xdr:row>25</xdr:row>
      <xdr:rowOff>170021</xdr:rowOff>
    </xdr:to>
    <xdr:sp macro="" textlink="">
      <xdr:nvSpPr>
        <xdr:cNvPr id="16" name="Watts6">
          <a:extLst>
            <a:ext uri="{FF2B5EF4-FFF2-40B4-BE49-F238E27FC236}">
              <a16:creationId xmlns:a16="http://schemas.microsoft.com/office/drawing/2014/main" id="{B9CC9D2C-11D8-4FCC-AE12-D89647315D67}"/>
            </a:ext>
          </a:extLst>
        </xdr:cNvPr>
        <xdr:cNvSpPr txBox="1">
          <a:spLocks noChangeArrowheads="1"/>
        </xdr:cNvSpPr>
      </xdr:nvSpPr>
      <xdr:spPr bwMode="auto">
        <a:xfrm>
          <a:off x="5953125" y="6038850"/>
          <a:ext cx="537308" cy="17002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500</a:t>
          </a:r>
        </a:p>
      </xdr:txBody>
    </xdr:sp>
    <xdr:clientData/>
  </xdr:twoCellAnchor>
  <xdr:twoCellAnchor>
    <xdr:from>
      <xdr:col>5</xdr:col>
      <xdr:colOff>371474</xdr:colOff>
      <xdr:row>26</xdr:row>
      <xdr:rowOff>180976</xdr:rowOff>
    </xdr:from>
    <xdr:to>
      <xdr:col>5</xdr:col>
      <xdr:colOff>847724</xdr:colOff>
      <xdr:row>27</xdr:row>
      <xdr:rowOff>104776</xdr:rowOff>
    </xdr:to>
    <xdr:sp macro="" textlink="">
      <xdr:nvSpPr>
        <xdr:cNvPr id="17" name="Watts5">
          <a:extLst>
            <a:ext uri="{FF2B5EF4-FFF2-40B4-BE49-F238E27FC236}">
              <a16:creationId xmlns:a16="http://schemas.microsoft.com/office/drawing/2014/main" id="{BB61046F-A38B-4B92-8FEA-38FA0F210CE9}"/>
            </a:ext>
          </a:extLst>
        </xdr:cNvPr>
        <xdr:cNvSpPr txBox="1">
          <a:spLocks noChangeArrowheads="1"/>
        </xdr:cNvSpPr>
      </xdr:nvSpPr>
      <xdr:spPr bwMode="auto">
        <a:xfrm>
          <a:off x="5943599" y="64579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400</a:t>
          </a:r>
        </a:p>
      </xdr:txBody>
    </xdr:sp>
    <xdr:clientData/>
  </xdr:twoCellAnchor>
  <xdr:twoCellAnchor>
    <xdr:from>
      <xdr:col>5</xdr:col>
      <xdr:colOff>380999</xdr:colOff>
      <xdr:row>28</xdr:row>
      <xdr:rowOff>114301</xdr:rowOff>
    </xdr:from>
    <xdr:to>
      <xdr:col>5</xdr:col>
      <xdr:colOff>857249</xdr:colOff>
      <xdr:row>29</xdr:row>
      <xdr:rowOff>38101</xdr:rowOff>
    </xdr:to>
    <xdr:sp macro="" textlink="">
      <xdr:nvSpPr>
        <xdr:cNvPr id="18" name="Watts4">
          <a:extLst>
            <a:ext uri="{FF2B5EF4-FFF2-40B4-BE49-F238E27FC236}">
              <a16:creationId xmlns:a16="http://schemas.microsoft.com/office/drawing/2014/main" id="{F589DF4C-CA89-46BB-A4D4-815AFEA593FA}"/>
            </a:ext>
          </a:extLst>
        </xdr:cNvPr>
        <xdr:cNvSpPr txBox="1">
          <a:spLocks noChangeArrowheads="1"/>
        </xdr:cNvSpPr>
      </xdr:nvSpPr>
      <xdr:spPr bwMode="auto">
        <a:xfrm>
          <a:off x="5953124" y="68675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300</a:t>
          </a:r>
        </a:p>
      </xdr:txBody>
    </xdr:sp>
    <xdr:clientData/>
  </xdr:twoCellAnchor>
  <xdr:twoCellAnchor>
    <xdr:from>
      <xdr:col>5</xdr:col>
      <xdr:colOff>371474</xdr:colOff>
      <xdr:row>30</xdr:row>
      <xdr:rowOff>38101</xdr:rowOff>
    </xdr:from>
    <xdr:to>
      <xdr:col>5</xdr:col>
      <xdr:colOff>847724</xdr:colOff>
      <xdr:row>30</xdr:row>
      <xdr:rowOff>200026</xdr:rowOff>
    </xdr:to>
    <xdr:sp macro="" textlink="">
      <xdr:nvSpPr>
        <xdr:cNvPr id="19" name="Watts3">
          <a:extLst>
            <a:ext uri="{FF2B5EF4-FFF2-40B4-BE49-F238E27FC236}">
              <a16:creationId xmlns:a16="http://schemas.microsoft.com/office/drawing/2014/main" id="{830C3AC1-85E9-4CA2-89AE-ACACA4067451}"/>
            </a:ext>
          </a:extLst>
        </xdr:cNvPr>
        <xdr:cNvSpPr txBox="1">
          <a:spLocks noChangeArrowheads="1"/>
        </xdr:cNvSpPr>
      </xdr:nvSpPr>
      <xdr:spPr bwMode="auto">
        <a:xfrm>
          <a:off x="5943599" y="72675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200</a:t>
          </a:r>
        </a:p>
      </xdr:txBody>
    </xdr:sp>
    <xdr:clientData/>
  </xdr:twoCellAnchor>
  <xdr:twoCellAnchor>
    <xdr:from>
      <xdr:col>5</xdr:col>
      <xdr:colOff>371474</xdr:colOff>
      <xdr:row>31</xdr:row>
      <xdr:rowOff>219076</xdr:rowOff>
    </xdr:from>
    <xdr:to>
      <xdr:col>5</xdr:col>
      <xdr:colOff>847724</xdr:colOff>
      <xdr:row>32</xdr:row>
      <xdr:rowOff>142876</xdr:rowOff>
    </xdr:to>
    <xdr:sp macro="" textlink="">
      <xdr:nvSpPr>
        <xdr:cNvPr id="20" name="Watts2">
          <a:extLst>
            <a:ext uri="{FF2B5EF4-FFF2-40B4-BE49-F238E27FC236}">
              <a16:creationId xmlns:a16="http://schemas.microsoft.com/office/drawing/2014/main" id="{C34D87A2-383E-4B41-AB69-FBAE1D207AEC}"/>
            </a:ext>
          </a:extLst>
        </xdr:cNvPr>
        <xdr:cNvSpPr txBox="1">
          <a:spLocks noChangeArrowheads="1"/>
        </xdr:cNvSpPr>
      </xdr:nvSpPr>
      <xdr:spPr bwMode="auto">
        <a:xfrm>
          <a:off x="5943599" y="76866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100</a:t>
          </a:r>
        </a:p>
      </xdr:txBody>
    </xdr:sp>
    <xdr:clientData/>
  </xdr:twoCellAnchor>
  <xdr:twoCellAnchor>
    <xdr:from>
      <xdr:col>5</xdr:col>
      <xdr:colOff>828675</xdr:colOff>
      <xdr:row>22</xdr:row>
      <xdr:rowOff>190500</xdr:rowOff>
    </xdr:from>
    <xdr:to>
      <xdr:col>5</xdr:col>
      <xdr:colOff>1047750</xdr:colOff>
      <xdr:row>28</xdr:row>
      <xdr:rowOff>85725</xdr:rowOff>
    </xdr:to>
    <xdr:sp macro="" textlink="">
      <xdr:nvSpPr>
        <xdr:cNvPr id="21" name="Input Watts">
          <a:extLst>
            <a:ext uri="{FF2B5EF4-FFF2-40B4-BE49-F238E27FC236}">
              <a16:creationId xmlns:a16="http://schemas.microsoft.com/office/drawing/2014/main" id="{B035E5D7-AAE1-4C95-A341-B342D9B3E367}"/>
            </a:ext>
          </a:extLst>
        </xdr:cNvPr>
        <xdr:cNvSpPr txBox="1">
          <a:spLocks noChangeArrowheads="1"/>
        </xdr:cNvSpPr>
      </xdr:nvSpPr>
      <xdr:spPr bwMode="auto">
        <a:xfrm>
          <a:off x="6400800" y="551497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66676</xdr:rowOff>
    </xdr:from>
    <xdr:to>
      <xdr:col>5</xdr:col>
      <xdr:colOff>847724</xdr:colOff>
      <xdr:row>23</xdr:row>
      <xdr:rowOff>228601</xdr:rowOff>
    </xdr:to>
    <xdr:sp macro="" textlink="">
      <xdr:nvSpPr>
        <xdr:cNvPr id="22" name="Watts7">
          <a:extLst>
            <a:ext uri="{FF2B5EF4-FFF2-40B4-BE49-F238E27FC236}">
              <a16:creationId xmlns:a16="http://schemas.microsoft.com/office/drawing/2014/main" id="{6C6DC703-79E2-40EF-96E5-EB2E3A06CF49}"/>
            </a:ext>
          </a:extLst>
        </xdr:cNvPr>
        <xdr:cNvSpPr txBox="1">
          <a:spLocks noChangeArrowheads="1"/>
        </xdr:cNvSpPr>
      </xdr:nvSpPr>
      <xdr:spPr bwMode="auto">
        <a:xfrm>
          <a:off x="5943599" y="562927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600</a:t>
          </a:r>
        </a:p>
      </xdr:txBody>
    </xdr:sp>
    <xdr:clientData/>
  </xdr:twoCellAnchor>
  <xdr:twoCellAnchor>
    <xdr:from>
      <xdr:col>5</xdr:col>
      <xdr:colOff>371474</xdr:colOff>
      <xdr:row>21</xdr:row>
      <xdr:rowOff>133351</xdr:rowOff>
    </xdr:from>
    <xdr:to>
      <xdr:col>5</xdr:col>
      <xdr:colOff>847724</xdr:colOff>
      <xdr:row>22</xdr:row>
      <xdr:rowOff>57151</xdr:rowOff>
    </xdr:to>
    <xdr:sp macro="" textlink="">
      <xdr:nvSpPr>
        <xdr:cNvPr id="23" name="Watts8">
          <a:extLst>
            <a:ext uri="{FF2B5EF4-FFF2-40B4-BE49-F238E27FC236}">
              <a16:creationId xmlns:a16="http://schemas.microsoft.com/office/drawing/2014/main" id="{72B18C63-DA35-4582-827E-4DA2749152FB}"/>
            </a:ext>
          </a:extLst>
        </xdr:cNvPr>
        <xdr:cNvSpPr txBox="1">
          <a:spLocks noChangeArrowheads="1"/>
        </xdr:cNvSpPr>
      </xdr:nvSpPr>
      <xdr:spPr bwMode="auto">
        <a:xfrm>
          <a:off x="5943599" y="521970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700</a:t>
          </a:r>
        </a:p>
      </xdr:txBody>
    </xdr:sp>
    <xdr:clientData/>
  </xdr:twoCellAnchor>
  <xdr:twoCellAnchor>
    <xdr:from>
      <xdr:col>5</xdr:col>
      <xdr:colOff>361949</xdr:colOff>
      <xdr:row>19</xdr:row>
      <xdr:rowOff>200026</xdr:rowOff>
    </xdr:from>
    <xdr:to>
      <xdr:col>5</xdr:col>
      <xdr:colOff>838199</xdr:colOff>
      <xdr:row>20</xdr:row>
      <xdr:rowOff>123826</xdr:rowOff>
    </xdr:to>
    <xdr:sp macro="" textlink="">
      <xdr:nvSpPr>
        <xdr:cNvPr id="24" name="Watts9">
          <a:extLst>
            <a:ext uri="{FF2B5EF4-FFF2-40B4-BE49-F238E27FC236}">
              <a16:creationId xmlns:a16="http://schemas.microsoft.com/office/drawing/2014/main" id="{9199A5AB-891B-49D8-AAA7-9EE61CDCCE0C}"/>
            </a:ext>
          </a:extLst>
        </xdr:cNvPr>
        <xdr:cNvSpPr txBox="1">
          <a:spLocks noChangeArrowheads="1"/>
        </xdr:cNvSpPr>
      </xdr:nvSpPr>
      <xdr:spPr bwMode="auto">
        <a:xfrm>
          <a:off x="5934074" y="4810126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800</a:t>
          </a:r>
        </a:p>
      </xdr:txBody>
    </xdr:sp>
    <xdr:clientData/>
  </xdr:twoCellAnchor>
  <xdr:twoCellAnchor>
    <xdr:from>
      <xdr:col>5</xdr:col>
      <xdr:colOff>361949</xdr:colOff>
      <xdr:row>18</xdr:row>
      <xdr:rowOff>28576</xdr:rowOff>
    </xdr:from>
    <xdr:to>
      <xdr:col>5</xdr:col>
      <xdr:colOff>838199</xdr:colOff>
      <xdr:row>18</xdr:row>
      <xdr:rowOff>190501</xdr:rowOff>
    </xdr:to>
    <xdr:sp macro="" textlink="">
      <xdr:nvSpPr>
        <xdr:cNvPr id="25" name="Watts10">
          <a:extLst>
            <a:ext uri="{FF2B5EF4-FFF2-40B4-BE49-F238E27FC236}">
              <a16:creationId xmlns:a16="http://schemas.microsoft.com/office/drawing/2014/main" id="{66841F40-4D3D-4C3D-BC6F-569E7EF18EAE}"/>
            </a:ext>
          </a:extLst>
        </xdr:cNvPr>
        <xdr:cNvSpPr txBox="1">
          <a:spLocks noChangeArrowheads="1"/>
        </xdr:cNvSpPr>
      </xdr:nvSpPr>
      <xdr:spPr bwMode="auto">
        <a:xfrm>
          <a:off x="5934074" y="4400551"/>
          <a:ext cx="476250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900</a:t>
          </a:r>
        </a:p>
      </xdr:txBody>
    </xdr:sp>
    <xdr:clientData/>
  </xdr:twoCellAnchor>
  <xdr:twoCellAnchor>
    <xdr:from>
      <xdr:col>2</xdr:col>
      <xdr:colOff>1053465</xdr:colOff>
      <xdr:row>16</xdr:row>
      <xdr:rowOff>182880</xdr:rowOff>
    </xdr:from>
    <xdr:to>
      <xdr:col>3</xdr:col>
      <xdr:colOff>283777</xdr:colOff>
      <xdr:row>17</xdr:row>
      <xdr:rowOff>95568</xdr:rowOff>
    </xdr:to>
    <xdr:sp macro="" textlink="" fLocksText="0">
      <xdr:nvSpPr>
        <xdr:cNvPr id="26" name="Text Box 26">
          <a:extLst>
            <a:ext uri="{FF2B5EF4-FFF2-40B4-BE49-F238E27FC236}">
              <a16:creationId xmlns:a16="http://schemas.microsoft.com/office/drawing/2014/main" id="{62723ECE-0786-403C-B8D9-DEBCF29AEFC6}"/>
            </a:ext>
          </a:extLst>
        </xdr:cNvPr>
        <xdr:cNvSpPr txBox="1">
          <a:spLocks noChangeArrowheads="1"/>
        </xdr:cNvSpPr>
      </xdr:nvSpPr>
      <xdr:spPr bwMode="auto">
        <a:xfrm>
          <a:off x="3282315" y="4078605"/>
          <a:ext cx="344737" cy="150813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946785</xdr:colOff>
      <xdr:row>18</xdr:row>
      <xdr:rowOff>192405</xdr:rowOff>
    </xdr:from>
    <xdr:to>
      <xdr:col>4</xdr:col>
      <xdr:colOff>169604</xdr:colOff>
      <xdr:row>19</xdr:row>
      <xdr:rowOff>133437</xdr:rowOff>
    </xdr:to>
    <xdr:sp macro="" textlink="" fLocksText="0">
      <xdr:nvSpPr>
        <xdr:cNvPr id="27" name="Text Box 27">
          <a:extLst>
            <a:ext uri="{FF2B5EF4-FFF2-40B4-BE49-F238E27FC236}">
              <a16:creationId xmlns:a16="http://schemas.microsoft.com/office/drawing/2014/main" id="{F108F5B4-288B-4B5B-9D8C-7AEF6A341BF5}"/>
            </a:ext>
          </a:extLst>
        </xdr:cNvPr>
        <xdr:cNvSpPr txBox="1">
          <a:spLocks noChangeArrowheads="1"/>
        </xdr:cNvSpPr>
      </xdr:nvSpPr>
      <xdr:spPr bwMode="auto">
        <a:xfrm>
          <a:off x="4290060" y="4564380"/>
          <a:ext cx="337244" cy="17915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1</xdr:col>
      <xdr:colOff>714375</xdr:colOff>
      <xdr:row>21</xdr:row>
      <xdr:rowOff>200025</xdr:rowOff>
    </xdr:from>
    <xdr:to>
      <xdr:col>1</xdr:col>
      <xdr:colOff>1055421</xdr:colOff>
      <xdr:row>22</xdr:row>
      <xdr:rowOff>103287</xdr:rowOff>
    </xdr:to>
    <xdr:sp macro="" textlink="" fLocksText="0">
      <xdr:nvSpPr>
        <xdr:cNvPr id="28" name="Speed">
          <a:extLst>
            <a:ext uri="{FF2B5EF4-FFF2-40B4-BE49-F238E27FC236}">
              <a16:creationId xmlns:a16="http://schemas.microsoft.com/office/drawing/2014/main" id="{12766DD6-0848-4CBA-9816-B367219509D1}"/>
            </a:ext>
          </a:extLst>
        </xdr:cNvPr>
        <xdr:cNvSpPr txBox="1">
          <a:spLocks noChangeArrowheads="1"/>
        </xdr:cNvSpPr>
      </xdr:nvSpPr>
      <xdr:spPr bwMode="auto">
        <a:xfrm>
          <a:off x="1828800" y="5286375"/>
          <a:ext cx="341046" cy="141387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1</xdr:col>
      <xdr:colOff>782955</xdr:colOff>
      <xdr:row>28</xdr:row>
      <xdr:rowOff>200025</xdr:rowOff>
    </xdr:from>
    <xdr:to>
      <xdr:col>2</xdr:col>
      <xdr:colOff>102986</xdr:colOff>
      <xdr:row>29</xdr:row>
      <xdr:rowOff>114300</xdr:rowOff>
    </xdr:to>
    <xdr:sp macro="" textlink="" fLocksText="0">
      <xdr:nvSpPr>
        <xdr:cNvPr id="29" name="Amps">
          <a:extLst>
            <a:ext uri="{FF2B5EF4-FFF2-40B4-BE49-F238E27FC236}">
              <a16:creationId xmlns:a16="http://schemas.microsoft.com/office/drawing/2014/main" id="{E3468C09-F152-4A93-B2B4-C495CAA9EA98}"/>
            </a:ext>
          </a:extLst>
        </xdr:cNvPr>
        <xdr:cNvSpPr txBox="1">
          <a:spLocks noChangeArrowheads="1"/>
        </xdr:cNvSpPr>
      </xdr:nvSpPr>
      <xdr:spPr bwMode="auto">
        <a:xfrm>
          <a:off x="1897380" y="6953250"/>
          <a:ext cx="434456" cy="152400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64770</xdr:colOff>
      <xdr:row>32</xdr:row>
      <xdr:rowOff>144780</xdr:rowOff>
    </xdr:from>
    <xdr:to>
      <xdr:col>2</xdr:col>
      <xdr:colOff>565979</xdr:colOff>
      <xdr:row>33</xdr:row>
      <xdr:rowOff>66976</xdr:rowOff>
    </xdr:to>
    <xdr:sp macro="" textlink="" fLocksText="0">
      <xdr:nvSpPr>
        <xdr:cNvPr id="30" name="Watts">
          <a:extLst>
            <a:ext uri="{FF2B5EF4-FFF2-40B4-BE49-F238E27FC236}">
              <a16:creationId xmlns:a16="http://schemas.microsoft.com/office/drawing/2014/main" id="{588EE43E-556E-43F8-A692-A733AAAE5AF0}"/>
            </a:ext>
          </a:extLst>
        </xdr:cNvPr>
        <xdr:cNvSpPr txBox="1">
          <a:spLocks noChangeArrowheads="1"/>
        </xdr:cNvSpPr>
      </xdr:nvSpPr>
      <xdr:spPr bwMode="auto">
        <a:xfrm>
          <a:off x="2293620" y="7850505"/>
          <a:ext cx="501209" cy="160321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361950</xdr:colOff>
      <xdr:row>33</xdr:row>
      <xdr:rowOff>142875</xdr:rowOff>
    </xdr:from>
    <xdr:to>
      <xdr:col>5</xdr:col>
      <xdr:colOff>752475</xdr:colOff>
      <xdr:row>34</xdr:row>
      <xdr:rowOff>104775</xdr:rowOff>
    </xdr:to>
    <xdr:sp macro="" textlink="">
      <xdr:nvSpPr>
        <xdr:cNvPr id="31" name="Watts1">
          <a:extLst>
            <a:ext uri="{FF2B5EF4-FFF2-40B4-BE49-F238E27FC236}">
              <a16:creationId xmlns:a16="http://schemas.microsoft.com/office/drawing/2014/main" id="{563E927A-5EA5-401B-922D-2EB815C21E70}"/>
            </a:ext>
          </a:extLst>
        </xdr:cNvPr>
        <xdr:cNvSpPr txBox="1">
          <a:spLocks noChangeArrowheads="1"/>
        </xdr:cNvSpPr>
      </xdr:nvSpPr>
      <xdr:spPr bwMode="auto">
        <a:xfrm>
          <a:off x="5934075" y="8086725"/>
          <a:ext cx="390525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gram%20Files\desprom\Destem\CustomerSheet.xls" TargetMode="External"/><Relationship Id="rId1" Type="http://schemas.openxmlformats.org/officeDocument/2006/relationships/externalLinkPath" Target="file:///C:\Program%20Files\desprom\Destem\CustomerShee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Folder/315k/315130%20RAM%20INDUSTRIAL%20SVC/P-129004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rodrigu\Desktop\current%20project\DESOUT3.xlsx" TargetMode="External"/><Relationship Id="rId1" Type="http://schemas.openxmlformats.org/officeDocument/2006/relationships/externalLinkPath" Target="file:///C:\Users\jrodrigu\Desktop\current%20project\DESOUT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Curve"/>
      <sheetName val="Performance"/>
      <sheetName val="Thermdam"/>
    </sheetNames>
    <sheetDataSet>
      <sheetData sheetId="0">
        <row r="54">
          <cell r="A54">
            <v>100</v>
          </cell>
          <cell r="B54">
            <v>0</v>
          </cell>
          <cell r="C54">
            <v>0.23980163037776947</v>
          </cell>
        </row>
        <row r="55">
          <cell r="A55">
            <v>99.416782846674323</v>
          </cell>
          <cell r="B55">
            <v>96.945425965936892</v>
          </cell>
          <cell r="C55">
            <v>108.75212860107422</v>
          </cell>
        </row>
        <row r="56">
          <cell r="A56">
            <v>97.083914093673229</v>
          </cell>
          <cell r="B56">
            <v>186.34879303697164</v>
          </cell>
          <cell r="C56">
            <v>324.15463256835938</v>
          </cell>
        </row>
        <row r="57">
          <cell r="A57">
            <v>91.667131334543228</v>
          </cell>
          <cell r="B57">
            <v>137.76095546567538</v>
          </cell>
          <cell r="C57">
            <v>381.46661376953125</v>
          </cell>
        </row>
        <row r="58">
          <cell r="A58">
            <v>86.250348389148712</v>
          </cell>
          <cell r="B58">
            <v>110.31394503026958</v>
          </cell>
          <cell r="C58">
            <v>398.822509765625</v>
          </cell>
        </row>
        <row r="59">
          <cell r="A59">
            <v>80.833564698696136</v>
          </cell>
          <cell r="B59">
            <v>97.134969099712777</v>
          </cell>
          <cell r="C59">
            <v>408.15411376953125</v>
          </cell>
        </row>
        <row r="60">
          <cell r="A60">
            <v>69.999998807907104</v>
          </cell>
          <cell r="B60">
            <v>88.574447769722184</v>
          </cell>
          <cell r="C60">
            <v>421.22097778320313</v>
          </cell>
        </row>
        <row r="61">
          <cell r="A61">
            <v>59.999999403953552</v>
          </cell>
          <cell r="B61">
            <v>88.892895915544926</v>
          </cell>
          <cell r="C61">
            <v>431.68954467773438</v>
          </cell>
        </row>
        <row r="62">
          <cell r="A62">
            <v>50</v>
          </cell>
          <cell r="B62">
            <v>90.2401370350794</v>
          </cell>
          <cell r="C62">
            <v>441.69143676757813</v>
          </cell>
        </row>
        <row r="63">
          <cell r="A63">
            <v>39.999997615814209</v>
          </cell>
          <cell r="B63">
            <v>92.883444426409213</v>
          </cell>
          <cell r="C63">
            <v>450.53271484375</v>
          </cell>
        </row>
        <row r="64">
          <cell r="A64">
            <v>30.000001192092896</v>
          </cell>
          <cell r="B64">
            <v>97.514926200712722</v>
          </cell>
          <cell r="C64">
            <v>458.3736572265625</v>
          </cell>
        </row>
        <row r="65">
          <cell r="A65">
            <v>19.999998807907104</v>
          </cell>
          <cell r="B65">
            <v>105.1546395583761</v>
          </cell>
          <cell r="C65">
            <v>464.68917846679688</v>
          </cell>
        </row>
        <row r="66">
          <cell r="A66">
            <v>10.000002384185791</v>
          </cell>
          <cell r="B66">
            <v>117.67507842474025</v>
          </cell>
          <cell r="C66">
            <v>469.78741455078125</v>
          </cell>
        </row>
        <row r="67">
          <cell r="A67">
            <v>0</v>
          </cell>
          <cell r="B67">
            <v>138.28708674246522</v>
          </cell>
          <cell r="C67">
            <v>474.07455444335938</v>
          </cell>
        </row>
      </sheetData>
      <sheetData sheetId="1">
        <row r="54">
          <cell r="A54">
            <v>0</v>
          </cell>
          <cell r="D54">
            <v>141</v>
          </cell>
          <cell r="E54">
            <v>100</v>
          </cell>
          <cell r="F54">
            <v>0</v>
          </cell>
        </row>
        <row r="55">
          <cell r="A55">
            <v>25</v>
          </cell>
          <cell r="B55">
            <v>90</v>
          </cell>
          <cell r="C55">
            <v>61</v>
          </cell>
          <cell r="D55">
            <v>176</v>
          </cell>
          <cell r="E55">
            <v>80</v>
          </cell>
          <cell r="F55">
            <v>8.5</v>
          </cell>
        </row>
        <row r="56">
          <cell r="A56">
            <v>50</v>
          </cell>
          <cell r="B56">
            <v>93.5</v>
          </cell>
          <cell r="C56">
            <v>79</v>
          </cell>
          <cell r="D56">
            <v>257</v>
          </cell>
          <cell r="E56">
            <v>66</v>
          </cell>
          <cell r="F56">
            <v>16.2</v>
          </cell>
        </row>
        <row r="57">
          <cell r="A57">
            <v>75</v>
          </cell>
          <cell r="B57">
            <v>95</v>
          </cell>
          <cell r="C57">
            <v>85</v>
          </cell>
          <cell r="D57">
            <v>354</v>
          </cell>
          <cell r="E57">
            <v>54</v>
          </cell>
          <cell r="F57">
            <v>24</v>
          </cell>
        </row>
        <row r="58">
          <cell r="A58">
            <v>100</v>
          </cell>
          <cell r="B58">
            <v>95.5</v>
          </cell>
          <cell r="C58">
            <v>86.5</v>
          </cell>
          <cell r="D58">
            <v>459</v>
          </cell>
          <cell r="E58">
            <v>40</v>
          </cell>
          <cell r="F58">
            <v>31.6</v>
          </cell>
        </row>
        <row r="59">
          <cell r="A59">
            <v>125</v>
          </cell>
          <cell r="B59">
            <v>95.6</v>
          </cell>
          <cell r="C59">
            <v>88</v>
          </cell>
          <cell r="D59">
            <v>572</v>
          </cell>
          <cell r="E59">
            <v>26</v>
          </cell>
          <cell r="F59">
            <v>40.1</v>
          </cell>
        </row>
      </sheetData>
      <sheetData sheetId="2">
        <row r="68">
          <cell r="A68">
            <v>600</v>
          </cell>
          <cell r="B68">
            <v>22.3</v>
          </cell>
          <cell r="C68">
            <v>15</v>
          </cell>
          <cell r="E68">
            <v>600</v>
          </cell>
          <cell r="F68">
            <v>1E-4</v>
          </cell>
        </row>
        <row r="69">
          <cell r="A69">
            <v>600</v>
          </cell>
          <cell r="B69">
            <v>22.3</v>
          </cell>
          <cell r="C69">
            <v>15</v>
          </cell>
          <cell r="E69">
            <v>558</v>
          </cell>
          <cell r="F69">
            <v>1</v>
          </cell>
        </row>
        <row r="70">
          <cell r="A70">
            <v>500</v>
          </cell>
          <cell r="B70">
            <v>32.112000000000002</v>
          </cell>
          <cell r="C70">
            <v>21.599999999999998</v>
          </cell>
          <cell r="E70">
            <v>547</v>
          </cell>
          <cell r="F70">
            <v>2</v>
          </cell>
        </row>
        <row r="71">
          <cell r="A71">
            <v>400</v>
          </cell>
          <cell r="B71">
            <v>50.175000000000004</v>
          </cell>
          <cell r="C71">
            <v>33.75</v>
          </cell>
          <cell r="E71">
            <v>535</v>
          </cell>
          <cell r="F71">
            <v>3</v>
          </cell>
        </row>
        <row r="72">
          <cell r="A72">
            <v>300</v>
          </cell>
          <cell r="E72">
            <v>522</v>
          </cell>
          <cell r="F72">
            <v>4.0999999999999996</v>
          </cell>
        </row>
        <row r="73">
          <cell r="A73">
            <v>200</v>
          </cell>
          <cell r="E73">
            <v>509</v>
          </cell>
          <cell r="F73">
            <v>5.2</v>
          </cell>
        </row>
        <row r="74">
          <cell r="A74">
            <v>315.999999</v>
          </cell>
          <cell r="C74">
            <v>54.077872478140669</v>
          </cell>
          <cell r="E74">
            <v>496</v>
          </cell>
          <cell r="F74">
            <v>6.6</v>
          </cell>
        </row>
        <row r="75">
          <cell r="A75">
            <v>180</v>
          </cell>
          <cell r="C75">
            <v>166.66666666666669</v>
          </cell>
          <cell r="E75">
            <v>481</v>
          </cell>
          <cell r="F75">
            <v>8.1</v>
          </cell>
        </row>
        <row r="76">
          <cell r="A76">
            <v>120</v>
          </cell>
          <cell r="C76">
            <v>375</v>
          </cell>
          <cell r="E76">
            <v>464</v>
          </cell>
          <cell r="F76">
            <v>9.6</v>
          </cell>
        </row>
        <row r="77">
          <cell r="A77">
            <v>110</v>
          </cell>
          <cell r="C77">
            <v>800</v>
          </cell>
          <cell r="E77">
            <v>447</v>
          </cell>
          <cell r="F77">
            <v>10.4</v>
          </cell>
        </row>
        <row r="78">
          <cell r="A78">
            <v>110</v>
          </cell>
          <cell r="C78">
            <v>1600</v>
          </cell>
          <cell r="E78">
            <v>425</v>
          </cell>
          <cell r="F78">
            <v>11</v>
          </cell>
        </row>
        <row r="79">
          <cell r="A79">
            <v>110</v>
          </cell>
          <cell r="C79">
            <v>10000</v>
          </cell>
          <cell r="E79">
            <v>367</v>
          </cell>
          <cell r="F79">
            <v>11.5</v>
          </cell>
        </row>
        <row r="80">
          <cell r="E80">
            <v>0</v>
          </cell>
          <cell r="F80">
            <v>11.7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Data"/>
      <sheetName val="WRNG"/>
      <sheetName val="SPList"/>
      <sheetName val="SP_DWG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signSheet 0.8V"/>
    </sheetNames>
    <sheetDataSet>
      <sheetData sheetId="0">
        <row r="59">
          <cell r="A59">
            <v>0</v>
          </cell>
          <cell r="B59">
            <v>0</v>
          </cell>
          <cell r="C59">
            <v>0</v>
          </cell>
          <cell r="D59">
            <v>0.7</v>
          </cell>
          <cell r="E59">
            <v>66.138878930933203</v>
          </cell>
          <cell r="F59">
            <v>225.80702209472656</v>
          </cell>
        </row>
        <row r="60">
          <cell r="A60">
            <v>0.01</v>
          </cell>
          <cell r="B60">
            <v>62.034231445873182</v>
          </cell>
          <cell r="C60">
            <v>41.435279846191406</v>
          </cell>
          <cell r="D60">
            <v>0.8</v>
          </cell>
          <cell r="E60">
            <v>63.58353447141485</v>
          </cell>
          <cell r="F60">
            <v>228.47917175292969</v>
          </cell>
        </row>
        <row r="61">
          <cell r="A61">
            <v>0.05</v>
          </cell>
          <cell r="B61">
            <v>158.71417248442995</v>
          </cell>
          <cell r="C61">
            <v>143.23854064941406</v>
          </cell>
          <cell r="D61">
            <v>0.9</v>
          </cell>
          <cell r="E61">
            <v>61.220209529181432</v>
          </cell>
          <cell r="F61">
            <v>230.75808715820313</v>
          </cell>
        </row>
        <row r="62">
          <cell r="A62">
            <v>0.1</v>
          </cell>
          <cell r="B62">
            <v>135.66522047438482</v>
          </cell>
          <cell r="C62">
            <v>182.62400817871094</v>
          </cell>
          <cell r="D62">
            <v>1</v>
          </cell>
          <cell r="E62">
            <v>59.043432963547517</v>
          </cell>
          <cell r="F62">
            <v>232.71299743652344</v>
          </cell>
        </row>
        <row r="63">
          <cell r="A63">
            <v>0.15</v>
          </cell>
          <cell r="B63">
            <v>111.4183665526662</v>
          </cell>
          <cell r="C63">
            <v>195.68307495117188</v>
          </cell>
        </row>
        <row r="64">
          <cell r="A64">
            <v>0.2</v>
          </cell>
          <cell r="B64">
            <v>96.796965604450492</v>
          </cell>
          <cell r="C64">
            <v>202.04618835449219</v>
          </cell>
        </row>
        <row r="65">
          <cell r="A65">
            <v>0.3</v>
          </cell>
          <cell r="B65">
            <v>82.442673079603381</v>
          </cell>
          <cell r="C65">
            <v>209.34608459472656</v>
          </cell>
        </row>
        <row r="66">
          <cell r="A66">
            <v>0.4</v>
          </cell>
          <cell r="B66">
            <v>75.96173698686745</v>
          </cell>
          <cell r="C66">
            <v>214.55201721191406</v>
          </cell>
        </row>
        <row r="67">
          <cell r="A67">
            <v>0.5</v>
          </cell>
          <cell r="B67">
            <v>72.005902738289208</v>
          </cell>
          <cell r="C67">
            <v>218.91700744628906</v>
          </cell>
        </row>
        <row r="68">
          <cell r="A68">
            <v>0.6</v>
          </cell>
          <cell r="B68">
            <v>68.894696306940702</v>
          </cell>
          <cell r="C68">
            <v>222.63368225097656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27E4C-F1BE-490F-92BB-6E79DDEE98FA}">
  <sheetPr codeName="Sheet11">
    <pageSetUpPr fitToPage="1"/>
  </sheetPr>
  <dimension ref="A1:Q113"/>
  <sheetViews>
    <sheetView topLeftCell="A27" zoomScale="95" zoomScaleNormal="95" workbookViewId="0">
      <selection activeCell="M11" sqref="M11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3" t="s">
        <v>168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220</v>
      </c>
    </row>
    <row r="2" spans="1:10" ht="18.75">
      <c r="A2" s="33" t="s">
        <v>174</v>
      </c>
      <c r="B2" s="2"/>
      <c r="C2" s="2"/>
      <c r="D2" s="2"/>
      <c r="E2" s="2"/>
      <c r="F2" s="2"/>
      <c r="G2" s="2"/>
      <c r="H2" s="2"/>
      <c r="I2" s="2"/>
      <c r="J2" s="130" t="s">
        <v>221</v>
      </c>
    </row>
    <row r="3" spans="1:10" ht="15" customHeight="1" thickBot="1">
      <c r="A3" s="49" t="s">
        <v>1</v>
      </c>
      <c r="B3" s="96" t="s">
        <v>219</v>
      </c>
      <c r="C3" s="1"/>
      <c r="D3" s="49"/>
      <c r="E3" s="1"/>
      <c r="F3" s="1"/>
      <c r="G3" s="49" t="s">
        <v>2</v>
      </c>
      <c r="H3" s="174">
        <v>45707</v>
      </c>
      <c r="I3" s="49" t="s">
        <v>3</v>
      </c>
      <c r="J3" s="175">
        <v>0.29195601851851855</v>
      </c>
    </row>
    <row r="4" spans="1:10" ht="15" customHeight="1" thickBot="1">
      <c r="A4" s="12" t="s">
        <v>4</v>
      </c>
      <c r="B4" s="12" t="s">
        <v>172</v>
      </c>
      <c r="C4" s="12" t="s">
        <v>5</v>
      </c>
      <c r="D4" s="12" t="s">
        <v>173</v>
      </c>
      <c r="E4" s="157" t="s">
        <v>6</v>
      </c>
      <c r="F4" s="12" t="s">
        <v>7</v>
      </c>
      <c r="G4" s="12" t="s">
        <v>176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4</v>
      </c>
      <c r="B5" s="112">
        <v>450.00001636331268</v>
      </c>
      <c r="C5" s="140">
        <v>1800</v>
      </c>
      <c r="D5" s="50" t="s">
        <v>194</v>
      </c>
      <c r="E5" s="158">
        <v>4000</v>
      </c>
      <c r="F5" s="140">
        <v>60</v>
      </c>
      <c r="G5" s="50">
        <v>105</v>
      </c>
      <c r="H5" s="78" t="s">
        <v>254</v>
      </c>
      <c r="I5" s="77" t="s">
        <v>259</v>
      </c>
      <c r="J5" s="50" t="s">
        <v>195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/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18.430661333333333</v>
      </c>
      <c r="J7" s="106" t="s">
        <v>19</v>
      </c>
    </row>
    <row r="8" spans="1:10" ht="15" customHeight="1">
      <c r="A8" s="10" t="s">
        <v>20</v>
      </c>
      <c r="B8" s="69">
        <v>1.7999999523162842</v>
      </c>
      <c r="C8" s="52"/>
      <c r="D8" s="6"/>
      <c r="E8" s="51"/>
      <c r="F8" s="4"/>
      <c r="G8" s="16"/>
      <c r="H8" s="10" t="s">
        <v>21</v>
      </c>
      <c r="I8" s="68">
        <v>21.890599125992107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201</v>
      </c>
      <c r="F9" s="107" t="s">
        <v>25</v>
      </c>
      <c r="G9" s="30"/>
      <c r="H9" s="10" t="s">
        <v>26</v>
      </c>
      <c r="I9" s="69">
        <v>20.160630229662722</v>
      </c>
      <c r="J9" s="104">
        <v>818.63782754850786</v>
      </c>
    </row>
    <row r="10" spans="1:10" ht="15" customHeight="1">
      <c r="A10" s="10" t="s">
        <v>27</v>
      </c>
      <c r="B10" s="69">
        <v>580</v>
      </c>
      <c r="C10" s="73">
        <v>580</v>
      </c>
      <c r="D10" s="6"/>
      <c r="E10" s="51"/>
      <c r="F10" s="116" t="s">
        <v>215</v>
      </c>
      <c r="G10" s="114" t="s">
        <v>216</v>
      </c>
      <c r="H10" s="10" t="s">
        <v>28</v>
      </c>
      <c r="I10" s="68">
        <v>11.353491303314225</v>
      </c>
      <c r="J10" s="103" t="s">
        <v>29</v>
      </c>
    </row>
    <row r="11" spans="1:10" ht="15" customHeight="1" thickBot="1">
      <c r="A11" s="10" t="s">
        <v>30</v>
      </c>
      <c r="B11" s="69">
        <v>550</v>
      </c>
      <c r="C11" s="73">
        <v>348.40000009536743</v>
      </c>
      <c r="D11" s="10" t="s">
        <v>31</v>
      </c>
      <c r="E11" s="68">
        <v>0.86657999999999991</v>
      </c>
      <c r="F11" s="117"/>
      <c r="G11" s="113"/>
      <c r="H11" s="10" t="s">
        <v>32</v>
      </c>
      <c r="I11" s="68">
        <v>21.17125849396945</v>
      </c>
      <c r="J11" s="104">
        <v>16655.125145754584</v>
      </c>
    </row>
    <row r="12" spans="1:10" ht="15" customHeight="1">
      <c r="A12" s="10" t="s">
        <v>33</v>
      </c>
      <c r="B12" s="69">
        <v>352</v>
      </c>
      <c r="C12" s="73">
        <v>140</v>
      </c>
      <c r="D12" s="10" t="s">
        <v>34</v>
      </c>
      <c r="E12" s="153" t="s">
        <v>175</v>
      </c>
      <c r="F12" s="123" t="s">
        <v>208</v>
      </c>
      <c r="G12" s="115" t="s">
        <v>207</v>
      </c>
      <c r="H12" s="10" t="s">
        <v>35</v>
      </c>
      <c r="I12" s="68">
        <v>1.1944752556197273</v>
      </c>
      <c r="J12" s="103" t="s">
        <v>36</v>
      </c>
    </row>
    <row r="13" spans="1:10" ht="15" customHeight="1" thickBot="1">
      <c r="A13" s="10" t="s">
        <v>37</v>
      </c>
      <c r="B13" s="69">
        <v>48.5</v>
      </c>
      <c r="C13" s="73">
        <v>72.150000810623169</v>
      </c>
      <c r="D13" s="10" t="s">
        <v>38</v>
      </c>
      <c r="E13" s="70">
        <v>16</v>
      </c>
      <c r="F13" s="123"/>
      <c r="G13" s="115" t="s">
        <v>209</v>
      </c>
      <c r="H13" s="10" t="s">
        <v>40</v>
      </c>
      <c r="I13" s="68">
        <v>1.0339772258804341</v>
      </c>
      <c r="J13" s="104">
        <v>55.053874969482422</v>
      </c>
    </row>
    <row r="14" spans="1:10" ht="15" customHeight="1" thickBot="1">
      <c r="A14" s="160" t="s">
        <v>41</v>
      </c>
      <c r="B14" s="133">
        <v>539.4000244140625</v>
      </c>
      <c r="C14" s="134">
        <v>539.4000244140625</v>
      </c>
      <c r="D14" s="10" t="s">
        <v>42</v>
      </c>
      <c r="E14" s="51" t="s">
        <v>202</v>
      </c>
      <c r="F14" s="51" t="s">
        <v>211</v>
      </c>
      <c r="G14" s="115" t="s">
        <v>210</v>
      </c>
      <c r="H14" s="49" t="s">
        <v>43</v>
      </c>
      <c r="I14" s="68">
        <v>1.2350602111885081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175</v>
      </c>
      <c r="F15" s="51"/>
      <c r="G15" s="115"/>
      <c r="H15" s="10" t="s">
        <v>47</v>
      </c>
      <c r="I15" s="68">
        <v>0.97811904826498275</v>
      </c>
      <c r="J15" s="104">
        <v>14.4341796875</v>
      </c>
    </row>
    <row r="16" spans="1:10" ht="15" customHeight="1">
      <c r="A16" s="10" t="s">
        <v>48</v>
      </c>
      <c r="B16" s="51">
        <v>60</v>
      </c>
      <c r="C16" s="52">
        <v>50</v>
      </c>
      <c r="D16" s="10" t="s">
        <v>49</v>
      </c>
      <c r="E16" s="51">
        <v>1</v>
      </c>
      <c r="F16" s="51"/>
      <c r="G16" s="115"/>
      <c r="H16" s="10" t="s">
        <v>50</v>
      </c>
      <c r="I16" s="68">
        <v>0.95650599867242181</v>
      </c>
      <c r="J16" s="105" t="s">
        <v>51</v>
      </c>
    </row>
    <row r="17" spans="1:17" ht="15" customHeight="1" thickBot="1">
      <c r="A17" s="10" t="s">
        <v>52</v>
      </c>
      <c r="B17" s="51" t="s">
        <v>196</v>
      </c>
      <c r="C17" s="52" t="s">
        <v>197</v>
      </c>
      <c r="D17" s="49" t="s">
        <v>53</v>
      </c>
      <c r="E17" s="51" t="s">
        <v>203</v>
      </c>
      <c r="F17" s="51"/>
      <c r="G17" s="115"/>
      <c r="H17" s="10" t="s">
        <v>54</v>
      </c>
      <c r="I17" s="68">
        <v>0.93557673708121603</v>
      </c>
      <c r="J17" s="104">
        <v>477.93293120665669</v>
      </c>
    </row>
    <row r="18" spans="1:17" ht="15" customHeight="1">
      <c r="A18" s="10" t="s">
        <v>55</v>
      </c>
      <c r="B18" s="51" t="s">
        <v>175</v>
      </c>
      <c r="C18" s="73">
        <v>0</v>
      </c>
      <c r="D18" s="10" t="s">
        <v>56</v>
      </c>
      <c r="E18" s="137">
        <v>1037</v>
      </c>
      <c r="F18" s="70">
        <v>752</v>
      </c>
      <c r="G18" s="74"/>
      <c r="H18" s="13" t="s">
        <v>57</v>
      </c>
      <c r="I18" s="131" t="s">
        <v>217</v>
      </c>
      <c r="J18" s="132"/>
    </row>
    <row r="19" spans="1:17" ht="15" customHeight="1">
      <c r="A19" s="10" t="s">
        <v>58</v>
      </c>
      <c r="B19" s="69">
        <v>50.5</v>
      </c>
      <c r="C19" s="73">
        <v>32.049999237060547</v>
      </c>
      <c r="D19" s="10" t="s">
        <v>59</v>
      </c>
      <c r="E19" s="70">
        <v>320</v>
      </c>
      <c r="F19" s="51"/>
      <c r="G19" s="52"/>
      <c r="H19" s="143"/>
      <c r="I19" s="4" t="s">
        <v>60</v>
      </c>
      <c r="J19" s="31" t="s">
        <v>61</v>
      </c>
    </row>
    <row r="20" spans="1:17" ht="15" customHeight="1">
      <c r="A20" s="10" t="s">
        <v>62</v>
      </c>
      <c r="B20" s="69" t="s">
        <v>198</v>
      </c>
      <c r="C20" s="73">
        <v>8.0500001907348633</v>
      </c>
      <c r="D20" s="10" t="s">
        <v>167</v>
      </c>
      <c r="E20" s="165">
        <v>0.43880833159390509</v>
      </c>
      <c r="F20" s="51"/>
      <c r="G20" s="52"/>
      <c r="H20" s="10" t="s">
        <v>63</v>
      </c>
      <c r="I20" s="68">
        <v>22.258333206176758</v>
      </c>
      <c r="J20" s="72">
        <v>22.258333206176758</v>
      </c>
    </row>
    <row r="21" spans="1:17" ht="15" customHeight="1">
      <c r="A21" s="10" t="s">
        <v>64</v>
      </c>
      <c r="B21" s="69">
        <v>10.100000381469727</v>
      </c>
      <c r="C21" s="73">
        <v>3</v>
      </c>
      <c r="D21" s="10" t="s">
        <v>204</v>
      </c>
      <c r="E21" s="67">
        <v>0.58536514175296961</v>
      </c>
      <c r="F21" s="67">
        <v>0.39427250623703003</v>
      </c>
      <c r="G21" s="71">
        <v>4.7828004420240225E-2</v>
      </c>
      <c r="H21" s="10" t="s">
        <v>65</v>
      </c>
      <c r="I21" s="68">
        <v>18.094043731689453</v>
      </c>
      <c r="J21" s="72">
        <v>12.169862747192383</v>
      </c>
    </row>
    <row r="22" spans="1:17" ht="15" customHeight="1">
      <c r="A22" s="10" t="s">
        <v>66</v>
      </c>
      <c r="B22" s="69">
        <v>2.8299999237060547</v>
      </c>
      <c r="C22" s="73">
        <v>2</v>
      </c>
      <c r="D22" s="10" t="s">
        <v>67</v>
      </c>
      <c r="E22" s="51" t="s">
        <v>205</v>
      </c>
      <c r="F22" s="51" t="s">
        <v>206</v>
      </c>
      <c r="G22" s="52" t="s">
        <v>206</v>
      </c>
      <c r="H22" s="10" t="s">
        <v>68</v>
      </c>
      <c r="I22" s="68">
        <v>5.5395636558532715</v>
      </c>
      <c r="J22" s="72">
        <v>5.0767641067504883</v>
      </c>
    </row>
    <row r="23" spans="1:17" ht="15" customHeight="1">
      <c r="A23" s="10" t="s">
        <v>69</v>
      </c>
      <c r="B23" s="69">
        <v>8.3306608200073242</v>
      </c>
      <c r="C23" s="73">
        <v>9.8172140121459961</v>
      </c>
      <c r="D23" s="10" t="s">
        <v>70</v>
      </c>
      <c r="E23" s="68">
        <v>1.7419999837875366</v>
      </c>
      <c r="F23" s="68">
        <v>1.7239999771118164</v>
      </c>
      <c r="G23" s="72">
        <v>1.7239999771118164</v>
      </c>
      <c r="H23" s="10" t="s">
        <v>71</v>
      </c>
      <c r="I23" s="68">
        <v>8.5741557157422221</v>
      </c>
      <c r="J23" s="16" t="s">
        <v>218</v>
      </c>
    </row>
    <row r="24" spans="1:17" ht="15" customHeight="1">
      <c r="A24" s="10" t="s">
        <v>72</v>
      </c>
      <c r="B24" s="69">
        <v>0</v>
      </c>
      <c r="C24" s="73">
        <v>0.80000001192092896</v>
      </c>
      <c r="D24" s="10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4.615872410614493</v>
      </c>
      <c r="J24" s="72">
        <v>4.303980192812717</v>
      </c>
    </row>
    <row r="25" spans="1:17" ht="15" customHeight="1">
      <c r="A25" s="10" t="s">
        <v>75</v>
      </c>
      <c r="B25" s="51" t="s">
        <v>175</v>
      </c>
      <c r="C25" s="73">
        <v>0.80000001192092896</v>
      </c>
      <c r="D25" s="109" t="s">
        <v>76</v>
      </c>
      <c r="E25" s="53"/>
      <c r="F25" s="53"/>
      <c r="G25" s="60"/>
      <c r="H25" s="10" t="s">
        <v>77</v>
      </c>
      <c r="I25" s="68">
        <v>1.0274657011032104</v>
      </c>
      <c r="J25" s="72">
        <v>1.8316853046417236</v>
      </c>
    </row>
    <row r="26" spans="1:17" ht="15" customHeight="1">
      <c r="A26" s="10" t="s">
        <v>78</v>
      </c>
      <c r="B26" s="53" t="s">
        <v>199</v>
      </c>
      <c r="C26" s="60" t="s">
        <v>200</v>
      </c>
      <c r="D26" s="10" t="s">
        <v>79</v>
      </c>
      <c r="E26" s="69">
        <v>116.58798156948804</v>
      </c>
      <c r="F26" s="69">
        <v>85.023963283538819</v>
      </c>
      <c r="G26" s="73">
        <v>27.65510446137969</v>
      </c>
      <c r="H26" s="10" t="s">
        <v>80</v>
      </c>
      <c r="I26" s="68">
        <v>9.4736051559448242</v>
      </c>
      <c r="J26" s="72">
        <v>8.387639045715332</v>
      </c>
    </row>
    <row r="27" spans="1:17" ht="15" customHeight="1" thickBot="1">
      <c r="A27" s="10" t="s">
        <v>81</v>
      </c>
      <c r="B27" s="51" t="s">
        <v>175</v>
      </c>
      <c r="C27" s="52" t="s">
        <v>175</v>
      </c>
      <c r="D27" s="11" t="s">
        <v>82</v>
      </c>
      <c r="E27" s="80" t="s">
        <v>175</v>
      </c>
      <c r="F27" s="80" t="s">
        <v>175</v>
      </c>
      <c r="G27" s="82" t="s">
        <v>175</v>
      </c>
      <c r="H27" s="11" t="s">
        <v>83</v>
      </c>
      <c r="I27" s="79">
        <v>9.5291595458984375</v>
      </c>
      <c r="J27" s="81">
        <v>8.5853109359741211</v>
      </c>
      <c r="M27" s="171"/>
      <c r="N27" s="171"/>
      <c r="O27" s="171"/>
      <c r="P27" s="171"/>
      <c r="Q27" s="171"/>
    </row>
    <row r="28" spans="1:17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  <c r="M28" s="171"/>
      <c r="N28" s="171"/>
      <c r="O28" s="171"/>
      <c r="P28" s="171"/>
      <c r="Q28" s="171"/>
    </row>
    <row r="29" spans="1:17" ht="15" customHeight="1">
      <c r="A29" s="7"/>
      <c r="B29" s="34" t="s">
        <v>87</v>
      </c>
      <c r="C29" s="75">
        <v>30.027266267355561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72" t="str">
        <f>RIGHT(F$41,SEARCH("/",F$41,1)-1)</f>
        <v xml:space="preserve"> 1775.4</v>
      </c>
      <c r="N29" s="171" t="s">
        <v>187</v>
      </c>
      <c r="O29" s="171"/>
      <c r="P29" s="4" t="s">
        <v>193</v>
      </c>
      <c r="Q29" s="171"/>
    </row>
    <row r="30" spans="1:17" ht="15" customHeight="1" thickBot="1">
      <c r="A30" s="8"/>
      <c r="B30" s="63" t="s">
        <v>94</v>
      </c>
      <c r="C30" s="76">
        <v>30.043499313394168</v>
      </c>
      <c r="D30" s="10" t="s">
        <v>95</v>
      </c>
      <c r="E30" s="166">
        <v>21.598431250000001</v>
      </c>
      <c r="F30" s="166">
        <v>523.2180236816406</v>
      </c>
      <c r="G30" s="166">
        <v>11.068678579156051</v>
      </c>
      <c r="H30" s="167">
        <v>93.588633447931031</v>
      </c>
      <c r="I30" s="70">
        <v>41216.693013776487</v>
      </c>
      <c r="J30" s="74">
        <v>1723.7419022442639</v>
      </c>
      <c r="M30" s="172" t="str">
        <f>RIGHT(E$41,SEARCH("/",E$41,1)-1)</f>
        <v xml:space="preserve"> 1780.0</v>
      </c>
      <c r="N30" s="171" t="s">
        <v>188</v>
      </c>
      <c r="O30" s="171"/>
      <c r="P30" s="173">
        <f>G30*6.4516</f>
        <v>71.410686721283184</v>
      </c>
      <c r="Q30" s="171"/>
    </row>
    <row r="31" spans="1:17" ht="15" customHeight="1">
      <c r="A31" s="23" t="s">
        <v>96</v>
      </c>
      <c r="B31" s="144"/>
      <c r="C31" s="27"/>
      <c r="D31" s="10" t="s">
        <v>97</v>
      </c>
      <c r="E31" s="166">
        <v>5.0500000000000007</v>
      </c>
      <c r="F31" s="166">
        <v>674.03379745458369</v>
      </c>
      <c r="G31" s="166">
        <v>8.5920500616195863</v>
      </c>
      <c r="H31" s="167">
        <v>11.262477224517463</v>
      </c>
      <c r="I31" s="70">
        <v>13615.482708582593</v>
      </c>
      <c r="J31" s="74">
        <v>377.7755050256755</v>
      </c>
      <c r="M31" s="172" t="str">
        <f>RIGHT(D$41,SEARCH("/",D$41,1)-1)</f>
        <v xml:space="preserve"> 1784.8</v>
      </c>
      <c r="N31" s="171" t="s">
        <v>189</v>
      </c>
      <c r="O31" s="171"/>
      <c r="P31" s="173">
        <f>G31*6.4516</f>
        <v>55.432470177544921</v>
      </c>
      <c r="Q31" s="171"/>
    </row>
    <row r="32" spans="1:17" ht="15" customHeight="1">
      <c r="A32" s="6" t="s">
        <v>98</v>
      </c>
      <c r="B32" s="68" t="s">
        <v>261</v>
      </c>
      <c r="C32" s="110"/>
      <c r="D32" s="10" t="s">
        <v>99</v>
      </c>
      <c r="E32" s="166">
        <v>11.164425526166141</v>
      </c>
      <c r="F32" s="166">
        <v>778.35424397449538</v>
      </c>
      <c r="G32" s="166">
        <v>7.440483784582673</v>
      </c>
      <c r="H32" s="167">
        <v>20.979115487994726</v>
      </c>
      <c r="I32" s="9" t="s">
        <v>100</v>
      </c>
      <c r="J32" s="74">
        <v>2101.5174072699392</v>
      </c>
      <c r="M32" s="172" t="str">
        <f>RIGHT(C$41,SEARCH("/",C$41,1)-1)</f>
        <v xml:space="preserve"> 1789.1</v>
      </c>
      <c r="N32" s="171" t="s">
        <v>190</v>
      </c>
      <c r="O32" s="171"/>
      <c r="P32" s="173">
        <f>G32*6.4516</f>
        <v>48.00302518461357</v>
      </c>
      <c r="Q32" s="171"/>
    </row>
    <row r="33" spans="1:17" ht="15" customHeight="1">
      <c r="A33" s="6" t="s">
        <v>101</v>
      </c>
      <c r="B33" s="68" t="s">
        <v>262</v>
      </c>
      <c r="C33" s="111" t="s">
        <v>102</v>
      </c>
      <c r="D33" s="10" t="s">
        <v>97</v>
      </c>
      <c r="E33" s="166">
        <v>3.2049999237060547</v>
      </c>
      <c r="F33" s="166">
        <v>661.92568472870335</v>
      </c>
      <c r="G33" s="166">
        <v>8.749218023360088</v>
      </c>
      <c r="H33" s="167">
        <v>7.4002312193688473</v>
      </c>
      <c r="I33" s="9" t="s">
        <v>103</v>
      </c>
      <c r="J33" s="73" t="s">
        <v>229</v>
      </c>
      <c r="M33" s="172" t="str">
        <f>RIGHT(B$41,SEARCH("/",B$41,1)-1)</f>
        <v xml:space="preserve"> 1793.4</v>
      </c>
      <c r="N33" s="171" t="s">
        <v>191</v>
      </c>
      <c r="O33" s="171"/>
      <c r="P33" s="173">
        <f>G33*6.4516</f>
        <v>56.446454999509946</v>
      </c>
      <c r="Q33" s="171"/>
    </row>
    <row r="34" spans="1:17" ht="15" customHeight="1" thickBot="1">
      <c r="A34" s="17" t="s">
        <v>104</v>
      </c>
      <c r="B34" s="79" t="s">
        <v>263</v>
      </c>
      <c r="C34" s="164">
        <v>5.7913321309533385</v>
      </c>
      <c r="D34" s="11" t="s">
        <v>20</v>
      </c>
      <c r="E34" s="168">
        <v>0.17999999523162843</v>
      </c>
      <c r="F34" s="169">
        <v>1298.2909832849127</v>
      </c>
      <c r="G34" s="169">
        <v>4.4607350782797655</v>
      </c>
      <c r="H34" s="170">
        <v>638.95375655314308</v>
      </c>
      <c r="I34" s="9" t="s">
        <v>105</v>
      </c>
      <c r="J34" s="73">
        <v>6.0500001907348633</v>
      </c>
      <c r="M34" s="171"/>
      <c r="N34" s="171"/>
      <c r="O34" s="171"/>
      <c r="P34" s="173">
        <f>G34*6.4516</f>
        <v>28.778878431029735</v>
      </c>
      <c r="Q34" s="171"/>
    </row>
    <row r="35" spans="1:17" ht="15" customHeight="1">
      <c r="A35" s="13" t="s">
        <v>106</v>
      </c>
      <c r="B35" s="14"/>
      <c r="C35" s="14"/>
      <c r="D35" s="135" t="s">
        <v>231</v>
      </c>
      <c r="E35" s="145" t="s">
        <v>230</v>
      </c>
      <c r="F35" s="15"/>
      <c r="G35" s="26" t="s">
        <v>107</v>
      </c>
      <c r="H35" s="85" t="s">
        <v>224</v>
      </c>
      <c r="I35" s="10" t="s">
        <v>108</v>
      </c>
      <c r="J35" s="74" t="s">
        <v>228</v>
      </c>
      <c r="M35" s="171"/>
      <c r="N35" s="171"/>
      <c r="O35" s="171"/>
      <c r="P35" s="171"/>
      <c r="Q35" s="171"/>
    </row>
    <row r="36" spans="1:17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222</v>
      </c>
      <c r="I36" s="10" t="s">
        <v>111</v>
      </c>
      <c r="J36" s="74" t="s">
        <v>227</v>
      </c>
      <c r="M36" s="171"/>
      <c r="N36" s="171"/>
      <c r="O36" s="171"/>
      <c r="P36" s="171"/>
      <c r="Q36" s="171"/>
    </row>
    <row r="37" spans="1:17" ht="15" customHeight="1" thickBot="1">
      <c r="A37" s="10" t="s">
        <v>112</v>
      </c>
      <c r="B37" s="176" t="s">
        <v>243</v>
      </c>
      <c r="C37" s="176" t="s">
        <v>244</v>
      </c>
      <c r="D37" s="176" t="s">
        <v>245</v>
      </c>
      <c r="E37" s="176" t="s">
        <v>246</v>
      </c>
      <c r="F37" s="177" t="s">
        <v>247</v>
      </c>
      <c r="G37" s="10" t="s">
        <v>113</v>
      </c>
      <c r="H37" s="74" t="s">
        <v>223</v>
      </c>
      <c r="I37" s="11" t="s">
        <v>114</v>
      </c>
      <c r="J37" s="83" t="s">
        <v>226</v>
      </c>
      <c r="O37" s="150"/>
    </row>
    <row r="38" spans="1:17" ht="15" customHeight="1" thickBot="1">
      <c r="A38" s="10" t="s">
        <v>115</v>
      </c>
      <c r="B38" s="178" t="s">
        <v>233</v>
      </c>
      <c r="C38" s="178" t="s">
        <v>234</v>
      </c>
      <c r="D38" s="178" t="s">
        <v>235</v>
      </c>
      <c r="E38" s="178" t="s">
        <v>236</v>
      </c>
      <c r="F38" s="179" t="s">
        <v>237</v>
      </c>
      <c r="G38" s="17" t="s">
        <v>116</v>
      </c>
      <c r="H38" s="83" t="s">
        <v>225</v>
      </c>
      <c r="I38" s="136" t="s">
        <v>232</v>
      </c>
      <c r="J38" s="84">
        <v>4348.400390625</v>
      </c>
      <c r="L38" t="str">
        <f>LEFT(E38,SEARCH("/",E38,1)-1)</f>
        <v xml:space="preserve">0.954 </v>
      </c>
      <c r="M38" t="str">
        <f>RIGHT(E38,SEARCH("/",E38,1)-1)</f>
        <v xml:space="preserve"> 0.943</v>
      </c>
      <c r="N38" s="151">
        <f>M38/L38</f>
        <v>0.98846960167714881</v>
      </c>
      <c r="O38" s="150" t="s">
        <v>178</v>
      </c>
    </row>
    <row r="39" spans="1:17" ht="15" customHeight="1">
      <c r="A39" s="10" t="s">
        <v>117</v>
      </c>
      <c r="B39" s="178" t="s">
        <v>238</v>
      </c>
      <c r="C39" s="178" t="s">
        <v>239</v>
      </c>
      <c r="D39" s="178" t="s">
        <v>240</v>
      </c>
      <c r="E39" s="178" t="s">
        <v>241</v>
      </c>
      <c r="F39" s="179" t="s">
        <v>242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0.922 </v>
      </c>
      <c r="M39" t="str">
        <f>RIGHT(E39,SEARCH("/",E39,1)-1)</f>
        <v xml:space="preserve"> 0.918</v>
      </c>
      <c r="N39" s="151">
        <f>M39/L39</f>
        <v>0.99566160520607372</v>
      </c>
      <c r="O39" s="150" t="s">
        <v>179</v>
      </c>
    </row>
    <row r="40" spans="1:17" ht="15" customHeight="1">
      <c r="A40" s="10" t="s">
        <v>119</v>
      </c>
      <c r="B40" s="180" t="s">
        <v>256</v>
      </c>
      <c r="C40" s="180" t="s">
        <v>257</v>
      </c>
      <c r="D40" s="180" t="s">
        <v>258</v>
      </c>
      <c r="E40" s="180" t="s">
        <v>259</v>
      </c>
      <c r="F40" s="181" t="s">
        <v>260</v>
      </c>
      <c r="G40" s="35" t="s">
        <v>121</v>
      </c>
      <c r="H40" s="91" t="s">
        <v>264</v>
      </c>
      <c r="I40" s="55"/>
      <c r="J40" s="56"/>
      <c r="L40" t="str">
        <f>LEFT(E37,SEARCH("/",E37,1)-1)</f>
        <v xml:space="preserve">55.05 </v>
      </c>
      <c r="M40">
        <v>56</v>
      </c>
      <c r="N40" s="151">
        <f>M40/L40</f>
        <v>1.0172570390554043</v>
      </c>
      <c r="O40" s="150" t="s">
        <v>177</v>
      </c>
    </row>
    <row r="41" spans="1:17" ht="15" customHeight="1">
      <c r="A41" s="10" t="s">
        <v>5</v>
      </c>
      <c r="B41" s="182" t="s">
        <v>251</v>
      </c>
      <c r="C41" s="182" t="s">
        <v>252</v>
      </c>
      <c r="D41" s="182" t="s">
        <v>253</v>
      </c>
      <c r="E41" s="182" t="s">
        <v>254</v>
      </c>
      <c r="F41" s="183" t="s">
        <v>255</v>
      </c>
      <c r="G41" s="36" t="s">
        <v>122</v>
      </c>
      <c r="H41" s="92" t="s">
        <v>265</v>
      </c>
      <c r="I41" s="57"/>
      <c r="J41" s="58"/>
      <c r="L41" t="str">
        <f>LEFT(E41,SEARCH("/",E41,1)-1)</f>
        <v xml:space="preserve">1782.2 </v>
      </c>
      <c r="M41">
        <v>1780</v>
      </c>
      <c r="N41" s="151">
        <f>M41/L41</f>
        <v>0.9987655706430254</v>
      </c>
      <c r="O41" s="150" t="s">
        <v>5</v>
      </c>
    </row>
    <row r="42" spans="1:17" ht="15" customHeight="1">
      <c r="A42" s="10" t="s">
        <v>123</v>
      </c>
      <c r="B42" s="178">
        <v>18.916532890885041</v>
      </c>
      <c r="C42" s="178">
        <v>18.916532890885041</v>
      </c>
      <c r="D42" s="178">
        <v>18.916532890885041</v>
      </c>
      <c r="E42" s="178">
        <v>18.916532890885041</v>
      </c>
      <c r="F42" s="179">
        <v>18.916532890885041</v>
      </c>
      <c r="G42" s="35" t="s">
        <v>124</v>
      </c>
      <c r="H42" s="91" t="s">
        <v>266</v>
      </c>
      <c r="I42" s="55"/>
      <c r="J42" s="97">
        <v>0.21335743156547937</v>
      </c>
    </row>
    <row r="43" spans="1:17" ht="15" customHeight="1" thickBot="1">
      <c r="A43" s="11" t="s">
        <v>125</v>
      </c>
      <c r="B43" s="184">
        <v>18.916532890885041</v>
      </c>
      <c r="C43" s="185"/>
      <c r="D43" s="186" t="s">
        <v>269</v>
      </c>
      <c r="E43" s="186"/>
      <c r="F43" s="187"/>
      <c r="G43" s="36" t="s">
        <v>122</v>
      </c>
      <c r="H43" s="92" t="s">
        <v>267</v>
      </c>
      <c r="I43" s="57"/>
      <c r="J43" s="58"/>
    </row>
    <row r="44" spans="1:17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761.11387689869503</v>
      </c>
      <c r="I44" s="90">
        <v>4.6577724035736096E-2</v>
      </c>
      <c r="J44" s="97">
        <v>0.62725241041535618</v>
      </c>
    </row>
    <row r="45" spans="1:17" ht="15" customHeight="1">
      <c r="A45" s="10" t="s">
        <v>129</v>
      </c>
      <c r="B45" s="68">
        <v>0.19699203968048096</v>
      </c>
      <c r="C45" s="161" t="s">
        <v>130</v>
      </c>
      <c r="D45" s="72">
        <v>1.4073760248720646E-2</v>
      </c>
      <c r="E45" s="10" t="s">
        <v>131</v>
      </c>
      <c r="F45" s="74">
        <v>283.61022018990241</v>
      </c>
      <c r="G45" s="37" t="s">
        <v>122</v>
      </c>
      <c r="H45" s="86" t="s">
        <v>268</v>
      </c>
      <c r="I45" s="59"/>
      <c r="J45" s="60"/>
    </row>
    <row r="46" spans="1:17" ht="15" customHeight="1">
      <c r="A46" s="10" t="s">
        <v>132</v>
      </c>
      <c r="B46" s="68">
        <v>0.21204262971878052</v>
      </c>
      <c r="C46" s="161" t="s">
        <v>133</v>
      </c>
      <c r="D46" s="72">
        <v>9.8952986299991608E-3</v>
      </c>
      <c r="E46" s="10" t="s">
        <v>134</v>
      </c>
      <c r="F46" s="74">
        <v>509.40439485981989</v>
      </c>
      <c r="G46" s="36" t="s">
        <v>135</v>
      </c>
      <c r="H46" s="94">
        <v>166.97799855995262</v>
      </c>
      <c r="I46" s="57"/>
      <c r="J46" s="58"/>
      <c r="L46" s="146" t="s">
        <v>180</v>
      </c>
      <c r="M46" s="148">
        <f>B5^0.95</f>
        <v>331.55219167078911</v>
      </c>
    </row>
    <row r="47" spans="1:17" ht="15" customHeight="1">
      <c r="A47" s="10" t="s">
        <v>136</v>
      </c>
      <c r="B47" s="68">
        <v>0.40903466939926147</v>
      </c>
      <c r="C47" s="161" t="s">
        <v>137</v>
      </c>
      <c r="D47" s="72">
        <v>1.0425975546240807E-2</v>
      </c>
      <c r="E47" s="10" t="s">
        <v>138</v>
      </c>
      <c r="F47" s="74">
        <v>418.33747298283356</v>
      </c>
      <c r="G47" s="64" t="s">
        <v>139</v>
      </c>
      <c r="H47" s="93">
        <v>726.53647415019873</v>
      </c>
      <c r="I47" s="90">
        <v>4.4337476280296828E-2</v>
      </c>
      <c r="J47" s="95">
        <v>0.64404596147107041</v>
      </c>
      <c r="L47" s="146" t="s">
        <v>181</v>
      </c>
      <c r="M47" s="148">
        <f>B5^1.5</f>
        <v>9545.9420666958213</v>
      </c>
    </row>
    <row r="48" spans="1:17" ht="15" customHeight="1">
      <c r="A48" s="10" t="s">
        <v>140</v>
      </c>
      <c r="B48" s="68">
        <v>1.0701111517846584E-2</v>
      </c>
      <c r="C48" s="161" t="s">
        <v>100</v>
      </c>
      <c r="D48" s="72">
        <v>4.5096144080162048E-2</v>
      </c>
      <c r="E48" s="10" t="s">
        <v>141</v>
      </c>
      <c r="F48" s="74">
        <v>5.1052952481103508</v>
      </c>
      <c r="G48" s="65" t="s">
        <v>122</v>
      </c>
      <c r="H48" s="86">
        <v>216.42432163575043</v>
      </c>
      <c r="I48" s="59"/>
      <c r="J48" s="60"/>
      <c r="L48" s="146" t="s">
        <v>182</v>
      </c>
      <c r="M48" s="147">
        <f>IF(A5="",0,(7200/(1000*A5))^2.4)</f>
        <v>4.0987743736515299</v>
      </c>
    </row>
    <row r="49" spans="1:13" ht="15" customHeight="1" thickBot="1">
      <c r="A49" s="8"/>
      <c r="B49" s="54"/>
      <c r="C49" s="162" t="s">
        <v>142</v>
      </c>
      <c r="D49" s="81">
        <v>0.95490384101867676</v>
      </c>
      <c r="E49" s="11" t="s">
        <v>143</v>
      </c>
      <c r="F49" s="83">
        <v>10.410710587077242</v>
      </c>
      <c r="G49" s="66" t="s">
        <v>135</v>
      </c>
      <c r="H49" s="94">
        <v>162.81979959909737</v>
      </c>
      <c r="I49" s="57"/>
      <c r="J49" s="61"/>
      <c r="L49" s="146" t="s">
        <v>183</v>
      </c>
      <c r="M49" s="147">
        <f>IF(A5="",0,(7200/(1000*A5))^1.8)</f>
        <v>2.8806500970683282</v>
      </c>
    </row>
    <row r="50" spans="1:13" ht="15" customHeight="1">
      <c r="A50" s="13" t="s">
        <v>214</v>
      </c>
      <c r="B50" s="14"/>
      <c r="C50" s="14"/>
      <c r="D50" s="14"/>
      <c r="E50" s="14"/>
      <c r="F50" s="15"/>
      <c r="G50" s="13" t="s">
        <v>144</v>
      </c>
      <c r="H50" s="14"/>
      <c r="I50" s="41"/>
      <c r="J50" s="27"/>
      <c r="L50" s="146" t="s">
        <v>184</v>
      </c>
      <c r="M50" s="149">
        <f>IF(A5=2,27,24)</f>
        <v>24</v>
      </c>
    </row>
    <row r="51" spans="1:13" ht="15" customHeight="1">
      <c r="A51" s="10" t="s">
        <v>145</v>
      </c>
      <c r="B51" s="51">
        <v>50</v>
      </c>
      <c r="C51" s="9" t="s">
        <v>146</v>
      </c>
      <c r="D51" s="69" t="s">
        <v>175</v>
      </c>
      <c r="E51" s="9" t="s">
        <v>147</v>
      </c>
      <c r="F51" s="73" t="s">
        <v>175</v>
      </c>
      <c r="G51" s="9" t="s">
        <v>148</v>
      </c>
      <c r="H51" s="67">
        <v>6.8947255791661013E-2</v>
      </c>
      <c r="I51" s="44" t="s">
        <v>149</v>
      </c>
      <c r="J51" s="38"/>
      <c r="L51" s="146" t="s">
        <v>185</v>
      </c>
      <c r="M51" s="149">
        <v>6.8500000000000005E-2</v>
      </c>
    </row>
    <row r="52" spans="1:13" ht="15" customHeight="1">
      <c r="A52" s="10" t="s">
        <v>58</v>
      </c>
      <c r="B52" s="69">
        <v>32.049999237060547</v>
      </c>
      <c r="C52" s="9" t="s">
        <v>150</v>
      </c>
      <c r="D52" s="69" t="s">
        <v>175</v>
      </c>
      <c r="E52" s="9" t="s">
        <v>151</v>
      </c>
      <c r="F52" s="73" t="s">
        <v>175</v>
      </c>
      <c r="G52" s="9" t="s">
        <v>169</v>
      </c>
      <c r="H52" s="69">
        <v>70401.884838542173</v>
      </c>
      <c r="I52" s="98" t="s">
        <v>248</v>
      </c>
      <c r="J52" s="62"/>
      <c r="L52" s="146" t="s">
        <v>192</v>
      </c>
      <c r="M52" s="163">
        <f>F5</f>
        <v>60</v>
      </c>
    </row>
    <row r="53" spans="1:13" ht="15" customHeight="1">
      <c r="A53" s="10" t="s">
        <v>64</v>
      </c>
      <c r="B53" s="69">
        <v>3</v>
      </c>
      <c r="C53" s="9" t="s">
        <v>152</v>
      </c>
      <c r="D53" s="69" t="s">
        <v>175</v>
      </c>
      <c r="E53" s="9" t="s">
        <v>153</v>
      </c>
      <c r="F53" s="73" t="s">
        <v>175</v>
      </c>
      <c r="G53" s="9" t="s">
        <v>170</v>
      </c>
      <c r="H53" s="68">
        <v>32.473131450297871</v>
      </c>
      <c r="I53" s="43" t="s">
        <v>154</v>
      </c>
      <c r="J53" s="38"/>
      <c r="L53" s="146" t="s">
        <v>186</v>
      </c>
      <c r="M53" s="152">
        <f>IF(F5=60,M50*M46/M48-M51*M47/M49,IF(F5&lt;&gt;60,(60/M52)^2*(M50*M46/M48-M51*M47/M49),0))</f>
        <v>1714.3773173035611</v>
      </c>
    </row>
    <row r="54" spans="1:13" ht="15" customHeight="1">
      <c r="A54" s="10" t="s">
        <v>66</v>
      </c>
      <c r="B54" s="69">
        <v>2</v>
      </c>
      <c r="C54" s="9" t="s">
        <v>155</v>
      </c>
      <c r="D54" s="69" t="s">
        <v>175</v>
      </c>
      <c r="E54" s="9" t="s">
        <v>153</v>
      </c>
      <c r="F54" s="73" t="s">
        <v>175</v>
      </c>
      <c r="G54" s="9" t="s">
        <v>171</v>
      </c>
      <c r="H54" s="70">
        <v>175450</v>
      </c>
      <c r="I54" s="99" t="s">
        <v>249</v>
      </c>
      <c r="J54" s="100" t="s">
        <v>212</v>
      </c>
    </row>
    <row r="55" spans="1:13" ht="15" customHeight="1">
      <c r="A55" s="10" t="s">
        <v>156</v>
      </c>
      <c r="B55" s="69">
        <v>8.0500001907348633</v>
      </c>
      <c r="C55" s="9" t="s">
        <v>157</v>
      </c>
      <c r="D55" s="69" t="s">
        <v>175</v>
      </c>
      <c r="E55" s="9" t="s">
        <v>158</v>
      </c>
      <c r="F55" s="73" t="s">
        <v>175</v>
      </c>
      <c r="G55" s="9" t="s">
        <v>159</v>
      </c>
      <c r="H55" s="69">
        <v>1.0499999523162842</v>
      </c>
      <c r="I55" s="43" t="s">
        <v>160</v>
      </c>
      <c r="J55" s="38"/>
    </row>
    <row r="56" spans="1:13" ht="15" customHeight="1" thickBot="1">
      <c r="A56" s="11" t="s">
        <v>161</v>
      </c>
      <c r="B56" s="80" t="s">
        <v>175</v>
      </c>
      <c r="C56" s="21" t="s">
        <v>162</v>
      </c>
      <c r="D56" s="80" t="s">
        <v>175</v>
      </c>
      <c r="E56" s="21" t="s">
        <v>163</v>
      </c>
      <c r="F56" s="82" t="s">
        <v>175</v>
      </c>
      <c r="G56" s="21" t="s">
        <v>164</v>
      </c>
      <c r="H56" s="79">
        <v>0.89993499999999993</v>
      </c>
      <c r="I56" s="101" t="s">
        <v>250</v>
      </c>
      <c r="J56" s="61" t="s">
        <v>213</v>
      </c>
    </row>
    <row r="57" spans="1:13" ht="15" customHeight="1">
      <c r="A57" s="23" t="s">
        <v>397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166</v>
      </c>
      <c r="C58" s="16" t="s">
        <v>398</v>
      </c>
      <c r="D58" s="4" t="s">
        <v>119</v>
      </c>
      <c r="E58" s="4" t="s">
        <v>166</v>
      </c>
      <c r="F58" s="16" t="s">
        <v>399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0.1821456253528595</v>
      </c>
      <c r="D59" s="127">
        <v>0.69999998807907104</v>
      </c>
      <c r="E59" s="86">
        <v>115.00218325571205</v>
      </c>
      <c r="F59" s="87">
        <v>616.74298095703125</v>
      </c>
      <c r="G59" s="121"/>
      <c r="H59" s="45"/>
      <c r="I59" s="45"/>
      <c r="J59" s="46"/>
    </row>
    <row r="60" spans="1:13" ht="15" customHeight="1">
      <c r="A60" s="129">
        <v>7.9999994486570358E-3</v>
      </c>
      <c r="B60" s="86">
        <v>97.323438371703332</v>
      </c>
      <c r="C60" s="87">
        <v>112.65149688720703</v>
      </c>
      <c r="D60" s="127">
        <v>0.80000001192092896</v>
      </c>
      <c r="E60" s="86">
        <v>115.00301107928379</v>
      </c>
      <c r="F60" s="87">
        <v>624.08251953125</v>
      </c>
      <c r="G60" s="121"/>
      <c r="H60" s="45"/>
      <c r="I60" s="45"/>
      <c r="J60" s="46"/>
    </row>
    <row r="61" spans="1:13" ht="15" customHeight="1">
      <c r="A61" s="129">
        <v>3.9999999105930328E-2</v>
      </c>
      <c r="B61" s="86">
        <v>250</v>
      </c>
      <c r="C61" s="87">
        <v>390.02215576171875</v>
      </c>
      <c r="D61" s="127">
        <v>0.89999997615814209</v>
      </c>
      <c r="E61" s="86">
        <v>115.00421547297283</v>
      </c>
      <c r="F61" s="87">
        <v>630.343017578125</v>
      </c>
      <c r="G61" s="121"/>
      <c r="H61" s="45"/>
      <c r="I61" s="45"/>
      <c r="J61" s="46"/>
    </row>
    <row r="62" spans="1:13" ht="15" customHeight="1">
      <c r="A62" s="125">
        <v>9.1428570449352264E-2</v>
      </c>
      <c r="B62" s="86">
        <v>190.20345539789906</v>
      </c>
      <c r="C62" s="87">
        <v>497.94375610351563</v>
      </c>
      <c r="D62" s="128">
        <v>1</v>
      </c>
      <c r="E62" s="86">
        <v>115</v>
      </c>
      <c r="F62" s="87">
        <v>635.71429443359375</v>
      </c>
      <c r="G62" s="121"/>
      <c r="H62" s="45"/>
      <c r="I62" s="45"/>
      <c r="J62" s="46"/>
    </row>
    <row r="63" spans="1:13" ht="15" customHeight="1" thickBot="1">
      <c r="A63" s="125">
        <v>0.1428571492433548</v>
      </c>
      <c r="B63" s="86">
        <v>149.15354177461541</v>
      </c>
      <c r="C63" s="87">
        <v>533.81915283203125</v>
      </c>
      <c r="D63" s="486"/>
      <c r="E63" s="487"/>
      <c r="F63" s="488"/>
      <c r="G63" s="121"/>
      <c r="H63" s="45"/>
      <c r="I63" s="45"/>
      <c r="J63" s="46"/>
    </row>
    <row r="64" spans="1:13" ht="15" customHeight="1">
      <c r="A64" s="125">
        <v>0.19428572058677673</v>
      </c>
      <c r="B64" s="86">
        <v>130.4296564265012</v>
      </c>
      <c r="C64" s="87">
        <v>551.29949951171875</v>
      </c>
      <c r="D64" s="489" t="s">
        <v>581</v>
      </c>
      <c r="E64" s="490"/>
      <c r="F64" s="490"/>
      <c r="G64" s="121"/>
      <c r="H64" s="45"/>
      <c r="I64" s="45"/>
      <c r="J64" s="46"/>
    </row>
    <row r="65" spans="1:10" ht="15" customHeight="1">
      <c r="A65" s="125">
        <v>0.29714286327362061</v>
      </c>
      <c r="B65" s="86">
        <v>118.82093845296841</v>
      </c>
      <c r="C65" s="87">
        <v>571.4322509765625</v>
      </c>
      <c r="D65" s="491" t="s">
        <v>401</v>
      </c>
      <c r="E65" s="493" t="s">
        <v>405</v>
      </c>
      <c r="F65" s="494"/>
      <c r="G65" s="121"/>
      <c r="H65" s="45"/>
      <c r="I65" s="45"/>
      <c r="J65" s="46"/>
    </row>
    <row r="66" spans="1:10" ht="15" customHeight="1">
      <c r="A66" s="125">
        <v>0.40000000596046448</v>
      </c>
      <c r="B66" s="86">
        <v>115</v>
      </c>
      <c r="C66" s="87">
        <v>585.791259765625</v>
      </c>
      <c r="D66" s="491" t="s">
        <v>402</v>
      </c>
      <c r="E66" s="493" t="s">
        <v>406</v>
      </c>
      <c r="F66" s="494"/>
      <c r="G66" s="121"/>
      <c r="H66" s="45"/>
      <c r="I66" s="45"/>
      <c r="J66" s="46"/>
    </row>
    <row r="67" spans="1:10" ht="15" customHeight="1">
      <c r="A67" s="125">
        <v>0.5</v>
      </c>
      <c r="B67" s="86">
        <v>115.0000182483185</v>
      </c>
      <c r="C67" s="87">
        <v>597.712890625</v>
      </c>
      <c r="D67" s="491" t="s">
        <v>403</v>
      </c>
      <c r="E67" s="493" t="s">
        <v>582</v>
      </c>
      <c r="F67" s="494"/>
      <c r="G67" s="121"/>
      <c r="H67" s="45"/>
      <c r="I67" s="45"/>
      <c r="J67" s="46"/>
    </row>
    <row r="68" spans="1:10" ht="15" customHeight="1" thickBot="1">
      <c r="A68" s="126">
        <v>0.60000002384185791</v>
      </c>
      <c r="B68" s="88">
        <v>115.00004525397601</v>
      </c>
      <c r="C68" s="89">
        <v>608.00775146484375</v>
      </c>
      <c r="D68" s="492" t="s">
        <v>404</v>
      </c>
      <c r="E68" s="495" t="s">
        <v>407</v>
      </c>
      <c r="F68" s="495"/>
      <c r="G68" s="122"/>
      <c r="H68" s="47"/>
      <c r="I68" s="47"/>
      <c r="J68" s="48"/>
    </row>
    <row r="69" spans="1:10" ht="15" customHeight="1">
      <c r="A69" s="155"/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485" t="s">
        <v>400</v>
      </c>
      <c r="B99" s="485" t="s">
        <v>579</v>
      </c>
      <c r="C99" s="485" t="s">
        <v>580</v>
      </c>
      <c r="D99" s="485"/>
      <c r="E99" s="485"/>
      <c r="F99" s="485"/>
      <c r="G99" s="485"/>
      <c r="H99" s="485"/>
      <c r="I99" s="485"/>
    </row>
    <row r="100" spans="1:9">
      <c r="A100" s="485">
        <v>100</v>
      </c>
      <c r="B100" s="485">
        <v>0</v>
      </c>
      <c r="C100" s="485">
        <v>8.1601247787475586</v>
      </c>
      <c r="D100" s="485"/>
      <c r="E100" s="485"/>
      <c r="F100" s="485"/>
      <c r="G100" s="485"/>
      <c r="H100" s="485"/>
      <c r="I100" s="485"/>
    </row>
    <row r="101" spans="1:9">
      <c r="A101" s="485">
        <v>98.400001525878906</v>
      </c>
      <c r="B101" s="485">
        <v>62.287003809422323</v>
      </c>
      <c r="C101" s="485">
        <v>90.121200561523438</v>
      </c>
      <c r="D101" s="485"/>
      <c r="E101" s="485"/>
      <c r="F101" s="485"/>
      <c r="G101" s="485"/>
      <c r="H101" s="485"/>
      <c r="I101" s="485"/>
    </row>
    <row r="102" spans="1:9">
      <c r="A102" s="485">
        <v>89.75</v>
      </c>
      <c r="B102" s="485">
        <v>160.00000476837161</v>
      </c>
      <c r="C102" s="485">
        <v>312.01773071289063</v>
      </c>
      <c r="D102" s="485"/>
      <c r="E102" s="485"/>
      <c r="F102" s="485"/>
      <c r="G102" s="485"/>
      <c r="H102" s="485"/>
      <c r="I102" s="485"/>
    </row>
    <row r="103" spans="1:9">
      <c r="A103" s="485">
        <v>76.228569030761719</v>
      </c>
      <c r="B103" s="485">
        <v>121.73021847159313</v>
      </c>
      <c r="C103" s="485">
        <v>398.35501098632813</v>
      </c>
      <c r="D103" s="485"/>
      <c r="E103" s="485"/>
      <c r="F103" s="485"/>
      <c r="G103" s="485"/>
      <c r="H103" s="485"/>
      <c r="I103" s="485"/>
    </row>
    <row r="104" spans="1:9">
      <c r="A104" s="485">
        <v>62.857139587402344</v>
      </c>
      <c r="B104" s="485">
        <v>95.4582743292532</v>
      </c>
      <c r="C104" s="485">
        <v>427.05532836914063</v>
      </c>
      <c r="D104" s="485"/>
      <c r="E104" s="485"/>
      <c r="F104" s="485"/>
      <c r="G104" s="485"/>
      <c r="H104" s="485"/>
      <c r="I104" s="485"/>
    </row>
    <row r="105" spans="1:9">
      <c r="A105" s="485">
        <v>51.25714111328125</v>
      </c>
      <c r="B105" s="485">
        <v>83.474982956498295</v>
      </c>
      <c r="C105" s="485">
        <v>441.03961181640625</v>
      </c>
      <c r="D105" s="485"/>
      <c r="E105" s="485"/>
      <c r="F105" s="485"/>
      <c r="G105" s="485"/>
      <c r="H105" s="485"/>
      <c r="I105" s="485"/>
    </row>
    <row r="106" spans="1:9">
      <c r="A106" s="485">
        <v>33.485713958740234</v>
      </c>
      <c r="B106" s="485">
        <v>76.04540265695455</v>
      </c>
      <c r="C106" s="485">
        <v>457.14581298828125</v>
      </c>
      <c r="D106" s="485"/>
      <c r="E106" s="485"/>
      <c r="F106" s="485"/>
      <c r="G106" s="485"/>
      <c r="H106" s="485"/>
      <c r="I106" s="485"/>
    </row>
    <row r="107" spans="1:9">
      <c r="A107" s="485">
        <v>22</v>
      </c>
      <c r="B107" s="485">
        <v>73.600002193450948</v>
      </c>
      <c r="C107" s="485">
        <v>468.63302612304688</v>
      </c>
      <c r="D107" s="485"/>
      <c r="E107" s="485"/>
      <c r="F107" s="485"/>
      <c r="G107" s="485"/>
      <c r="H107" s="485"/>
      <c r="I107" s="485"/>
    </row>
    <row r="108" spans="1:9">
      <c r="A108" s="485">
        <v>14</v>
      </c>
      <c r="B108" s="485">
        <v>73.600011959076241</v>
      </c>
      <c r="C108" s="485">
        <v>478.17031860351563</v>
      </c>
      <c r="D108" s="485"/>
      <c r="E108" s="485"/>
      <c r="F108" s="485"/>
      <c r="G108" s="485"/>
      <c r="H108" s="485"/>
      <c r="I108" s="485"/>
    </row>
    <row r="109" spans="1:9">
      <c r="A109" s="485">
        <v>7.9999995231628418</v>
      </c>
      <c r="B109" s="485">
        <v>73.600031490326813</v>
      </c>
      <c r="C109" s="485">
        <v>486.40621948242188</v>
      </c>
      <c r="D109" s="485"/>
      <c r="E109" s="485"/>
      <c r="F109" s="485"/>
      <c r="G109" s="485"/>
      <c r="H109" s="485"/>
      <c r="I109" s="485"/>
    </row>
    <row r="110" spans="1:9">
      <c r="A110" s="485">
        <v>5.9999995231628418</v>
      </c>
      <c r="B110" s="485">
        <v>73.601398677867564</v>
      </c>
      <c r="C110" s="485">
        <v>493.39437866210938</v>
      </c>
      <c r="D110" s="485"/>
      <c r="E110" s="485"/>
      <c r="F110" s="485"/>
      <c r="G110" s="485"/>
      <c r="H110" s="485"/>
      <c r="I110" s="485"/>
    </row>
    <row r="111" spans="1:9">
      <c r="A111" s="485">
        <v>8.0000009536743164</v>
      </c>
      <c r="B111" s="485">
        <v>73.601930904445922</v>
      </c>
      <c r="C111" s="485">
        <v>499.26602172851563</v>
      </c>
      <c r="D111" s="485"/>
      <c r="E111" s="485"/>
      <c r="F111" s="485"/>
      <c r="G111" s="485"/>
      <c r="H111" s="485"/>
      <c r="I111" s="485"/>
    </row>
    <row r="112" spans="1:9">
      <c r="A112" s="485">
        <v>14.999996185302734</v>
      </c>
      <c r="B112" s="485">
        <v>73.602702388843923</v>
      </c>
      <c r="C112" s="485">
        <v>504.2744140625</v>
      </c>
      <c r="D112" s="485"/>
      <c r="E112" s="485"/>
      <c r="F112" s="485"/>
      <c r="G112" s="485"/>
      <c r="H112" s="485"/>
      <c r="I112" s="485"/>
    </row>
    <row r="113" spans="1:9">
      <c r="A113" s="485">
        <v>30</v>
      </c>
      <c r="B113" s="485">
        <v>73.600002193450948</v>
      </c>
      <c r="C113" s="485">
        <v>508.57144165039063</v>
      </c>
      <c r="D113" s="485"/>
      <c r="E113" s="485"/>
      <c r="F113" s="485"/>
      <c r="G113" s="485"/>
      <c r="H113" s="485"/>
      <c r="I113" s="485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A483-3763-4FB0-A356-A58227BDE276}">
  <sheetPr>
    <pageSetUpPr fitToPage="1"/>
  </sheetPr>
  <dimension ref="A1:P71"/>
  <sheetViews>
    <sheetView topLeftCell="A13" zoomScale="95" workbookViewId="0">
      <selection activeCell="F32" sqref="F32"/>
    </sheetView>
  </sheetViews>
  <sheetFormatPr defaultRowHeight="12.75"/>
  <cols>
    <col min="1" max="6" width="12.28515625" style="854" customWidth="1"/>
    <col min="7" max="7" width="12.42578125" style="854" customWidth="1"/>
    <col min="8" max="8" width="12.7109375" style="854" customWidth="1"/>
    <col min="9" max="10" width="12.28515625" style="854" customWidth="1"/>
    <col min="11" max="11" width="9.140625" style="854"/>
    <col min="12" max="12" width="13.42578125" style="854" bestFit="1" customWidth="1"/>
    <col min="13" max="13" width="9" style="854" bestFit="1" customWidth="1"/>
    <col min="14" max="16384" width="9.140625" style="854"/>
  </cols>
  <sheetData>
    <row r="1" spans="1:10" ht="18.75">
      <c r="A1" s="891" t="s">
        <v>168</v>
      </c>
      <c r="B1" s="892"/>
      <c r="C1" s="892"/>
      <c r="D1" s="892"/>
      <c r="E1" s="892"/>
      <c r="F1" s="892"/>
      <c r="G1" s="892"/>
      <c r="H1" s="892"/>
      <c r="I1" s="893" t="s">
        <v>0</v>
      </c>
      <c r="J1" s="893" t="s">
        <v>220</v>
      </c>
    </row>
    <row r="2" spans="1:10" ht="18.75">
      <c r="A2" s="891" t="s">
        <v>174</v>
      </c>
      <c r="B2" s="892"/>
      <c r="C2" s="892"/>
      <c r="D2" s="892"/>
      <c r="E2" s="892"/>
      <c r="F2" s="892"/>
      <c r="G2" s="892"/>
      <c r="H2" s="892"/>
      <c r="I2" s="892"/>
      <c r="J2" s="894" t="s">
        <v>221</v>
      </c>
    </row>
    <row r="3" spans="1:10" ht="15" customHeight="1" thickBot="1">
      <c r="A3" s="895" t="s">
        <v>1</v>
      </c>
      <c r="B3" s="896" t="s">
        <v>219</v>
      </c>
      <c r="C3" s="897"/>
      <c r="D3" s="895"/>
      <c r="E3" s="897"/>
      <c r="F3" s="897"/>
      <c r="G3" s="895" t="s">
        <v>2</v>
      </c>
      <c r="H3" s="898">
        <v>45707</v>
      </c>
      <c r="I3" s="895" t="s">
        <v>3</v>
      </c>
      <c r="J3" s="899">
        <v>0.42531249999999998</v>
      </c>
    </row>
    <row r="4" spans="1:10" ht="15" customHeight="1" thickBot="1">
      <c r="A4" s="900" t="s">
        <v>4</v>
      </c>
      <c r="B4" s="900" t="s">
        <v>172</v>
      </c>
      <c r="C4" s="900" t="s">
        <v>5</v>
      </c>
      <c r="D4" s="900" t="s">
        <v>173</v>
      </c>
      <c r="E4" s="901" t="s">
        <v>6</v>
      </c>
      <c r="F4" s="900" t="s">
        <v>7</v>
      </c>
      <c r="G4" s="900" t="s">
        <v>176</v>
      </c>
      <c r="H4" s="900" t="s">
        <v>8</v>
      </c>
      <c r="I4" s="900" t="s">
        <v>9</v>
      </c>
      <c r="J4" s="900" t="s">
        <v>10</v>
      </c>
    </row>
    <row r="5" spans="1:10" ht="15" customHeight="1" thickBot="1">
      <c r="A5" s="902">
        <v>4</v>
      </c>
      <c r="B5" s="903">
        <v>450.00001636331268</v>
      </c>
      <c r="C5" s="904">
        <v>1800</v>
      </c>
      <c r="D5" s="902" t="s">
        <v>194</v>
      </c>
      <c r="E5" s="905">
        <v>3200</v>
      </c>
      <c r="F5" s="904">
        <v>60</v>
      </c>
      <c r="G5" s="902">
        <v>105</v>
      </c>
      <c r="H5" s="906" t="s">
        <v>775</v>
      </c>
      <c r="I5" s="907" t="s">
        <v>776</v>
      </c>
      <c r="J5" s="902" t="s">
        <v>195</v>
      </c>
    </row>
    <row r="6" spans="1:10" ht="15" customHeight="1" thickBot="1">
      <c r="A6" s="908" t="s">
        <v>11</v>
      </c>
      <c r="B6" s="909"/>
      <c r="C6" s="910"/>
      <c r="D6" s="911" t="s">
        <v>12</v>
      </c>
      <c r="E6" s="912"/>
      <c r="F6" s="913"/>
      <c r="G6" s="914"/>
      <c r="H6" s="915" t="s">
        <v>13</v>
      </c>
      <c r="I6" s="916"/>
      <c r="J6" s="917"/>
    </row>
    <row r="7" spans="1:10" ht="15" customHeight="1" thickBot="1">
      <c r="A7" s="918"/>
      <c r="B7" s="919" t="s">
        <v>14</v>
      </c>
      <c r="C7" s="920" t="s">
        <v>15</v>
      </c>
      <c r="D7" s="918"/>
      <c r="E7" s="921"/>
      <c r="F7" s="919" t="s">
        <v>16</v>
      </c>
      <c r="G7" s="920" t="s">
        <v>17</v>
      </c>
      <c r="H7" s="922" t="s">
        <v>18</v>
      </c>
      <c r="I7" s="923">
        <v>18.430661333333333</v>
      </c>
      <c r="J7" s="924" t="s">
        <v>19</v>
      </c>
    </row>
    <row r="8" spans="1:10" ht="15" customHeight="1">
      <c r="A8" s="922" t="s">
        <v>20</v>
      </c>
      <c r="B8" s="925">
        <v>1.7999999523162842</v>
      </c>
      <c r="C8" s="926"/>
      <c r="D8" s="927"/>
      <c r="E8" s="928"/>
      <c r="F8" s="919"/>
      <c r="G8" s="920"/>
      <c r="H8" s="922" t="s">
        <v>21</v>
      </c>
      <c r="I8" s="923">
        <v>21.890599125992107</v>
      </c>
      <c r="J8" s="929" t="s">
        <v>22</v>
      </c>
    </row>
    <row r="9" spans="1:10" ht="15" customHeight="1" thickBot="1">
      <c r="A9" s="922" t="s">
        <v>23</v>
      </c>
      <c r="B9" s="925">
        <v>0.93000000715255737</v>
      </c>
      <c r="C9" s="926"/>
      <c r="D9" s="922" t="s">
        <v>24</v>
      </c>
      <c r="E9" s="930" t="s">
        <v>201</v>
      </c>
      <c r="F9" s="931" t="s">
        <v>25</v>
      </c>
      <c r="G9" s="932"/>
      <c r="H9" s="922" t="s">
        <v>26</v>
      </c>
      <c r="I9" s="925">
        <v>20.160630229662722</v>
      </c>
      <c r="J9" s="933">
        <v>1077.3526455570047</v>
      </c>
    </row>
    <row r="10" spans="1:10" ht="15" customHeight="1">
      <c r="A10" s="922" t="s">
        <v>27</v>
      </c>
      <c r="B10" s="925">
        <v>580</v>
      </c>
      <c r="C10" s="934">
        <v>580</v>
      </c>
      <c r="D10" s="927"/>
      <c r="E10" s="928"/>
      <c r="F10" s="935" t="s">
        <v>215</v>
      </c>
      <c r="G10" s="936" t="s">
        <v>216</v>
      </c>
      <c r="H10" s="922" t="s">
        <v>28</v>
      </c>
      <c r="I10" s="923">
        <v>11.353491303314225</v>
      </c>
      <c r="J10" s="929" t="s">
        <v>29</v>
      </c>
    </row>
    <row r="11" spans="1:10" ht="15" customHeight="1" thickBot="1">
      <c r="A11" s="922" t="s">
        <v>30</v>
      </c>
      <c r="B11" s="925">
        <v>550</v>
      </c>
      <c r="C11" s="934">
        <v>348.40000009536743</v>
      </c>
      <c r="D11" s="922" t="s">
        <v>31</v>
      </c>
      <c r="E11" s="923">
        <v>0.86657999999999991</v>
      </c>
      <c r="F11" s="937"/>
      <c r="G11" s="938"/>
      <c r="H11" s="922" t="s">
        <v>32</v>
      </c>
      <c r="I11" s="923">
        <v>21.17125849396945</v>
      </c>
      <c r="J11" s="933">
        <v>28358.745025919528</v>
      </c>
    </row>
    <row r="12" spans="1:10" ht="15" customHeight="1">
      <c r="A12" s="922" t="s">
        <v>33</v>
      </c>
      <c r="B12" s="925">
        <v>352</v>
      </c>
      <c r="C12" s="934">
        <v>140</v>
      </c>
      <c r="D12" s="922" t="s">
        <v>34</v>
      </c>
      <c r="E12" s="939" t="s">
        <v>175</v>
      </c>
      <c r="F12" s="940" t="s">
        <v>208</v>
      </c>
      <c r="G12" s="941" t="s">
        <v>207</v>
      </c>
      <c r="H12" s="922" t="s">
        <v>35</v>
      </c>
      <c r="I12" s="923">
        <v>1.1944752556197273</v>
      </c>
      <c r="J12" s="929" t="s">
        <v>36</v>
      </c>
    </row>
    <row r="13" spans="1:10" ht="15" customHeight="1" thickBot="1">
      <c r="A13" s="922" t="s">
        <v>37</v>
      </c>
      <c r="B13" s="925">
        <v>48.5</v>
      </c>
      <c r="C13" s="934">
        <v>72.150000810623169</v>
      </c>
      <c r="D13" s="922" t="s">
        <v>38</v>
      </c>
      <c r="E13" s="942">
        <v>16</v>
      </c>
      <c r="F13" s="940"/>
      <c r="G13" s="941" t="s">
        <v>209</v>
      </c>
      <c r="H13" s="922" t="s">
        <v>40</v>
      </c>
      <c r="I13" s="923">
        <v>1.0339772258804341</v>
      </c>
      <c r="J13" s="933">
        <v>71.838531494140625</v>
      </c>
    </row>
    <row r="14" spans="1:10" ht="15" customHeight="1" thickBot="1">
      <c r="A14" s="943" t="s">
        <v>41</v>
      </c>
      <c r="B14" s="944">
        <v>539.4000244140625</v>
      </c>
      <c r="C14" s="945">
        <v>539.4000244140625</v>
      </c>
      <c r="D14" s="922" t="s">
        <v>42</v>
      </c>
      <c r="E14" s="928" t="s">
        <v>202</v>
      </c>
      <c r="F14" s="928" t="s">
        <v>211</v>
      </c>
      <c r="G14" s="941" t="s">
        <v>210</v>
      </c>
      <c r="H14" s="895" t="s">
        <v>43</v>
      </c>
      <c r="I14" s="923">
        <v>1.2350602111885081</v>
      </c>
      <c r="J14" s="929" t="s">
        <v>44</v>
      </c>
    </row>
    <row r="15" spans="1:10" ht="15" customHeight="1" thickBot="1">
      <c r="A15" s="946" t="s">
        <v>45</v>
      </c>
      <c r="B15" s="947"/>
      <c r="C15" s="948"/>
      <c r="D15" s="922" t="s">
        <v>46</v>
      </c>
      <c r="E15" s="928" t="s">
        <v>175</v>
      </c>
      <c r="F15" s="928"/>
      <c r="G15" s="941"/>
      <c r="H15" s="922" t="s">
        <v>47</v>
      </c>
      <c r="I15" s="923">
        <v>0.97811904826498275</v>
      </c>
      <c r="J15" s="933">
        <v>11.547344207763672</v>
      </c>
    </row>
    <row r="16" spans="1:10" ht="15" customHeight="1">
      <c r="A16" s="922" t="s">
        <v>48</v>
      </c>
      <c r="B16" s="928">
        <v>60</v>
      </c>
      <c r="C16" s="926">
        <v>50</v>
      </c>
      <c r="D16" s="922" t="s">
        <v>49</v>
      </c>
      <c r="E16" s="928">
        <v>1</v>
      </c>
      <c r="F16" s="928"/>
      <c r="G16" s="941"/>
      <c r="H16" s="922" t="s">
        <v>50</v>
      </c>
      <c r="I16" s="923">
        <v>0.95650599867242181</v>
      </c>
      <c r="J16" s="949" t="s">
        <v>51</v>
      </c>
    </row>
    <row r="17" spans="1:16" ht="15" customHeight="1" thickBot="1">
      <c r="A17" s="922" t="s">
        <v>52</v>
      </c>
      <c r="B17" s="928" t="s">
        <v>196</v>
      </c>
      <c r="C17" s="926" t="s">
        <v>197</v>
      </c>
      <c r="D17" s="895" t="s">
        <v>53</v>
      </c>
      <c r="E17" s="928" t="s">
        <v>203</v>
      </c>
      <c r="F17" s="928"/>
      <c r="G17" s="941"/>
      <c r="H17" s="922" t="s">
        <v>54</v>
      </c>
      <c r="I17" s="923">
        <v>0.93557673708121603</v>
      </c>
      <c r="J17" s="933">
        <v>623.64365722864102</v>
      </c>
    </row>
    <row r="18" spans="1:16" ht="15" customHeight="1">
      <c r="A18" s="922" t="s">
        <v>55</v>
      </c>
      <c r="B18" s="928" t="s">
        <v>175</v>
      </c>
      <c r="C18" s="934">
        <v>0</v>
      </c>
      <c r="D18" s="922" t="s">
        <v>56</v>
      </c>
      <c r="E18" s="950">
        <v>1037</v>
      </c>
      <c r="F18" s="942">
        <v>752</v>
      </c>
      <c r="G18" s="951"/>
      <c r="H18" s="946" t="s">
        <v>57</v>
      </c>
      <c r="I18" s="952" t="s">
        <v>217</v>
      </c>
      <c r="J18" s="953"/>
    </row>
    <row r="19" spans="1:16" ht="15" customHeight="1">
      <c r="A19" s="922" t="s">
        <v>58</v>
      </c>
      <c r="B19" s="925">
        <v>50.5</v>
      </c>
      <c r="C19" s="934">
        <v>32.049999237060547</v>
      </c>
      <c r="D19" s="922" t="s">
        <v>59</v>
      </c>
      <c r="E19" s="942">
        <v>320</v>
      </c>
      <c r="F19" s="928"/>
      <c r="G19" s="926"/>
      <c r="H19" s="954"/>
      <c r="I19" s="919" t="s">
        <v>60</v>
      </c>
      <c r="J19" s="955" t="s">
        <v>61</v>
      </c>
    </row>
    <row r="20" spans="1:16" ht="15" customHeight="1">
      <c r="A20" s="922" t="s">
        <v>62</v>
      </c>
      <c r="B20" s="925" t="s">
        <v>198</v>
      </c>
      <c r="C20" s="934">
        <v>8.0500001907348633</v>
      </c>
      <c r="D20" s="922" t="s">
        <v>167</v>
      </c>
      <c r="E20" s="956">
        <v>0.43880833159390509</v>
      </c>
      <c r="F20" s="928"/>
      <c r="G20" s="926"/>
      <c r="H20" s="922" t="s">
        <v>63</v>
      </c>
      <c r="I20" s="923">
        <v>22.258333206176758</v>
      </c>
      <c r="J20" s="957">
        <v>22.258333206176758</v>
      </c>
    </row>
    <row r="21" spans="1:16" ht="15" customHeight="1">
      <c r="A21" s="922" t="s">
        <v>64</v>
      </c>
      <c r="B21" s="925">
        <v>10.100000381469727</v>
      </c>
      <c r="C21" s="934">
        <v>3</v>
      </c>
      <c r="D21" s="922" t="s">
        <v>204</v>
      </c>
      <c r="E21" s="958">
        <v>0.58536514175296961</v>
      </c>
      <c r="F21" s="958">
        <v>0.39427250623703003</v>
      </c>
      <c r="G21" s="959">
        <v>4.7828004420240225E-2</v>
      </c>
      <c r="H21" s="922" t="s">
        <v>65</v>
      </c>
      <c r="I21" s="923">
        <v>18.094043731689453</v>
      </c>
      <c r="J21" s="957">
        <v>12.169862747192383</v>
      </c>
    </row>
    <row r="22" spans="1:16" ht="15" customHeight="1">
      <c r="A22" s="922" t="s">
        <v>66</v>
      </c>
      <c r="B22" s="925">
        <v>2.8299999237060547</v>
      </c>
      <c r="C22" s="934">
        <v>2</v>
      </c>
      <c r="D22" s="922" t="s">
        <v>67</v>
      </c>
      <c r="E22" s="928" t="s">
        <v>205</v>
      </c>
      <c r="F22" s="928" t="s">
        <v>206</v>
      </c>
      <c r="G22" s="926" t="s">
        <v>206</v>
      </c>
      <c r="H22" s="922" t="s">
        <v>68</v>
      </c>
      <c r="I22" s="923">
        <v>5.5395636558532715</v>
      </c>
      <c r="J22" s="957">
        <v>5.3322467803955078</v>
      </c>
    </row>
    <row r="23" spans="1:16" ht="15" customHeight="1">
      <c r="A23" s="922" t="s">
        <v>69</v>
      </c>
      <c r="B23" s="925">
        <v>8.3306608200073242</v>
      </c>
      <c r="C23" s="934">
        <v>9.8172140121459961</v>
      </c>
      <c r="D23" s="922" t="s">
        <v>70</v>
      </c>
      <c r="E23" s="923">
        <v>1.7419999837875366</v>
      </c>
      <c r="F23" s="923">
        <v>1.7239999771118164</v>
      </c>
      <c r="G23" s="957">
        <v>1.7239999771118164</v>
      </c>
      <c r="H23" s="922" t="s">
        <v>71</v>
      </c>
      <c r="I23" s="923">
        <v>8.5741557157422221</v>
      </c>
      <c r="J23" s="920" t="s">
        <v>218</v>
      </c>
    </row>
    <row r="24" spans="1:16" ht="15" customHeight="1">
      <c r="A24" s="922" t="s">
        <v>72</v>
      </c>
      <c r="B24" s="925">
        <v>0</v>
      </c>
      <c r="C24" s="934">
        <v>0.80000001192092896</v>
      </c>
      <c r="D24" s="922" t="s">
        <v>73</v>
      </c>
      <c r="E24" s="923">
        <v>8.8900003433227539</v>
      </c>
      <c r="F24" s="923">
        <v>8.8900003433227539</v>
      </c>
      <c r="G24" s="957">
        <v>8.8900003433227539</v>
      </c>
      <c r="H24" s="922" t="s">
        <v>74</v>
      </c>
      <c r="I24" s="923">
        <v>4.615872410614493</v>
      </c>
      <c r="J24" s="957">
        <v>4.504209324046383</v>
      </c>
    </row>
    <row r="25" spans="1:16" ht="15" customHeight="1">
      <c r="A25" s="922" t="s">
        <v>75</v>
      </c>
      <c r="B25" s="928" t="s">
        <v>175</v>
      </c>
      <c r="C25" s="934">
        <v>0.80000001192092896</v>
      </c>
      <c r="D25" s="960" t="s">
        <v>76</v>
      </c>
      <c r="E25" s="930"/>
      <c r="F25" s="930"/>
      <c r="G25" s="961"/>
      <c r="H25" s="922" t="s">
        <v>77</v>
      </c>
      <c r="I25" s="923">
        <v>1.0274657011032104</v>
      </c>
      <c r="J25" s="957">
        <v>1.8316853046417236</v>
      </c>
    </row>
    <row r="26" spans="1:16" ht="15" customHeight="1">
      <c r="A26" s="922" t="s">
        <v>78</v>
      </c>
      <c r="B26" s="930" t="s">
        <v>199</v>
      </c>
      <c r="C26" s="961" t="s">
        <v>200</v>
      </c>
      <c r="D26" s="922" t="s">
        <v>79</v>
      </c>
      <c r="E26" s="925">
        <v>116.58798156948804</v>
      </c>
      <c r="F26" s="925">
        <v>85.023963283538819</v>
      </c>
      <c r="G26" s="934">
        <v>27.65510446137969</v>
      </c>
      <c r="H26" s="922" t="s">
        <v>80</v>
      </c>
      <c r="I26" s="923">
        <v>9.4736051559448242</v>
      </c>
      <c r="J26" s="957">
        <v>8.4627399444580078</v>
      </c>
    </row>
    <row r="27" spans="1:16" ht="15" customHeight="1" thickBot="1">
      <c r="A27" s="922" t="s">
        <v>81</v>
      </c>
      <c r="B27" s="928" t="s">
        <v>175</v>
      </c>
      <c r="C27" s="926" t="s">
        <v>175</v>
      </c>
      <c r="D27" s="962" t="s">
        <v>82</v>
      </c>
      <c r="E27" s="963" t="s">
        <v>175</v>
      </c>
      <c r="F27" s="963" t="s">
        <v>175</v>
      </c>
      <c r="G27" s="964" t="s">
        <v>175</v>
      </c>
      <c r="H27" s="962" t="s">
        <v>83</v>
      </c>
      <c r="I27" s="965">
        <v>9.5291595458984375</v>
      </c>
      <c r="J27" s="966">
        <v>8.6586971282958984</v>
      </c>
    </row>
    <row r="28" spans="1:16" ht="15" customHeight="1">
      <c r="A28" s="927" t="s">
        <v>84</v>
      </c>
      <c r="B28" s="897"/>
      <c r="C28" s="967"/>
      <c r="D28" s="946" t="s">
        <v>85</v>
      </c>
      <c r="E28" s="968"/>
      <c r="F28" s="969"/>
      <c r="G28" s="970"/>
      <c r="H28" s="914"/>
      <c r="I28" s="971" t="s">
        <v>86</v>
      </c>
      <c r="J28" s="914"/>
    </row>
    <row r="29" spans="1:16" ht="15" customHeight="1">
      <c r="A29" s="972"/>
      <c r="B29" s="973" t="s">
        <v>87</v>
      </c>
      <c r="C29" s="974">
        <v>30.027266267355561</v>
      </c>
      <c r="D29" s="972"/>
      <c r="E29" s="919" t="s">
        <v>88</v>
      </c>
      <c r="F29" s="919" t="s">
        <v>89</v>
      </c>
      <c r="G29" s="919" t="s">
        <v>90</v>
      </c>
      <c r="H29" s="920" t="s">
        <v>91</v>
      </c>
      <c r="I29" s="919" t="s">
        <v>92</v>
      </c>
      <c r="J29" s="920" t="s">
        <v>93</v>
      </c>
      <c r="M29" s="975" t="str">
        <f>RIGHT(F$41,SEARCH("/",F$41,1)-1)</f>
        <v xml:space="preserve"> 1758.8</v>
      </c>
      <c r="N29" s="854" t="s">
        <v>187</v>
      </c>
      <c r="P29" s="919" t="s">
        <v>193</v>
      </c>
    </row>
    <row r="30" spans="1:16" ht="15" customHeight="1" thickBot="1">
      <c r="A30" s="976"/>
      <c r="B30" s="977" t="s">
        <v>94</v>
      </c>
      <c r="C30" s="978">
        <v>30.043499313394168</v>
      </c>
      <c r="D30" s="922" t="s">
        <v>95</v>
      </c>
      <c r="E30" s="979">
        <v>21.598431250000001</v>
      </c>
      <c r="F30" s="979">
        <v>523.2180236816406</v>
      </c>
      <c r="G30" s="979">
        <v>8.8549432143554547</v>
      </c>
      <c r="H30" s="980">
        <v>51.104526570164339</v>
      </c>
      <c r="I30" s="942">
        <v>41216.693013776487</v>
      </c>
      <c r="J30" s="951">
        <v>1200.8203682785936</v>
      </c>
      <c r="M30" s="975" t="str">
        <f>RIGHT(E$41,SEARCH("/",E$41,1)-1)</f>
        <v xml:space="preserve"> 1768.3</v>
      </c>
      <c r="N30" s="854" t="s">
        <v>188</v>
      </c>
      <c r="P30" s="981">
        <f>G30*6.4516</f>
        <v>57.128551641735655</v>
      </c>
    </row>
    <row r="31" spans="1:16" ht="15" customHeight="1">
      <c r="A31" s="908" t="s">
        <v>96</v>
      </c>
      <c r="B31" s="982"/>
      <c r="C31" s="983"/>
      <c r="D31" s="922" t="s">
        <v>97</v>
      </c>
      <c r="E31" s="979">
        <v>5.0500000000000007</v>
      </c>
      <c r="F31" s="979">
        <v>674.03379745458369</v>
      </c>
      <c r="G31" s="979">
        <v>6.873640321782811</v>
      </c>
      <c r="H31" s="980">
        <v>9.3425000000000011</v>
      </c>
      <c r="I31" s="942">
        <v>13615.482708582593</v>
      </c>
      <c r="J31" s="951">
        <v>263.1719519499614</v>
      </c>
      <c r="M31" s="975" t="str">
        <f>RIGHT(D$41,SEARCH("/",D$41,1)-1)</f>
        <v xml:space="preserve"> 1776.5</v>
      </c>
      <c r="N31" s="854" t="s">
        <v>189</v>
      </c>
      <c r="P31" s="981">
        <f>G31*6.4516</f>
        <v>44.345977900013985</v>
      </c>
    </row>
    <row r="32" spans="1:16" ht="15" customHeight="1">
      <c r="A32" s="927" t="s">
        <v>98</v>
      </c>
      <c r="B32" s="923" t="s">
        <v>777</v>
      </c>
      <c r="C32" s="984"/>
      <c r="D32" s="922" t="s">
        <v>99</v>
      </c>
      <c r="E32" s="979">
        <v>11.164425526166141</v>
      </c>
      <c r="F32" s="979">
        <v>778.35424397449538</v>
      </c>
      <c r="G32" s="979">
        <v>5.9523872636326605</v>
      </c>
      <c r="H32" s="980">
        <v>20.654187223407362</v>
      </c>
      <c r="I32" s="985" t="s">
        <v>100</v>
      </c>
      <c r="J32" s="951">
        <v>1463.9923202285549</v>
      </c>
      <c r="M32" s="975" t="str">
        <f>RIGHT(C$41,SEARCH("/",C$41,1)-1)</f>
        <v xml:space="preserve"> 1784.1</v>
      </c>
      <c r="N32" s="854" t="s">
        <v>190</v>
      </c>
      <c r="P32" s="981">
        <f>G32*6.4516</f>
        <v>38.402421670052469</v>
      </c>
    </row>
    <row r="33" spans="1:16" ht="15" customHeight="1">
      <c r="A33" s="927" t="s">
        <v>101</v>
      </c>
      <c r="B33" s="923" t="s">
        <v>778</v>
      </c>
      <c r="C33" s="986" t="s">
        <v>102</v>
      </c>
      <c r="D33" s="922" t="s">
        <v>97</v>
      </c>
      <c r="E33" s="979">
        <v>3.2049999237060547</v>
      </c>
      <c r="F33" s="979">
        <v>661.92568472870335</v>
      </c>
      <c r="G33" s="979">
        <v>6.9993746961596184</v>
      </c>
      <c r="H33" s="980">
        <v>5.9292498588562017</v>
      </c>
      <c r="I33" s="985" t="s">
        <v>103</v>
      </c>
      <c r="J33" s="934" t="s">
        <v>229</v>
      </c>
      <c r="M33" s="975" t="str">
        <f>RIGHT(B$41,SEARCH("/",B$41,1)-1)</f>
        <v xml:space="preserve"> 1790.9</v>
      </c>
      <c r="N33" s="854" t="s">
        <v>191</v>
      </c>
      <c r="P33" s="981">
        <f>G33*6.4516</f>
        <v>45.157165789743395</v>
      </c>
    </row>
    <row r="34" spans="1:16" ht="15" customHeight="1" thickBot="1">
      <c r="A34" s="987" t="s">
        <v>104</v>
      </c>
      <c r="B34" s="965" t="s">
        <v>779</v>
      </c>
      <c r="C34" s="988">
        <v>4.6330658884282148</v>
      </c>
      <c r="D34" s="962" t="s">
        <v>20</v>
      </c>
      <c r="E34" s="989">
        <v>0.17999999523162843</v>
      </c>
      <c r="F34" s="990">
        <v>1298.2909832849127</v>
      </c>
      <c r="G34" s="990">
        <v>3.5685882040909771</v>
      </c>
      <c r="H34" s="991">
        <v>511.16302550620969</v>
      </c>
      <c r="I34" s="985" t="s">
        <v>105</v>
      </c>
      <c r="J34" s="934">
        <v>6.0500001907348633</v>
      </c>
      <c r="P34" s="981">
        <f>G34*6.4516</f>
        <v>23.023103657513349</v>
      </c>
    </row>
    <row r="35" spans="1:16" ht="15" customHeight="1">
      <c r="A35" s="946" t="s">
        <v>106</v>
      </c>
      <c r="B35" s="913"/>
      <c r="C35" s="913"/>
      <c r="D35" s="992" t="s">
        <v>231</v>
      </c>
      <c r="E35" s="993" t="s">
        <v>780</v>
      </c>
      <c r="F35" s="914"/>
      <c r="G35" s="994" t="s">
        <v>107</v>
      </c>
      <c r="H35" s="995" t="s">
        <v>781</v>
      </c>
      <c r="I35" s="922" t="s">
        <v>108</v>
      </c>
      <c r="J35" s="951" t="s">
        <v>782</v>
      </c>
    </row>
    <row r="36" spans="1:16" ht="15" customHeight="1">
      <c r="A36" s="927" t="s">
        <v>109</v>
      </c>
      <c r="B36" s="919">
        <v>25</v>
      </c>
      <c r="C36" s="919">
        <v>50</v>
      </c>
      <c r="D36" s="919">
        <v>75</v>
      </c>
      <c r="E36" s="919">
        <v>100</v>
      </c>
      <c r="F36" s="920">
        <v>125</v>
      </c>
      <c r="G36" s="922" t="s">
        <v>110</v>
      </c>
      <c r="H36" s="951" t="s">
        <v>783</v>
      </c>
      <c r="I36" s="922" t="s">
        <v>111</v>
      </c>
      <c r="J36" s="951" t="s">
        <v>784</v>
      </c>
    </row>
    <row r="37" spans="1:16" ht="15" customHeight="1" thickBot="1">
      <c r="A37" s="922" t="s">
        <v>112</v>
      </c>
      <c r="B37" s="996" t="s">
        <v>785</v>
      </c>
      <c r="C37" s="996" t="s">
        <v>786</v>
      </c>
      <c r="D37" s="996" t="s">
        <v>787</v>
      </c>
      <c r="E37" s="996" t="s">
        <v>788</v>
      </c>
      <c r="F37" s="997" t="s">
        <v>789</v>
      </c>
      <c r="G37" s="922" t="s">
        <v>113</v>
      </c>
      <c r="H37" s="951" t="s">
        <v>790</v>
      </c>
      <c r="I37" s="962" t="s">
        <v>114</v>
      </c>
      <c r="J37" s="998" t="s">
        <v>791</v>
      </c>
      <c r="O37" s="999"/>
    </row>
    <row r="38" spans="1:16" ht="15" customHeight="1" thickBot="1">
      <c r="A38" s="922" t="s">
        <v>115</v>
      </c>
      <c r="B38" s="1000" t="s">
        <v>792</v>
      </c>
      <c r="C38" s="1000" t="s">
        <v>793</v>
      </c>
      <c r="D38" s="1000" t="s">
        <v>794</v>
      </c>
      <c r="E38" s="1000" t="s">
        <v>795</v>
      </c>
      <c r="F38" s="1001" t="s">
        <v>796</v>
      </c>
      <c r="G38" s="987" t="s">
        <v>116</v>
      </c>
      <c r="H38" s="998" t="s">
        <v>225</v>
      </c>
      <c r="I38" s="1002" t="s">
        <v>232</v>
      </c>
      <c r="J38" s="1003">
        <v>7653.8125</v>
      </c>
      <c r="L38" s="854" t="str">
        <f>LEFT(E38,SEARCH("/",E38,1)-1)</f>
        <v xml:space="preserve">0.942 </v>
      </c>
      <c r="M38" s="854" t="str">
        <f>RIGHT(E38,SEARCH("/",E38,1)-1)</f>
        <v xml:space="preserve"> 0.919</v>
      </c>
      <c r="N38" s="1004">
        <f>M38/L38</f>
        <v>0.97558386411889608</v>
      </c>
      <c r="O38" s="999" t="s">
        <v>178</v>
      </c>
    </row>
    <row r="39" spans="1:16" ht="15" customHeight="1">
      <c r="A39" s="922" t="s">
        <v>117</v>
      </c>
      <c r="B39" s="1000" t="s">
        <v>797</v>
      </c>
      <c r="C39" s="1000" t="s">
        <v>798</v>
      </c>
      <c r="D39" s="1000" t="s">
        <v>799</v>
      </c>
      <c r="E39" s="1000" t="s">
        <v>800</v>
      </c>
      <c r="F39" s="1001" t="s">
        <v>801</v>
      </c>
      <c r="G39" s="946" t="s">
        <v>118</v>
      </c>
      <c r="H39" s="913"/>
      <c r="I39" s="1005" t="s">
        <v>119</v>
      </c>
      <c r="J39" s="1006" t="s">
        <v>120</v>
      </c>
      <c r="L39" s="854" t="str">
        <f>LEFT(E39,SEARCH("/",E39,1)-1)</f>
        <v xml:space="preserve">0.895 </v>
      </c>
      <c r="M39" s="854" t="str">
        <f>RIGHT(E39,SEARCH("/",E39,1)-1)</f>
        <v xml:space="preserve"> 0.891</v>
      </c>
      <c r="N39" s="1004">
        <f>M39/L39</f>
        <v>0.99553072625698324</v>
      </c>
      <c r="O39" s="999" t="s">
        <v>179</v>
      </c>
    </row>
    <row r="40" spans="1:16" ht="15" customHeight="1">
      <c r="A40" s="922" t="s">
        <v>119</v>
      </c>
      <c r="B40" s="1007" t="s">
        <v>802</v>
      </c>
      <c r="C40" s="1007" t="s">
        <v>803</v>
      </c>
      <c r="D40" s="1007" t="s">
        <v>804</v>
      </c>
      <c r="E40" s="1007" t="s">
        <v>776</v>
      </c>
      <c r="F40" s="1008" t="s">
        <v>805</v>
      </c>
      <c r="G40" s="1009" t="s">
        <v>121</v>
      </c>
      <c r="H40" s="1010" t="s">
        <v>806</v>
      </c>
      <c r="I40" s="1011"/>
      <c r="J40" s="1012"/>
      <c r="L40" s="854" t="str">
        <f>LEFT(E37,SEARCH("/",E37,1)-1)</f>
        <v xml:space="preserve">71.84 </v>
      </c>
      <c r="M40" s="854" t="str">
        <f>RIGHT(E37,SEARCH("/",E37,1)-1)</f>
        <v xml:space="preserve"> 74.03</v>
      </c>
      <c r="N40" s="1004">
        <f>M40/L40</f>
        <v>1.0304844097995545</v>
      </c>
      <c r="O40" s="999" t="s">
        <v>177</v>
      </c>
    </row>
    <row r="41" spans="1:16" ht="15" customHeight="1">
      <c r="A41" s="922" t="s">
        <v>5</v>
      </c>
      <c r="B41" s="1013" t="s">
        <v>807</v>
      </c>
      <c r="C41" s="1013" t="s">
        <v>808</v>
      </c>
      <c r="D41" s="1013" t="s">
        <v>809</v>
      </c>
      <c r="E41" s="1013" t="s">
        <v>775</v>
      </c>
      <c r="F41" s="1014" t="s">
        <v>810</v>
      </c>
      <c r="G41" s="1015" t="s">
        <v>122</v>
      </c>
      <c r="H41" s="1016" t="s">
        <v>811</v>
      </c>
      <c r="I41" s="1017"/>
      <c r="J41" s="1018"/>
      <c r="L41" s="854" t="str">
        <f>LEFT(E41,SEARCH("/",E41,1)-1)</f>
        <v xml:space="preserve">1770.5 </v>
      </c>
      <c r="M41" s="854" t="str">
        <f>RIGHT(E41,SEARCH("/",E41,1)-1)</f>
        <v xml:space="preserve"> 1768.3</v>
      </c>
      <c r="N41" s="1004">
        <f>M41/L41</f>
        <v>0.99875741316012423</v>
      </c>
      <c r="O41" s="999" t="s">
        <v>5</v>
      </c>
    </row>
    <row r="42" spans="1:16" ht="15" customHeight="1">
      <c r="A42" s="922" t="s">
        <v>123</v>
      </c>
      <c r="B42" s="1000">
        <v>18.916532890885041</v>
      </c>
      <c r="C42" s="1000">
        <v>18.916532890885041</v>
      </c>
      <c r="D42" s="1000">
        <v>18.916532890885041</v>
      </c>
      <c r="E42" s="1000">
        <v>18.916532890885041</v>
      </c>
      <c r="F42" s="1001">
        <v>18.864777943061195</v>
      </c>
      <c r="G42" s="1009" t="s">
        <v>124</v>
      </c>
      <c r="H42" s="1010" t="s">
        <v>812</v>
      </c>
      <c r="I42" s="1011"/>
      <c r="J42" s="1019">
        <v>0.21154913532019584</v>
      </c>
    </row>
    <row r="43" spans="1:16" ht="15" customHeight="1" thickBot="1">
      <c r="A43" s="962" t="s">
        <v>125</v>
      </c>
      <c r="B43" s="1020">
        <v>18.916532890885041</v>
      </c>
      <c r="C43" s="1021"/>
      <c r="D43" s="1022" t="s">
        <v>269</v>
      </c>
      <c r="E43" s="1022"/>
      <c r="F43" s="1023"/>
      <c r="G43" s="1015" t="s">
        <v>122</v>
      </c>
      <c r="H43" s="1016" t="s">
        <v>813</v>
      </c>
      <c r="I43" s="1017"/>
      <c r="J43" s="1018"/>
    </row>
    <row r="44" spans="1:16" ht="15" customHeight="1">
      <c r="A44" s="1024" t="s">
        <v>126</v>
      </c>
      <c r="B44" s="1025"/>
      <c r="C44" s="897"/>
      <c r="D44" s="897"/>
      <c r="E44" s="1024" t="s">
        <v>127</v>
      </c>
      <c r="F44" s="1026"/>
      <c r="G44" s="1009" t="s">
        <v>128</v>
      </c>
      <c r="H44" s="1027">
        <v>487.77093690145631</v>
      </c>
      <c r="I44" s="1028">
        <v>4.6577724035736096E-2</v>
      </c>
      <c r="J44" s="1019">
        <v>0.62809973507818395</v>
      </c>
    </row>
    <row r="45" spans="1:16" ht="15" customHeight="1">
      <c r="A45" s="922" t="s">
        <v>129</v>
      </c>
      <c r="B45" s="923">
        <v>0.11502581089735031</v>
      </c>
      <c r="C45" s="1029" t="s">
        <v>130</v>
      </c>
      <c r="D45" s="957">
        <v>2.2900698706507683E-2</v>
      </c>
      <c r="E45" s="922" t="s">
        <v>131</v>
      </c>
      <c r="F45" s="951">
        <v>181.51055531254127</v>
      </c>
      <c r="G45" s="1030" t="s">
        <v>122</v>
      </c>
      <c r="H45" s="1031" t="s">
        <v>814</v>
      </c>
      <c r="I45" s="1032"/>
      <c r="J45" s="961"/>
    </row>
    <row r="46" spans="1:16" ht="15" customHeight="1">
      <c r="A46" s="922" t="s">
        <v>132</v>
      </c>
      <c r="B46" s="923">
        <v>0.35164731740951538</v>
      </c>
      <c r="C46" s="1029" t="s">
        <v>133</v>
      </c>
      <c r="D46" s="957">
        <v>1.6410168260335922E-2</v>
      </c>
      <c r="E46" s="922" t="s">
        <v>134</v>
      </c>
      <c r="F46" s="951">
        <v>326.01883855857949</v>
      </c>
      <c r="G46" s="1015" t="s">
        <v>135</v>
      </c>
      <c r="H46" s="1033">
        <v>133.58240414348032</v>
      </c>
      <c r="I46" s="1017"/>
      <c r="J46" s="1018"/>
      <c r="L46" s="1034" t="s">
        <v>180</v>
      </c>
      <c r="M46" s="1035">
        <f>B5^0.95</f>
        <v>331.55219167078911</v>
      </c>
    </row>
    <row r="47" spans="1:16" ht="15" customHeight="1">
      <c r="A47" s="922" t="s">
        <v>136</v>
      </c>
      <c r="B47" s="923">
        <v>0.46667313575744629</v>
      </c>
      <c r="C47" s="1029" t="s">
        <v>137</v>
      </c>
      <c r="D47" s="957">
        <v>1.0425975546240807E-2</v>
      </c>
      <c r="E47" s="922" t="s">
        <v>138</v>
      </c>
      <c r="F47" s="951">
        <v>267.73600393637309</v>
      </c>
      <c r="G47" s="1036" t="s">
        <v>139</v>
      </c>
      <c r="H47" s="1027">
        <v>465.61150367317754</v>
      </c>
      <c r="I47" s="1028">
        <v>4.4337476280296828E-2</v>
      </c>
      <c r="J47" s="1037">
        <v>0.64491597172226689</v>
      </c>
      <c r="L47" s="1034" t="s">
        <v>181</v>
      </c>
      <c r="M47" s="1035">
        <f>B5^1.5</f>
        <v>9545.9420666958213</v>
      </c>
    </row>
    <row r="48" spans="1:16" ht="15" customHeight="1">
      <c r="A48" s="922" t="s">
        <v>140</v>
      </c>
      <c r="B48" s="923">
        <v>7.0500029250979424E-3</v>
      </c>
      <c r="C48" s="1029" t="s">
        <v>100</v>
      </c>
      <c r="D48" s="957">
        <v>5.6786846369504929E-2</v>
      </c>
      <c r="E48" s="922" t="s">
        <v>141</v>
      </c>
      <c r="F48" s="951">
        <v>3.2673892178444879</v>
      </c>
      <c r="G48" s="1038" t="s">
        <v>122</v>
      </c>
      <c r="H48" s="1031">
        <v>138.69868535662368</v>
      </c>
      <c r="I48" s="1032"/>
      <c r="J48" s="961"/>
      <c r="L48" s="1034" t="s">
        <v>182</v>
      </c>
      <c r="M48" s="1039">
        <f>IF(A5="",0,(7200/(1000*A5))^2.4)</f>
        <v>4.0987743736515299</v>
      </c>
    </row>
    <row r="49" spans="1:13" ht="15" customHeight="1" thickBot="1">
      <c r="A49" s="976"/>
      <c r="B49" s="1040"/>
      <c r="C49" s="1041" t="s">
        <v>142</v>
      </c>
      <c r="D49" s="966">
        <v>0.94321316480636597</v>
      </c>
      <c r="E49" s="962" t="s">
        <v>143</v>
      </c>
      <c r="F49" s="998">
        <v>6.6628553039916927</v>
      </c>
      <c r="G49" s="1042" t="s">
        <v>135</v>
      </c>
      <c r="H49" s="1033">
        <v>130.25584484292355</v>
      </c>
      <c r="I49" s="1017"/>
      <c r="J49" s="1043"/>
      <c r="L49" s="1034" t="s">
        <v>183</v>
      </c>
      <c r="M49" s="1039">
        <f>IF(A5="",0,(7200/(1000*A5))^1.8)</f>
        <v>2.8806500970683282</v>
      </c>
    </row>
    <row r="50" spans="1:13" ht="15" customHeight="1">
      <c r="A50" s="946" t="s">
        <v>214</v>
      </c>
      <c r="B50" s="913"/>
      <c r="C50" s="913"/>
      <c r="D50" s="913"/>
      <c r="E50" s="913"/>
      <c r="F50" s="914"/>
      <c r="G50" s="946" t="s">
        <v>144</v>
      </c>
      <c r="H50" s="913"/>
      <c r="I50" s="970"/>
      <c r="J50" s="983"/>
      <c r="L50" s="1034" t="s">
        <v>184</v>
      </c>
      <c r="M50" s="1044">
        <f>IF(A5=2,27,24)</f>
        <v>24</v>
      </c>
    </row>
    <row r="51" spans="1:13" ht="15" customHeight="1">
      <c r="A51" s="922" t="s">
        <v>145</v>
      </c>
      <c r="B51" s="928">
        <v>50</v>
      </c>
      <c r="C51" s="985" t="s">
        <v>146</v>
      </c>
      <c r="D51" s="925" t="s">
        <v>175</v>
      </c>
      <c r="E51" s="985" t="s">
        <v>147</v>
      </c>
      <c r="F51" s="934" t="s">
        <v>175</v>
      </c>
      <c r="G51" s="985" t="s">
        <v>148</v>
      </c>
      <c r="H51" s="958">
        <v>0.11739675506016635</v>
      </c>
      <c r="I51" s="1045" t="s">
        <v>149</v>
      </c>
      <c r="J51" s="967"/>
      <c r="L51" s="1034" t="s">
        <v>185</v>
      </c>
      <c r="M51" s="1044">
        <v>6.8500000000000005E-2</v>
      </c>
    </row>
    <row r="52" spans="1:13" ht="15" customHeight="1">
      <c r="A52" s="922" t="s">
        <v>58</v>
      </c>
      <c r="B52" s="925">
        <v>32.049999237060547</v>
      </c>
      <c r="C52" s="985" t="s">
        <v>150</v>
      </c>
      <c r="D52" s="925" t="s">
        <v>175</v>
      </c>
      <c r="E52" s="985" t="s">
        <v>151</v>
      </c>
      <c r="F52" s="934" t="s">
        <v>175</v>
      </c>
      <c r="G52" s="985" t="s">
        <v>815</v>
      </c>
      <c r="H52" s="925">
        <v>70401.884838542173</v>
      </c>
      <c r="I52" s="1046" t="s">
        <v>816</v>
      </c>
      <c r="J52" s="1047"/>
      <c r="L52" s="1034" t="s">
        <v>192</v>
      </c>
      <c r="M52" s="1048">
        <f>F5</f>
        <v>60</v>
      </c>
    </row>
    <row r="53" spans="1:13" ht="15" customHeight="1">
      <c r="A53" s="922" t="s">
        <v>64</v>
      </c>
      <c r="B53" s="925">
        <v>3</v>
      </c>
      <c r="C53" s="985" t="s">
        <v>152</v>
      </c>
      <c r="D53" s="925" t="s">
        <v>175</v>
      </c>
      <c r="E53" s="985" t="s">
        <v>153</v>
      </c>
      <c r="F53" s="934" t="s">
        <v>175</v>
      </c>
      <c r="G53" s="985" t="s">
        <v>817</v>
      </c>
      <c r="H53" s="923">
        <v>32.473131450297871</v>
      </c>
      <c r="I53" s="1045" t="s">
        <v>154</v>
      </c>
      <c r="J53" s="967"/>
      <c r="L53" s="1034" t="s">
        <v>186</v>
      </c>
      <c r="M53" s="975">
        <f>IF(F5=60,M50*M46/M48-M51*M47/M49,IF(F5&lt;&gt;60,(60/M52)^2*(M50*M46/M48-M51*M47/M49),0))</f>
        <v>1714.3773173035611</v>
      </c>
    </row>
    <row r="54" spans="1:13" ht="15" customHeight="1">
      <c r="A54" s="922" t="s">
        <v>66</v>
      </c>
      <c r="B54" s="925">
        <v>2</v>
      </c>
      <c r="C54" s="985" t="s">
        <v>155</v>
      </c>
      <c r="D54" s="925" t="s">
        <v>175</v>
      </c>
      <c r="E54" s="985" t="s">
        <v>153</v>
      </c>
      <c r="F54" s="934" t="s">
        <v>175</v>
      </c>
      <c r="G54" s="985" t="s">
        <v>171</v>
      </c>
      <c r="H54" s="942">
        <v>175450</v>
      </c>
      <c r="I54" s="1049" t="s">
        <v>818</v>
      </c>
      <c r="J54" s="1018" t="s">
        <v>212</v>
      </c>
    </row>
    <row r="55" spans="1:13" ht="15" customHeight="1">
      <c r="A55" s="922" t="s">
        <v>156</v>
      </c>
      <c r="B55" s="925">
        <v>8.0500001907348633</v>
      </c>
      <c r="C55" s="985" t="s">
        <v>157</v>
      </c>
      <c r="D55" s="925" t="s">
        <v>175</v>
      </c>
      <c r="E55" s="985" t="s">
        <v>158</v>
      </c>
      <c r="F55" s="934" t="s">
        <v>175</v>
      </c>
      <c r="G55" s="985" t="s">
        <v>159</v>
      </c>
      <c r="H55" s="925">
        <v>1.0499999523162842</v>
      </c>
      <c r="I55" s="1045" t="s">
        <v>160</v>
      </c>
      <c r="J55" s="967"/>
    </row>
    <row r="56" spans="1:13" ht="15" customHeight="1" thickBot="1">
      <c r="A56" s="962" t="s">
        <v>161</v>
      </c>
      <c r="B56" s="963" t="s">
        <v>175</v>
      </c>
      <c r="C56" s="1050" t="s">
        <v>162</v>
      </c>
      <c r="D56" s="963" t="s">
        <v>175</v>
      </c>
      <c r="E56" s="1050" t="s">
        <v>163</v>
      </c>
      <c r="F56" s="964" t="s">
        <v>175</v>
      </c>
      <c r="G56" s="1050" t="s">
        <v>164</v>
      </c>
      <c r="H56" s="965">
        <v>0.89993499999999993</v>
      </c>
      <c r="I56" s="1051" t="s">
        <v>819</v>
      </c>
      <c r="J56" s="1043" t="s">
        <v>213</v>
      </c>
    </row>
    <row r="57" spans="1:13" ht="15" customHeight="1">
      <c r="A57" s="908" t="s">
        <v>165</v>
      </c>
      <c r="B57" s="970"/>
      <c r="C57" s="970"/>
      <c r="D57" s="970"/>
      <c r="E57" s="970"/>
      <c r="F57" s="983"/>
      <c r="G57" s="1052"/>
      <c r="H57" s="1053"/>
      <c r="I57" s="1053"/>
      <c r="J57" s="1054"/>
    </row>
    <row r="58" spans="1:13" ht="15" customHeight="1">
      <c r="A58" s="1055" t="s">
        <v>119</v>
      </c>
      <c r="B58" s="919" t="s">
        <v>166</v>
      </c>
      <c r="C58" s="920" t="s">
        <v>135</v>
      </c>
      <c r="D58" s="919" t="s">
        <v>119</v>
      </c>
      <c r="E58" s="919" t="s">
        <v>166</v>
      </c>
      <c r="F58" s="920" t="s">
        <v>135</v>
      </c>
      <c r="G58" s="1056"/>
      <c r="H58" s="1057"/>
      <c r="I58" s="1057"/>
      <c r="J58" s="1058"/>
    </row>
    <row r="59" spans="1:13" ht="15" customHeight="1">
      <c r="A59" s="1059">
        <v>0</v>
      </c>
      <c r="B59" s="1031">
        <v>0</v>
      </c>
      <c r="C59" s="1060">
        <v>0</v>
      </c>
      <c r="D59" s="1061">
        <v>0.7</v>
      </c>
      <c r="E59" s="1031">
        <v>66.138878930933203</v>
      </c>
      <c r="F59" s="1060">
        <v>225.80702209472656</v>
      </c>
      <c r="G59" s="1056"/>
      <c r="H59" s="1057"/>
      <c r="I59" s="1057"/>
      <c r="J59" s="1058"/>
    </row>
    <row r="60" spans="1:13" ht="15" customHeight="1">
      <c r="A60" s="1062">
        <v>0.01</v>
      </c>
      <c r="B60" s="1031">
        <v>62.034231445873182</v>
      </c>
      <c r="C60" s="1060">
        <v>41.435279846191406</v>
      </c>
      <c r="D60" s="1061">
        <v>0.8</v>
      </c>
      <c r="E60" s="1031">
        <v>63.58353447141485</v>
      </c>
      <c r="F60" s="1060">
        <v>228.47917175292969</v>
      </c>
      <c r="G60" s="1056"/>
      <c r="H60" s="1057"/>
      <c r="I60" s="1057"/>
      <c r="J60" s="1058"/>
    </row>
    <row r="61" spans="1:13" ht="15" customHeight="1">
      <c r="A61" s="1062">
        <v>0.05</v>
      </c>
      <c r="B61" s="1031">
        <v>158.71417248442995</v>
      </c>
      <c r="C61" s="1060">
        <v>143.23854064941406</v>
      </c>
      <c r="D61" s="1061">
        <v>0.9</v>
      </c>
      <c r="E61" s="1031">
        <v>61.220209529181432</v>
      </c>
      <c r="F61" s="1060">
        <v>230.75808715820313</v>
      </c>
      <c r="G61" s="1056"/>
      <c r="H61" s="1057"/>
      <c r="I61" s="1057"/>
      <c r="J61" s="1058"/>
    </row>
    <row r="62" spans="1:13" ht="15" customHeight="1">
      <c r="A62" s="1059">
        <v>0.1</v>
      </c>
      <c r="B62" s="1031">
        <v>135.66522047438482</v>
      </c>
      <c r="C62" s="1060">
        <v>182.62400817871094</v>
      </c>
      <c r="D62" s="1063">
        <v>1</v>
      </c>
      <c r="E62" s="1031">
        <v>59.043432963547517</v>
      </c>
      <c r="F62" s="1060">
        <v>232.71299743652344</v>
      </c>
      <c r="G62" s="1056"/>
      <c r="H62" s="1057"/>
      <c r="I62" s="1057"/>
      <c r="J62" s="1058"/>
    </row>
    <row r="63" spans="1:13" ht="15" customHeight="1">
      <c r="A63" s="1059">
        <v>0.15</v>
      </c>
      <c r="B63" s="1031">
        <v>111.4183665526662</v>
      </c>
      <c r="C63" s="1060">
        <v>195.68307495117188</v>
      </c>
      <c r="D63" s="1063"/>
      <c r="E63" s="1031"/>
      <c r="F63" s="1060"/>
      <c r="G63" s="1056"/>
      <c r="H63" s="1057"/>
      <c r="I63" s="1057"/>
      <c r="J63" s="1058"/>
    </row>
    <row r="64" spans="1:13" ht="15" customHeight="1">
      <c r="A64" s="1059">
        <v>0.2</v>
      </c>
      <c r="B64" s="1031">
        <v>96.796965604450492</v>
      </c>
      <c r="C64" s="1060">
        <v>202.04618835449219</v>
      </c>
      <c r="D64" s="1063"/>
      <c r="E64" s="1031"/>
      <c r="F64" s="1060"/>
      <c r="G64" s="1056"/>
      <c r="H64" s="1057"/>
      <c r="I64" s="1057"/>
      <c r="J64" s="1058"/>
    </row>
    <row r="65" spans="1:10" ht="15" customHeight="1">
      <c r="A65" s="1059">
        <v>0.3</v>
      </c>
      <c r="B65" s="1031">
        <v>82.442673079603381</v>
      </c>
      <c r="C65" s="1060">
        <v>209.34608459472656</v>
      </c>
      <c r="D65" s="1063"/>
      <c r="E65" s="1031"/>
      <c r="F65" s="1060"/>
      <c r="G65" s="1056"/>
      <c r="H65" s="1057"/>
      <c r="I65" s="1057"/>
      <c r="J65" s="1058"/>
    </row>
    <row r="66" spans="1:10" ht="15" customHeight="1">
      <c r="A66" s="1059">
        <v>0.4</v>
      </c>
      <c r="B66" s="1031">
        <v>75.96173698686745</v>
      </c>
      <c r="C66" s="1060">
        <v>214.55201721191406</v>
      </c>
      <c r="D66" s="1063"/>
      <c r="E66" s="1031"/>
      <c r="F66" s="1060"/>
      <c r="G66" s="1056"/>
      <c r="H66" s="1057"/>
      <c r="I66" s="1057"/>
      <c r="J66" s="1058"/>
    </row>
    <row r="67" spans="1:10" ht="15" customHeight="1">
      <c r="A67" s="1059">
        <v>0.5</v>
      </c>
      <c r="B67" s="1031">
        <v>72.005902738289208</v>
      </c>
      <c r="C67" s="1060">
        <v>218.91700744628906</v>
      </c>
      <c r="D67" s="1063"/>
      <c r="E67" s="1031"/>
      <c r="F67" s="1060"/>
      <c r="G67" s="1056"/>
      <c r="H67" s="1057"/>
      <c r="I67" s="1057"/>
      <c r="J67" s="1058"/>
    </row>
    <row r="68" spans="1:10" ht="15" customHeight="1" thickBot="1">
      <c r="A68" s="1064">
        <v>0.6</v>
      </c>
      <c r="B68" s="1065">
        <v>68.894696306940702</v>
      </c>
      <c r="C68" s="1066">
        <v>222.63368225097656</v>
      </c>
      <c r="D68" s="1067"/>
      <c r="E68" s="1065"/>
      <c r="F68" s="1066"/>
      <c r="G68" s="1068"/>
      <c r="H68" s="1069"/>
      <c r="I68" s="1069"/>
      <c r="J68" s="1070"/>
    </row>
    <row r="69" spans="1:10" ht="15" customHeight="1">
      <c r="A69" s="1071"/>
      <c r="B69" s="1072"/>
      <c r="C69" s="1057"/>
      <c r="D69" s="1057"/>
      <c r="E69" s="1057"/>
      <c r="F69" s="1057"/>
      <c r="G69" s="1057"/>
      <c r="H69" s="1057"/>
      <c r="I69" s="1057"/>
      <c r="J69" s="1057"/>
    </row>
    <row r="70" spans="1:10" ht="15" customHeight="1">
      <c r="A70" s="1057"/>
      <c r="B70" s="1057"/>
      <c r="C70" s="1057"/>
      <c r="D70" s="1057"/>
      <c r="E70" s="1057"/>
      <c r="F70" s="1057"/>
      <c r="G70" s="1057"/>
      <c r="H70" s="1057"/>
      <c r="I70" s="1057"/>
      <c r="J70" s="1057"/>
    </row>
    <row r="71" spans="1:10">
      <c r="A71" s="897"/>
      <c r="B71" s="897"/>
      <c r="C71" s="897"/>
      <c r="D71" s="897"/>
      <c r="E71" s="897"/>
      <c r="F71" s="897"/>
      <c r="G71" s="897"/>
      <c r="H71" s="897"/>
      <c r="I71" s="897"/>
      <c r="J71" s="897"/>
    </row>
  </sheetData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13C6-600C-420D-AA9B-EE8E56B3D8A3}">
  <sheetPr>
    <pageSetUpPr fitToPage="1"/>
  </sheetPr>
  <dimension ref="A1:Z53"/>
  <sheetViews>
    <sheetView zoomScaleNormal="100" workbookViewId="0">
      <selection activeCell="G9" sqref="G9"/>
    </sheetView>
  </sheetViews>
  <sheetFormatPr defaultRowHeight="15.75"/>
  <cols>
    <col min="1" max="1" width="12.140625" style="393" customWidth="1"/>
    <col min="2" max="2" width="6.140625" style="393" customWidth="1"/>
    <col min="3" max="3" width="7.7109375" style="393" customWidth="1"/>
    <col min="4" max="5" width="13.140625" style="393" customWidth="1"/>
    <col min="6" max="6" width="9.42578125" style="393" customWidth="1"/>
    <col min="7" max="7" width="5.7109375" style="393" customWidth="1"/>
    <col min="8" max="8" width="7.85546875" style="393" customWidth="1"/>
    <col min="9" max="9" width="6.5703125" style="393" customWidth="1"/>
    <col min="10" max="11" width="12" style="393" customWidth="1"/>
    <col min="12" max="12" width="16" style="189" customWidth="1"/>
    <col min="13" max="26" width="9.140625" style="189"/>
    <col min="27" max="16384" width="9.140625" style="190"/>
  </cols>
  <sheetData>
    <row r="1" spans="1:26" ht="20.25" customHeight="1">
      <c r="A1" s="188" t="s">
        <v>270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26" ht="20.25" customHeight="1">
      <c r="A2" s="191" t="s">
        <v>271</v>
      </c>
      <c r="B2" s="191"/>
      <c r="C2" s="191"/>
      <c r="D2" s="191"/>
      <c r="E2" s="191"/>
      <c r="F2" s="191"/>
      <c r="G2" s="191"/>
      <c r="H2" s="191"/>
      <c r="I2" s="191"/>
      <c r="J2" s="191"/>
      <c r="K2" s="191"/>
    </row>
    <row r="3" spans="1:26" ht="18.75" customHeight="1" thickBot="1">
      <c r="A3" s="192" t="s">
        <v>1</v>
      </c>
      <c r="B3" s="193" t="s">
        <v>382</v>
      </c>
      <c r="C3" s="194"/>
      <c r="D3" s="194"/>
      <c r="E3" s="194"/>
      <c r="F3" s="195"/>
      <c r="G3" s="194"/>
      <c r="H3" s="194"/>
      <c r="I3" s="192" t="s">
        <v>272</v>
      </c>
      <c r="J3" s="196" t="s">
        <v>389</v>
      </c>
      <c r="K3" s="196"/>
    </row>
    <row r="4" spans="1:26" s="205" customFormat="1" ht="18.399999999999999" customHeight="1" thickBot="1">
      <c r="A4" s="197" t="s">
        <v>383</v>
      </c>
      <c r="B4" s="198"/>
      <c r="C4" s="199"/>
      <c r="D4" s="199"/>
      <c r="E4" s="199"/>
      <c r="F4" s="199"/>
      <c r="G4" s="199"/>
      <c r="H4" s="199"/>
      <c r="I4" s="199"/>
      <c r="J4" s="199"/>
      <c r="K4" s="200"/>
      <c r="L4" s="201"/>
      <c r="M4" s="201"/>
      <c r="N4" s="201"/>
      <c r="O4" s="201"/>
      <c r="P4" s="201"/>
      <c r="Q4" s="202" t="s">
        <v>273</v>
      </c>
      <c r="R4" s="203"/>
      <c r="S4" s="201"/>
      <c r="T4" s="202" t="s">
        <v>274</v>
      </c>
      <c r="U4" s="204"/>
      <c r="V4" s="201"/>
      <c r="W4" s="201"/>
      <c r="X4" s="201"/>
      <c r="Y4" s="201"/>
      <c r="Z4" s="201"/>
    </row>
    <row r="5" spans="1:26" s="205" customFormat="1" ht="18.399999999999999" customHeight="1">
      <c r="A5" s="206" t="s">
        <v>275</v>
      </c>
      <c r="B5" s="207"/>
      <c r="C5" s="207"/>
      <c r="D5" s="208"/>
      <c r="E5" s="209"/>
      <c r="F5" s="210" t="s">
        <v>276</v>
      </c>
      <c r="G5" s="194"/>
      <c r="H5" s="194"/>
      <c r="I5" s="211"/>
      <c r="J5" s="212" t="s">
        <v>277</v>
      </c>
      <c r="K5" s="213" t="s">
        <v>278</v>
      </c>
      <c r="L5" s="201"/>
      <c r="M5" s="201"/>
      <c r="N5" s="201"/>
      <c r="O5" s="201"/>
      <c r="P5" s="201"/>
      <c r="Q5" s="214" t="s">
        <v>279</v>
      </c>
      <c r="R5" s="215"/>
      <c r="S5" s="201"/>
      <c r="T5" s="214" t="s">
        <v>280</v>
      </c>
      <c r="U5" s="216"/>
      <c r="V5" s="201"/>
      <c r="W5" s="201"/>
      <c r="X5" s="201"/>
      <c r="Y5" s="201"/>
      <c r="Z5" s="201"/>
    </row>
    <row r="6" spans="1:26" s="205" customFormat="1" ht="18.399999999999999" customHeight="1">
      <c r="A6" s="217" t="s">
        <v>67</v>
      </c>
      <c r="B6" s="218"/>
      <c r="C6" s="218"/>
      <c r="D6" s="219" t="s">
        <v>281</v>
      </c>
      <c r="E6" s="220"/>
      <c r="F6" s="221" t="s">
        <v>282</v>
      </c>
      <c r="G6" s="222"/>
      <c r="H6" s="222"/>
      <c r="I6" s="222"/>
      <c r="J6" s="222"/>
      <c r="K6" s="223"/>
      <c r="L6" s="201"/>
      <c r="M6" s="201"/>
      <c r="N6" s="201"/>
      <c r="O6" s="201"/>
      <c r="P6" s="201"/>
      <c r="Q6" s="214" t="s">
        <v>283</v>
      </c>
      <c r="R6" s="215"/>
      <c r="S6" s="201"/>
      <c r="T6" s="214" t="s">
        <v>284</v>
      </c>
      <c r="U6" s="216"/>
      <c r="V6" s="201"/>
      <c r="W6" s="201"/>
      <c r="X6" s="201"/>
      <c r="Y6" s="201"/>
      <c r="Z6" s="201"/>
    </row>
    <row r="7" spans="1:26" s="205" customFormat="1" ht="18.399999999999999" customHeight="1">
      <c r="A7" s="224" t="s">
        <v>20</v>
      </c>
      <c r="B7" s="225"/>
      <c r="C7" s="225"/>
      <c r="D7" s="226">
        <v>1.79999995231628</v>
      </c>
      <c r="E7" s="227"/>
      <c r="F7" s="228" t="s">
        <v>285</v>
      </c>
      <c r="G7" s="229"/>
      <c r="H7" s="230"/>
      <c r="I7" s="231"/>
      <c r="J7" s="232">
        <v>11.4</v>
      </c>
      <c r="K7" s="233" t="s">
        <v>175</v>
      </c>
      <c r="L7" s="201"/>
      <c r="M7" s="201"/>
      <c r="N7" s="201"/>
      <c r="O7" s="201"/>
      <c r="P7" s="201"/>
      <c r="Q7" s="214" t="s">
        <v>286</v>
      </c>
      <c r="R7" s="215"/>
      <c r="S7" s="201"/>
      <c r="T7" s="214" t="s">
        <v>281</v>
      </c>
      <c r="U7" s="216"/>
      <c r="V7" s="201"/>
      <c r="W7" s="201"/>
      <c r="X7" s="201"/>
      <c r="Y7" s="201"/>
      <c r="Z7" s="201"/>
    </row>
    <row r="8" spans="1:26" s="205" customFormat="1" ht="18.399999999999999" customHeight="1">
      <c r="A8" s="224" t="s">
        <v>287</v>
      </c>
      <c r="B8" s="225"/>
      <c r="C8" s="225"/>
      <c r="D8" s="234">
        <v>580</v>
      </c>
      <c r="E8" s="235"/>
      <c r="F8" s="236" t="s">
        <v>288</v>
      </c>
      <c r="G8" s="237"/>
      <c r="H8" s="238"/>
      <c r="I8" s="239"/>
      <c r="J8" s="240">
        <v>6810</v>
      </c>
      <c r="K8" s="241" t="s">
        <v>175</v>
      </c>
      <c r="L8" s="201"/>
      <c r="M8" s="201"/>
      <c r="N8" s="201"/>
      <c r="O8" s="201"/>
      <c r="P8" s="201"/>
      <c r="Q8" s="214" t="s">
        <v>289</v>
      </c>
      <c r="R8" s="215"/>
      <c r="S8" s="201"/>
      <c r="T8" s="214" t="s">
        <v>290</v>
      </c>
      <c r="U8" s="216"/>
      <c r="V8" s="201"/>
      <c r="W8" s="201"/>
      <c r="X8" s="201"/>
      <c r="Y8" s="201"/>
      <c r="Z8" s="201"/>
    </row>
    <row r="9" spans="1:26" s="205" customFormat="1" ht="18.399999999999999" customHeight="1">
      <c r="A9" s="242" t="s">
        <v>291</v>
      </c>
      <c r="B9" s="243"/>
      <c r="C9" s="244"/>
      <c r="D9" s="234">
        <v>8</v>
      </c>
      <c r="E9" s="235"/>
      <c r="F9" s="228" t="s">
        <v>292</v>
      </c>
      <c r="G9" s="229"/>
      <c r="H9" s="245">
        <v>3</v>
      </c>
      <c r="I9" s="246" t="s">
        <v>293</v>
      </c>
      <c r="J9" s="247">
        <v>77</v>
      </c>
      <c r="K9" s="241" t="s">
        <v>175</v>
      </c>
      <c r="L9" s="201"/>
      <c r="M9" s="201"/>
      <c r="N9" s="201"/>
      <c r="O9" s="201"/>
      <c r="P9" s="201"/>
      <c r="Q9" s="214" t="s">
        <v>294</v>
      </c>
      <c r="R9" s="215"/>
      <c r="S9" s="201"/>
      <c r="T9" s="214" t="s">
        <v>295</v>
      </c>
      <c r="U9" s="216"/>
      <c r="V9" s="201"/>
      <c r="W9" s="201"/>
      <c r="X9" s="201"/>
      <c r="Y9" s="201"/>
      <c r="Z9" s="201"/>
    </row>
    <row r="10" spans="1:26" s="205" customFormat="1" ht="18.399999999999999" customHeight="1" thickBot="1">
      <c r="A10" s="242" t="s">
        <v>296</v>
      </c>
      <c r="B10" s="243"/>
      <c r="C10" s="244"/>
      <c r="D10" s="248" t="s">
        <v>202</v>
      </c>
      <c r="E10" s="249"/>
      <c r="F10" s="228" t="s">
        <v>297</v>
      </c>
      <c r="G10" s="229"/>
      <c r="H10" s="245">
        <v>3</v>
      </c>
      <c r="I10" s="246" t="s">
        <v>293</v>
      </c>
      <c r="J10" s="247">
        <v>1150</v>
      </c>
      <c r="K10" s="241" t="s">
        <v>175</v>
      </c>
      <c r="L10" s="201"/>
      <c r="M10" s="201"/>
      <c r="N10" s="201"/>
      <c r="O10" s="201"/>
      <c r="P10" s="201"/>
      <c r="Q10" s="214" t="s">
        <v>298</v>
      </c>
      <c r="R10" s="215"/>
      <c r="S10" s="201"/>
      <c r="T10" s="250" t="s">
        <v>299</v>
      </c>
      <c r="U10" s="251"/>
      <c r="V10" s="201"/>
      <c r="W10" s="201"/>
      <c r="X10" s="201"/>
      <c r="Y10" s="201"/>
      <c r="Z10" s="201"/>
    </row>
    <row r="11" spans="1:26" s="205" customFormat="1" ht="18.399999999999999" customHeight="1" thickBot="1">
      <c r="A11" s="242" t="s">
        <v>300</v>
      </c>
      <c r="B11" s="243"/>
      <c r="C11" s="244"/>
      <c r="D11" s="252" t="s">
        <v>175</v>
      </c>
      <c r="E11" s="253"/>
      <c r="F11" s="254" t="s">
        <v>301</v>
      </c>
      <c r="G11" s="255"/>
      <c r="H11" s="256">
        <v>3</v>
      </c>
      <c r="I11" s="246" t="s">
        <v>293</v>
      </c>
      <c r="J11" s="257">
        <v>16655</v>
      </c>
      <c r="K11" s="258" t="s">
        <v>175</v>
      </c>
      <c r="L11" s="201"/>
      <c r="M11" s="201"/>
      <c r="N11" s="201"/>
      <c r="O11" s="201"/>
      <c r="P11" s="201"/>
      <c r="Q11" s="214" t="s">
        <v>302</v>
      </c>
      <c r="R11" s="215"/>
      <c r="S11" s="201"/>
      <c r="T11" s="202" t="s">
        <v>303</v>
      </c>
      <c r="U11" s="204"/>
      <c r="V11" s="201"/>
      <c r="W11" s="201"/>
      <c r="X11" s="201"/>
      <c r="Y11" s="201"/>
      <c r="Z11" s="201"/>
    </row>
    <row r="12" spans="1:26" s="205" customFormat="1" ht="18.399999999999999" customHeight="1" thickBot="1">
      <c r="A12" s="259" t="s">
        <v>304</v>
      </c>
      <c r="C12" s="260"/>
      <c r="D12" s="261" t="s">
        <v>175</v>
      </c>
      <c r="E12" s="262"/>
      <c r="F12" s="263" t="s">
        <v>305</v>
      </c>
      <c r="G12" s="264"/>
      <c r="H12" s="264"/>
      <c r="I12" s="264"/>
      <c r="J12" s="264"/>
      <c r="K12" s="265"/>
      <c r="L12" s="201"/>
      <c r="M12" s="201"/>
      <c r="N12" s="201"/>
      <c r="O12" s="201"/>
      <c r="P12" s="201"/>
      <c r="Q12" s="250" t="s">
        <v>306</v>
      </c>
      <c r="R12" s="266"/>
      <c r="S12" s="201"/>
      <c r="T12" s="201"/>
      <c r="U12" s="201"/>
      <c r="V12" s="201"/>
      <c r="W12" s="201"/>
      <c r="X12" s="201"/>
      <c r="Y12" s="201"/>
      <c r="Z12" s="201"/>
    </row>
    <row r="13" spans="1:26" s="205" customFormat="1" ht="18.399999999999999" customHeight="1">
      <c r="A13" s="242" t="s">
        <v>53</v>
      </c>
      <c r="B13" s="243"/>
      <c r="C13" s="244"/>
      <c r="D13" s="267" t="s">
        <v>385</v>
      </c>
      <c r="E13" s="268"/>
      <c r="F13" s="269"/>
      <c r="G13" s="270" t="s">
        <v>307</v>
      </c>
      <c r="H13" s="271"/>
      <c r="I13" s="272" t="s">
        <v>308</v>
      </c>
      <c r="J13" s="273" t="s">
        <v>386</v>
      </c>
      <c r="K13" s="274" t="s">
        <v>175</v>
      </c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</row>
    <row r="14" spans="1:26" s="205" customFormat="1" ht="18.399999999999999" customHeight="1">
      <c r="A14" s="242" t="s">
        <v>56</v>
      </c>
      <c r="B14" s="243"/>
      <c r="C14" s="244"/>
      <c r="D14" s="261">
        <v>1037</v>
      </c>
      <c r="E14" s="262"/>
      <c r="F14" s="269"/>
      <c r="G14" s="275" t="s">
        <v>10</v>
      </c>
      <c r="H14" s="276"/>
      <c r="I14" s="276"/>
      <c r="J14" s="247" t="s">
        <v>175</v>
      </c>
      <c r="K14" s="241" t="s">
        <v>175</v>
      </c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</row>
    <row r="15" spans="1:26" s="205" customFormat="1" ht="18.399999999999999" customHeight="1">
      <c r="A15" s="277" t="s">
        <v>309</v>
      </c>
      <c r="B15" s="278"/>
      <c r="C15" s="279"/>
      <c r="D15" s="280">
        <v>11.551600456237793</v>
      </c>
      <c r="E15" s="281"/>
      <c r="F15" s="269"/>
      <c r="G15" s="275" t="s">
        <v>310</v>
      </c>
      <c r="H15" s="276"/>
      <c r="I15" s="276"/>
      <c r="J15" s="247" t="s">
        <v>175</v>
      </c>
      <c r="K15" s="241" t="s">
        <v>175</v>
      </c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</row>
    <row r="16" spans="1:26" s="205" customFormat="1" ht="18.399999999999999" customHeight="1">
      <c r="A16" s="282" t="s">
        <v>311</v>
      </c>
      <c r="B16" s="283"/>
      <c r="C16" s="284"/>
      <c r="D16" s="280">
        <v>3.3468003273010254</v>
      </c>
      <c r="E16" s="281"/>
      <c r="F16" s="285"/>
      <c r="G16" s="286" t="s">
        <v>17</v>
      </c>
      <c r="H16" s="287"/>
      <c r="I16" s="287"/>
      <c r="J16" s="257" t="s">
        <v>175</v>
      </c>
      <c r="K16" s="258" t="s">
        <v>175</v>
      </c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</row>
    <row r="17" spans="1:26" s="205" customFormat="1" ht="18.399999999999999" customHeight="1">
      <c r="A17" s="288" t="s">
        <v>312</v>
      </c>
      <c r="B17" s="289"/>
      <c r="C17" s="290"/>
      <c r="D17" s="252" t="s">
        <v>384</v>
      </c>
      <c r="E17" s="253"/>
      <c r="F17" s="263" t="s">
        <v>313</v>
      </c>
      <c r="G17" s="264"/>
      <c r="H17" s="264"/>
      <c r="I17" s="264"/>
      <c r="J17" s="264"/>
      <c r="K17" s="265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</row>
    <row r="18" spans="1:26" s="205" customFormat="1" ht="18.399999999999999" customHeight="1">
      <c r="A18" s="291" t="s">
        <v>314</v>
      </c>
      <c r="B18" s="292"/>
      <c r="C18" s="290"/>
      <c r="D18" s="248" t="s">
        <v>175</v>
      </c>
      <c r="E18" s="249"/>
      <c r="F18" s="293"/>
      <c r="G18" s="294"/>
      <c r="H18" s="295" t="s">
        <v>315</v>
      </c>
      <c r="I18" s="296"/>
      <c r="J18" s="240">
        <v>56</v>
      </c>
      <c r="K18" s="241"/>
      <c r="L18" s="201"/>
      <c r="M18" s="201">
        <f>J18*6.5</f>
        <v>364</v>
      </c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</row>
    <row r="19" spans="1:26" s="205" customFormat="1" ht="18.399999999999999" customHeight="1">
      <c r="A19" s="297" t="s">
        <v>316</v>
      </c>
      <c r="B19" s="298"/>
      <c r="C19" s="299"/>
      <c r="D19" s="300" t="s">
        <v>175</v>
      </c>
      <c r="E19" s="253"/>
      <c r="F19" s="301"/>
      <c r="G19" s="302"/>
      <c r="H19" s="295" t="s">
        <v>5</v>
      </c>
      <c r="I19" s="231"/>
      <c r="J19" s="240">
        <v>1780</v>
      </c>
      <c r="K19" s="24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</row>
    <row r="20" spans="1:26" s="205" customFormat="1" ht="18.399999999999999" customHeight="1" thickBot="1">
      <c r="A20" s="303" t="s">
        <v>317</v>
      </c>
      <c r="C20" s="304"/>
      <c r="D20" s="305" t="s">
        <v>201</v>
      </c>
      <c r="E20" s="235"/>
      <c r="F20" s="301"/>
      <c r="G20" s="302"/>
      <c r="H20" s="295" t="s">
        <v>318</v>
      </c>
      <c r="I20" s="231"/>
      <c r="J20" s="247" t="s">
        <v>366</v>
      </c>
      <c r="K20" s="24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</row>
    <row r="21" spans="1:26" s="205" customFormat="1" ht="18.399999999999999" customHeight="1" thickBot="1">
      <c r="A21" s="277" t="s">
        <v>319</v>
      </c>
      <c r="B21" s="278"/>
      <c r="C21" s="279"/>
      <c r="D21" s="234" t="s">
        <v>175</v>
      </c>
      <c r="E21" s="235"/>
      <c r="F21" s="301"/>
      <c r="G21" s="302"/>
      <c r="H21" s="306" t="s">
        <v>320</v>
      </c>
      <c r="I21" s="231"/>
      <c r="J21" s="247">
        <v>1.1499999999999999</v>
      </c>
      <c r="K21" s="241"/>
      <c r="L21" s="201"/>
      <c r="M21" s="201"/>
      <c r="N21" s="201"/>
      <c r="O21" s="201"/>
      <c r="P21" s="201"/>
      <c r="Q21" s="202" t="s">
        <v>321</v>
      </c>
      <c r="R21" s="204"/>
      <c r="S21" s="201"/>
      <c r="T21" s="201"/>
      <c r="U21" s="201"/>
      <c r="V21" s="201"/>
      <c r="W21" s="201"/>
      <c r="X21" s="201"/>
      <c r="Y21" s="201"/>
      <c r="Z21" s="201"/>
    </row>
    <row r="22" spans="1:26" s="205" customFormat="1" ht="18.399999999999999" customHeight="1">
      <c r="A22" s="291" t="s">
        <v>322</v>
      </c>
      <c r="B22" s="307"/>
      <c r="C22" s="307"/>
      <c r="D22" s="308">
        <v>0.43880000710487366</v>
      </c>
      <c r="E22" s="309"/>
      <c r="F22" s="301"/>
      <c r="G22" s="302"/>
      <c r="H22" s="295" t="s">
        <v>277</v>
      </c>
      <c r="I22" s="231"/>
      <c r="J22" s="247"/>
      <c r="K22" s="241"/>
      <c r="L22" s="201"/>
      <c r="M22" s="201"/>
      <c r="N22" s="201"/>
      <c r="O22" s="201"/>
      <c r="P22" s="201"/>
      <c r="Q22" s="214" t="s">
        <v>323</v>
      </c>
      <c r="R22" s="216"/>
      <c r="S22" s="201"/>
      <c r="T22" s="201"/>
      <c r="U22" s="201"/>
      <c r="V22" s="201"/>
      <c r="W22" s="201"/>
      <c r="X22" s="201"/>
      <c r="Y22" s="201"/>
      <c r="Z22" s="201"/>
    </row>
    <row r="23" spans="1:26" s="205" customFormat="1" ht="18.399999999999999" customHeight="1">
      <c r="A23" s="310" t="s">
        <v>324</v>
      </c>
      <c r="B23" s="311" t="s">
        <v>325</v>
      </c>
      <c r="C23" s="312"/>
      <c r="D23" s="267">
        <v>256.5</v>
      </c>
      <c r="E23" s="268"/>
      <c r="F23" s="301"/>
      <c r="G23" s="302"/>
      <c r="H23" s="313" t="s">
        <v>326</v>
      </c>
      <c r="I23" s="314"/>
      <c r="J23" s="315"/>
      <c r="K23" s="316"/>
      <c r="L23" s="201"/>
      <c r="Q23" s="214" t="s">
        <v>327</v>
      </c>
      <c r="R23" s="216"/>
      <c r="S23" s="201"/>
      <c r="T23" s="201"/>
      <c r="U23" s="201"/>
      <c r="V23" s="201"/>
      <c r="W23" s="201"/>
      <c r="X23" s="201"/>
      <c r="Y23" s="201"/>
      <c r="Z23" s="201"/>
    </row>
    <row r="24" spans="1:26" s="205" customFormat="1" ht="18.399999999999999" customHeight="1" thickBot="1">
      <c r="A24" s="317" t="s">
        <v>328</v>
      </c>
      <c r="B24" s="318" t="s">
        <v>329</v>
      </c>
      <c r="C24" s="319"/>
      <c r="D24" s="320" t="s">
        <v>175</v>
      </c>
      <c r="E24" s="321"/>
      <c r="F24" s="301"/>
      <c r="G24" s="302"/>
      <c r="H24" s="295" t="s">
        <v>330</v>
      </c>
      <c r="I24" s="260"/>
      <c r="J24" s="322"/>
      <c r="K24" s="323"/>
      <c r="Q24" s="324" t="s">
        <v>175</v>
      </c>
      <c r="R24" s="325"/>
      <c r="S24" s="201"/>
      <c r="T24" s="201"/>
      <c r="U24" s="201"/>
      <c r="V24" s="201"/>
      <c r="W24" s="201"/>
      <c r="X24" s="201"/>
      <c r="Y24" s="201"/>
      <c r="Z24" s="201"/>
    </row>
    <row r="25" spans="1:26" s="205" customFormat="1" ht="18.399999999999999" customHeight="1">
      <c r="A25" s="326" t="s">
        <v>331</v>
      </c>
      <c r="B25" s="327"/>
      <c r="C25" s="327"/>
      <c r="D25" s="328"/>
      <c r="E25" s="328" t="s">
        <v>332</v>
      </c>
      <c r="F25" s="301"/>
      <c r="G25" s="302"/>
      <c r="H25" s="295" t="s">
        <v>333</v>
      </c>
      <c r="I25" s="260"/>
      <c r="J25" s="329">
        <v>91.5</v>
      </c>
      <c r="K25" s="323"/>
      <c r="R25" s="201"/>
      <c r="S25" s="201"/>
      <c r="T25" s="201"/>
      <c r="U25" s="201"/>
      <c r="V25" s="201"/>
      <c r="W25" s="201"/>
      <c r="X25" s="201"/>
      <c r="Y25" s="201"/>
      <c r="Z25" s="201"/>
    </row>
    <row r="26" spans="1:26" s="205" customFormat="1" ht="18.399999999999999" customHeight="1">
      <c r="A26" s="330" t="s">
        <v>334</v>
      </c>
      <c r="B26" s="331"/>
      <c r="C26" s="332"/>
      <c r="D26" s="333" t="s">
        <v>387</v>
      </c>
      <c r="E26" s="333" t="s">
        <v>388</v>
      </c>
      <c r="F26" s="334"/>
      <c r="G26" s="335"/>
      <c r="H26" s="336"/>
      <c r="I26" s="337"/>
      <c r="J26" s="338"/>
      <c r="K26" s="339"/>
      <c r="R26" s="201"/>
      <c r="S26" s="201"/>
      <c r="T26" s="201"/>
      <c r="U26" s="201"/>
      <c r="V26" s="201"/>
      <c r="W26" s="201"/>
      <c r="X26" s="201"/>
      <c r="Y26" s="201"/>
      <c r="Z26" s="201"/>
    </row>
    <row r="27" spans="1:26" s="205" customFormat="1" ht="18.399999999999999" customHeight="1">
      <c r="A27" s="340" t="s">
        <v>335</v>
      </c>
      <c r="B27" s="341"/>
      <c r="C27" s="341"/>
      <c r="D27" s="341"/>
      <c r="E27" s="341"/>
      <c r="F27" s="221" t="s">
        <v>336</v>
      </c>
      <c r="G27" s="222"/>
      <c r="H27" s="222"/>
      <c r="I27" s="222"/>
      <c r="J27" s="222"/>
      <c r="K27" s="223"/>
      <c r="R27" s="201"/>
      <c r="S27" s="201"/>
      <c r="T27" s="201"/>
      <c r="U27" s="201"/>
      <c r="V27" s="201"/>
      <c r="W27" s="201"/>
      <c r="X27" s="201"/>
      <c r="Y27" s="201"/>
      <c r="Z27" s="201"/>
    </row>
    <row r="28" spans="1:26" s="205" customFormat="1" ht="18.399999999999999" customHeight="1">
      <c r="A28" s="342"/>
      <c r="B28" s="343"/>
      <c r="C28" s="343"/>
      <c r="D28" s="343"/>
      <c r="E28" s="344"/>
      <c r="F28" s="345"/>
      <c r="G28" s="346"/>
      <c r="H28" s="275" t="s">
        <v>337</v>
      </c>
      <c r="I28" s="347">
        <v>409</v>
      </c>
      <c r="J28" s="240">
        <v>356</v>
      </c>
      <c r="K28" s="348" t="s">
        <v>175</v>
      </c>
      <c r="M28" s="205">
        <f>(J28/J18)*100</f>
        <v>635.71428571428567</v>
      </c>
      <c r="N28" s="349"/>
      <c r="O28" s="349"/>
      <c r="R28" s="201"/>
      <c r="S28" s="201"/>
      <c r="T28" s="201"/>
      <c r="U28" s="201"/>
      <c r="V28" s="201"/>
      <c r="W28" s="201"/>
      <c r="X28" s="201"/>
      <c r="Y28" s="201"/>
      <c r="Z28" s="201"/>
    </row>
    <row r="29" spans="1:26" s="205" customFormat="1" ht="18.399999999999999" customHeight="1">
      <c r="A29" s="342"/>
      <c r="B29" s="343"/>
      <c r="C29" s="343"/>
      <c r="D29" s="343"/>
      <c r="E29" s="344"/>
      <c r="F29" s="350"/>
      <c r="G29" s="351"/>
      <c r="H29" s="275" t="s">
        <v>338</v>
      </c>
      <c r="I29" s="352">
        <v>80</v>
      </c>
      <c r="J29" s="240">
        <v>118</v>
      </c>
      <c r="K29" s="353" t="s">
        <v>175</v>
      </c>
      <c r="Q29" s="201"/>
      <c r="R29" s="201"/>
      <c r="S29" s="201"/>
      <c r="T29" s="201"/>
      <c r="U29" s="201"/>
      <c r="V29" s="201"/>
      <c r="W29" s="201"/>
      <c r="X29" s="201"/>
      <c r="Y29" s="201"/>
      <c r="Z29" s="201"/>
    </row>
    <row r="30" spans="1:26" s="205" customFormat="1" ht="18.399999999999999" customHeight="1">
      <c r="A30" s="342"/>
      <c r="B30" s="343"/>
      <c r="C30" s="343"/>
      <c r="D30" s="343"/>
      <c r="E30" s="344"/>
      <c r="F30" s="350"/>
      <c r="G30" s="351"/>
      <c r="H30" s="275" t="s">
        <v>339</v>
      </c>
      <c r="I30" s="352">
        <v>175</v>
      </c>
      <c r="J30" s="240">
        <v>253</v>
      </c>
      <c r="K30" s="354" t="s">
        <v>175</v>
      </c>
      <c r="L30" s="201"/>
      <c r="R30" s="201"/>
      <c r="S30" s="201"/>
      <c r="T30" s="201"/>
      <c r="U30" s="201"/>
      <c r="V30" s="201"/>
      <c r="W30" s="201"/>
      <c r="X30" s="201"/>
      <c r="Y30" s="201"/>
      <c r="Z30" s="201"/>
    </row>
    <row r="31" spans="1:26" s="205" customFormat="1" ht="18.399999999999999" customHeight="1">
      <c r="A31" s="342"/>
      <c r="B31" s="343"/>
      <c r="C31" s="343"/>
      <c r="D31" s="343"/>
      <c r="E31" s="344"/>
      <c r="F31" s="350"/>
      <c r="G31" s="351"/>
      <c r="H31" s="275" t="s">
        <v>340</v>
      </c>
      <c r="I31" s="276"/>
      <c r="J31" s="355">
        <v>1.1100000000000001</v>
      </c>
      <c r="K31" s="233" t="s">
        <v>175</v>
      </c>
      <c r="L31" s="201"/>
      <c r="R31" s="201"/>
      <c r="S31" s="201"/>
      <c r="T31" s="201"/>
      <c r="U31" s="201"/>
      <c r="V31" s="201"/>
      <c r="W31" s="201"/>
      <c r="X31" s="201"/>
      <c r="Y31" s="201"/>
      <c r="Z31" s="201"/>
    </row>
    <row r="32" spans="1:26" s="205" customFormat="1" ht="18.399999999999999" customHeight="1">
      <c r="A32" s="356"/>
      <c r="B32" s="357"/>
      <c r="C32" s="357"/>
      <c r="D32" s="357"/>
      <c r="E32" s="358"/>
      <c r="F32" s="350"/>
      <c r="G32" s="359" t="s">
        <v>341</v>
      </c>
      <c r="H32" s="275" t="s">
        <v>342</v>
      </c>
      <c r="I32" s="360"/>
      <c r="J32" s="232">
        <v>94.3</v>
      </c>
      <c r="K32" s="353" t="s">
        <v>175</v>
      </c>
      <c r="L32" s="201"/>
      <c r="N32" s="361"/>
      <c r="R32" s="201"/>
      <c r="S32" s="201"/>
      <c r="T32" s="201"/>
      <c r="U32" s="201"/>
      <c r="V32" s="201"/>
      <c r="W32" s="201"/>
      <c r="X32" s="201"/>
      <c r="Y32" s="201"/>
      <c r="Z32" s="201"/>
    </row>
    <row r="33" spans="1:26" s="205" customFormat="1" ht="18.399999999999999" customHeight="1">
      <c r="A33" s="340" t="s">
        <v>343</v>
      </c>
      <c r="B33" s="341"/>
      <c r="C33" s="341"/>
      <c r="D33" s="341"/>
      <c r="E33" s="362"/>
      <c r="F33" s="363"/>
      <c r="G33" s="364"/>
      <c r="H33" s="365" t="s">
        <v>344</v>
      </c>
      <c r="I33" s="366"/>
      <c r="J33" s="367">
        <v>91.8</v>
      </c>
      <c r="K33" s="368" t="s">
        <v>175</v>
      </c>
      <c r="L33" s="201"/>
      <c r="R33" s="201"/>
      <c r="S33" s="201"/>
      <c r="T33" s="201"/>
      <c r="U33" s="201"/>
      <c r="V33" s="201"/>
      <c r="W33" s="201"/>
      <c r="X33" s="201"/>
      <c r="Y33" s="201"/>
      <c r="Z33" s="201"/>
    </row>
    <row r="34" spans="1:26" s="205" customFormat="1" ht="18.399999999999999" customHeight="1">
      <c r="A34" s="342"/>
      <c r="B34" s="343"/>
      <c r="C34" s="343"/>
      <c r="D34" s="343"/>
      <c r="E34" s="344"/>
      <c r="F34" s="236" t="s">
        <v>345</v>
      </c>
      <c r="G34" s="369"/>
      <c r="H34" s="370" t="s">
        <v>14</v>
      </c>
      <c r="I34" s="371"/>
      <c r="J34" s="372">
        <v>5490</v>
      </c>
      <c r="K34" s="373" t="s">
        <v>175</v>
      </c>
      <c r="L34" s="374"/>
      <c r="M34" s="375"/>
      <c r="R34" s="201"/>
      <c r="S34" s="201"/>
      <c r="T34" s="201"/>
      <c r="U34" s="201"/>
      <c r="V34" s="201"/>
      <c r="W34" s="201"/>
      <c r="X34" s="201"/>
      <c r="Y34" s="201"/>
      <c r="Z34" s="201"/>
    </row>
    <row r="35" spans="1:26" s="205" customFormat="1" ht="18.399999999999999" customHeight="1">
      <c r="A35" s="342"/>
      <c r="B35" s="343"/>
      <c r="C35" s="343"/>
      <c r="D35" s="343"/>
      <c r="E35" s="344"/>
      <c r="F35" s="269"/>
      <c r="G35" s="376"/>
      <c r="H35" s="377" t="s">
        <v>15</v>
      </c>
      <c r="I35" s="378"/>
      <c r="J35" s="240">
        <v>3830</v>
      </c>
      <c r="K35" s="233" t="s">
        <v>175</v>
      </c>
      <c r="L35" s="379"/>
      <c r="M35" s="375"/>
      <c r="R35" s="201"/>
      <c r="S35" s="201"/>
      <c r="T35" s="201"/>
      <c r="U35" s="201"/>
      <c r="V35" s="201"/>
      <c r="W35" s="201"/>
      <c r="X35" s="201"/>
      <c r="Y35" s="201"/>
      <c r="Z35" s="201"/>
    </row>
    <row r="36" spans="1:26" s="205" customFormat="1" ht="18.399999999999999" customHeight="1">
      <c r="A36" s="342"/>
      <c r="B36" s="343"/>
      <c r="C36" s="343"/>
      <c r="D36" s="343"/>
      <c r="E36" s="344"/>
      <c r="F36" s="269"/>
      <c r="G36" s="376"/>
      <c r="H36" s="377" t="s">
        <v>346</v>
      </c>
      <c r="I36" s="378"/>
      <c r="J36" s="240">
        <v>1896</v>
      </c>
      <c r="K36" s="233" t="s">
        <v>175</v>
      </c>
      <c r="L36" s="379"/>
      <c r="M36" s="349"/>
      <c r="Q36" s="201"/>
      <c r="R36" s="201"/>
      <c r="S36" s="201"/>
      <c r="T36" s="201"/>
      <c r="U36" s="201"/>
      <c r="V36" s="201"/>
      <c r="W36" s="201"/>
      <c r="X36" s="201"/>
      <c r="Y36" s="201"/>
      <c r="Z36" s="201"/>
    </row>
    <row r="37" spans="1:26" s="205" customFormat="1" ht="18.399999999999999" customHeight="1">
      <c r="A37" s="342"/>
      <c r="B37" s="343"/>
      <c r="C37" s="343"/>
      <c r="D37" s="343"/>
      <c r="E37" s="344"/>
      <c r="F37" s="350"/>
      <c r="G37" s="376"/>
      <c r="H37" s="377" t="s">
        <v>347</v>
      </c>
      <c r="I37" s="378"/>
      <c r="J37" s="240">
        <v>4732</v>
      </c>
      <c r="K37" s="233" t="s">
        <v>175</v>
      </c>
      <c r="L37" s="379"/>
      <c r="M37" s="349"/>
      <c r="N37" s="379"/>
      <c r="R37" s="201"/>
      <c r="S37" s="201"/>
      <c r="T37" s="201"/>
      <c r="U37" s="201"/>
      <c r="V37" s="201"/>
      <c r="W37" s="201"/>
      <c r="X37" s="201"/>
      <c r="Y37" s="201"/>
      <c r="Z37" s="201"/>
    </row>
    <row r="38" spans="1:26" s="205" customFormat="1" ht="18.399999999999999" customHeight="1">
      <c r="A38" s="356"/>
      <c r="B38" s="357"/>
      <c r="C38" s="357"/>
      <c r="D38" s="357"/>
      <c r="E38" s="358"/>
      <c r="F38" s="285"/>
      <c r="G38" s="380"/>
      <c r="H38" s="381" t="s">
        <v>348</v>
      </c>
      <c r="I38" s="382"/>
      <c r="J38" s="383">
        <v>4348</v>
      </c>
      <c r="K38" s="384" t="s">
        <v>175</v>
      </c>
      <c r="R38" s="201"/>
      <c r="S38" s="201"/>
      <c r="T38" s="201"/>
      <c r="U38" s="201"/>
      <c r="V38" s="201"/>
      <c r="W38" s="201"/>
      <c r="X38" s="201"/>
      <c r="Y38" s="201"/>
      <c r="Z38" s="201"/>
    </row>
    <row r="39" spans="1:26" s="205" customFormat="1" ht="18.399999999999999" customHeight="1">
      <c r="A39" s="340" t="s">
        <v>349</v>
      </c>
      <c r="B39" s="341"/>
      <c r="C39" s="341"/>
      <c r="D39" s="341"/>
      <c r="E39" s="341"/>
      <c r="F39" s="385" t="s">
        <v>350</v>
      </c>
      <c r="G39" s="386"/>
      <c r="H39" s="386"/>
      <c r="I39" s="386"/>
      <c r="J39" s="386"/>
      <c r="K39" s="387"/>
      <c r="R39" s="201"/>
      <c r="S39" s="201"/>
      <c r="T39" s="201"/>
      <c r="U39" s="201"/>
      <c r="V39" s="201"/>
      <c r="W39" s="201"/>
      <c r="X39" s="201"/>
      <c r="Y39" s="201"/>
      <c r="Z39" s="201"/>
    </row>
    <row r="40" spans="1:26" s="205" customFormat="1" ht="18.399999999999999" customHeight="1">
      <c r="A40" s="342"/>
      <c r="B40" s="343"/>
      <c r="C40" s="343"/>
      <c r="D40" s="343"/>
      <c r="E40" s="344"/>
      <c r="F40" s="471"/>
      <c r="G40" s="472" t="s">
        <v>392</v>
      </c>
      <c r="H40" s="472"/>
      <c r="I40" s="472"/>
      <c r="J40" s="472"/>
      <c r="K40" s="473"/>
      <c r="L40" s="474"/>
      <c r="M40" s="474"/>
      <c r="R40" s="201"/>
      <c r="S40" s="201"/>
      <c r="T40" s="201"/>
      <c r="U40" s="201"/>
      <c r="V40" s="201"/>
      <c r="W40" s="201"/>
      <c r="X40" s="201"/>
      <c r="Y40" s="201"/>
      <c r="Z40" s="201"/>
    </row>
    <row r="41" spans="1:26" s="205" customFormat="1" ht="18.399999999999999" customHeight="1">
      <c r="A41" s="342"/>
      <c r="B41" s="343"/>
      <c r="C41" s="343"/>
      <c r="D41" s="343"/>
      <c r="E41" s="344"/>
      <c r="F41" s="471"/>
      <c r="G41" s="475"/>
      <c r="H41" s="475"/>
      <c r="I41" s="475"/>
      <c r="J41" s="475"/>
      <c r="K41" s="476"/>
      <c r="L41" s="477"/>
      <c r="M41" s="474"/>
      <c r="R41" s="201"/>
      <c r="S41" s="201"/>
      <c r="T41" s="201"/>
      <c r="U41" s="201"/>
      <c r="V41" s="201"/>
      <c r="W41" s="201"/>
      <c r="X41" s="201"/>
      <c r="Y41" s="201"/>
      <c r="Z41" s="201"/>
    </row>
    <row r="42" spans="1:26" s="205" customFormat="1" ht="18.399999999999999" customHeight="1">
      <c r="A42" s="342"/>
      <c r="B42" s="343"/>
      <c r="C42" s="343"/>
      <c r="D42" s="343"/>
      <c r="E42" s="344"/>
      <c r="F42" s="471"/>
      <c r="G42" s="475"/>
      <c r="H42" s="475"/>
      <c r="I42" s="475"/>
      <c r="J42" s="475"/>
      <c r="K42" s="476"/>
      <c r="L42" s="478"/>
      <c r="M42" s="478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</row>
    <row r="43" spans="1:26" s="205" customFormat="1" ht="18.399999999999999" customHeight="1">
      <c r="A43" s="342"/>
      <c r="B43" s="343"/>
      <c r="C43" s="343"/>
      <c r="D43" s="343"/>
      <c r="E43" s="344"/>
      <c r="F43" s="471"/>
      <c r="G43" s="479"/>
      <c r="H43" s="475"/>
      <c r="I43" s="475"/>
      <c r="J43" s="475"/>
      <c r="K43" s="476"/>
      <c r="L43" s="478"/>
      <c r="M43" s="478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</row>
    <row r="44" spans="1:26" s="205" customFormat="1" ht="17.100000000000001" customHeight="1" thickBot="1">
      <c r="A44" s="388"/>
      <c r="B44" s="389"/>
      <c r="C44" s="389"/>
      <c r="D44" s="389"/>
      <c r="E44" s="390"/>
      <c r="F44" s="471"/>
      <c r="G44" s="475" t="s">
        <v>394</v>
      </c>
      <c r="H44" s="475"/>
      <c r="I44" s="475"/>
      <c r="J44" s="475"/>
      <c r="K44" s="476"/>
      <c r="L44" s="478"/>
      <c r="M44" s="478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</row>
    <row r="45" spans="1:26" s="205" customFormat="1" ht="17.100000000000001" customHeight="1">
      <c r="A45" s="391" t="s">
        <v>351</v>
      </c>
      <c r="B45" s="463" t="s">
        <v>390</v>
      </c>
      <c r="C45" s="464"/>
      <c r="D45" s="465" t="s">
        <v>352</v>
      </c>
      <c r="E45" s="466" t="s">
        <v>391</v>
      </c>
      <c r="F45" s="480"/>
      <c r="G45" s="475" t="s">
        <v>395</v>
      </c>
      <c r="H45" s="475"/>
      <c r="I45" s="475"/>
      <c r="J45" s="475"/>
      <c r="K45" s="476"/>
      <c r="L45" s="478"/>
      <c r="M45" s="478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</row>
    <row r="46" spans="1:26" s="205" customFormat="1" ht="17.100000000000001" customHeight="1" thickBot="1">
      <c r="A46" s="392" t="s">
        <v>354</v>
      </c>
      <c r="B46" s="467">
        <v>40067</v>
      </c>
      <c r="C46" s="468"/>
      <c r="D46" s="469" t="s">
        <v>354</v>
      </c>
      <c r="E46" s="470">
        <v>40024</v>
      </c>
      <c r="F46" s="481"/>
      <c r="G46" s="482" t="s">
        <v>396</v>
      </c>
      <c r="H46" s="482"/>
      <c r="I46" s="482"/>
      <c r="J46" s="482"/>
      <c r="K46" s="483"/>
      <c r="L46" s="478"/>
      <c r="M46" s="478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</row>
    <row r="47" spans="1:26" s="205" customFormat="1" ht="17.100000000000001" customHeight="1">
      <c r="F47" s="393"/>
      <c r="G47" s="479" t="s">
        <v>393</v>
      </c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</row>
    <row r="48" spans="1:26" s="205" customFormat="1" ht="17.100000000000001" customHeight="1">
      <c r="F48" s="201"/>
      <c r="G48" s="201"/>
      <c r="H48" s="201"/>
      <c r="I48" s="201"/>
      <c r="J48" s="201"/>
      <c r="K48" s="201"/>
    </row>
    <row r="49" spans="2:26" ht="17.100000000000001" customHeight="1">
      <c r="F49" s="189"/>
      <c r="G49" s="189"/>
      <c r="H49" s="189"/>
      <c r="I49" s="189"/>
      <c r="J49" s="189"/>
      <c r="K49" s="189"/>
      <c r="L49" s="190"/>
      <c r="M49" s="190"/>
      <c r="N49" s="190"/>
      <c r="O49" s="190"/>
      <c r="P49" s="190"/>
      <c r="Q49" s="190"/>
      <c r="R49" s="190"/>
      <c r="S49" s="190"/>
      <c r="T49" s="190"/>
      <c r="U49" s="190"/>
      <c r="V49" s="190"/>
      <c r="W49" s="190"/>
      <c r="X49" s="190"/>
      <c r="Y49" s="190"/>
      <c r="Z49" s="190"/>
    </row>
    <row r="50" spans="2:26">
      <c r="I50" s="189"/>
      <c r="J50" s="189"/>
      <c r="K50" s="189"/>
      <c r="L50" s="190"/>
      <c r="M50" s="190"/>
      <c r="N50" s="190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</row>
    <row r="51" spans="2:26">
      <c r="I51" s="189"/>
      <c r="J51" s="189"/>
      <c r="K51" s="189"/>
      <c r="L51" s="190"/>
      <c r="M51" s="190"/>
      <c r="N51" s="190"/>
      <c r="O51" s="190"/>
      <c r="P51" s="190"/>
      <c r="Q51" s="190"/>
      <c r="R51" s="190"/>
      <c r="S51" s="190"/>
      <c r="T51" s="190"/>
      <c r="U51" s="190"/>
      <c r="V51" s="190"/>
      <c r="W51" s="190"/>
      <c r="X51" s="190"/>
      <c r="Y51" s="190"/>
      <c r="Z51" s="190"/>
    </row>
    <row r="52" spans="2:26">
      <c r="B52" s="189"/>
      <c r="C52" s="189"/>
      <c r="I52" s="189"/>
      <c r="J52" s="189"/>
      <c r="K52" s="189"/>
      <c r="Q52" s="190"/>
      <c r="R52" s="190"/>
      <c r="S52" s="190"/>
      <c r="T52" s="190"/>
      <c r="U52" s="190"/>
      <c r="V52" s="190"/>
      <c r="W52" s="190"/>
      <c r="X52" s="190"/>
      <c r="Y52" s="190"/>
      <c r="Z52" s="190"/>
    </row>
    <row r="53" spans="2:26">
      <c r="I53" s="189"/>
      <c r="J53" s="189"/>
      <c r="K53" s="189"/>
      <c r="Q53" s="190"/>
      <c r="R53" s="190"/>
      <c r="S53" s="190"/>
      <c r="T53" s="190"/>
      <c r="U53" s="190"/>
      <c r="V53" s="190"/>
      <c r="W53" s="190"/>
      <c r="X53" s="190"/>
      <c r="Y53" s="190"/>
      <c r="Z53" s="190"/>
    </row>
  </sheetData>
  <mergeCells count="49">
    <mergeCell ref="B46:C46"/>
    <mergeCell ref="A28:E32"/>
    <mergeCell ref="A33:E33"/>
    <mergeCell ref="A34:E38"/>
    <mergeCell ref="A39:E39"/>
    <mergeCell ref="A40:E44"/>
    <mergeCell ref="B45:C45"/>
    <mergeCell ref="D21:E21"/>
    <mergeCell ref="D22:E22"/>
    <mergeCell ref="D23:E23"/>
    <mergeCell ref="D24:E24"/>
    <mergeCell ref="H26:I26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D12:E12"/>
    <mergeCell ref="F12:K12"/>
    <mergeCell ref="A7:C7"/>
    <mergeCell ref="D7:E7"/>
    <mergeCell ref="A8:C8"/>
    <mergeCell ref="D8:E8"/>
    <mergeCell ref="A9:C9"/>
    <mergeCell ref="D9:E9"/>
    <mergeCell ref="A1:K1"/>
    <mergeCell ref="A2:K2"/>
    <mergeCell ref="J3:K3"/>
    <mergeCell ref="A5:C5"/>
    <mergeCell ref="A6:C6"/>
    <mergeCell ref="D6:E6"/>
    <mergeCell ref="F6:K6"/>
  </mergeCells>
  <dataValidations count="3">
    <dataValidation type="list" allowBlank="1" showInputMessage="1" sqref="D6:E6" xr:uid="{A8CFBB5D-A68B-4067-974C-84AF966054DD}">
      <formula1>$T$5:$T$11</formula1>
    </dataValidation>
    <dataValidation type="list" allowBlank="1" showErrorMessage="1" error="Choose from list!" sqref="D21" xr:uid="{C40F8A56-5002-44FE-88B5-3EA2A9894A1D}">
      <formula1>$Q$22:$Q$24</formula1>
    </dataValidation>
    <dataValidation type="list" allowBlank="1" showInputMessage="1" errorTitle="Hold on!" error="Enter a valid motor type!" prompt="Motor Type  Select one from the list or input name" sqref="K4" xr:uid="{F2614EF5-94C2-43D9-95B9-31C4A9A12051}">
      <formula1>$Q$5:$Q$12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4A2E-6B9E-4418-AA42-270848246A79}">
  <dimension ref="B1:N79"/>
  <sheetViews>
    <sheetView zoomScale="75" zoomScaleNormal="75" workbookViewId="0">
      <selection activeCell="E45" sqref="E45"/>
    </sheetView>
  </sheetViews>
  <sheetFormatPr defaultColWidth="9.140625" defaultRowHeight="12.75"/>
  <cols>
    <col min="1" max="1" width="9.140625" style="399" customWidth="1"/>
    <col min="2" max="2" width="18.140625" style="399" customWidth="1"/>
    <col min="3" max="3" width="21.5703125" style="399" customWidth="1"/>
    <col min="4" max="4" width="21.28515625" style="399" bestFit="1" customWidth="1"/>
    <col min="5" max="5" width="6.85546875" style="399" bestFit="1" customWidth="1"/>
    <col min="6" max="6" width="29.85546875" style="399" customWidth="1"/>
    <col min="7" max="7" width="43.7109375" style="399" customWidth="1"/>
    <col min="8" max="8" width="17.140625" style="399" customWidth="1"/>
    <col min="9" max="9" width="7.85546875" style="399" customWidth="1"/>
    <col min="10" max="10" width="2.28515625" style="399" bestFit="1" customWidth="1"/>
    <col min="11" max="12" width="2.28515625" style="399" customWidth="1"/>
    <col min="13" max="13" width="2.5703125" style="399" bestFit="1" customWidth="1"/>
    <col min="14" max="14" width="2.28515625" style="399" bestFit="1" customWidth="1"/>
    <col min="15" max="16384" width="9.140625" style="399"/>
  </cols>
  <sheetData>
    <row r="1" spans="2:14" ht="12.75" customHeight="1">
      <c r="B1" s="394"/>
      <c r="C1" s="395"/>
      <c r="D1" s="395"/>
      <c r="E1" s="395"/>
      <c r="F1" s="395"/>
      <c r="G1" s="395"/>
      <c r="H1" s="396"/>
      <c r="I1" s="397"/>
      <c r="J1" s="398" t="s">
        <v>355</v>
      </c>
      <c r="K1" s="398" t="s">
        <v>356</v>
      </c>
      <c r="L1" s="398" t="s">
        <v>357</v>
      </c>
      <c r="M1" s="398" t="s">
        <v>356</v>
      </c>
      <c r="N1" s="398"/>
    </row>
    <row r="2" spans="2:14" ht="12.75" customHeight="1">
      <c r="B2" s="400" t="s">
        <v>358</v>
      </c>
      <c r="C2" s="401"/>
      <c r="D2" s="401"/>
      <c r="E2" s="401"/>
      <c r="F2" s="401"/>
      <c r="G2" s="401"/>
      <c r="H2" s="402"/>
      <c r="I2" s="403"/>
      <c r="J2" s="404" t="s">
        <v>359</v>
      </c>
      <c r="K2" s="404" t="s">
        <v>360</v>
      </c>
      <c r="L2" s="404" t="s">
        <v>361</v>
      </c>
      <c r="M2" s="404" t="s">
        <v>362</v>
      </c>
      <c r="N2" s="404" t="s">
        <v>363</v>
      </c>
    </row>
    <row r="3" spans="2:14" ht="12.75" customHeight="1">
      <c r="B3" s="400"/>
      <c r="C3" s="401"/>
      <c r="D3" s="401"/>
      <c r="E3" s="401"/>
      <c r="F3" s="401"/>
      <c r="G3" s="401"/>
      <c r="H3" s="402"/>
      <c r="I3" s="403"/>
      <c r="J3" s="404" t="s">
        <v>364</v>
      </c>
      <c r="K3" s="404"/>
      <c r="L3" s="404" t="s">
        <v>365</v>
      </c>
      <c r="M3" s="404" t="s">
        <v>355</v>
      </c>
      <c r="N3" s="404"/>
    </row>
    <row r="4" spans="2:14" ht="12.75" customHeight="1">
      <c r="B4" s="400"/>
      <c r="C4" s="401"/>
      <c r="D4" s="401"/>
      <c r="E4" s="401"/>
      <c r="F4" s="401"/>
      <c r="G4" s="401"/>
      <c r="H4" s="402"/>
      <c r="I4" s="403"/>
      <c r="J4" s="404" t="s">
        <v>366</v>
      </c>
      <c r="K4" s="404"/>
      <c r="L4" s="404" t="s">
        <v>361</v>
      </c>
      <c r="M4" s="404" t="s">
        <v>359</v>
      </c>
      <c r="N4" s="404"/>
    </row>
    <row r="5" spans="2:14" ht="12.75" customHeight="1">
      <c r="B5" s="405"/>
      <c r="C5" s="406"/>
      <c r="D5" s="406"/>
      <c r="E5" s="406"/>
      <c r="F5" s="406"/>
      <c r="G5" s="406"/>
      <c r="H5" s="402"/>
      <c r="I5" s="403"/>
      <c r="J5" s="404"/>
      <c r="K5" s="404" t="s">
        <v>367</v>
      </c>
      <c r="L5" s="404" t="s">
        <v>356</v>
      </c>
      <c r="M5" s="404"/>
      <c r="N5" s="404" t="s">
        <v>361</v>
      </c>
    </row>
    <row r="6" spans="2:14" ht="12" customHeight="1">
      <c r="B6" s="407"/>
      <c r="C6" s="408"/>
      <c r="D6" s="408"/>
      <c r="F6" s="408"/>
      <c r="H6" s="409"/>
      <c r="I6" s="403"/>
      <c r="J6" s="404" t="s">
        <v>360</v>
      </c>
      <c r="K6" s="404" t="s">
        <v>368</v>
      </c>
      <c r="L6" s="404"/>
      <c r="M6" s="404" t="s">
        <v>356</v>
      </c>
      <c r="N6" s="404" t="s">
        <v>369</v>
      </c>
    </row>
    <row r="7" spans="2:14" ht="12.75" customHeight="1">
      <c r="B7" s="407"/>
      <c r="D7" s="410"/>
      <c r="H7" s="409"/>
      <c r="I7" s="403"/>
      <c r="J7" s="404" t="s">
        <v>184</v>
      </c>
      <c r="K7" s="404" t="s">
        <v>364</v>
      </c>
      <c r="L7" s="404" t="s">
        <v>364</v>
      </c>
      <c r="M7" s="404" t="s">
        <v>359</v>
      </c>
      <c r="N7" s="404" t="s">
        <v>370</v>
      </c>
    </row>
    <row r="8" spans="2:14" ht="12.75" customHeight="1">
      <c r="B8" s="407"/>
      <c r="G8" s="410"/>
      <c r="H8" s="411"/>
      <c r="I8" s="404" t="s">
        <v>370</v>
      </c>
      <c r="J8" s="404" t="s">
        <v>356</v>
      </c>
      <c r="K8" s="404" t="s">
        <v>371</v>
      </c>
      <c r="L8" s="404" t="s">
        <v>359</v>
      </c>
      <c r="M8" s="404" t="s">
        <v>370</v>
      </c>
      <c r="N8" s="404" t="s">
        <v>368</v>
      </c>
    </row>
    <row r="9" spans="2:14">
      <c r="B9" s="404" t="s">
        <v>372</v>
      </c>
      <c r="C9" s="411" t="s">
        <v>373</v>
      </c>
      <c r="D9" s="411" t="s">
        <v>374</v>
      </c>
      <c r="E9" s="411" t="s">
        <v>375</v>
      </c>
      <c r="F9" s="404" t="s">
        <v>376</v>
      </c>
      <c r="G9" s="404" t="s">
        <v>377</v>
      </c>
      <c r="H9" s="404" t="s">
        <v>378</v>
      </c>
      <c r="I9" s="404" t="s">
        <v>366</v>
      </c>
      <c r="J9" s="404" t="s">
        <v>184</v>
      </c>
      <c r="K9" s="404" t="s">
        <v>359</v>
      </c>
      <c r="L9" s="404" t="s">
        <v>371</v>
      </c>
      <c r="M9" s="404" t="s">
        <v>356</v>
      </c>
      <c r="N9" s="404" t="s">
        <v>357</v>
      </c>
    </row>
    <row r="10" spans="2:14" ht="15" customHeight="1">
      <c r="B10" s="412"/>
      <c r="C10" s="413"/>
      <c r="D10" s="413"/>
      <c r="E10" s="413"/>
      <c r="F10" s="414"/>
      <c r="G10" s="415"/>
      <c r="H10" s="415"/>
      <c r="I10" s="416"/>
      <c r="J10" s="417"/>
      <c r="K10" s="417"/>
      <c r="L10" s="417"/>
      <c r="M10" s="417"/>
      <c r="N10" s="418"/>
    </row>
    <row r="11" spans="2:14" ht="15" customHeight="1">
      <c r="B11" s="412"/>
      <c r="C11" s="414"/>
      <c r="D11" s="414"/>
      <c r="E11" s="414"/>
      <c r="F11" s="414"/>
      <c r="G11" s="414"/>
      <c r="H11" s="414"/>
      <c r="I11" s="419"/>
      <c r="J11" s="417"/>
      <c r="K11" s="417"/>
      <c r="L11" s="417"/>
      <c r="M11" s="417"/>
      <c r="N11" s="418"/>
    </row>
    <row r="12" spans="2:14" ht="15" customHeight="1">
      <c r="B12" s="412"/>
      <c r="C12" s="414"/>
      <c r="D12" s="414"/>
      <c r="E12" s="414"/>
      <c r="F12" s="414"/>
      <c r="G12" s="414"/>
      <c r="H12" s="414"/>
      <c r="I12" s="419"/>
      <c r="J12" s="420"/>
      <c r="K12" s="417"/>
      <c r="L12" s="417"/>
      <c r="M12" s="417"/>
      <c r="N12" s="418"/>
    </row>
    <row r="13" spans="2:14" ht="15" customHeight="1">
      <c r="B13" s="412"/>
      <c r="C13" s="414"/>
      <c r="D13" s="414"/>
      <c r="E13" s="414"/>
      <c r="F13" s="414"/>
      <c r="G13" s="414"/>
      <c r="H13" s="414"/>
      <c r="I13" s="419"/>
      <c r="J13" s="417"/>
      <c r="K13" s="417"/>
      <c r="L13" s="417"/>
      <c r="M13" s="417"/>
      <c r="N13" s="418"/>
    </row>
    <row r="14" spans="2:14" ht="15" customHeight="1">
      <c r="B14" s="412"/>
      <c r="C14" s="414"/>
      <c r="D14" s="414"/>
      <c r="E14" s="414"/>
      <c r="F14" s="414"/>
      <c r="G14" s="414"/>
      <c r="H14" s="414"/>
      <c r="I14" s="419"/>
      <c r="J14" s="417"/>
      <c r="K14" s="417"/>
      <c r="L14" s="417"/>
      <c r="M14" s="417"/>
      <c r="N14" s="418"/>
    </row>
    <row r="15" spans="2:14" ht="15" customHeight="1">
      <c r="B15" s="412"/>
      <c r="C15" s="414"/>
      <c r="D15" s="414"/>
      <c r="E15" s="414"/>
      <c r="F15" s="414"/>
      <c r="G15" s="414"/>
      <c r="H15" s="414"/>
      <c r="I15" s="419"/>
      <c r="J15" s="417"/>
      <c r="K15" s="417"/>
      <c r="L15" s="417"/>
      <c r="M15" s="417"/>
      <c r="N15" s="418"/>
    </row>
    <row r="16" spans="2:14" ht="15" customHeight="1">
      <c r="B16" s="412"/>
      <c r="C16" s="414"/>
      <c r="D16" s="414"/>
      <c r="E16" s="414"/>
      <c r="F16" s="414"/>
      <c r="G16" s="414"/>
      <c r="H16" s="414"/>
      <c r="I16" s="419"/>
      <c r="J16" s="417"/>
      <c r="K16" s="417"/>
      <c r="L16" s="417"/>
      <c r="M16" s="417"/>
      <c r="N16" s="418"/>
    </row>
    <row r="17" spans="2:14" ht="15" customHeight="1">
      <c r="B17" s="412"/>
      <c r="C17" s="414"/>
      <c r="D17" s="414"/>
      <c r="E17" s="414"/>
      <c r="F17" s="414"/>
      <c r="G17" s="414"/>
      <c r="H17" s="414"/>
      <c r="I17" s="419"/>
      <c r="J17" s="417"/>
      <c r="K17" s="417"/>
      <c r="L17" s="417"/>
      <c r="M17" s="417"/>
      <c r="N17" s="418"/>
    </row>
    <row r="18" spans="2:14" ht="15" customHeight="1">
      <c r="B18" s="412"/>
      <c r="C18" s="414"/>
      <c r="D18" s="414"/>
      <c r="E18" s="414"/>
      <c r="F18" s="414"/>
      <c r="G18" s="414"/>
      <c r="H18" s="414"/>
      <c r="I18" s="419"/>
      <c r="J18" s="417"/>
      <c r="K18" s="417"/>
      <c r="L18" s="417"/>
      <c r="M18" s="417"/>
      <c r="N18" s="418"/>
    </row>
    <row r="19" spans="2:14" ht="15" customHeight="1">
      <c r="B19" s="412"/>
      <c r="C19" s="414"/>
      <c r="D19" s="414"/>
      <c r="E19" s="414"/>
      <c r="F19" s="414"/>
      <c r="G19" s="414"/>
      <c r="H19" s="414"/>
      <c r="I19" s="419"/>
      <c r="J19" s="417"/>
      <c r="K19" s="417"/>
      <c r="L19" s="417"/>
      <c r="M19" s="417"/>
      <c r="N19" s="418"/>
    </row>
    <row r="20" spans="2:14" ht="15" customHeight="1">
      <c r="B20" s="412"/>
      <c r="C20" s="414"/>
      <c r="D20" s="414"/>
      <c r="E20" s="414"/>
      <c r="F20" s="414"/>
      <c r="G20" s="414"/>
      <c r="H20" s="414"/>
      <c r="I20" s="419"/>
      <c r="J20" s="417"/>
      <c r="K20" s="417"/>
      <c r="L20" s="417"/>
      <c r="M20" s="417"/>
      <c r="N20" s="418"/>
    </row>
    <row r="21" spans="2:14" ht="15" customHeight="1">
      <c r="B21" s="412"/>
      <c r="C21" s="414"/>
      <c r="D21" s="414"/>
      <c r="E21" s="414"/>
      <c r="F21" s="414"/>
      <c r="G21" s="414"/>
      <c r="H21" s="414"/>
      <c r="I21" s="419"/>
      <c r="J21" s="417"/>
      <c r="K21" s="417"/>
      <c r="L21" s="417"/>
      <c r="M21" s="417"/>
      <c r="N21" s="418"/>
    </row>
    <row r="22" spans="2:14" ht="15" customHeight="1">
      <c r="B22" s="412"/>
      <c r="C22" s="414"/>
      <c r="D22" s="414"/>
      <c r="E22" s="414"/>
      <c r="F22" s="414"/>
      <c r="G22" s="414"/>
      <c r="H22" s="414"/>
      <c r="I22" s="419"/>
      <c r="J22" s="417"/>
      <c r="K22" s="417"/>
      <c r="L22" s="417"/>
      <c r="M22" s="417"/>
      <c r="N22" s="418"/>
    </row>
    <row r="23" spans="2:14" ht="15" customHeight="1">
      <c r="B23" s="412"/>
      <c r="C23" s="414"/>
      <c r="D23" s="414"/>
      <c r="E23" s="414"/>
      <c r="F23" s="414"/>
      <c r="G23" s="414"/>
      <c r="H23" s="414"/>
      <c r="I23" s="419"/>
      <c r="J23" s="417"/>
      <c r="K23" s="417"/>
      <c r="L23" s="417"/>
      <c r="M23" s="417"/>
      <c r="N23" s="418"/>
    </row>
    <row r="24" spans="2:14" ht="15" customHeight="1">
      <c r="B24" s="412"/>
      <c r="C24" s="414"/>
      <c r="D24" s="414"/>
      <c r="E24" s="414"/>
      <c r="F24" s="414"/>
      <c r="G24" s="414"/>
      <c r="H24" s="414"/>
      <c r="I24" s="419"/>
      <c r="J24" s="417"/>
      <c r="K24" s="417"/>
      <c r="L24" s="417"/>
      <c r="M24" s="417"/>
      <c r="N24" s="418"/>
    </row>
    <row r="25" spans="2:14" ht="15" customHeight="1">
      <c r="B25" s="412"/>
      <c r="C25" s="414"/>
      <c r="D25" s="414"/>
      <c r="E25" s="414"/>
      <c r="F25" s="414"/>
      <c r="G25" s="414"/>
      <c r="H25" s="414"/>
      <c r="I25" s="419"/>
      <c r="J25" s="417"/>
      <c r="K25" s="417"/>
      <c r="L25" s="417"/>
      <c r="M25" s="417"/>
      <c r="N25" s="418"/>
    </row>
    <row r="26" spans="2:14" ht="15" customHeight="1">
      <c r="B26" s="412"/>
      <c r="C26" s="414"/>
      <c r="D26" s="414"/>
      <c r="E26" s="414"/>
      <c r="F26" s="414"/>
      <c r="G26" s="414"/>
      <c r="H26" s="414"/>
      <c r="I26" s="419"/>
      <c r="J26" s="417"/>
      <c r="K26" s="417"/>
      <c r="L26" s="417"/>
      <c r="M26" s="417"/>
      <c r="N26" s="418"/>
    </row>
    <row r="27" spans="2:14" ht="15" customHeight="1">
      <c r="B27" s="412"/>
      <c r="C27" s="414"/>
      <c r="D27" s="414"/>
      <c r="E27" s="414"/>
      <c r="F27" s="414"/>
      <c r="G27" s="414"/>
      <c r="H27" s="414"/>
      <c r="I27" s="419"/>
      <c r="J27" s="417"/>
      <c r="K27" s="417"/>
      <c r="L27" s="417"/>
      <c r="M27" s="417"/>
      <c r="N27" s="418"/>
    </row>
    <row r="28" spans="2:14" ht="15" customHeight="1">
      <c r="B28" s="412"/>
      <c r="C28" s="414"/>
      <c r="D28" s="414"/>
      <c r="E28" s="414"/>
      <c r="F28" s="414"/>
      <c r="G28" s="414"/>
      <c r="H28" s="414"/>
      <c r="I28" s="419"/>
      <c r="J28" s="417"/>
      <c r="K28" s="417"/>
      <c r="L28" s="417"/>
      <c r="M28" s="417"/>
      <c r="N28" s="418"/>
    </row>
    <row r="29" spans="2:14" ht="15" customHeight="1">
      <c r="B29" s="412"/>
      <c r="C29" s="414"/>
      <c r="D29" s="414"/>
      <c r="E29" s="414"/>
      <c r="F29" s="414"/>
      <c r="G29" s="414"/>
      <c r="H29" s="414"/>
      <c r="I29" s="419"/>
      <c r="J29" s="417"/>
      <c r="K29" s="417"/>
      <c r="L29" s="417"/>
      <c r="M29" s="417"/>
      <c r="N29" s="418"/>
    </row>
    <row r="30" spans="2:14" ht="15" customHeight="1">
      <c r="B30" s="412"/>
      <c r="C30" s="414"/>
      <c r="D30" s="414"/>
      <c r="E30" s="414"/>
      <c r="F30" s="414"/>
      <c r="G30" s="414"/>
      <c r="H30" s="414"/>
      <c r="I30" s="419"/>
      <c r="J30" s="417"/>
      <c r="K30" s="417"/>
      <c r="L30" s="417"/>
      <c r="M30" s="417"/>
      <c r="N30" s="418"/>
    </row>
    <row r="31" spans="2:14" ht="15" customHeight="1">
      <c r="B31" s="412"/>
      <c r="C31" s="414"/>
      <c r="D31" s="414"/>
      <c r="E31" s="414"/>
      <c r="F31" s="414"/>
      <c r="G31" s="414"/>
      <c r="H31" s="414"/>
      <c r="I31" s="419"/>
      <c r="J31" s="417"/>
      <c r="K31" s="417"/>
      <c r="L31" s="417"/>
      <c r="M31" s="417"/>
      <c r="N31" s="418"/>
    </row>
    <row r="32" spans="2:14" ht="15" customHeight="1">
      <c r="B32" s="412"/>
      <c r="C32" s="414"/>
      <c r="D32" s="414"/>
      <c r="E32" s="414"/>
      <c r="F32" s="414"/>
      <c r="G32" s="414"/>
      <c r="H32" s="414"/>
      <c r="I32" s="419"/>
      <c r="J32" s="417"/>
      <c r="K32" s="417"/>
      <c r="L32" s="417"/>
      <c r="M32" s="417"/>
      <c r="N32" s="418"/>
    </row>
    <row r="33" spans="2:14" ht="15" customHeight="1">
      <c r="B33" s="412"/>
      <c r="C33" s="414"/>
      <c r="D33" s="414"/>
      <c r="E33" s="414"/>
      <c r="F33" s="414"/>
      <c r="G33" s="414"/>
      <c r="H33" s="414"/>
      <c r="I33" s="419"/>
      <c r="J33" s="417"/>
      <c r="K33" s="417"/>
      <c r="L33" s="417"/>
      <c r="M33" s="417"/>
      <c r="N33" s="418"/>
    </row>
    <row r="34" spans="2:14" ht="15" customHeight="1">
      <c r="B34" s="412"/>
      <c r="C34" s="414"/>
      <c r="D34" s="414"/>
      <c r="E34" s="414"/>
      <c r="F34" s="414"/>
      <c r="G34" s="414"/>
      <c r="H34" s="414"/>
      <c r="I34" s="419"/>
      <c r="J34" s="417"/>
      <c r="K34" s="417"/>
      <c r="L34" s="417"/>
      <c r="M34" s="417"/>
      <c r="N34" s="418"/>
    </row>
    <row r="35" spans="2:14" ht="15" customHeight="1">
      <c r="B35" s="412"/>
      <c r="C35" s="414"/>
      <c r="D35" s="414"/>
      <c r="E35" s="414"/>
      <c r="F35" s="414"/>
      <c r="G35" s="414"/>
      <c r="H35" s="414"/>
      <c r="I35" s="419"/>
      <c r="J35" s="417"/>
      <c r="K35" s="417"/>
      <c r="L35" s="417"/>
      <c r="M35" s="417"/>
      <c r="N35" s="418"/>
    </row>
    <row r="36" spans="2:14" ht="15" customHeight="1">
      <c r="B36" s="412"/>
      <c r="C36" s="414"/>
      <c r="D36" s="414"/>
      <c r="E36" s="414"/>
      <c r="F36" s="414"/>
      <c r="G36" s="414"/>
      <c r="H36" s="414"/>
      <c r="I36" s="419"/>
      <c r="J36" s="417"/>
      <c r="K36" s="417"/>
      <c r="L36" s="417"/>
      <c r="M36" s="417"/>
      <c r="N36" s="418"/>
    </row>
    <row r="37" spans="2:14" ht="15" customHeight="1">
      <c r="B37" s="412"/>
      <c r="C37" s="414"/>
      <c r="D37" s="414"/>
      <c r="E37" s="414"/>
      <c r="F37" s="414"/>
      <c r="G37" s="414"/>
      <c r="H37" s="414"/>
      <c r="I37" s="419"/>
      <c r="J37" s="417"/>
      <c r="K37" s="417"/>
      <c r="L37" s="417"/>
      <c r="M37" s="417"/>
      <c r="N37" s="418"/>
    </row>
    <row r="38" spans="2:14" ht="15" customHeight="1">
      <c r="B38" s="412"/>
      <c r="C38" s="414"/>
      <c r="D38" s="414"/>
      <c r="E38" s="414"/>
      <c r="F38" s="414"/>
      <c r="G38" s="414"/>
      <c r="H38" s="414"/>
      <c r="I38" s="419"/>
      <c r="J38" s="417"/>
      <c r="K38" s="417"/>
      <c r="L38" s="417"/>
      <c r="M38" s="417"/>
      <c r="N38" s="418"/>
    </row>
    <row r="39" spans="2:14" ht="15" customHeight="1">
      <c r="B39" s="412"/>
      <c r="C39" s="414"/>
      <c r="D39" s="414"/>
      <c r="E39" s="414"/>
      <c r="F39" s="414"/>
      <c r="G39" s="414"/>
      <c r="H39" s="414"/>
      <c r="I39" s="419"/>
      <c r="J39" s="417"/>
      <c r="K39" s="417"/>
      <c r="L39" s="417"/>
      <c r="M39" s="417"/>
      <c r="N39" s="418"/>
    </row>
    <row r="40" spans="2:14" ht="15" customHeight="1">
      <c r="B40" s="412"/>
      <c r="C40" s="414"/>
      <c r="D40" s="414"/>
      <c r="E40" s="414"/>
      <c r="F40" s="414"/>
      <c r="G40" s="414"/>
      <c r="H40" s="414"/>
      <c r="I40" s="419"/>
      <c r="J40" s="417"/>
      <c r="K40" s="417"/>
      <c r="L40" s="417"/>
      <c r="M40" s="417"/>
      <c r="N40" s="418"/>
    </row>
    <row r="41" spans="2:14" ht="15" customHeight="1">
      <c r="B41" s="412"/>
      <c r="C41" s="414"/>
      <c r="D41" s="414"/>
      <c r="E41" s="414"/>
      <c r="F41" s="414"/>
      <c r="G41" s="414"/>
      <c r="H41" s="414"/>
      <c r="I41" s="419"/>
      <c r="J41" s="417"/>
      <c r="K41" s="417"/>
      <c r="L41" s="417"/>
      <c r="M41" s="417"/>
      <c r="N41" s="418"/>
    </row>
    <row r="42" spans="2:14" ht="15" customHeight="1">
      <c r="B42" s="412"/>
      <c r="C42" s="414"/>
      <c r="D42" s="414"/>
      <c r="E42" s="414"/>
      <c r="F42" s="414"/>
      <c r="G42" s="414"/>
      <c r="H42" s="414"/>
      <c r="I42" s="419"/>
      <c r="J42" s="417"/>
      <c r="K42" s="417"/>
      <c r="L42" s="417"/>
      <c r="M42" s="417"/>
      <c r="N42" s="418"/>
    </row>
    <row r="43" spans="2:14" ht="15" customHeight="1">
      <c r="B43" s="412"/>
      <c r="C43" s="414"/>
      <c r="D43" s="414"/>
      <c r="E43" s="414"/>
      <c r="F43" s="414"/>
      <c r="G43" s="414"/>
      <c r="H43" s="414"/>
      <c r="I43" s="419"/>
      <c r="J43" s="417"/>
      <c r="K43" s="417"/>
      <c r="L43" s="417"/>
      <c r="M43" s="417"/>
      <c r="N43" s="418"/>
    </row>
    <row r="44" spans="2:14" ht="15" customHeight="1">
      <c r="B44" s="412"/>
      <c r="C44" s="414"/>
      <c r="D44" s="414"/>
      <c r="E44" s="414"/>
      <c r="F44" s="414"/>
      <c r="G44" s="414"/>
      <c r="H44" s="414"/>
      <c r="I44" s="419"/>
      <c r="J44" s="417"/>
      <c r="K44" s="417"/>
      <c r="L44" s="417"/>
      <c r="M44" s="417"/>
      <c r="N44" s="418"/>
    </row>
    <row r="45" spans="2:14" ht="15" customHeight="1">
      <c r="B45" s="412"/>
      <c r="C45" s="414"/>
      <c r="D45" s="414"/>
      <c r="E45" s="414"/>
      <c r="F45" s="414"/>
      <c r="G45" s="414"/>
      <c r="H45" s="414"/>
      <c r="I45" s="419"/>
      <c r="J45" s="417"/>
      <c r="K45" s="417"/>
      <c r="L45" s="417"/>
      <c r="M45" s="417"/>
      <c r="N45" s="418"/>
    </row>
    <row r="46" spans="2:14" ht="15" customHeight="1">
      <c r="B46" s="412"/>
      <c r="C46" s="414"/>
      <c r="D46" s="414"/>
      <c r="E46" s="414"/>
      <c r="F46" s="414"/>
      <c r="G46" s="414"/>
      <c r="H46" s="414"/>
      <c r="I46" s="419"/>
      <c r="J46" s="417"/>
      <c r="K46" s="417"/>
      <c r="L46" s="417"/>
      <c r="M46" s="417"/>
      <c r="N46" s="418"/>
    </row>
    <row r="47" spans="2:14" ht="15" customHeight="1">
      <c r="B47" s="412"/>
      <c r="C47" s="414"/>
      <c r="D47" s="414"/>
      <c r="E47" s="414"/>
      <c r="F47" s="414"/>
      <c r="G47" s="414"/>
      <c r="H47" s="414"/>
      <c r="I47" s="419"/>
      <c r="J47" s="417"/>
      <c r="K47" s="417"/>
      <c r="L47" s="417"/>
      <c r="M47" s="417"/>
      <c r="N47" s="418"/>
    </row>
    <row r="48" spans="2:14" ht="15" customHeight="1">
      <c r="B48" s="412"/>
      <c r="C48" s="414"/>
      <c r="D48" s="414"/>
      <c r="E48" s="414"/>
      <c r="F48" s="414"/>
      <c r="G48" s="414"/>
      <c r="H48" s="414"/>
      <c r="I48" s="419"/>
      <c r="J48" s="417"/>
      <c r="K48" s="417"/>
      <c r="L48" s="417"/>
      <c r="M48" s="417"/>
      <c r="N48" s="418"/>
    </row>
    <row r="49" spans="2:14" ht="15" customHeight="1">
      <c r="B49" s="412"/>
      <c r="C49" s="414"/>
      <c r="D49" s="414"/>
      <c r="E49" s="414"/>
      <c r="F49" s="414"/>
      <c r="G49" s="414"/>
      <c r="H49" s="414"/>
      <c r="I49" s="419"/>
      <c r="J49" s="417"/>
      <c r="K49" s="417"/>
      <c r="L49" s="417"/>
      <c r="M49" s="417"/>
      <c r="N49" s="418"/>
    </row>
    <row r="50" spans="2:14" ht="15" customHeight="1">
      <c r="B50" s="412"/>
      <c r="C50" s="414"/>
      <c r="D50" s="414"/>
      <c r="E50" s="414"/>
      <c r="F50" s="414"/>
      <c r="G50" s="414"/>
      <c r="H50" s="414"/>
      <c r="I50" s="419"/>
      <c r="J50" s="417"/>
      <c r="K50" s="417"/>
      <c r="L50" s="417"/>
      <c r="M50" s="417"/>
      <c r="N50" s="418"/>
    </row>
    <row r="51" spans="2:14" ht="15" customHeight="1">
      <c r="B51" s="412"/>
      <c r="C51" s="414"/>
      <c r="D51" s="414"/>
      <c r="E51" s="414"/>
      <c r="F51" s="414"/>
      <c r="G51" s="414"/>
      <c r="H51" s="414"/>
      <c r="I51" s="419"/>
      <c r="J51" s="417"/>
      <c r="K51" s="417"/>
      <c r="L51" s="417"/>
      <c r="M51" s="417"/>
      <c r="N51" s="418"/>
    </row>
    <row r="52" spans="2:14" ht="15" customHeight="1" thickBot="1">
      <c r="B52" s="421"/>
      <c r="C52" s="422"/>
      <c r="D52" s="422"/>
      <c r="E52" s="422"/>
      <c r="F52" s="422"/>
      <c r="G52" s="422"/>
      <c r="H52" s="422"/>
      <c r="I52" s="423"/>
      <c r="J52" s="424"/>
      <c r="K52" s="424"/>
      <c r="L52" s="424"/>
      <c r="M52" s="424"/>
      <c r="N52" s="425"/>
    </row>
    <row r="53" spans="2:14" ht="20.25" customHeight="1" thickBot="1">
      <c r="B53" s="426" t="s">
        <v>379</v>
      </c>
      <c r="C53" s="426"/>
      <c r="D53" s="426"/>
      <c r="E53" s="426"/>
      <c r="F53" s="426"/>
      <c r="G53" s="426"/>
      <c r="H53" s="426"/>
      <c r="I53" s="426"/>
      <c r="J53" s="426"/>
      <c r="K53" s="426"/>
      <c r="L53" s="426"/>
      <c r="M53" s="426"/>
      <c r="N53" s="426"/>
    </row>
    <row r="54" spans="2:14" ht="15" customHeight="1" thickBot="1">
      <c r="B54" s="427" t="s">
        <v>380</v>
      </c>
      <c r="C54" s="428" t="s">
        <v>377</v>
      </c>
      <c r="D54" s="429"/>
      <c r="E54" s="429"/>
      <c r="F54" s="429"/>
      <c r="G54" s="429"/>
      <c r="H54" s="430"/>
      <c r="I54" s="428" t="s">
        <v>372</v>
      </c>
      <c r="J54" s="429"/>
      <c r="K54" s="431"/>
      <c r="L54" s="428" t="s">
        <v>381</v>
      </c>
      <c r="M54" s="429"/>
      <c r="N54" s="432"/>
    </row>
    <row r="55" spans="2:14" ht="15" customHeight="1">
      <c r="B55" s="433"/>
      <c r="C55" s="434"/>
      <c r="D55" s="435"/>
      <c r="E55" s="435"/>
      <c r="F55" s="435"/>
      <c r="G55" s="435"/>
      <c r="H55" s="436"/>
      <c r="I55" s="437"/>
      <c r="J55" s="438"/>
      <c r="K55" s="439"/>
      <c r="L55" s="440"/>
      <c r="M55" s="441"/>
      <c r="N55" s="442"/>
    </row>
    <row r="56" spans="2:14" ht="15" customHeight="1">
      <c r="B56" s="443"/>
      <c r="C56" s="444"/>
      <c r="D56" s="445"/>
      <c r="E56" s="445"/>
      <c r="F56" s="445"/>
      <c r="G56" s="445"/>
      <c r="H56" s="446"/>
      <c r="I56" s="447"/>
      <c r="J56" s="448"/>
      <c r="K56" s="449"/>
      <c r="L56" s="450"/>
      <c r="M56" s="451"/>
      <c r="N56" s="452"/>
    </row>
    <row r="57" spans="2:14" ht="15" customHeight="1">
      <c r="B57" s="443"/>
      <c r="C57" s="444"/>
      <c r="D57" s="445"/>
      <c r="E57" s="445"/>
      <c r="F57" s="445"/>
      <c r="G57" s="445"/>
      <c r="H57" s="446"/>
      <c r="I57" s="447"/>
      <c r="J57" s="448"/>
      <c r="K57" s="449"/>
      <c r="L57" s="450"/>
      <c r="M57" s="451"/>
      <c r="N57" s="452"/>
    </row>
    <row r="58" spans="2:14" ht="15" customHeight="1">
      <c r="B58" s="443"/>
      <c r="C58" s="444"/>
      <c r="D58" s="445"/>
      <c r="E58" s="445"/>
      <c r="F58" s="445"/>
      <c r="G58" s="445"/>
      <c r="H58" s="446"/>
      <c r="I58" s="447"/>
      <c r="J58" s="448"/>
      <c r="K58" s="449"/>
      <c r="L58" s="450"/>
      <c r="M58" s="451"/>
      <c r="N58" s="452"/>
    </row>
    <row r="59" spans="2:14" ht="15" customHeight="1">
      <c r="B59" s="443"/>
      <c r="C59" s="444"/>
      <c r="D59" s="445"/>
      <c r="E59" s="445"/>
      <c r="F59" s="445"/>
      <c r="G59" s="445"/>
      <c r="H59" s="446"/>
      <c r="I59" s="447"/>
      <c r="J59" s="448"/>
      <c r="K59" s="449"/>
      <c r="L59" s="450"/>
      <c r="M59" s="451"/>
      <c r="N59" s="452"/>
    </row>
    <row r="60" spans="2:14" ht="15" customHeight="1">
      <c r="B60" s="443"/>
      <c r="C60" s="444"/>
      <c r="D60" s="445"/>
      <c r="E60" s="445"/>
      <c r="F60" s="445"/>
      <c r="G60" s="445"/>
      <c r="H60" s="446"/>
      <c r="I60" s="447"/>
      <c r="J60" s="448"/>
      <c r="K60" s="449"/>
      <c r="L60" s="450"/>
      <c r="M60" s="451"/>
      <c r="N60" s="452"/>
    </row>
    <row r="61" spans="2:14" ht="15" customHeight="1">
      <c r="B61" s="443"/>
      <c r="C61" s="444"/>
      <c r="D61" s="445"/>
      <c r="E61" s="445"/>
      <c r="F61" s="445"/>
      <c r="G61" s="445"/>
      <c r="H61" s="446"/>
      <c r="I61" s="447"/>
      <c r="J61" s="448"/>
      <c r="K61" s="449"/>
      <c r="L61" s="450"/>
      <c r="M61" s="451"/>
      <c r="N61" s="452"/>
    </row>
    <row r="62" spans="2:14" ht="15" customHeight="1">
      <c r="B62" s="443"/>
      <c r="C62" s="444"/>
      <c r="D62" s="445"/>
      <c r="E62" s="445"/>
      <c r="F62" s="445"/>
      <c r="G62" s="445"/>
      <c r="H62" s="446"/>
      <c r="I62" s="447"/>
      <c r="J62" s="448"/>
      <c r="K62" s="449"/>
      <c r="L62" s="450"/>
      <c r="M62" s="451"/>
      <c r="N62" s="452"/>
    </row>
    <row r="63" spans="2:14" ht="15" customHeight="1">
      <c r="B63" s="443"/>
      <c r="C63" s="444"/>
      <c r="D63" s="445"/>
      <c r="E63" s="445"/>
      <c r="F63" s="445"/>
      <c r="G63" s="445"/>
      <c r="H63" s="446"/>
      <c r="I63" s="447"/>
      <c r="J63" s="448"/>
      <c r="K63" s="449"/>
      <c r="L63" s="450"/>
      <c r="M63" s="451"/>
      <c r="N63" s="452"/>
    </row>
    <row r="64" spans="2:14" ht="15" customHeight="1">
      <c r="B64" s="443"/>
      <c r="C64" s="444"/>
      <c r="D64" s="445"/>
      <c r="E64" s="445"/>
      <c r="F64" s="445"/>
      <c r="G64" s="445"/>
      <c r="H64" s="446"/>
      <c r="I64" s="447"/>
      <c r="J64" s="448"/>
      <c r="K64" s="449"/>
      <c r="L64" s="450"/>
      <c r="M64" s="451"/>
      <c r="N64" s="452"/>
    </row>
    <row r="65" spans="2:14" ht="15" customHeight="1">
      <c r="B65" s="443"/>
      <c r="C65" s="444"/>
      <c r="D65" s="445"/>
      <c r="E65" s="445"/>
      <c r="F65" s="445"/>
      <c r="G65" s="445"/>
      <c r="H65" s="446"/>
      <c r="I65" s="447"/>
      <c r="J65" s="448"/>
      <c r="K65" s="449"/>
      <c r="L65" s="450"/>
      <c r="M65" s="451"/>
      <c r="N65" s="452"/>
    </row>
    <row r="66" spans="2:14" ht="15" customHeight="1">
      <c r="B66" s="443"/>
      <c r="C66" s="444"/>
      <c r="D66" s="445"/>
      <c r="E66" s="445"/>
      <c r="F66" s="445"/>
      <c r="G66" s="445"/>
      <c r="H66" s="446"/>
      <c r="I66" s="447"/>
      <c r="J66" s="448"/>
      <c r="K66" s="449"/>
      <c r="L66" s="450"/>
      <c r="M66" s="451"/>
      <c r="N66" s="452"/>
    </row>
    <row r="67" spans="2:14" ht="15" customHeight="1">
      <c r="B67" s="443"/>
      <c r="C67" s="444"/>
      <c r="D67" s="445"/>
      <c r="E67" s="445"/>
      <c r="F67" s="445"/>
      <c r="G67" s="445"/>
      <c r="H67" s="446"/>
      <c r="I67" s="447"/>
      <c r="J67" s="448"/>
      <c r="K67" s="449"/>
      <c r="L67" s="450"/>
      <c r="M67" s="451"/>
      <c r="N67" s="452"/>
    </row>
    <row r="68" spans="2:14" ht="15" customHeight="1">
      <c r="B68" s="443"/>
      <c r="C68" s="444"/>
      <c r="D68" s="445"/>
      <c r="E68" s="445"/>
      <c r="F68" s="445"/>
      <c r="G68" s="445"/>
      <c r="H68" s="446"/>
      <c r="I68" s="447"/>
      <c r="J68" s="448"/>
      <c r="K68" s="449"/>
      <c r="L68" s="450"/>
      <c r="M68" s="451"/>
      <c r="N68" s="452"/>
    </row>
    <row r="69" spans="2:14" ht="15" customHeight="1">
      <c r="B69" s="443"/>
      <c r="C69" s="444"/>
      <c r="D69" s="445"/>
      <c r="E69" s="445"/>
      <c r="F69" s="445"/>
      <c r="G69" s="445"/>
      <c r="H69" s="446"/>
      <c r="I69" s="447"/>
      <c r="J69" s="448"/>
      <c r="K69" s="449"/>
      <c r="L69" s="450"/>
      <c r="M69" s="451"/>
      <c r="N69" s="452"/>
    </row>
    <row r="70" spans="2:14" ht="15" customHeight="1">
      <c r="B70" s="443"/>
      <c r="C70" s="444"/>
      <c r="D70" s="445"/>
      <c r="E70" s="445"/>
      <c r="F70" s="445"/>
      <c r="G70" s="445"/>
      <c r="H70" s="446"/>
      <c r="I70" s="447"/>
      <c r="J70" s="448"/>
      <c r="K70" s="449"/>
      <c r="L70" s="450"/>
      <c r="M70" s="451"/>
      <c r="N70" s="452"/>
    </row>
    <row r="71" spans="2:14" ht="15" customHeight="1">
      <c r="B71" s="443"/>
      <c r="C71" s="444"/>
      <c r="D71" s="445"/>
      <c r="E71" s="445"/>
      <c r="F71" s="445"/>
      <c r="G71" s="445"/>
      <c r="H71" s="446"/>
      <c r="I71" s="447"/>
      <c r="J71" s="448"/>
      <c r="K71" s="449"/>
      <c r="L71" s="450"/>
      <c r="M71" s="451"/>
      <c r="N71" s="452"/>
    </row>
    <row r="72" spans="2:14">
      <c r="B72" s="443"/>
      <c r="C72" s="444"/>
      <c r="D72" s="445"/>
      <c r="E72" s="445"/>
      <c r="F72" s="445"/>
      <c r="G72" s="445"/>
      <c r="H72" s="446"/>
      <c r="I72" s="447"/>
      <c r="J72" s="448"/>
      <c r="K72" s="449"/>
      <c r="L72" s="450"/>
      <c r="M72" s="451"/>
      <c r="N72" s="452"/>
    </row>
    <row r="73" spans="2:14">
      <c r="B73" s="443"/>
      <c r="C73" s="444"/>
      <c r="D73" s="445"/>
      <c r="E73" s="445"/>
      <c r="F73" s="445"/>
      <c r="G73" s="445"/>
      <c r="H73" s="446"/>
      <c r="I73" s="447"/>
      <c r="J73" s="448"/>
      <c r="K73" s="449"/>
      <c r="L73" s="450"/>
      <c r="M73" s="451"/>
      <c r="N73" s="452"/>
    </row>
    <row r="74" spans="2:14">
      <c r="B74" s="443"/>
      <c r="C74" s="444"/>
      <c r="D74" s="445"/>
      <c r="E74" s="445"/>
      <c r="F74" s="445"/>
      <c r="G74" s="445"/>
      <c r="H74" s="446"/>
      <c r="I74" s="447"/>
      <c r="J74" s="448"/>
      <c r="K74" s="449"/>
      <c r="L74" s="450"/>
      <c r="M74" s="451"/>
      <c r="N74" s="452"/>
    </row>
    <row r="75" spans="2:14">
      <c r="B75" s="443"/>
      <c r="C75" s="444"/>
      <c r="D75" s="445"/>
      <c r="E75" s="445"/>
      <c r="F75" s="445"/>
      <c r="G75" s="445"/>
      <c r="H75" s="446"/>
      <c r="I75" s="447"/>
      <c r="J75" s="448"/>
      <c r="K75" s="449"/>
      <c r="L75" s="450"/>
      <c r="M75" s="451"/>
      <c r="N75" s="452"/>
    </row>
    <row r="76" spans="2:14">
      <c r="B76" s="443"/>
      <c r="C76" s="444"/>
      <c r="D76" s="445"/>
      <c r="E76" s="445"/>
      <c r="F76" s="445"/>
      <c r="G76" s="445"/>
      <c r="H76" s="446"/>
      <c r="I76" s="447"/>
      <c r="J76" s="448"/>
      <c r="K76" s="449"/>
      <c r="L76" s="450"/>
      <c r="M76" s="451"/>
      <c r="N76" s="452"/>
    </row>
    <row r="77" spans="2:14">
      <c r="B77" s="443"/>
      <c r="C77" s="444"/>
      <c r="D77" s="445"/>
      <c r="E77" s="445"/>
      <c r="F77" s="445"/>
      <c r="G77" s="445"/>
      <c r="H77" s="446"/>
      <c r="I77" s="447"/>
      <c r="J77" s="448"/>
      <c r="K77" s="449"/>
      <c r="L77" s="450"/>
      <c r="M77" s="451"/>
      <c r="N77" s="452"/>
    </row>
    <row r="78" spans="2:14">
      <c r="B78" s="443"/>
      <c r="C78" s="444"/>
      <c r="D78" s="445"/>
      <c r="E78" s="445"/>
      <c r="F78" s="445"/>
      <c r="G78" s="445"/>
      <c r="H78" s="446"/>
      <c r="I78" s="447"/>
      <c r="J78" s="448"/>
      <c r="K78" s="449"/>
      <c r="L78" s="450"/>
      <c r="M78" s="451"/>
      <c r="N78" s="452"/>
    </row>
    <row r="79" spans="2:14" ht="13.5" thickBot="1">
      <c r="B79" s="453"/>
      <c r="C79" s="454"/>
      <c r="D79" s="455"/>
      <c r="E79" s="455"/>
      <c r="F79" s="455"/>
      <c r="G79" s="455"/>
      <c r="H79" s="456"/>
      <c r="I79" s="457"/>
      <c r="J79" s="458"/>
      <c r="K79" s="459"/>
      <c r="L79" s="460"/>
      <c r="M79" s="461"/>
      <c r="N79" s="462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B2:G4"/>
    <mergeCell ref="B53:N53"/>
    <mergeCell ref="C54:G54"/>
    <mergeCell ref="I54:K54"/>
    <mergeCell ref="L54:N54"/>
    <mergeCell ref="C55:G55"/>
    <mergeCell ref="I55:K55"/>
    <mergeCell ref="L55:N55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ED835-1988-4AA3-A71A-157663AFD499}">
  <sheetPr syncVertical="1" syncRef="A1" transitionEvaluation="1"/>
  <dimension ref="A1:N120"/>
  <sheetViews>
    <sheetView showGridLines="0" zoomScaleNormal="100" workbookViewId="0">
      <selection activeCell="C18" sqref="C18"/>
    </sheetView>
  </sheetViews>
  <sheetFormatPr defaultColWidth="12.5703125" defaultRowHeight="15.75"/>
  <cols>
    <col min="1" max="13" width="7" style="585" customWidth="1"/>
    <col min="14" max="14" width="7.140625" style="585" customWidth="1"/>
    <col min="15" max="16384" width="12.5703125" style="585"/>
  </cols>
  <sheetData>
    <row r="1" spans="1:14" ht="17.100000000000001" customHeight="1">
      <c r="A1" s="578" t="s">
        <v>270</v>
      </c>
      <c r="B1" s="579"/>
      <c r="C1" s="579"/>
      <c r="D1" s="579"/>
      <c r="E1" s="579"/>
      <c r="F1" s="579"/>
      <c r="G1" s="579"/>
      <c r="H1" s="579"/>
      <c r="I1" s="579"/>
      <c r="J1" s="580" t="s">
        <v>592</v>
      </c>
      <c r="K1" s="581"/>
      <c r="L1" s="582" t="s">
        <v>593</v>
      </c>
      <c r="M1" s="583"/>
      <c r="N1" s="584"/>
    </row>
    <row r="2" spans="1:14" ht="17.100000000000001" customHeight="1">
      <c r="A2" s="586" t="s">
        <v>594</v>
      </c>
      <c r="B2" s="587"/>
      <c r="C2" s="587"/>
      <c r="D2" s="587"/>
      <c r="E2" s="587"/>
      <c r="F2" s="587"/>
      <c r="G2" s="587"/>
      <c r="H2" s="587"/>
      <c r="I2" s="587"/>
      <c r="J2" s="588" t="s">
        <v>595</v>
      </c>
      <c r="K2" s="589"/>
      <c r="L2" s="590" t="s">
        <v>596</v>
      </c>
      <c r="M2" s="591"/>
      <c r="N2" s="584"/>
    </row>
    <row r="3" spans="1:14" ht="15.95" customHeight="1">
      <c r="A3" s="592"/>
      <c r="B3" s="593"/>
      <c r="C3" s="593"/>
      <c r="D3" s="593"/>
      <c r="E3" s="593"/>
      <c r="F3" s="593"/>
      <c r="G3" s="593"/>
      <c r="H3" s="593"/>
      <c r="I3" s="593"/>
      <c r="J3" s="588" t="s">
        <v>597</v>
      </c>
      <c r="K3" s="589"/>
      <c r="L3" s="594" t="s">
        <v>598</v>
      </c>
      <c r="M3" s="591"/>
      <c r="N3" s="584"/>
    </row>
    <row r="4" spans="1:14" ht="15.95" customHeight="1">
      <c r="A4" s="595"/>
      <c r="B4" s="593"/>
      <c r="C4" s="593"/>
      <c r="D4" s="593"/>
      <c r="E4" s="593"/>
      <c r="F4" s="593"/>
      <c r="G4" s="593"/>
      <c r="H4" s="593"/>
      <c r="I4" s="593"/>
      <c r="J4" s="588" t="s">
        <v>599</v>
      </c>
      <c r="K4" s="589"/>
      <c r="L4" s="594" t="s">
        <v>600</v>
      </c>
      <c r="M4" s="591"/>
      <c r="N4" s="584"/>
    </row>
    <row r="5" spans="1:14" ht="15.95" customHeight="1">
      <c r="A5" s="592"/>
      <c r="B5" s="593"/>
      <c r="C5" s="593"/>
      <c r="D5" s="593"/>
      <c r="E5" s="593"/>
      <c r="F5" s="593"/>
      <c r="G5" s="593"/>
      <c r="H5" s="593"/>
      <c r="I5" s="593"/>
      <c r="J5" s="588" t="s">
        <v>601</v>
      </c>
      <c r="K5" s="589"/>
      <c r="L5" s="590">
        <v>2</v>
      </c>
      <c r="M5" s="591"/>
      <c r="N5" s="584"/>
    </row>
    <row r="6" spans="1:14" ht="15.95" customHeight="1">
      <c r="A6" s="596" t="s">
        <v>602</v>
      </c>
      <c r="B6" s="593"/>
      <c r="C6" s="593"/>
      <c r="D6" s="593"/>
      <c r="E6" s="593"/>
      <c r="F6" s="593"/>
      <c r="G6" s="593"/>
      <c r="H6" s="593"/>
      <c r="I6" s="593"/>
      <c r="J6" s="588" t="s">
        <v>603</v>
      </c>
      <c r="K6" s="589"/>
      <c r="L6" s="590" t="s">
        <v>604</v>
      </c>
      <c r="M6" s="591"/>
      <c r="N6" s="584"/>
    </row>
    <row r="7" spans="1:14" ht="15.95" customHeight="1" thickBot="1">
      <c r="A7" s="597" t="s">
        <v>605</v>
      </c>
      <c r="B7" s="598"/>
      <c r="C7" s="598"/>
      <c r="D7" s="598"/>
      <c r="E7" s="598"/>
      <c r="F7" s="598"/>
      <c r="G7" s="598"/>
      <c r="H7" s="598"/>
      <c r="I7" s="598"/>
      <c r="J7" s="599" t="s">
        <v>606</v>
      </c>
      <c r="K7" s="600"/>
      <c r="L7" s="601" t="s">
        <v>607</v>
      </c>
      <c r="M7" s="602"/>
      <c r="N7" s="584"/>
    </row>
    <row r="8" spans="1:14" ht="15.95" customHeight="1">
      <c r="A8" s="603"/>
      <c r="B8" s="593"/>
      <c r="C8" s="593"/>
      <c r="D8" s="593"/>
      <c r="E8" s="593"/>
      <c r="F8" s="593"/>
      <c r="G8" s="593"/>
      <c r="H8" s="593"/>
      <c r="I8" s="593"/>
      <c r="J8" s="593"/>
      <c r="K8" s="604"/>
      <c r="L8" s="605"/>
      <c r="M8" s="606"/>
      <c r="N8" s="593"/>
    </row>
    <row r="9" spans="1:14" ht="12" customHeight="1">
      <c r="A9" s="607"/>
      <c r="B9" s="608" t="s">
        <v>608</v>
      </c>
      <c r="C9" s="609"/>
      <c r="D9" s="610"/>
      <c r="E9" s="610"/>
      <c r="F9" s="610"/>
      <c r="G9" s="610"/>
      <c r="H9" s="610"/>
      <c r="I9" s="610"/>
      <c r="J9" s="610"/>
      <c r="K9" s="611"/>
      <c r="L9" s="607"/>
      <c r="M9" s="610"/>
      <c r="N9" s="593"/>
    </row>
    <row r="10" spans="1:14" ht="12" customHeight="1">
      <c r="A10" s="607"/>
      <c r="B10" s="608" t="s">
        <v>609</v>
      </c>
      <c r="C10" s="612"/>
      <c r="D10" s="607"/>
      <c r="E10" s="607"/>
      <c r="F10" s="607"/>
      <c r="G10" s="607"/>
      <c r="H10" s="607"/>
      <c r="I10" s="607"/>
      <c r="J10" s="607"/>
      <c r="K10" s="607"/>
      <c r="L10" s="607"/>
      <c r="M10" s="607"/>
      <c r="N10" s="605"/>
    </row>
    <row r="11" spans="1:14" ht="16.5" thickBot="1">
      <c r="A11" s="605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5"/>
      <c r="N11" s="605"/>
    </row>
    <row r="12" spans="1:14" ht="20.100000000000001" customHeight="1" thickBot="1">
      <c r="A12" s="613" t="s">
        <v>610</v>
      </c>
      <c r="B12" s="614"/>
      <c r="C12" s="614"/>
      <c r="D12" s="614"/>
      <c r="E12" s="614"/>
      <c r="F12" s="614"/>
      <c r="G12" s="614"/>
      <c r="H12" s="614"/>
      <c r="I12" s="614"/>
      <c r="J12" s="614"/>
      <c r="K12" s="614"/>
      <c r="L12" s="614"/>
      <c r="M12" s="615"/>
      <c r="N12" s="584"/>
    </row>
    <row r="13" spans="1:14" ht="12.95" customHeight="1" thickTop="1">
      <c r="A13" s="616"/>
      <c r="B13" s="608" t="s">
        <v>611</v>
      </c>
      <c r="C13" s="617">
        <v>450</v>
      </c>
      <c r="D13" s="607"/>
      <c r="E13" s="608" t="s">
        <v>612</v>
      </c>
      <c r="F13" s="617">
        <v>4000</v>
      </c>
      <c r="G13" s="607"/>
      <c r="H13" s="608" t="s">
        <v>613</v>
      </c>
      <c r="I13" s="617" t="s">
        <v>697</v>
      </c>
      <c r="J13" s="607"/>
      <c r="K13" s="607"/>
      <c r="L13" s="608" t="s">
        <v>614</v>
      </c>
      <c r="M13" s="618">
        <v>1800</v>
      </c>
      <c r="N13" s="584"/>
    </row>
    <row r="14" spans="1:14" ht="12.95" customHeight="1">
      <c r="A14" s="616"/>
      <c r="B14" s="608" t="s">
        <v>615</v>
      </c>
      <c r="C14" s="617" t="s">
        <v>195</v>
      </c>
      <c r="D14" s="607"/>
      <c r="E14" s="608" t="s">
        <v>616</v>
      </c>
      <c r="F14" s="619" t="s">
        <v>655</v>
      </c>
      <c r="G14" s="607"/>
      <c r="H14" s="608" t="s">
        <v>617</v>
      </c>
      <c r="I14" s="617">
        <v>56</v>
      </c>
      <c r="J14" s="607"/>
      <c r="K14" s="607"/>
      <c r="L14" s="608" t="s">
        <v>568</v>
      </c>
      <c r="M14" s="618">
        <v>1780</v>
      </c>
      <c r="N14" s="584"/>
    </row>
    <row r="15" spans="1:14" ht="12.95" customHeight="1">
      <c r="A15" s="616"/>
      <c r="B15" s="608" t="s">
        <v>618</v>
      </c>
      <c r="C15" s="617" t="s">
        <v>194</v>
      </c>
      <c r="D15" s="607"/>
      <c r="E15" s="608" t="s">
        <v>619</v>
      </c>
      <c r="F15" s="620" t="s">
        <v>698</v>
      </c>
      <c r="G15" s="607"/>
      <c r="H15" s="608" t="s">
        <v>620</v>
      </c>
      <c r="I15" s="619" t="s">
        <v>175</v>
      </c>
      <c r="J15" s="607"/>
      <c r="K15" s="607"/>
      <c r="L15" s="608" t="s">
        <v>621</v>
      </c>
      <c r="M15" s="618" t="s">
        <v>366</v>
      </c>
      <c r="N15" s="584"/>
    </row>
    <row r="16" spans="1:14" ht="12.95" customHeight="1">
      <c r="A16" s="616"/>
      <c r="B16" s="608" t="s">
        <v>622</v>
      </c>
      <c r="C16" s="617" t="s">
        <v>696</v>
      </c>
      <c r="D16" s="607"/>
      <c r="E16" s="608" t="s">
        <v>623</v>
      </c>
      <c r="F16" s="621">
        <v>40</v>
      </c>
      <c r="G16" s="607"/>
      <c r="H16" s="622" t="s">
        <v>624</v>
      </c>
      <c r="I16" s="623" t="s">
        <v>366</v>
      </c>
      <c r="J16" s="607"/>
      <c r="K16" s="607"/>
      <c r="L16" s="608" t="s">
        <v>625</v>
      </c>
      <c r="M16" s="618" t="s">
        <v>626</v>
      </c>
      <c r="N16" s="584"/>
    </row>
    <row r="17" spans="1:14" ht="12.95" customHeight="1">
      <c r="A17" s="616"/>
      <c r="B17" s="608" t="s">
        <v>627</v>
      </c>
      <c r="C17" s="609"/>
      <c r="D17" s="607"/>
      <c r="E17" s="608"/>
      <c r="F17" s="619"/>
      <c r="G17" s="607"/>
      <c r="H17" s="608" t="s">
        <v>628</v>
      </c>
      <c r="I17" s="623" t="s">
        <v>175</v>
      </c>
      <c r="J17" s="607"/>
      <c r="K17" s="607"/>
      <c r="L17" s="608"/>
      <c r="M17" s="624"/>
      <c r="N17" s="584"/>
    </row>
    <row r="18" spans="1:14" ht="12.95" customHeight="1" thickBot="1">
      <c r="A18" s="625"/>
      <c r="B18" s="626" t="s">
        <v>629</v>
      </c>
      <c r="C18" s="627">
        <v>94</v>
      </c>
      <c r="D18" s="628"/>
      <c r="E18" s="626" t="s">
        <v>630</v>
      </c>
      <c r="F18" s="627" t="s">
        <v>175</v>
      </c>
      <c r="G18" s="629"/>
      <c r="H18" s="626" t="s">
        <v>631</v>
      </c>
      <c r="I18" s="627">
        <v>91.5</v>
      </c>
      <c r="J18" s="628"/>
      <c r="K18" s="628"/>
      <c r="L18" s="628"/>
      <c r="M18" s="630"/>
      <c r="N18" s="584"/>
    </row>
    <row r="19" spans="1:14" ht="16.5" thickBot="1">
      <c r="A19" s="584"/>
      <c r="B19" s="584"/>
      <c r="C19" s="584"/>
      <c r="D19" s="584"/>
      <c r="E19" s="584"/>
      <c r="F19" s="584"/>
      <c r="G19" s="584"/>
      <c r="H19" s="584"/>
      <c r="I19" s="584"/>
      <c r="J19" s="584"/>
      <c r="K19" s="584"/>
      <c r="L19" s="584"/>
      <c r="M19" s="584"/>
      <c r="N19" s="584"/>
    </row>
    <row r="20" spans="1:14" ht="20.100000000000001" customHeight="1" thickBot="1">
      <c r="A20" s="613"/>
      <c r="B20" s="614"/>
      <c r="C20" s="614"/>
      <c r="D20" s="614"/>
      <c r="E20" s="614"/>
      <c r="F20" s="614"/>
      <c r="G20" s="614"/>
      <c r="H20" s="614"/>
      <c r="I20" s="614"/>
      <c r="J20" s="614"/>
      <c r="K20" s="614"/>
      <c r="L20" s="614"/>
      <c r="M20" s="615"/>
    </row>
    <row r="21" spans="1:14" ht="15.95" customHeight="1" thickTop="1">
      <c r="A21" s="631" t="s">
        <v>632</v>
      </c>
      <c r="B21" s="632"/>
      <c r="C21" s="605"/>
      <c r="D21" s="633"/>
      <c r="E21" s="634" t="s">
        <v>633</v>
      </c>
      <c r="F21" s="635"/>
      <c r="G21" s="635"/>
      <c r="H21" s="636"/>
      <c r="I21" s="637" t="s">
        <v>634</v>
      </c>
      <c r="J21" s="635"/>
      <c r="K21" s="635"/>
      <c r="L21" s="605"/>
      <c r="M21" s="638"/>
    </row>
    <row r="22" spans="1:14" ht="15.95" customHeight="1">
      <c r="A22" s="639"/>
      <c r="B22" s="607"/>
      <c r="C22" s="608" t="s">
        <v>635</v>
      </c>
      <c r="D22" s="640">
        <v>356</v>
      </c>
      <c r="E22" s="608"/>
      <c r="G22" s="622" t="s">
        <v>636</v>
      </c>
      <c r="H22" s="641">
        <v>1328</v>
      </c>
      <c r="I22" s="608"/>
      <c r="J22" s="607"/>
      <c r="K22" s="608" t="s">
        <v>637</v>
      </c>
      <c r="L22" s="607"/>
      <c r="M22" s="624"/>
    </row>
    <row r="23" spans="1:14" ht="15.95" customHeight="1">
      <c r="A23" s="639"/>
      <c r="B23" s="608"/>
      <c r="C23" s="611"/>
      <c r="D23" s="642"/>
      <c r="E23" s="608"/>
      <c r="G23" s="608" t="s">
        <v>638</v>
      </c>
      <c r="H23" s="640">
        <v>115</v>
      </c>
      <c r="I23" s="607"/>
      <c r="J23" s="607"/>
      <c r="K23" s="608" t="s">
        <v>639</v>
      </c>
      <c r="L23" s="607"/>
      <c r="M23" s="624"/>
    </row>
    <row r="24" spans="1:14" ht="15.95" customHeight="1">
      <c r="A24" s="616"/>
      <c r="B24" s="608"/>
      <c r="C24" s="607"/>
      <c r="D24" s="642"/>
      <c r="E24" s="608"/>
      <c r="G24" s="622" t="s">
        <v>640</v>
      </c>
      <c r="H24" s="640">
        <v>250</v>
      </c>
      <c r="I24" s="607"/>
      <c r="J24" s="608"/>
      <c r="K24" s="607"/>
      <c r="L24" s="607"/>
      <c r="M24" s="624"/>
    </row>
    <row r="25" spans="1:14" ht="15.95" customHeight="1" thickBot="1">
      <c r="A25" s="625"/>
      <c r="B25" s="626"/>
      <c r="C25" s="628"/>
      <c r="D25" s="643"/>
      <c r="E25" s="626"/>
      <c r="F25" s="626"/>
      <c r="G25" s="626"/>
      <c r="H25" s="644"/>
      <c r="I25" s="628"/>
      <c r="J25" s="626"/>
      <c r="K25" s="628"/>
      <c r="L25" s="628"/>
      <c r="M25" s="630"/>
    </row>
    <row r="26" spans="1:14" ht="18.95" customHeight="1" thickBot="1">
      <c r="A26" s="603"/>
      <c r="B26" s="603"/>
      <c r="C26" s="603"/>
      <c r="D26" s="584"/>
      <c r="E26" s="584"/>
      <c r="F26" s="584"/>
      <c r="G26" s="584"/>
      <c r="H26" s="584"/>
      <c r="I26" s="584"/>
      <c r="J26" s="584"/>
      <c r="K26" s="584"/>
      <c r="L26" s="584"/>
      <c r="M26" s="584"/>
      <c r="N26" s="584"/>
    </row>
    <row r="27" spans="1:14" ht="20.100000000000001" customHeight="1" thickBot="1">
      <c r="A27" s="645"/>
      <c r="B27" s="646"/>
      <c r="C27" s="646"/>
      <c r="D27" s="646"/>
      <c r="E27" s="646"/>
      <c r="F27" s="646"/>
      <c r="G27" s="647"/>
      <c r="H27" s="646"/>
      <c r="I27" s="646"/>
      <c r="J27" s="646"/>
      <c r="K27" s="646"/>
      <c r="L27" s="646"/>
      <c r="M27" s="648"/>
    </row>
    <row r="28" spans="1:14" ht="15.95" customHeight="1" thickTop="1">
      <c r="A28" s="649" t="s">
        <v>641</v>
      </c>
      <c r="B28" s="632"/>
      <c r="C28" s="605"/>
      <c r="D28" s="605"/>
      <c r="E28" s="635"/>
      <c r="F28" s="635"/>
      <c r="G28" s="650"/>
      <c r="H28" s="634" t="s">
        <v>642</v>
      </c>
      <c r="I28" s="635"/>
      <c r="J28" s="635"/>
      <c r="K28" s="634"/>
      <c r="L28" s="635"/>
      <c r="M28" s="638"/>
    </row>
    <row r="29" spans="1:14" ht="15.95" customHeight="1">
      <c r="A29" s="616"/>
      <c r="B29" s="608"/>
      <c r="C29" s="608" t="s">
        <v>643</v>
      </c>
      <c r="D29" s="651">
        <v>94.3</v>
      </c>
      <c r="E29" s="608"/>
      <c r="F29" s="608"/>
      <c r="G29" s="650"/>
      <c r="H29" s="622"/>
      <c r="I29" s="608"/>
      <c r="J29" s="608" t="s">
        <v>643</v>
      </c>
      <c r="K29" s="651">
        <v>91.8</v>
      </c>
      <c r="L29" s="607"/>
      <c r="M29" s="624"/>
    </row>
    <row r="30" spans="1:14" ht="15.95" customHeight="1">
      <c r="A30" s="652"/>
      <c r="B30" s="607"/>
      <c r="C30" s="608" t="s">
        <v>644</v>
      </c>
      <c r="D30" s="651">
        <v>94.2</v>
      </c>
      <c r="E30" s="608"/>
      <c r="F30" s="608"/>
      <c r="G30" s="650"/>
      <c r="H30" s="608"/>
      <c r="I30" s="607"/>
      <c r="J30" s="608" t="s">
        <v>644</v>
      </c>
      <c r="K30" s="651">
        <v>91.5</v>
      </c>
      <c r="L30" s="607"/>
      <c r="M30" s="624"/>
    </row>
    <row r="31" spans="1:14" ht="15.95" customHeight="1">
      <c r="A31" s="616"/>
      <c r="B31" s="608"/>
      <c r="C31" s="608" t="s">
        <v>645</v>
      </c>
      <c r="D31" s="651">
        <v>93.4</v>
      </c>
      <c r="E31" s="608"/>
      <c r="F31" s="608"/>
      <c r="G31" s="650"/>
      <c r="H31" s="608"/>
      <c r="I31" s="607"/>
      <c r="J31" s="608" t="s">
        <v>645</v>
      </c>
      <c r="K31" s="651">
        <v>88.7</v>
      </c>
      <c r="L31" s="608"/>
      <c r="M31" s="624"/>
    </row>
    <row r="32" spans="1:14" ht="15.95" customHeight="1" thickBot="1">
      <c r="A32" s="625"/>
      <c r="B32" s="626"/>
      <c r="C32" s="628"/>
      <c r="D32" s="628"/>
      <c r="E32" s="626"/>
      <c r="F32" s="626"/>
      <c r="G32" s="653"/>
      <c r="H32" s="626"/>
      <c r="I32" s="628"/>
      <c r="J32" s="626"/>
      <c r="K32" s="628"/>
      <c r="L32" s="626"/>
      <c r="M32" s="630"/>
    </row>
    <row r="33" spans="1:14" ht="20.100000000000001" customHeight="1" thickBot="1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</row>
    <row r="34" spans="1:14" ht="20.100000000000001" customHeight="1" thickBot="1">
      <c r="A34" s="655"/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7"/>
    </row>
    <row r="35" spans="1:14" ht="15.95" customHeight="1" thickTop="1">
      <c r="A35" s="658" t="s">
        <v>646</v>
      </c>
      <c r="B35" s="611"/>
      <c r="C35" s="611"/>
      <c r="D35" s="611"/>
      <c r="E35" s="611"/>
      <c r="F35" s="611"/>
      <c r="G35" s="611"/>
      <c r="H35" s="611"/>
      <c r="I35" s="611"/>
      <c r="J35" s="611"/>
      <c r="K35" s="611"/>
      <c r="L35" s="611"/>
      <c r="M35" s="659"/>
    </row>
    <row r="36" spans="1:14" ht="15.95" customHeight="1">
      <c r="A36" s="652" t="s">
        <v>647</v>
      </c>
      <c r="B36" s="611"/>
      <c r="C36" s="611"/>
      <c r="D36" s="611"/>
      <c r="E36" s="611"/>
      <c r="F36" s="611"/>
      <c r="G36" s="611"/>
      <c r="H36" s="611"/>
      <c r="I36" s="611"/>
      <c r="J36" s="611"/>
      <c r="K36" s="611"/>
      <c r="L36" s="611"/>
      <c r="M36" s="659"/>
    </row>
    <row r="37" spans="1:14" ht="15.95" customHeight="1">
      <c r="A37" s="660" t="s">
        <v>648</v>
      </c>
      <c r="B37" s="611"/>
      <c r="C37" s="611"/>
      <c r="D37" s="611"/>
      <c r="E37" s="661"/>
      <c r="F37" s="611"/>
      <c r="G37" s="611"/>
      <c r="H37" s="611"/>
      <c r="I37" s="611"/>
      <c r="J37" s="611"/>
      <c r="K37" s="611"/>
      <c r="L37" s="611"/>
      <c r="M37" s="659"/>
    </row>
    <row r="38" spans="1:14" ht="15.95" customHeight="1">
      <c r="A38" s="662" t="s">
        <v>649</v>
      </c>
      <c r="B38" s="611"/>
      <c r="C38" s="611"/>
      <c r="D38" s="611"/>
      <c r="E38" s="611"/>
      <c r="F38" s="611"/>
      <c r="G38" s="611"/>
      <c r="H38" s="611"/>
      <c r="I38" s="611"/>
      <c r="J38" s="611"/>
      <c r="K38" s="611"/>
      <c r="L38" s="611"/>
      <c r="M38" s="659"/>
    </row>
    <row r="39" spans="1:14" ht="15.95" customHeight="1">
      <c r="A39" s="663" t="s">
        <v>650</v>
      </c>
      <c r="B39" s="611"/>
      <c r="C39" s="611"/>
      <c r="D39" s="611"/>
      <c r="E39" s="611"/>
      <c r="F39" s="611"/>
      <c r="G39" s="611"/>
      <c r="H39" s="611"/>
      <c r="I39" s="611"/>
      <c r="J39" s="611"/>
      <c r="K39" s="611"/>
      <c r="L39" s="611"/>
      <c r="M39" s="659"/>
    </row>
    <row r="40" spans="1:14" ht="15.95" customHeight="1" thickBot="1">
      <c r="A40" s="664" t="s">
        <v>651</v>
      </c>
      <c r="B40" s="665"/>
      <c r="C40" s="665"/>
      <c r="D40" s="665"/>
      <c r="E40" s="665"/>
      <c r="F40" s="665"/>
      <c r="G40" s="665"/>
      <c r="H40" s="665"/>
      <c r="I40" s="665"/>
      <c r="J40" s="665"/>
      <c r="K40" s="665"/>
      <c r="L40" s="665"/>
      <c r="M40" s="666"/>
    </row>
    <row r="41" spans="1:14" ht="15.95" customHeight="1"/>
    <row r="42" spans="1:14" ht="18">
      <c r="A42" s="667"/>
      <c r="B42" s="667"/>
      <c r="C42" s="667"/>
      <c r="D42" s="667"/>
      <c r="E42" s="667"/>
      <c r="F42" s="667"/>
      <c r="G42" s="667"/>
      <c r="H42" s="584"/>
      <c r="I42" s="584"/>
      <c r="J42" s="668" t="s">
        <v>652</v>
      </c>
      <c r="K42" s="669" t="s">
        <v>353</v>
      </c>
      <c r="L42" s="669"/>
      <c r="M42" s="669"/>
      <c r="N42" s="667"/>
    </row>
    <row r="43" spans="1:14" ht="7.5" customHeight="1">
      <c r="H43" s="584"/>
      <c r="I43" s="584"/>
      <c r="J43" s="584"/>
      <c r="K43" s="584"/>
      <c r="L43" s="584"/>
      <c r="M43" s="584"/>
    </row>
    <row r="44" spans="1:14" ht="16.5">
      <c r="H44" s="584"/>
      <c r="I44" s="584"/>
      <c r="J44" s="668" t="s">
        <v>653</v>
      </c>
      <c r="K44" s="670">
        <v>45707</v>
      </c>
      <c r="L44" s="670"/>
      <c r="M44" s="670"/>
    </row>
    <row r="59" spans="1:5">
      <c r="A59" s="585" t="s">
        <v>175</v>
      </c>
      <c r="B59" s="585" t="s">
        <v>654</v>
      </c>
      <c r="D59" s="585">
        <v>1</v>
      </c>
      <c r="E59" s="671" t="s">
        <v>175</v>
      </c>
    </row>
    <row r="60" spans="1:5">
      <c r="A60" s="585" t="s">
        <v>655</v>
      </c>
      <c r="B60" s="585" t="s">
        <v>656</v>
      </c>
      <c r="D60" s="585">
        <v>1.1499999999999999</v>
      </c>
      <c r="E60" s="671" t="s">
        <v>184</v>
      </c>
    </row>
    <row r="61" spans="1:5">
      <c r="A61" s="585" t="s">
        <v>657</v>
      </c>
      <c r="B61" s="585" t="s">
        <v>658</v>
      </c>
      <c r="E61" s="671" t="s">
        <v>659</v>
      </c>
    </row>
    <row r="62" spans="1:5">
      <c r="B62" s="585" t="s">
        <v>660</v>
      </c>
    </row>
    <row r="63" spans="1:5">
      <c r="B63" s="585" t="s">
        <v>661</v>
      </c>
    </row>
    <row r="64" spans="1:5">
      <c r="B64" s="585" t="s">
        <v>662</v>
      </c>
    </row>
    <row r="65" spans="2:2">
      <c r="B65" s="585" t="s">
        <v>663</v>
      </c>
    </row>
    <row r="66" spans="2:2">
      <c r="B66" s="585" t="s">
        <v>664</v>
      </c>
    </row>
    <row r="67" spans="2:2">
      <c r="B67" s="585" t="s">
        <v>665</v>
      </c>
    </row>
    <row r="68" spans="2:2">
      <c r="B68" s="585" t="s">
        <v>666</v>
      </c>
    </row>
    <row r="69" spans="2:2">
      <c r="B69" s="585" t="s">
        <v>667</v>
      </c>
    </row>
    <row r="70" spans="2:2">
      <c r="B70" s="585" t="s">
        <v>668</v>
      </c>
    </row>
    <row r="71" spans="2:2">
      <c r="B71" s="585" t="s">
        <v>669</v>
      </c>
    </row>
    <row r="72" spans="2:2">
      <c r="B72" s="585" t="s">
        <v>670</v>
      </c>
    </row>
    <row r="73" spans="2:2">
      <c r="B73" s="585" t="s">
        <v>671</v>
      </c>
    </row>
    <row r="74" spans="2:2">
      <c r="B74" s="585" t="s">
        <v>672</v>
      </c>
    </row>
    <row r="75" spans="2:2">
      <c r="B75" s="585" t="s">
        <v>673</v>
      </c>
    </row>
    <row r="76" spans="2:2">
      <c r="B76" s="585" t="s">
        <v>674</v>
      </c>
    </row>
    <row r="77" spans="2:2">
      <c r="B77" s="585" t="s">
        <v>675</v>
      </c>
    </row>
    <row r="78" spans="2:2">
      <c r="B78" s="585" t="s">
        <v>676</v>
      </c>
    </row>
    <row r="79" spans="2:2">
      <c r="B79" s="585" t="s">
        <v>677</v>
      </c>
    </row>
    <row r="80" spans="2:2">
      <c r="B80" s="585">
        <v>6312</v>
      </c>
    </row>
    <row r="81" spans="2:2">
      <c r="B81" s="585" t="s">
        <v>678</v>
      </c>
    </row>
    <row r="82" spans="2:2">
      <c r="B82" s="585" t="s">
        <v>679</v>
      </c>
    </row>
    <row r="83" spans="2:2">
      <c r="B83" s="585" t="s">
        <v>680</v>
      </c>
    </row>
    <row r="84" spans="2:2">
      <c r="B84" s="585" t="s">
        <v>681</v>
      </c>
    </row>
    <row r="85" spans="2:2">
      <c r="B85" s="585">
        <v>6313</v>
      </c>
    </row>
    <row r="86" spans="2:2">
      <c r="B86" s="585" t="s">
        <v>682</v>
      </c>
    </row>
    <row r="87" spans="2:2">
      <c r="B87" s="585" t="s">
        <v>683</v>
      </c>
    </row>
    <row r="88" spans="2:2">
      <c r="B88" s="585" t="s">
        <v>684</v>
      </c>
    </row>
    <row r="89" spans="2:2">
      <c r="B89" s="585">
        <v>6314</v>
      </c>
    </row>
    <row r="90" spans="2:2">
      <c r="B90" s="585" t="s">
        <v>685</v>
      </c>
    </row>
    <row r="91" spans="2:2">
      <c r="B91" s="585">
        <v>6317</v>
      </c>
    </row>
    <row r="92" spans="2:2">
      <c r="B92" s="585" t="s">
        <v>686</v>
      </c>
    </row>
    <row r="93" spans="2:2">
      <c r="B93" s="585">
        <v>6318</v>
      </c>
    </row>
    <row r="94" spans="2:2">
      <c r="B94" s="585" t="s">
        <v>687</v>
      </c>
    </row>
    <row r="95" spans="2:2">
      <c r="B95" s="585" t="s">
        <v>688</v>
      </c>
    </row>
    <row r="96" spans="2:2">
      <c r="B96" s="585" t="s">
        <v>689</v>
      </c>
    </row>
    <row r="97" spans="2:2">
      <c r="B97" s="585">
        <v>6320</v>
      </c>
    </row>
    <row r="98" spans="2:2">
      <c r="B98" s="585" t="s">
        <v>690</v>
      </c>
    </row>
    <row r="99" spans="2:2">
      <c r="B99" s="585" t="s">
        <v>691</v>
      </c>
    </row>
    <row r="100" spans="2:2">
      <c r="B100" s="585" t="s">
        <v>692</v>
      </c>
    </row>
    <row r="101" spans="2:2">
      <c r="B101" s="585" t="s">
        <v>693</v>
      </c>
    </row>
    <row r="102" spans="2:2">
      <c r="B102" s="585" t="s">
        <v>693</v>
      </c>
    </row>
    <row r="118" spans="2:2">
      <c r="B118" s="585" t="s">
        <v>694</v>
      </c>
    </row>
    <row r="120" spans="2:2">
      <c r="B120" s="585" t="s">
        <v>695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6D9C-0EA0-4CB3-96B2-855FEA91727F}">
  <sheetPr>
    <pageSetUpPr fitToPage="1"/>
  </sheetPr>
  <dimension ref="A1:L67"/>
  <sheetViews>
    <sheetView topLeftCell="A6" workbookViewId="0">
      <selection activeCell="H17" sqref="H17"/>
    </sheetView>
  </sheetViews>
  <sheetFormatPr defaultRowHeight="12.75"/>
  <cols>
    <col min="1" max="6" width="16.7109375" style="498" customWidth="1"/>
    <col min="7" max="16384" width="9.140625" style="498"/>
  </cols>
  <sheetData>
    <row r="1" spans="1:6" ht="18.95" customHeight="1">
      <c r="A1" s="521"/>
      <c r="B1" s="522"/>
      <c r="C1" s="522"/>
      <c r="D1" s="522"/>
      <c r="E1" s="522"/>
      <c r="F1" s="523"/>
    </row>
    <row r="2" spans="1:6" ht="26.1" customHeight="1">
      <c r="A2" s="524" t="s">
        <v>270</v>
      </c>
      <c r="B2" s="525"/>
      <c r="C2" s="525"/>
      <c r="D2" s="525"/>
      <c r="E2" s="525"/>
      <c r="F2" s="526"/>
    </row>
    <row r="3" spans="1:6" ht="18.95" customHeight="1">
      <c r="A3" s="557" t="s">
        <v>583</v>
      </c>
      <c r="B3" s="525"/>
      <c r="C3" s="525"/>
      <c r="D3" s="525"/>
      <c r="E3" s="525"/>
      <c r="F3" s="526"/>
    </row>
    <row r="4" spans="1:6" ht="18.95" customHeight="1">
      <c r="A4" s="533"/>
      <c r="B4" s="534"/>
      <c r="C4" s="534"/>
      <c r="D4" s="534"/>
      <c r="E4" s="534"/>
      <c r="F4" s="535"/>
    </row>
    <row r="5" spans="1:6" ht="18.95" customHeight="1">
      <c r="A5" s="533"/>
      <c r="B5" s="534"/>
      <c r="C5" s="534"/>
      <c r="D5" s="534"/>
      <c r="E5" s="534"/>
      <c r="F5" s="535"/>
    </row>
    <row r="6" spans="1:6" ht="18.95" customHeight="1">
      <c r="A6" s="536" t="s">
        <v>557</v>
      </c>
      <c r="B6" s="537">
        <f>'Performance Data Sheet'!C17</f>
        <v>0</v>
      </c>
      <c r="C6" s="538"/>
      <c r="D6" s="539"/>
      <c r="E6" s="536" t="s">
        <v>558</v>
      </c>
      <c r="F6" s="540" t="str">
        <f>'Performance Data Sheet'!I14 &amp; " A"</f>
        <v>56 A</v>
      </c>
    </row>
    <row r="7" spans="1:6" ht="18.95" customHeight="1">
      <c r="A7" s="536" t="s">
        <v>559</v>
      </c>
      <c r="B7" s="540" t="str">
        <f>'Performance Data Sheet'!F14</f>
        <v>TEFC</v>
      </c>
      <c r="C7" s="536" t="s">
        <v>560</v>
      </c>
      <c r="D7" s="540" t="str">
        <f>'Performance Data Sheet'!F13 &amp; " V"</f>
        <v>4000 V</v>
      </c>
      <c r="E7" s="536" t="s">
        <v>561</v>
      </c>
      <c r="F7" s="540" t="str">
        <f>'Performance Data Sheet'!C14</f>
        <v>5011US</v>
      </c>
    </row>
    <row r="8" spans="1:6" ht="18.95" customHeight="1">
      <c r="A8" s="536" t="s">
        <v>562</v>
      </c>
      <c r="B8" s="540">
        <v>4</v>
      </c>
      <c r="C8" s="536" t="s">
        <v>563</v>
      </c>
      <c r="D8" s="540" t="s">
        <v>564</v>
      </c>
      <c r="E8" s="536" t="s">
        <v>565</v>
      </c>
      <c r="F8" s="540" t="s">
        <v>366</v>
      </c>
    </row>
    <row r="9" spans="1:6" ht="18.95" customHeight="1">
      <c r="A9" s="536" t="s">
        <v>566</v>
      </c>
      <c r="B9" s="540">
        <v>450</v>
      </c>
      <c r="C9" s="536" t="s">
        <v>567</v>
      </c>
      <c r="D9" s="540" t="s">
        <v>577</v>
      </c>
      <c r="E9" s="536" t="s">
        <v>2</v>
      </c>
      <c r="F9" s="541">
        <f>'Performance Data Sheet'!K44</f>
        <v>45707</v>
      </c>
    </row>
    <row r="10" spans="1:6" ht="18.95" customHeight="1">
      <c r="A10" s="536" t="s">
        <v>568</v>
      </c>
      <c r="B10" s="540">
        <v>1780</v>
      </c>
      <c r="C10" s="536" t="s">
        <v>402</v>
      </c>
      <c r="D10" s="540" t="s">
        <v>578</v>
      </c>
      <c r="E10" s="536" t="s">
        <v>1</v>
      </c>
      <c r="F10" s="540" t="s">
        <v>382</v>
      </c>
    </row>
    <row r="11" spans="1:6" ht="18.95" customHeight="1">
      <c r="A11" s="533"/>
      <c r="B11" s="534"/>
      <c r="C11" s="534"/>
      <c r="D11" s="534"/>
      <c r="E11" s="534"/>
      <c r="F11" s="535"/>
    </row>
    <row r="12" spans="1:6" ht="18.95" customHeight="1">
      <c r="A12" s="533"/>
      <c r="B12" s="542" t="s">
        <v>584</v>
      </c>
      <c r="C12" s="543" t="str">
        <f>'Performance Data Sheet'!D22 &amp; " A"</f>
        <v>356 A</v>
      </c>
      <c r="D12" s="542" t="s">
        <v>401</v>
      </c>
      <c r="E12" s="543" t="s">
        <v>405</v>
      </c>
      <c r="F12" s="535"/>
    </row>
    <row r="13" spans="1:6" ht="18.95" customHeight="1">
      <c r="A13" s="533"/>
      <c r="B13" s="542" t="s">
        <v>585</v>
      </c>
      <c r="C13" s="544">
        <v>1.1499999999999999</v>
      </c>
      <c r="D13" s="542" t="s">
        <v>586</v>
      </c>
      <c r="E13" s="543" t="s">
        <v>588</v>
      </c>
      <c r="F13" s="535"/>
    </row>
    <row r="14" spans="1:6" ht="18.95" customHeight="1">
      <c r="A14" s="533"/>
      <c r="B14" s="542" t="s">
        <v>587</v>
      </c>
      <c r="C14" s="544">
        <v>2.5</v>
      </c>
      <c r="D14" s="542" t="s">
        <v>403</v>
      </c>
      <c r="E14" s="543" t="s">
        <v>774</v>
      </c>
      <c r="F14" s="535"/>
    </row>
    <row r="15" spans="1:6" ht="18.95" customHeight="1">
      <c r="A15" s="533"/>
      <c r="B15" s="542" t="s">
        <v>404</v>
      </c>
      <c r="C15" s="543" t="s">
        <v>589</v>
      </c>
      <c r="D15" s="534"/>
      <c r="E15" s="534"/>
      <c r="F15" s="535"/>
    </row>
    <row r="16" spans="1:6" ht="18.95" customHeight="1">
      <c r="A16" s="533"/>
      <c r="B16" s="534"/>
      <c r="C16" s="534"/>
      <c r="D16" s="534"/>
      <c r="E16" s="534"/>
      <c r="F16" s="535"/>
    </row>
    <row r="17" spans="1:6" ht="18.95" customHeight="1">
      <c r="A17" s="533"/>
      <c r="B17" s="534"/>
      <c r="C17" s="534"/>
      <c r="D17" s="534"/>
      <c r="E17" s="534"/>
      <c r="F17" s="535"/>
    </row>
    <row r="18" spans="1:6" ht="18.95" customHeight="1">
      <c r="A18" s="533"/>
      <c r="B18" s="534"/>
      <c r="C18" s="534"/>
      <c r="D18" s="534"/>
      <c r="E18" s="534"/>
      <c r="F18" s="535"/>
    </row>
    <row r="19" spans="1:6" ht="18.95" customHeight="1">
      <c r="A19" s="533"/>
      <c r="B19" s="534"/>
      <c r="C19" s="534"/>
      <c r="D19" s="534"/>
      <c r="E19" s="534"/>
      <c r="F19" s="535"/>
    </row>
    <row r="20" spans="1:6" ht="18.95" customHeight="1">
      <c r="A20" s="533"/>
      <c r="B20" s="534"/>
      <c r="C20" s="534"/>
      <c r="D20" s="534"/>
      <c r="E20" s="534"/>
      <c r="F20" s="535"/>
    </row>
    <row r="21" spans="1:6" ht="18.95" customHeight="1">
      <c r="A21" s="533"/>
      <c r="B21" s="534"/>
      <c r="C21" s="534"/>
      <c r="D21" s="534"/>
      <c r="E21" s="534"/>
      <c r="F21" s="535"/>
    </row>
    <row r="22" spans="1:6" ht="18.95" customHeight="1">
      <c r="A22" s="533"/>
      <c r="B22" s="534"/>
      <c r="C22" s="534"/>
      <c r="D22" s="534"/>
      <c r="E22" s="534"/>
      <c r="F22" s="535"/>
    </row>
    <row r="23" spans="1:6" ht="18.95" customHeight="1">
      <c r="A23" s="533"/>
      <c r="B23" s="534"/>
      <c r="C23" s="534"/>
      <c r="D23" s="534"/>
      <c r="E23" s="534"/>
      <c r="F23" s="535"/>
    </row>
    <row r="24" spans="1:6" ht="18.95" customHeight="1">
      <c r="A24" s="533"/>
      <c r="B24" s="534"/>
      <c r="C24" s="534"/>
      <c r="D24" s="534"/>
      <c r="E24" s="534"/>
      <c r="F24" s="535"/>
    </row>
    <row r="25" spans="1:6" ht="18.95" customHeight="1">
      <c r="A25" s="533"/>
      <c r="B25" s="534"/>
      <c r="C25" s="534"/>
      <c r="D25" s="534"/>
      <c r="E25" s="534"/>
      <c r="F25" s="535"/>
    </row>
    <row r="26" spans="1:6" ht="18.95" customHeight="1">
      <c r="A26" s="533"/>
      <c r="B26" s="534"/>
      <c r="C26" s="534"/>
      <c r="D26" s="534"/>
      <c r="E26" s="534"/>
      <c r="F26" s="535"/>
    </row>
    <row r="27" spans="1:6" ht="18.95" customHeight="1">
      <c r="A27" s="533"/>
      <c r="B27" s="534"/>
      <c r="C27" s="534"/>
      <c r="D27" s="534"/>
      <c r="E27" s="534"/>
      <c r="F27" s="535"/>
    </row>
    <row r="28" spans="1:6" ht="18.95" customHeight="1">
      <c r="A28" s="533"/>
      <c r="B28" s="534"/>
      <c r="C28" s="534"/>
      <c r="D28" s="534"/>
      <c r="E28" s="534"/>
      <c r="F28" s="535"/>
    </row>
    <row r="29" spans="1:6" ht="18.95" customHeight="1">
      <c r="A29" s="533"/>
      <c r="B29" s="534"/>
      <c r="C29" s="534"/>
      <c r="D29" s="534"/>
      <c r="E29" s="534"/>
      <c r="F29" s="535"/>
    </row>
    <row r="30" spans="1:6" ht="18.95" customHeight="1">
      <c r="A30" s="533"/>
      <c r="B30" s="534"/>
      <c r="C30" s="534"/>
      <c r="D30" s="534"/>
      <c r="E30" s="534"/>
      <c r="F30" s="535"/>
    </row>
    <row r="31" spans="1:6" ht="18.95" customHeight="1">
      <c r="A31" s="533"/>
      <c r="B31" s="534"/>
      <c r="C31" s="534"/>
      <c r="D31" s="534"/>
      <c r="E31" s="534"/>
      <c r="F31" s="535"/>
    </row>
    <row r="32" spans="1:6" ht="18.95" customHeight="1">
      <c r="A32" s="533"/>
      <c r="B32" s="534"/>
      <c r="C32" s="534"/>
      <c r="D32" s="534"/>
      <c r="E32" s="534"/>
      <c r="F32" s="535"/>
    </row>
    <row r="33" spans="1:6" ht="18.95" customHeight="1">
      <c r="A33" s="533"/>
      <c r="B33" s="534"/>
      <c r="C33" s="534"/>
      <c r="D33" s="534"/>
      <c r="E33" s="534"/>
      <c r="F33" s="535"/>
    </row>
    <row r="34" spans="1:6" ht="18.95" customHeight="1">
      <c r="A34" s="533"/>
      <c r="B34" s="534"/>
      <c r="C34" s="534"/>
      <c r="D34" s="534"/>
      <c r="E34" s="534"/>
      <c r="F34" s="535"/>
    </row>
    <row r="35" spans="1:6" ht="18.95" customHeight="1">
      <c r="A35" s="533"/>
      <c r="B35" s="534"/>
      <c r="C35" s="534"/>
      <c r="D35" s="534"/>
      <c r="E35" s="534"/>
      <c r="F35" s="535"/>
    </row>
    <row r="36" spans="1:6" ht="18.95" customHeight="1">
      <c r="A36" s="533"/>
      <c r="B36" s="534"/>
      <c r="C36" s="534"/>
      <c r="D36" s="534"/>
      <c r="E36" s="534"/>
      <c r="F36" s="535"/>
    </row>
    <row r="37" spans="1:6" ht="18.95" customHeight="1">
      <c r="A37" s="533"/>
      <c r="B37" s="534"/>
      <c r="C37" s="534"/>
      <c r="D37" s="534"/>
      <c r="E37" s="534"/>
      <c r="F37" s="535"/>
    </row>
    <row r="38" spans="1:6" ht="18.95" customHeight="1">
      <c r="A38" s="533"/>
      <c r="B38" s="534"/>
      <c r="C38" s="534"/>
      <c r="D38" s="534"/>
      <c r="E38" s="534"/>
      <c r="F38" s="535"/>
    </row>
    <row r="39" spans="1:6" ht="18.95" customHeight="1">
      <c r="A39" s="545" t="s">
        <v>569</v>
      </c>
      <c r="B39" s="546" t="s">
        <v>373</v>
      </c>
      <c r="C39" s="889">
        <f>'Performance Data Sheet'!C10</f>
        <v>0</v>
      </c>
      <c r="D39" s="534"/>
      <c r="E39" s="542" t="s">
        <v>570</v>
      </c>
      <c r="F39" s="547" t="str">
        <f>F10</f>
        <v>CS4450</v>
      </c>
    </row>
    <row r="40" spans="1:6" ht="18.95" customHeight="1">
      <c r="A40" s="533"/>
      <c r="B40" s="546"/>
      <c r="C40" s="546"/>
      <c r="D40" s="534"/>
      <c r="E40" s="534"/>
      <c r="F40" s="535"/>
    </row>
    <row r="41" spans="1:6" ht="18.95" customHeight="1">
      <c r="A41" s="533"/>
      <c r="B41" s="546"/>
      <c r="C41" s="546"/>
      <c r="D41" s="534"/>
      <c r="E41" s="534"/>
      <c r="F41" s="535"/>
    </row>
    <row r="42" spans="1:6" ht="18.95" customHeight="1">
      <c r="A42" s="533"/>
      <c r="B42" s="534"/>
      <c r="C42" s="534"/>
      <c r="D42" s="534"/>
      <c r="E42" s="534"/>
      <c r="F42" s="535"/>
    </row>
    <row r="43" spans="1:6" ht="18.95" customHeight="1">
      <c r="A43" s="548"/>
      <c r="B43" s="546"/>
      <c r="C43" s="549" t="s">
        <v>571</v>
      </c>
      <c r="D43" s="550" t="str">
        <f>'Performance Data Sheet'!K42</f>
        <v>Jerry R</v>
      </c>
      <c r="E43" s="549" t="s">
        <v>572</v>
      </c>
      <c r="F43" s="55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485" t="s">
        <v>400</v>
      </c>
      <c r="E53" s="485" t="s">
        <v>579</v>
      </c>
      <c r="F53" s="485" t="s">
        <v>580</v>
      </c>
      <c r="G53" s="485"/>
      <c r="H53" s="485"/>
      <c r="I53" s="485"/>
      <c r="J53" s="485"/>
      <c r="K53" s="485"/>
      <c r="L53" s="485"/>
    </row>
    <row r="54" spans="1:12" ht="15" customHeight="1">
      <c r="A54" s="561">
        <v>100</v>
      </c>
      <c r="B54" s="484">
        <v>0</v>
      </c>
      <c r="C54" s="484">
        <v>0.1821456253528595</v>
      </c>
      <c r="D54" s="485">
        <v>100</v>
      </c>
      <c r="E54" s="485">
        <v>0</v>
      </c>
      <c r="F54" s="485">
        <v>8.1601247787475586</v>
      </c>
      <c r="G54" s="485"/>
      <c r="H54" s="485"/>
      <c r="I54" s="485"/>
      <c r="J54" s="485"/>
      <c r="K54" s="485"/>
      <c r="L54" s="485"/>
    </row>
    <row r="55" spans="1:12" ht="15" customHeight="1">
      <c r="A55" s="561">
        <v>99.200000055134296</v>
      </c>
      <c r="B55" s="484">
        <v>97.323438371703332</v>
      </c>
      <c r="C55" s="484">
        <v>112.65149688720703</v>
      </c>
      <c r="D55" s="485">
        <v>98.400001525878906</v>
      </c>
      <c r="E55" s="485">
        <v>62.287003809422323</v>
      </c>
      <c r="F55" s="485">
        <v>90.121200561523438</v>
      </c>
      <c r="G55" s="485"/>
      <c r="H55" s="485"/>
      <c r="I55" s="485"/>
      <c r="J55" s="485"/>
      <c r="K55" s="485"/>
      <c r="L55" s="485"/>
    </row>
    <row r="56" spans="1:12" ht="15" customHeight="1">
      <c r="A56" s="561">
        <v>96.000000089406967</v>
      </c>
      <c r="B56" s="484">
        <v>250</v>
      </c>
      <c r="C56" s="484">
        <v>390.02215576171875</v>
      </c>
      <c r="D56" s="485">
        <v>89.75</v>
      </c>
      <c r="E56" s="485">
        <v>160.00000476837161</v>
      </c>
      <c r="F56" s="485">
        <v>312.01773071289063</v>
      </c>
      <c r="G56" s="485"/>
      <c r="H56" s="485"/>
      <c r="I56" s="485"/>
      <c r="J56" s="485"/>
      <c r="K56" s="485"/>
      <c r="L56" s="485"/>
    </row>
    <row r="57" spans="1:12">
      <c r="A57" s="561">
        <v>90.857142955064774</v>
      </c>
      <c r="B57" s="484">
        <v>190.20345539789906</v>
      </c>
      <c r="C57" s="484">
        <v>497.94375610351563</v>
      </c>
      <c r="D57" s="485">
        <v>76.228569030761719</v>
      </c>
      <c r="E57" s="485">
        <v>121.73021847159313</v>
      </c>
      <c r="F57" s="485">
        <v>398.35501098632813</v>
      </c>
      <c r="G57" s="485"/>
      <c r="H57" s="485"/>
      <c r="I57" s="485"/>
      <c r="J57" s="485"/>
      <c r="K57" s="485"/>
      <c r="L57" s="485"/>
    </row>
    <row r="58" spans="1:12">
      <c r="A58" s="561">
        <v>85.71428507566452</v>
      </c>
      <c r="B58" s="484">
        <v>149.15354177461541</v>
      </c>
      <c r="C58" s="484">
        <v>533.81915283203125</v>
      </c>
      <c r="D58" s="485">
        <v>62.857139587402344</v>
      </c>
      <c r="E58" s="485">
        <v>95.4582743292532</v>
      </c>
      <c r="F58" s="485">
        <v>427.05532836914063</v>
      </c>
      <c r="G58" s="485"/>
      <c r="H58" s="485"/>
      <c r="I58" s="485"/>
      <c r="J58" s="485"/>
      <c r="K58" s="485"/>
      <c r="L58" s="485"/>
    </row>
    <row r="59" spans="1:12">
      <c r="A59" s="561">
        <v>80.571427941322327</v>
      </c>
      <c r="B59" s="484">
        <v>130.4296564265012</v>
      </c>
      <c r="C59" s="484">
        <v>551.29949951171875</v>
      </c>
      <c r="D59" s="485">
        <v>51.25714111328125</v>
      </c>
      <c r="E59" s="485">
        <v>83.474982956498295</v>
      </c>
      <c r="F59" s="485">
        <v>441.03961181640625</v>
      </c>
      <c r="G59" s="485"/>
      <c r="H59" s="485"/>
      <c r="I59" s="485"/>
      <c r="J59" s="485"/>
      <c r="K59" s="485"/>
      <c r="L59" s="485"/>
    </row>
    <row r="60" spans="1:12">
      <c r="A60" s="561">
        <v>70.285713672637939</v>
      </c>
      <c r="B60" s="484">
        <v>118.82093845296841</v>
      </c>
      <c r="C60" s="484">
        <v>571.4322509765625</v>
      </c>
      <c r="D60" s="485">
        <v>33.485713958740234</v>
      </c>
      <c r="E60" s="485">
        <v>76.04540265695455</v>
      </c>
      <c r="F60" s="485">
        <v>457.14581298828125</v>
      </c>
      <c r="G60" s="485"/>
      <c r="H60" s="485"/>
      <c r="I60" s="485"/>
      <c r="J60" s="485"/>
      <c r="K60" s="485"/>
      <c r="L60" s="485"/>
    </row>
    <row r="61" spans="1:12">
      <c r="A61" s="561">
        <v>59.999999403953552</v>
      </c>
      <c r="B61" s="484">
        <v>115</v>
      </c>
      <c r="C61" s="484">
        <v>585.791259765625</v>
      </c>
      <c r="D61" s="485">
        <v>22</v>
      </c>
      <c r="E61" s="485">
        <v>73.600002193450948</v>
      </c>
      <c r="F61" s="485">
        <v>468.63302612304688</v>
      </c>
      <c r="G61" s="485"/>
      <c r="H61" s="485"/>
      <c r="I61" s="485"/>
      <c r="J61" s="485"/>
      <c r="K61" s="485"/>
      <c r="L61" s="485"/>
    </row>
    <row r="62" spans="1:12">
      <c r="A62" s="561">
        <v>50</v>
      </c>
      <c r="B62" s="484">
        <v>115.0000182483185</v>
      </c>
      <c r="C62" s="484">
        <v>597.712890625</v>
      </c>
      <c r="D62" s="485">
        <v>14</v>
      </c>
      <c r="E62" s="485">
        <v>73.600011959076241</v>
      </c>
      <c r="F62" s="485">
        <v>478.17031860351563</v>
      </c>
      <c r="G62" s="485"/>
      <c r="H62" s="485"/>
      <c r="I62" s="485"/>
      <c r="J62" s="485"/>
      <c r="K62" s="485"/>
      <c r="L62" s="485"/>
    </row>
    <row r="63" spans="1:12">
      <c r="A63" s="561">
        <v>39.999997615814209</v>
      </c>
      <c r="B63" s="484">
        <v>115.00004525397601</v>
      </c>
      <c r="C63" s="484">
        <v>608.00775146484375</v>
      </c>
      <c r="D63" s="485">
        <v>7.9999995231628418</v>
      </c>
      <c r="E63" s="485">
        <v>73.600031490326813</v>
      </c>
      <c r="F63" s="485">
        <v>486.40621948242188</v>
      </c>
      <c r="G63" s="485"/>
      <c r="H63" s="485"/>
      <c r="I63" s="485"/>
      <c r="J63" s="485"/>
      <c r="K63" s="485"/>
      <c r="L63" s="485"/>
    </row>
    <row r="64" spans="1:12">
      <c r="A64" s="561">
        <v>30.000001192092896</v>
      </c>
      <c r="B64" s="484">
        <v>115.00218325571205</v>
      </c>
      <c r="C64" s="484">
        <v>616.74298095703125</v>
      </c>
      <c r="D64" s="485">
        <v>5.9999995231628418</v>
      </c>
      <c r="E64" s="485">
        <v>73.601398677867564</v>
      </c>
      <c r="F64" s="485">
        <v>493.39437866210938</v>
      </c>
      <c r="G64" s="485"/>
      <c r="H64" s="485"/>
      <c r="I64" s="485"/>
      <c r="J64" s="485"/>
      <c r="K64" s="485"/>
      <c r="L64" s="485"/>
    </row>
    <row r="65" spans="1:12">
      <c r="A65" s="561">
        <v>19.999998807907104</v>
      </c>
      <c r="B65" s="484">
        <v>115.00301107928379</v>
      </c>
      <c r="C65" s="484">
        <v>624.08251953125</v>
      </c>
      <c r="D65" s="485">
        <v>8.0000009536743164</v>
      </c>
      <c r="E65" s="485">
        <v>73.601930904445922</v>
      </c>
      <c r="F65" s="485">
        <v>499.26602172851563</v>
      </c>
      <c r="G65" s="485"/>
      <c r="H65" s="485"/>
      <c r="I65" s="485"/>
      <c r="J65" s="485"/>
      <c r="K65" s="485"/>
      <c r="L65" s="485"/>
    </row>
    <row r="66" spans="1:12">
      <c r="A66" s="561">
        <v>10.000002384185791</v>
      </c>
      <c r="B66" s="484">
        <v>115.00421547297283</v>
      </c>
      <c r="C66" s="484">
        <v>630.343017578125</v>
      </c>
      <c r="D66" s="485">
        <v>14.999996185302734</v>
      </c>
      <c r="E66" s="485">
        <v>73.602702388843923</v>
      </c>
      <c r="F66" s="485">
        <v>504.2744140625</v>
      </c>
      <c r="G66" s="485"/>
      <c r="H66" s="485"/>
      <c r="I66" s="485"/>
      <c r="J66" s="485"/>
      <c r="K66" s="485"/>
      <c r="L66" s="485"/>
    </row>
    <row r="67" spans="1:12">
      <c r="A67" s="562">
        <v>0</v>
      </c>
      <c r="B67" s="484">
        <v>115</v>
      </c>
      <c r="C67" s="484">
        <v>635.71429443359375</v>
      </c>
      <c r="D67" s="485">
        <v>30</v>
      </c>
      <c r="E67" s="485">
        <v>73.600002193450948</v>
      </c>
      <c r="F67" s="485">
        <v>508.57144165039063</v>
      </c>
      <c r="G67" s="485"/>
      <c r="H67" s="485"/>
      <c r="I67" s="485"/>
      <c r="J67" s="485"/>
      <c r="K67" s="485"/>
      <c r="L67" s="485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10AD-5207-4EFC-B04E-12076782FDB7}">
  <sheetPr>
    <pageSetUpPr fitToPage="1"/>
  </sheetPr>
  <dimension ref="A1:I81"/>
  <sheetViews>
    <sheetView topLeftCell="A38" workbookViewId="0">
      <selection activeCell="J34" sqref="J34"/>
    </sheetView>
  </sheetViews>
  <sheetFormatPr defaultRowHeight="12.75"/>
  <cols>
    <col min="1" max="6" width="16.7109375" style="498" customWidth="1"/>
    <col min="7" max="16384" width="9.140625" style="498"/>
  </cols>
  <sheetData>
    <row r="1" spans="1:6" ht="18.95" customHeight="1">
      <c r="A1" s="521"/>
      <c r="B1" s="522"/>
      <c r="C1" s="522"/>
      <c r="D1" s="522"/>
      <c r="E1" s="522"/>
      <c r="F1" s="523"/>
    </row>
    <row r="2" spans="1:6" ht="26.1" customHeight="1">
      <c r="A2" s="524" t="s">
        <v>270</v>
      </c>
      <c r="B2" s="525"/>
      <c r="C2" s="525"/>
      <c r="D2" s="525"/>
      <c r="E2" s="525"/>
      <c r="F2" s="526"/>
    </row>
    <row r="3" spans="1:6" ht="18.95" customHeight="1">
      <c r="A3" s="527" t="s">
        <v>555</v>
      </c>
      <c r="B3" s="528"/>
      <c r="C3" s="528"/>
      <c r="D3" s="528"/>
      <c r="E3" s="528"/>
      <c r="F3" s="529"/>
    </row>
    <row r="4" spans="1:6" ht="18.95" customHeight="1">
      <c r="A4" s="530" t="s">
        <v>556</v>
      </c>
      <c r="B4" s="531"/>
      <c r="C4" s="531"/>
      <c r="D4" s="531"/>
      <c r="E4" s="531"/>
      <c r="F4" s="532"/>
    </row>
    <row r="5" spans="1:6" ht="18.95" customHeight="1">
      <c r="A5" s="533"/>
      <c r="B5" s="534"/>
      <c r="C5" s="534"/>
      <c r="D5" s="534"/>
      <c r="E5" s="534"/>
      <c r="F5" s="535"/>
    </row>
    <row r="6" spans="1:6" ht="18.95" customHeight="1">
      <c r="A6" s="536" t="s">
        <v>557</v>
      </c>
      <c r="B6" s="537">
        <f>'Performance Data Sheet'!C17</f>
        <v>0</v>
      </c>
      <c r="C6" s="538"/>
      <c r="D6" s="539"/>
      <c r="E6" s="536" t="s">
        <v>558</v>
      </c>
      <c r="F6" s="540" t="str">
        <f>'Performance Data Sheet'!I14 &amp; " A"</f>
        <v>56 A</v>
      </c>
    </row>
    <row r="7" spans="1:6" ht="18.95" customHeight="1">
      <c r="A7" s="536" t="s">
        <v>559</v>
      </c>
      <c r="B7" s="540" t="str">
        <f>'Performance Data Sheet'!F14</f>
        <v>TEFC</v>
      </c>
      <c r="C7" s="536" t="s">
        <v>560</v>
      </c>
      <c r="D7" s="540" t="str">
        <f>'Performance Data Sheet'!F13 &amp; " V"</f>
        <v>4000 V</v>
      </c>
      <c r="E7" s="536" t="s">
        <v>561</v>
      </c>
      <c r="F7" s="540" t="str">
        <f>'Performance Data Sheet'!C14</f>
        <v>5011US</v>
      </c>
    </row>
    <row r="8" spans="1:6" ht="18.95" customHeight="1">
      <c r="A8" s="536" t="s">
        <v>562</v>
      </c>
      <c r="B8" s="540">
        <v>4</v>
      </c>
      <c r="C8" s="536" t="s">
        <v>563</v>
      </c>
      <c r="D8" s="540" t="s">
        <v>564</v>
      </c>
      <c r="E8" s="536" t="s">
        <v>565</v>
      </c>
      <c r="F8" s="540" t="s">
        <v>366</v>
      </c>
    </row>
    <row r="9" spans="1:6" ht="18.95" customHeight="1">
      <c r="A9" s="536" t="s">
        <v>566</v>
      </c>
      <c r="B9" s="540">
        <v>450</v>
      </c>
      <c r="C9" s="536" t="s">
        <v>567</v>
      </c>
      <c r="D9" s="540" t="s">
        <v>577</v>
      </c>
      <c r="E9" s="536" t="s">
        <v>2</v>
      </c>
      <c r="F9" s="541">
        <f>'Performance Data Sheet'!K44</f>
        <v>45707</v>
      </c>
    </row>
    <row r="10" spans="1:6" ht="18.95" customHeight="1">
      <c r="A10" s="536" t="s">
        <v>568</v>
      </c>
      <c r="B10" s="540">
        <v>1780</v>
      </c>
      <c r="C10" s="536" t="s">
        <v>402</v>
      </c>
      <c r="D10" s="540" t="s">
        <v>578</v>
      </c>
      <c r="E10" s="536" t="s">
        <v>1</v>
      </c>
      <c r="F10" s="540" t="s">
        <v>382</v>
      </c>
    </row>
    <row r="11" spans="1:6" ht="18.95" customHeight="1">
      <c r="A11" s="533"/>
      <c r="B11" s="534"/>
      <c r="C11" s="534"/>
      <c r="D11" s="534"/>
      <c r="E11" s="534"/>
      <c r="F11" s="535"/>
    </row>
    <row r="12" spans="1:6" ht="18.95" customHeight="1">
      <c r="A12" s="533"/>
      <c r="B12" s="542"/>
      <c r="C12" s="543"/>
      <c r="D12" s="542"/>
      <c r="E12" s="543"/>
      <c r="F12" s="535"/>
    </row>
    <row r="13" spans="1:6" ht="18.95" customHeight="1">
      <c r="A13" s="533"/>
      <c r="B13" s="542"/>
      <c r="C13" s="544"/>
      <c r="D13" s="542"/>
      <c r="E13" s="543"/>
      <c r="F13" s="535"/>
    </row>
    <row r="14" spans="1:6" ht="18.95" customHeight="1">
      <c r="A14" s="533"/>
      <c r="B14" s="542"/>
      <c r="C14" s="544"/>
      <c r="D14" s="542"/>
      <c r="E14" s="543"/>
      <c r="F14" s="535"/>
    </row>
    <row r="15" spans="1:6" ht="18.95" customHeight="1">
      <c r="A15" s="533"/>
      <c r="B15" s="542"/>
      <c r="C15" s="543"/>
      <c r="D15" s="534"/>
      <c r="E15" s="534"/>
      <c r="F15" s="535"/>
    </row>
    <row r="16" spans="1:6" ht="18.95" customHeight="1">
      <c r="A16" s="533"/>
      <c r="B16" s="534"/>
      <c r="C16" s="534"/>
      <c r="D16" s="534"/>
      <c r="E16" s="534"/>
      <c r="F16" s="535"/>
    </row>
    <row r="17" spans="1:6" ht="18.95" customHeight="1">
      <c r="A17" s="533"/>
      <c r="B17" s="534"/>
      <c r="C17" s="534"/>
      <c r="D17" s="534"/>
      <c r="E17" s="534"/>
      <c r="F17" s="535"/>
    </row>
    <row r="18" spans="1:6" ht="18.95" customHeight="1">
      <c r="A18" s="533"/>
      <c r="B18" s="534"/>
      <c r="C18" s="534"/>
      <c r="D18" s="534"/>
      <c r="E18" s="534"/>
      <c r="F18" s="535"/>
    </row>
    <row r="19" spans="1:6" ht="18.95" customHeight="1">
      <c r="A19" s="533"/>
      <c r="B19" s="534"/>
      <c r="C19" s="534"/>
      <c r="D19" s="534"/>
      <c r="E19" s="534"/>
      <c r="F19" s="535"/>
    </row>
    <row r="20" spans="1:6" ht="18.95" customHeight="1">
      <c r="A20" s="533"/>
      <c r="B20" s="534"/>
      <c r="C20" s="534"/>
      <c r="D20" s="534"/>
      <c r="E20" s="534"/>
      <c r="F20" s="535"/>
    </row>
    <row r="21" spans="1:6" ht="18.95" customHeight="1">
      <c r="A21" s="533"/>
      <c r="B21" s="534"/>
      <c r="C21" s="534"/>
      <c r="D21" s="534"/>
      <c r="E21" s="534"/>
      <c r="F21" s="535"/>
    </row>
    <row r="22" spans="1:6" ht="18.95" customHeight="1">
      <c r="A22" s="533"/>
      <c r="B22" s="534"/>
      <c r="C22" s="534"/>
      <c r="D22" s="534"/>
      <c r="E22" s="534"/>
      <c r="F22" s="535"/>
    </row>
    <row r="23" spans="1:6" ht="18.95" customHeight="1">
      <c r="A23" s="533"/>
      <c r="B23" s="534"/>
      <c r="C23" s="534"/>
      <c r="D23" s="534"/>
      <c r="E23" s="534"/>
      <c r="F23" s="535"/>
    </row>
    <row r="24" spans="1:6" ht="18.95" customHeight="1">
      <c r="A24" s="533"/>
      <c r="B24" s="534"/>
      <c r="C24" s="534"/>
      <c r="D24" s="534"/>
      <c r="E24" s="534"/>
      <c r="F24" s="535"/>
    </row>
    <row r="25" spans="1:6" ht="18.95" customHeight="1">
      <c r="A25" s="533"/>
      <c r="B25" s="534"/>
      <c r="C25" s="534"/>
      <c r="D25" s="534"/>
      <c r="E25" s="534"/>
      <c r="F25" s="535"/>
    </row>
    <row r="26" spans="1:6" ht="18.95" customHeight="1">
      <c r="A26" s="533"/>
      <c r="B26" s="534"/>
      <c r="C26" s="534"/>
      <c r="D26" s="534"/>
      <c r="E26" s="534"/>
      <c r="F26" s="535"/>
    </row>
    <row r="27" spans="1:6" ht="18.95" customHeight="1">
      <c r="A27" s="533"/>
      <c r="B27" s="534"/>
      <c r="C27" s="534"/>
      <c r="D27" s="534"/>
      <c r="E27" s="534"/>
      <c r="F27" s="535"/>
    </row>
    <row r="28" spans="1:6" ht="18.95" customHeight="1">
      <c r="A28" s="533"/>
      <c r="B28" s="534"/>
      <c r="C28" s="534"/>
      <c r="D28" s="534"/>
      <c r="E28" s="534"/>
      <c r="F28" s="535"/>
    </row>
    <row r="29" spans="1:6" ht="18.95" customHeight="1">
      <c r="A29" s="533"/>
      <c r="B29" s="534"/>
      <c r="C29" s="534"/>
      <c r="D29" s="534"/>
      <c r="E29" s="534"/>
      <c r="F29" s="535"/>
    </row>
    <row r="30" spans="1:6" ht="18.95" customHeight="1">
      <c r="A30" s="533"/>
      <c r="B30" s="534"/>
      <c r="C30" s="534"/>
      <c r="D30" s="534"/>
      <c r="E30" s="534"/>
      <c r="F30" s="535"/>
    </row>
    <row r="31" spans="1:6" ht="18.95" customHeight="1">
      <c r="A31" s="533"/>
      <c r="B31" s="534"/>
      <c r="C31" s="534"/>
      <c r="D31" s="534"/>
      <c r="E31" s="534"/>
      <c r="F31" s="535"/>
    </row>
    <row r="32" spans="1:6" ht="18.95" customHeight="1">
      <c r="A32" s="533"/>
      <c r="B32" s="534"/>
      <c r="C32" s="534"/>
      <c r="D32" s="534"/>
      <c r="E32" s="534"/>
      <c r="F32" s="535"/>
    </row>
    <row r="33" spans="1:6" ht="18.95" customHeight="1">
      <c r="A33" s="533"/>
      <c r="B33" s="534"/>
      <c r="C33" s="534"/>
      <c r="D33" s="534"/>
      <c r="E33" s="534"/>
      <c r="F33" s="535"/>
    </row>
    <row r="34" spans="1:6" ht="18.95" customHeight="1">
      <c r="A34" s="533"/>
      <c r="B34" s="534"/>
      <c r="C34" s="534"/>
      <c r="D34" s="534"/>
      <c r="E34" s="534"/>
      <c r="F34" s="535"/>
    </row>
    <row r="35" spans="1:6" ht="18.95" customHeight="1">
      <c r="A35" s="533"/>
      <c r="B35" s="534"/>
      <c r="C35" s="534"/>
      <c r="D35" s="534"/>
      <c r="E35" s="534"/>
      <c r="F35" s="535"/>
    </row>
    <row r="36" spans="1:6" ht="18.95" customHeight="1">
      <c r="A36" s="533"/>
      <c r="B36" s="534"/>
      <c r="C36" s="534"/>
      <c r="D36" s="534"/>
      <c r="E36" s="534"/>
      <c r="F36" s="535"/>
    </row>
    <row r="37" spans="1:6" ht="18.95" customHeight="1">
      <c r="A37" s="533"/>
      <c r="B37" s="534"/>
      <c r="C37" s="534"/>
      <c r="D37" s="534"/>
      <c r="E37" s="534"/>
      <c r="F37" s="535"/>
    </row>
    <row r="38" spans="1:6" ht="18.95" customHeight="1">
      <c r="A38" s="533"/>
      <c r="B38" s="534"/>
      <c r="C38" s="534"/>
      <c r="D38" s="534"/>
      <c r="E38" s="534"/>
      <c r="F38" s="535"/>
    </row>
    <row r="39" spans="1:6" ht="18.95" customHeight="1">
      <c r="A39" s="545" t="s">
        <v>569</v>
      </c>
      <c r="B39" s="546" t="s">
        <v>373</v>
      </c>
      <c r="C39" s="889">
        <f>'Performance Data Sheet'!C10</f>
        <v>0</v>
      </c>
      <c r="D39" s="534"/>
      <c r="E39" s="542" t="s">
        <v>570</v>
      </c>
      <c r="F39" s="547" t="str">
        <f>F10</f>
        <v>CS4450</v>
      </c>
    </row>
    <row r="40" spans="1:6" ht="18.95" customHeight="1">
      <c r="A40" s="533"/>
      <c r="B40" s="546"/>
      <c r="C40" s="546"/>
      <c r="D40" s="534"/>
      <c r="E40" s="534"/>
      <c r="F40" s="535"/>
    </row>
    <row r="41" spans="1:6" ht="18.95" customHeight="1">
      <c r="A41" s="533"/>
      <c r="B41" s="546"/>
      <c r="C41" s="546"/>
      <c r="D41" s="534"/>
      <c r="E41" s="534"/>
      <c r="F41" s="535"/>
    </row>
    <row r="42" spans="1:6" ht="18.95" customHeight="1">
      <c r="A42" s="533"/>
      <c r="B42" s="534"/>
      <c r="C42" s="534"/>
      <c r="D42" s="534"/>
      <c r="E42" s="534"/>
      <c r="F42" s="535"/>
    </row>
    <row r="43" spans="1:6" ht="18.95" customHeight="1">
      <c r="A43" s="548"/>
      <c r="B43" s="546"/>
      <c r="C43" s="549" t="s">
        <v>571</v>
      </c>
      <c r="D43" s="550" t="str">
        <f>'Performance Data Sheet'!K42</f>
        <v>Jerry R</v>
      </c>
      <c r="E43" s="549" t="s">
        <v>572</v>
      </c>
      <c r="F43" s="55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551" t="e">
        <f>5252.1*B50/D53</f>
        <v>#DIV/0!</v>
      </c>
      <c r="G50" s="551"/>
    </row>
    <row r="51" spans="6:9" ht="15" customHeight="1"/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552"/>
    </row>
    <row r="63" spans="6:9">
      <c r="I63" s="498" t="s">
        <v>39</v>
      </c>
    </row>
    <row r="66" spans="1:8">
      <c r="D66" s="551" t="e">
        <f>D65/D64</f>
        <v>#DIV/0!</v>
      </c>
    </row>
    <row r="67" spans="1:8">
      <c r="A67" s="553" t="s">
        <v>398</v>
      </c>
      <c r="B67" s="553" t="s">
        <v>573</v>
      </c>
      <c r="C67" s="553" t="s">
        <v>574</v>
      </c>
      <c r="E67" s="553" t="s">
        <v>575</v>
      </c>
      <c r="F67" s="553" t="s">
        <v>576</v>
      </c>
    </row>
    <row r="68" spans="1:8">
      <c r="A68" s="554">
        <v>635.71428571428567</v>
      </c>
      <c r="B68" s="555">
        <v>35</v>
      </c>
      <c r="C68" s="555">
        <v>15</v>
      </c>
      <c r="E68" s="554">
        <f>A68</f>
        <v>635.71428571428567</v>
      </c>
      <c r="F68" s="555">
        <v>1E-4</v>
      </c>
      <c r="G68" s="498">
        <f>0.8*E68</f>
        <v>508.57142857142856</v>
      </c>
      <c r="H68" s="890">
        <f>F68</f>
        <v>1E-4</v>
      </c>
    </row>
    <row r="69" spans="1:8">
      <c r="A69" s="554">
        <f>FLOOR(A68,100)</f>
        <v>600</v>
      </c>
      <c r="B69" s="555">
        <f>((A68/A69)^2)*B68</f>
        <v>39.290674603174608</v>
      </c>
      <c r="C69" s="555">
        <f>((A68/A69)^2)*C68</f>
        <v>16.838860544217688</v>
      </c>
      <c r="E69" s="554">
        <v>633.03571428571433</v>
      </c>
      <c r="F69" s="555">
        <v>0.95572439644205565</v>
      </c>
      <c r="G69" s="498">
        <f t="shared" ref="G69:G80" si="0">0.8*E69</f>
        <v>506.4285714285715</v>
      </c>
      <c r="H69" s="498">
        <v>1.8052582551954344</v>
      </c>
    </row>
    <row r="70" spans="1:8">
      <c r="A70" s="554">
        <f>A69-100</f>
        <v>500</v>
      </c>
      <c r="B70" s="555">
        <f>((A68/A70)^2)*B68</f>
        <v>56.578571428571422</v>
      </c>
      <c r="C70" s="555">
        <f>((A68/A70)^2)*C68</f>
        <v>24.247959183673466</v>
      </c>
      <c r="E70" s="554">
        <v>627.14285714285711</v>
      </c>
      <c r="F70" s="555">
        <v>1.8105142470080851</v>
      </c>
      <c r="G70" s="498">
        <f t="shared" si="0"/>
        <v>501.71428571428572</v>
      </c>
      <c r="H70" s="498">
        <v>3.4198622560311018</v>
      </c>
    </row>
    <row r="71" spans="1:8">
      <c r="A71" s="554">
        <f>A70-100</f>
        <v>400</v>
      </c>
      <c r="B71" s="555">
        <f>((A68/A71)^2)*B68</f>
        <v>88.404017857142847</v>
      </c>
      <c r="C71" s="555">
        <f>((A68/A71)^2)*C68</f>
        <v>37.887436224489797</v>
      </c>
      <c r="E71" s="554">
        <v>620.35714285714289</v>
      </c>
      <c r="F71" s="555">
        <v>2.6295563257951735</v>
      </c>
      <c r="G71" s="498">
        <f t="shared" si="0"/>
        <v>496.28571428571433</v>
      </c>
      <c r="H71" s="498">
        <v>4.9669426482312451</v>
      </c>
    </row>
    <row r="72" spans="1:8">
      <c r="A72" s="554">
        <f>A71-100</f>
        <v>300</v>
      </c>
      <c r="B72" s="555">
        <f>((A68/A72)^2)*B68</f>
        <v>157.16269841269843</v>
      </c>
      <c r="C72" s="555"/>
      <c r="E72" s="554">
        <v>612.32142857142856</v>
      </c>
      <c r="F72" s="555">
        <v>3.4485985299191473</v>
      </c>
      <c r="G72" s="498">
        <f t="shared" si="0"/>
        <v>489.85714285714289</v>
      </c>
      <c r="H72" s="498">
        <v>6.5140232771789783</v>
      </c>
    </row>
    <row r="73" spans="1:8">
      <c r="A73" s="554">
        <f>A72-100</f>
        <v>200</v>
      </c>
      <c r="B73" s="555">
        <f>((A68/A73)^2)*B68</f>
        <v>353.61607142857139</v>
      </c>
      <c r="C73" s="555"/>
      <c r="E73" s="554">
        <v>602.85714285714289</v>
      </c>
      <c r="F73" s="555">
        <v>4.299182513288498</v>
      </c>
      <c r="G73" s="498">
        <f t="shared" si="0"/>
        <v>482.28571428571433</v>
      </c>
      <c r="H73" s="498">
        <v>8.1206828575255106</v>
      </c>
    </row>
    <row r="74" spans="1:8">
      <c r="A74" s="554">
        <v>250</v>
      </c>
      <c r="B74" s="555">
        <f>((A68/A74)^2)*B68</f>
        <v>226.31428571428569</v>
      </c>
      <c r="C74" s="555">
        <f>((A68/A74)^2)*C68</f>
        <v>96.991836734693862</v>
      </c>
      <c r="E74" s="554">
        <v>591.78571428571433</v>
      </c>
      <c r="F74" s="555">
        <v>5.2107481555795667</v>
      </c>
      <c r="G74" s="498">
        <f t="shared" si="0"/>
        <v>473.4285714285715</v>
      </c>
      <c r="H74" s="498">
        <v>9.8425300835926883</v>
      </c>
    </row>
    <row r="75" spans="1:8">
      <c r="A75" s="556">
        <v>180</v>
      </c>
      <c r="B75" s="555">
        <f>((A68/A75)^2)*B69</f>
        <v>490.08162246747617</v>
      </c>
      <c r="C75" s="555">
        <f>((A68/A75)^2)*C68</f>
        <v>187.09845049130763</v>
      </c>
      <c r="E75" s="554">
        <v>578.57142857142856</v>
      </c>
      <c r="F75" s="555">
        <v>6.2306078749866485</v>
      </c>
      <c r="G75" s="498">
        <f t="shared" si="0"/>
        <v>462.85714285714289</v>
      </c>
      <c r="H75" s="498">
        <v>11.76893290898353</v>
      </c>
    </row>
    <row r="76" spans="1:8">
      <c r="A76" s="556">
        <v>145</v>
      </c>
      <c r="B76" s="555">
        <f>((A68/A76)^2)*B68</f>
        <v>672.75352471547455</v>
      </c>
      <c r="C76" s="555">
        <f>((A68/A76)^2)*C68</f>
        <v>288.32293916377483</v>
      </c>
      <c r="E76" s="554">
        <v>561.42857142857133</v>
      </c>
      <c r="F76" s="555">
        <v>7.3356315013208384</v>
      </c>
      <c r="G76" s="498">
        <f t="shared" si="0"/>
        <v>449.14285714285711</v>
      </c>
      <c r="H76" s="498">
        <v>13.856200986529918</v>
      </c>
    </row>
    <row r="77" spans="1:8">
      <c r="A77" s="556">
        <v>125</v>
      </c>
      <c r="B77" s="555"/>
      <c r="C77" s="554">
        <f>CEILING(C76*2,100)</f>
        <v>600</v>
      </c>
      <c r="E77" s="554">
        <v>542.5</v>
      </c>
      <c r="F77" s="555">
        <v>7.8855144986524577</v>
      </c>
      <c r="G77" s="498">
        <f t="shared" si="0"/>
        <v>434</v>
      </c>
      <c r="H77" s="498">
        <v>14.89486948135964</v>
      </c>
    </row>
    <row r="78" spans="1:8">
      <c r="A78" s="556">
        <v>125</v>
      </c>
      <c r="B78" s="555"/>
      <c r="C78" s="554">
        <f>2*C77</f>
        <v>1200</v>
      </c>
      <c r="E78" s="554">
        <v>515.89285714285711</v>
      </c>
      <c r="F78" s="555">
        <v>8.3397203311052319</v>
      </c>
      <c r="G78" s="498">
        <f t="shared" si="0"/>
        <v>412.71428571428572</v>
      </c>
      <c r="H78" s="498">
        <v>15.752814336221361</v>
      </c>
    </row>
    <row r="79" spans="1:8">
      <c r="A79" s="556">
        <v>125</v>
      </c>
      <c r="B79" s="556"/>
      <c r="C79" s="556">
        <v>10000</v>
      </c>
      <c r="E79" s="554">
        <v>443.92857142857144</v>
      </c>
      <c r="F79" s="555">
        <v>8.6709120212669362</v>
      </c>
      <c r="G79" s="498">
        <f t="shared" si="0"/>
        <v>355.14285714285717</v>
      </c>
      <c r="H79" s="498">
        <v>16.378399007850902</v>
      </c>
    </row>
    <row r="80" spans="1:8">
      <c r="E80" s="554">
        <v>120</v>
      </c>
      <c r="F80" s="555">
        <v>9.0000005584907523</v>
      </c>
      <c r="G80" s="498">
        <v>120</v>
      </c>
      <c r="H80" s="498">
        <v>17.000011054927597</v>
      </c>
    </row>
    <row r="81" spans="5:6">
      <c r="E81" s="554"/>
      <c r="F81" s="555"/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9FA9-5BD0-44F4-83A2-86F47979F37E}">
  <sheetPr>
    <pageSetUpPr fitToPage="1"/>
  </sheetPr>
  <dimension ref="A1:H67"/>
  <sheetViews>
    <sheetView workbookViewId="0">
      <selection activeCell="E15" sqref="E15"/>
    </sheetView>
  </sheetViews>
  <sheetFormatPr defaultRowHeight="12.75"/>
  <cols>
    <col min="1" max="6" width="16.7109375" style="498" customWidth="1"/>
    <col min="7" max="16384" width="9.140625" style="498"/>
  </cols>
  <sheetData>
    <row r="1" spans="1:6" ht="18.95" customHeight="1">
      <c r="A1" s="521"/>
      <c r="B1" s="522"/>
      <c r="C1" s="522"/>
      <c r="D1" s="522"/>
      <c r="E1" s="522"/>
      <c r="F1" s="523"/>
    </row>
    <row r="2" spans="1:6" ht="26.1" customHeight="1">
      <c r="A2" s="524" t="s">
        <v>270</v>
      </c>
      <c r="B2" s="525"/>
      <c r="C2" s="525"/>
      <c r="D2" s="525"/>
      <c r="E2" s="525"/>
      <c r="F2" s="526"/>
    </row>
    <row r="3" spans="1:6" ht="18.95" customHeight="1">
      <c r="A3" s="557" t="s">
        <v>590</v>
      </c>
      <c r="B3" s="525"/>
      <c r="C3" s="525"/>
      <c r="D3" s="525"/>
      <c r="E3" s="525"/>
      <c r="F3" s="526"/>
    </row>
    <row r="4" spans="1:6" ht="18.95" customHeight="1">
      <c r="A4" s="530" t="s">
        <v>556</v>
      </c>
      <c r="B4" s="531"/>
      <c r="C4" s="531"/>
      <c r="D4" s="531"/>
      <c r="E4" s="531"/>
      <c r="F4" s="532"/>
    </row>
    <row r="5" spans="1:6" ht="18.95" customHeight="1">
      <c r="A5" s="533"/>
      <c r="B5" s="534"/>
      <c r="C5" s="534"/>
      <c r="D5" s="534"/>
      <c r="E5" s="534"/>
      <c r="F5" s="535"/>
    </row>
    <row r="6" spans="1:6" ht="18.95" customHeight="1">
      <c r="A6" s="536" t="s">
        <v>557</v>
      </c>
      <c r="B6" s="537">
        <f>'Performance Data Sheet'!C17</f>
        <v>0</v>
      </c>
      <c r="C6" s="538"/>
      <c r="D6" s="539"/>
      <c r="E6" s="536" t="s">
        <v>558</v>
      </c>
      <c r="F6" s="540" t="str">
        <f>'Performance Data Sheet'!I14 &amp; " A"</f>
        <v>56 A</v>
      </c>
    </row>
    <row r="7" spans="1:6" ht="18.95" customHeight="1">
      <c r="A7" s="536" t="s">
        <v>559</v>
      </c>
      <c r="B7" s="540" t="str">
        <f>'Performance Data Sheet'!F14</f>
        <v>TEFC</v>
      </c>
      <c r="C7" s="536" t="s">
        <v>560</v>
      </c>
      <c r="D7" s="540" t="str">
        <f>'Performance Data Sheet'!F13 &amp; " V"</f>
        <v>4000 V</v>
      </c>
      <c r="E7" s="536" t="s">
        <v>561</v>
      </c>
      <c r="F7" s="540" t="str">
        <f>'Performance Data Sheet'!C14</f>
        <v>5011US</v>
      </c>
    </row>
    <row r="8" spans="1:6" ht="18.95" customHeight="1">
      <c r="A8" s="536" t="s">
        <v>562</v>
      </c>
      <c r="B8" s="540">
        <v>4</v>
      </c>
      <c r="C8" s="536" t="s">
        <v>563</v>
      </c>
      <c r="D8" s="540" t="s">
        <v>564</v>
      </c>
      <c r="E8" s="536" t="s">
        <v>565</v>
      </c>
      <c r="F8" s="540" t="s">
        <v>366</v>
      </c>
    </row>
    <row r="9" spans="1:6" ht="18.95" customHeight="1">
      <c r="A9" s="536" t="s">
        <v>566</v>
      </c>
      <c r="B9" s="540">
        <v>450</v>
      </c>
      <c r="C9" s="536" t="s">
        <v>567</v>
      </c>
      <c r="D9" s="540" t="s">
        <v>577</v>
      </c>
      <c r="E9" s="536" t="s">
        <v>2</v>
      </c>
      <c r="F9" s="541">
        <f>'Performance Data Sheet'!K44</f>
        <v>45707</v>
      </c>
    </row>
    <row r="10" spans="1:6" ht="18.95" customHeight="1">
      <c r="A10" s="536" t="s">
        <v>568</v>
      </c>
      <c r="B10" s="540">
        <v>1780</v>
      </c>
      <c r="C10" s="536" t="s">
        <v>402</v>
      </c>
      <c r="D10" s="540" t="s">
        <v>578</v>
      </c>
      <c r="E10" s="536" t="s">
        <v>1</v>
      </c>
      <c r="F10" s="540" t="s">
        <v>382</v>
      </c>
    </row>
    <row r="11" spans="1:6" ht="18.95" customHeight="1">
      <c r="A11" s="533"/>
      <c r="B11" s="534"/>
      <c r="C11" s="534"/>
      <c r="D11" s="534"/>
      <c r="E11" s="534"/>
      <c r="F11" s="535"/>
    </row>
    <row r="12" spans="1:6" ht="18.95" customHeight="1">
      <c r="A12" s="533"/>
      <c r="B12" s="542" t="s">
        <v>584</v>
      </c>
      <c r="C12" s="543" t="str">
        <f>'Performance Data Sheet'!D22 &amp; " A"</f>
        <v>356 A</v>
      </c>
      <c r="D12" s="542" t="s">
        <v>401</v>
      </c>
      <c r="E12" s="543" t="s">
        <v>405</v>
      </c>
      <c r="F12" s="535"/>
    </row>
    <row r="13" spans="1:6" ht="18.95" customHeight="1">
      <c r="A13" s="533"/>
      <c r="B13" s="542" t="s">
        <v>585</v>
      </c>
      <c r="C13" s="544">
        <v>1.1499999999999999</v>
      </c>
      <c r="D13" s="542" t="s">
        <v>586</v>
      </c>
      <c r="E13" s="543" t="s">
        <v>588</v>
      </c>
      <c r="F13" s="535"/>
    </row>
    <row r="14" spans="1:6" ht="18.95" customHeight="1">
      <c r="A14" s="533"/>
      <c r="B14" s="542" t="s">
        <v>587</v>
      </c>
      <c r="C14" s="544">
        <v>2.5</v>
      </c>
      <c r="D14" s="542" t="s">
        <v>403</v>
      </c>
      <c r="E14" s="543" t="s">
        <v>774</v>
      </c>
      <c r="F14" s="535"/>
    </row>
    <row r="15" spans="1:6" ht="18.95" customHeight="1">
      <c r="A15" s="533"/>
      <c r="B15" s="542" t="s">
        <v>404</v>
      </c>
      <c r="C15" s="543" t="s">
        <v>589</v>
      </c>
      <c r="D15" s="534"/>
      <c r="E15" s="534"/>
      <c r="F15" s="535"/>
    </row>
    <row r="16" spans="1:6" ht="18.95" customHeight="1">
      <c r="A16" s="533"/>
      <c r="B16" s="534"/>
      <c r="C16" s="534"/>
      <c r="D16" s="534"/>
      <c r="E16" s="534"/>
      <c r="F16" s="535"/>
    </row>
    <row r="17" spans="1:8" ht="18.95" customHeight="1">
      <c r="A17" s="533"/>
      <c r="B17" s="534"/>
      <c r="C17" s="534"/>
      <c r="D17" s="534"/>
      <c r="E17" s="534"/>
      <c r="F17" s="535"/>
    </row>
    <row r="18" spans="1:8" ht="18.95" customHeight="1">
      <c r="A18" s="533"/>
      <c r="B18" s="534"/>
      <c r="C18" s="534"/>
      <c r="D18" s="534"/>
      <c r="E18" s="534"/>
      <c r="F18" s="535"/>
    </row>
    <row r="19" spans="1:8" ht="18.95" customHeight="1">
      <c r="A19" s="533"/>
      <c r="B19" s="534"/>
      <c r="C19" s="534"/>
      <c r="D19" s="534"/>
      <c r="E19" s="534"/>
      <c r="F19" s="535"/>
    </row>
    <row r="20" spans="1:8" ht="18.95" customHeight="1">
      <c r="A20" s="533"/>
      <c r="B20" s="534"/>
      <c r="C20" s="534"/>
      <c r="D20" s="534"/>
      <c r="E20" s="534"/>
      <c r="F20" s="535"/>
    </row>
    <row r="21" spans="1:8" ht="18.95" customHeight="1">
      <c r="A21" s="533"/>
      <c r="B21" s="534"/>
      <c r="C21" s="534"/>
      <c r="D21" s="534"/>
      <c r="E21" s="534"/>
      <c r="F21" s="535"/>
    </row>
    <row r="22" spans="1:8" ht="18.95" customHeight="1">
      <c r="A22" s="533"/>
      <c r="B22" s="534"/>
      <c r="C22" s="534"/>
      <c r="D22" s="534"/>
      <c r="E22" s="534"/>
      <c r="F22" s="535"/>
    </row>
    <row r="23" spans="1:8" ht="18.95" customHeight="1">
      <c r="A23" s="533"/>
      <c r="B23" s="534"/>
      <c r="C23" s="534"/>
      <c r="D23" s="534"/>
      <c r="E23" s="534"/>
      <c r="F23" s="535"/>
    </row>
    <row r="24" spans="1:8" ht="18.95" customHeight="1">
      <c r="A24" s="533"/>
      <c r="B24" s="534"/>
      <c r="C24" s="534"/>
      <c r="D24" s="534"/>
      <c r="E24" s="534"/>
      <c r="F24" s="535"/>
      <c r="H24" s="563"/>
    </row>
    <row r="25" spans="1:8" ht="18.95" customHeight="1">
      <c r="A25" s="533"/>
      <c r="B25" s="534"/>
      <c r="C25" s="534"/>
      <c r="D25" s="534"/>
      <c r="E25" s="534"/>
      <c r="F25" s="535"/>
    </row>
    <row r="26" spans="1:8" ht="18.95" customHeight="1">
      <c r="A26" s="533"/>
      <c r="B26" s="534"/>
      <c r="C26" s="534"/>
      <c r="D26" s="534"/>
      <c r="E26" s="534"/>
      <c r="F26" s="535"/>
    </row>
    <row r="27" spans="1:8" ht="18.95" customHeight="1">
      <c r="A27" s="533"/>
      <c r="B27" s="534"/>
      <c r="C27" s="534"/>
      <c r="D27" s="534"/>
      <c r="E27" s="534"/>
      <c r="F27" s="535"/>
    </row>
    <row r="28" spans="1:8" ht="18.95" customHeight="1">
      <c r="A28" s="533"/>
      <c r="B28" s="534"/>
      <c r="C28" s="534"/>
      <c r="D28" s="534"/>
      <c r="E28" s="534"/>
      <c r="F28" s="535"/>
    </row>
    <row r="29" spans="1:8" ht="18.95" customHeight="1">
      <c r="A29" s="533"/>
      <c r="B29" s="534"/>
      <c r="C29" s="534"/>
      <c r="D29" s="534"/>
      <c r="E29" s="534"/>
      <c r="F29" s="535"/>
    </row>
    <row r="30" spans="1:8" ht="18.95" customHeight="1">
      <c r="A30" s="533"/>
      <c r="B30" s="534"/>
      <c r="C30" s="534"/>
      <c r="D30" s="534"/>
      <c r="E30" s="534"/>
      <c r="F30" s="535"/>
    </row>
    <row r="31" spans="1:8" ht="18.95" customHeight="1">
      <c r="A31" s="533"/>
      <c r="B31" s="534"/>
      <c r="C31" s="534"/>
      <c r="D31" s="534"/>
      <c r="E31" s="534"/>
      <c r="F31" s="535"/>
    </row>
    <row r="32" spans="1:8" ht="18.95" customHeight="1">
      <c r="A32" s="533"/>
      <c r="B32" s="534"/>
      <c r="C32" s="534"/>
      <c r="D32" s="534"/>
      <c r="E32" s="534"/>
      <c r="F32" s="535"/>
    </row>
    <row r="33" spans="1:6" ht="18.95" customHeight="1">
      <c r="A33" s="533"/>
      <c r="B33" s="534"/>
      <c r="C33" s="534"/>
      <c r="D33" s="534"/>
      <c r="E33" s="534"/>
      <c r="F33" s="535"/>
    </row>
    <row r="34" spans="1:6" ht="18.95" customHeight="1">
      <c r="A34" s="533"/>
      <c r="B34" s="534"/>
      <c r="C34" s="534"/>
      <c r="D34" s="534"/>
      <c r="E34" s="534"/>
      <c r="F34" s="535"/>
    </row>
    <row r="35" spans="1:6" ht="18.95" customHeight="1">
      <c r="A35" s="533"/>
      <c r="B35" s="534"/>
      <c r="C35" s="534"/>
      <c r="D35" s="534"/>
      <c r="E35" s="534"/>
      <c r="F35" s="535"/>
    </row>
    <row r="36" spans="1:6" ht="18.95" customHeight="1">
      <c r="A36" s="533"/>
      <c r="B36" s="534"/>
      <c r="C36" s="534"/>
      <c r="D36" s="534"/>
      <c r="E36" s="534"/>
      <c r="F36" s="535"/>
    </row>
    <row r="37" spans="1:6" ht="18.95" customHeight="1">
      <c r="A37" s="533"/>
      <c r="B37" s="534"/>
      <c r="C37" s="534"/>
      <c r="D37" s="534"/>
      <c r="E37" s="534"/>
      <c r="F37" s="535"/>
    </row>
    <row r="38" spans="1:6" ht="18.95" customHeight="1">
      <c r="A38" s="533"/>
      <c r="B38" s="534"/>
      <c r="C38" s="534"/>
      <c r="D38" s="534"/>
      <c r="E38" s="534"/>
      <c r="F38" s="535"/>
    </row>
    <row r="39" spans="1:6" ht="18.95" customHeight="1">
      <c r="A39" s="545" t="s">
        <v>569</v>
      </c>
      <c r="B39" s="546" t="s">
        <v>373</v>
      </c>
      <c r="C39" s="889">
        <f>'Performance Data Sheet'!C10</f>
        <v>0</v>
      </c>
      <c r="D39" s="534"/>
      <c r="E39" s="542" t="s">
        <v>570</v>
      </c>
      <c r="F39" s="547" t="str">
        <f>F10</f>
        <v>CS4450</v>
      </c>
    </row>
    <row r="40" spans="1:6" ht="18.95" customHeight="1">
      <c r="A40" s="533"/>
      <c r="B40" s="546"/>
      <c r="C40" s="546"/>
      <c r="D40" s="534"/>
      <c r="E40" s="534"/>
      <c r="F40" s="535"/>
    </row>
    <row r="41" spans="1:6" ht="18.95" customHeight="1">
      <c r="A41" s="533"/>
      <c r="B41" s="546"/>
      <c r="C41" s="546"/>
      <c r="D41" s="534"/>
      <c r="E41" s="534"/>
      <c r="F41" s="535"/>
    </row>
    <row r="42" spans="1:6" ht="18.95" customHeight="1">
      <c r="A42" s="533"/>
      <c r="B42" s="534"/>
      <c r="C42" s="534"/>
      <c r="D42" s="534"/>
      <c r="E42" s="534"/>
      <c r="F42" s="535"/>
    </row>
    <row r="43" spans="1:6" ht="18.95" customHeight="1">
      <c r="A43" s="548"/>
      <c r="B43" s="546"/>
      <c r="C43" s="549" t="s">
        <v>571</v>
      </c>
      <c r="D43" s="550" t="str">
        <f>'Performance Data Sheet'!K42</f>
        <v>Jerry R</v>
      </c>
      <c r="E43" s="549" t="s">
        <v>572</v>
      </c>
      <c r="F43" s="550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564" t="s">
        <v>400</v>
      </c>
      <c r="B53" s="564" t="s">
        <v>142</v>
      </c>
      <c r="C53" s="564" t="s">
        <v>120</v>
      </c>
      <c r="D53" s="564" t="s">
        <v>135</v>
      </c>
      <c r="E53" s="564" t="s">
        <v>5</v>
      </c>
      <c r="F53" s="565" t="s">
        <v>591</v>
      </c>
    </row>
    <row r="54" spans="1:6" ht="15" customHeight="1">
      <c r="A54" s="566">
        <v>0</v>
      </c>
      <c r="B54" s="567"/>
      <c r="C54" s="568"/>
      <c r="D54" s="568">
        <v>10.376617767495544</v>
      </c>
      <c r="E54" s="568">
        <v>100</v>
      </c>
      <c r="F54" s="569">
        <v>0.68100000000000005</v>
      </c>
    </row>
    <row r="55" spans="1:6" ht="15" customHeight="1">
      <c r="A55" s="570">
        <v>25</v>
      </c>
      <c r="B55" s="571">
        <v>89.896644592285156</v>
      </c>
      <c r="C55" s="572">
        <v>75.83502197265625</v>
      </c>
      <c r="D55" s="572">
        <v>17.790763854980469</v>
      </c>
      <c r="E55" s="572">
        <v>78.147804788465862</v>
      </c>
      <c r="F55" s="573">
        <v>9.3470010182069014</v>
      </c>
    </row>
    <row r="56" spans="1:6" ht="15" customHeight="1">
      <c r="A56" s="570">
        <v>50</v>
      </c>
      <c r="B56" s="571">
        <v>93.365455627441406</v>
      </c>
      <c r="C56" s="572">
        <v>88.660690307617188</v>
      </c>
      <c r="D56" s="572">
        <v>29.303573608398438</v>
      </c>
      <c r="E56" s="572">
        <v>63.979894770824963</v>
      </c>
      <c r="F56" s="573">
        <v>17.999463583029211</v>
      </c>
    </row>
    <row r="57" spans="1:6">
      <c r="A57" s="570">
        <v>75</v>
      </c>
      <c r="B57" s="571">
        <v>94.208465576171875</v>
      </c>
      <c r="C57" s="572">
        <v>91.484405517578125</v>
      </c>
      <c r="D57" s="572">
        <v>42.217464447021484</v>
      </c>
      <c r="E57" s="572">
        <v>49.427962654763924</v>
      </c>
      <c r="F57" s="573">
        <v>26.757596725362735</v>
      </c>
    </row>
    <row r="58" spans="1:6">
      <c r="A58" s="570">
        <v>100</v>
      </c>
      <c r="B58" s="571">
        <v>94.3095703125</v>
      </c>
      <c r="C58" s="572">
        <v>91.849159240722656</v>
      </c>
      <c r="D58" s="572">
        <v>56.006305694580078</v>
      </c>
      <c r="E58" s="572">
        <v>33.499333696598214</v>
      </c>
      <c r="F58" s="573">
        <v>35.638548718878013</v>
      </c>
    </row>
    <row r="59" spans="1:6" ht="13.5" thickBot="1">
      <c r="A59" s="574">
        <v>125</v>
      </c>
      <c r="B59" s="575">
        <v>94.119583129882813</v>
      </c>
      <c r="C59" s="576">
        <v>91.161888122558594</v>
      </c>
      <c r="D59" s="576">
        <v>70.678054809570313</v>
      </c>
      <c r="E59" s="576">
        <v>18.185114422247594</v>
      </c>
      <c r="F59" s="577">
        <v>44.638110049108214</v>
      </c>
    </row>
    <row r="60" spans="1:6">
      <c r="A60" s="558"/>
      <c r="B60" s="559"/>
      <c r="C60" s="559"/>
    </row>
    <row r="61" spans="1:6">
      <c r="A61" s="558"/>
      <c r="B61" s="559"/>
      <c r="C61" s="559"/>
    </row>
    <row r="62" spans="1:6">
      <c r="A62" s="558"/>
      <c r="B62" s="559"/>
      <c r="C62" s="559"/>
    </row>
    <row r="63" spans="1:6">
      <c r="A63" s="558"/>
      <c r="B63" s="559"/>
      <c r="C63" s="559"/>
    </row>
    <row r="64" spans="1:6">
      <c r="A64" s="558"/>
      <c r="B64" s="559"/>
      <c r="C64" s="559"/>
    </row>
    <row r="65" spans="1:3">
      <c r="A65" s="558"/>
      <c r="B65" s="559"/>
      <c r="C65" s="559"/>
    </row>
    <row r="66" spans="1:3">
      <c r="A66" s="558"/>
      <c r="B66" s="559"/>
      <c r="C66" s="559"/>
    </row>
    <row r="67" spans="1:3">
      <c r="A67" s="560"/>
      <c r="B67" s="559"/>
      <c r="C67" s="559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DC78-EC6C-455B-AAC8-6CAE6230CAD0}">
  <sheetPr syncVertical="1" syncRef="A1" transitionEvaluation="1"/>
  <dimension ref="A1:AB43"/>
  <sheetViews>
    <sheetView showGridLines="0" tabSelected="1" zoomScale="75" zoomScaleNormal="75" workbookViewId="0">
      <selection activeCell="O25" sqref="O25"/>
    </sheetView>
  </sheetViews>
  <sheetFormatPr defaultColWidth="9.7109375" defaultRowHeight="12.75"/>
  <cols>
    <col min="1" max="2" width="6.5703125" style="678" customWidth="1"/>
    <col min="3" max="3" width="8.28515625" style="678" customWidth="1"/>
    <col min="4" max="13" width="6.5703125" style="678" customWidth="1"/>
    <col min="14" max="14" width="6.42578125" style="678" customWidth="1"/>
    <col min="15" max="16384" width="9.7109375" style="678"/>
  </cols>
  <sheetData>
    <row r="1" spans="1:14" ht="15.75" customHeight="1">
      <c r="A1" s="672" t="s">
        <v>270</v>
      </c>
      <c r="B1" s="673"/>
      <c r="C1" s="673"/>
      <c r="D1" s="673"/>
      <c r="E1" s="673"/>
      <c r="F1" s="673"/>
      <c r="G1" s="673"/>
      <c r="H1" s="673"/>
      <c r="I1" s="673"/>
      <c r="J1" s="674" t="s">
        <v>592</v>
      </c>
      <c r="K1" s="675"/>
      <c r="L1" s="676" t="s">
        <v>699</v>
      </c>
      <c r="M1" s="677"/>
    </row>
    <row r="2" spans="1:14" ht="15.75" customHeight="1">
      <c r="A2" s="679" t="s">
        <v>594</v>
      </c>
      <c r="B2" s="680"/>
      <c r="C2" s="680"/>
      <c r="D2" s="680"/>
      <c r="E2" s="680"/>
      <c r="F2" s="680"/>
      <c r="G2" s="680"/>
      <c r="H2" s="680"/>
      <c r="I2" s="680"/>
      <c r="J2" s="681" t="s">
        <v>595</v>
      </c>
      <c r="K2" s="682"/>
      <c r="L2" s="683" t="s">
        <v>596</v>
      </c>
      <c r="M2" s="684"/>
    </row>
    <row r="3" spans="1:14" ht="15.75" customHeight="1">
      <c r="A3" s="685"/>
      <c r="B3" s="686"/>
      <c r="C3" s="686"/>
      <c r="D3" s="686"/>
      <c r="E3" s="686"/>
      <c r="F3" s="686"/>
      <c r="G3" s="686"/>
      <c r="H3" s="686"/>
      <c r="I3" s="686"/>
      <c r="J3" s="681" t="s">
        <v>597</v>
      </c>
      <c r="K3" s="682"/>
      <c r="L3" s="687">
        <v>38309</v>
      </c>
      <c r="M3" s="688"/>
    </row>
    <row r="4" spans="1:14" ht="15.75" customHeight="1">
      <c r="A4" s="689" t="s">
        <v>700</v>
      </c>
      <c r="B4" s="690"/>
      <c r="C4" s="690"/>
      <c r="D4" s="690"/>
      <c r="E4" s="690"/>
      <c r="F4" s="690"/>
      <c r="G4" s="690"/>
      <c r="H4" s="690"/>
      <c r="I4" s="691"/>
      <c r="J4" s="681" t="s">
        <v>599</v>
      </c>
      <c r="K4" s="682"/>
      <c r="L4" s="683" t="s">
        <v>701</v>
      </c>
      <c r="M4" s="684"/>
    </row>
    <row r="5" spans="1:14" ht="15.75" customHeight="1">
      <c r="A5" s="689"/>
      <c r="B5" s="692"/>
      <c r="C5" s="692"/>
      <c r="D5" s="692"/>
      <c r="E5" s="692"/>
      <c r="F5" s="692"/>
      <c r="G5" s="692"/>
      <c r="H5" s="692"/>
      <c r="I5" s="693"/>
      <c r="J5" s="681" t="s">
        <v>601</v>
      </c>
      <c r="K5" s="682"/>
      <c r="L5" s="683" t="s">
        <v>702</v>
      </c>
      <c r="M5" s="684"/>
    </row>
    <row r="6" spans="1:14" ht="15.75" customHeight="1">
      <c r="A6" s="694"/>
      <c r="B6" s="686"/>
      <c r="C6" s="686"/>
      <c r="D6" s="686"/>
      <c r="E6" s="686"/>
      <c r="F6" s="686"/>
      <c r="G6" s="686"/>
      <c r="H6" s="686"/>
      <c r="I6" s="686"/>
      <c r="J6" s="681" t="s">
        <v>603</v>
      </c>
      <c r="K6" s="682"/>
      <c r="L6" s="683" t="s">
        <v>604</v>
      </c>
      <c r="M6" s="684"/>
    </row>
    <row r="7" spans="1:14" ht="15.75" customHeight="1" thickBot="1">
      <c r="A7" s="695" t="s">
        <v>703</v>
      </c>
      <c r="B7" s="696"/>
      <c r="C7" s="696"/>
      <c r="D7" s="696"/>
      <c r="E7" s="696"/>
      <c r="F7" s="696"/>
      <c r="G7" s="696"/>
      <c r="H7" s="696"/>
      <c r="I7" s="696"/>
      <c r="J7" s="697" t="s">
        <v>606</v>
      </c>
      <c r="K7" s="698"/>
      <c r="L7" s="699" t="s">
        <v>704</v>
      </c>
      <c r="M7" s="700"/>
    </row>
    <row r="8" spans="1:14" ht="15.75" customHeight="1">
      <c r="A8" s="603"/>
      <c r="B8" s="593"/>
      <c r="C8" s="593"/>
      <c r="D8" s="593"/>
      <c r="E8" s="593"/>
      <c r="F8" s="593"/>
      <c r="G8" s="593"/>
      <c r="H8" s="593"/>
      <c r="I8" s="593"/>
      <c r="J8" s="593"/>
      <c r="K8" s="604"/>
      <c r="L8" s="605"/>
      <c r="M8" s="606"/>
      <c r="N8" s="703"/>
    </row>
    <row r="9" spans="1:14" ht="15.75" customHeight="1">
      <c r="A9" s="607"/>
      <c r="B9" s="608" t="s">
        <v>608</v>
      </c>
      <c r="C9" s="609"/>
      <c r="D9" s="610"/>
      <c r="E9" s="610"/>
      <c r="F9" s="610"/>
      <c r="G9" s="610"/>
      <c r="H9" s="610"/>
      <c r="I9" s="610"/>
      <c r="J9" s="610"/>
      <c r="K9" s="611"/>
      <c r="L9" s="607"/>
      <c r="M9" s="610"/>
      <c r="N9" s="703"/>
    </row>
    <row r="10" spans="1:14" ht="15.75" customHeight="1">
      <c r="A10" s="607"/>
      <c r="B10" s="608" t="s">
        <v>609</v>
      </c>
      <c r="C10" s="612"/>
      <c r="D10" s="607"/>
      <c r="E10" s="607"/>
      <c r="F10" s="607"/>
      <c r="G10" s="607"/>
      <c r="H10" s="607"/>
      <c r="I10" s="607"/>
      <c r="J10" s="607"/>
      <c r="K10" s="607"/>
      <c r="L10" s="607"/>
      <c r="M10" s="607"/>
      <c r="N10" s="703"/>
    </row>
    <row r="11" spans="1:14" ht="15.75" customHeight="1" thickBot="1">
      <c r="A11" s="605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5"/>
      <c r="N11" s="703"/>
    </row>
    <row r="12" spans="1:14" ht="15.75" customHeight="1" thickBot="1">
      <c r="A12" s="613" t="s">
        <v>610</v>
      </c>
      <c r="B12" s="614"/>
      <c r="C12" s="614"/>
      <c r="D12" s="614"/>
      <c r="E12" s="614"/>
      <c r="F12" s="614"/>
      <c r="G12" s="614"/>
      <c r="H12" s="614"/>
      <c r="I12" s="614"/>
      <c r="J12" s="614"/>
      <c r="K12" s="614"/>
      <c r="L12" s="614"/>
      <c r="M12" s="615"/>
    </row>
    <row r="13" spans="1:14" ht="14.1" customHeight="1" thickTop="1">
      <c r="A13" s="616"/>
      <c r="B13" s="608" t="s">
        <v>611</v>
      </c>
      <c r="C13" s="617">
        <v>450</v>
      </c>
      <c r="D13" s="607"/>
      <c r="E13" s="608" t="s">
        <v>612</v>
      </c>
      <c r="F13" s="617">
        <v>4000</v>
      </c>
      <c r="G13" s="607"/>
      <c r="H13" s="608" t="s">
        <v>613</v>
      </c>
      <c r="I13" s="617" t="s">
        <v>697</v>
      </c>
      <c r="J13" s="607"/>
      <c r="K13" s="607"/>
      <c r="L13" s="608" t="s">
        <v>614</v>
      </c>
      <c r="M13" s="618">
        <v>1800</v>
      </c>
    </row>
    <row r="14" spans="1:14" ht="14.1" customHeight="1">
      <c r="A14" s="616"/>
      <c r="B14" s="608" t="s">
        <v>615</v>
      </c>
      <c r="C14" s="617" t="s">
        <v>195</v>
      </c>
      <c r="D14" s="607"/>
      <c r="E14" s="608" t="s">
        <v>616</v>
      </c>
      <c r="F14" s="619" t="s">
        <v>655</v>
      </c>
      <c r="G14" s="607"/>
      <c r="H14" s="608" t="s">
        <v>617</v>
      </c>
      <c r="I14" s="617">
        <v>56</v>
      </c>
      <c r="J14" s="607"/>
      <c r="K14" s="607"/>
      <c r="L14" s="608" t="s">
        <v>568</v>
      </c>
      <c r="M14" s="618">
        <v>1780</v>
      </c>
    </row>
    <row r="15" spans="1:14" ht="14.1" customHeight="1">
      <c r="A15" s="616"/>
      <c r="B15" s="608" t="s">
        <v>618</v>
      </c>
      <c r="C15" s="617" t="s">
        <v>194</v>
      </c>
      <c r="D15" s="607"/>
      <c r="E15" s="608" t="s">
        <v>619</v>
      </c>
      <c r="F15" s="620" t="s">
        <v>698</v>
      </c>
      <c r="G15" s="607"/>
      <c r="H15" s="608" t="s">
        <v>620</v>
      </c>
      <c r="I15" s="619" t="s">
        <v>175</v>
      </c>
      <c r="J15" s="607"/>
      <c r="K15" s="607"/>
      <c r="L15" s="608" t="s">
        <v>621</v>
      </c>
      <c r="M15" s="618" t="s">
        <v>366</v>
      </c>
    </row>
    <row r="16" spans="1:14" ht="14.1" customHeight="1">
      <c r="A16" s="616"/>
      <c r="B16" s="608" t="s">
        <v>622</v>
      </c>
      <c r="C16" s="617" t="s">
        <v>696</v>
      </c>
      <c r="D16" s="607"/>
      <c r="E16" s="608" t="s">
        <v>623</v>
      </c>
      <c r="F16" s="621">
        <v>40</v>
      </c>
      <c r="G16" s="607"/>
      <c r="H16" s="622" t="s">
        <v>624</v>
      </c>
      <c r="I16" s="623" t="s">
        <v>366</v>
      </c>
      <c r="J16" s="607"/>
      <c r="K16" s="607"/>
      <c r="L16" s="608" t="s">
        <v>625</v>
      </c>
      <c r="M16" s="618" t="s">
        <v>626</v>
      </c>
    </row>
    <row r="17" spans="1:22" ht="14.1" customHeight="1">
      <c r="A17" s="616"/>
      <c r="B17" s="608" t="s">
        <v>627</v>
      </c>
      <c r="C17" s="609"/>
      <c r="D17" s="607"/>
      <c r="E17" s="608"/>
      <c r="F17" s="619"/>
      <c r="G17" s="607"/>
      <c r="H17" s="608" t="s">
        <v>628</v>
      </c>
      <c r="I17" s="623" t="s">
        <v>175</v>
      </c>
      <c r="J17" s="607"/>
      <c r="K17" s="607"/>
      <c r="L17" s="608"/>
      <c r="M17" s="624"/>
    </row>
    <row r="18" spans="1:22" ht="14.1" customHeight="1" thickBot="1">
      <c r="A18" s="625"/>
      <c r="B18" s="626" t="s">
        <v>629</v>
      </c>
      <c r="C18" s="627">
        <v>94</v>
      </c>
      <c r="D18" s="628"/>
      <c r="E18" s="626" t="s">
        <v>630</v>
      </c>
      <c r="F18" s="627" t="s">
        <v>175</v>
      </c>
      <c r="G18" s="629"/>
      <c r="H18" s="626" t="s">
        <v>631</v>
      </c>
      <c r="I18" s="627">
        <v>91.5</v>
      </c>
      <c r="J18" s="628"/>
      <c r="K18" s="628"/>
      <c r="L18" s="628"/>
      <c r="M18" s="630"/>
    </row>
    <row r="19" spans="1:22" ht="15.75" customHeight="1">
      <c r="A19" s="703"/>
      <c r="B19" s="703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703"/>
    </row>
    <row r="20" spans="1:22" ht="15.75" customHeight="1" thickBot="1">
      <c r="A20" s="704"/>
      <c r="B20" s="704"/>
      <c r="C20" s="704"/>
      <c r="D20" s="704"/>
      <c r="E20" s="704"/>
      <c r="F20" s="704"/>
      <c r="G20" s="704"/>
      <c r="H20" s="704"/>
      <c r="I20" s="704"/>
      <c r="J20" s="704"/>
      <c r="K20" s="704"/>
      <c r="L20" s="704"/>
      <c r="M20" s="704"/>
    </row>
    <row r="21" spans="1:22" ht="15.75" customHeight="1">
      <c r="A21" s="705" t="s">
        <v>705</v>
      </c>
      <c r="B21" s="706"/>
      <c r="C21" s="706"/>
      <c r="D21" s="706"/>
      <c r="E21" s="706"/>
      <c r="F21" s="707" t="s">
        <v>706</v>
      </c>
      <c r="G21" s="707"/>
      <c r="H21" s="707"/>
      <c r="I21" s="708"/>
      <c r="J21" s="709"/>
      <c r="K21" s="709"/>
      <c r="L21" s="709"/>
      <c r="M21" s="709"/>
    </row>
    <row r="22" spans="1:22" ht="15.75" customHeight="1">
      <c r="A22" s="710" t="s">
        <v>707</v>
      </c>
      <c r="B22" s="711"/>
      <c r="C22" s="711"/>
      <c r="D22" s="711"/>
      <c r="E22" s="711"/>
      <c r="F22" s="712" t="s">
        <v>708</v>
      </c>
      <c r="G22" s="712"/>
      <c r="H22" s="712"/>
      <c r="I22" s="713"/>
      <c r="J22" s="714"/>
      <c r="K22" s="715"/>
      <c r="L22" s="715"/>
      <c r="M22" s="715"/>
    </row>
    <row r="23" spans="1:22" ht="15.75" customHeight="1">
      <c r="A23" s="710" t="s">
        <v>709</v>
      </c>
      <c r="B23" s="711"/>
      <c r="C23" s="711"/>
      <c r="D23" s="711"/>
      <c r="E23" s="711"/>
      <c r="F23" s="712" t="s">
        <v>710</v>
      </c>
      <c r="G23" s="712"/>
      <c r="H23" s="712"/>
      <c r="I23" s="713"/>
      <c r="J23" s="716"/>
      <c r="K23" s="717"/>
      <c r="L23" s="717"/>
      <c r="M23" s="717"/>
    </row>
    <row r="24" spans="1:22" ht="15.75" customHeight="1">
      <c r="A24" s="718"/>
      <c r="B24" s="719"/>
      <c r="C24" s="719"/>
      <c r="D24" s="720"/>
      <c r="E24" s="720"/>
      <c r="F24" s="721"/>
      <c r="G24" s="722"/>
      <c r="H24" s="722"/>
      <c r="I24" s="723"/>
      <c r="J24" s="724"/>
      <c r="K24" s="725"/>
      <c r="L24" s="725"/>
      <c r="M24" s="724"/>
      <c r="N24" s="703"/>
    </row>
    <row r="25" spans="1:22" ht="15.75" customHeight="1">
      <c r="A25" s="726" t="s">
        <v>711</v>
      </c>
      <c r="B25" s="727"/>
      <c r="C25" s="727"/>
      <c r="D25" s="727"/>
      <c r="E25" s="727"/>
      <c r="F25" s="712" t="s">
        <v>824</v>
      </c>
      <c r="G25" s="712"/>
      <c r="H25" s="712"/>
      <c r="I25" s="713"/>
      <c r="J25" s="728"/>
      <c r="K25" s="728"/>
      <c r="L25" s="728"/>
      <c r="M25" s="709"/>
      <c r="N25" s="703"/>
      <c r="Q25" s="729"/>
      <c r="R25" s="729"/>
      <c r="S25" s="729"/>
      <c r="T25" s="729"/>
      <c r="U25" s="729"/>
      <c r="V25" s="729"/>
    </row>
    <row r="26" spans="1:22" ht="15.75" customHeight="1">
      <c r="A26" s="730" t="s">
        <v>712</v>
      </c>
      <c r="B26" s="731"/>
      <c r="C26" s="731"/>
      <c r="D26" s="731"/>
      <c r="E26" s="731"/>
      <c r="F26" s="712" t="s">
        <v>825</v>
      </c>
      <c r="G26" s="712"/>
      <c r="H26" s="712"/>
      <c r="I26" s="713"/>
      <c r="J26" s="732"/>
      <c r="K26" s="732"/>
      <c r="L26" s="732"/>
      <c r="M26" s="709"/>
      <c r="N26" s="703"/>
      <c r="Q26" s="733"/>
      <c r="R26" s="733"/>
      <c r="S26" s="733"/>
      <c r="T26" s="733"/>
      <c r="U26" s="734"/>
      <c r="V26" s="733"/>
    </row>
    <row r="27" spans="1:22" ht="15.75" customHeight="1">
      <c r="A27" s="730" t="s">
        <v>713</v>
      </c>
      <c r="B27" s="731"/>
      <c r="C27" s="731"/>
      <c r="D27" s="731"/>
      <c r="E27" s="731"/>
      <c r="F27" s="712" t="s">
        <v>714</v>
      </c>
      <c r="G27" s="712"/>
      <c r="H27" s="712"/>
      <c r="I27" s="713"/>
      <c r="J27" s="732"/>
      <c r="K27" s="735"/>
      <c r="L27" s="735"/>
      <c r="M27" s="709"/>
      <c r="N27" s="703"/>
      <c r="Q27" s="733"/>
      <c r="R27" s="733"/>
      <c r="S27" s="733"/>
      <c r="T27" s="733"/>
      <c r="U27" s="733"/>
      <c r="V27" s="733"/>
    </row>
    <row r="28" spans="1:22" ht="15.75" customHeight="1">
      <c r="A28" s="718"/>
      <c r="B28" s="719"/>
      <c r="C28" s="719"/>
      <c r="D28" s="736"/>
      <c r="E28" s="736"/>
      <c r="F28" s="737"/>
      <c r="G28" s="738"/>
      <c r="H28" s="738"/>
      <c r="I28" s="723"/>
      <c r="J28" s="735"/>
      <c r="K28" s="735"/>
      <c r="L28" s="709"/>
      <c r="M28" s="709"/>
      <c r="N28" s="703"/>
      <c r="Q28" s="739"/>
      <c r="R28" s="739"/>
      <c r="S28" s="739"/>
      <c r="T28" s="739"/>
      <c r="U28" s="739"/>
      <c r="V28" s="739"/>
    </row>
    <row r="29" spans="1:22" ht="15.75" customHeight="1">
      <c r="A29" s="710" t="s">
        <v>715</v>
      </c>
      <c r="B29" s="711"/>
      <c r="C29" s="711"/>
      <c r="D29" s="711"/>
      <c r="E29" s="711"/>
      <c r="F29" s="712" t="s">
        <v>826</v>
      </c>
      <c r="G29" s="712"/>
      <c r="H29" s="712"/>
      <c r="I29" s="713"/>
      <c r="J29" s="709"/>
      <c r="K29" s="709"/>
      <c r="L29" s="709"/>
      <c r="M29" s="716"/>
      <c r="N29" s="703"/>
      <c r="Q29" s="740"/>
      <c r="R29" s="740"/>
      <c r="S29" s="740"/>
      <c r="T29" s="740"/>
      <c r="U29" s="740"/>
      <c r="V29" s="741"/>
    </row>
    <row r="30" spans="1:22" ht="15.75" customHeight="1">
      <c r="A30" s="718"/>
      <c r="B30" s="719"/>
      <c r="C30" s="719"/>
      <c r="D30" s="719"/>
      <c r="E30" s="719"/>
      <c r="F30" s="742"/>
      <c r="G30" s="743"/>
      <c r="H30" s="743"/>
      <c r="I30" s="744"/>
      <c r="J30" s="728"/>
      <c r="K30" s="728"/>
      <c r="L30" s="728"/>
      <c r="M30" s="724"/>
      <c r="N30" s="703"/>
    </row>
    <row r="31" spans="1:22" ht="15.75" customHeight="1">
      <c r="A31" s="710" t="s">
        <v>716</v>
      </c>
      <c r="B31" s="711"/>
      <c r="C31" s="711"/>
      <c r="D31" s="711"/>
      <c r="E31" s="711"/>
      <c r="F31" s="712" t="s">
        <v>827</v>
      </c>
      <c r="G31" s="712"/>
      <c r="H31" s="712"/>
      <c r="I31" s="713"/>
      <c r="J31" s="709"/>
      <c r="K31" s="709"/>
      <c r="L31" s="709"/>
      <c r="M31" s="724"/>
      <c r="N31" s="703"/>
    </row>
    <row r="32" spans="1:22" ht="15.75" customHeight="1">
      <c r="A32" s="710" t="s">
        <v>717</v>
      </c>
      <c r="B32" s="711"/>
      <c r="C32" s="711"/>
      <c r="D32" s="711"/>
      <c r="E32" s="711"/>
      <c r="F32" s="712" t="s">
        <v>828</v>
      </c>
      <c r="G32" s="712"/>
      <c r="H32" s="712"/>
      <c r="I32" s="713"/>
      <c r="J32" s="709"/>
      <c r="K32" s="709"/>
      <c r="L32" s="709"/>
      <c r="M32" s="724"/>
      <c r="N32" s="703"/>
    </row>
    <row r="33" spans="1:28" ht="15.75" customHeight="1">
      <c r="A33" s="710" t="s">
        <v>718</v>
      </c>
      <c r="B33" s="711"/>
      <c r="C33" s="711"/>
      <c r="D33" s="711"/>
      <c r="E33" s="711"/>
      <c r="F33" s="745">
        <v>0.05</v>
      </c>
      <c r="G33" s="745"/>
      <c r="H33" s="745"/>
      <c r="I33" s="746"/>
      <c r="J33" s="724"/>
      <c r="K33" s="724"/>
      <c r="L33" s="724"/>
      <c r="M33" s="724"/>
      <c r="N33" s="703"/>
    </row>
    <row r="34" spans="1:28" ht="15.75" customHeight="1">
      <c r="A34" s="710" t="s">
        <v>719</v>
      </c>
      <c r="B34" s="711"/>
      <c r="C34" s="711"/>
      <c r="D34" s="711"/>
      <c r="E34" s="711"/>
      <c r="F34" s="745">
        <v>1.0999999999999999E-2</v>
      </c>
      <c r="G34" s="745"/>
      <c r="H34" s="745"/>
      <c r="I34" s="746"/>
      <c r="M34" s="724"/>
      <c r="N34" s="703"/>
    </row>
    <row r="35" spans="1:28" ht="15.75" customHeight="1" thickBot="1">
      <c r="A35" s="747" t="s">
        <v>720</v>
      </c>
      <c r="B35" s="748"/>
      <c r="C35" s="748"/>
      <c r="D35" s="748"/>
      <c r="E35" s="748"/>
      <c r="F35" s="749">
        <v>1.238</v>
      </c>
      <c r="G35" s="749"/>
      <c r="H35" s="749"/>
      <c r="I35" s="750"/>
      <c r="M35" s="724"/>
      <c r="N35" s="703"/>
      <c r="T35" s="751"/>
      <c r="U35" s="733"/>
      <c r="V35" s="733"/>
      <c r="W35" s="733"/>
      <c r="X35" s="733"/>
      <c r="Y35" s="733"/>
      <c r="Z35" s="752"/>
      <c r="AA35" s="753"/>
      <c r="AB35" s="734"/>
    </row>
    <row r="36" spans="1:28" ht="15.75" customHeight="1">
      <c r="A36" s="754"/>
      <c r="E36" s="735"/>
      <c r="F36" s="735"/>
      <c r="G36" s="735"/>
      <c r="H36" s="709"/>
      <c r="I36" s="709"/>
      <c r="M36" s="724"/>
      <c r="N36" s="703"/>
      <c r="T36" s="733"/>
      <c r="U36" s="733"/>
      <c r="V36" s="733"/>
      <c r="W36" s="733"/>
      <c r="X36" s="734"/>
      <c r="Y36" s="733"/>
      <c r="Z36" s="755"/>
      <c r="AA36" s="755"/>
      <c r="AB36" s="756"/>
    </row>
    <row r="37" spans="1:28" ht="15.75" customHeight="1">
      <c r="A37" s="754"/>
      <c r="E37" s="757"/>
      <c r="F37" s="757"/>
      <c r="G37" s="757"/>
      <c r="H37" s="716"/>
      <c r="I37" s="716"/>
      <c r="M37" s="724"/>
      <c r="N37" s="703"/>
      <c r="T37" s="733"/>
      <c r="U37" s="733"/>
      <c r="V37" s="733"/>
      <c r="W37" s="733"/>
      <c r="X37" s="733"/>
      <c r="Y37" s="733"/>
      <c r="Z37" s="755"/>
      <c r="AA37" s="755"/>
      <c r="AB37" s="756"/>
    </row>
    <row r="38" spans="1:28" ht="15.75" customHeight="1">
      <c r="A38" s="754"/>
      <c r="B38" s="724"/>
      <c r="C38" s="724"/>
      <c r="D38" s="758"/>
      <c r="E38" s="757"/>
      <c r="F38" s="757"/>
      <c r="G38" s="757"/>
      <c r="H38" s="716"/>
      <c r="I38" s="716"/>
      <c r="J38" s="724"/>
      <c r="K38" s="724"/>
      <c r="L38" s="724"/>
      <c r="M38" s="724"/>
      <c r="N38" s="703"/>
      <c r="T38" s="739"/>
      <c r="U38" s="739"/>
      <c r="V38" s="739"/>
      <c r="W38" s="739"/>
      <c r="X38" s="739"/>
      <c r="Y38" s="739"/>
      <c r="Z38" s="759"/>
      <c r="AA38" s="759"/>
      <c r="AB38" s="760"/>
    </row>
    <row r="39" spans="1:28" ht="15.75" customHeight="1">
      <c r="A39" s="703"/>
      <c r="B39" s="703"/>
      <c r="C39" s="703"/>
      <c r="D39" s="703"/>
      <c r="E39" s="703"/>
      <c r="F39" s="703"/>
      <c r="G39" s="703"/>
      <c r="H39" s="703"/>
      <c r="I39" s="703"/>
      <c r="J39" s="703"/>
      <c r="K39" s="703"/>
      <c r="L39" s="703"/>
      <c r="M39" s="703"/>
      <c r="N39" s="686"/>
    </row>
    <row r="40" spans="1:28" ht="15.75" customHeight="1">
      <c r="A40" s="761"/>
      <c r="B40" s="703"/>
      <c r="C40" s="762"/>
      <c r="D40" s="763"/>
      <c r="E40" s="703"/>
      <c r="F40" s="703"/>
      <c r="G40" s="703"/>
      <c r="H40" s="686"/>
      <c r="I40" s="764" t="s">
        <v>652</v>
      </c>
      <c r="J40" s="765" t="s">
        <v>721</v>
      </c>
      <c r="K40" s="765"/>
      <c r="L40" s="765"/>
      <c r="M40" s="765"/>
      <c r="N40" s="703"/>
    </row>
    <row r="41" spans="1:28" ht="15.75" customHeight="1">
      <c r="A41" s="703"/>
      <c r="B41" s="703"/>
      <c r="C41" s="703"/>
      <c r="D41" s="703"/>
      <c r="E41" s="703"/>
      <c r="F41" s="703"/>
      <c r="G41" s="703"/>
      <c r="H41" s="703"/>
      <c r="I41" s="703"/>
      <c r="J41" s="686"/>
      <c r="K41" s="686"/>
      <c r="L41" s="686"/>
      <c r="M41" s="686"/>
    </row>
    <row r="42" spans="1:28" ht="15.75" customHeight="1">
      <c r="A42" s="703"/>
      <c r="B42" s="703"/>
      <c r="C42" s="703"/>
      <c r="D42" s="703"/>
      <c r="E42" s="703"/>
      <c r="F42" s="703"/>
      <c r="G42" s="703"/>
      <c r="H42" s="686"/>
      <c r="I42" s="764" t="s">
        <v>653</v>
      </c>
      <c r="J42" s="766">
        <v>45707</v>
      </c>
      <c r="K42" s="766"/>
      <c r="L42" s="766"/>
      <c r="M42" s="766"/>
    </row>
    <row r="43" spans="1:28" ht="15.95" customHeight="1"/>
  </sheetData>
  <mergeCells count="32">
    <mergeCell ref="A35:E35"/>
    <mergeCell ref="F35:I35"/>
    <mergeCell ref="Z36:AA36"/>
    <mergeCell ref="AB36:AB37"/>
    <mergeCell ref="Z37:AA37"/>
    <mergeCell ref="Z38:AA38"/>
    <mergeCell ref="A32:E32"/>
    <mergeCell ref="F32:I32"/>
    <mergeCell ref="A33:E33"/>
    <mergeCell ref="F33:I33"/>
    <mergeCell ref="A34:E34"/>
    <mergeCell ref="F34:I34"/>
    <mergeCell ref="A27:E27"/>
    <mergeCell ref="F27:I27"/>
    <mergeCell ref="A29:E29"/>
    <mergeCell ref="F29:I29"/>
    <mergeCell ref="A31:E31"/>
    <mergeCell ref="F31:I31"/>
    <mergeCell ref="A23:E23"/>
    <mergeCell ref="F23:I23"/>
    <mergeCell ref="A25:E25"/>
    <mergeCell ref="F25:I25"/>
    <mergeCell ref="Q25:V25"/>
    <mergeCell ref="A26:E26"/>
    <mergeCell ref="F26:I26"/>
    <mergeCell ref="L3:M3"/>
    <mergeCell ref="A4:I4"/>
    <mergeCell ref="A5:I5"/>
    <mergeCell ref="A21:E21"/>
    <mergeCell ref="F21:I21"/>
    <mergeCell ref="A22:E22"/>
    <mergeCell ref="F22:I22"/>
  </mergeCells>
  <printOptions horizontalCentered="1" gridLinesSet="0"/>
  <pageMargins left="0.5" right="0.5" top="0.5" bottom="0.5" header="0.5" footer="0.5"/>
  <pageSetup scale="94" orientation="portrait" horizontalDpi="4294967292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51516-63C6-4907-879D-F6374557A86B}">
  <sheetPr syncVertical="1" syncRef="A1" transitionEvaluation="1"/>
  <dimension ref="A1:U54"/>
  <sheetViews>
    <sheetView showGridLines="0" zoomScale="75" zoomScaleNormal="75" workbookViewId="0">
      <selection activeCell="R26" sqref="R26"/>
    </sheetView>
  </sheetViews>
  <sheetFormatPr defaultColWidth="12.5703125" defaultRowHeight="15.75"/>
  <cols>
    <col min="1" max="3" width="7" style="774" customWidth="1"/>
    <col min="4" max="4" width="8.28515625" style="774" customWidth="1"/>
    <col min="5" max="5" width="7" style="774" customWidth="1"/>
    <col min="6" max="6" width="8.85546875" style="774" customWidth="1"/>
    <col min="7" max="13" width="7" style="774" customWidth="1"/>
    <col min="14" max="14" width="7.140625" style="774" customWidth="1"/>
    <col min="15" max="16384" width="12.5703125" style="774"/>
  </cols>
  <sheetData>
    <row r="1" spans="1:14" ht="17.100000000000001" customHeight="1">
      <c r="A1" s="767" t="s">
        <v>270</v>
      </c>
      <c r="B1" s="768"/>
      <c r="C1" s="768"/>
      <c r="D1" s="768"/>
      <c r="E1" s="768"/>
      <c r="F1" s="768"/>
      <c r="G1" s="768"/>
      <c r="H1" s="768"/>
      <c r="I1" s="768"/>
      <c r="J1" s="769" t="s">
        <v>592</v>
      </c>
      <c r="K1" s="770"/>
      <c r="L1" s="771" t="s">
        <v>722</v>
      </c>
      <c r="M1" s="772"/>
      <c r="N1" s="773"/>
    </row>
    <row r="2" spans="1:14" ht="17.100000000000001" customHeight="1">
      <c r="A2" s="775" t="s">
        <v>594</v>
      </c>
      <c r="B2" s="776"/>
      <c r="C2" s="776"/>
      <c r="D2" s="776"/>
      <c r="E2" s="776"/>
      <c r="F2" s="776"/>
      <c r="G2" s="776"/>
      <c r="H2" s="776"/>
      <c r="I2" s="776"/>
      <c r="J2" s="777" t="s">
        <v>595</v>
      </c>
      <c r="K2" s="778"/>
      <c r="L2" s="779" t="s">
        <v>596</v>
      </c>
      <c r="M2" s="780"/>
      <c r="N2" s="773"/>
    </row>
    <row r="3" spans="1:14" ht="15.95" customHeight="1">
      <c r="A3" s="781"/>
      <c r="B3" s="701"/>
      <c r="C3" s="701"/>
      <c r="D3" s="701"/>
      <c r="E3" s="701"/>
      <c r="F3" s="701"/>
      <c r="G3" s="701"/>
      <c r="H3" s="701"/>
      <c r="I3" s="701"/>
      <c r="J3" s="777" t="s">
        <v>597</v>
      </c>
      <c r="K3" s="778"/>
      <c r="L3" s="782" t="s">
        <v>723</v>
      </c>
      <c r="M3" s="783"/>
      <c r="N3" s="773"/>
    </row>
    <row r="4" spans="1:14" ht="15.95" customHeight="1">
      <c r="A4" s="784"/>
      <c r="B4" s="701"/>
      <c r="C4" s="701"/>
      <c r="D4" s="701"/>
      <c r="E4" s="701"/>
      <c r="F4" s="701"/>
      <c r="G4" s="701"/>
      <c r="H4" s="701"/>
      <c r="I4" s="701"/>
      <c r="J4" s="777" t="s">
        <v>599</v>
      </c>
      <c r="K4" s="778"/>
      <c r="L4" s="785" t="s">
        <v>701</v>
      </c>
      <c r="M4" s="786"/>
      <c r="N4" s="773"/>
    </row>
    <row r="5" spans="1:14" ht="15.95" customHeight="1">
      <c r="A5" s="781"/>
      <c r="B5" s="701"/>
      <c r="C5" s="701"/>
      <c r="D5" s="701"/>
      <c r="E5" s="701"/>
      <c r="F5" s="701"/>
      <c r="G5" s="701"/>
      <c r="H5" s="701"/>
      <c r="I5" s="701"/>
      <c r="J5" s="777" t="s">
        <v>601</v>
      </c>
      <c r="K5" s="778"/>
      <c r="L5" s="785">
        <v>0</v>
      </c>
      <c r="M5" s="787"/>
      <c r="N5" s="773"/>
    </row>
    <row r="6" spans="1:14" ht="15.95" customHeight="1">
      <c r="A6" s="788" t="s">
        <v>602</v>
      </c>
      <c r="B6" s="701"/>
      <c r="C6" s="701"/>
      <c r="D6" s="701"/>
      <c r="E6" s="701"/>
      <c r="F6" s="701"/>
      <c r="G6" s="701"/>
      <c r="H6" s="701"/>
      <c r="I6" s="701"/>
      <c r="J6" s="777" t="s">
        <v>603</v>
      </c>
      <c r="K6" s="778"/>
      <c r="L6" s="785" t="s">
        <v>724</v>
      </c>
      <c r="M6" s="787"/>
      <c r="N6" s="773"/>
    </row>
    <row r="7" spans="1:14" ht="15.95" customHeight="1" thickBot="1">
      <c r="A7" s="789" t="s">
        <v>725</v>
      </c>
      <c r="B7" s="790"/>
      <c r="C7" s="790"/>
      <c r="D7" s="790"/>
      <c r="E7" s="790"/>
      <c r="F7" s="790"/>
      <c r="G7" s="790"/>
      <c r="H7" s="790"/>
      <c r="I7" s="790"/>
      <c r="J7" s="791" t="s">
        <v>606</v>
      </c>
      <c r="K7" s="792"/>
      <c r="L7" s="793" t="s">
        <v>726</v>
      </c>
      <c r="M7" s="794"/>
      <c r="N7" s="773"/>
    </row>
    <row r="8" spans="1:14" ht="6.75" customHeight="1">
      <c r="A8" s="603"/>
      <c r="B8" s="593"/>
      <c r="C8" s="593"/>
      <c r="D8" s="593"/>
      <c r="E8" s="593"/>
      <c r="F8" s="593"/>
      <c r="G8" s="593"/>
      <c r="H8" s="593"/>
      <c r="I8" s="593"/>
      <c r="J8" s="593"/>
      <c r="K8" s="604"/>
      <c r="L8" s="605"/>
      <c r="M8" s="606"/>
      <c r="N8" s="701"/>
    </row>
    <row r="9" spans="1:14" ht="12" customHeight="1">
      <c r="A9" s="607"/>
      <c r="B9" s="608" t="s">
        <v>608</v>
      </c>
      <c r="C9" s="609"/>
      <c r="D9" s="610"/>
      <c r="E9" s="610"/>
      <c r="F9" s="610"/>
      <c r="G9" s="610"/>
      <c r="H9" s="610"/>
      <c r="I9" s="610"/>
      <c r="J9" s="610"/>
      <c r="K9" s="611"/>
      <c r="L9" s="607"/>
      <c r="M9" s="610"/>
      <c r="N9" s="701"/>
    </row>
    <row r="10" spans="1:14" ht="12" customHeight="1">
      <c r="A10" s="607"/>
      <c r="B10" s="608" t="s">
        <v>609</v>
      </c>
      <c r="C10" s="612"/>
      <c r="D10" s="607"/>
      <c r="E10" s="607"/>
      <c r="F10" s="607"/>
      <c r="G10" s="607"/>
      <c r="H10" s="607"/>
      <c r="I10" s="607"/>
      <c r="J10" s="607"/>
      <c r="K10" s="607"/>
      <c r="L10" s="607"/>
      <c r="M10" s="607"/>
      <c r="N10" s="702"/>
    </row>
    <row r="11" spans="1:14" ht="6.75" customHeight="1" thickBot="1">
      <c r="A11" s="605"/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5"/>
      <c r="N11" s="702"/>
    </row>
    <row r="12" spans="1:14" ht="20.100000000000001" customHeight="1" thickBot="1">
      <c r="A12" s="613" t="s">
        <v>610</v>
      </c>
      <c r="B12" s="614"/>
      <c r="C12" s="614"/>
      <c r="D12" s="614"/>
      <c r="E12" s="614"/>
      <c r="F12" s="614"/>
      <c r="G12" s="614"/>
      <c r="H12" s="614"/>
      <c r="I12" s="614"/>
      <c r="J12" s="614"/>
      <c r="K12" s="614"/>
      <c r="L12" s="614"/>
      <c r="M12" s="615"/>
      <c r="N12" s="773"/>
    </row>
    <row r="13" spans="1:14" ht="12.95" customHeight="1" thickTop="1">
      <c r="A13" s="616"/>
      <c r="B13" s="608" t="s">
        <v>611</v>
      </c>
      <c r="C13" s="617">
        <v>450</v>
      </c>
      <c r="D13" s="607"/>
      <c r="E13" s="608" t="s">
        <v>612</v>
      </c>
      <c r="F13" s="617">
        <v>4000</v>
      </c>
      <c r="G13" s="607"/>
      <c r="H13" s="608" t="s">
        <v>613</v>
      </c>
      <c r="I13" s="617" t="s">
        <v>697</v>
      </c>
      <c r="J13" s="607"/>
      <c r="K13" s="607"/>
      <c r="L13" s="608" t="s">
        <v>614</v>
      </c>
      <c r="M13" s="618">
        <v>1800</v>
      </c>
      <c r="N13" s="773"/>
    </row>
    <row r="14" spans="1:14" ht="12.95" customHeight="1">
      <c r="A14" s="616"/>
      <c r="B14" s="608" t="s">
        <v>615</v>
      </c>
      <c r="C14" s="617" t="s">
        <v>195</v>
      </c>
      <c r="D14" s="607"/>
      <c r="E14" s="608" t="s">
        <v>616</v>
      </c>
      <c r="F14" s="619" t="s">
        <v>655</v>
      </c>
      <c r="G14" s="607"/>
      <c r="H14" s="608" t="s">
        <v>617</v>
      </c>
      <c r="I14" s="617">
        <v>56</v>
      </c>
      <c r="J14" s="607"/>
      <c r="K14" s="607"/>
      <c r="L14" s="608" t="s">
        <v>568</v>
      </c>
      <c r="M14" s="618">
        <v>1780</v>
      </c>
      <c r="N14" s="773"/>
    </row>
    <row r="15" spans="1:14" ht="12.95" customHeight="1">
      <c r="A15" s="616"/>
      <c r="B15" s="608" t="s">
        <v>618</v>
      </c>
      <c r="C15" s="617" t="s">
        <v>194</v>
      </c>
      <c r="D15" s="607"/>
      <c r="E15" s="608" t="s">
        <v>619</v>
      </c>
      <c r="F15" s="620" t="s">
        <v>698</v>
      </c>
      <c r="G15" s="607"/>
      <c r="H15" s="608" t="s">
        <v>620</v>
      </c>
      <c r="I15" s="619" t="s">
        <v>175</v>
      </c>
      <c r="J15" s="607"/>
      <c r="K15" s="607"/>
      <c r="L15" s="608" t="s">
        <v>621</v>
      </c>
      <c r="M15" s="618" t="s">
        <v>366</v>
      </c>
      <c r="N15" s="773"/>
    </row>
    <row r="16" spans="1:14" ht="12.95" customHeight="1">
      <c r="A16" s="616"/>
      <c r="B16" s="608" t="s">
        <v>622</v>
      </c>
      <c r="C16" s="617" t="s">
        <v>696</v>
      </c>
      <c r="D16" s="607"/>
      <c r="E16" s="608" t="s">
        <v>623</v>
      </c>
      <c r="F16" s="621">
        <v>40</v>
      </c>
      <c r="G16" s="607"/>
      <c r="H16" s="622" t="s">
        <v>624</v>
      </c>
      <c r="I16" s="623" t="s">
        <v>366</v>
      </c>
      <c r="J16" s="607"/>
      <c r="K16" s="607"/>
      <c r="L16" s="608" t="s">
        <v>625</v>
      </c>
      <c r="M16" s="618" t="s">
        <v>626</v>
      </c>
      <c r="N16" s="773"/>
    </row>
    <row r="17" spans="1:14" ht="12.95" customHeight="1">
      <c r="A17" s="616"/>
      <c r="B17" s="608" t="s">
        <v>627</v>
      </c>
      <c r="C17" s="609"/>
      <c r="D17" s="607"/>
      <c r="E17" s="608"/>
      <c r="F17" s="619"/>
      <c r="G17" s="607"/>
      <c r="H17" s="608" t="s">
        <v>628</v>
      </c>
      <c r="I17" s="623" t="s">
        <v>175</v>
      </c>
      <c r="J17" s="607"/>
      <c r="K17" s="607"/>
      <c r="L17" s="608"/>
      <c r="M17" s="624"/>
      <c r="N17" s="773"/>
    </row>
    <row r="18" spans="1:14" ht="12.95" customHeight="1" thickBot="1">
      <c r="A18" s="625"/>
      <c r="B18" s="626" t="s">
        <v>629</v>
      </c>
      <c r="C18" s="627">
        <v>94</v>
      </c>
      <c r="D18" s="628"/>
      <c r="E18" s="626" t="s">
        <v>630</v>
      </c>
      <c r="F18" s="627" t="s">
        <v>175</v>
      </c>
      <c r="G18" s="629"/>
      <c r="H18" s="626" t="s">
        <v>631</v>
      </c>
      <c r="I18" s="627">
        <v>91.5</v>
      </c>
      <c r="J18" s="628"/>
      <c r="K18" s="628"/>
      <c r="L18" s="628"/>
      <c r="M18" s="630"/>
      <c r="N18" s="773"/>
    </row>
    <row r="19" spans="1:14" ht="16.5" thickBot="1"/>
    <row r="20" spans="1:14" ht="16.5" thickBot="1">
      <c r="A20" s="795" t="s">
        <v>727</v>
      </c>
      <c r="B20" s="796"/>
      <c r="C20" s="796"/>
      <c r="D20" s="796"/>
      <c r="E20" s="796"/>
      <c r="F20" s="796"/>
      <c r="G20" s="796"/>
      <c r="H20" s="796"/>
      <c r="I20" s="796"/>
      <c r="J20" s="796"/>
      <c r="K20" s="796"/>
      <c r="L20" s="796"/>
      <c r="M20" s="797"/>
    </row>
    <row r="21" spans="1:14" ht="16.5" thickTop="1">
      <c r="A21" s="798"/>
      <c r="B21" s="799"/>
      <c r="C21" s="800"/>
      <c r="D21" s="801" t="s">
        <v>728</v>
      </c>
      <c r="E21" s="802" t="s">
        <v>821</v>
      </c>
      <c r="F21" s="803"/>
      <c r="G21" s="800"/>
      <c r="H21" s="800"/>
      <c r="I21" s="804" t="s">
        <v>729</v>
      </c>
      <c r="J21" s="805">
        <v>29.8</v>
      </c>
      <c r="K21" s="803"/>
      <c r="L21" s="803"/>
      <c r="M21" s="806"/>
    </row>
    <row r="22" spans="1:14" ht="16.5" thickBot="1">
      <c r="A22" s="807"/>
      <c r="B22" s="808"/>
      <c r="C22" s="808"/>
      <c r="D22" s="809" t="s">
        <v>730</v>
      </c>
      <c r="E22" s="810" t="s">
        <v>820</v>
      </c>
      <c r="F22" s="811"/>
      <c r="G22" s="808"/>
      <c r="H22" s="808"/>
      <c r="I22" s="808"/>
      <c r="J22" s="808"/>
      <c r="K22" s="808"/>
      <c r="L22" s="808"/>
      <c r="M22" s="812"/>
    </row>
    <row r="23" spans="1:14" ht="16.5" thickBot="1"/>
    <row r="24" spans="1:14" ht="16.5" thickBot="1">
      <c r="A24" s="795" t="s">
        <v>731</v>
      </c>
      <c r="B24" s="796"/>
      <c r="C24" s="796"/>
      <c r="D24" s="796"/>
      <c r="E24" s="796"/>
      <c r="F24" s="797"/>
      <c r="G24" s="813"/>
      <c r="H24" s="795" t="s">
        <v>732</v>
      </c>
      <c r="I24" s="796"/>
      <c r="J24" s="796"/>
      <c r="K24" s="796"/>
      <c r="L24" s="796"/>
      <c r="M24" s="797"/>
    </row>
    <row r="25" spans="1:14" ht="17.25" thickTop="1" thickBot="1">
      <c r="A25" s="814"/>
      <c r="B25" s="800"/>
      <c r="C25" s="804"/>
      <c r="D25" s="804"/>
      <c r="E25" s="804" t="s">
        <v>733</v>
      </c>
      <c r="F25" s="815">
        <v>1328</v>
      </c>
      <c r="G25" s="816"/>
      <c r="H25" s="800"/>
      <c r="I25" s="800"/>
      <c r="J25" s="817" t="s">
        <v>734</v>
      </c>
      <c r="K25" s="818" t="s">
        <v>382</v>
      </c>
      <c r="L25" s="819"/>
      <c r="M25" s="820"/>
    </row>
    <row r="26" spans="1:14" ht="17.25" thickTop="1" thickBot="1">
      <c r="A26" s="821"/>
      <c r="D26" s="822"/>
      <c r="E26" s="822" t="s">
        <v>735</v>
      </c>
      <c r="F26" s="823">
        <v>115</v>
      </c>
      <c r="G26" s="824"/>
      <c r="J26" s="825" t="s">
        <v>736</v>
      </c>
      <c r="K26" s="818" t="s">
        <v>382</v>
      </c>
      <c r="L26" s="819"/>
      <c r="M26" s="820"/>
    </row>
    <row r="27" spans="1:14" ht="16.5" thickTop="1">
      <c r="A27" s="821"/>
      <c r="D27" s="822"/>
      <c r="E27" s="822" t="s">
        <v>737</v>
      </c>
      <c r="F27" s="823">
        <v>115</v>
      </c>
      <c r="G27" s="824"/>
      <c r="J27" s="825" t="s">
        <v>738</v>
      </c>
      <c r="K27" s="818" t="s">
        <v>175</v>
      </c>
      <c r="L27" s="819"/>
      <c r="M27" s="820"/>
    </row>
    <row r="28" spans="1:14" ht="16.5" thickBot="1">
      <c r="A28" s="807"/>
      <c r="B28" s="808"/>
      <c r="C28" s="808"/>
      <c r="D28" s="809"/>
      <c r="E28" s="809" t="s">
        <v>739</v>
      </c>
      <c r="F28" s="826">
        <v>250</v>
      </c>
      <c r="G28" s="824"/>
      <c r="H28" s="808"/>
      <c r="I28" s="808"/>
      <c r="J28" s="827"/>
      <c r="K28" s="828"/>
      <c r="L28" s="828"/>
      <c r="M28" s="829"/>
    </row>
    <row r="29" spans="1:14" ht="16.5" thickBot="1"/>
    <row r="30" spans="1:14" ht="16.5" thickBot="1">
      <c r="A30" s="830" t="s">
        <v>740</v>
      </c>
      <c r="B30" s="831"/>
      <c r="C30" s="831"/>
      <c r="D30" s="831"/>
      <c r="E30" s="831"/>
      <c r="F30" s="831"/>
      <c r="G30" s="831"/>
      <c r="H30" s="831"/>
      <c r="I30" s="831"/>
      <c r="J30" s="831"/>
      <c r="K30" s="831"/>
      <c r="L30" s="831"/>
      <c r="M30" s="832"/>
    </row>
    <row r="31" spans="1:14" ht="16.5" thickTop="1">
      <c r="A31" s="833" t="s">
        <v>741</v>
      </c>
      <c r="B31" s="834"/>
      <c r="C31" s="834"/>
      <c r="D31" s="834"/>
      <c r="E31" s="834"/>
      <c r="F31" s="835"/>
      <c r="G31" s="836"/>
      <c r="H31" s="837" t="s">
        <v>742</v>
      </c>
      <c r="I31" s="834"/>
      <c r="J31" s="834"/>
      <c r="K31" s="834"/>
      <c r="L31" s="834"/>
      <c r="M31" s="838"/>
    </row>
    <row r="32" spans="1:14">
      <c r="A32" s="821"/>
      <c r="B32" s="839"/>
      <c r="C32" s="822" t="s">
        <v>743</v>
      </c>
      <c r="D32" s="840" t="s">
        <v>744</v>
      </c>
      <c r="E32" s="840"/>
      <c r="F32" s="841"/>
      <c r="G32" s="842"/>
      <c r="J32" s="822" t="s">
        <v>743</v>
      </c>
      <c r="K32" s="840" t="s">
        <v>745</v>
      </c>
      <c r="L32" s="840"/>
      <c r="M32" s="843"/>
    </row>
    <row r="33" spans="1:21">
      <c r="A33" s="821"/>
      <c r="B33" s="839"/>
      <c r="C33" s="822" t="s">
        <v>746</v>
      </c>
      <c r="D33" s="844" t="s">
        <v>747</v>
      </c>
      <c r="E33" s="844"/>
      <c r="F33" s="845"/>
      <c r="G33" s="842"/>
      <c r="J33" s="822" t="s">
        <v>746</v>
      </c>
      <c r="K33" s="844" t="s">
        <v>748</v>
      </c>
      <c r="L33" s="844"/>
      <c r="M33" s="846"/>
    </row>
    <row r="34" spans="1:21">
      <c r="A34" s="821"/>
      <c r="B34" s="839"/>
      <c r="C34" s="822" t="s">
        <v>749</v>
      </c>
      <c r="D34" s="844" t="s">
        <v>750</v>
      </c>
      <c r="E34" s="844"/>
      <c r="F34" s="845"/>
      <c r="G34" s="842"/>
      <c r="J34" s="822" t="s">
        <v>749</v>
      </c>
      <c r="K34" s="844" t="s">
        <v>751</v>
      </c>
      <c r="L34" s="844"/>
      <c r="M34" s="846"/>
    </row>
    <row r="35" spans="1:21" ht="16.5" thickBot="1">
      <c r="A35" s="807"/>
      <c r="B35" s="847"/>
      <c r="C35" s="809" t="s">
        <v>752</v>
      </c>
      <c r="D35" s="848" t="s">
        <v>753</v>
      </c>
      <c r="E35" s="848"/>
      <c r="F35" s="849"/>
      <c r="G35" s="842"/>
      <c r="H35" s="808"/>
      <c r="I35" s="808"/>
      <c r="J35" s="809" t="s">
        <v>752</v>
      </c>
      <c r="K35" s="848" t="s">
        <v>754</v>
      </c>
      <c r="L35" s="848"/>
      <c r="M35" s="850"/>
    </row>
    <row r="36" spans="1:21" ht="16.5" thickBot="1">
      <c r="P36" s="498"/>
      <c r="Q36" s="498"/>
      <c r="R36" s="498"/>
      <c r="S36" s="498"/>
      <c r="T36" s="498"/>
    </row>
    <row r="37" spans="1:21" ht="16.5" thickBot="1">
      <c r="A37" s="830" t="s">
        <v>755</v>
      </c>
      <c r="B37" s="831"/>
      <c r="C37" s="831"/>
      <c r="D37" s="831"/>
      <c r="E37" s="831"/>
      <c r="F37" s="831"/>
      <c r="G37" s="831"/>
      <c r="H37" s="831"/>
      <c r="I37" s="831"/>
      <c r="J37" s="831"/>
      <c r="K37" s="831"/>
      <c r="L37" s="831"/>
      <c r="M37" s="832"/>
      <c r="P37" s="498"/>
      <c r="Q37" s="498"/>
      <c r="R37" s="498"/>
      <c r="S37" s="498"/>
      <c r="T37" s="498"/>
      <c r="U37" s="498"/>
    </row>
    <row r="38" spans="1:21" ht="16.5" thickTop="1">
      <c r="A38" s="814"/>
      <c r="B38" s="815"/>
      <c r="C38" s="817" t="s">
        <v>756</v>
      </c>
      <c r="D38" s="851" t="s">
        <v>757</v>
      </c>
      <c r="E38" s="851"/>
      <c r="F38" s="851"/>
      <c r="G38" s="851"/>
      <c r="H38" s="800"/>
      <c r="I38" s="800"/>
      <c r="J38" s="804" t="s">
        <v>758</v>
      </c>
      <c r="K38" s="852" t="s">
        <v>822</v>
      </c>
      <c r="L38" s="852"/>
      <c r="M38" s="853"/>
      <c r="O38" s="854"/>
      <c r="P38" s="498"/>
      <c r="Q38" s="498"/>
      <c r="R38" s="498"/>
      <c r="S38" s="498"/>
      <c r="T38" s="498"/>
      <c r="U38" s="498"/>
    </row>
    <row r="39" spans="1:21" ht="16.5" thickBot="1">
      <c r="A39" s="807"/>
      <c r="B39" s="808"/>
      <c r="C39" s="826" t="s">
        <v>759</v>
      </c>
      <c r="D39" s="855" t="s">
        <v>760</v>
      </c>
      <c r="E39" s="855"/>
      <c r="F39" s="855"/>
      <c r="G39" s="855"/>
      <c r="H39" s="808"/>
      <c r="I39" s="808"/>
      <c r="J39" s="809" t="s">
        <v>761</v>
      </c>
      <c r="K39" s="856" t="s">
        <v>823</v>
      </c>
      <c r="L39" s="856"/>
      <c r="M39" s="857"/>
      <c r="O39" s="854"/>
      <c r="P39" s="498"/>
      <c r="Q39" s="498"/>
      <c r="R39" s="498"/>
      <c r="S39" s="498"/>
      <c r="T39" s="498"/>
      <c r="U39" s="498"/>
    </row>
    <row r="40" spans="1:21" ht="16.5" thickBot="1">
      <c r="A40" s="858"/>
      <c r="B40" s="858"/>
      <c r="C40" s="858"/>
      <c r="D40" s="859" t="s">
        <v>762</v>
      </c>
      <c r="E40" s="860"/>
      <c r="F40" s="860"/>
      <c r="G40" s="860"/>
      <c r="H40" s="860"/>
      <c r="I40" s="860"/>
      <c r="J40" s="861"/>
      <c r="K40" s="858"/>
      <c r="L40" s="858"/>
      <c r="M40" s="858"/>
      <c r="O40" s="498"/>
      <c r="P40" s="498"/>
      <c r="Q40" s="498"/>
      <c r="R40" s="498"/>
      <c r="S40" s="498"/>
      <c r="T40" s="498"/>
      <c r="U40" s="498"/>
    </row>
    <row r="41" spans="1:21">
      <c r="D41" s="862" t="s">
        <v>763</v>
      </c>
      <c r="E41" s="863"/>
      <c r="F41" s="864"/>
      <c r="G41" s="865" t="s">
        <v>764</v>
      </c>
      <c r="H41" s="866" t="s">
        <v>765</v>
      </c>
      <c r="I41" s="867" t="s">
        <v>766</v>
      </c>
      <c r="J41" s="868" t="s">
        <v>767</v>
      </c>
      <c r="M41" s="498"/>
      <c r="N41" s="498"/>
      <c r="O41" s="498"/>
      <c r="P41" s="498"/>
      <c r="Q41" s="498"/>
      <c r="R41" s="498"/>
      <c r="S41" s="498"/>
      <c r="T41" s="498"/>
      <c r="U41" s="498"/>
    </row>
    <row r="42" spans="1:21">
      <c r="D42" s="869" t="s">
        <v>768</v>
      </c>
      <c r="E42" s="870"/>
      <c r="F42" s="871"/>
      <c r="G42" s="872">
        <v>29.2</v>
      </c>
      <c r="H42" s="873">
        <v>42.2</v>
      </c>
      <c r="I42" s="873">
        <v>56</v>
      </c>
      <c r="J42" s="874" t="s">
        <v>175</v>
      </c>
      <c r="M42" s="498"/>
      <c r="N42" s="498"/>
      <c r="O42" s="498"/>
      <c r="P42" s="498"/>
      <c r="Q42" s="498"/>
      <c r="R42" s="498"/>
      <c r="S42" s="498"/>
      <c r="T42" s="498"/>
      <c r="U42" s="498"/>
    </row>
    <row r="43" spans="1:21">
      <c r="D43" s="869" t="s">
        <v>769</v>
      </c>
      <c r="E43" s="870"/>
      <c r="F43" s="871"/>
      <c r="G43" s="872">
        <v>93.4</v>
      </c>
      <c r="H43" s="873">
        <v>94.2</v>
      </c>
      <c r="I43" s="873">
        <v>94.3</v>
      </c>
      <c r="J43" s="874" t="s">
        <v>175</v>
      </c>
      <c r="M43" s="498"/>
      <c r="N43" s="498"/>
      <c r="O43" s="498"/>
      <c r="P43" s="498"/>
      <c r="Q43" s="498"/>
      <c r="R43" s="498"/>
      <c r="S43" s="498"/>
      <c r="T43" s="498"/>
      <c r="U43" s="498"/>
    </row>
    <row r="44" spans="1:21">
      <c r="D44" s="869" t="s">
        <v>770</v>
      </c>
      <c r="E44" s="870"/>
      <c r="F44" s="871"/>
      <c r="G44" s="872">
        <v>88.6</v>
      </c>
      <c r="H44" s="873">
        <v>91.4</v>
      </c>
      <c r="I44" s="873">
        <v>91.8</v>
      </c>
      <c r="J44" s="874" t="s">
        <v>175</v>
      </c>
      <c r="M44" s="498"/>
      <c r="N44" s="498"/>
      <c r="O44" s="498"/>
      <c r="P44" s="498"/>
      <c r="Q44" s="498"/>
      <c r="R44" s="498"/>
      <c r="S44" s="498"/>
      <c r="T44" s="498"/>
      <c r="U44" s="498"/>
    </row>
    <row r="45" spans="1:21" ht="16.5" thickBot="1">
      <c r="D45" s="875" t="s">
        <v>771</v>
      </c>
      <c r="E45" s="876"/>
      <c r="F45" s="877"/>
      <c r="G45" s="878" t="s">
        <v>175</v>
      </c>
      <c r="H45" s="879" t="s">
        <v>175</v>
      </c>
      <c r="I45" s="879" t="s">
        <v>175</v>
      </c>
      <c r="J45" s="880" t="s">
        <v>175</v>
      </c>
      <c r="M45" s="498"/>
      <c r="N45" s="498"/>
      <c r="O45" s="498"/>
      <c r="P45" s="498"/>
      <c r="Q45" s="498"/>
      <c r="R45" s="498"/>
      <c r="S45" s="498"/>
      <c r="T45" s="498"/>
      <c r="U45" s="498"/>
    </row>
    <row r="46" spans="1:21">
      <c r="A46" s="881" t="s">
        <v>772</v>
      </c>
      <c r="B46" s="881"/>
      <c r="C46" s="881"/>
      <c r="D46" s="881"/>
      <c r="E46" s="881"/>
      <c r="F46" s="881"/>
      <c r="G46" s="881"/>
      <c r="H46" s="881"/>
      <c r="I46" s="881"/>
      <c r="J46" s="881"/>
      <c r="K46" s="881"/>
      <c r="L46" s="881"/>
      <c r="M46" s="881"/>
      <c r="O46" s="498"/>
      <c r="P46" s="498"/>
      <c r="Q46" s="498"/>
      <c r="R46" s="498"/>
      <c r="S46" s="498"/>
      <c r="T46" s="498"/>
    </row>
    <row r="47" spans="1:21">
      <c r="O47" s="498"/>
      <c r="P47" s="498"/>
      <c r="Q47" s="498"/>
      <c r="R47" s="498"/>
      <c r="S47" s="498"/>
      <c r="T47" s="498"/>
    </row>
    <row r="48" spans="1:21">
      <c r="J48" s="882" t="s">
        <v>652</v>
      </c>
      <c r="K48" s="883" t="s">
        <v>721</v>
      </c>
      <c r="L48" s="883"/>
      <c r="M48" s="883"/>
      <c r="O48" s="498"/>
      <c r="P48" s="498"/>
      <c r="Q48" s="498"/>
      <c r="R48" s="498"/>
      <c r="S48" s="498"/>
      <c r="T48" s="498"/>
    </row>
    <row r="49" spans="1:13">
      <c r="K49" s="884"/>
      <c r="L49" s="884"/>
      <c r="M49" s="884"/>
    </row>
    <row r="50" spans="1:13">
      <c r="J50" s="882" t="s">
        <v>653</v>
      </c>
      <c r="K50" s="885">
        <v>45707</v>
      </c>
      <c r="L50" s="885"/>
      <c r="M50" s="885"/>
    </row>
    <row r="52" spans="1:13">
      <c r="A52" s="886"/>
    </row>
    <row r="53" spans="1:13">
      <c r="A53" s="887" t="s">
        <v>773</v>
      </c>
    </row>
    <row r="54" spans="1:13">
      <c r="A54" s="888"/>
    </row>
  </sheetData>
  <mergeCells count="38">
    <mergeCell ref="K48:M48"/>
    <mergeCell ref="K50:M50"/>
    <mergeCell ref="D41:F41"/>
    <mergeCell ref="D42:F42"/>
    <mergeCell ref="D43:F43"/>
    <mergeCell ref="D44:F44"/>
    <mergeCell ref="D45:F45"/>
    <mergeCell ref="A46:M46"/>
    <mergeCell ref="A37:M37"/>
    <mergeCell ref="D38:G38"/>
    <mergeCell ref="K38:M38"/>
    <mergeCell ref="D39:G39"/>
    <mergeCell ref="K39:M39"/>
    <mergeCell ref="D40:J40"/>
    <mergeCell ref="D33:F33"/>
    <mergeCell ref="K33:M33"/>
    <mergeCell ref="D34:F34"/>
    <mergeCell ref="K34:M34"/>
    <mergeCell ref="D35:F35"/>
    <mergeCell ref="K35:M35"/>
    <mergeCell ref="K28:M28"/>
    <mergeCell ref="A30:M30"/>
    <mergeCell ref="A31:F31"/>
    <mergeCell ref="H31:M31"/>
    <mergeCell ref="D32:F32"/>
    <mergeCell ref="K32:M32"/>
    <mergeCell ref="A20:M20"/>
    <mergeCell ref="A24:F24"/>
    <mergeCell ref="H24:M24"/>
    <mergeCell ref="K25:M25"/>
    <mergeCell ref="K26:M26"/>
    <mergeCell ref="K27:M27"/>
    <mergeCell ref="L1:M1"/>
    <mergeCell ref="L3:M3"/>
    <mergeCell ref="L4:M4"/>
    <mergeCell ref="L5:M5"/>
    <mergeCell ref="L6:M6"/>
    <mergeCell ref="L7:M7"/>
  </mergeCells>
  <printOptions horizontalCentered="1" gridLinesSet="0"/>
  <pageMargins left="0.5" right="0.5" top="0.5" bottom="0.5" header="0.5" footer="0.5"/>
  <pageSetup scale="89" orientation="portrait" horizontalDpi="4294967292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183E-5A13-4666-9722-9CE4EC64600F}">
  <sheetPr>
    <pageSetUpPr fitToPage="1"/>
  </sheetPr>
  <dimension ref="A1:L61"/>
  <sheetViews>
    <sheetView workbookViewId="0"/>
  </sheetViews>
  <sheetFormatPr defaultRowHeight="12.75"/>
  <cols>
    <col min="1" max="1" width="19.7109375" style="498" customWidth="1"/>
    <col min="2" max="7" width="10.7109375" style="498" customWidth="1"/>
    <col min="8" max="16384" width="9.140625" style="498"/>
  </cols>
  <sheetData>
    <row r="1" spans="1:12" ht="21" customHeight="1">
      <c r="A1" s="496" t="s">
        <v>408</v>
      </c>
      <c r="B1" s="497" t="s">
        <v>447</v>
      </c>
      <c r="C1" s="497"/>
      <c r="D1" s="497"/>
      <c r="E1" s="497"/>
      <c r="F1" s="497"/>
      <c r="G1" s="497"/>
    </row>
    <row r="2" spans="1:12" ht="15" customHeight="1"/>
    <row r="3" spans="1:12" ht="20.25">
      <c r="A3" s="499" t="s">
        <v>409</v>
      </c>
    </row>
    <row r="4" spans="1:12" ht="12" customHeight="1">
      <c r="A4" s="500"/>
      <c r="B4" s="500"/>
      <c r="C4" s="500"/>
      <c r="D4" s="500" t="s">
        <v>461</v>
      </c>
      <c r="E4" s="500"/>
      <c r="F4" s="500"/>
      <c r="G4" s="500"/>
      <c r="H4" s="500"/>
      <c r="I4" s="500"/>
      <c r="J4" s="500"/>
      <c r="K4" s="500"/>
      <c r="L4" s="500"/>
    </row>
    <row r="5" spans="1:12" ht="15.6" customHeight="1">
      <c r="A5" s="501" t="s">
        <v>5</v>
      </c>
      <c r="B5" s="501" t="s">
        <v>410</v>
      </c>
      <c r="C5" s="501" t="s">
        <v>411</v>
      </c>
      <c r="D5" s="501" t="s">
        <v>412</v>
      </c>
      <c r="E5" s="501" t="s">
        <v>413</v>
      </c>
      <c r="F5" s="501" t="s">
        <v>414</v>
      </c>
      <c r="G5" s="501" t="s">
        <v>415</v>
      </c>
      <c r="H5" s="500"/>
      <c r="I5" s="500"/>
      <c r="J5" s="500"/>
      <c r="K5" s="500"/>
      <c r="L5" s="500"/>
    </row>
    <row r="6" spans="1:12" ht="15.6" customHeight="1">
      <c r="A6" s="502" t="s">
        <v>416</v>
      </c>
      <c r="B6" s="502" t="s">
        <v>166</v>
      </c>
      <c r="C6" s="502" t="s">
        <v>166</v>
      </c>
      <c r="D6" s="502" t="s">
        <v>417</v>
      </c>
      <c r="E6" s="502" t="s">
        <v>135</v>
      </c>
      <c r="F6" s="502" t="s">
        <v>418</v>
      </c>
      <c r="G6" s="502" t="s">
        <v>418</v>
      </c>
      <c r="H6" s="500"/>
      <c r="I6" s="500"/>
      <c r="J6" s="500"/>
      <c r="K6" s="500"/>
      <c r="L6" s="500"/>
    </row>
    <row r="7" spans="1:12" ht="15.95" customHeight="1">
      <c r="A7" s="503" t="s">
        <v>448</v>
      </c>
      <c r="B7" s="503" t="s">
        <v>462</v>
      </c>
      <c r="C7" s="503" t="s">
        <v>469</v>
      </c>
      <c r="D7" s="503" t="s">
        <v>480</v>
      </c>
      <c r="E7" s="503" t="s">
        <v>491</v>
      </c>
      <c r="F7" s="503" t="s">
        <v>503</v>
      </c>
      <c r="G7" s="503" t="s">
        <v>515</v>
      </c>
      <c r="H7" s="500"/>
      <c r="I7" s="500"/>
      <c r="J7" s="500"/>
      <c r="K7" s="500"/>
      <c r="L7" s="500"/>
    </row>
    <row r="8" spans="1:12" ht="15.95" customHeight="1">
      <c r="A8" s="503" t="s">
        <v>449</v>
      </c>
      <c r="B8" s="503" t="s">
        <v>462</v>
      </c>
      <c r="C8" s="503" t="s">
        <v>470</v>
      </c>
      <c r="D8" s="503" t="s">
        <v>481</v>
      </c>
      <c r="E8" s="503" t="s">
        <v>492</v>
      </c>
      <c r="F8" s="503" t="s">
        <v>504</v>
      </c>
      <c r="G8" s="503" t="s">
        <v>516</v>
      </c>
      <c r="H8" s="500"/>
      <c r="I8" s="500"/>
      <c r="J8" s="500"/>
      <c r="K8" s="500"/>
      <c r="L8" s="500"/>
    </row>
    <row r="9" spans="1:12" ht="15.95" customHeight="1">
      <c r="A9" s="503" t="s">
        <v>450</v>
      </c>
      <c r="B9" s="503" t="s">
        <v>462</v>
      </c>
      <c r="C9" s="503" t="s">
        <v>471</v>
      </c>
      <c r="D9" s="503" t="s">
        <v>482</v>
      </c>
      <c r="E9" s="503" t="s">
        <v>493</v>
      </c>
      <c r="F9" s="503" t="s">
        <v>505</v>
      </c>
      <c r="G9" s="503" t="s">
        <v>517</v>
      </c>
      <c r="H9" s="500"/>
      <c r="I9" s="500"/>
      <c r="J9" s="500"/>
      <c r="K9" s="500"/>
      <c r="L9" s="500"/>
    </row>
    <row r="10" spans="1:12" ht="15.95" customHeight="1">
      <c r="A10" s="503" t="s">
        <v>451</v>
      </c>
      <c r="B10" s="503" t="s">
        <v>462</v>
      </c>
      <c r="C10" s="503" t="s">
        <v>471</v>
      </c>
      <c r="D10" s="503" t="s">
        <v>482</v>
      </c>
      <c r="E10" s="503" t="s">
        <v>494</v>
      </c>
      <c r="F10" s="503" t="s">
        <v>506</v>
      </c>
      <c r="G10" s="503" t="s">
        <v>518</v>
      </c>
      <c r="H10" s="500"/>
      <c r="I10" s="500"/>
      <c r="J10" s="500"/>
      <c r="K10" s="500"/>
      <c r="L10" s="500"/>
    </row>
    <row r="11" spans="1:12" ht="15.95" customHeight="1">
      <c r="A11" s="503" t="s">
        <v>452</v>
      </c>
      <c r="B11" s="503" t="s">
        <v>462</v>
      </c>
      <c r="C11" s="503" t="s">
        <v>472</v>
      </c>
      <c r="D11" s="503" t="s">
        <v>483</v>
      </c>
      <c r="E11" s="503" t="s">
        <v>495</v>
      </c>
      <c r="F11" s="503" t="s">
        <v>507</v>
      </c>
      <c r="G11" s="503" t="s">
        <v>519</v>
      </c>
      <c r="H11" s="500"/>
      <c r="I11" s="500"/>
      <c r="J11" s="500"/>
      <c r="K11" s="500"/>
      <c r="L11" s="500"/>
    </row>
    <row r="12" spans="1:12" ht="15.95" customHeight="1">
      <c r="A12" s="503" t="s">
        <v>453</v>
      </c>
      <c r="B12" s="503" t="s">
        <v>462</v>
      </c>
      <c r="C12" s="503" t="s">
        <v>473</v>
      </c>
      <c r="D12" s="503" t="s">
        <v>484</v>
      </c>
      <c r="E12" s="503" t="s">
        <v>496</v>
      </c>
      <c r="F12" s="503" t="s">
        <v>508</v>
      </c>
      <c r="G12" s="503" t="s">
        <v>520</v>
      </c>
      <c r="H12" s="500"/>
      <c r="I12" s="500"/>
      <c r="J12" s="500"/>
      <c r="K12" s="500"/>
      <c r="L12" s="500"/>
    </row>
    <row r="13" spans="1:12" ht="15.95" customHeight="1">
      <c r="A13" s="503" t="s">
        <v>454</v>
      </c>
      <c r="B13" s="503" t="s">
        <v>463</v>
      </c>
      <c r="C13" s="503" t="s">
        <v>474</v>
      </c>
      <c r="D13" s="503" t="s">
        <v>485</v>
      </c>
      <c r="E13" s="503" t="s">
        <v>497</v>
      </c>
      <c r="F13" s="503" t="s">
        <v>509</v>
      </c>
      <c r="G13" s="503" t="s">
        <v>521</v>
      </c>
      <c r="H13" s="500"/>
      <c r="I13" s="500"/>
      <c r="J13" s="500"/>
      <c r="K13" s="500"/>
      <c r="L13" s="500"/>
    </row>
    <row r="14" spans="1:12" ht="15.95" customHeight="1">
      <c r="A14" s="503" t="s">
        <v>455</v>
      </c>
      <c r="B14" s="503" t="s">
        <v>464</v>
      </c>
      <c r="C14" s="503" t="s">
        <v>475</v>
      </c>
      <c r="D14" s="503" t="s">
        <v>486</v>
      </c>
      <c r="E14" s="503" t="s">
        <v>498</v>
      </c>
      <c r="F14" s="503" t="s">
        <v>510</v>
      </c>
      <c r="G14" s="503" t="s">
        <v>522</v>
      </c>
      <c r="H14" s="500"/>
      <c r="I14" s="500"/>
      <c r="J14" s="500"/>
      <c r="K14" s="500"/>
      <c r="L14" s="500"/>
    </row>
    <row r="15" spans="1:12" ht="15.95" customHeight="1">
      <c r="A15" s="503" t="s">
        <v>456</v>
      </c>
      <c r="B15" s="503" t="s">
        <v>465</v>
      </c>
      <c r="C15" s="503" t="s">
        <v>476</v>
      </c>
      <c r="D15" s="503" t="s">
        <v>487</v>
      </c>
      <c r="E15" s="503" t="s">
        <v>499</v>
      </c>
      <c r="F15" s="503" t="s">
        <v>511</v>
      </c>
      <c r="G15" s="503" t="s">
        <v>523</v>
      </c>
      <c r="H15" s="500"/>
      <c r="I15" s="500"/>
      <c r="J15" s="500"/>
      <c r="K15" s="500"/>
      <c r="L15" s="500"/>
    </row>
    <row r="16" spans="1:12" ht="15.95" customHeight="1">
      <c r="A16" s="503" t="s">
        <v>457</v>
      </c>
      <c r="B16" s="503" t="s">
        <v>466</v>
      </c>
      <c r="C16" s="503" t="s">
        <v>477</v>
      </c>
      <c r="D16" s="503" t="s">
        <v>488</v>
      </c>
      <c r="E16" s="503" t="s">
        <v>500</v>
      </c>
      <c r="F16" s="503" t="s">
        <v>512</v>
      </c>
      <c r="G16" s="503" t="s">
        <v>524</v>
      </c>
      <c r="H16" s="500"/>
      <c r="I16" s="500"/>
      <c r="J16" s="500"/>
      <c r="K16" s="500"/>
      <c r="L16" s="500"/>
    </row>
    <row r="17" spans="1:12" ht="15.95" customHeight="1">
      <c r="A17" s="503" t="s">
        <v>458</v>
      </c>
      <c r="B17" s="503" t="s">
        <v>467</v>
      </c>
      <c r="C17" s="503" t="s">
        <v>478</v>
      </c>
      <c r="D17" s="503" t="s">
        <v>489</v>
      </c>
      <c r="E17" s="503" t="s">
        <v>501</v>
      </c>
      <c r="F17" s="503" t="s">
        <v>513</v>
      </c>
      <c r="G17" s="503" t="s">
        <v>525</v>
      </c>
      <c r="H17" s="500"/>
      <c r="I17" s="500"/>
      <c r="J17" s="500"/>
      <c r="K17" s="500"/>
      <c r="L17" s="500"/>
    </row>
    <row r="18" spans="1:12" ht="15.95" customHeight="1">
      <c r="A18" s="503" t="s">
        <v>459</v>
      </c>
      <c r="B18" s="503" t="s">
        <v>468</v>
      </c>
      <c r="C18" s="503" t="s">
        <v>479</v>
      </c>
      <c r="D18" s="503" t="s">
        <v>490</v>
      </c>
      <c r="E18" s="503" t="s">
        <v>502</v>
      </c>
      <c r="F18" s="503" t="s">
        <v>514</v>
      </c>
      <c r="G18" s="503" t="s">
        <v>526</v>
      </c>
      <c r="H18" s="500"/>
      <c r="I18" s="500"/>
      <c r="J18" s="500"/>
      <c r="K18" s="500"/>
      <c r="L18" s="500"/>
    </row>
    <row r="19" spans="1:12" ht="15.95" customHeight="1">
      <c r="A19" s="520" t="s">
        <v>460</v>
      </c>
      <c r="B19" s="520" t="s">
        <v>460</v>
      </c>
      <c r="C19" s="520" t="s">
        <v>460</v>
      </c>
      <c r="D19" s="520" t="s">
        <v>460</v>
      </c>
      <c r="E19" s="520" t="s">
        <v>460</v>
      </c>
      <c r="F19" s="520" t="s">
        <v>460</v>
      </c>
      <c r="G19" s="520" t="s">
        <v>460</v>
      </c>
      <c r="H19" s="500"/>
      <c r="I19" s="500"/>
      <c r="J19" s="500"/>
      <c r="K19" s="500"/>
      <c r="L19" s="500"/>
    </row>
    <row r="20" spans="1:12" ht="15.75">
      <c r="A20" s="500"/>
      <c r="B20" s="500"/>
      <c r="C20" s="500"/>
      <c r="D20" s="500"/>
      <c r="E20" s="500"/>
      <c r="F20" s="500"/>
      <c r="G20" s="500"/>
      <c r="H20" s="500"/>
      <c r="I20" s="500"/>
      <c r="J20" s="500"/>
      <c r="K20" s="500"/>
      <c r="L20" s="500"/>
    </row>
    <row r="21" spans="1:12" ht="15.75">
      <c r="A21" s="500"/>
      <c r="B21" s="500"/>
      <c r="C21" s="500"/>
      <c r="D21" s="504" t="s">
        <v>535</v>
      </c>
      <c r="E21" s="505"/>
      <c r="F21" s="505"/>
      <c r="G21" s="506"/>
      <c r="H21" s="500"/>
      <c r="I21" s="500"/>
      <c r="J21" s="500"/>
      <c r="K21" s="500"/>
      <c r="L21" s="500"/>
    </row>
    <row r="22" spans="1:12" ht="17.25" customHeight="1">
      <c r="A22" s="500"/>
      <c r="B22" s="507" t="s">
        <v>419</v>
      </c>
      <c r="C22" s="507"/>
      <c r="D22" s="507" t="s">
        <v>420</v>
      </c>
      <c r="E22" s="507"/>
      <c r="F22" s="507" t="s">
        <v>421</v>
      </c>
      <c r="G22" s="507"/>
      <c r="H22" s="500"/>
      <c r="I22" s="500"/>
      <c r="J22" s="500"/>
      <c r="K22" s="500"/>
      <c r="L22" s="500"/>
    </row>
    <row r="23" spans="1:12" ht="15.75">
      <c r="A23" s="508" t="s">
        <v>422</v>
      </c>
      <c r="B23" s="509" t="s">
        <v>527</v>
      </c>
      <c r="C23" s="509"/>
      <c r="D23" s="509" t="s">
        <v>530</v>
      </c>
      <c r="E23" s="509"/>
      <c r="F23" s="509" t="s">
        <v>533</v>
      </c>
      <c r="G23" s="509"/>
      <c r="H23" s="500"/>
      <c r="I23" s="500"/>
      <c r="J23" s="500"/>
      <c r="K23" s="500"/>
      <c r="L23" s="500"/>
    </row>
    <row r="24" spans="1:12" ht="18" customHeight="1">
      <c r="A24" s="508" t="s">
        <v>423</v>
      </c>
      <c r="B24" s="509" t="s">
        <v>528</v>
      </c>
      <c r="C24" s="509"/>
      <c r="D24" s="509" t="s">
        <v>531</v>
      </c>
      <c r="E24" s="509"/>
      <c r="F24" s="509" t="s">
        <v>534</v>
      </c>
      <c r="G24" s="509"/>
      <c r="H24" s="500"/>
      <c r="I24" s="500"/>
      <c r="J24" s="500"/>
      <c r="K24" s="500"/>
      <c r="L24" s="500"/>
    </row>
    <row r="25" spans="1:12" ht="15.75">
      <c r="A25" s="508" t="s">
        <v>424</v>
      </c>
      <c r="B25" s="509" t="s">
        <v>529</v>
      </c>
      <c r="C25" s="509"/>
      <c r="D25" s="509" t="s">
        <v>532</v>
      </c>
      <c r="E25" s="509"/>
      <c r="F25" s="509" t="s">
        <v>530</v>
      </c>
      <c r="G25" s="509"/>
      <c r="H25" s="500"/>
      <c r="I25" s="500"/>
      <c r="J25" s="500"/>
      <c r="K25" s="500"/>
      <c r="L25" s="500"/>
    </row>
    <row r="26" spans="1:12" ht="15.75">
      <c r="A26" s="500"/>
      <c r="B26" s="500"/>
      <c r="C26" s="500"/>
      <c r="D26" s="500"/>
      <c r="E26" s="500"/>
      <c r="F26" s="500"/>
      <c r="G26" s="500"/>
      <c r="H26" s="500"/>
      <c r="I26" s="500"/>
      <c r="J26" s="500"/>
      <c r="K26" s="500"/>
      <c r="L26" s="500"/>
    </row>
    <row r="27" spans="1:12" ht="20.25">
      <c r="A27" s="499" t="s">
        <v>425</v>
      </c>
      <c r="B27" s="500"/>
      <c r="C27" s="500"/>
      <c r="D27" s="500"/>
      <c r="E27" s="500"/>
      <c r="F27" s="500"/>
      <c r="G27" s="500"/>
      <c r="H27" s="500"/>
      <c r="I27" s="500"/>
      <c r="J27" s="500"/>
      <c r="K27" s="500"/>
      <c r="L27" s="500"/>
    </row>
    <row r="28" spans="1:12" ht="15.75">
      <c r="A28" s="500"/>
      <c r="B28" s="500"/>
      <c r="C28" s="500"/>
      <c r="D28" s="500"/>
      <c r="E28" s="510" t="s">
        <v>426</v>
      </c>
      <c r="F28" s="505"/>
      <c r="G28" s="506"/>
      <c r="H28" s="500"/>
      <c r="I28" s="500"/>
      <c r="J28" s="500"/>
      <c r="K28" s="500"/>
      <c r="L28" s="500"/>
    </row>
    <row r="29" spans="1:12" ht="15.75">
      <c r="A29" s="500"/>
      <c r="B29" s="507" t="s">
        <v>427</v>
      </c>
      <c r="C29" s="507"/>
      <c r="D29" s="511" t="s">
        <v>428</v>
      </c>
      <c r="E29" s="511" t="s">
        <v>429</v>
      </c>
      <c r="F29" s="507" t="s">
        <v>430</v>
      </c>
      <c r="G29" s="507"/>
      <c r="H29" s="500"/>
      <c r="I29" s="500"/>
      <c r="J29" s="500"/>
      <c r="K29" s="500"/>
      <c r="L29" s="500"/>
    </row>
    <row r="30" spans="1:12" ht="15.75">
      <c r="A30" s="508" t="s">
        <v>431</v>
      </c>
      <c r="B30" s="509" t="s">
        <v>536</v>
      </c>
      <c r="C30" s="509"/>
      <c r="D30" s="503" t="s">
        <v>539</v>
      </c>
      <c r="E30" s="503" t="s">
        <v>432</v>
      </c>
      <c r="F30" s="509" t="s">
        <v>542</v>
      </c>
      <c r="G30" s="509"/>
      <c r="H30" s="500"/>
      <c r="I30" s="500"/>
      <c r="J30" s="500"/>
      <c r="K30" s="500"/>
      <c r="L30" s="500"/>
    </row>
    <row r="31" spans="1:12" ht="15.75">
      <c r="A31" s="508" t="s">
        <v>433</v>
      </c>
      <c r="B31" s="509" t="s">
        <v>537</v>
      </c>
      <c r="C31" s="509"/>
      <c r="D31" s="503" t="s">
        <v>540</v>
      </c>
      <c r="E31" s="503" t="s">
        <v>434</v>
      </c>
      <c r="F31" s="509" t="s">
        <v>543</v>
      </c>
      <c r="G31" s="509"/>
      <c r="H31" s="500"/>
      <c r="I31" s="500"/>
      <c r="J31" s="500"/>
      <c r="K31" s="500"/>
      <c r="L31" s="500"/>
    </row>
    <row r="32" spans="1:12" ht="15.75">
      <c r="A32" s="508" t="s">
        <v>435</v>
      </c>
      <c r="B32" s="509" t="s">
        <v>538</v>
      </c>
      <c r="C32" s="509"/>
      <c r="D32" s="503" t="s">
        <v>541</v>
      </c>
      <c r="E32" s="503" t="s">
        <v>436</v>
      </c>
      <c r="F32" s="509" t="s">
        <v>544</v>
      </c>
      <c r="G32" s="509"/>
      <c r="H32" s="500"/>
      <c r="I32" s="500"/>
      <c r="J32" s="500"/>
      <c r="K32" s="500"/>
      <c r="L32" s="500"/>
    </row>
    <row r="33" spans="1:12" ht="15.75">
      <c r="A33" s="500"/>
      <c r="B33" s="500"/>
      <c r="C33" s="500"/>
      <c r="D33" s="500"/>
      <c r="E33" s="500"/>
      <c r="F33" s="500"/>
      <c r="G33" s="500"/>
      <c r="H33" s="500"/>
      <c r="I33" s="500"/>
      <c r="J33" s="500"/>
      <c r="K33" s="500"/>
      <c r="L33" s="500"/>
    </row>
    <row r="34" spans="1:12" ht="15.75">
      <c r="A34" s="500"/>
      <c r="B34" s="500"/>
      <c r="C34" s="500"/>
      <c r="D34" s="500"/>
      <c r="E34" s="510" t="s">
        <v>437</v>
      </c>
      <c r="F34" s="505"/>
      <c r="G34" s="506"/>
      <c r="H34" s="500"/>
      <c r="I34" s="500"/>
      <c r="J34" s="500"/>
      <c r="K34" s="500"/>
      <c r="L34" s="500"/>
    </row>
    <row r="35" spans="1:12" ht="15.75">
      <c r="A35" s="500"/>
      <c r="B35" s="507" t="s">
        <v>438</v>
      </c>
      <c r="C35" s="507"/>
      <c r="D35" s="511" t="s">
        <v>429</v>
      </c>
      <c r="E35" s="511" t="s">
        <v>439</v>
      </c>
      <c r="F35" s="511" t="s">
        <v>100</v>
      </c>
      <c r="G35" s="511" t="s">
        <v>440</v>
      </c>
      <c r="H35" s="500"/>
      <c r="I35" s="500"/>
      <c r="J35" s="500"/>
      <c r="K35" s="500"/>
      <c r="L35" s="500"/>
    </row>
    <row r="36" spans="1:12" ht="15.75">
      <c r="A36" s="508" t="s">
        <v>431</v>
      </c>
      <c r="B36" s="512" t="s">
        <v>545</v>
      </c>
      <c r="C36" s="513"/>
      <c r="D36" s="514" t="s">
        <v>547</v>
      </c>
      <c r="E36" s="514" t="s">
        <v>441</v>
      </c>
      <c r="F36" s="515" t="s">
        <v>442</v>
      </c>
      <c r="G36" s="503" t="s">
        <v>550</v>
      </c>
      <c r="H36" s="500"/>
      <c r="I36" s="500"/>
      <c r="J36" s="500"/>
      <c r="K36" s="500"/>
      <c r="L36" s="500"/>
    </row>
    <row r="37" spans="1:12" ht="15.75">
      <c r="A37" s="508" t="s">
        <v>433</v>
      </c>
      <c r="B37" s="512" t="s">
        <v>546</v>
      </c>
      <c r="C37" s="513"/>
      <c r="D37" s="514" t="s">
        <v>548</v>
      </c>
      <c r="E37" s="514" t="s">
        <v>441</v>
      </c>
      <c r="F37" s="515" t="s">
        <v>443</v>
      </c>
      <c r="G37" s="516" t="s">
        <v>551</v>
      </c>
      <c r="H37" s="500"/>
      <c r="I37" s="500"/>
      <c r="J37" s="500"/>
      <c r="K37" s="500"/>
      <c r="L37" s="500"/>
    </row>
    <row r="38" spans="1:12" ht="15.75">
      <c r="A38" s="508" t="s">
        <v>435</v>
      </c>
      <c r="B38" s="512" t="s">
        <v>546</v>
      </c>
      <c r="C38" s="513"/>
      <c r="D38" s="514" t="s">
        <v>549</v>
      </c>
      <c r="E38" s="514" t="s">
        <v>441</v>
      </c>
      <c r="F38" s="515" t="s">
        <v>444</v>
      </c>
      <c r="G38" s="503" t="s">
        <v>552</v>
      </c>
      <c r="H38" s="500"/>
      <c r="I38" s="500"/>
      <c r="J38" s="500"/>
      <c r="K38" s="500"/>
      <c r="L38" s="500"/>
    </row>
    <row r="39" spans="1:12" ht="15.75">
      <c r="A39" s="500"/>
      <c r="B39" s="500"/>
      <c r="C39" s="500"/>
      <c r="D39" s="500"/>
      <c r="E39" s="500"/>
      <c r="F39" s="500"/>
      <c r="G39" s="500"/>
      <c r="H39" s="500"/>
      <c r="I39" s="500"/>
      <c r="J39" s="500"/>
      <c r="K39" s="500"/>
      <c r="L39" s="500"/>
    </row>
    <row r="40" spans="1:12" ht="15.75">
      <c r="A40" s="517" t="s">
        <v>445</v>
      </c>
      <c r="B40" s="518" t="s">
        <v>553</v>
      </c>
      <c r="C40" s="518"/>
      <c r="D40" s="519" t="s">
        <v>446</v>
      </c>
      <c r="E40" s="519"/>
      <c r="F40" s="518" t="s">
        <v>554</v>
      </c>
      <c r="G40" s="518"/>
      <c r="H40" s="500"/>
      <c r="I40" s="500"/>
      <c r="J40" s="500"/>
      <c r="K40" s="500"/>
      <c r="L40" s="500"/>
    </row>
    <row r="41" spans="1:12" ht="15.75">
      <c r="A41" s="500"/>
      <c r="B41" s="500"/>
      <c r="C41" s="500"/>
      <c r="D41" s="500"/>
      <c r="E41" s="500"/>
      <c r="F41" s="500"/>
      <c r="G41" s="500"/>
      <c r="H41" s="500"/>
      <c r="I41" s="500"/>
      <c r="J41" s="500"/>
      <c r="K41" s="500"/>
      <c r="L41" s="500"/>
    </row>
    <row r="42" spans="1:12" ht="15.75">
      <c r="A42" s="500"/>
      <c r="B42" s="500"/>
      <c r="C42" s="500"/>
      <c r="D42" s="500"/>
      <c r="E42" s="500"/>
      <c r="F42" s="500"/>
      <c r="G42" s="500"/>
      <c r="H42" s="500"/>
      <c r="I42" s="500"/>
      <c r="J42" s="500"/>
      <c r="K42" s="500"/>
      <c r="L42" s="500"/>
    </row>
    <row r="43" spans="1:12" ht="15.75">
      <c r="A43" s="500"/>
      <c r="B43" s="500"/>
      <c r="C43" s="500"/>
      <c r="D43" s="500"/>
      <c r="E43" s="500"/>
      <c r="F43" s="500"/>
      <c r="G43" s="500"/>
      <c r="H43" s="500"/>
      <c r="I43" s="500"/>
      <c r="J43" s="500"/>
      <c r="K43" s="500"/>
      <c r="L43" s="500"/>
    </row>
    <row r="44" spans="1:12" ht="15.75">
      <c r="A44" s="500"/>
      <c r="B44" s="500"/>
      <c r="C44" s="500"/>
      <c r="D44" s="500"/>
      <c r="E44" s="500"/>
      <c r="F44" s="500"/>
      <c r="G44" s="500"/>
      <c r="H44" s="500"/>
      <c r="I44" s="500"/>
      <c r="J44" s="500"/>
      <c r="K44" s="500"/>
      <c r="L44" s="500"/>
    </row>
    <row r="45" spans="1:12" ht="15.75">
      <c r="A45" s="500"/>
      <c r="B45" s="500"/>
      <c r="C45" s="500"/>
      <c r="D45" s="500"/>
      <c r="E45" s="500"/>
      <c r="F45" s="500"/>
      <c r="G45" s="500"/>
      <c r="H45" s="500"/>
      <c r="I45" s="500"/>
      <c r="J45" s="500"/>
      <c r="K45" s="500"/>
      <c r="L45" s="500"/>
    </row>
    <row r="46" spans="1:12" ht="15.75">
      <c r="A46" s="500"/>
      <c r="B46" s="500"/>
      <c r="C46" s="500"/>
      <c r="D46" s="500"/>
      <c r="E46" s="500"/>
      <c r="F46" s="500"/>
      <c r="G46" s="500"/>
      <c r="H46" s="500"/>
      <c r="I46" s="500"/>
      <c r="J46" s="500"/>
      <c r="K46" s="500"/>
      <c r="L46" s="500"/>
    </row>
    <row r="47" spans="1:12" ht="15.75">
      <c r="A47" s="500"/>
      <c r="B47" s="500"/>
      <c r="C47" s="500"/>
      <c r="D47" s="500"/>
      <c r="E47" s="500"/>
      <c r="F47" s="500"/>
      <c r="G47" s="500"/>
      <c r="H47" s="500"/>
      <c r="I47" s="500"/>
      <c r="J47" s="500"/>
      <c r="K47" s="500"/>
      <c r="L47" s="500"/>
    </row>
    <row r="48" spans="1:12" ht="15.75">
      <c r="A48" s="500"/>
      <c r="B48" s="500"/>
      <c r="C48" s="500"/>
      <c r="D48" s="500"/>
      <c r="E48" s="500"/>
      <c r="F48" s="500"/>
      <c r="G48" s="500"/>
      <c r="H48" s="500"/>
      <c r="I48" s="500"/>
      <c r="J48" s="500"/>
      <c r="K48" s="500"/>
      <c r="L48" s="500"/>
    </row>
    <row r="49" spans="1:12" ht="15.75">
      <c r="A49" s="500"/>
      <c r="B49" s="500"/>
      <c r="C49" s="500"/>
      <c r="D49" s="500"/>
      <c r="E49" s="500"/>
      <c r="F49" s="500"/>
      <c r="G49" s="500"/>
      <c r="H49" s="500"/>
      <c r="I49" s="500"/>
      <c r="J49" s="500"/>
      <c r="K49" s="500"/>
      <c r="L49" s="500"/>
    </row>
    <row r="50" spans="1:12" ht="15.75">
      <c r="A50" s="500"/>
      <c r="B50" s="500"/>
      <c r="C50" s="500"/>
      <c r="D50" s="500"/>
      <c r="E50" s="500"/>
      <c r="F50" s="500"/>
      <c r="G50" s="500"/>
      <c r="H50" s="500"/>
      <c r="I50" s="500"/>
      <c r="J50" s="500"/>
      <c r="K50" s="500"/>
      <c r="L50" s="500"/>
    </row>
    <row r="51" spans="1:12" ht="15.75">
      <c r="A51" s="500"/>
      <c r="B51" s="500"/>
      <c r="C51" s="500"/>
      <c r="D51" s="500"/>
      <c r="E51" s="500"/>
      <c r="F51" s="500"/>
      <c r="G51" s="500"/>
      <c r="H51" s="500"/>
      <c r="I51" s="500"/>
      <c r="J51" s="500"/>
      <c r="K51" s="500"/>
      <c r="L51" s="500"/>
    </row>
    <row r="52" spans="1:12" ht="15.75">
      <c r="A52" s="500"/>
      <c r="B52" s="500"/>
      <c r="C52" s="500"/>
      <c r="D52" s="500"/>
      <c r="E52" s="500"/>
      <c r="F52" s="500"/>
      <c r="G52" s="500"/>
      <c r="H52" s="500"/>
      <c r="I52" s="500"/>
      <c r="J52" s="500"/>
      <c r="K52" s="500"/>
      <c r="L52" s="500"/>
    </row>
    <row r="53" spans="1:12" ht="15.75">
      <c r="A53" s="500"/>
      <c r="B53" s="500"/>
      <c r="C53" s="500"/>
      <c r="D53" s="500"/>
      <c r="E53" s="500"/>
      <c r="F53" s="500"/>
      <c r="G53" s="500"/>
      <c r="H53" s="500"/>
      <c r="I53" s="500"/>
      <c r="J53" s="500"/>
      <c r="K53" s="500"/>
      <c r="L53" s="500"/>
    </row>
    <row r="54" spans="1:12" ht="15.75">
      <c r="A54" s="500"/>
      <c r="B54" s="500"/>
      <c r="C54" s="500"/>
      <c r="D54" s="500"/>
      <c r="E54" s="500"/>
      <c r="F54" s="500"/>
      <c r="G54" s="500"/>
      <c r="H54" s="500"/>
      <c r="I54" s="500"/>
      <c r="J54" s="500"/>
      <c r="K54" s="500"/>
      <c r="L54" s="500"/>
    </row>
    <row r="55" spans="1:12" ht="15.75">
      <c r="A55" s="500"/>
      <c r="B55" s="500"/>
      <c r="C55" s="500"/>
      <c r="D55" s="500"/>
      <c r="E55" s="500"/>
      <c r="F55" s="500"/>
      <c r="G55" s="500"/>
      <c r="H55" s="500"/>
      <c r="I55" s="500"/>
      <c r="J55" s="500"/>
      <c r="K55" s="500"/>
      <c r="L55" s="500"/>
    </row>
    <row r="56" spans="1:12" ht="15.75">
      <c r="A56" s="500"/>
      <c r="B56" s="500"/>
      <c r="C56" s="500"/>
      <c r="D56" s="500"/>
      <c r="E56" s="500"/>
      <c r="F56" s="500"/>
      <c r="G56" s="500"/>
      <c r="H56" s="500"/>
      <c r="I56" s="500"/>
      <c r="J56" s="500"/>
      <c r="K56" s="500"/>
      <c r="L56" s="500"/>
    </row>
    <row r="57" spans="1:12" ht="15.75">
      <c r="A57" s="500"/>
      <c r="B57" s="500"/>
      <c r="C57" s="500"/>
      <c r="D57" s="500"/>
      <c r="E57" s="500"/>
      <c r="F57" s="500"/>
      <c r="G57" s="500"/>
      <c r="H57" s="500"/>
      <c r="I57" s="500"/>
      <c r="J57" s="500"/>
      <c r="K57" s="500"/>
      <c r="L57" s="500"/>
    </row>
    <row r="58" spans="1:12" ht="15.75">
      <c r="A58" s="500"/>
      <c r="B58" s="500"/>
      <c r="C58" s="500"/>
      <c r="D58" s="500"/>
      <c r="E58" s="500"/>
      <c r="F58" s="500"/>
      <c r="G58" s="500"/>
      <c r="H58" s="500"/>
      <c r="I58" s="500"/>
      <c r="J58" s="500"/>
      <c r="K58" s="500"/>
      <c r="L58" s="500"/>
    </row>
    <row r="59" spans="1:12" ht="15.75">
      <c r="A59" s="500"/>
      <c r="B59" s="500"/>
      <c r="C59" s="500"/>
      <c r="D59" s="500"/>
      <c r="E59" s="500"/>
      <c r="F59" s="500"/>
      <c r="G59" s="500"/>
      <c r="H59" s="500"/>
      <c r="I59" s="500"/>
      <c r="J59" s="500"/>
      <c r="K59" s="500"/>
      <c r="L59" s="500"/>
    </row>
    <row r="60" spans="1:12" ht="15.75">
      <c r="A60" s="500"/>
      <c r="B60" s="500"/>
      <c r="C60" s="500"/>
      <c r="D60" s="500"/>
      <c r="E60" s="500"/>
      <c r="F60" s="500"/>
      <c r="G60" s="500"/>
      <c r="H60" s="500"/>
      <c r="I60" s="500"/>
      <c r="J60" s="500"/>
      <c r="K60" s="500"/>
      <c r="L60" s="500"/>
    </row>
    <row r="61" spans="1:12" ht="15.75">
      <c r="A61" s="500"/>
      <c r="B61" s="500"/>
      <c r="C61" s="500"/>
      <c r="D61" s="500"/>
      <c r="E61" s="500"/>
      <c r="F61" s="500"/>
      <c r="G61" s="500"/>
      <c r="H61" s="500"/>
      <c r="I61" s="500"/>
      <c r="J61" s="500"/>
      <c r="K61" s="500"/>
      <c r="L61" s="500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E28:G28"/>
    <mergeCell ref="B29:C29"/>
    <mergeCell ref="F29:G29"/>
    <mergeCell ref="B30:C30"/>
    <mergeCell ref="F30:G30"/>
    <mergeCell ref="B31:C31"/>
    <mergeCell ref="F31:G31"/>
    <mergeCell ref="B24:C24"/>
    <mergeCell ref="D24:E24"/>
    <mergeCell ref="F24:G24"/>
    <mergeCell ref="B25:C25"/>
    <mergeCell ref="D25:E25"/>
    <mergeCell ref="F25:G25"/>
    <mergeCell ref="B1:G1"/>
    <mergeCell ref="D21:G21"/>
    <mergeCell ref="B22:C22"/>
    <mergeCell ref="D22:E22"/>
    <mergeCell ref="F22:G22"/>
    <mergeCell ref="B23:C23"/>
    <mergeCell ref="D23:E23"/>
    <mergeCell ref="F23:G23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14</vt:i4>
      </vt:variant>
    </vt:vector>
  </HeadingPairs>
  <TitlesOfParts>
    <vt:vector size="25" baseType="lpstr">
      <vt:lpstr>DesignSheet</vt:lpstr>
      <vt:lpstr>DesignSheet 0.8V</vt:lpstr>
      <vt:lpstr>Data Sheet</vt:lpstr>
      <vt:lpstr>LoginSheet</vt:lpstr>
      <vt:lpstr>Performance Data Sheet</vt:lpstr>
      <vt:lpstr>STCurve</vt:lpstr>
      <vt:lpstr>Thermdam</vt:lpstr>
      <vt:lpstr>Performance</vt:lpstr>
      <vt:lpstr>Circuit Param.</vt:lpstr>
      <vt:lpstr>PERFORMANCE data</vt:lpstr>
      <vt:lpstr>StallTime</vt:lpstr>
      <vt:lpstr>'Circuit Param.'!Print_Area</vt:lpstr>
      <vt:lpstr>'Data Sheet'!Print_Area</vt:lpstr>
      <vt:lpstr>DesignSheet!Print_Area</vt:lpstr>
      <vt:lpstr>'DesignSheet 0.8V'!Print_Area</vt:lpstr>
      <vt:lpstr>LoginSheet!Print_Area</vt:lpstr>
      <vt:lpstr>Performance!Print_Area</vt:lpstr>
      <vt:lpstr>'PERFORMANCE data'!Print_Area</vt:lpstr>
      <vt:lpstr>'Performance Data Sheet'!Print_Area</vt:lpstr>
      <vt:lpstr>StallTime!Print_Area</vt:lpstr>
      <vt:lpstr>STCurve!Print_Area</vt:lpstr>
      <vt:lpstr>Thermdam!Print_Area</vt:lpstr>
      <vt:lpstr>'Circuit Param.'!Print_Area_MI</vt:lpstr>
      <vt:lpstr>'PERFORMANCE data'!Print_Area_MI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Rodriguez, Jerry (TIC)</cp:lastModifiedBy>
  <cp:lastPrinted>2017-05-22T14:20:14Z</cp:lastPrinted>
  <dcterms:created xsi:type="dcterms:W3CDTF">1997-10-03T20:37:30Z</dcterms:created>
  <dcterms:modified xsi:type="dcterms:W3CDTF">2025-02-19T18:56:38Z</dcterms:modified>
</cp:coreProperties>
</file>