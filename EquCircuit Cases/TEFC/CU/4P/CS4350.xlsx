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harts/chart2.xml" ContentType="application/vnd.openxmlformats-officedocument.drawingml.chart+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ml.chartshapes+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66925"/>
  <mc:AlternateContent xmlns:mc="http://schemas.openxmlformats.org/markup-compatibility/2006">
    <mc:Choice Requires="x15">
      <x15ac:absPath xmlns:x15ac="http://schemas.microsoft.com/office/spreadsheetml/2010/11/ac" url="N:\DESPRO\BASE MV DESIGNS\New 5010_5810 TEFC\"/>
    </mc:Choice>
  </mc:AlternateContent>
  <xr:revisionPtr revIDLastSave="0" documentId="13_ncr:1_{CF81A99F-30BA-46D1-A211-1C46FCF4BAA3}" xr6:coauthVersionLast="47" xr6:coauthVersionMax="47" xr10:uidLastSave="{00000000-0000-0000-0000-000000000000}"/>
  <bookViews>
    <workbookView xWindow="-19980" yWindow="3648" windowWidth="17280" windowHeight="10044" activeTab="1" xr2:uid="{BDF81018-77D0-438B-9847-5613D900F314}"/>
  </bookViews>
  <sheets>
    <sheet name="DesignSheet" sheetId="2" r:id="rId1"/>
    <sheet name="Data Sheet" sheetId="3" r:id="rId2"/>
    <sheet name="LoginSheet" sheetId="4" r:id="rId3"/>
    <sheet name="Form" sheetId="5" r:id="rId4"/>
    <sheet name="StallTime" sheetId="6" r:id="rId5"/>
    <sheet name="MagNoise" sheetId="7" r:id="rId6"/>
    <sheet name="Performance Data Sheet" sheetId="8" r:id="rId7"/>
    <sheet name="STCurve" sheetId="9" r:id="rId8"/>
    <sheet name="Thermdam" sheetId="10" r:id="rId9"/>
    <sheet name="Performance" sheetId="11" r:id="rId10"/>
    <sheet name="Circuit Param." sheetId="12" r:id="rId11"/>
    <sheet name="PERFORMANCE data" sheetId="13" r:id="rId12"/>
    <sheet name="MPCF-1202 SOUND" sheetId="1" r:id="rId13"/>
  </sheets>
  <externalReferences>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s>
  <definedNames>
    <definedName name="__123Graph_A月営業別NET" localSheetId="12" hidden="1">[1]本体価格TM21!#REF!</definedName>
    <definedName name="__123Graph_A月営業別NET" hidden="1">[1]本体価格TM21!#REF!</definedName>
    <definedName name="__123Graph_A月営業別SP" localSheetId="12" hidden="1">[1]本体価格TM21!#REF!</definedName>
    <definedName name="__123Graph_A月営業別SP" hidden="1">[1]本体価格TM21!#REF!</definedName>
    <definedName name="__123Graph_B月営業別NET" localSheetId="12" hidden="1">[1]本体価格TM21!#REF!</definedName>
    <definedName name="__123Graph_B月営業別NET" hidden="1">[1]本体価格TM21!#REF!</definedName>
    <definedName name="__123Graph_B月営業別SP" localSheetId="12" hidden="1">[1]本体価格TM21!#REF!</definedName>
    <definedName name="__123Graph_B月営業別SP" hidden="1">[1]本体価格TM21!#REF!</definedName>
    <definedName name="__123Graph_C月営業別NET" localSheetId="12" hidden="1">[1]本体価格TM21!#REF!</definedName>
    <definedName name="__123Graph_C月営業別NET" hidden="1">[1]本体価格TM21!#REF!</definedName>
    <definedName name="__123Graph_C月営業別SP" localSheetId="12" hidden="1">[1]本体価格TM21!#REF!</definedName>
    <definedName name="__123Graph_C月営業別SP" hidden="1">[1]本体価格TM21!#REF!</definedName>
    <definedName name="__123Graph_D月営業別NET" localSheetId="12" hidden="1">[1]本体価格TM21!#REF!</definedName>
    <definedName name="__123Graph_D月営業別NET" hidden="1">[1]本体価格TM21!#REF!</definedName>
    <definedName name="__123Graph_D月営業別SP" localSheetId="12" hidden="1">[1]本体価格TM21!#REF!</definedName>
    <definedName name="__123Graph_D月営業別SP" hidden="1">[1]本体価格TM21!#REF!</definedName>
    <definedName name="__123Graph_E月営業別NET" localSheetId="12" hidden="1">[1]本体価格TM21!#REF!</definedName>
    <definedName name="__123Graph_E月営業別NET" hidden="1">[1]本体価格TM21!#REF!</definedName>
    <definedName name="__123Graph_E月営業別SP" localSheetId="12" hidden="1">[1]本体価格TM21!#REF!</definedName>
    <definedName name="__123Graph_E月営業別SP" hidden="1">[1]本体価格TM21!#REF!</definedName>
    <definedName name="__123Graph_F月営業別NET" localSheetId="12" hidden="1">[1]本体価格TM21!#REF!</definedName>
    <definedName name="__123Graph_F月営業別NET" hidden="1">[1]本体価格TM21!#REF!</definedName>
    <definedName name="__123Graph_F月営業別SP" localSheetId="12" hidden="1">[1]本体価格TM21!#REF!</definedName>
    <definedName name="__123Graph_F月営業別SP" hidden="1">[1]本体価格TM21!#REF!</definedName>
    <definedName name="__123Graph_X月営業別NET" localSheetId="12" hidden="1">[1]本体価格TM21!#REF!</definedName>
    <definedName name="__123Graph_X月営業別NET" hidden="1">[1]本体価格TM21!#REF!</definedName>
    <definedName name="__123Graph_X月営業別SP" localSheetId="12" hidden="1">[1]本体価格TM21!#REF!</definedName>
    <definedName name="__123Graph_X月営業別SP" hidden="1">[1]本体価格TM21!#REF!</definedName>
    <definedName name="_10__123Graph_E月営業別M" localSheetId="12" hidden="1">[1]本体価格TM21!#REF!</definedName>
    <definedName name="_10__123Graph_E月営業別M" hidden="1">[1]本体価格TM21!#REF!</definedName>
    <definedName name="_12__123Graph_F月営業別M" localSheetId="12" hidden="1">[1]本体価格TM21!#REF!</definedName>
    <definedName name="_12__123Graph_F月営業別M" hidden="1">[1]本体価格TM21!#REF!</definedName>
    <definedName name="_14__123Graph_X月営業別M" localSheetId="12" hidden="1">[1]本体価格TM21!#REF!</definedName>
    <definedName name="_14__123Graph_X月営業別M" hidden="1">[1]本体価格TM21!#REF!</definedName>
    <definedName name="_2__123Graph_A月営業別M" localSheetId="12" hidden="1">[1]本体価格TM21!#REF!</definedName>
    <definedName name="_2__123Graph_A月営業別M" hidden="1">[1]本体価格TM21!#REF!</definedName>
    <definedName name="_4__123Graph_B月営業別M" localSheetId="12" hidden="1">[1]本体価格TM21!#REF!</definedName>
    <definedName name="_4__123Graph_B月営業別M" hidden="1">[1]本体価格TM21!#REF!</definedName>
    <definedName name="_6__123Graph_C月営業別M" localSheetId="12" hidden="1">[1]本体価格TM21!#REF!</definedName>
    <definedName name="_6__123Graph_C月営業別M" hidden="1">[1]本体価格TM21!#REF!</definedName>
    <definedName name="_8__123Graph_D月営業別M" localSheetId="12" hidden="1">[1]本体価格TM21!#REF!</definedName>
    <definedName name="_8__123Graph_D月営業別M" hidden="1">[1]本体価格TM21!#REF!</definedName>
    <definedName name="_CPL2">#REF!</definedName>
    <definedName name="_LGD2">#REF!</definedName>
    <definedName name="_pip54">#REF!</definedName>
    <definedName name="_pip55">#REF!</definedName>
    <definedName name="_Regression_Int" localSheetId="10" hidden="1">1</definedName>
    <definedName name="_Regression_Int" localSheetId="12" hidden="1">1</definedName>
    <definedName name="_Regression_Int" localSheetId="11" hidden="1">1</definedName>
    <definedName name="_Regression_Int" localSheetId="6" hidden="1">1</definedName>
    <definedName name="_SF1">#REF!</definedName>
    <definedName name="_SH1">#REF!</definedName>
    <definedName name="_SH2">#REF!</definedName>
    <definedName name="_TH103550" localSheetId="12">[2]許容ｽﾗｽﾄ!$H$38:$J$41</definedName>
    <definedName name="_TH103550">[2]許容ｽﾗｽﾄ!$H$38:$J$41</definedName>
    <definedName name="_TH103560" localSheetId="12">[2]許容ｽﾗｽﾄ!$H$43:$J$46</definedName>
    <definedName name="_TH103560">[2]許容ｽﾗｽﾄ!$H$43:$J$46</definedName>
    <definedName name="_TH104050" localSheetId="12">[2]許容ｽﾗｽﾄ!$H$78:$J$81</definedName>
    <definedName name="_TH104050">[2]許容ｽﾗｽﾄ!$H$78:$J$81</definedName>
    <definedName name="_TH104060" localSheetId="12">[2]許容ｽﾗｽﾄ!$H$83:$J$86</definedName>
    <definedName name="_TH104060">[2]許容ｽﾗｽﾄ!$H$83:$J$86</definedName>
    <definedName name="_TH104550" localSheetId="12">[2]許容ｽﾗｽﾄ!$H$122:$J$127</definedName>
    <definedName name="_TH104550">[2]許容ｽﾗｽﾄ!$H$122:$J$127</definedName>
    <definedName name="_TH104560" localSheetId="12">[2]許容ｽﾗｽﾄ!$H$129:$J$134</definedName>
    <definedName name="_TH104560">[2]許容ｽﾗｽﾄ!$H$129:$J$134</definedName>
    <definedName name="_TH43550" localSheetId="12">[2]許容ｽﾗｽﾄ!$H$8:$J$11</definedName>
    <definedName name="_TH43550">[2]許容ｽﾗｽﾄ!$H$8:$J$11</definedName>
    <definedName name="_TH43560" localSheetId="12">[2]許容ｽﾗｽﾄ!$H$13:$J$16</definedName>
    <definedName name="_TH43560">[2]許容ｽﾗｽﾄ!$H$13:$J$16</definedName>
    <definedName name="_TH44050" localSheetId="12">[2]許容ｽﾗｽﾄ!$H$48:$J$51</definedName>
    <definedName name="_TH44050">[2]許容ｽﾗｽﾄ!$H$48:$J$51</definedName>
    <definedName name="_TH44060" localSheetId="12">[2]許容ｽﾗｽﾄ!$H$53:$J$56</definedName>
    <definedName name="_TH44060">[2]許容ｽﾗｽﾄ!$H$53:$J$56</definedName>
    <definedName name="_TH44550" localSheetId="12">[2]許容ｽﾗｽﾄ!$H$88:$J$92</definedName>
    <definedName name="_TH44550">[2]許容ｽﾗｽﾄ!$H$88:$J$92</definedName>
    <definedName name="_TH44560" localSheetId="12">[2]許容ｽﾗｽﾄ!$H$93:$J$97</definedName>
    <definedName name="_TH44560">[2]許容ｽﾗｽﾄ!$H$93:$J$97</definedName>
    <definedName name="_TH63550" localSheetId="12">[2]許容ｽﾗｽﾄ!$H$18:$J$21</definedName>
    <definedName name="_TH63550">[2]許容ｽﾗｽﾄ!$H$18:$J$21</definedName>
    <definedName name="_TH63560" localSheetId="12">[2]許容ｽﾗｽﾄ!$H$23:$J$26</definedName>
    <definedName name="_TH63560">[2]許容ｽﾗｽﾄ!$H$23:$J$26</definedName>
    <definedName name="_TH64050" localSheetId="12">[2]許容ｽﾗｽﾄ!$H$58:$J$61</definedName>
    <definedName name="_TH64050">[2]許容ｽﾗｽﾄ!$H$58:$J$61</definedName>
    <definedName name="_TH64060" localSheetId="12">[2]許容ｽﾗｽﾄ!$H$63:$J$66</definedName>
    <definedName name="_TH64060">[2]許容ｽﾗｽﾄ!$H$63:$J$66</definedName>
    <definedName name="_TH64550" localSheetId="12">[2]許容ｽﾗｽﾄ!$H$98:$J$102</definedName>
    <definedName name="_TH64550">[2]許容ｽﾗｽﾄ!$H$98:$J$102</definedName>
    <definedName name="_TH64560" localSheetId="12">[2]許容ｽﾗｽﾄ!$H$103:$J$107</definedName>
    <definedName name="_TH64560">[2]許容ｽﾗｽﾄ!$H$103:$J$107</definedName>
    <definedName name="_TH83550" localSheetId="12">[2]許容ｽﾗｽﾄ!$H$28:$J$31</definedName>
    <definedName name="_TH83550">[2]許容ｽﾗｽﾄ!$H$28:$J$31</definedName>
    <definedName name="_TH83560" localSheetId="12">[2]許容ｽﾗｽﾄ!$H$33:$J$36</definedName>
    <definedName name="_TH83560">[2]許容ｽﾗｽﾄ!$H$33:$J$36</definedName>
    <definedName name="_TH84050" localSheetId="12">[2]許容ｽﾗｽﾄ!$H$68:$J$71</definedName>
    <definedName name="_TH84050">[2]許容ｽﾗｽﾄ!$H$68:$J$71</definedName>
    <definedName name="_TH84060" localSheetId="12">[2]許容ｽﾗｽﾄ!$H$73:$J$76</definedName>
    <definedName name="_TH84060">[2]許容ｽﾗｽﾄ!$H$73:$J$76</definedName>
    <definedName name="_TH84550" localSheetId="12">[2]許容ｽﾗｽﾄ!$H$108:$J$114</definedName>
    <definedName name="_TH84550">[2]許容ｽﾗｽﾄ!$H$108:$J$114</definedName>
    <definedName name="_TH84560" localSheetId="12">[2]許容ｽﾗｽﾄ!$H$115:$J$121</definedName>
    <definedName name="_TH84560">[2]許容ｽﾗｽﾄ!$H$115:$J$121</definedName>
    <definedName name="_UMU1">#REF!</definedName>
    <definedName name="_UMU2">#REF!</definedName>
    <definedName name="_VIB1">#REF!</definedName>
    <definedName name="_VIB2">#REF!</definedName>
    <definedName name="A">#REF!</definedName>
    <definedName name="abase" localSheetId="12">[3]Accessories!$A$72</definedName>
    <definedName name="abase">[3]Accessories!$A$72</definedName>
    <definedName name="ABUKHN" localSheetId="12">[2]特殊値増!$AR$2:$AS$55</definedName>
    <definedName name="ABUKHN">[2]特殊値増!$AR$2:$AS$55</definedName>
    <definedName name="accmount">#REF!</definedName>
    <definedName name="addinsy">#REF!</definedName>
    <definedName name="afilter" localSheetId="12">[3]Accessories!$A$60</definedName>
    <definedName name="afilter">[3]Accessories!$A$60</definedName>
    <definedName name="airfilter">#REF!</definedName>
    <definedName name="airpresw">#REF!</definedName>
    <definedName name="ALT" localSheetId="12">[4]INPUT!$CA$91:$CA$92</definedName>
    <definedName name="ALT">[4]INPUT!$CA$91:$CA$92</definedName>
    <definedName name="altitude">#REF!</definedName>
    <definedName name="ambtemp">#REF!</definedName>
    <definedName name="ANCHOR">#REF!</definedName>
    <definedName name="APPLI">#REF!</definedName>
    <definedName name="AREA">#REF!</definedName>
    <definedName name="ASC">#REF!</definedName>
    <definedName name="balance">#REF!</definedName>
    <definedName name="BASE">#REF!</definedName>
    <definedName name="BASE1">#REF!</definedName>
    <definedName name="BASE2">#REF!</definedName>
    <definedName name="BASICTYPE">#REF!</definedName>
    <definedName name="BBKHN" localSheetId="12">[2]特殊値増!$AO$2:$AP$55</definedName>
    <definedName name="BBKHN">[2]特殊値増!$AO$2:$AP$55</definedName>
    <definedName name="bearing">#REF!</definedName>
    <definedName name="BLDEVICE">#REF!</definedName>
    <definedName name="BNSUS">#REF!</definedName>
    <definedName name="BRAKE">#REF!</definedName>
    <definedName name="BRAKE2">#REF!</definedName>
    <definedName name="BRG">#REF!</definedName>
    <definedName name="brgearth">#REF!</definedName>
    <definedName name="BRGINS">#REF!</definedName>
    <definedName name="brgtyp" localSheetId="12">[3]Bearings!$A$3</definedName>
    <definedName name="brgtyp">[3]Bearings!$A$3</definedName>
    <definedName name="BRGTYPE">#REF!</definedName>
    <definedName name="BRGTYPEIN">#REF!</definedName>
    <definedName name="BRGTYPEIN2">#REF!</definedName>
    <definedName name="BRTDUMU">#REF!</definedName>
    <definedName name="BTH">#REF!</definedName>
    <definedName name="BYPASS">#REF!</definedName>
    <definedName name="CABLE">#REF!</definedName>
    <definedName name="CABLE1">#REF!</definedName>
    <definedName name="CABLE2">#REF!</definedName>
    <definedName name="CAGE">#REF!</definedName>
    <definedName name="CCSTDTB" localSheetId="12">'[3]Conduit box'!$K$106</definedName>
    <definedName name="CCSTDTB">'[3]Conduit box'!$K$106</definedName>
    <definedName name="CHARADATA" localSheetId="12">[2]特性DATA!$A$5:$AD$5305</definedName>
    <definedName name="CHARADATA">[2]特性DATA!$A$5:$AD$5305</definedName>
    <definedName name="CIF">#REF!</definedName>
    <definedName name="cndbox">#REF!</definedName>
    <definedName name="COLOR">#REF!</definedName>
    <definedName name="COMP">#REF!</definedName>
    <definedName name="CONDUIT">#REF!</definedName>
    <definedName name="CONDUIT1">#REF!</definedName>
    <definedName name="CONDUIT2">#REF!</definedName>
    <definedName name="COOLERTUBE">#REF!</definedName>
    <definedName name="cooltb">#REF!</definedName>
    <definedName name="COR">#REF!</definedName>
    <definedName name="CORRANK">#REF!</definedName>
    <definedName name="coupling">#REF!</definedName>
    <definedName name="CP">#REF!</definedName>
    <definedName name="CPL">#REF!</definedName>
    <definedName name="crane">#REF!</definedName>
    <definedName name="csa">#REF!</definedName>
    <definedName name="CU" localSheetId="12">[2]特殊値増!$A$2:$B$55</definedName>
    <definedName name="CU">[2]特殊値増!$A$2:$B$55</definedName>
    <definedName name="cubar">#REF!</definedName>
    <definedName name="DAISU">#REF!</definedName>
    <definedName name="DATAOL" localSheetId="12">[5]図面特性DATA!$A$5:$BJ$4805</definedName>
    <definedName name="DATAOL">[5]図面特性DATA!$A$5:$BJ$4805</definedName>
    <definedName name="DESIGN">#REF!</definedName>
    <definedName name="DEVCLA" localSheetId="12">[2]DVCL!$C$4:$K$140</definedName>
    <definedName name="DEVCLA">[2]DVCL!$C$4:$K$140</definedName>
    <definedName name="DGENG">#REF!</definedName>
    <definedName name="DGJPN">#REF!</definedName>
    <definedName name="DP">#REF!</definedName>
    <definedName name="DPBV">#REF!</definedName>
    <definedName name="DPSV">#REF!</definedName>
    <definedName name="drain">#REF!</definedName>
    <definedName name="EBINS">#REF!</definedName>
    <definedName name="Ebond">#REF!</definedName>
    <definedName name="EFFSPEC">#REF!</definedName>
    <definedName name="encls">#REF!</definedName>
    <definedName name="END">#REF!</definedName>
    <definedName name="ENDKAKOU">#REF!</definedName>
    <definedName name="ENDNEJI">#REF!</definedName>
    <definedName name="endshld">#REF!</definedName>
    <definedName name="EXP">#REF!</definedName>
    <definedName name="EXPAREA">#REF!</definedName>
    <definedName name="EXPBASIC" localSheetId="12">[2]基本構造変換!$J$3:$K$35</definedName>
    <definedName name="EXPBASIC">[2]基本構造変換!$J$3:$K$35</definedName>
    <definedName name="expbox">#REF!</definedName>
    <definedName name="EXPFRAME" localSheetId="12">[2]防爆出力及業種!$S$2:$T$393</definedName>
    <definedName name="EXPFRAME">[2]防爆出力及業種!$S$2:$T$393</definedName>
    <definedName name="EXPSTD">#REF!</definedName>
    <definedName name="EXTFAN" localSheetId="12">[2]基本構造変換!$O$3:$P$22</definedName>
    <definedName name="EXTFAN">[2]基本構造変換!$O$3:$P$22</definedName>
    <definedName name="FILENAME">#REF!</definedName>
    <definedName name="FMF">#REF!</definedName>
    <definedName name="FRAME">#REF!</definedName>
    <definedName name="freq">#REF!</definedName>
    <definedName name="FREQST">#REF!</definedName>
    <definedName name="FREQST1">#REF!</definedName>
    <definedName name="FREQST2">#REF!</definedName>
    <definedName name="GD2WK2">#REF!</definedName>
    <definedName name="GISUPPLY">#REF!</definedName>
    <definedName name="gndprv">#REF!</definedName>
    <definedName name="GROIL">#REF!</definedName>
    <definedName name="grsfit">#REF!</definedName>
    <definedName name="grsfitting">#REF!</definedName>
    <definedName name="GYOMU1">#REF!</definedName>
    <definedName name="GYOMU2">#REF!</definedName>
    <definedName name="GYOUSYU">#REF!</definedName>
    <definedName name="GYOUSYU1" localSheetId="12">[2]防爆出力及業種!$B$13:$C$24</definedName>
    <definedName name="GYOUSYU1">[2]防爆出力及業種!$B$13:$C$24</definedName>
    <definedName name="GYOUSYU2" localSheetId="12">[2]防爆出力及業種!$B$26:$C$43</definedName>
    <definedName name="GYOUSYU2">[2]防爆出力及業種!$B$26:$C$43</definedName>
    <definedName name="hardwr">#REF!</definedName>
    <definedName name="HCOR" localSheetId="12">[2]特殊値増!$G$2:$H$55</definedName>
    <definedName name="HCOR">[2]特殊値増!$G$2:$H$55</definedName>
    <definedName name="HEADER">#REF!</definedName>
    <definedName name="HHOSEI" localSheetId="12">[2]特性DATA!$BU$3:$BV$170</definedName>
    <definedName name="HHOSEI">[2]特性DATA!$BU$3:$BV$170</definedName>
    <definedName name="HHOSEI1" localSheetId="12">[2]特性DATA!$BX$3:$BY$100</definedName>
    <definedName name="HHOSEI1">[2]特性DATA!$BX$3:$BY$100</definedName>
    <definedName name="HOGO">#REF!</definedName>
    <definedName name="HONTAI" localSheetId="12">[2]本体価格TM21!$G$2:$O$6648</definedName>
    <definedName name="HONTAI">[2]本体価格TM21!$G$2:$O$6648</definedName>
    <definedName name="HYOKO">#REF!</definedName>
    <definedName name="HZ">#REF!</definedName>
    <definedName name="IC">#REF!</definedName>
    <definedName name="IM">#REF!</definedName>
    <definedName name="IMBV">#REF!</definedName>
    <definedName name="IMCODE">#REF!</definedName>
    <definedName name="IMHENKAN">#REF!</definedName>
    <definedName name="INS">#REF!</definedName>
    <definedName name="INVACT">#REF!</definedName>
    <definedName name="INVKISYU">#REF!</definedName>
    <definedName name="INVTYPE" localSheetId="12">[4]INPUT!$CA$117:$CA$121</definedName>
    <definedName name="INVTYPE">[4]INPUT!$CA$117:$CA$121</definedName>
    <definedName name="INVUMU">#REF!</definedName>
    <definedName name="IP">#REF!</definedName>
    <definedName name="IST">#REF!</definedName>
    <definedName name="JACK">#REF!</definedName>
    <definedName name="JOB">#REF!</definedName>
    <definedName name="JPENG" localSheetId="12">[2]JPENG!$A$2:$B$522</definedName>
    <definedName name="JPENG">[2]JPENG!$A$2:$B$522</definedName>
    <definedName name="JPENG0" localSheetId="12">[2]JPENG!$A$2:$A$522</definedName>
    <definedName name="JPENG0">[2]JPENG!$A$2:$A$522</definedName>
    <definedName name="KADAI">#REF!</definedName>
    <definedName name="KAITEN">#REF!</definedName>
    <definedName name="KETUGO">#REF!</definedName>
    <definedName name="KH">#REF!</definedName>
    <definedName name="KYUYU">#REF!</definedName>
    <definedName name="LANG">#REF!</definedName>
    <definedName name="LN">#REF!</definedName>
    <definedName name="LNOISE" localSheetId="12">[2]特殊値増!$O$2:$AH$55</definedName>
    <definedName name="LNOISE">[2]特殊値増!$O$2:$AH$55</definedName>
    <definedName name="LOAD" localSheetId="12">[6]LB!#REF!</definedName>
    <definedName name="LOAD">[6]LB!#REF!</definedName>
    <definedName name="LOADCURVE">#REF!</definedName>
    <definedName name="LOADFS">#REF!</definedName>
    <definedName name="LOCA">#REF!</definedName>
    <definedName name="LTMAX" localSheetId="12">[4]INPUT!$CA$111:$CA$114</definedName>
    <definedName name="LTMAX">[4]INPUT!$CA$111:$CA$114</definedName>
    <definedName name="LTPTN" localSheetId="12">[4]INPUT!$CA$106:$CA$108</definedName>
    <definedName name="LTPTN">[4]INPUT!$CA$106:$CA$108</definedName>
    <definedName name="LUB">#REF!</definedName>
    <definedName name="LUBBRGTYPE">#REF!</definedName>
    <definedName name="LUBOIL" localSheetId="12">[2]標準軸受!$D$2:$G$278</definedName>
    <definedName name="LUBOIL">[2]標準軸受!$D$2:$G$278</definedName>
    <definedName name="LUBTYPE">#REF!</definedName>
    <definedName name="LUBTYPE1">#REF!</definedName>
    <definedName name="LVMTB2801" localSheetId="12">'[3]Conduit box'!$K$1</definedName>
    <definedName name="LVMTB2801">'[3]Conduit box'!$K$1</definedName>
    <definedName name="LVTB2802" localSheetId="12">'[3]Conduit box'!#REF!</definedName>
    <definedName name="LVTB2802">'[3]Conduit box'!#REF!</definedName>
    <definedName name="MAINBOX">#REF!</definedName>
    <definedName name="MAINBOX1">#REF!</definedName>
    <definedName name="MAINBOX2">#REF!</definedName>
    <definedName name="MAKUATU">#REF!</definedName>
    <definedName name="MAXT">#REF!</definedName>
    <definedName name="MFTYPE" localSheetId="12">[6]LB!#REF!</definedName>
    <definedName name="MFTYPE">[6]LB!#REF!</definedName>
    <definedName name="MIERPM" localSheetId="12">[2]特性DATA!$BO$3:$BP$18</definedName>
    <definedName name="MIERPM">[2]特性DATA!$BO$3:$BP$18</definedName>
    <definedName name="MINT">#REF!</definedName>
    <definedName name="MOTORTYPE" localSheetId="12">[2]基本構造変換!$C$3:$F$110</definedName>
    <definedName name="MOTORTYPE">[2]基本構造変換!$C$3:$F$110</definedName>
    <definedName name="MPOLE" localSheetId="12">[2]特殊値増!$J$2:$K$55</definedName>
    <definedName name="MPOLE">[2]特殊値増!$J$2:$K$55</definedName>
    <definedName name="MPOLE2" localSheetId="12">[2]特殊値増!$L$2:$M$16</definedName>
    <definedName name="MPOLE2">[2]特殊値増!$L$2:$M$16</definedName>
    <definedName name="MUKESAKI">#REF!</definedName>
    <definedName name="NEJI">#REF!</definedName>
    <definedName name="NEJI2">#REF!</definedName>
    <definedName name="NOISE">#REF!</definedName>
    <definedName name="NOISEAT">#REF!</definedName>
    <definedName name="NOISEDGENG">#REF!</definedName>
    <definedName name="NOISEDGJPN">#REF!</definedName>
    <definedName name="npsp">#REF!</definedName>
    <definedName name="NS">#REF!</definedName>
    <definedName name="OIL">#REF!</definedName>
    <definedName name="OLDATA" localSheetId="12">[2]外形図DATA!$A$5:$AQ$2310</definedName>
    <definedName name="OLDATA">[2]外形図DATA!$A$5:$AQ$2310</definedName>
    <definedName name="ONDO" localSheetId="12">[2]温度!$F$3:$G$227</definedName>
    <definedName name="ONDO">[2]温度!$F$3:$G$227</definedName>
    <definedName name="OPEXPL" localSheetId="12">[2]防爆出力及業種!$A$8:$K$10</definedName>
    <definedName name="OPEXPL">[2]防爆出力及業種!$A$8:$K$10</definedName>
    <definedName name="OPEXPM" localSheetId="12">[2]防爆出力及業種!$A$2:$K$4</definedName>
    <definedName name="OPEXPM">[2]防爆出力及業種!$A$2:$K$4</definedName>
    <definedName name="OPTION" localSheetId="12">[2]OPTION!$A$3:$AW$444</definedName>
    <definedName name="OPTION">[2]OPTION!$A$3:$AW$444</definedName>
    <definedName name="OTHERACC">#REF!</definedName>
    <definedName name="ovld">#REF!</definedName>
    <definedName name="PCUMU">#REF!</definedName>
    <definedName name="PFSPEC">#REF!</definedName>
    <definedName name="PHOTO">#REF!</definedName>
    <definedName name="PO">#REF!</definedName>
    <definedName name="POLE">#REF!</definedName>
    <definedName name="_xlnm.Print_Area" localSheetId="10">'Circuit Param.'!$A$1:$M$42</definedName>
    <definedName name="_xlnm.Print_Area" localSheetId="1">'Data Sheet'!$A$1:$K$46</definedName>
    <definedName name="_xlnm.Print_Area" localSheetId="0">DesignSheet!$A$1:$J$68</definedName>
    <definedName name="_xlnm.Print_Area" localSheetId="3">Form!$A$1:$F$39</definedName>
    <definedName name="_xlnm.Print_Area" localSheetId="2">LoginSheet!$A$1:$N$79</definedName>
    <definedName name="_xlnm.Print_Area" localSheetId="12">'MPCF-1202 SOUND'!$A$1:$O$64</definedName>
    <definedName name="_xlnm.Print_Area" localSheetId="9">Performance!$A$1:$F$43</definedName>
    <definedName name="_xlnm.Print_Area" localSheetId="11">'PERFORMANCE data'!$A$1:$M$54</definedName>
    <definedName name="_xlnm.Print_Area" localSheetId="6">'Performance Data Sheet'!$A$1:$M$44</definedName>
    <definedName name="_xlnm.Print_Area" localSheetId="4">StallTime!$A$1:$G$40</definedName>
    <definedName name="_xlnm.Print_Area" localSheetId="7">STCurve!$A$1:$F$43</definedName>
    <definedName name="_xlnm.Print_Area" localSheetId="8">Thermdam!$A$1:$F$43</definedName>
    <definedName name="Print_Area_MI" localSheetId="10">'Circuit Param.'!$A$8:$N$43</definedName>
    <definedName name="Print_Area_MI" localSheetId="12">'MPCF-1202 SOUND'!$A$11:$N$75</definedName>
    <definedName name="Print_Area_MI" localSheetId="11">'PERFORMANCE data'!$A$10:$N$18</definedName>
    <definedName name="Print_Area_MI">#REF!</definedName>
    <definedName name="PURGEPRO" localSheetId="12">#REF!</definedName>
    <definedName name="PURGEPRO">#REF!</definedName>
    <definedName name="QUOTEHOJO" localSheetId="12">[2]見積補助!$A$2:$B$26</definedName>
    <definedName name="QUOTEHOJO">[2]見積補助!$A$2:$B$26</definedName>
    <definedName name="RADIAL" localSheetId="12">[2]許容ベルト荷重!$E$4:$F$303</definedName>
    <definedName name="RADIAL">[2]許容ベルト荷重!$E$4:$F$303</definedName>
    <definedName name="RADPOINT" localSheetId="12">#REF!</definedName>
    <definedName name="RADPOINT">#REF!</definedName>
    <definedName name="RAT" localSheetId="12">#REF!</definedName>
    <definedName name="RAT">#REF!</definedName>
    <definedName name="RCK" localSheetId="12">[6]本体価格!#REF!</definedName>
    <definedName name="RCK">[6]本体価格!#REF!</definedName>
    <definedName name="REVERCE" localSheetId="12">#REF!</definedName>
    <definedName name="REVERCE">#REF!</definedName>
    <definedName name="RIIS" localSheetId="12">#REF!</definedName>
    <definedName name="RIIS">#REF!</definedName>
    <definedName name="RMRTD1" localSheetId="12">#REF!</definedName>
    <definedName name="RMRTD1">#REF!</definedName>
    <definedName name="RMRTD2">#REF!</definedName>
    <definedName name="ROTBAR">#REF!</definedName>
    <definedName name="ROTRING" localSheetId="12">[7]LBﾊﾟﾗﾒｰﾀ!#REF!</definedName>
    <definedName name="ROTRING">[7]LBﾊﾟﾗﾒｰﾀ!#REF!</definedName>
    <definedName name="RP" localSheetId="12">[2]特殊値増!$AX$2:$AY$55</definedName>
    <definedName name="RP">[2]特殊値増!$AX$2:$AY$55</definedName>
    <definedName name="SAIREN" localSheetId="12">[2]特殊値増!$AI$2:$AJ$19</definedName>
    <definedName name="SAIREN">[2]特殊値増!$AI$2:$AJ$19</definedName>
    <definedName name="SC" localSheetId="12">[2]特殊値増!$BA$2:$BB$55</definedName>
    <definedName name="SC">[2]特殊値増!$BA$2:$BB$55</definedName>
    <definedName name="SCOR3" localSheetId="12">[2]特殊値増!$D$2:$E$55</definedName>
    <definedName name="SCOR3">[2]特殊値増!$D$2:$E$55</definedName>
    <definedName name="SEKKEI" localSheetId="12">[2]特殊値増!$BD$2:$BE$10</definedName>
    <definedName name="SEKKEI">[2]特殊値増!$BD$2:$BE$10</definedName>
    <definedName name="SF">#REF!</definedName>
    <definedName name="SFRISE" localSheetId="12">[4]INPUT!$CA$101:$CA$103</definedName>
    <definedName name="SFRISE">[4]INPUT!$CA$101:$CA$103</definedName>
    <definedName name="SFT" localSheetId="12">[8]LBﾊﾟﾗﾒｰﾀ!$AC$2:$AC$6</definedName>
    <definedName name="SFT">[8]LBﾊﾟﾗﾒｰﾀ!$AC$2:$AC$6</definedName>
    <definedName name="SFTEND" localSheetId="12">#REF!</definedName>
    <definedName name="SFTEND">#REF!</definedName>
    <definedName name="sftext" localSheetId="12">#REF!</definedName>
    <definedName name="sftext">#REF!</definedName>
    <definedName name="SFTKAKOU" localSheetId="12">#REF!</definedName>
    <definedName name="SFTKAKOU">#REF!</definedName>
    <definedName name="sftsl">#REF!</definedName>
    <definedName name="SH">#REF!</definedName>
    <definedName name="shcfc">#REF!</definedName>
    <definedName name="shftgnd">#REF!</definedName>
    <definedName name="shftmod">#REF!</definedName>
    <definedName name="SHIM">#REF!</definedName>
    <definedName name="SHODAN">#REF!</definedName>
    <definedName name="SHTBMF" localSheetId="12">'[3]Conduit box'!$K$159</definedName>
    <definedName name="SHTBMF">'[3]Conduit box'!$K$159</definedName>
    <definedName name="SITEIUMU">#REF!</definedName>
    <definedName name="SLVSIZE" localSheetId="12">[2]標準軸受!$M$2:$O$980</definedName>
    <definedName name="SLVSIZE">[2]標準軸受!$M$2:$O$980</definedName>
    <definedName name="SONOTA">#REF!</definedName>
    <definedName name="SOUON" localSheetId="12">[2]騒音構造付!$F$2:$AF$2522</definedName>
    <definedName name="SOUON">[2]騒音構造付!$F$2:$AF$2522</definedName>
    <definedName name="SP" localSheetId="12">[2]特殊値増!$AU$2:$AV$55</definedName>
    <definedName name="SP">[2]特殊値増!$AU$2:$AV$55</definedName>
    <definedName name="SPBV">#REF!</definedName>
    <definedName name="SPETEST">#REF!</definedName>
    <definedName name="splsw">#REF!</definedName>
    <definedName name="SPPAINT">#REF!</definedName>
    <definedName name="SPSV">#REF!</definedName>
    <definedName name="SSKHN" localSheetId="12">[2]特殊値増!$AL$2:$AM$55</definedName>
    <definedName name="SSKHN">[2]特殊値増!$AL$2:$AM$55</definedName>
    <definedName name="START">#REF!</definedName>
    <definedName name="STD">#REF!</definedName>
    <definedName name="Std_spec">#REF!</definedName>
    <definedName name="STDBR" localSheetId="12">[9]標準軸受!$D$2:$F$511</definedName>
    <definedName name="STDBR">[9]標準軸受!$D$2:$F$511</definedName>
    <definedName name="stdbrg" localSheetId="12">#REF!</definedName>
    <definedName name="stdbrg">#REF!</definedName>
    <definedName name="stdbrgtype" localSheetId="12">#REF!</definedName>
    <definedName name="stdbrgtype">#REF!</definedName>
    <definedName name="stdnp" localSheetId="12">[3]Appendix!$A$4</definedName>
    <definedName name="stdnp">[3]Appendix!$A$4</definedName>
    <definedName name="SUNSHADE" localSheetId="12">#REF!</definedName>
    <definedName name="SUNSHADE">#REF!</definedName>
    <definedName name="SUNSHADE2" localSheetId="12">#REF!</definedName>
    <definedName name="SUNSHADE2">#REF!</definedName>
    <definedName name="SUPPLY" localSheetId="12">#REF!</definedName>
    <definedName name="SUPPLY">#REF!</definedName>
    <definedName name="tach">#REF!</definedName>
    <definedName name="TACHCOST" localSheetId="12">[6]値増!$Z$3:$AB$10</definedName>
    <definedName name="TACHCOST">[6]値増!$Z$3:$AB$10</definedName>
    <definedName name="TAISIN" localSheetId="12">#REF!</definedName>
    <definedName name="TAISIN">#REF!</definedName>
    <definedName name="TAISIN1" localSheetId="12">#REF!</definedName>
    <definedName name="TAISIN1">#REF!</definedName>
    <definedName name="TAISIN2" localSheetId="12">#REF!</definedName>
    <definedName name="TAISIN2">#REF!</definedName>
    <definedName name="TAP">#REF!</definedName>
    <definedName name="TAPINV">#REF!</definedName>
    <definedName name="tbbd">#REF!</definedName>
    <definedName name="TBFM3K" localSheetId="12">'[3]Conduit box'!$K$27</definedName>
    <definedName name="TBFM3K">'[3]Conduit box'!$K$27</definedName>
    <definedName name="TBFM6K" localSheetId="12">'[3]Conduit box'!$K$53</definedName>
    <definedName name="TBFM6K">'[3]Conduit box'!$K$53</definedName>
    <definedName name="TBOX">#REF!</definedName>
    <definedName name="TEAAC">#REF!</definedName>
    <definedName name="TEAACBV">#REF!</definedName>
    <definedName name="TEAO">#REF!</definedName>
    <definedName name="TEFC">#REF!</definedName>
    <definedName name="TEMP">#REF!</definedName>
    <definedName name="temprise">#REF!</definedName>
    <definedName name="TENV">#REF!</definedName>
    <definedName name="TEST">#REF!</definedName>
    <definedName name="testing">#REF!</definedName>
    <definedName name="TESTMETHOD">#REF!</definedName>
    <definedName name="TESV">#REF!</definedName>
    <definedName name="TEWAC">#REF!</definedName>
    <definedName name="TEWACBV">#REF!</definedName>
    <definedName name="TH103550M" localSheetId="12">[2]許容ｽﾗｽﾄ!$F$38:$J$42</definedName>
    <definedName name="TH103550M">[2]許容ｽﾗｽﾄ!$F$38:$J$42</definedName>
    <definedName name="TH103550N" localSheetId="12">[2]許容ｽﾗｽﾄ!$E$38:$J$42</definedName>
    <definedName name="TH103550N">[2]許容ｽﾗｽﾄ!$E$38:$J$42</definedName>
    <definedName name="TH103560M" localSheetId="12">[2]許容ｽﾗｽﾄ!$F$43:$J$47</definedName>
    <definedName name="TH103560M">[2]許容ｽﾗｽﾄ!$F$43:$J$47</definedName>
    <definedName name="TH103560N" localSheetId="12">[2]許容ｽﾗｽﾄ!$E$43:$J$47</definedName>
    <definedName name="TH103560N">[2]許容ｽﾗｽﾄ!$E$43:$J$47</definedName>
    <definedName name="TH104050M" localSheetId="12">[2]許容ｽﾗｽﾄ!$F$78:$J$82</definedName>
    <definedName name="TH104050M">[2]許容ｽﾗｽﾄ!$F$78:$J$82</definedName>
    <definedName name="TH104050N" localSheetId="12">[2]許容ｽﾗｽﾄ!$E$78:$J$82</definedName>
    <definedName name="TH104050N">[2]許容ｽﾗｽﾄ!$E$78:$J$82</definedName>
    <definedName name="TH104060M" localSheetId="12">[2]許容ｽﾗｽﾄ!$F$83:$J$87</definedName>
    <definedName name="TH104060M">[2]許容ｽﾗｽﾄ!$F$83:$J$87</definedName>
    <definedName name="TH104060N" localSheetId="12">[2]許容ｽﾗｽﾄ!$E$83:$J$87</definedName>
    <definedName name="TH104060N">[2]許容ｽﾗｽﾄ!$E$83:$J$87</definedName>
    <definedName name="TH104550M" localSheetId="12">[2]許容ｽﾗｽﾄ!$F$122:$J$128</definedName>
    <definedName name="TH104550M">[2]許容ｽﾗｽﾄ!$F$122:$J$128</definedName>
    <definedName name="TH104550N" localSheetId="12">[2]許容ｽﾗｽﾄ!$E$122:$J$128</definedName>
    <definedName name="TH104550N">[2]許容ｽﾗｽﾄ!$E$122:$J$128</definedName>
    <definedName name="TH104560M" localSheetId="12">[2]許容ｽﾗｽﾄ!$F$129:$J$135</definedName>
    <definedName name="TH104560M">[2]許容ｽﾗｽﾄ!$F$129:$J$135</definedName>
    <definedName name="TH104560N" localSheetId="12">[2]許容ｽﾗｽﾄ!$E$129:$J$135</definedName>
    <definedName name="TH104560N">[2]許容ｽﾗｽﾄ!$E$129:$J$135</definedName>
    <definedName name="TH1050L50" localSheetId="12">[2]許容ｽﾗｽﾄ!$H$236:$J$247</definedName>
    <definedName name="TH1050L50">[2]許容ｽﾗｽﾄ!$H$236:$J$247</definedName>
    <definedName name="TH1050L50M" localSheetId="12">[2]許容ｽﾗｽﾄ!$F$236:$J$241</definedName>
    <definedName name="TH1050L50M">[2]許容ｽﾗｽﾄ!$F$236:$J$241</definedName>
    <definedName name="TH1050L50N" localSheetId="12">[2]許容ｽﾗｽﾄ!$E$236:$J$241</definedName>
    <definedName name="TH1050L50N">[2]許容ｽﾗｽﾄ!$E$236:$J$241</definedName>
    <definedName name="TH1050L60M" localSheetId="12">[2]許容ｽﾗｽﾄ!$F$242:$J$247</definedName>
    <definedName name="TH1050L60M">[2]許容ｽﾗｽﾄ!$F$242:$J$247</definedName>
    <definedName name="TH1050L60N" localSheetId="12">[2]許容ｽﾗｽﾄ!$E$242:$J$247</definedName>
    <definedName name="TH1050L60N">[2]許容ｽﾗｽﾄ!$E$242:$J$247</definedName>
    <definedName name="TH1050M" localSheetId="12">[2]許容ｽﾗｽﾄ!$H$147:$J$158</definedName>
    <definedName name="TH1050M">[2]許容ｽﾗｽﾄ!$H$147:$J$158</definedName>
    <definedName name="TH1050M50M" localSheetId="12">[2]許容ｽﾗｽﾄ!$F$147:$J$152</definedName>
    <definedName name="TH1050M50M">[2]許容ｽﾗｽﾄ!$F$147:$J$152</definedName>
    <definedName name="TH1050M50N" localSheetId="12">[2]許容ｽﾗｽﾄ!$E$147:$J$152</definedName>
    <definedName name="TH1050M50N">[2]許容ｽﾗｽﾄ!$E$147:$J$152</definedName>
    <definedName name="TH1050M60M" localSheetId="12">[2]許容ｽﾗｽﾄ!$F$153:$J$158</definedName>
    <definedName name="TH1050M60M">[2]許容ｽﾗｽﾄ!$F$153:$J$158</definedName>
    <definedName name="TH1050M60N" localSheetId="12">[2]許容ｽﾗｽﾄ!$E$153:$J$158</definedName>
    <definedName name="TH1050M60N">[2]許容ｽﾗｽﾄ!$E$153:$J$158</definedName>
    <definedName name="TH1056L" localSheetId="12">[2]許容ｽﾗｽﾄ!$H$439:$J$450</definedName>
    <definedName name="TH1056L">[2]許容ｽﾗｽﾄ!$H$439:$J$450</definedName>
    <definedName name="TH1056L50M" localSheetId="12">[2]許容ｽﾗｽﾄ!$F$439:$J$444</definedName>
    <definedName name="TH1056L50M">[2]許容ｽﾗｽﾄ!$F$439:$J$444</definedName>
    <definedName name="TH1056L50N" localSheetId="12">[2]許容ｽﾗｽﾄ!$E$439:$J$444</definedName>
    <definedName name="TH1056L50N">[2]許容ｽﾗｽﾄ!$E$439:$J$444</definedName>
    <definedName name="TH1056L60M" localSheetId="12">[2]許容ｽﾗｽﾄ!$F$445:$J$450</definedName>
    <definedName name="TH1056L60M">[2]許容ｽﾗｽﾄ!$F$445:$J$450</definedName>
    <definedName name="TH1056L60N" localSheetId="12">[2]許容ｽﾗｽﾄ!$E$445:$J$450</definedName>
    <definedName name="TH1056L60N">[2]許容ｽﾗｽﾄ!$E$445:$J$450</definedName>
    <definedName name="TH1056M" localSheetId="12">[2]許容ｽﾗｽﾄ!$H$325:$J$336</definedName>
    <definedName name="TH1056M">[2]許容ｽﾗｽﾄ!$H$325:$J$336</definedName>
    <definedName name="TH1056M50M" localSheetId="12">[2]許容ｽﾗｽﾄ!$F$325:$J$330</definedName>
    <definedName name="TH1056M50M">[2]許容ｽﾗｽﾄ!$F$325:$J$330</definedName>
    <definedName name="TH1056M50N" localSheetId="12">[2]許容ｽﾗｽﾄ!$E$325:$J$330</definedName>
    <definedName name="TH1056M50N">[2]許容ｽﾗｽﾄ!$E$325:$J$330</definedName>
    <definedName name="TH1056M60M" localSheetId="12">[2]許容ｽﾗｽﾄ!$F$331:$J$336</definedName>
    <definedName name="TH1056M60M">[2]許容ｽﾗｽﾄ!$F$331:$J$336</definedName>
    <definedName name="TH1056M60N" localSheetId="12">[2]許容ｽﾗｽﾄ!$E$331:$J$336</definedName>
    <definedName name="TH1056M60N">[2]許容ｽﾗｽﾄ!$E$331:$J$336</definedName>
    <definedName name="TH1063L" localSheetId="12">[2]許容ｽﾗｽﾄ!$H$667:$J$678</definedName>
    <definedName name="TH1063L">[2]許容ｽﾗｽﾄ!$H$667:$J$678</definedName>
    <definedName name="TH1063L50M" localSheetId="12">[2]許容ｽﾗｽﾄ!$F$667:$J$672</definedName>
    <definedName name="TH1063L50M">[2]許容ｽﾗｽﾄ!$F$667:$J$672</definedName>
    <definedName name="TH1063L50N" localSheetId="12">[2]許容ｽﾗｽﾄ!$E$667:$J$672</definedName>
    <definedName name="TH1063L50N">[2]許容ｽﾗｽﾄ!$E$667:$J$672</definedName>
    <definedName name="TH1063L60M" localSheetId="12">[2]許容ｽﾗｽﾄ!$F$673:$J$678</definedName>
    <definedName name="TH1063L60M">[2]許容ｽﾗｽﾄ!$F$673:$J$678</definedName>
    <definedName name="TH1063L60N" localSheetId="12">[2]許容ｽﾗｽﾄ!$E$673:$J$678</definedName>
    <definedName name="TH1063L60N">[2]許容ｽﾗｽﾄ!$E$673:$J$678</definedName>
    <definedName name="TH1063M" localSheetId="12">[2]許容ｽﾗｽﾄ!$H$553:$J$564</definedName>
    <definedName name="TH1063M">[2]許容ｽﾗｽﾄ!$H$553:$J$564</definedName>
    <definedName name="TH1063M50M" localSheetId="12">[2]許容ｽﾗｽﾄ!$F$553:$J$558</definedName>
    <definedName name="TH1063M50M">[2]許容ｽﾗｽﾄ!$F$553:$J$558</definedName>
    <definedName name="TH1063M50N" localSheetId="12">[2]許容ｽﾗｽﾄ!$E$553:$J$558</definedName>
    <definedName name="TH1063M50N">[2]許容ｽﾗｽﾄ!$E$553:$J$558</definedName>
    <definedName name="TH1063M60M" localSheetId="12">[2]許容ｽﾗｽﾄ!$F$559:$J$564</definedName>
    <definedName name="TH1063M60M">[2]許容ｽﾗｽﾄ!$F$559:$J$564</definedName>
    <definedName name="TH1063M60N" localSheetId="12">[2]許容ｽﾗｽﾄ!$E$559:$J$564</definedName>
    <definedName name="TH1063M60N">[2]許容ｽﾗｽﾄ!$E$559:$J$564</definedName>
    <definedName name="TH1250L50" localSheetId="12">[2]許容ｽﾗｽﾄ!$H$248:$J$260</definedName>
    <definedName name="TH1250L50">[2]許容ｽﾗｽﾄ!$H$248:$J$260</definedName>
    <definedName name="TH1250L50M" localSheetId="12">[2]許容ｽﾗｽﾄ!$F$248:$J$254</definedName>
    <definedName name="TH1250L50M">[2]許容ｽﾗｽﾄ!$F$248:$J$254</definedName>
    <definedName name="TH1250L50N" localSheetId="12">[2]許容ｽﾗｽﾄ!$E$248:$J$254</definedName>
    <definedName name="TH1250L50N">[2]許容ｽﾗｽﾄ!$E$248:$J$254</definedName>
    <definedName name="TH1250L60M" localSheetId="12">[2]許容ｽﾗｽﾄ!$F$255:$J$260</definedName>
    <definedName name="TH1250L60M">[2]許容ｽﾗｽﾄ!$F$255:$J$260</definedName>
    <definedName name="TH1250L60N" localSheetId="12">[2]許容ｽﾗｽﾄ!$E$255:$J$260</definedName>
    <definedName name="TH1250L60N">[2]許容ｽﾗｽﾄ!$E$255:$J$260</definedName>
    <definedName name="TH1250M" localSheetId="12">[2]許容ｽﾗｽﾄ!$H$159:$J$171</definedName>
    <definedName name="TH1250M">[2]許容ｽﾗｽﾄ!$H$159:$J$171</definedName>
    <definedName name="TH1250M50M" localSheetId="12">[2]許容ｽﾗｽﾄ!$F$159:$J$165</definedName>
    <definedName name="TH1250M50M">[2]許容ｽﾗｽﾄ!$F$159:$J$165</definedName>
    <definedName name="TH1250M50N" localSheetId="12">[2]許容ｽﾗｽﾄ!$E$159:$J$165</definedName>
    <definedName name="TH1250M50N">[2]許容ｽﾗｽﾄ!$E$159:$J$165</definedName>
    <definedName name="TH1250M60M" localSheetId="12">[2]許容ｽﾗｽﾄ!$F$166:$J$171</definedName>
    <definedName name="TH1250M60M">[2]許容ｽﾗｽﾄ!$F$166:$J$171</definedName>
    <definedName name="TH1250M60N" localSheetId="12">[2]許容ｽﾗｽﾄ!$E$166:$J$171</definedName>
    <definedName name="TH1250M60N">[2]許容ｽﾗｽﾄ!$E$166:$J$171</definedName>
    <definedName name="TH1256L" localSheetId="12">[2]許容ｽﾗｽﾄ!$H$451:$J$463</definedName>
    <definedName name="TH1256L">[2]許容ｽﾗｽﾄ!$H$451:$J$463</definedName>
    <definedName name="TH1256L50M" localSheetId="12">[2]許容ｽﾗｽﾄ!$F$451:$J$457</definedName>
    <definedName name="TH1256L50M">[2]許容ｽﾗｽﾄ!$F$451:$J$457</definedName>
    <definedName name="TH1256L50N" localSheetId="12">[2]許容ｽﾗｽﾄ!$E$451:$J$457</definedName>
    <definedName name="TH1256L50N">[2]許容ｽﾗｽﾄ!$E$451:$J$457</definedName>
    <definedName name="TH1256L60M" localSheetId="12">[2]許容ｽﾗｽﾄ!$F$458:$J$463</definedName>
    <definedName name="TH1256L60M">[2]許容ｽﾗｽﾄ!$F$458:$J$463</definedName>
    <definedName name="TH1256L60N" localSheetId="12">[2]許容ｽﾗｽﾄ!$E$458:$J$463</definedName>
    <definedName name="TH1256L60N">[2]許容ｽﾗｽﾄ!$E$458:$J$463</definedName>
    <definedName name="TH1256M" localSheetId="12">[2]許容ｽﾗｽﾄ!$H$337:$J$349</definedName>
    <definedName name="TH1256M">[2]許容ｽﾗｽﾄ!$H$337:$J$349</definedName>
    <definedName name="TH1256M50M" localSheetId="12">[2]許容ｽﾗｽﾄ!$F$337:$J$343</definedName>
    <definedName name="TH1256M50M">[2]許容ｽﾗｽﾄ!$F$337:$J$343</definedName>
    <definedName name="TH1256M50N" localSheetId="12">[2]許容ｽﾗｽﾄ!$E$337:$J$343</definedName>
    <definedName name="TH1256M50N">[2]許容ｽﾗｽﾄ!$E$337:$J$343</definedName>
    <definedName name="TH1256M60M" localSheetId="12">[2]許容ｽﾗｽﾄ!$F$344:$J$349</definedName>
    <definedName name="TH1256M60M">[2]許容ｽﾗｽﾄ!$F$344:$J$349</definedName>
    <definedName name="TH1256M60N" localSheetId="12">[2]許容ｽﾗｽﾄ!$E$344:$J$349</definedName>
    <definedName name="TH1256M60N">[2]許容ｽﾗｽﾄ!$E$344:$J$349</definedName>
    <definedName name="TH1263L" localSheetId="12">[2]許容ｽﾗｽﾄ!$H$679:$J$691</definedName>
    <definedName name="TH1263L">[2]許容ｽﾗｽﾄ!$H$679:$J$691</definedName>
    <definedName name="TH1263L50M" localSheetId="12">[2]許容ｽﾗｽﾄ!$F$679:$J$685</definedName>
    <definedName name="TH1263L50M">[2]許容ｽﾗｽﾄ!$F$679:$J$685</definedName>
    <definedName name="TH1263L50N" localSheetId="12">[2]許容ｽﾗｽﾄ!$E$679:$J$685</definedName>
    <definedName name="TH1263L50N">[2]許容ｽﾗｽﾄ!$E$679:$J$685</definedName>
    <definedName name="TH1263L60M" localSheetId="12">[2]許容ｽﾗｽﾄ!$F$686:$J$691</definedName>
    <definedName name="TH1263L60M">[2]許容ｽﾗｽﾄ!$F$686:$J$691</definedName>
    <definedName name="TH1263L60N" localSheetId="12">[2]許容ｽﾗｽﾄ!$E$686:$J$691</definedName>
    <definedName name="TH1263L60N">[2]許容ｽﾗｽﾄ!$E$686:$J$691</definedName>
    <definedName name="TH1263M" localSheetId="12">[2]許容ｽﾗｽﾄ!$H$565:$J$577</definedName>
    <definedName name="TH1263M">[2]許容ｽﾗｽﾄ!$H$565:$J$577</definedName>
    <definedName name="TH1263M50M" localSheetId="12">[2]許容ｽﾗｽﾄ!$F$565:$J$571</definedName>
    <definedName name="TH1263M50M">[2]許容ｽﾗｽﾄ!$F$565:$J$571</definedName>
    <definedName name="TH1263M50N" localSheetId="12">[2]許容ｽﾗｽﾄ!$E$565:$J$571</definedName>
    <definedName name="TH1263M50N">[2]許容ｽﾗｽﾄ!$E$565:$J$571</definedName>
    <definedName name="TH1263M60M" localSheetId="12">[2]許容ｽﾗｽﾄ!$F$572:$J$577</definedName>
    <definedName name="TH1263M60M">[2]許容ｽﾗｽﾄ!$F$572:$J$577</definedName>
    <definedName name="TH1263M60N" localSheetId="12">[2]許容ｽﾗｽﾄ!$E$572:$J$577</definedName>
    <definedName name="TH1263M60N">[2]許容ｽﾗｽﾄ!$E$572:$J$577</definedName>
    <definedName name="TH1450L50" localSheetId="12">[2]許容ｽﾗｽﾄ!$H$261:$J$274</definedName>
    <definedName name="TH1450L50">[2]許容ｽﾗｽﾄ!$H$261:$J$274</definedName>
    <definedName name="TH1450L50M" localSheetId="12">[2]許容ｽﾗｽﾄ!$F$261:$J$267</definedName>
    <definedName name="TH1450L50M">[2]許容ｽﾗｽﾄ!$F$261:$J$267</definedName>
    <definedName name="TH1450L50N" localSheetId="12">[2]許容ｽﾗｽﾄ!$E$261:$J$267</definedName>
    <definedName name="TH1450L50N">[2]許容ｽﾗｽﾄ!$E$261:$J$267</definedName>
    <definedName name="TH1450L60M" localSheetId="12">[2]許容ｽﾗｽﾄ!$F$268:$J$274</definedName>
    <definedName name="TH1450L60M">[2]許容ｽﾗｽﾄ!$F$268:$J$274</definedName>
    <definedName name="TH1450L60N" localSheetId="12">[2]許容ｽﾗｽﾄ!$E$268:$J$274</definedName>
    <definedName name="TH1450L60N">[2]許容ｽﾗｽﾄ!$E$268:$J$274</definedName>
    <definedName name="TH1450M" localSheetId="12">[2]許容ｽﾗｽﾄ!$H$172:$J$185</definedName>
    <definedName name="TH1450M">[2]許容ｽﾗｽﾄ!$H$172:$J$185</definedName>
    <definedName name="TH1450M50M" localSheetId="12">[2]許容ｽﾗｽﾄ!$F$172:$J$178</definedName>
    <definedName name="TH1450M50M">[2]許容ｽﾗｽﾄ!$F$172:$J$178</definedName>
    <definedName name="TH1450M50N" localSheetId="12">[2]許容ｽﾗｽﾄ!$E$172:$J$178</definedName>
    <definedName name="TH1450M50N">[2]許容ｽﾗｽﾄ!$E$172:$J$178</definedName>
    <definedName name="TH1450M60M" localSheetId="12">[2]許容ｽﾗｽﾄ!$F$179:$J$185</definedName>
    <definedName name="TH1450M60M">[2]許容ｽﾗｽﾄ!$F$179:$J$185</definedName>
    <definedName name="TH1450M60N" localSheetId="12">[2]許容ｽﾗｽﾄ!$E$179:$J$185</definedName>
    <definedName name="TH1450M60N">[2]許容ｽﾗｽﾄ!$E$179:$J$185</definedName>
    <definedName name="TH1456L" localSheetId="12">[2]許容ｽﾗｽﾄ!$H$464:$J$477</definedName>
    <definedName name="TH1456L">[2]許容ｽﾗｽﾄ!$H$464:$J$477</definedName>
    <definedName name="TH1456L50M" localSheetId="12">[2]許容ｽﾗｽﾄ!$F$464:$J$470</definedName>
    <definedName name="TH1456L50M">[2]許容ｽﾗｽﾄ!$F$464:$J$470</definedName>
    <definedName name="TH1456L50N" localSheetId="12">[2]許容ｽﾗｽﾄ!$E$464:$J$470</definedName>
    <definedName name="TH1456L50N">[2]許容ｽﾗｽﾄ!$E$464:$J$470</definedName>
    <definedName name="TH1456L60M" localSheetId="12">[2]許容ｽﾗｽﾄ!$F$471:$J$477</definedName>
    <definedName name="TH1456L60M">[2]許容ｽﾗｽﾄ!$F$471:$J$477</definedName>
    <definedName name="TH1456L60N" localSheetId="12">[2]許容ｽﾗｽﾄ!$E$471:$J$477</definedName>
    <definedName name="TH1456L60N">[2]許容ｽﾗｽﾄ!$E$471:$J$477</definedName>
    <definedName name="TH1456M" localSheetId="12">[2]許容ｽﾗｽﾄ!$H$350:$J$363</definedName>
    <definedName name="TH1456M">[2]許容ｽﾗｽﾄ!$H$350:$J$363</definedName>
    <definedName name="TH1456M50M" localSheetId="12">[2]許容ｽﾗｽﾄ!$F$350:$J$356</definedName>
    <definedName name="TH1456M50M">[2]許容ｽﾗｽﾄ!$F$350:$J$356</definedName>
    <definedName name="TH1456M50N" localSheetId="12">[2]許容ｽﾗｽﾄ!$E$350:$J$356</definedName>
    <definedName name="TH1456M50N">[2]許容ｽﾗｽﾄ!$E$350:$J$356</definedName>
    <definedName name="TH1456M60M" localSheetId="12">[2]許容ｽﾗｽﾄ!$F$357:$J$363</definedName>
    <definedName name="TH1456M60M">[2]許容ｽﾗｽﾄ!$F$357:$J$363</definedName>
    <definedName name="TH1456M60N" localSheetId="12">[2]許容ｽﾗｽﾄ!$E$357:$J$363</definedName>
    <definedName name="TH1456M60N">[2]許容ｽﾗｽﾄ!$E$357:$J$363</definedName>
    <definedName name="TH1463L" localSheetId="12">[2]許容ｽﾗｽﾄ!$H$692:$J$705</definedName>
    <definedName name="TH1463L">[2]許容ｽﾗｽﾄ!$H$692:$J$705</definedName>
    <definedName name="TH1463L50M" localSheetId="12">[2]許容ｽﾗｽﾄ!$F$692:$J$698</definedName>
    <definedName name="TH1463L50M">[2]許容ｽﾗｽﾄ!$F$692:$J$698</definedName>
    <definedName name="TH1463L50N" localSheetId="12">[2]許容ｽﾗｽﾄ!$E$692:$J$698</definedName>
    <definedName name="TH1463L50N">[2]許容ｽﾗｽﾄ!$E$692:$J$698</definedName>
    <definedName name="TH1463L60M" localSheetId="12">[2]許容ｽﾗｽﾄ!$F$699:$J$705</definedName>
    <definedName name="TH1463L60M">[2]許容ｽﾗｽﾄ!$F$699:$J$705</definedName>
    <definedName name="TH1463L60N" localSheetId="12">[2]許容ｽﾗｽﾄ!$E$699:$J$705</definedName>
    <definedName name="TH1463L60N">[2]許容ｽﾗｽﾄ!$E$699:$J$705</definedName>
    <definedName name="TH1463M" localSheetId="12">[2]許容ｽﾗｽﾄ!$H$578:$J$591</definedName>
    <definedName name="TH1463M">[2]許容ｽﾗｽﾄ!$H$578:$J$591</definedName>
    <definedName name="TH1463M50M" localSheetId="12">[2]許容ｽﾗｽﾄ!$F$578:$J$584</definedName>
    <definedName name="TH1463M50M">[2]許容ｽﾗｽﾄ!$F$578:$J$584</definedName>
    <definedName name="TH1463M50N" localSheetId="12">[2]許容ｽﾗｽﾄ!$E$578:$J$584</definedName>
    <definedName name="TH1463M50N">[2]許容ｽﾗｽﾄ!$E$578:$J$584</definedName>
    <definedName name="TH1463M60M" localSheetId="12">[2]許容ｽﾗｽﾄ!$F$585:$J$591</definedName>
    <definedName name="TH1463M60M">[2]許容ｽﾗｽﾄ!$F$585:$J$591</definedName>
    <definedName name="TH1463M60N" localSheetId="12">[2]許容ｽﾗｽﾄ!$E$585:$J$591</definedName>
    <definedName name="TH1463M60N">[2]許容ｽﾗｽﾄ!$E$585:$J$591</definedName>
    <definedName name="TH1650L50" localSheetId="12">[2]許容ｽﾗｽﾄ!$H$275:$J$287</definedName>
    <definedName name="TH1650L50">[2]許容ｽﾗｽﾄ!$H$275:$J$287</definedName>
    <definedName name="TH1650L50M" localSheetId="12">[2]許容ｽﾗｽﾄ!$F$275:$J$280</definedName>
    <definedName name="TH1650L50M">[2]許容ｽﾗｽﾄ!$F$275:$J$280</definedName>
    <definedName name="TH1650L50N" localSheetId="12">[2]許容ｽﾗｽﾄ!$E$275:$J$280</definedName>
    <definedName name="TH1650L50N">[2]許容ｽﾗｽﾄ!$E$275:$J$280</definedName>
    <definedName name="TH1650L60M" localSheetId="12">[2]許容ｽﾗｽﾄ!$F$281:$J$287</definedName>
    <definedName name="TH1650L60M">[2]許容ｽﾗｽﾄ!$F$281:$J$287</definedName>
    <definedName name="TH1650L60N" localSheetId="12">[2]許容ｽﾗｽﾄ!$E$281:$J$287</definedName>
    <definedName name="TH1650L60N">[2]許容ｽﾗｽﾄ!$E$281:$J$287</definedName>
    <definedName name="TH1650M" localSheetId="12">[2]許容ｽﾗｽﾄ!$H$186:$J$198</definedName>
    <definedName name="TH1650M">[2]許容ｽﾗｽﾄ!$H$186:$J$198</definedName>
    <definedName name="TH1650M50M" localSheetId="12">[2]許容ｽﾗｽﾄ!$F$186:$J$191</definedName>
    <definedName name="TH1650M50M">[2]許容ｽﾗｽﾄ!$F$186:$J$191</definedName>
    <definedName name="TH1650M50N" localSheetId="12">[2]許容ｽﾗｽﾄ!$E$186:$J$191</definedName>
    <definedName name="TH1650M50N">[2]許容ｽﾗｽﾄ!$E$186:$J$191</definedName>
    <definedName name="TH1650M60M" localSheetId="12">[2]許容ｽﾗｽﾄ!$F$192:$J$198</definedName>
    <definedName name="TH1650M60M">[2]許容ｽﾗｽﾄ!$F$192:$J$198</definedName>
    <definedName name="TH1650M60N" localSheetId="12">[2]許容ｽﾗｽﾄ!$E$192:$J$198</definedName>
    <definedName name="TH1650M60N">[2]許容ｽﾗｽﾄ!$E$192:$J$198</definedName>
    <definedName name="TH1656L" localSheetId="12">[2]許容ｽﾗｽﾄ!$H$478:$J$490</definedName>
    <definedName name="TH1656L">[2]許容ｽﾗｽﾄ!$H$478:$J$490</definedName>
    <definedName name="TH1656L50M" localSheetId="12">[2]許容ｽﾗｽﾄ!$F$478:$J$483</definedName>
    <definedName name="TH1656L50M">[2]許容ｽﾗｽﾄ!$F$478:$J$483</definedName>
    <definedName name="TH1656L50N" localSheetId="12">[2]許容ｽﾗｽﾄ!$E$478:$J$483</definedName>
    <definedName name="TH1656L50N">[2]許容ｽﾗｽﾄ!$E$478:$J$483</definedName>
    <definedName name="TH1656L60M" localSheetId="12">[2]許容ｽﾗｽﾄ!$F$484:$J$490</definedName>
    <definedName name="TH1656L60M">[2]許容ｽﾗｽﾄ!$F$484:$J$490</definedName>
    <definedName name="TH1656L60N" localSheetId="12">[2]許容ｽﾗｽﾄ!$E$484:$J$490</definedName>
    <definedName name="TH1656L60N">[2]許容ｽﾗｽﾄ!$E$484:$J$490</definedName>
    <definedName name="TH1656M" localSheetId="12">[2]許容ｽﾗｽﾄ!$H$364:$J$376</definedName>
    <definedName name="TH1656M">[2]許容ｽﾗｽﾄ!$H$364:$J$376</definedName>
    <definedName name="TH1656M50M" localSheetId="12">[2]許容ｽﾗｽﾄ!$F$364:$J$369</definedName>
    <definedName name="TH1656M50M">[2]許容ｽﾗｽﾄ!$F$364:$J$369</definedName>
    <definedName name="TH1656M50N" localSheetId="12">[2]許容ｽﾗｽﾄ!$E$364:$J$369</definedName>
    <definedName name="TH1656M50N">[2]許容ｽﾗｽﾄ!$E$364:$J$369</definedName>
    <definedName name="TH1656M60M" localSheetId="12">[2]許容ｽﾗｽﾄ!$F$370:$J$376</definedName>
    <definedName name="TH1656M60M">[2]許容ｽﾗｽﾄ!$F$370:$J$376</definedName>
    <definedName name="TH1656M60N" localSheetId="12">[2]許容ｽﾗｽﾄ!$E$370:$J$376</definedName>
    <definedName name="TH1656M60N">[2]許容ｽﾗｽﾄ!$E$370:$J$376</definedName>
    <definedName name="TH1663L" localSheetId="12">[2]許容ｽﾗｽﾄ!$H$706:$J$718</definedName>
    <definedName name="TH1663L">[2]許容ｽﾗｽﾄ!$H$706:$J$718</definedName>
    <definedName name="TH1663L50M" localSheetId="12">[2]許容ｽﾗｽﾄ!$F$706:$J$711</definedName>
    <definedName name="TH1663L50M">[2]許容ｽﾗｽﾄ!$F$706:$J$711</definedName>
    <definedName name="TH1663L50N" localSheetId="12">[2]許容ｽﾗｽﾄ!$E$706:$J$711</definedName>
    <definedName name="TH1663L50N">[2]許容ｽﾗｽﾄ!$E$706:$J$711</definedName>
    <definedName name="TH1663L60M" localSheetId="12">[2]許容ｽﾗｽﾄ!$F$712:$J$718</definedName>
    <definedName name="TH1663L60M">[2]許容ｽﾗｽﾄ!$F$712:$J$718</definedName>
    <definedName name="TH1663L60N" localSheetId="12">[2]許容ｽﾗｽﾄ!$E$712:$J$718</definedName>
    <definedName name="TH1663L60N">[2]許容ｽﾗｽﾄ!$E$712:$J$718</definedName>
    <definedName name="TH1663M" localSheetId="12">[2]許容ｽﾗｽﾄ!$H$592:$J$604</definedName>
    <definedName name="TH1663M">[2]許容ｽﾗｽﾄ!$H$592:$J$604</definedName>
    <definedName name="TH1663M50M" localSheetId="12">[2]許容ｽﾗｽﾄ!$F$592:$J$597</definedName>
    <definedName name="TH1663M50M">[2]許容ｽﾗｽﾄ!$F$592:$J$597</definedName>
    <definedName name="TH1663M50N" localSheetId="12">[2]許容ｽﾗｽﾄ!$E$592:$J$597</definedName>
    <definedName name="TH1663M50N">[2]許容ｽﾗｽﾄ!$E$592:$J$597</definedName>
    <definedName name="TH1663M60M" localSheetId="12">[2]許容ｽﾗｽﾄ!$F$598:$J$604</definedName>
    <definedName name="TH1663M60M">[2]許容ｽﾗｽﾄ!$F$598:$J$604</definedName>
    <definedName name="TH1663M60N" localSheetId="12">[2]許容ｽﾗｽﾄ!$E$598:$J$604</definedName>
    <definedName name="TH1663M60N">[2]許容ｽﾗｽﾄ!$E$598:$J$604</definedName>
    <definedName name="TH1850L50" localSheetId="12">[2]許容ｽﾗｽﾄ!$H$288:$J$300</definedName>
    <definedName name="TH1850L50">[2]許容ｽﾗｽﾄ!$H$288:$J$300</definedName>
    <definedName name="TH1850L50M" localSheetId="12">[2]許容ｽﾗｽﾄ!$F$288:$J$293</definedName>
    <definedName name="TH1850L50M">[2]許容ｽﾗｽﾄ!$F$288:$J$293</definedName>
    <definedName name="TH1850L50N" localSheetId="12">[2]許容ｽﾗｽﾄ!$E$288:$J$293</definedName>
    <definedName name="TH1850L50N">[2]許容ｽﾗｽﾄ!$E$288:$J$293</definedName>
    <definedName name="TH1850L60M" localSheetId="12">[2]許容ｽﾗｽﾄ!$F$294:$J$300</definedName>
    <definedName name="TH1850L60M">[2]許容ｽﾗｽﾄ!$F$294:$J$300</definedName>
    <definedName name="TH1850L60N" localSheetId="12">[2]許容ｽﾗｽﾄ!$E$294:$J$300</definedName>
    <definedName name="TH1850L60N">[2]許容ｽﾗｽﾄ!$E$294:$J$300</definedName>
    <definedName name="TH1850M" localSheetId="12">[2]許容ｽﾗｽﾄ!$H$199:$J$211</definedName>
    <definedName name="TH1850M">[2]許容ｽﾗｽﾄ!$H$199:$J$211</definedName>
    <definedName name="TH1850M50M" localSheetId="12">[2]許容ｽﾗｽﾄ!$F$199:$J$204</definedName>
    <definedName name="TH1850M50M">[2]許容ｽﾗｽﾄ!$F$199:$J$204</definedName>
    <definedName name="TH1850M50N" localSheetId="12">[2]許容ｽﾗｽﾄ!$E$199:$J$204</definedName>
    <definedName name="TH1850M50N">[2]許容ｽﾗｽﾄ!$E$199:$J$204</definedName>
    <definedName name="TH1850M60M" localSheetId="12">[2]許容ｽﾗｽﾄ!$F$205:$J$211</definedName>
    <definedName name="TH1850M60M">[2]許容ｽﾗｽﾄ!$F$205:$J$211</definedName>
    <definedName name="TH1850M60N" localSheetId="12">[2]許容ｽﾗｽﾄ!$E$205:$J$211</definedName>
    <definedName name="TH1850M60N">[2]許容ｽﾗｽﾄ!$E$205:$J$211</definedName>
    <definedName name="TH1856L" localSheetId="12">[2]許容ｽﾗｽﾄ!$H$491:$J$503</definedName>
    <definedName name="TH1856L">[2]許容ｽﾗｽﾄ!$H$491:$J$503</definedName>
    <definedName name="TH1856L50M" localSheetId="12">[2]許容ｽﾗｽﾄ!$F$491:$J$496</definedName>
    <definedName name="TH1856L50M">[2]許容ｽﾗｽﾄ!$F$491:$J$496</definedName>
    <definedName name="TH1856L50N" localSheetId="12">[2]許容ｽﾗｽﾄ!$E$491:$J$496</definedName>
    <definedName name="TH1856L50N">[2]許容ｽﾗｽﾄ!$E$491:$J$496</definedName>
    <definedName name="TH1856L60M" localSheetId="12">[2]許容ｽﾗｽﾄ!$F$497:$J$503</definedName>
    <definedName name="TH1856L60M">[2]許容ｽﾗｽﾄ!$F$497:$J$503</definedName>
    <definedName name="TH1856L60N" localSheetId="12">[2]許容ｽﾗｽﾄ!$E$497:$J$503</definedName>
    <definedName name="TH1856L60N">[2]許容ｽﾗｽﾄ!$E$497:$J$503</definedName>
    <definedName name="TH1856M" localSheetId="12">[2]許容ｽﾗｽﾄ!$H$377:$J$389</definedName>
    <definedName name="TH1856M">[2]許容ｽﾗｽﾄ!$H$377:$J$389</definedName>
    <definedName name="TH1856M50M" localSheetId="12">[2]許容ｽﾗｽﾄ!$F$377:$J$382</definedName>
    <definedName name="TH1856M50M">[2]許容ｽﾗｽﾄ!$F$377:$J$382</definedName>
    <definedName name="TH1856M50N" localSheetId="12">[2]許容ｽﾗｽﾄ!$E$377:$J$382</definedName>
    <definedName name="TH1856M50N">[2]許容ｽﾗｽﾄ!$E$377:$J$382</definedName>
    <definedName name="TH1856M60M" localSheetId="12">[2]許容ｽﾗｽﾄ!$F$383:$J$389</definedName>
    <definedName name="TH1856M60M">[2]許容ｽﾗｽﾄ!$F$383:$J$389</definedName>
    <definedName name="TH1856M60N" localSheetId="12">[2]許容ｽﾗｽﾄ!$E$383:$J$389</definedName>
    <definedName name="TH1856M60N">[2]許容ｽﾗｽﾄ!$E$383:$J$389</definedName>
    <definedName name="TH1863L" localSheetId="12">[2]許容ｽﾗｽﾄ!$H$719:$J$731</definedName>
    <definedName name="TH1863L">[2]許容ｽﾗｽﾄ!$H$719:$J$731</definedName>
    <definedName name="TH1863L50M" localSheetId="12">[2]許容ｽﾗｽﾄ!$F$719:$J$724</definedName>
    <definedName name="TH1863L50M">[2]許容ｽﾗｽﾄ!$F$719:$J$724</definedName>
    <definedName name="TH1863L50N" localSheetId="12">[2]許容ｽﾗｽﾄ!$E$719:$J$724</definedName>
    <definedName name="TH1863L50N">[2]許容ｽﾗｽﾄ!$E$719:$J$724</definedName>
    <definedName name="TH1863L60M" localSheetId="12">[2]許容ｽﾗｽﾄ!$F$725:$J$731</definedName>
    <definedName name="TH1863L60M">[2]許容ｽﾗｽﾄ!$F$725:$J$731</definedName>
    <definedName name="TH1863L60N" localSheetId="12">[2]許容ｽﾗｽﾄ!$E$725:$J$731</definedName>
    <definedName name="TH1863L60N">[2]許容ｽﾗｽﾄ!$E$725:$J$731</definedName>
    <definedName name="TH1863M" localSheetId="12">[2]許容ｽﾗｽﾄ!$H$605:$J$617</definedName>
    <definedName name="TH1863M">[2]許容ｽﾗｽﾄ!$H$605:$J$617</definedName>
    <definedName name="TH1863M50M" localSheetId="12">[2]許容ｽﾗｽﾄ!$F$605:$J$610</definedName>
    <definedName name="TH1863M50M">[2]許容ｽﾗｽﾄ!$F$605:$J$610</definedName>
    <definedName name="TH1863M50N" localSheetId="12">[2]許容ｽﾗｽﾄ!$E$605:$J$610</definedName>
    <definedName name="TH1863M50N">[2]許容ｽﾗｽﾄ!$E$605:$J$610</definedName>
    <definedName name="TH1863M60M" localSheetId="12">[2]許容ｽﾗｽﾄ!$F$611:$J$617</definedName>
    <definedName name="TH1863M60M">[2]許容ｽﾗｽﾄ!$F$611:$J$617</definedName>
    <definedName name="TH1863M60N" localSheetId="12">[2]許容ｽﾗｽﾄ!$E$611:$J$617</definedName>
    <definedName name="TH1863M60N">[2]許容ｽﾗｽﾄ!$E$611:$J$617</definedName>
    <definedName name="TH2050L50" localSheetId="12">[2]許容ｽﾗｽﾄ!$H$301:$J$313</definedName>
    <definedName name="TH2050L50">[2]許容ｽﾗｽﾄ!$H$301:$J$313</definedName>
    <definedName name="TH2050L50M" localSheetId="12">[2]許容ｽﾗｽﾄ!$F$301:$J$306</definedName>
    <definedName name="TH2050L50M">[2]許容ｽﾗｽﾄ!$F$301:$J$306</definedName>
    <definedName name="TH2050L50N" localSheetId="12">[2]許容ｽﾗｽﾄ!$E$301:$J$306</definedName>
    <definedName name="TH2050L50N">[2]許容ｽﾗｽﾄ!$E$301:$J$306</definedName>
    <definedName name="TH2050L60M" localSheetId="12">[2]許容ｽﾗｽﾄ!$F$307:$J$313</definedName>
    <definedName name="TH2050L60M">[2]許容ｽﾗｽﾄ!$F$307:$J$313</definedName>
    <definedName name="TH2050L60N" localSheetId="12">[2]許容ｽﾗｽﾄ!$E$307:$J$313</definedName>
    <definedName name="TH2050L60N">[2]許容ｽﾗｽﾄ!$E$307:$J$313</definedName>
    <definedName name="TH2050M" localSheetId="12">[2]許容ｽﾗｽﾄ!$H$212:$J$224</definedName>
    <definedName name="TH2050M">[2]許容ｽﾗｽﾄ!$H$212:$J$224</definedName>
    <definedName name="TH2050M50M" localSheetId="12">[2]許容ｽﾗｽﾄ!$F$212:$J$217</definedName>
    <definedName name="TH2050M50M">[2]許容ｽﾗｽﾄ!$F$212:$J$217</definedName>
    <definedName name="TH2050M50N" localSheetId="12">[2]許容ｽﾗｽﾄ!$E$212:$J$217</definedName>
    <definedName name="TH2050M50N">[2]許容ｽﾗｽﾄ!$E$212:$J$217</definedName>
    <definedName name="TH2050M60M" localSheetId="12">[2]許容ｽﾗｽﾄ!$F$218:$J$224</definedName>
    <definedName name="TH2050M60M">[2]許容ｽﾗｽﾄ!$F$218:$J$224</definedName>
    <definedName name="TH2050M60N" localSheetId="12">[2]許容ｽﾗｽﾄ!$E$218:$J$224</definedName>
    <definedName name="TH2050M60N">[2]許容ｽﾗｽﾄ!$E$218:$J$224</definedName>
    <definedName name="TH2056L" localSheetId="12">[2]許容ｽﾗｽﾄ!$H$504:$J$516</definedName>
    <definedName name="TH2056L">[2]許容ｽﾗｽﾄ!$H$504:$J$516</definedName>
    <definedName name="TH2056L50M" localSheetId="12">[2]許容ｽﾗｽﾄ!$F$504:$J$509</definedName>
    <definedName name="TH2056L50M">[2]許容ｽﾗｽﾄ!$F$504:$J$509</definedName>
    <definedName name="TH2056L50N" localSheetId="12">[2]許容ｽﾗｽﾄ!$E$504:$J$509</definedName>
    <definedName name="TH2056L50N">[2]許容ｽﾗｽﾄ!$E$504:$J$509</definedName>
    <definedName name="TH2056L60M" localSheetId="12">[2]許容ｽﾗｽﾄ!$F$510:$J$516</definedName>
    <definedName name="TH2056L60M">[2]許容ｽﾗｽﾄ!$F$510:$J$516</definedName>
    <definedName name="TH2056L60N" localSheetId="12">[2]許容ｽﾗｽﾄ!$E$510:$J$516</definedName>
    <definedName name="TH2056L60N">[2]許容ｽﾗｽﾄ!$E$510:$J$516</definedName>
    <definedName name="TH2056M" localSheetId="12">[2]許容ｽﾗｽﾄ!$H$390:$J$402</definedName>
    <definedName name="TH2056M">[2]許容ｽﾗｽﾄ!$H$390:$J$402</definedName>
    <definedName name="TH2056M50M" localSheetId="12">[2]許容ｽﾗｽﾄ!$F$390:$J$395</definedName>
    <definedName name="TH2056M50M">[2]許容ｽﾗｽﾄ!$F$390:$J$395</definedName>
    <definedName name="TH2056M50N" localSheetId="12">[2]許容ｽﾗｽﾄ!$E$390:$J$395</definedName>
    <definedName name="TH2056M50N">[2]許容ｽﾗｽﾄ!$E$390:$J$395</definedName>
    <definedName name="TH2056M60M" localSheetId="12">[2]許容ｽﾗｽﾄ!$F$396:$J$402</definedName>
    <definedName name="TH2056M60M">[2]許容ｽﾗｽﾄ!$F$396:$J$402</definedName>
    <definedName name="TH2056M60N" localSheetId="12">[2]許容ｽﾗｽﾄ!$E$396:$J$402</definedName>
    <definedName name="TH2056M60N">[2]許容ｽﾗｽﾄ!$E$396:$J$402</definedName>
    <definedName name="TH2063L" localSheetId="12">[2]許容ｽﾗｽﾄ!$H$732:$J$744</definedName>
    <definedName name="TH2063L">[2]許容ｽﾗｽﾄ!$H$732:$J$744</definedName>
    <definedName name="TH2063L50M" localSheetId="12">[2]許容ｽﾗｽﾄ!$F$732:$J$737</definedName>
    <definedName name="TH2063L50M">[2]許容ｽﾗｽﾄ!$F$732:$J$737</definedName>
    <definedName name="TH2063L50N" localSheetId="12">[2]許容ｽﾗｽﾄ!$E$732:$J$737</definedName>
    <definedName name="TH2063L50N">[2]許容ｽﾗｽﾄ!$E$732:$J$737</definedName>
    <definedName name="TH2063L60M" localSheetId="12">[2]許容ｽﾗｽﾄ!$F$738:$J$744</definedName>
    <definedName name="TH2063L60M">[2]許容ｽﾗｽﾄ!$F$738:$J$744</definedName>
    <definedName name="TH2063L60N" localSheetId="12">[2]許容ｽﾗｽﾄ!$E$738:$J$744</definedName>
    <definedName name="TH2063L60N">[2]許容ｽﾗｽﾄ!$E$738:$J$744</definedName>
    <definedName name="TH2063M" localSheetId="12">[2]許容ｽﾗｽﾄ!$H$618:$J$630</definedName>
    <definedName name="TH2063M">[2]許容ｽﾗｽﾄ!$H$618:$J$630</definedName>
    <definedName name="TH2063M50M" localSheetId="12">[2]許容ｽﾗｽﾄ!$F$618:$J$623</definedName>
    <definedName name="TH2063M50M">[2]許容ｽﾗｽﾄ!$F$618:$J$623</definedName>
    <definedName name="TH2063M50N" localSheetId="12">[2]許容ｽﾗｽﾄ!$E$618:$J$623</definedName>
    <definedName name="TH2063M50N">[2]許容ｽﾗｽﾄ!$E$618:$J$623</definedName>
    <definedName name="TH2063M60M" localSheetId="12">[2]許容ｽﾗｽﾄ!$F$624:$J$630</definedName>
    <definedName name="TH2063M60M">[2]許容ｽﾗｽﾄ!$F$624:$J$630</definedName>
    <definedName name="TH2063M60N" localSheetId="12">[2]許容ｽﾗｽﾄ!$E$624:$J$630</definedName>
    <definedName name="TH2063M60N">[2]許容ｽﾗｽﾄ!$E$624:$J$630</definedName>
    <definedName name="TH2256L" localSheetId="12">[2]許容ｽﾗｽﾄ!$H$517:$J$529</definedName>
    <definedName name="TH2256L">[2]許容ｽﾗｽﾄ!$H$517:$J$529</definedName>
    <definedName name="TH2256L50M" localSheetId="12">[2]許容ｽﾗｽﾄ!$F$517:$J$522</definedName>
    <definedName name="TH2256L50M">[2]許容ｽﾗｽﾄ!$F$517:$J$522</definedName>
    <definedName name="TH2256L50N" localSheetId="12">[2]許容ｽﾗｽﾄ!$E$517:$J$522</definedName>
    <definedName name="TH2256L50N">[2]許容ｽﾗｽﾄ!$E$517:$J$522</definedName>
    <definedName name="TH2256L60M" localSheetId="12">[2]許容ｽﾗｽﾄ!$F$523:$J$529</definedName>
    <definedName name="TH2256L60M">[2]許容ｽﾗｽﾄ!$F$523:$J$529</definedName>
    <definedName name="TH2256L60N" localSheetId="12">[2]許容ｽﾗｽﾄ!$E$523:$J$529</definedName>
    <definedName name="TH2256L60N">[2]許容ｽﾗｽﾄ!$E$523:$J$529</definedName>
    <definedName name="TH2256M" localSheetId="12">[2]許容ｽﾗｽﾄ!$H$403:$J$415</definedName>
    <definedName name="TH2256M">[2]許容ｽﾗｽﾄ!$H$403:$J$415</definedName>
    <definedName name="TH2256M50M" localSheetId="12">[2]許容ｽﾗｽﾄ!$F$403:$J$408</definedName>
    <definedName name="TH2256M50M">[2]許容ｽﾗｽﾄ!$F$403:$J$408</definedName>
    <definedName name="TH2256M50N" localSheetId="12">[2]許容ｽﾗｽﾄ!$E$403:$J$408</definedName>
    <definedName name="TH2256M50N">[2]許容ｽﾗｽﾄ!$E$403:$J$408</definedName>
    <definedName name="TH2256M60M" localSheetId="12">[2]許容ｽﾗｽﾄ!$F$409:$J$415</definedName>
    <definedName name="TH2256M60M">[2]許容ｽﾗｽﾄ!$F$409:$J$415</definedName>
    <definedName name="TH2256M60N" localSheetId="12">[2]許容ｽﾗｽﾄ!$E$409:$J$415</definedName>
    <definedName name="TH2256M60N">[2]許容ｽﾗｽﾄ!$E$409:$J$415</definedName>
    <definedName name="TH2263L" localSheetId="12">[2]許容ｽﾗｽﾄ!$H$745:$J$757</definedName>
    <definedName name="TH2263L">[2]許容ｽﾗｽﾄ!$H$745:$J$757</definedName>
    <definedName name="TH2263L50M" localSheetId="12">[2]許容ｽﾗｽﾄ!$F$745:$J$750</definedName>
    <definedName name="TH2263L50M">[2]許容ｽﾗｽﾄ!$F$745:$J$750</definedName>
    <definedName name="TH2263L50N" localSheetId="12">[2]許容ｽﾗｽﾄ!$E$745:$J$750</definedName>
    <definedName name="TH2263L50N">[2]許容ｽﾗｽﾄ!$E$745:$J$750</definedName>
    <definedName name="TH2263L60M" localSheetId="12">[2]許容ｽﾗｽﾄ!$F$751:$J$757</definedName>
    <definedName name="TH2263L60M">[2]許容ｽﾗｽﾄ!$F$751:$J$757</definedName>
    <definedName name="TH2263L60N" localSheetId="12">[2]許容ｽﾗｽﾄ!$E$751:$J$757</definedName>
    <definedName name="TH2263L60N">[2]許容ｽﾗｽﾄ!$E$751:$J$757</definedName>
    <definedName name="TH2263M" localSheetId="12">[2]許容ｽﾗｽﾄ!$H$631:$J$643</definedName>
    <definedName name="TH2263M">[2]許容ｽﾗｽﾄ!$H$631:$J$643</definedName>
    <definedName name="TH2263M50M" localSheetId="12">[2]許容ｽﾗｽﾄ!$F$631:$J$636</definedName>
    <definedName name="TH2263M50M">[2]許容ｽﾗｽﾄ!$F$631:$J$636</definedName>
    <definedName name="TH2263M50N" localSheetId="12">[2]許容ｽﾗｽﾄ!$E$631:$J$636</definedName>
    <definedName name="TH2263M50N">[2]許容ｽﾗｽﾄ!$E$631:$J$636</definedName>
    <definedName name="TH2263M60M" localSheetId="12">[2]許容ｽﾗｽﾄ!$F$637:$J$643</definedName>
    <definedName name="TH2263M60M">[2]許容ｽﾗｽﾄ!$F$637:$J$643</definedName>
    <definedName name="TH2263M60N" localSheetId="12">[2]許容ｽﾗｽﾄ!$E$637:$J$643</definedName>
    <definedName name="TH2263M60N">[2]許容ｽﾗｽﾄ!$E$637:$J$643</definedName>
    <definedName name="TH2456L" localSheetId="12">[2]許容ｽﾗｽﾄ!$H$530:$J$541</definedName>
    <definedName name="TH2456L">[2]許容ｽﾗｽﾄ!$H$530:$J$541</definedName>
    <definedName name="TH2456L50M" localSheetId="12">[2]許容ｽﾗｽﾄ!$F$530:$J$535</definedName>
    <definedName name="TH2456L50M">[2]許容ｽﾗｽﾄ!$F$530:$J$535</definedName>
    <definedName name="TH2456L50N" localSheetId="12">[2]許容ｽﾗｽﾄ!$E$530:$J$535</definedName>
    <definedName name="TH2456L50N">[2]許容ｽﾗｽﾄ!$E$530:$J$535</definedName>
    <definedName name="TH2456L60M" localSheetId="12">[2]許容ｽﾗｽﾄ!$F$536:$J$541</definedName>
    <definedName name="TH2456L60M">[2]許容ｽﾗｽﾄ!$F$536:$J$541</definedName>
    <definedName name="TH2456L60N" localSheetId="12">[2]許容ｽﾗｽﾄ!$E$536:$J$541</definedName>
    <definedName name="TH2456L60N">[2]許容ｽﾗｽﾄ!$E$536:$J$541</definedName>
    <definedName name="TH2456M" localSheetId="12">[2]許容ｽﾗｽﾄ!$H$416:$J$427</definedName>
    <definedName name="TH2456M">[2]許容ｽﾗｽﾄ!$H$416:$J$427</definedName>
    <definedName name="TH2456M50M" localSheetId="12">[2]許容ｽﾗｽﾄ!$F$416:$J$421</definedName>
    <definedName name="TH2456M50M">[2]許容ｽﾗｽﾄ!$F$416:$J$421</definedName>
    <definedName name="TH2456M50N" localSheetId="12">[2]許容ｽﾗｽﾄ!$E$416:$J$421</definedName>
    <definedName name="TH2456M50N">[2]許容ｽﾗｽﾄ!$E$416:$J$421</definedName>
    <definedName name="TH2456M60M" localSheetId="12">[2]許容ｽﾗｽﾄ!$F$422:$J$427</definedName>
    <definedName name="TH2456M60M">[2]許容ｽﾗｽﾄ!$F$422:$J$427</definedName>
    <definedName name="TH2456M60N" localSheetId="12">[2]許容ｽﾗｽﾄ!$E$422:$J$427</definedName>
    <definedName name="TH2456M60N">[2]許容ｽﾗｽﾄ!$E$422:$J$427</definedName>
    <definedName name="TH2463L" localSheetId="12">[2]許容ｽﾗｽﾄ!$H$758:$J$769</definedName>
    <definedName name="TH2463L">[2]許容ｽﾗｽﾄ!$H$758:$J$769</definedName>
    <definedName name="TH2463L50M" localSheetId="12">[2]許容ｽﾗｽﾄ!$F$758:$J$763</definedName>
    <definedName name="TH2463L50M">[2]許容ｽﾗｽﾄ!$F$758:$J$763</definedName>
    <definedName name="TH2463L50N" localSheetId="12">[2]許容ｽﾗｽﾄ!$E$758:$J$763</definedName>
    <definedName name="TH2463L50N">[2]許容ｽﾗｽﾄ!$E$758:$J$763</definedName>
    <definedName name="TH2463L60M" localSheetId="12">[2]許容ｽﾗｽﾄ!$F$764:$J$769</definedName>
    <definedName name="TH2463L60M">[2]許容ｽﾗｽﾄ!$F$764:$J$769</definedName>
    <definedName name="TH2463L60N" localSheetId="12">[2]許容ｽﾗｽﾄ!$E$764:$J$769</definedName>
    <definedName name="TH2463L60N">[2]許容ｽﾗｽﾄ!$E$764:$J$769</definedName>
    <definedName name="TH2463M" localSheetId="12">[2]許容ｽﾗｽﾄ!$H$644:$J$655</definedName>
    <definedName name="TH2463M">[2]許容ｽﾗｽﾄ!$H$644:$J$655</definedName>
    <definedName name="TH2463M50M" localSheetId="12">[2]許容ｽﾗｽﾄ!$F$644:$J$649</definedName>
    <definedName name="TH2463M50M">[2]許容ｽﾗｽﾄ!$F$644:$J$649</definedName>
    <definedName name="TH2463M50N" localSheetId="12">[2]許容ｽﾗｽﾄ!$E$644:$J$649</definedName>
    <definedName name="TH2463M50N">[2]許容ｽﾗｽﾄ!$E$644:$J$649</definedName>
    <definedName name="TH2463M60M" localSheetId="12">[2]許容ｽﾗｽﾄ!$F$650:$J$655</definedName>
    <definedName name="TH2463M60M">[2]許容ｽﾗｽﾄ!$F$650:$J$655</definedName>
    <definedName name="TH2463M60N" localSheetId="12">[2]許容ｽﾗｽﾄ!$E$650:$J$655</definedName>
    <definedName name="TH2463M60N">[2]許容ｽﾗｽﾄ!$E$650:$J$655</definedName>
    <definedName name="TH43550M" localSheetId="12">[2]許容ｽﾗｽﾄ!$F$8:$J$12</definedName>
    <definedName name="TH43550M">[2]許容ｽﾗｽﾄ!$F$8:$J$12</definedName>
    <definedName name="TH43550N" localSheetId="12">[2]許容ｽﾗｽﾄ!$E$8:$J$12</definedName>
    <definedName name="TH43550N">[2]許容ｽﾗｽﾄ!$E$8:$J$12</definedName>
    <definedName name="TH43560M" localSheetId="12">[2]許容ｽﾗｽﾄ!$F$13:$J$17</definedName>
    <definedName name="TH43560M">[2]許容ｽﾗｽﾄ!$F$13:$J$17</definedName>
    <definedName name="TH43560N" localSheetId="12">[2]許容ｽﾗｽﾄ!$E$13:$J$17</definedName>
    <definedName name="TH43560N">[2]許容ｽﾗｽﾄ!$E$13:$J$17</definedName>
    <definedName name="TH44050M" localSheetId="12">[2]許容ｽﾗｽﾄ!$F$48:$J$52</definedName>
    <definedName name="TH44050M">[2]許容ｽﾗｽﾄ!$F$48:$J$52</definedName>
    <definedName name="TH44050N" localSheetId="12">[2]許容ｽﾗｽﾄ!$E$48:$J$52</definedName>
    <definedName name="TH44050N">[2]許容ｽﾗｽﾄ!$E$48:$J$52</definedName>
    <definedName name="TH44060M" localSheetId="12">[2]許容ｽﾗｽﾄ!$F$53:$J$57</definedName>
    <definedName name="TH44060M">[2]許容ｽﾗｽﾄ!$F$53:$J$57</definedName>
    <definedName name="TH44060N" localSheetId="12">[2]許容ｽﾗｽﾄ!$E$53:$J$57</definedName>
    <definedName name="TH44060N">[2]許容ｽﾗｽﾄ!$E$53:$J$57</definedName>
    <definedName name="TH44550M" localSheetId="12">[2]許容ｽﾗｽﾄ!$F$88:$J$92</definedName>
    <definedName name="TH44550M">[2]許容ｽﾗｽﾄ!$F$88:$J$92</definedName>
    <definedName name="TH44550N" localSheetId="12">[2]許容ｽﾗｽﾄ!$E$88:$J$92</definedName>
    <definedName name="TH44550N">[2]許容ｽﾗｽﾄ!$E$88:$J$92</definedName>
    <definedName name="TH44560M" localSheetId="12">[2]許容ｽﾗｽﾄ!$F$93:$J$97</definedName>
    <definedName name="TH44560M">[2]許容ｽﾗｽﾄ!$F$93:$J$97</definedName>
    <definedName name="TH44560N" localSheetId="12">[2]許容ｽﾗｽﾄ!$E$93:$J$97</definedName>
    <definedName name="TH44560N">[2]許容ｽﾗｽﾄ!$E$93:$J$97</definedName>
    <definedName name="TH63550M" localSheetId="12">[2]許容ｽﾗｽﾄ!$F$18:$J$22</definedName>
    <definedName name="TH63550M">[2]許容ｽﾗｽﾄ!$F$18:$J$22</definedName>
    <definedName name="TH63550N" localSheetId="12">[2]許容ｽﾗｽﾄ!$E$18:$J$22</definedName>
    <definedName name="TH63550N">[2]許容ｽﾗｽﾄ!$E$18:$J$22</definedName>
    <definedName name="TH63560M" localSheetId="12">[2]許容ｽﾗｽﾄ!$F$23:$J$27</definedName>
    <definedName name="TH63560M">[2]許容ｽﾗｽﾄ!$F$23:$J$27</definedName>
    <definedName name="TH63560N" localSheetId="12">[2]許容ｽﾗｽﾄ!$E$23:$J$27</definedName>
    <definedName name="TH63560N">[2]許容ｽﾗｽﾄ!$E$23:$J$27</definedName>
    <definedName name="TH64050M" localSheetId="12">[2]許容ｽﾗｽﾄ!$F$58:$J$62</definedName>
    <definedName name="TH64050M">[2]許容ｽﾗｽﾄ!$F$58:$J$62</definedName>
    <definedName name="TH64050N" localSheetId="12">[2]許容ｽﾗｽﾄ!$E$58:$J$62</definedName>
    <definedName name="TH64050N">[2]許容ｽﾗｽﾄ!$E$58:$J$62</definedName>
    <definedName name="TH64060M" localSheetId="12">[2]許容ｽﾗｽﾄ!$F$63:$J$67</definedName>
    <definedName name="TH64060M">[2]許容ｽﾗｽﾄ!$F$63:$J$67</definedName>
    <definedName name="TH64060N" localSheetId="12">[2]許容ｽﾗｽﾄ!$E$63:$J$67</definedName>
    <definedName name="TH64060N">[2]許容ｽﾗｽﾄ!$E$63:$J$67</definedName>
    <definedName name="TH64550M" localSheetId="12">[2]許容ｽﾗｽﾄ!$F$98:$J$102</definedName>
    <definedName name="TH64550M">[2]許容ｽﾗｽﾄ!$F$98:$J$102</definedName>
    <definedName name="TH64550N" localSheetId="12">[2]許容ｽﾗｽﾄ!$E$98:$J$102</definedName>
    <definedName name="TH64550N">[2]許容ｽﾗｽﾄ!$E$98:$J$102</definedName>
    <definedName name="TH64560M" localSheetId="12">[2]許容ｽﾗｽﾄ!$F$103:$J$107</definedName>
    <definedName name="TH64560M">[2]許容ｽﾗｽﾄ!$F$103:$J$107</definedName>
    <definedName name="TH64560N" localSheetId="12">[2]許容ｽﾗｽﾄ!$E$103:$J$107</definedName>
    <definedName name="TH64560N">[2]許容ｽﾗｽﾄ!$E$103:$J$107</definedName>
    <definedName name="TH83550M" localSheetId="12">[2]許容ｽﾗｽﾄ!$F$28:$J$32</definedName>
    <definedName name="TH83550M">[2]許容ｽﾗｽﾄ!$F$28:$J$32</definedName>
    <definedName name="TH83550N" localSheetId="12">[2]許容ｽﾗｽﾄ!$E$28:$J$32</definedName>
    <definedName name="TH83550N">[2]許容ｽﾗｽﾄ!$E$28:$J$32</definedName>
    <definedName name="TH83560M" localSheetId="12">[2]許容ｽﾗｽﾄ!$F$33:$J$37</definedName>
    <definedName name="TH83560M">[2]許容ｽﾗｽﾄ!$F$33:$J$37</definedName>
    <definedName name="TH83560N" localSheetId="12">[2]許容ｽﾗｽﾄ!$E$33:$J$37</definedName>
    <definedName name="TH83560N">[2]許容ｽﾗｽﾄ!$E$33:$J$37</definedName>
    <definedName name="TH84050M" localSheetId="12">[2]許容ｽﾗｽﾄ!$F$68:$J$72</definedName>
    <definedName name="TH84050M">[2]許容ｽﾗｽﾄ!$F$68:$J$72</definedName>
    <definedName name="TH84050N" localSheetId="12">[2]許容ｽﾗｽﾄ!$E$68:$J$72</definedName>
    <definedName name="TH84050N">[2]許容ｽﾗｽﾄ!$E$68:$J$72</definedName>
    <definedName name="TH84060M" localSheetId="12">[2]許容ｽﾗｽﾄ!$F$73:$J$77</definedName>
    <definedName name="TH84060M">[2]許容ｽﾗｽﾄ!$F$73:$J$77</definedName>
    <definedName name="TH84060N" localSheetId="12">[2]許容ｽﾗｽﾄ!$E$73:$J$77</definedName>
    <definedName name="TH84060N">[2]許容ｽﾗｽﾄ!$E$73:$J$77</definedName>
    <definedName name="TH84550M" localSheetId="12">[2]許容ｽﾗｽﾄ!$F$108:$J$114</definedName>
    <definedName name="TH84550M">[2]許容ｽﾗｽﾄ!$F$108:$J$114</definedName>
    <definedName name="TH84550N" localSheetId="12">[2]許容ｽﾗｽﾄ!$E$108:$J$114</definedName>
    <definedName name="TH84550N">[2]許容ｽﾗｽﾄ!$E$108:$J$114</definedName>
    <definedName name="TH84560M" localSheetId="12">[2]許容ｽﾗｽﾄ!$F$115:$J$121</definedName>
    <definedName name="TH84560M">[2]許容ｽﾗｽﾄ!$F$115:$J$121</definedName>
    <definedName name="TH84560N" localSheetId="12">[2]許容ｽﾗｽﾄ!$E$115:$J$121</definedName>
    <definedName name="TH84560N">[2]許容ｽﾗｽﾄ!$E$115:$J$121</definedName>
    <definedName name="TH850L" localSheetId="12">[2]許容ｽﾗｽﾄ!$H$225:$J$235</definedName>
    <definedName name="TH850L">[2]許容ｽﾗｽﾄ!$H$225:$J$235</definedName>
    <definedName name="TH850L50M" localSheetId="12">[2]許容ｽﾗｽﾄ!$F$225:$J$230</definedName>
    <definedName name="TH850L50M">[2]許容ｽﾗｽﾄ!$F$225:$J$230</definedName>
    <definedName name="TH850L50N" localSheetId="12">[2]許容ｽﾗｽﾄ!$E$225:$J$230</definedName>
    <definedName name="TH850L50N">[2]許容ｽﾗｽﾄ!$E$225:$J$230</definedName>
    <definedName name="TH850L60M" localSheetId="12">[2]許容ｽﾗｽﾄ!$F$231:$J$235</definedName>
    <definedName name="TH850L60M">[2]許容ｽﾗｽﾄ!$F$231:$J$235</definedName>
    <definedName name="TH850L60N" localSheetId="12">[2]許容ｽﾗｽﾄ!$E$231:$J$235</definedName>
    <definedName name="TH850L60N">[2]許容ｽﾗｽﾄ!$E$231:$J$235</definedName>
    <definedName name="TH850M" localSheetId="12">[2]許容ｽﾗｽﾄ!$H$136:$J$146</definedName>
    <definedName name="TH850M">[2]許容ｽﾗｽﾄ!$H$136:$J$146</definedName>
    <definedName name="TH850M50M" localSheetId="12">[2]許容ｽﾗｽﾄ!$F$136:$J$141</definedName>
    <definedName name="TH850M50M">[2]許容ｽﾗｽﾄ!$F$136:$J$141</definedName>
    <definedName name="TH850M50N" localSheetId="12">[2]許容ｽﾗｽﾄ!$E$136:$J$141</definedName>
    <definedName name="TH850M50N">[2]許容ｽﾗｽﾄ!$E$136:$J$141</definedName>
    <definedName name="TH850M60M" localSheetId="12">[2]許容ｽﾗｽﾄ!$F$142:$J$146</definedName>
    <definedName name="TH850M60M">[2]許容ｽﾗｽﾄ!$F$142:$J$146</definedName>
    <definedName name="TH850M60N" localSheetId="12">[2]許容ｽﾗｽﾄ!$E$142:$J$146</definedName>
    <definedName name="TH850M60N">[2]許容ｽﾗｽﾄ!$E$142:$J$146</definedName>
    <definedName name="TH856Ｌ" localSheetId="12">[2]許容ｽﾗｽﾄ!$H$428:$J$438</definedName>
    <definedName name="TH856Ｌ">[2]許容ｽﾗｽﾄ!$H$428:$J$438</definedName>
    <definedName name="TH856Ｌ50M" localSheetId="12">[2]許容ｽﾗｽﾄ!$F$428:$J$433</definedName>
    <definedName name="TH856Ｌ50M">[2]許容ｽﾗｽﾄ!$F$428:$J$433</definedName>
    <definedName name="TH856Ｌ50N" localSheetId="12">[2]許容ｽﾗｽﾄ!$E$428:$J$433</definedName>
    <definedName name="TH856Ｌ50N">[2]許容ｽﾗｽﾄ!$E$428:$J$433</definedName>
    <definedName name="TH856Ｌ60M" localSheetId="12">[2]許容ｽﾗｽﾄ!$F$434:$J$438</definedName>
    <definedName name="TH856Ｌ60M">[2]許容ｽﾗｽﾄ!$F$434:$J$438</definedName>
    <definedName name="TH856Ｌ60N" localSheetId="12">[2]許容ｽﾗｽﾄ!$E$434:$J$438</definedName>
    <definedName name="TH856Ｌ60N">[2]許容ｽﾗｽﾄ!$E$434:$J$438</definedName>
    <definedName name="TH856M" localSheetId="12">[2]許容ｽﾗｽﾄ!$H$314:$J$324</definedName>
    <definedName name="TH856M">[2]許容ｽﾗｽﾄ!$H$314:$J$324</definedName>
    <definedName name="TH856M50M" localSheetId="12">[2]許容ｽﾗｽﾄ!$F$314:$J$319</definedName>
    <definedName name="TH856M50M">[2]許容ｽﾗｽﾄ!$F$314:$J$319</definedName>
    <definedName name="TH856M50N" localSheetId="12">[2]許容ｽﾗｽﾄ!$E$314:$J$319</definedName>
    <definedName name="TH856M50N">[2]許容ｽﾗｽﾄ!$E$314:$J$319</definedName>
    <definedName name="TH856M60M" localSheetId="12">[2]許容ｽﾗｽﾄ!$F$320:$J$324</definedName>
    <definedName name="TH856M60M">[2]許容ｽﾗｽﾄ!$F$320:$J$324</definedName>
    <definedName name="TH856M60N" localSheetId="12">[2]許容ｽﾗｽﾄ!$E$320:$J$324</definedName>
    <definedName name="TH856M60N">[2]許容ｽﾗｽﾄ!$E$320:$J$324</definedName>
    <definedName name="TH863L" localSheetId="12">[2]許容ｽﾗｽﾄ!$H$656:$J$666</definedName>
    <definedName name="TH863L">[2]許容ｽﾗｽﾄ!$H$656:$J$666</definedName>
    <definedName name="TH863L50M" localSheetId="12">[2]許容ｽﾗｽﾄ!$F$656:$J$661</definedName>
    <definedName name="TH863L50M">[2]許容ｽﾗｽﾄ!$F$656:$J$661</definedName>
    <definedName name="TH863L50N" localSheetId="12">[2]許容ｽﾗｽﾄ!$E$656:$J$661</definedName>
    <definedName name="TH863L50N">[2]許容ｽﾗｽﾄ!$E$656:$J$661</definedName>
    <definedName name="TH863L60M" localSheetId="12">[2]許容ｽﾗｽﾄ!$F$662:$J$666</definedName>
    <definedName name="TH863L60M">[2]許容ｽﾗｽﾄ!$F$662:$J$666</definedName>
    <definedName name="TH863L60N" localSheetId="12">[2]許容ｽﾗｽﾄ!$E$662:$J$666</definedName>
    <definedName name="TH863L60N">[2]許容ｽﾗｽﾄ!$E$662:$J$666</definedName>
    <definedName name="TH863M" localSheetId="12">[2]許容ｽﾗｽﾄ!$H$542:$J$552</definedName>
    <definedName name="TH863M">[2]許容ｽﾗｽﾄ!$H$542:$J$552</definedName>
    <definedName name="TH863M50M" localSheetId="12">[2]許容ｽﾗｽﾄ!$F$542:$J$547</definedName>
    <definedName name="TH863M50M">[2]許容ｽﾗｽﾄ!$F$542:$J$547</definedName>
    <definedName name="TH863M50N" localSheetId="12">[2]許容ｽﾗｽﾄ!$E$542:$J$547</definedName>
    <definedName name="TH863M50N">[2]許容ｽﾗｽﾄ!$E$542:$J$547</definedName>
    <definedName name="TH863M60M" localSheetId="12">[2]許容ｽﾗｽﾄ!$F$548:$J$552</definedName>
    <definedName name="TH863M60M">[2]許容ｽﾗｽﾄ!$F$548:$J$552</definedName>
    <definedName name="TH863M60N" localSheetId="12">[2]許容ｽﾗｽﾄ!$E$548:$J$552</definedName>
    <definedName name="TH863M60N">[2]許容ｽﾗｽﾄ!$E$548:$J$552</definedName>
    <definedName name="thermal">#REF!</definedName>
    <definedName name="TMEIC" localSheetId="12">#REF!</definedName>
    <definedName name="TMEIC">#REF!</definedName>
    <definedName name="tmpdtct" localSheetId="12">#REF!</definedName>
    <definedName name="tmpdtct">#REF!</definedName>
    <definedName name="TORITUKE" localSheetId="12">#REF!</definedName>
    <definedName name="TORITUKE">#REF!</definedName>
    <definedName name="TORITUKE1">#REF!</definedName>
    <definedName name="TOSOU">#REF!</definedName>
    <definedName name="TOSOU1">#REF!</definedName>
    <definedName name="transfer">#REF!</definedName>
    <definedName name="TRQL">#REF!</definedName>
    <definedName name="UMU">#REF!</definedName>
    <definedName name="UNIBI">#REF!</definedName>
    <definedName name="unit_sht">"unit_sht"</definedName>
    <definedName name="vassvelo">#REF!</definedName>
    <definedName name="velcoity">#REF!</definedName>
    <definedName name="VHZ" localSheetId="12">[2]本体価格TM21!$S$2:$T$56</definedName>
    <definedName name="VHZ">[2]本体価格TM21!$S$2:$T$56</definedName>
    <definedName name="VIB">#REF!</definedName>
    <definedName name="vibdtct">#REF!</definedName>
    <definedName name="VIBSENS">#REF!</definedName>
    <definedName name="VIBSENS1">#REF!</definedName>
    <definedName name="VIBSENS2">#REF!</definedName>
    <definedName name="viscosity">#REF!</definedName>
    <definedName name="VMHM">#REF!</definedName>
    <definedName name="VMINKW" localSheetId="12">[2]本体価格TM21!#REF!</definedName>
    <definedName name="VMINKW">[2]本体価格TM21!#REF!</definedName>
    <definedName name="vollheatre">#REF!</definedName>
    <definedName name="VOLT" localSheetId="12">#REF!</definedName>
    <definedName name="VOLT">#REF!</definedName>
    <definedName name="volumetri">#REF!</definedName>
    <definedName name="WAKUBAN" localSheetId="12">#REF!</definedName>
    <definedName name="WAKUBAN">#REF!</definedName>
    <definedName name="WATER" localSheetId="12">#REF!</definedName>
    <definedName name="WATER">#REF!</definedName>
    <definedName name="WATERVOL" localSheetId="12">[2]補助データ!$C$4:$D$65</definedName>
    <definedName name="WATERVOL">[2]補助データ!$C$4:$D$65</definedName>
    <definedName name="weight">#REF!</definedName>
    <definedName name="weights">#REF!</definedName>
    <definedName name="WITNESS" localSheetId="12">#REF!</definedName>
    <definedName name="WITNESS">#REF!</definedName>
    <definedName name="WPII" localSheetId="12">#REF!</definedName>
    <definedName name="WPII">#REF!</definedName>
    <definedName name="WRTD" localSheetId="12">#REF!</definedName>
    <definedName name="WRTD">#REF!</definedName>
    <definedName name="WRTD1">#REF!</definedName>
    <definedName name="WRTD1000">#REF!</definedName>
    <definedName name="WRTD10002">#REF!</definedName>
    <definedName name="WRTD2">#REF!</definedName>
    <definedName name="WTH">#REF!</definedName>
    <definedName name="YOBI">#REF!</definedName>
    <definedName name="Z_852987ED_B4F5_11D1_ABEC_0000832EB49E_.wvu.PrintArea" localSheetId="9" hidden="1">Performance!$A$1:$F$43</definedName>
    <definedName name="Z_852987ED_B4F5_11D1_ABEC_0000832EB49E_.wvu.PrintArea" localSheetId="7" hidden="1">STCurve!$A$1:$F$43</definedName>
    <definedName name="ｼﾘｰｽﾞ">#REF!</definedName>
    <definedName name="ﾀｲﾌﾟ">#REF!</definedName>
    <definedName name="無" localSheetId="12">[10]内訳!$K$91</definedName>
    <definedName name="無">[10]内訳!$K$91</definedName>
    <definedName name="軸受ﾀｲﾌﾟ" localSheetId="12">#REF!</definedName>
    <definedName name="軸受ﾀｲﾌﾟ">#REF!</definedName>
    <definedName name="軸端指定" localSheetId="12">#REF!</definedName>
    <definedName name="軸端指定">#REF!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0" i="12" l="1"/>
  <c r="D43" i="11"/>
  <c r="F39" i="11"/>
  <c r="C39" i="11"/>
  <c r="C12" i="11"/>
  <c r="F9" i="11"/>
  <c r="F7" i="11"/>
  <c r="D7" i="11"/>
  <c r="B7" i="11"/>
  <c r="F6" i="11"/>
  <c r="B6" i="11"/>
  <c r="H81" i="10"/>
  <c r="H80" i="10"/>
  <c r="G80" i="10"/>
  <c r="H79" i="10"/>
  <c r="G79" i="10"/>
  <c r="H78" i="10"/>
  <c r="G78" i="10"/>
  <c r="H77" i="10"/>
  <c r="G77" i="10"/>
  <c r="C77" i="10"/>
  <c r="C78" i="10" s="1"/>
  <c r="H76" i="10"/>
  <c r="G76" i="10"/>
  <c r="C76" i="10"/>
  <c r="B76" i="10"/>
  <c r="H75" i="10"/>
  <c r="G75" i="10"/>
  <c r="C75" i="10"/>
  <c r="H74" i="10"/>
  <c r="G74" i="10"/>
  <c r="C74" i="10"/>
  <c r="B74" i="10"/>
  <c r="H73" i="10"/>
  <c r="G73" i="10"/>
  <c r="H72" i="10"/>
  <c r="G72" i="10"/>
  <c r="A72" i="10"/>
  <c r="A73" i="10" s="1"/>
  <c r="B73" i="10" s="1"/>
  <c r="H71" i="10"/>
  <c r="G71" i="10"/>
  <c r="C71" i="10"/>
  <c r="B71" i="10"/>
  <c r="H70" i="10"/>
  <c r="G70" i="10"/>
  <c r="C70" i="10"/>
  <c r="B70" i="10"/>
  <c r="H69" i="10"/>
  <c r="G69" i="10"/>
  <c r="C69" i="10"/>
  <c r="B69" i="10"/>
  <c r="B75" i="10" s="1"/>
  <c r="H68" i="10"/>
  <c r="E68" i="10"/>
  <c r="G68" i="10" s="1"/>
  <c r="D66" i="10"/>
  <c r="F50" i="10"/>
  <c r="D43" i="10"/>
  <c r="F39" i="10"/>
  <c r="C39" i="10"/>
  <c r="F9" i="10"/>
  <c r="F7" i="10"/>
  <c r="D7" i="10"/>
  <c r="B7" i="10"/>
  <c r="F6" i="10"/>
  <c r="B6" i="10"/>
  <c r="D43" i="9"/>
  <c r="F39" i="9"/>
  <c r="C39" i="9"/>
  <c r="C12" i="9"/>
  <c r="F9" i="9"/>
  <c r="F7" i="9"/>
  <c r="D7" i="9"/>
  <c r="B7" i="9"/>
  <c r="F6" i="9"/>
  <c r="B6" i="9"/>
  <c r="P36" i="1"/>
  <c r="P35" i="1"/>
  <c r="P34" i="1"/>
  <c r="P33" i="1"/>
  <c r="P32" i="1"/>
  <c r="P31" i="1"/>
  <c r="U30" i="1"/>
  <c r="P30" i="1"/>
  <c r="U29" i="1"/>
  <c r="U28" i="1" s="1"/>
  <c r="U27" i="1" s="1"/>
  <c r="P29" i="1"/>
  <c r="P28" i="1"/>
  <c r="P27" i="1"/>
  <c r="P26" i="1"/>
  <c r="P25" i="1"/>
  <c r="P24" i="1"/>
  <c r="S14" i="1" s="1"/>
  <c r="P23" i="1"/>
  <c r="P22" i="1"/>
  <c r="P21" i="1"/>
  <c r="P20" i="1"/>
  <c r="B72" i="10" l="1"/>
  <c r="R14" i="1"/>
  <c r="R20" i="1" l="1"/>
  <c r="R33" i="1" s="1"/>
  <c r="R35" i="1" s="1"/>
  <c r="T14" i="1"/>
  <c r="C38" i="1" l="1"/>
  <c r="U26" i="1"/>
  <c r="U25" i="1" s="1"/>
  <c r="R39"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Paulo Yoshiura</author>
  </authors>
  <commentList>
    <comment ref="K4" authorId="0" shapeId="0" xr:uid="{D248E253-CF2B-4099-B84A-AC1E930C650D}">
      <text>
        <r>
          <rPr>
            <b/>
            <sz val="8"/>
            <color indexed="81"/>
            <rFont val="Tahoma"/>
            <family val="2"/>
          </rPr>
          <t>Insert type of motor</t>
        </r>
        <r>
          <rPr>
            <sz val="8"/>
            <color indexed="81"/>
            <rFont val="Tahoma"/>
            <family val="2"/>
          </rPr>
          <t xml:space="preserve">
</t>
        </r>
        <r>
          <rPr>
            <b/>
            <sz val="8"/>
            <color indexed="81"/>
            <rFont val="Tahoma"/>
            <family val="2"/>
          </rPr>
          <t>Either choose from list or write appropriate name</t>
        </r>
      </text>
    </comment>
    <comment ref="D6" authorId="0" shapeId="0" xr:uid="{20A35DAA-BB9E-4021-81DD-C337AC405D08}">
      <text>
        <r>
          <rPr>
            <b/>
            <sz val="8"/>
            <color indexed="81"/>
            <rFont val="Tahoma"/>
            <family val="2"/>
          </rPr>
          <t>Choose Steel Type
from list or input name</t>
        </r>
      </text>
    </comment>
    <comment ref="D21" authorId="0" shapeId="0" xr:uid="{DFD439DB-FCF8-4CCB-9D4E-67E957FD15A2}">
      <text>
        <r>
          <rPr>
            <b/>
            <sz val="8"/>
            <color indexed="81"/>
            <rFont val="Tahoma"/>
            <family val="2"/>
          </rPr>
          <t>Choose Method of coil connection from list!</t>
        </r>
        <r>
          <rPr>
            <sz val="8"/>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Paulo Yoshiura</author>
  </authors>
  <commentList>
    <comment ref="L22" authorId="0" shapeId="0" xr:uid="{79C07C6B-C7BB-4ED5-92A6-C3EB057BE8AC}">
      <text>
        <r>
          <rPr>
            <b/>
            <sz val="8"/>
            <color indexed="81"/>
            <rFont val="Tahoma"/>
            <family val="2"/>
          </rPr>
          <t>Pick bearings from list!</t>
        </r>
      </text>
    </comment>
  </commentList>
</comments>
</file>

<file path=xl/sharedStrings.xml><?xml version="1.0" encoding="utf-8"?>
<sst xmlns="http://schemas.openxmlformats.org/spreadsheetml/2006/main" count="1304" uniqueCount="901">
  <si>
    <t>TOSHIBA INTERNATIONAL CORPORATION</t>
  </si>
  <si>
    <t>INDEX</t>
  </si>
  <si>
    <t>MPCF-1085</t>
  </si>
  <si>
    <t>Industrial Division / Houston Motor Plant</t>
  </si>
  <si>
    <t>SHEET NO.</t>
  </si>
  <si>
    <t>1 of 1</t>
  </si>
  <si>
    <t>ISSUED</t>
  </si>
  <si>
    <t>SUPERSEDES</t>
  </si>
  <si>
    <t>NEW</t>
  </si>
  <si>
    <t>REVISION</t>
  </si>
  <si>
    <t>INDUCTION MOTOR CERTIFIED SOUND TEST RESULTS</t>
  </si>
  <si>
    <t>WRITTEN BY</t>
  </si>
  <si>
    <t>MDC</t>
  </si>
  <si>
    <t>(PER ANSI S12.34)</t>
  </si>
  <si>
    <t>APPROVED BY</t>
  </si>
  <si>
    <t>Paul Anderson</t>
  </si>
  <si>
    <t>CUSTOMER :</t>
  </si>
  <si>
    <t>REF:</t>
  </si>
  <si>
    <t>H402112</t>
  </si>
  <si>
    <t>TIC SR No.:</t>
  </si>
  <si>
    <t>TERMINAL BOX LOCATION:</t>
  </si>
  <si>
    <t>F-1</t>
  </si>
  <si>
    <t>REFERENCE LAB 9896</t>
  </si>
  <si>
    <t>DATE of TEST:</t>
  </si>
  <si>
    <t>MOTOR SERIAL NUMBER:</t>
  </si>
  <si>
    <t>081204611</t>
  </si>
  <si>
    <t xml:space="preserve">TEFC 4P 500HP </t>
  </si>
  <si>
    <t xml:space="preserve"> READINGS TAKEN AT NO-LOAD IN A FREE FIELD AND REPORTED IN PRESSURE</t>
  </si>
  <si>
    <t>MOTOR COVER ONLY</t>
  </si>
  <si>
    <t>OVERALL dBA SUMMARY</t>
  </si>
  <si>
    <t>Ambient</t>
  </si>
  <si>
    <t>dBA</t>
  </si>
  <si>
    <t>LOG VALUES</t>
  </si>
  <si>
    <t xml:space="preserve">AVERAGE </t>
  </si>
  <si>
    <t>Position</t>
  </si>
  <si>
    <t>1)</t>
  </si>
  <si>
    <t>2)</t>
  </si>
  <si>
    <t>-</t>
  </si>
  <si>
    <t>3)</t>
  </si>
  <si>
    <t>4)</t>
  </si>
  <si>
    <t>5)</t>
  </si>
  <si>
    <t>6)</t>
  </si>
  <si>
    <t>7)</t>
  </si>
  <si>
    <t>8)</t>
  </si>
  <si>
    <t>9)</t>
  </si>
  <si>
    <t>10)</t>
  </si>
  <si>
    <t>11)</t>
  </si>
  <si>
    <t>13)</t>
  </si>
  <si>
    <t>overall sound:</t>
  </si>
  <si>
    <t>14)</t>
  </si>
  <si>
    <t>15)</t>
  </si>
  <si>
    <t>16)</t>
  </si>
  <si>
    <t>17)</t>
  </si>
  <si>
    <t>18)</t>
  </si>
  <si>
    <t>FRAME</t>
  </si>
  <si>
    <t>Overall Sound :</t>
  </si>
  <si>
    <t>ENCL</t>
  </si>
  <si>
    <t>TEFC</t>
  </si>
  <si>
    <t>SOUND POWER</t>
  </si>
  <si>
    <t>NOTE: Data on Test From</t>
  </si>
  <si>
    <t>This</t>
  </si>
  <si>
    <t>Motor.</t>
  </si>
  <si>
    <t>(This or Duplicate)</t>
  </si>
  <si>
    <t>LAB NO.:</t>
  </si>
  <si>
    <t>CERTIFIED BY:</t>
  </si>
  <si>
    <t>JERRY R</t>
  </si>
  <si>
    <t>DATE:</t>
  </si>
  <si>
    <t xml:space="preserve">                              TOSHIBA INTERNATIONAL CORPORATION</t>
  </si>
  <si>
    <t>Calc. Code:</t>
  </si>
  <si>
    <t>2-2-2-0-1-2</t>
  </si>
  <si>
    <t xml:space="preserve">             3-PHASE SQUIRREL CAGE INDUCTION MOTOR DESIGN SHEET</t>
  </si>
  <si>
    <t>B.L.-1  P.F.-1</t>
  </si>
  <si>
    <t>File:</t>
  </si>
  <si>
    <t>N:\Motor R&amp;D\Active Projects\New 5011_5811 TEFC\Electric\Series Design\4P\5000\CuBar\CS4350.rat</t>
  </si>
  <si>
    <t>Date:</t>
  </si>
  <si>
    <t>Time:</t>
  </si>
  <si>
    <t>Pole</t>
  </si>
  <si>
    <t>HP</t>
  </si>
  <si>
    <t>RPM</t>
  </si>
  <si>
    <t>Form</t>
  </si>
  <si>
    <t>Voltage</t>
  </si>
  <si>
    <t>Frequency</t>
  </si>
  <si>
    <t>Temperature</t>
  </si>
  <si>
    <t>FLSpeed</t>
  </si>
  <si>
    <t>FLSlip</t>
  </si>
  <si>
    <t xml:space="preserve">Frame </t>
  </si>
  <si>
    <t>FCW4</t>
  </si>
  <si>
    <t>1781.8 / 1781.8</t>
  </si>
  <si>
    <t>0.0101 / 0.0101</t>
  </si>
  <si>
    <t>5011US</t>
  </si>
  <si>
    <t>Core Data</t>
  </si>
  <si>
    <t>Winding Data</t>
  </si>
  <si>
    <t>Constant Data</t>
  </si>
  <si>
    <t>Primary</t>
  </si>
  <si>
    <t>Secondary</t>
  </si>
  <si>
    <t xml:space="preserve">Bar </t>
  </si>
  <si>
    <t>End Ring</t>
  </si>
  <si>
    <t xml:space="preserve">St. Slot Pitch </t>
  </si>
  <si>
    <t>LR Test Data</t>
  </si>
  <si>
    <t>Air Gap</t>
  </si>
  <si>
    <t>Rt. Slot Pitch</t>
  </si>
  <si>
    <t>ES</t>
  </si>
  <si>
    <t>Space Fac.</t>
  </si>
  <si>
    <t>Pitch</t>
  </si>
  <si>
    <t>1 ~ 14</t>
  </si>
  <si>
    <t>Cross Section Area</t>
  </si>
  <si>
    <t>Mean Value</t>
  </si>
  <si>
    <t>Core Length</t>
  </si>
  <si>
    <t>UB: 240.0</t>
  </si>
  <si>
    <t>UER: 1575.0</t>
  </si>
  <si>
    <t>Eff.T.W.St.</t>
  </si>
  <si>
    <t>WS</t>
  </si>
  <si>
    <t>OD</t>
  </si>
  <si>
    <t>Coil Pitch</t>
  </si>
  <si>
    <t>Eff.T.W.Rt.</t>
  </si>
  <si>
    <t>ID</t>
  </si>
  <si>
    <t>Slot Fill</t>
  </si>
  <si>
    <t>EBL: 63.5</t>
  </si>
  <si>
    <t>ERD1: 278.4</t>
  </si>
  <si>
    <t xml:space="preserve">St.Carter Fac. </t>
  </si>
  <si>
    <t>IS</t>
  </si>
  <si>
    <t>Core Depth</t>
  </si>
  <si>
    <t>Con./Slot</t>
  </si>
  <si>
    <t>ERT: 45.00</t>
  </si>
  <si>
    <t>Rt.Carter Fac.</t>
  </si>
  <si>
    <t>Eff.Core L.</t>
  </si>
  <si>
    <t>Wire Size 1</t>
  </si>
  <si>
    <t>(.064"x.258")x1</t>
  </si>
  <si>
    <t>(8 x 30)</t>
  </si>
  <si>
    <t>ERH: 35.00</t>
  </si>
  <si>
    <t>Carter Factor</t>
  </si>
  <si>
    <t>Volts / Turn</t>
  </si>
  <si>
    <t>Slot Data</t>
  </si>
  <si>
    <t>Wire Size 2</t>
  </si>
  <si>
    <t>Short. Factor</t>
  </si>
  <si>
    <t>Number</t>
  </si>
  <si>
    <t>// Circuits</t>
  </si>
  <si>
    <t>Distrib. Factor</t>
  </si>
  <si>
    <t>AC</t>
  </si>
  <si>
    <t>Kind</t>
  </si>
  <si>
    <t>Open</t>
  </si>
  <si>
    <t>Rectang</t>
  </si>
  <si>
    <t>Connection</t>
  </si>
  <si>
    <t>Wye</t>
  </si>
  <si>
    <t>Wind. Factor</t>
  </si>
  <si>
    <t>Skew</t>
  </si>
  <si>
    <t>MCL</t>
  </si>
  <si>
    <t>Reactance</t>
  </si>
  <si>
    <t>(Coeff.: 0.2027)</t>
  </si>
  <si>
    <t>Depth</t>
  </si>
  <si>
    <t>No.Cond./Ph.</t>
  </si>
  <si>
    <t>Running</t>
  </si>
  <si>
    <t>Start</t>
  </si>
  <si>
    <t>Width</t>
  </si>
  <si>
    <t>7.08 - 7.08</t>
  </si>
  <si>
    <t>Res.     (20°C)</t>
  </si>
  <si>
    <t>Stator Slot</t>
  </si>
  <si>
    <t>Opening</t>
  </si>
  <si>
    <t>(105°C)</t>
  </si>
  <si>
    <t>Rotor Slot</t>
  </si>
  <si>
    <t>Tip Depth</t>
  </si>
  <si>
    <t>Material</t>
  </si>
  <si>
    <t>CU</t>
  </si>
  <si>
    <t>Special</t>
  </si>
  <si>
    <t>Zigzag</t>
  </si>
  <si>
    <t>T.Min.Wid.</t>
  </si>
  <si>
    <t>Spec.Resist.</t>
  </si>
  <si>
    <t>Coil End</t>
  </si>
  <si>
    <t>Skew R.: 0.00</t>
  </si>
  <si>
    <t>Low. R.</t>
  </si>
  <si>
    <t>Spec.Gravity</t>
  </si>
  <si>
    <t>Belt Leakage</t>
  </si>
  <si>
    <t>Up. R.</t>
  </si>
  <si>
    <t>Weight (kg)</t>
  </si>
  <si>
    <t>Total Resist.</t>
  </si>
  <si>
    <t>Wedge Dep.</t>
  </si>
  <si>
    <t>2.83 - 2.00</t>
  </si>
  <si>
    <t>Magnetic</t>
  </si>
  <si>
    <t>Wire 1</t>
  </si>
  <si>
    <t>Total React.</t>
  </si>
  <si>
    <t>Duct</t>
  </si>
  <si>
    <t>Wire 2</t>
  </si>
  <si>
    <t>Impedance</t>
  </si>
  <si>
    <t>Effective Depth (S=1)</t>
  </si>
  <si>
    <t>Magnetic Circuit Data</t>
  </si>
  <si>
    <t>Core Loss Data</t>
  </si>
  <si>
    <t>Res.=</t>
  </si>
  <si>
    <t>Length</t>
  </si>
  <si>
    <t>Section</t>
  </si>
  <si>
    <t>Density</t>
  </si>
  <si>
    <t>AT</t>
  </si>
  <si>
    <t>Volume</t>
  </si>
  <si>
    <t>Loss</t>
  </si>
  <si>
    <t>Reac.=</t>
  </si>
  <si>
    <t>Primary Core</t>
  </si>
  <si>
    <t>Excitation Data</t>
  </si>
  <si>
    <t>Tooth</t>
  </si>
  <si>
    <t>Excit.Amps</t>
  </si>
  <si>
    <t>7.940 / 8.407</t>
  </si>
  <si>
    <t>Second.Core</t>
  </si>
  <si>
    <t>Total</t>
  </si>
  <si>
    <t>Core Loss</t>
  </si>
  <si>
    <t>0.479 / 0.507</t>
  </si>
  <si>
    <t>Flux / Pole</t>
  </si>
  <si>
    <t>C.L.C.</t>
  </si>
  <si>
    <t>1.75 / 0.73</t>
  </si>
  <si>
    <t>NoLoad</t>
  </si>
  <si>
    <t>7.95 / 8.42</t>
  </si>
  <si>
    <t>S.F.C.</t>
  </si>
  <si>
    <t>Load Characteristics</t>
  </si>
  <si>
    <t>Temp. Rise @ 100%:</t>
  </si>
  <si>
    <t>71 / 64</t>
  </si>
  <si>
    <t>No Load Loss</t>
  </si>
  <si>
    <t>6941.3 / 5601.7</t>
  </si>
  <si>
    <t>W.Loss</t>
  </si>
  <si>
    <t>2979.0 / 1238.4</t>
  </si>
  <si>
    <t>Load (%)</t>
  </si>
  <si>
    <t>Primary Loss</t>
  </si>
  <si>
    <t>4639.4 / 4483.2</t>
  </si>
  <si>
    <t>S.Loss</t>
  </si>
  <si>
    <t>344.1 / 143.0</t>
  </si>
  <si>
    <t>Current (A)</t>
  </si>
  <si>
    <t>13.74 / 13.92</t>
  </si>
  <si>
    <t>22.57 / 22.86</t>
  </si>
  <si>
    <t>32.47 / 32.89</t>
  </si>
  <si>
    <t>43.06 / 43.62</t>
  </si>
  <si>
    <t>54.34 / 55.05</t>
  </si>
  <si>
    <t>Second. Loss</t>
  </si>
  <si>
    <t>2837.9 / 2836.1</t>
  </si>
  <si>
    <t>Total C.Loss</t>
  </si>
  <si>
    <t>3323.0 / 1381.5</t>
  </si>
  <si>
    <t xml:space="preserve">Efficiency </t>
  </si>
  <si>
    <t>0.897 / 0.884</t>
  </si>
  <si>
    <t>0.937 / 0.924</t>
  </si>
  <si>
    <t>0.947 / 0.934</t>
  </si>
  <si>
    <t>0.949 / 0.935</t>
  </si>
  <si>
    <t>0.947 / 0.933</t>
  </si>
  <si>
    <t>Frict.&amp; Wind.</t>
  </si>
  <si>
    <t>3500.0 / 4989.0</t>
  </si>
  <si>
    <t>Stray Loss</t>
  </si>
  <si>
    <t>P.F.</t>
  </si>
  <si>
    <t>0.764 / 0.766</t>
  </si>
  <si>
    <t>0.891 / 0.892</t>
  </si>
  <si>
    <t>0.919 / 0.920</t>
  </si>
  <si>
    <t>0.922 / 0.924</t>
  </si>
  <si>
    <t>0.915 / 0.917</t>
  </si>
  <si>
    <t>Starting Data</t>
  </si>
  <si>
    <t>Slip</t>
  </si>
  <si>
    <t>PF</t>
  </si>
  <si>
    <t>0.0025 / 0.0025</t>
  </si>
  <si>
    <t>0.0049 / 0.0049</t>
  </si>
  <si>
    <t>0.0074 / 0.0074</t>
  </si>
  <si>
    <t>0.0128 / 0.0128</t>
  </si>
  <si>
    <t xml:space="preserve">LRA </t>
  </si>
  <si>
    <t>207.7 / 277.8</t>
  </si>
  <si>
    <t>1795.5 / 1795.5</t>
  </si>
  <si>
    <t>1791.1 / 1791.1</t>
  </si>
  <si>
    <t>1786.7 / 1786.7</t>
  </si>
  <si>
    <t>1777.0 / 1777.0</t>
  </si>
  <si>
    <t>%</t>
  </si>
  <si>
    <t>482.4 / 645.2</t>
  </si>
  <si>
    <t>L (Inv., MH)</t>
  </si>
  <si>
    <t>LRT (kg.m)</t>
  </si>
  <si>
    <t>113.9 / 247.4</t>
  </si>
  <si>
    <t>(No Load)</t>
  </si>
  <si>
    <t>Correlated to: H402112_480Fan_500HP_Lab9896.dat</t>
  </si>
  <si>
    <t>79.8 / 173.3</t>
  </si>
  <si>
    <t>Design Parameters (Full Load)</t>
  </si>
  <si>
    <t>Magnetic Pull  &amp; Thrust</t>
  </si>
  <si>
    <t>BDT (kW)</t>
  </si>
  <si>
    <t>IM/IW</t>
  </si>
  <si>
    <t>I*R1/E</t>
  </si>
  <si>
    <t>Rosenberg</t>
  </si>
  <si>
    <t>223.0 / 270.5</t>
  </si>
  <si>
    <t>IW*X/E</t>
  </si>
  <si>
    <t>I*R2/E</t>
  </si>
  <si>
    <t>Schwisky</t>
  </si>
  <si>
    <t>Amps</t>
  </si>
  <si>
    <t>SUM</t>
  </si>
  <si>
    <t>Friction/OP.</t>
  </si>
  <si>
    <t>Tsurumi</t>
  </si>
  <si>
    <t>Max. Output</t>
  </si>
  <si>
    <t>IH/I</t>
  </si>
  <si>
    <t>Thrust (1mm)</t>
  </si>
  <si>
    <t>Efficiency</t>
  </si>
  <si>
    <t>Thrust (3 mm)</t>
  </si>
  <si>
    <t>Single Cage Data</t>
  </si>
  <si>
    <t>Miscellaneous Data</t>
  </si>
  <si>
    <t>Slot Number</t>
  </si>
  <si>
    <t>Slit Width</t>
  </si>
  <si>
    <t>T.M.Wid.Low.</t>
  </si>
  <si>
    <t>Watt Rad.</t>
  </si>
  <si>
    <t>Coil Cur. Density</t>
  </si>
  <si>
    <t>Slit Depth</t>
  </si>
  <si>
    <t>Cal.T.W.Up.</t>
  </si>
  <si>
    <r>
      <t>DG</t>
    </r>
    <r>
      <rPr>
        <i/>
        <vertAlign val="superscript"/>
        <sz val="10"/>
        <rFont val="Times New Roman"/>
        <family val="1"/>
      </rPr>
      <t>2</t>
    </r>
    <r>
      <rPr>
        <i/>
        <sz val="10"/>
        <rFont val="Times New Roman"/>
        <family val="1"/>
      </rPr>
      <t>L(cm</t>
    </r>
    <r>
      <rPr>
        <i/>
        <vertAlign val="superscript"/>
        <sz val="10"/>
        <rFont val="Times New Roman"/>
        <family val="1"/>
      </rPr>
      <t>2</t>
    </r>
    <r>
      <rPr>
        <i/>
        <sz val="10"/>
        <rFont val="Times New Roman"/>
        <family val="1"/>
      </rPr>
      <t>)</t>
    </r>
  </si>
  <si>
    <t>4.16 / 4.22</t>
  </si>
  <si>
    <t>L.S.Up.Wid.</t>
  </si>
  <si>
    <t>Cal.M.T.Wid.</t>
  </si>
  <si>
    <r>
      <t>GD</t>
    </r>
    <r>
      <rPr>
        <i/>
        <vertAlign val="superscript"/>
        <sz val="10"/>
        <rFont val="Times New Roman"/>
        <family val="1"/>
      </rPr>
      <t>2</t>
    </r>
    <r>
      <rPr>
        <i/>
        <sz val="10"/>
        <rFont val="Times New Roman"/>
        <family val="1"/>
      </rPr>
      <t>L(kg.m</t>
    </r>
    <r>
      <rPr>
        <i/>
        <vertAlign val="superscript"/>
        <sz val="10"/>
        <rFont val="Times New Roman"/>
        <family val="1"/>
      </rPr>
      <t>2</t>
    </r>
    <r>
      <rPr>
        <i/>
        <sz val="10"/>
        <rFont val="Times New Roman"/>
        <family val="1"/>
      </rPr>
      <t>)</t>
    </r>
  </si>
  <si>
    <t>Bar Cur. Den.</t>
  </si>
  <si>
    <t>L.S.Low.Wid.</t>
  </si>
  <si>
    <r>
      <t>DO</t>
    </r>
    <r>
      <rPr>
        <i/>
        <vertAlign val="superscript"/>
        <sz val="10"/>
        <rFont val="Times New Roman"/>
        <family val="1"/>
      </rPr>
      <t>2</t>
    </r>
    <r>
      <rPr>
        <i/>
        <sz val="10"/>
        <rFont val="Times New Roman"/>
        <family val="1"/>
      </rPr>
      <t>L(cm</t>
    </r>
    <r>
      <rPr>
        <i/>
        <vertAlign val="superscript"/>
        <sz val="10"/>
        <rFont val="Times New Roman"/>
        <family val="1"/>
      </rPr>
      <t>2</t>
    </r>
    <r>
      <rPr>
        <i/>
        <sz val="10"/>
        <rFont val="Times New Roman"/>
        <family val="1"/>
      </rPr>
      <t>)</t>
    </r>
  </si>
  <si>
    <t>UB: 3.59 / 3.64</t>
  </si>
  <si>
    <t>LB:  -</t>
  </si>
  <si>
    <t>Up. Sl. Wid.</t>
  </si>
  <si>
    <t>L.S.Depth</t>
  </si>
  <si>
    <t>X2S</t>
  </si>
  <si>
    <t>IMC</t>
  </si>
  <si>
    <t>ER Cur. Den.</t>
  </si>
  <si>
    <t>Up. Sl. Dep.</t>
  </si>
  <si>
    <t>T.M.Wid.Up.</t>
  </si>
  <si>
    <t>X3S</t>
  </si>
  <si>
    <t>Coil Pitch Ct.</t>
  </si>
  <si>
    <t>UER: 2.18 / 2.21</t>
  </si>
  <si>
    <t>LER:  -</t>
  </si>
  <si>
    <t>S-T Curve Data (Custom Values)</t>
  </si>
  <si>
    <t>Torque (%)</t>
  </si>
  <si>
    <t>Current (%)</t>
  </si>
  <si>
    <t>Current(%)</t>
  </si>
  <si>
    <t>Acceleration Data (FV V)</t>
  </si>
  <si>
    <t>Load Type:</t>
  </si>
  <si>
    <t>Fan / Pump</t>
  </si>
  <si>
    <t>Load Inertia:</t>
  </si>
  <si>
    <t>231.4 kg.m²</t>
  </si>
  <si>
    <t>Accel. Time:</t>
  </si>
  <si>
    <t>6.6 (s)</t>
  </si>
  <si>
    <t>Rated Torque:</t>
  </si>
  <si>
    <t>142.7 kg.m</t>
  </si>
  <si>
    <t>Load</t>
  </si>
  <si>
    <t>INDUCTION MOTOR DATA SHEET</t>
  </si>
  <si>
    <t>CS4350</t>
  </si>
  <si>
    <t>HRW / Model Number:</t>
  </si>
  <si>
    <t>3504FTQL11E-C</t>
  </si>
  <si>
    <t>Type: TIKE - Form: FCW4 - 4 Pole - 350 HP - 4000 V - 60 Hz - 5011US - Class F</t>
  </si>
  <si>
    <t>Motor Type Selection</t>
  </si>
  <si>
    <t>Electrical Steel Table</t>
  </si>
  <si>
    <t>Motor Parameters</t>
  </si>
  <si>
    <t>PERFORMANCE</t>
  </si>
  <si>
    <t>DESIGN</t>
  </si>
  <si>
    <t>TEST</t>
  </si>
  <si>
    <t>EPACT</t>
  </si>
  <si>
    <t>M22 - 26Ga.</t>
  </si>
  <si>
    <t>M36 - 26Ga.</t>
  </si>
  <si>
    <t>NL &amp; Impedance Test</t>
  </si>
  <si>
    <t>EQP-III</t>
  </si>
  <si>
    <t>No load amps</t>
  </si>
  <si>
    <t>Exp.Prf.</t>
  </si>
  <si>
    <t>NCB1 - 26Ga.</t>
  </si>
  <si>
    <t>Stack length</t>
  </si>
  <si>
    <t>No load watts</t>
  </si>
  <si>
    <t>Exp.Prf.-EQPIII</t>
  </si>
  <si>
    <t>M43 - 26Ga.</t>
  </si>
  <si>
    <t>Number of turns per coil</t>
  </si>
  <si>
    <t>9, 10</t>
  </si>
  <si>
    <t>Impedance amps</t>
  </si>
  <si>
    <t>f</t>
  </si>
  <si>
    <t>Prem. Eff.</t>
  </si>
  <si>
    <t>M45 - 26Ga.</t>
  </si>
  <si>
    <t>Wire 1 (size &amp; number)</t>
  </si>
  <si>
    <t>Impedance volts</t>
  </si>
  <si>
    <t>OWP</t>
  </si>
  <si>
    <t>M54 - 26Ga.</t>
  </si>
  <si>
    <t>Wire 2 (size &amp; number)</t>
  </si>
  <si>
    <t>Impedance watts</t>
  </si>
  <si>
    <t>Dry Kiln</t>
  </si>
  <si>
    <r>
      <t xml:space="preserve">Slot fill - </t>
    </r>
    <r>
      <rPr>
        <i/>
        <sz val="9"/>
        <color indexed="8"/>
        <rFont val="Times New Roman"/>
        <family val="1"/>
      </rPr>
      <t>circle/square method (%)</t>
    </r>
  </si>
  <si>
    <t>Temperature Rise (°C)</t>
  </si>
  <si>
    <t>1 x Wye</t>
  </si>
  <si>
    <t>Winding</t>
  </si>
  <si>
    <t>80/115</t>
  </si>
  <si>
    <t>74 / 98</t>
  </si>
  <si>
    <t>Allowance for ins. depth</t>
  </si>
  <si>
    <t xml:space="preserve">Bearing  PS/OS </t>
  </si>
  <si>
    <t>Allowance for ins. width</t>
  </si>
  <si>
    <t>Slot/Wire arrangement</t>
  </si>
  <si>
    <t>19 x 1</t>
  </si>
  <si>
    <t>Nameplate Data</t>
  </si>
  <si>
    <t>Effective cross section for coil</t>
  </si>
  <si>
    <t>FLC (A)</t>
  </si>
  <si>
    <t>Coil grouping</t>
  </si>
  <si>
    <t>Coil pitch (slot number)</t>
  </si>
  <si>
    <t>CODE</t>
  </si>
  <si>
    <t>F</t>
  </si>
  <si>
    <t>Method of coil connection</t>
  </si>
  <si>
    <t>S. F.</t>
  </si>
  <si>
    <t>Method of Connection</t>
  </si>
  <si>
    <t>Resistance per phase @ 20 °C</t>
  </si>
  <si>
    <t>B</t>
  </si>
  <si>
    <t>Skip</t>
  </si>
  <si>
    <t>Coil Weight</t>
  </si>
  <si>
    <t>Wire1</t>
  </si>
  <si>
    <t xml:space="preserve">Nom.Eff. (%): </t>
  </si>
  <si>
    <t>Adjacent</t>
  </si>
  <si>
    <t>(lbs.)</t>
  </si>
  <si>
    <t>Wire2</t>
  </si>
  <si>
    <t xml:space="preserve">Min.Eff. (%): </t>
  </si>
  <si>
    <r>
      <t>Current Densities (A/cm</t>
    </r>
    <r>
      <rPr>
        <b/>
        <i/>
        <vertAlign val="superscript"/>
        <sz val="12"/>
        <color indexed="8"/>
        <rFont val="Times New Roman"/>
        <family val="1"/>
      </rPr>
      <t>2</t>
    </r>
    <r>
      <rPr>
        <b/>
        <i/>
        <sz val="12"/>
        <color indexed="8"/>
        <rFont val="Times New Roman"/>
        <family val="1"/>
      </rPr>
      <t>)</t>
    </r>
  </si>
  <si>
    <t>Bar / ER</t>
  </si>
  <si>
    <t xml:space="preserve">P.F. (%): </t>
  </si>
  <si>
    <t>FL / LR</t>
  </si>
  <si>
    <t>422 / 2666</t>
  </si>
  <si>
    <t>364 / 221</t>
  </si>
  <si>
    <t>Stator Slot Shape                                          (Reference)</t>
  </si>
  <si>
    <t>Performance</t>
  </si>
  <si>
    <t>LRC (A)</t>
  </si>
  <si>
    <t>LRT (%)</t>
  </si>
  <si>
    <t>BDT (%)</t>
  </si>
  <si>
    <t>SLIP (%)</t>
  </si>
  <si>
    <t>IEEE-B</t>
  </si>
  <si>
    <t>Eff. (%)</t>
  </si>
  <si>
    <t>Rotor Slot Shape                                          (Reference)</t>
  </si>
  <si>
    <t>PF (%)</t>
  </si>
  <si>
    <t>Losses (Watts)</t>
  </si>
  <si>
    <t>Core</t>
  </si>
  <si>
    <t>F &amp; W</t>
  </si>
  <si>
    <t xml:space="preserve">Stray </t>
  </si>
  <si>
    <t>End Ring                                                      (Reference)</t>
  </si>
  <si>
    <t>Note</t>
  </si>
  <si>
    <t>Q.C. Limits CS4350</t>
  </si>
  <si>
    <t>361-V220-3L1Y, 361-V220-6L1DY</t>
  </si>
  <si>
    <t>362-V220-04   RSO2: 400-V221-04</t>
  </si>
  <si>
    <t>For the 350HP Outer Fan OD:400mm</t>
  </si>
  <si>
    <t>Rev.1 The file ID was changed from CF to CS</t>
  </si>
  <si>
    <t>Approved</t>
  </si>
  <si>
    <t>SHernandez</t>
  </si>
  <si>
    <t>Design</t>
  </si>
  <si>
    <t>V.Phillips</t>
  </si>
  <si>
    <t>for sleeve bearing design.</t>
  </si>
  <si>
    <t>Date</t>
  </si>
  <si>
    <t>A. Gracia  04/15/10</t>
  </si>
  <si>
    <t>P</t>
  </si>
  <si>
    <t>T</t>
  </si>
  <si>
    <t>L</t>
  </si>
  <si>
    <t>PROJECT HISTORY</t>
  </si>
  <si>
    <t>E</t>
  </si>
  <si>
    <t>D</t>
  </si>
  <si>
    <t>I</t>
  </si>
  <si>
    <t>Y</t>
  </si>
  <si>
    <t>H</t>
  </si>
  <si>
    <t>R</t>
  </si>
  <si>
    <t>M</t>
  </si>
  <si>
    <t>C</t>
  </si>
  <si>
    <t>U</t>
  </si>
  <si>
    <t>N</t>
  </si>
  <si>
    <t>A</t>
  </si>
  <si>
    <t>S</t>
  </si>
  <si>
    <t>V</t>
  </si>
  <si>
    <t>DATE</t>
  </si>
  <si>
    <t>PROJECT</t>
  </si>
  <si>
    <t>SMART NUMBER</t>
  </si>
  <si>
    <t>QTY</t>
  </si>
  <si>
    <t>CUSTOMER</t>
  </si>
  <si>
    <t>REMARKS</t>
  </si>
  <si>
    <t>LIMIT CODE</t>
  </si>
  <si>
    <t>REVISION HISTORY</t>
  </si>
  <si>
    <t>REV</t>
  </si>
  <si>
    <t>INIT</t>
  </si>
  <si>
    <t>Winding Data Calculation</t>
  </si>
  <si>
    <t>MCL: 977.0</t>
  </si>
  <si>
    <t>Coil Resistance</t>
  </si>
  <si>
    <t>Lead Resistance</t>
  </si>
  <si>
    <t xml:space="preserve">9T: </t>
  </si>
  <si>
    <t>0.0306 ~ 0.0294</t>
  </si>
  <si>
    <t>AWG. 06 x 3</t>
  </si>
  <si>
    <t xml:space="preserve">10T: </t>
  </si>
  <si>
    <t>0.0340 ~ 0.0327</t>
  </si>
  <si>
    <t>0.00440</t>
  </si>
  <si>
    <t>Coil Dimensions</t>
  </si>
  <si>
    <t>HM:</t>
  </si>
  <si>
    <t>9T: 16.43</t>
  </si>
  <si>
    <t>WM:</t>
  </si>
  <si>
    <t>9T: 6.75</t>
  </si>
  <si>
    <t>WT:</t>
  </si>
  <si>
    <t>10T: 18.26</t>
  </si>
  <si>
    <t>10T: 6.75</t>
  </si>
  <si>
    <t>10.20 ~ 9.80</t>
  </si>
  <si>
    <t>Insulation Allowance</t>
  </si>
  <si>
    <t>Wire Weight</t>
  </si>
  <si>
    <t>Depth:</t>
  </si>
  <si>
    <t>12.98</t>
  </si>
  <si>
    <t xml:space="preserve"> (.064"x.258")x 1: </t>
  </si>
  <si>
    <t>233 lbs.</t>
  </si>
  <si>
    <t>Width:</t>
  </si>
  <si>
    <t>3.35</t>
  </si>
  <si>
    <t/>
  </si>
  <si>
    <t>QC Resistance</t>
  </si>
  <si>
    <t xml:space="preserve">1-2, 2-3, 3-1: </t>
  </si>
  <si>
    <t>1.314 ~ 1.238</t>
  </si>
  <si>
    <t>Rating:</t>
  </si>
  <si>
    <t>4 Pole - 350.0 HP - 1800 RPM - 4000 V - 60 Hz</t>
  </si>
  <si>
    <t>Starting Performance</t>
  </si>
  <si>
    <t>Load Type: Fan / Pump - 1373.0 lb-ft²</t>
  </si>
  <si>
    <t>Motor</t>
  </si>
  <si>
    <t xml:space="preserve">Load </t>
  </si>
  <si>
    <t>Accel.</t>
  </si>
  <si>
    <t xml:space="preserve"> Line</t>
  </si>
  <si>
    <t>Stator</t>
  </si>
  <si>
    <t>Rotor</t>
  </si>
  <si>
    <t>Speed Increment</t>
  </si>
  <si>
    <t>Time (s)</t>
  </si>
  <si>
    <t>kW / s</t>
  </si>
  <si>
    <t>0~180</t>
  </si>
  <si>
    <t>175.1</t>
  </si>
  <si>
    <t>22.5</t>
  </si>
  <si>
    <t>0.574</t>
  </si>
  <si>
    <t>276.6</t>
  </si>
  <si>
    <t>110.9</t>
  </si>
  <si>
    <t>249.7</t>
  </si>
  <si>
    <t>180~360</t>
  </si>
  <si>
    <t>11.5</t>
  </si>
  <si>
    <t>0.536</t>
  </si>
  <si>
    <t>274.1</t>
  </si>
  <si>
    <t>101.7</t>
  </si>
  <si>
    <t>209.8</t>
  </si>
  <si>
    <t>360~540</t>
  </si>
  <si>
    <t>7.0</t>
  </si>
  <si>
    <t>0.521</t>
  </si>
  <si>
    <t>271.2</t>
  </si>
  <si>
    <t>97.0</t>
  </si>
  <si>
    <t>181.5</t>
  </si>
  <si>
    <t>540~720</t>
  </si>
  <si>
    <t>175.0</t>
  </si>
  <si>
    <t>0.522</t>
  </si>
  <si>
    <t>267.7</t>
  </si>
  <si>
    <t>94.8</t>
  </si>
  <si>
    <t>158.8</t>
  </si>
  <si>
    <t>720~900</t>
  </si>
  <si>
    <t>11.0</t>
  </si>
  <si>
    <t>0.534</t>
  </si>
  <si>
    <t>263.6</t>
  </si>
  <si>
    <t>94.5</t>
  </si>
  <si>
    <t>139.4</t>
  </si>
  <si>
    <t>900~1096</t>
  </si>
  <si>
    <t>18.5</t>
  </si>
  <si>
    <t>0.610</t>
  </si>
  <si>
    <t>258.8</t>
  </si>
  <si>
    <t>104.2</t>
  </si>
  <si>
    <t>121.7</t>
  </si>
  <si>
    <t>1096~1292</t>
  </si>
  <si>
    <t>175.4</t>
  </si>
  <si>
    <t>29.5</t>
  </si>
  <si>
    <t>0.654</t>
  </si>
  <si>
    <t>253.0</t>
  </si>
  <si>
    <t>107.4</t>
  </si>
  <si>
    <t>102.2</t>
  </si>
  <si>
    <t>1292~1488</t>
  </si>
  <si>
    <t>178.4</t>
  </si>
  <si>
    <t>45.9</t>
  </si>
  <si>
    <t>0.720</t>
  </si>
  <si>
    <t>245.5</t>
  </si>
  <si>
    <t>112.5</t>
  </si>
  <si>
    <t>81.5</t>
  </si>
  <si>
    <t>1488~1586</t>
  </si>
  <si>
    <t>186.6</t>
  </si>
  <si>
    <t>62.5</t>
  </si>
  <si>
    <t>0.384</t>
  </si>
  <si>
    <t>237.1</t>
  </si>
  <si>
    <t>55.9</t>
  </si>
  <si>
    <t>55.1</t>
  </si>
  <si>
    <t>1586~1684</t>
  </si>
  <si>
    <t>205.0</t>
  </si>
  <si>
    <t>76.2</t>
  </si>
  <si>
    <t>0.370</t>
  </si>
  <si>
    <t>225.1</t>
  </si>
  <si>
    <t>50.3</t>
  </si>
  <si>
    <t>38.6</t>
  </si>
  <si>
    <t>1684~1782</t>
  </si>
  <si>
    <t>244.0</t>
  </si>
  <si>
    <t>90.6</t>
  </si>
  <si>
    <t>0.311</t>
  </si>
  <si>
    <t>193.2</t>
  </si>
  <si>
    <t>36.7</t>
  </si>
  <si>
    <t>19.9</t>
  </si>
  <si>
    <t>1782~1796</t>
  </si>
  <si>
    <t>187.1</t>
  </si>
  <si>
    <t>98.8</t>
  </si>
  <si>
    <t>0.079</t>
  </si>
  <si>
    <t>109.0</t>
  </si>
  <si>
    <t>5.7</t>
  </si>
  <si>
    <t>6.7</t>
  </si>
  <si>
    <t>1796~1800</t>
  </si>
  <si>
    <t>102.1</t>
  </si>
  <si>
    <t>99.8</t>
  </si>
  <si>
    <t>0.762</t>
  </si>
  <si>
    <t>26.1</t>
  </si>
  <si>
    <t>3.6</t>
  </si>
  <si>
    <t>99.9</t>
  </si>
  <si>
    <t>Acceleration Time:  6.6 s</t>
  </si>
  <si>
    <t>Energy</t>
  </si>
  <si>
    <t>First Start</t>
  </si>
  <si>
    <t>Second Start</t>
  </si>
  <si>
    <t>Stator Winding Rise</t>
  </si>
  <si>
    <t>975 kW / s</t>
  </si>
  <si>
    <t>25°C</t>
  </si>
  <si>
    <t>49°C</t>
  </si>
  <si>
    <t>Rotor Bar Rise</t>
  </si>
  <si>
    <t>1294 kW / s</t>
  </si>
  <si>
    <t>43°C</t>
  </si>
  <si>
    <t>86°C</t>
  </si>
  <si>
    <t>End Ring Rise</t>
  </si>
  <si>
    <t>171 kW / s</t>
  </si>
  <si>
    <t>16°C</t>
  </si>
  <si>
    <t>32°C</t>
  </si>
  <si>
    <t>Locked Rotor Thermal Capability</t>
  </si>
  <si>
    <t>Cold Condition</t>
  </si>
  <si>
    <t>Rate of Rise</t>
  </si>
  <si>
    <t>Power</t>
  </si>
  <si>
    <t>Rise Limit</t>
  </si>
  <si>
    <t>Max Time</t>
  </si>
  <si>
    <t>Stator Copper</t>
  </si>
  <si>
    <t>5.8°C / s</t>
  </si>
  <si>
    <t>227.3 kW</t>
  </si>
  <si>
    <t>160°C</t>
  </si>
  <si>
    <t>27.8 s</t>
  </si>
  <si>
    <t>Rotor Bar</t>
  </si>
  <si>
    <t>13.3°C / s</t>
  </si>
  <si>
    <t>403.7 kW</t>
  </si>
  <si>
    <t>260°C</t>
  </si>
  <si>
    <t>19.5 s</t>
  </si>
  <si>
    <t>Rotor ER</t>
  </si>
  <si>
    <t>5.0°C / s</t>
  </si>
  <si>
    <t>53.2 kW</t>
  </si>
  <si>
    <t>180°C</t>
  </si>
  <si>
    <t>36.0 s</t>
  </si>
  <si>
    <t>Hot Condition</t>
  </si>
  <si>
    <t>Hot Temp.</t>
  </si>
  <si>
    <t>Max.Time</t>
  </si>
  <si>
    <t>71°C    +</t>
  </si>
  <si>
    <t>89°C    +</t>
  </si>
  <si>
    <t>40°C</t>
  </si>
  <si>
    <t>=    200°C</t>
  </si>
  <si>
    <t>15.4 s</t>
  </si>
  <si>
    <t>95°C    +</t>
  </si>
  <si>
    <t>165°C   +</t>
  </si>
  <si>
    <t>=    300°C</t>
  </si>
  <si>
    <t>12.4 s</t>
  </si>
  <si>
    <t>85°C   +</t>
  </si>
  <si>
    <t>=    220°C</t>
  </si>
  <si>
    <t>17.0 s</t>
  </si>
  <si>
    <t>Cold Stall Time:</t>
  </si>
  <si>
    <t>51.1 s</t>
  </si>
  <si>
    <t>Hot Stall Time:</t>
  </si>
  <si>
    <t>24.0 s</t>
  </si>
  <si>
    <t>Magnetic Noise Verification</t>
  </si>
  <si>
    <t>Electromagnetic Excitation Frequencies</t>
  </si>
  <si>
    <t>L =</t>
  </si>
  <si>
    <t>+ 1</t>
  </si>
  <si>
    <t>- 1</t>
  </si>
  <si>
    <t>Slip =</t>
  </si>
  <si>
    <t>Mode A</t>
  </si>
  <si>
    <t>1620.0 Hz</t>
  </si>
  <si>
    <t>1604.8 Hz</t>
  </si>
  <si>
    <t>Mode B</t>
  </si>
  <si>
    <t>1380.0 Hz</t>
  </si>
  <si>
    <t>1364.8 Hz</t>
  </si>
  <si>
    <t>Mode C</t>
  </si>
  <si>
    <t>1500.0 Hz</t>
  </si>
  <si>
    <t>1484.8 Hz</t>
  </si>
  <si>
    <t>Natural Frequencies of Stator Core</t>
  </si>
  <si>
    <t>Mode 0  =</t>
  </si>
  <si>
    <t>2754.5 Hz</t>
  </si>
  <si>
    <t>Mode 6  =</t>
  </si>
  <si>
    <t>5271.0 Hz</t>
  </si>
  <si>
    <t>Mode 2  =</t>
  </si>
  <si>
    <t>409.7 Hz</t>
  </si>
  <si>
    <t>Mode 7  =</t>
  </si>
  <si>
    <t>7254.8 Hz</t>
  </si>
  <si>
    <t>Mode 3  =</t>
  </si>
  <si>
    <t>1158.7 Hz</t>
  </si>
  <si>
    <t>Mode 8  =</t>
  </si>
  <si>
    <t>9544.4 Hz</t>
  </si>
  <si>
    <t>Mode 4  =</t>
  </si>
  <si>
    <t>2221.8 Hz</t>
  </si>
  <si>
    <t>Mode 9  =</t>
  </si>
  <si>
    <t>12139.4 Hz</t>
  </si>
  <si>
    <t>Mode 5  =</t>
  </si>
  <si>
    <t>3593.1 Hz</t>
  </si>
  <si>
    <t>Mode 10  =</t>
  </si>
  <si>
    <t>15040.0 Hz</t>
  </si>
  <si>
    <t>Analysis Results</t>
  </si>
  <si>
    <t>No matching frequencies detected.</t>
  </si>
  <si>
    <t>MPCF-1033</t>
  </si>
  <si>
    <t>7/31/13</t>
  </si>
  <si>
    <t>11/8/96</t>
  </si>
  <si>
    <t>SQUIRREL CAGE INDUCTION MOTOR</t>
  </si>
  <si>
    <t>PERFORMANCE SPECIFICATIONS</t>
  </si>
  <si>
    <t>PAA</t>
  </si>
  <si>
    <t>CUSTOMER:</t>
  </si>
  <si>
    <t>HOWDEN FAN</t>
  </si>
  <si>
    <t>2174794.1</t>
  </si>
  <si>
    <t>MOTOR NAMEPLATE DATA</t>
  </si>
  <si>
    <t>H.P.:</t>
  </si>
  <si>
    <t>VOLTS:</t>
  </si>
  <si>
    <t>3 PH /</t>
  </si>
  <si>
    <t>60 Hz</t>
  </si>
  <si>
    <t>S. RPM:</t>
  </si>
  <si>
    <t>FRAME:</t>
  </si>
  <si>
    <t>ENCL:</t>
  </si>
  <si>
    <t>FLAMPS:</t>
  </si>
  <si>
    <t>FLRPM:</t>
  </si>
  <si>
    <t>FORM:</t>
  </si>
  <si>
    <t>S.F.:</t>
  </si>
  <si>
    <t>1.0</t>
  </si>
  <si>
    <t>NEMA DESIGN:</t>
  </si>
  <si>
    <t>INSUL CLASS:</t>
  </si>
  <si>
    <t>TYPE:</t>
  </si>
  <si>
    <t>TIKE</t>
  </si>
  <si>
    <t>AMB.:</t>
  </si>
  <si>
    <t>CODE:</t>
  </si>
  <si>
    <t>DUTY:</t>
  </si>
  <si>
    <t>Cont.</t>
  </si>
  <si>
    <t>MODEL No.:</t>
  </si>
  <si>
    <t>A1-10032388</t>
  </si>
  <si>
    <t>kW:</t>
  </si>
  <si>
    <t>NOM. EFF.:</t>
  </si>
  <si>
    <t>MIN. EFF.:</t>
  </si>
  <si>
    <t>P.F.:</t>
  </si>
  <si>
    <t>AMPERAGE</t>
  </si>
  <si>
    <t>TORQUES</t>
  </si>
  <si>
    <t>**BEARINGS:</t>
  </si>
  <si>
    <t>LOCKED ROTOR:</t>
  </si>
  <si>
    <t>FULL LOAD (lb-ft.):</t>
  </si>
  <si>
    <t>DRIVE END:</t>
  </si>
  <si>
    <t>LOCKED ROTOR (%):</t>
  </si>
  <si>
    <t>OPPOSITE DRIVE END:</t>
  </si>
  <si>
    <t>BREAK DOWN (%):</t>
  </si>
  <si>
    <t>EFFICIENCY</t>
  </si>
  <si>
    <t>POWER FACTOR</t>
  </si>
  <si>
    <t>FULL LOAD:</t>
  </si>
  <si>
    <t>3/4 LOAD:</t>
  </si>
  <si>
    <t>1/2 LOAD:</t>
  </si>
  <si>
    <t>ALL CHARACTERISTICS ARE AVERAGE EXPECTED VALUES BASED UPON RATED VOLTAGE,</t>
  </si>
  <si>
    <t>FREQUENCY AND SINEWAVE POWER INPUT.</t>
  </si>
  <si>
    <t>THE DECLARED LOCKED ROTOR CURRENT HAS A TOLERANCE OF 20%</t>
  </si>
  <si>
    <t>* TEMPERATURE RISE WILL BE CONSISTENT WITH INSULATION, AMBIENT AND SERVICE FACTOR AS</t>
  </si>
  <si>
    <t>DEFINED BY NEMA-MG-12 OR -20</t>
  </si>
  <si>
    <t>** BEARINGS ARE THE ONLY RECOMMENDED SPARE PART(S).</t>
  </si>
  <si>
    <t>6205ZZ</t>
  </si>
  <si>
    <t>6206UU</t>
  </si>
  <si>
    <t>ODP</t>
  </si>
  <si>
    <t>6207ZZ</t>
  </si>
  <si>
    <t>6208UU</t>
  </si>
  <si>
    <t>6211ZZ</t>
  </si>
  <si>
    <t>6211C3</t>
  </si>
  <si>
    <t>6211ZZC3</t>
  </si>
  <si>
    <t>6305UUC3</t>
  </si>
  <si>
    <t>6306UUC3</t>
  </si>
  <si>
    <t>6308C3</t>
  </si>
  <si>
    <t>6308UU</t>
  </si>
  <si>
    <t>6308ZC3</t>
  </si>
  <si>
    <t>6309UU</t>
  </si>
  <si>
    <t>6309UUC3</t>
  </si>
  <si>
    <t>6309C3</t>
  </si>
  <si>
    <t>6309C3XS</t>
  </si>
  <si>
    <t>6309ZC3</t>
  </si>
  <si>
    <t>6310ZZ</t>
  </si>
  <si>
    <t>6310C3</t>
  </si>
  <si>
    <t>6310C3XS</t>
  </si>
  <si>
    <t>6310ZZC3</t>
  </si>
  <si>
    <t>6312C3</t>
  </si>
  <si>
    <t>6312ZZ</t>
  </si>
  <si>
    <t>6312ZZC3</t>
  </si>
  <si>
    <t>6312C3XS</t>
  </si>
  <si>
    <t>6313ZZ</t>
  </si>
  <si>
    <t>6313ZZC3</t>
  </si>
  <si>
    <t>6313C3</t>
  </si>
  <si>
    <t>6314C3</t>
  </si>
  <si>
    <t>6317C3</t>
  </si>
  <si>
    <t>NU318</t>
  </si>
  <si>
    <t>6318C3</t>
  </si>
  <si>
    <t>NU318C3</t>
  </si>
  <si>
    <t>6320C3</t>
  </si>
  <si>
    <t>NU322</t>
  </si>
  <si>
    <t>NU322C3</t>
  </si>
  <si>
    <t>NU324C3</t>
  </si>
  <si>
    <t>6314C3XS</t>
  </si>
  <si>
    <t>6317C3XS</t>
  </si>
  <si>
    <t>Speed Torque/Current Curve</t>
  </si>
  <si>
    <t>Model #:</t>
  </si>
  <si>
    <t>FLAmps:</t>
  </si>
  <si>
    <t>Enclosure:</t>
  </si>
  <si>
    <t>Voltage:</t>
  </si>
  <si>
    <t>Frame:</t>
  </si>
  <si>
    <t>Pole:</t>
  </si>
  <si>
    <t>Frequency:</t>
  </si>
  <si>
    <t>3 PH / 60 Hz</t>
  </si>
  <si>
    <t>Ins. Class:</t>
  </si>
  <si>
    <t>HP:</t>
  </si>
  <si>
    <t>Rotor Inertia:</t>
  </si>
  <si>
    <t>172.7 lb-ft²</t>
  </si>
  <si>
    <t>2214.0 lb-ft²</t>
  </si>
  <si>
    <t>Locked Rotor Amps:</t>
  </si>
  <si>
    <t>Locked Rotor Torque:</t>
  </si>
  <si>
    <t>Starting at:</t>
  </si>
  <si>
    <t>FV / 0.80 (V)</t>
  </si>
  <si>
    <t>Breakdown Torque:</t>
  </si>
  <si>
    <t>13 / 16 (s)</t>
  </si>
  <si>
    <t>1033 lb-ft</t>
  </si>
  <si>
    <t>Comments:</t>
  </si>
  <si>
    <t>D.E.Curve #:</t>
  </si>
  <si>
    <t>Prepared by:</t>
  </si>
  <si>
    <t>Checked by:</t>
  </si>
  <si>
    <t>Torque 80%</t>
  </si>
  <si>
    <t>LRA 80%</t>
  </si>
  <si>
    <t>Thermal Limit &amp; Acceleration Curves</t>
  </si>
  <si>
    <t>Design Values (For Reference Only)</t>
  </si>
  <si>
    <t xml:space="preserve"> </t>
  </si>
  <si>
    <t>Cold</t>
  </si>
  <si>
    <t>Hot</t>
  </si>
  <si>
    <t>CURRENT (%)</t>
  </si>
  <si>
    <t>Accel. Time</t>
  </si>
  <si>
    <t>Performance Curve</t>
  </si>
  <si>
    <t>Input Watts</t>
  </si>
  <si>
    <t>MPCF-1109</t>
  </si>
  <si>
    <t>EQUIVALENT CIRCUIT DATA</t>
  </si>
  <si>
    <t>REV. 0</t>
  </si>
  <si>
    <t xml:space="preserve">All Values are Presented in Ohms/Phase, Equivalent Wye Connection. </t>
  </si>
  <si>
    <t>Primary Resistance (R1) :</t>
  </si>
  <si>
    <t>0.834</t>
  </si>
  <si>
    <t>Secondary Resistance (R2) :</t>
  </si>
  <si>
    <t>0.579</t>
  </si>
  <si>
    <t>Starting Resistance (R3) :</t>
  </si>
  <si>
    <t>1.62</t>
  </si>
  <si>
    <t>Primary Reactance (X1) :</t>
  </si>
  <si>
    <t>5.64</t>
  </si>
  <si>
    <t>Secondary Reactance (X2) :</t>
  </si>
  <si>
    <t>4.41</t>
  </si>
  <si>
    <t>Starting Reactance (X3) :</t>
  </si>
  <si>
    <t>3.95</t>
  </si>
  <si>
    <t>Magnetizing Reactance (Xm) :</t>
  </si>
  <si>
    <t>274.9</t>
  </si>
  <si>
    <t>Transient Reactance :</t>
  </si>
  <si>
    <t>9.98</t>
  </si>
  <si>
    <t>Sub Transient Reactance :</t>
  </si>
  <si>
    <t>7.71</t>
  </si>
  <si>
    <t>Short Circuit Time Constant :</t>
  </si>
  <si>
    <t>Sub Transient Time Constant :</t>
  </si>
  <si>
    <t>Open Circuit Time Constant :</t>
  </si>
  <si>
    <t>MPCF-1082</t>
  </si>
  <si>
    <t>2/14/02</t>
  </si>
  <si>
    <t>M. CAMPBELL</t>
  </si>
  <si>
    <t>API 541 PERFORMANCE SPECIFICATIONS</t>
  </si>
  <si>
    <t>P.A.A</t>
  </si>
  <si>
    <t>LOCKED ROTOR DATA</t>
  </si>
  <si>
    <t>AMPS AT RATED VOLTAGE:</t>
  </si>
  <si>
    <t>278</t>
  </si>
  <si>
    <t>POWER FACTOR:</t>
  </si>
  <si>
    <t>AMPS AT 80% VOLTAGE:</t>
  </si>
  <si>
    <t>221</t>
  </si>
  <si>
    <t>TORQUE VALUES</t>
  </si>
  <si>
    <t>CURVE NUMBERS</t>
  </si>
  <si>
    <t>FULL LOAD (LB.FT):</t>
  </si>
  <si>
    <t>SPEED-TORQUE CURVE:</t>
  </si>
  <si>
    <t>LOCKED ROTOR TORQUE (% OF FLT):</t>
  </si>
  <si>
    <t>SPEED-CURRENT CURVE:</t>
  </si>
  <si>
    <t>PULL UP TORQUE (% OF FLT):</t>
  </si>
  <si>
    <t>ACCELERATION CURVE:</t>
  </si>
  <si>
    <t>BREAKDOWN TORQUE (% OF FLT):</t>
  </si>
  <si>
    <t>LOCKED ROTOR WITHSTAND TIMES</t>
  </si>
  <si>
    <t>COLD CONDITION</t>
  </si>
  <si>
    <t>HOT CONDITION</t>
  </si>
  <si>
    <t>100% VOLTAGE:</t>
  </si>
  <si>
    <t>35</t>
  </si>
  <si>
    <t>15</t>
  </si>
  <si>
    <t>90% VOLTAGE:</t>
  </si>
  <si>
    <t>43</t>
  </si>
  <si>
    <t>19</t>
  </si>
  <si>
    <t>80% VOLTAGE:</t>
  </si>
  <si>
    <t>55</t>
  </si>
  <si>
    <t>23</t>
  </si>
  <si>
    <t>70% VOLTAGE:</t>
  </si>
  <si>
    <t>71</t>
  </si>
  <si>
    <t>30</t>
  </si>
  <si>
    <t>DESIGN DATA</t>
  </si>
  <si>
    <r>
      <t>MOTOR ROTOR wk</t>
    </r>
    <r>
      <rPr>
        <vertAlign val="superscript"/>
        <sz val="8"/>
        <rFont val="Univers"/>
        <family val="2"/>
      </rPr>
      <t xml:space="preserve">2 </t>
    </r>
    <r>
      <rPr>
        <sz val="8"/>
        <rFont val="Univers"/>
        <family val="2"/>
      </rPr>
      <t>(LB.FT</t>
    </r>
    <r>
      <rPr>
        <vertAlign val="superscript"/>
        <sz val="8"/>
        <rFont val="Univers"/>
        <family val="2"/>
      </rPr>
      <t>2</t>
    </r>
    <r>
      <rPr>
        <sz val="8"/>
        <rFont val="Univers"/>
        <family val="2"/>
      </rPr>
      <t>):</t>
    </r>
  </si>
  <si>
    <t>172.7</t>
  </si>
  <si>
    <t>NO LOAD CURRENT:</t>
  </si>
  <si>
    <t>8.4</t>
  </si>
  <si>
    <t>AIR GAP:</t>
  </si>
  <si>
    <t>1.8</t>
  </si>
  <si>
    <t>ACCELERATION TIME:</t>
  </si>
  <si>
    <t>13/16</t>
  </si>
  <si>
    <t>LOAD CHARACTERISTICS</t>
  </si>
  <si>
    <t>LOAD</t>
  </si>
  <si>
    <t>1/2</t>
  </si>
  <si>
    <t>3/4</t>
  </si>
  <si>
    <t>FULL</t>
  </si>
  <si>
    <t>SF</t>
  </si>
  <si>
    <t>AMPS (A)</t>
  </si>
  <si>
    <t>EFFICIENCY (%)</t>
  </si>
  <si>
    <t>POWER FACTOR (%)</t>
  </si>
  <si>
    <t>GUARENTEED EFFICIENCY (%)</t>
  </si>
  <si>
    <t>EFFICIENCY TO BE DETERMINED BY IEEE 112, METHOD B</t>
  </si>
  <si>
    <t>ALL CHARACTERISTICS ARE AVERAGE EXPECTED VALUES BASED UPON RATED VOLTAGE, FREQUENCY AND SINEWAVE POWER INPUT.</t>
  </si>
  <si>
    <t xml:space="preserve">LINK: </t>
  </si>
  <si>
    <t>CF4500_EXP1.RAT &amp; H402112_480FAN_500HP</t>
  </si>
  <si>
    <t>_LAB9896.DAT</t>
  </si>
  <si>
    <t>RSO2: 400-V220-04 REF. ONLY</t>
  </si>
  <si>
    <t xml:space="preserve">USED 400mm FAN 140-4608-01 </t>
  </si>
  <si>
    <t>85dBA (REFERENCE 142502 AL. DIE CAST)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</si>
</sst>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164" formatCode="General_)"/>
    <numFmt numFmtId="165" formatCode="0.0"/>
    <numFmt numFmtId="166" formatCode="m/d/yy"/>
    <numFmt numFmtId="167" formatCode="mm/dd/yy"/>
    <numFmt numFmtId="168" formatCode="@\ &quot;Hz&quot;"/>
    <numFmt numFmtId="169" formatCode="0\°\C"/>
    <numFmt numFmtId="170" formatCode="0.0;[Red]0.0"/>
    <numFmt numFmtId="171" formatCode="@\ &quot;dBA&quot;"/>
    <numFmt numFmtId="172" formatCode="@&quot;Hz&quot;"/>
    <numFmt numFmtId="173" formatCode="@\ &quot;kHz&quot;"/>
    <numFmt numFmtId="174" formatCode="0.000"/>
    <numFmt numFmtId="175" formatCode="0.0%"/>
    <numFmt numFmtId="176" formatCode="0.0000"/>
    <numFmt numFmtId="177" formatCode=".0000"/>
    <numFmt numFmtId="178" formatCode="0.00_);\(0.00\)"/>
    <numFmt numFmtId="179" formatCode=";;;"/>
    <numFmt numFmtId="180" formatCode="@\ &quot;Ohms/Phase&quot;"/>
    <numFmt numFmtId="181" formatCode=".0"/>
    <numFmt numFmtId="182" formatCode="@\ &quot; A&quot;"/>
    <numFmt numFmtId="183" formatCode="@\ &quot;(s)&quot;"/>
    <numFmt numFmtId="184" formatCode="@\ &quot;mm&quot;"/>
  </numFmts>
  <fonts count="93">
    <font>
      <sz val="14"/>
      <color theme="1"/>
      <name val="Calibri"/>
      <family val="2"/>
      <scheme val="minor"/>
    </font>
    <font>
      <sz val="10"/>
      <name val="Helv"/>
    </font>
    <font>
      <sz val="14"/>
      <name val="Univers (W1)"/>
      <family val="2"/>
    </font>
    <font>
      <sz val="8"/>
      <name val="Univers (W1)"/>
      <family val="2"/>
    </font>
    <font>
      <sz val="10"/>
      <name val="Univers (W1)"/>
      <family val="2"/>
    </font>
    <font>
      <sz val="15"/>
      <name val="Univers (W1)"/>
      <family val="2"/>
    </font>
    <font>
      <sz val="11"/>
      <name val="Univers (W1)"/>
    </font>
    <font>
      <sz val="12"/>
      <name val="Univers (W1)"/>
      <family val="2"/>
    </font>
    <font>
      <sz val="10"/>
      <name val="Script"/>
    </font>
    <font>
      <sz val="10"/>
      <name val="Univers (W1)"/>
    </font>
    <font>
      <sz val="10"/>
      <name val="Arial"/>
      <family val="2"/>
    </font>
    <font>
      <sz val="12"/>
      <name val="Univers (W1)"/>
    </font>
    <font>
      <b/>
      <sz val="12"/>
      <name val="Univers (W1)"/>
    </font>
    <font>
      <sz val="9"/>
      <name val="Univers (W1)"/>
      <family val="2"/>
    </font>
    <font>
      <sz val="13"/>
      <name val="Univers (W1)"/>
      <family val="2"/>
    </font>
    <font>
      <sz val="13"/>
      <name val="Univers (W1)"/>
    </font>
    <font>
      <sz val="9"/>
      <name val="Univers (W1)"/>
    </font>
    <font>
      <u/>
      <sz val="8"/>
      <name val="Univers (W1)"/>
    </font>
    <font>
      <b/>
      <sz val="10"/>
      <name val="Helv"/>
    </font>
    <font>
      <i/>
      <sz val="13"/>
      <name val="Univers (W1)"/>
      <family val="2"/>
    </font>
    <font>
      <i/>
      <sz val="13"/>
      <name val="Arial"/>
      <family val="2"/>
    </font>
    <font>
      <i/>
      <sz val="13"/>
      <name val="Univers (W1)"/>
    </font>
    <font>
      <b/>
      <sz val="13"/>
      <name val="Univers (W1)"/>
      <family val="2"/>
    </font>
    <font>
      <sz val="12"/>
      <name val="Times New Roman"/>
      <family val="1"/>
    </font>
    <font>
      <b/>
      <sz val="14"/>
      <name val="Times New Roman"/>
      <family val="1"/>
    </font>
    <font>
      <i/>
      <sz val="10"/>
      <name val="Times New Roman"/>
      <family val="1"/>
    </font>
    <font>
      <i/>
      <sz val="9"/>
      <name val="Times New Roman"/>
      <family val="1"/>
    </font>
    <font>
      <sz val="10"/>
      <name val="Times New Roman"/>
      <family val="1"/>
    </font>
    <font>
      <b/>
      <i/>
      <sz val="10"/>
      <name val="Times New Roman"/>
      <family val="1"/>
    </font>
    <font>
      <b/>
      <sz val="10"/>
      <name val="Times New Roman"/>
      <family val="1"/>
    </font>
    <font>
      <i/>
      <vertAlign val="superscript"/>
      <sz val="10"/>
      <name val="Times New Roman"/>
      <family val="1"/>
    </font>
    <font>
      <sz val="8"/>
      <name val="Times New Roman"/>
      <family val="1"/>
    </font>
    <font>
      <b/>
      <sz val="16"/>
      <name val="Times New Roman"/>
      <family val="1"/>
    </font>
    <font>
      <sz val="9"/>
      <color indexed="8"/>
      <name val="Times New Roman"/>
      <family val="1"/>
    </font>
    <font>
      <sz val="12"/>
      <color indexed="8"/>
      <name val="Univers (W1)"/>
    </font>
    <font>
      <b/>
      <sz val="14"/>
      <color indexed="8"/>
      <name val="Times New Roman"/>
      <family val="1"/>
    </font>
    <font>
      <b/>
      <i/>
      <sz val="12"/>
      <color indexed="8"/>
      <name val="Times New Roman"/>
      <family val="1"/>
    </font>
    <font>
      <sz val="12"/>
      <color indexed="8"/>
      <name val="Times New Roman"/>
      <family val="1"/>
    </font>
    <font>
      <sz val="11"/>
      <color indexed="8"/>
      <name val="Times New Roman"/>
      <family val="1"/>
    </font>
    <font>
      <b/>
      <sz val="12"/>
      <name val="Times New Roman"/>
      <family val="1"/>
    </font>
    <font>
      <sz val="10"/>
      <color indexed="8"/>
      <name val="Times New Roman"/>
      <family val="1"/>
    </font>
    <font>
      <b/>
      <sz val="12"/>
      <color indexed="8"/>
      <name val="Times New Roman"/>
      <family val="1"/>
    </font>
    <font>
      <sz val="10"/>
      <color indexed="8"/>
      <name val="Univers (W1)"/>
    </font>
    <font>
      <b/>
      <i/>
      <sz val="11"/>
      <color indexed="8"/>
      <name val="Times New Roman"/>
      <family val="1"/>
    </font>
    <font>
      <sz val="8"/>
      <color indexed="8"/>
      <name val="Times New Roman"/>
      <family val="1"/>
    </font>
    <font>
      <i/>
      <sz val="10"/>
      <color indexed="8"/>
      <name val="Times New Roman"/>
      <family val="1"/>
    </font>
    <font>
      <b/>
      <sz val="11"/>
      <color indexed="8"/>
      <name val="Univers (W1)"/>
      <family val="2"/>
    </font>
    <font>
      <b/>
      <sz val="10"/>
      <color indexed="8"/>
      <name val="Univers (W1)"/>
    </font>
    <font>
      <i/>
      <sz val="11"/>
      <color indexed="8"/>
      <name val="Times New Roman"/>
      <family val="1"/>
    </font>
    <font>
      <b/>
      <i/>
      <sz val="11"/>
      <color indexed="8"/>
      <name val="Univers (W1)"/>
      <family val="2"/>
    </font>
    <font>
      <i/>
      <sz val="11"/>
      <color indexed="8"/>
      <name val="Symbol"/>
      <family val="1"/>
      <charset val="2"/>
    </font>
    <font>
      <i/>
      <sz val="9"/>
      <color indexed="8"/>
      <name val="Times New Roman"/>
      <family val="1"/>
    </font>
    <font>
      <i/>
      <sz val="8"/>
      <color indexed="8"/>
      <name val="Times New Roman"/>
      <family val="1"/>
    </font>
    <font>
      <b/>
      <sz val="10"/>
      <color indexed="8"/>
      <name val="Times New Roman"/>
      <family val="1"/>
    </font>
    <font>
      <b/>
      <i/>
      <vertAlign val="superscript"/>
      <sz val="12"/>
      <color indexed="8"/>
      <name val="Times New Roman"/>
      <family val="1"/>
    </font>
    <font>
      <b/>
      <i/>
      <sz val="10"/>
      <color indexed="8"/>
      <name val="Times New Roman"/>
      <family val="1"/>
    </font>
    <font>
      <u/>
      <sz val="10"/>
      <color indexed="8"/>
      <name val="Univers (W1)"/>
    </font>
    <font>
      <sz val="10"/>
      <color indexed="8"/>
      <name val="Univers"/>
      <family val="2"/>
    </font>
    <font>
      <sz val="10"/>
      <color indexed="8"/>
      <name val="WP Greek Century"/>
      <charset val="2"/>
    </font>
    <font>
      <b/>
      <i/>
      <sz val="12"/>
      <color indexed="8"/>
      <name val="Arial"/>
      <family val="2"/>
    </font>
    <font>
      <b/>
      <i/>
      <sz val="12"/>
      <color indexed="8"/>
      <name val="Lucida Bright"/>
      <family val="1"/>
    </font>
    <font>
      <b/>
      <sz val="8"/>
      <color indexed="81"/>
      <name val="Tahoma"/>
      <family val="2"/>
    </font>
    <font>
      <sz val="8"/>
      <color indexed="81"/>
      <name val="Tahoma"/>
      <family val="2"/>
    </font>
    <font>
      <b/>
      <sz val="10"/>
      <name val="Arial"/>
      <family val="2"/>
    </font>
    <font>
      <b/>
      <sz val="14"/>
      <name val="Arial"/>
      <family val="2"/>
    </font>
    <font>
      <b/>
      <sz val="12"/>
      <name val="Arial"/>
      <family val="2"/>
    </font>
    <font>
      <b/>
      <i/>
      <sz val="14"/>
      <name val="Times New Roman"/>
      <family val="1"/>
    </font>
    <font>
      <b/>
      <i/>
      <sz val="12"/>
      <name val="Times New Roman"/>
      <family val="1"/>
    </font>
    <font>
      <i/>
      <sz val="12"/>
      <name val="Times New Roman"/>
      <family val="1"/>
    </font>
    <font>
      <b/>
      <i/>
      <u/>
      <sz val="16"/>
      <name val="Times New Roman"/>
      <family val="1"/>
    </font>
    <font>
      <sz val="14"/>
      <name val="Times New Roman"/>
      <family val="1"/>
    </font>
    <font>
      <sz val="12"/>
      <name val="Helv"/>
    </font>
    <font>
      <sz val="12"/>
      <name val="Script"/>
      <family val="4"/>
      <charset val="255"/>
    </font>
    <font>
      <b/>
      <sz val="10"/>
      <name val="Univers (W1)"/>
      <family val="2"/>
    </font>
    <font>
      <sz val="14"/>
      <name val="Bradley Hand ITC"/>
      <family val="4"/>
    </font>
    <font>
      <b/>
      <u/>
      <sz val="22"/>
      <name val="Times New Roman"/>
      <family val="1"/>
    </font>
    <font>
      <b/>
      <u/>
      <sz val="16"/>
      <name val="Times New Roman"/>
      <family val="1"/>
    </font>
    <font>
      <b/>
      <i/>
      <u/>
      <sz val="14"/>
      <name val="Times New Roman"/>
      <family val="1"/>
    </font>
    <font>
      <sz val="10"/>
      <color indexed="9"/>
      <name val="Arial"/>
      <family val="2"/>
    </font>
    <font>
      <sz val="10"/>
      <color indexed="8"/>
      <name val="Arial"/>
      <family val="2"/>
    </font>
    <font>
      <sz val="10"/>
      <color indexed="10"/>
      <name val="Arial"/>
      <family val="2"/>
    </font>
    <font>
      <i/>
      <sz val="10"/>
      <name val="Script"/>
      <family val="4"/>
      <charset val="255"/>
    </font>
    <font>
      <sz val="12"/>
      <name val="Univers"/>
      <family val="2"/>
    </font>
    <font>
      <sz val="9"/>
      <name val="Univers"/>
      <family val="2"/>
    </font>
    <font>
      <sz val="9"/>
      <name val="Helv"/>
    </font>
    <font>
      <sz val="11"/>
      <name val="Univers (W1)"/>
      <family val="2"/>
    </font>
    <font>
      <sz val="10"/>
      <name val="Univers"/>
      <family val="2"/>
    </font>
    <font>
      <sz val="8"/>
      <name val="Univers"/>
      <family val="2"/>
    </font>
    <font>
      <sz val="11"/>
      <name val="Univers"/>
      <family val="2"/>
    </font>
    <font>
      <vertAlign val="superscript"/>
      <sz val="8"/>
      <name val="Univers"/>
      <family val="2"/>
    </font>
    <font>
      <sz val="8"/>
      <name val="Helv"/>
    </font>
    <font>
      <b/>
      <sz val="12"/>
      <name val="Helv"/>
    </font>
    <font>
      <sz val="7"/>
      <name val="Univers (W1)"/>
    </font>
  </fonts>
  <fills count="4">
    <fill>
      <patternFill patternType="none"/>
    </fill>
    <fill>
      <patternFill patternType="gray125"/>
    </fill>
    <fill>
      <patternFill patternType="solid">
        <fgColor indexed="26"/>
        <bgColor indexed="64"/>
      </patternFill>
    </fill>
    <fill>
      <patternFill patternType="solid">
        <fgColor indexed="9"/>
        <bgColor indexed="64"/>
      </patternFill>
    </fill>
  </fills>
  <borders count="167">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right/>
      <top/>
      <bottom style="double">
        <color indexed="64"/>
      </bottom>
      <diagonal/>
    </border>
    <border>
      <left/>
      <right style="medium">
        <color indexed="64"/>
      </right>
      <top style="medium">
        <color indexed="64"/>
      </top>
      <bottom/>
      <diagonal/>
    </border>
    <border>
      <left/>
      <right/>
      <top/>
      <bottom style="thin">
        <color indexed="8"/>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right style="medium">
        <color indexed="64"/>
      </right>
      <top/>
      <bottom/>
      <diagonal/>
    </border>
    <border>
      <left style="thin">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hair">
        <color indexed="23"/>
      </right>
      <top/>
      <bottom/>
      <diagonal/>
    </border>
    <border>
      <left style="hair">
        <color indexed="23"/>
      </left>
      <right style="hair">
        <color indexed="23"/>
      </right>
      <top/>
      <bottom/>
      <diagonal/>
    </border>
    <border>
      <left style="medium">
        <color indexed="64"/>
      </left>
      <right style="hair">
        <color indexed="23"/>
      </right>
      <top/>
      <bottom style="hair">
        <color indexed="23"/>
      </bottom>
      <diagonal/>
    </border>
    <border>
      <left style="hair">
        <color indexed="23"/>
      </left>
      <right style="hair">
        <color indexed="23"/>
      </right>
      <top/>
      <bottom style="hair">
        <color indexed="23"/>
      </bottom>
      <diagonal/>
    </border>
    <border>
      <left style="hair">
        <color indexed="23"/>
      </left>
      <right/>
      <top/>
      <bottom/>
      <diagonal/>
    </border>
    <border>
      <left style="thin">
        <color indexed="64"/>
      </left>
      <right/>
      <top style="thin">
        <color indexed="64"/>
      </top>
      <bottom/>
      <diagonal/>
    </border>
    <border>
      <left/>
      <right/>
      <top style="thin">
        <color indexed="64"/>
      </top>
      <bottom/>
      <diagonal/>
    </border>
    <border>
      <left style="medium">
        <color indexed="64"/>
      </left>
      <right style="hair">
        <color indexed="23"/>
      </right>
      <top style="hair">
        <color indexed="23"/>
      </top>
      <bottom style="hair">
        <color indexed="23"/>
      </bottom>
      <diagonal/>
    </border>
    <border>
      <left style="hair">
        <color indexed="23"/>
      </left>
      <right style="hair">
        <color indexed="23"/>
      </right>
      <top style="hair">
        <color indexed="23"/>
      </top>
      <bottom style="hair">
        <color indexed="23"/>
      </bottom>
      <diagonal/>
    </border>
    <border>
      <left style="hair">
        <color indexed="23"/>
      </left>
      <right/>
      <top style="hair">
        <color indexed="55"/>
      </top>
      <bottom style="hair">
        <color indexed="55"/>
      </bottom>
      <diagonal/>
    </border>
    <border>
      <left/>
      <right style="thin">
        <color indexed="64"/>
      </right>
      <top style="hair">
        <color indexed="55"/>
      </top>
      <bottom style="hair">
        <color indexed="55"/>
      </bottom>
      <diagonal/>
    </border>
    <border>
      <left style="thin">
        <color indexed="64"/>
      </left>
      <right/>
      <top style="hair">
        <color indexed="23"/>
      </top>
      <bottom style="hair">
        <color indexed="23"/>
      </bottom>
      <diagonal/>
    </border>
    <border>
      <left/>
      <right/>
      <top style="hair">
        <color indexed="23"/>
      </top>
      <bottom style="hair">
        <color indexed="23"/>
      </bottom>
      <diagonal/>
    </border>
    <border>
      <left/>
      <right style="hair">
        <color indexed="23"/>
      </right>
      <top style="hair">
        <color indexed="23"/>
      </top>
      <bottom style="hair">
        <color indexed="23"/>
      </bottom>
      <diagonal/>
    </border>
    <border>
      <left style="hair">
        <color indexed="23"/>
      </left>
      <right style="medium">
        <color indexed="64"/>
      </right>
      <top style="hair">
        <color indexed="23"/>
      </top>
      <bottom style="hair">
        <color indexed="23"/>
      </bottom>
      <diagonal/>
    </border>
    <border>
      <left style="thin">
        <color indexed="64"/>
      </left>
      <right/>
      <top/>
      <bottom style="hair">
        <color indexed="23"/>
      </bottom>
      <diagonal/>
    </border>
    <border>
      <left/>
      <right/>
      <top/>
      <bottom style="hair">
        <color indexed="23"/>
      </bottom>
      <diagonal/>
    </border>
    <border>
      <left/>
      <right style="hair">
        <color indexed="23"/>
      </right>
      <top/>
      <bottom style="hair">
        <color indexed="23"/>
      </bottom>
      <diagonal/>
    </border>
    <border>
      <left/>
      <right style="medium">
        <color indexed="64"/>
      </right>
      <top style="hair">
        <color indexed="23"/>
      </top>
      <bottom style="hair">
        <color indexed="23"/>
      </bottom>
      <diagonal/>
    </border>
    <border>
      <left style="medium">
        <color indexed="64"/>
      </left>
      <right/>
      <top style="hair">
        <color indexed="23"/>
      </top>
      <bottom style="hair">
        <color indexed="23"/>
      </bottom>
      <diagonal/>
    </border>
    <border>
      <left style="thin">
        <color indexed="64"/>
      </left>
      <right/>
      <top style="hair">
        <color indexed="23"/>
      </top>
      <bottom style="thin">
        <color indexed="64"/>
      </bottom>
      <diagonal/>
    </border>
    <border>
      <left/>
      <right/>
      <top style="hair">
        <color indexed="23"/>
      </top>
      <bottom style="thin">
        <color indexed="64"/>
      </bottom>
      <diagonal/>
    </border>
    <border>
      <left style="hair">
        <color indexed="23"/>
      </left>
      <right style="hair">
        <color indexed="23"/>
      </right>
      <top style="hair">
        <color indexed="23"/>
      </top>
      <bottom style="thin">
        <color indexed="64"/>
      </bottom>
      <diagonal/>
    </border>
    <border>
      <left/>
      <right style="medium">
        <color indexed="64"/>
      </right>
      <top style="hair">
        <color indexed="23"/>
      </top>
      <bottom style="thin">
        <color indexed="64"/>
      </bottom>
      <diagonal/>
    </border>
    <border>
      <left style="thin">
        <color indexed="64"/>
      </left>
      <right/>
      <top style="thin">
        <color indexed="64"/>
      </top>
      <bottom style="hair">
        <color indexed="23"/>
      </bottom>
      <diagonal/>
    </border>
    <border>
      <left/>
      <right/>
      <top style="thin">
        <color indexed="64"/>
      </top>
      <bottom style="hair">
        <color indexed="23"/>
      </bottom>
      <diagonal/>
    </border>
    <border>
      <left/>
      <right style="medium">
        <color indexed="64"/>
      </right>
      <top style="thin">
        <color indexed="64"/>
      </top>
      <bottom style="hair">
        <color indexed="23"/>
      </bottom>
      <diagonal/>
    </border>
    <border>
      <left style="thin">
        <color indexed="64"/>
      </left>
      <right/>
      <top/>
      <bottom/>
      <diagonal/>
    </border>
    <border>
      <left/>
      <right style="medium">
        <color indexed="64"/>
      </right>
      <top/>
      <bottom style="hair">
        <color indexed="23"/>
      </bottom>
      <diagonal/>
    </border>
    <border>
      <left style="thin">
        <color indexed="64"/>
      </left>
      <right/>
      <top/>
      <bottom style="thin">
        <color indexed="64"/>
      </bottom>
      <diagonal/>
    </border>
    <border>
      <left style="hair">
        <color indexed="23"/>
      </left>
      <right/>
      <top style="hair">
        <color indexed="23"/>
      </top>
      <bottom style="hair">
        <color indexed="23"/>
      </bottom>
      <diagonal/>
    </border>
    <border>
      <left style="thin">
        <color indexed="64"/>
      </left>
      <right/>
      <top style="hair">
        <color indexed="23"/>
      </top>
      <bottom/>
      <diagonal/>
    </border>
    <border>
      <left/>
      <right/>
      <top style="hair">
        <color indexed="23"/>
      </top>
      <bottom/>
      <diagonal/>
    </border>
    <border>
      <left style="medium">
        <color indexed="64"/>
      </left>
      <right/>
      <top style="hair">
        <color indexed="55"/>
      </top>
      <bottom style="hair">
        <color indexed="55"/>
      </bottom>
      <diagonal/>
    </border>
    <border>
      <left/>
      <right/>
      <top style="hair">
        <color indexed="55"/>
      </top>
      <bottom style="hair">
        <color indexed="55"/>
      </bottom>
      <diagonal/>
    </border>
    <border>
      <left/>
      <right style="hair">
        <color indexed="55"/>
      </right>
      <top style="hair">
        <color indexed="55"/>
      </top>
      <bottom style="hair">
        <color indexed="55"/>
      </bottom>
      <diagonal/>
    </border>
    <border>
      <left style="hair">
        <color indexed="55"/>
      </left>
      <right/>
      <top style="hair">
        <color indexed="55"/>
      </top>
      <bottom style="hair">
        <color indexed="55"/>
      </bottom>
      <diagonal/>
    </border>
    <border>
      <left/>
      <right style="hair">
        <color indexed="55"/>
      </right>
      <top style="hair">
        <color indexed="55"/>
      </top>
      <bottom style="hair">
        <color indexed="23"/>
      </bottom>
      <diagonal/>
    </border>
    <border>
      <left style="medium">
        <color indexed="64"/>
      </left>
      <right style="hair">
        <color indexed="23"/>
      </right>
      <top/>
      <bottom/>
      <diagonal/>
    </border>
    <border>
      <left style="hair">
        <color indexed="23"/>
      </left>
      <right/>
      <top style="hair">
        <color indexed="23"/>
      </top>
      <bottom/>
      <diagonal/>
    </border>
    <border>
      <left/>
      <right style="hair">
        <color indexed="23"/>
      </right>
      <top style="hair">
        <color indexed="23"/>
      </top>
      <bottom/>
      <diagonal/>
    </border>
    <border>
      <left/>
      <right style="medium">
        <color indexed="64"/>
      </right>
      <top style="hair">
        <color indexed="23"/>
      </top>
      <bottom/>
      <diagonal/>
    </border>
    <border>
      <left style="medium">
        <color indexed="64"/>
      </left>
      <right style="hair">
        <color indexed="23"/>
      </right>
      <top/>
      <bottom style="thin">
        <color indexed="64"/>
      </bottom>
      <diagonal/>
    </border>
    <border>
      <left/>
      <right style="hair">
        <color indexed="23"/>
      </right>
      <top style="hair">
        <color indexed="23"/>
      </top>
      <bottom style="thin">
        <color indexed="64"/>
      </bottom>
      <diagonal/>
    </border>
    <border>
      <left style="hair">
        <color indexed="23"/>
      </left>
      <right/>
      <top style="hair">
        <color indexed="55"/>
      </top>
      <bottom style="thin">
        <color indexed="64"/>
      </bottom>
      <diagonal/>
    </border>
    <border>
      <left/>
      <right style="thin">
        <color indexed="64"/>
      </right>
      <top style="hair">
        <color indexed="55"/>
      </top>
      <bottom style="thin">
        <color indexed="64"/>
      </bottom>
      <diagonal/>
    </border>
    <border>
      <left style="medium">
        <color indexed="64"/>
      </left>
      <right/>
      <top style="thin">
        <color indexed="64"/>
      </top>
      <bottom/>
      <diagonal/>
    </border>
    <border>
      <left style="hair">
        <color indexed="23"/>
      </left>
      <right/>
      <top/>
      <bottom style="hair">
        <color indexed="23"/>
      </bottom>
      <diagonal/>
    </border>
    <border>
      <left style="medium">
        <color indexed="64"/>
      </left>
      <right/>
      <top style="hair">
        <color indexed="64"/>
      </top>
      <bottom style="thin">
        <color indexed="64"/>
      </bottom>
      <diagonal/>
    </border>
    <border>
      <left/>
      <right/>
      <top style="hair">
        <color indexed="64"/>
      </top>
      <bottom style="thin">
        <color indexed="64"/>
      </bottom>
      <diagonal/>
    </border>
    <border>
      <left/>
      <right style="hair">
        <color indexed="23"/>
      </right>
      <top style="hair">
        <color indexed="64"/>
      </top>
      <bottom style="thin">
        <color indexed="64"/>
      </bottom>
      <diagonal/>
    </border>
    <border>
      <left style="hair">
        <color indexed="23"/>
      </left>
      <right/>
      <top style="hair">
        <color indexed="23"/>
      </top>
      <bottom style="thin">
        <color indexed="64"/>
      </bottom>
      <diagonal/>
    </border>
    <border>
      <left/>
      <right style="thin">
        <color indexed="64"/>
      </right>
      <top/>
      <bottom/>
      <diagonal/>
    </border>
    <border>
      <left style="thin">
        <color indexed="64"/>
      </left>
      <right/>
      <top/>
      <bottom style="hair">
        <color indexed="55"/>
      </bottom>
      <diagonal/>
    </border>
    <border>
      <left/>
      <right style="hair">
        <color indexed="23"/>
      </right>
      <top/>
      <bottom style="hair">
        <color indexed="55"/>
      </bottom>
      <diagonal/>
    </border>
    <border>
      <left style="hair">
        <color indexed="23"/>
      </left>
      <right style="hair">
        <color indexed="23"/>
      </right>
      <top style="hair">
        <color indexed="23"/>
      </top>
      <bottom style="hair">
        <color indexed="55"/>
      </bottom>
      <diagonal/>
    </border>
    <border>
      <left style="hair">
        <color indexed="23"/>
      </left>
      <right style="medium">
        <color indexed="64"/>
      </right>
      <top style="hair">
        <color indexed="23"/>
      </top>
      <bottom style="hair">
        <color indexed="55"/>
      </bottom>
      <diagonal/>
    </border>
    <border>
      <left style="hair">
        <color indexed="23"/>
      </left>
      <right style="medium">
        <color indexed="64"/>
      </right>
      <top/>
      <bottom style="hair">
        <color indexed="23"/>
      </bottom>
      <diagonal/>
    </border>
    <border>
      <left style="hair">
        <color indexed="23"/>
      </left>
      <right style="medium">
        <color indexed="64"/>
      </right>
      <top style="hair">
        <color indexed="23"/>
      </top>
      <bottom style="thin">
        <color indexed="64"/>
      </bottom>
      <diagonal/>
    </border>
    <border>
      <left style="medium">
        <color indexed="64"/>
      </left>
      <right style="hair">
        <color indexed="23"/>
      </right>
      <top style="medium">
        <color indexed="64"/>
      </top>
      <bottom style="hair">
        <color indexed="64"/>
      </bottom>
      <diagonal/>
    </border>
    <border>
      <left style="hair">
        <color indexed="23"/>
      </left>
      <right/>
      <top style="medium">
        <color indexed="64"/>
      </top>
      <bottom style="hair">
        <color indexed="23"/>
      </bottom>
      <diagonal/>
    </border>
    <border>
      <left/>
      <right style="hair">
        <color indexed="23"/>
      </right>
      <top style="medium">
        <color indexed="64"/>
      </top>
      <bottom style="hair">
        <color indexed="23"/>
      </bottom>
      <diagonal/>
    </border>
    <border>
      <left/>
      <right/>
      <top style="medium">
        <color indexed="64"/>
      </top>
      <bottom style="hair">
        <color indexed="23"/>
      </bottom>
      <diagonal/>
    </border>
    <border>
      <left style="hair">
        <color indexed="64"/>
      </left>
      <right style="medium">
        <color indexed="64"/>
      </right>
      <top style="medium">
        <color indexed="64"/>
      </top>
      <bottom style="hair">
        <color indexed="23"/>
      </bottom>
      <diagonal/>
    </border>
    <border>
      <left style="medium">
        <color indexed="64"/>
      </left>
      <right style="hair">
        <color indexed="64"/>
      </right>
      <top/>
      <bottom style="medium">
        <color indexed="64"/>
      </bottom>
      <diagonal/>
    </border>
    <border>
      <left style="hair">
        <color indexed="64"/>
      </left>
      <right/>
      <top style="hair">
        <color indexed="23"/>
      </top>
      <bottom style="medium">
        <color indexed="64"/>
      </bottom>
      <diagonal/>
    </border>
    <border>
      <left/>
      <right style="hair">
        <color indexed="23"/>
      </right>
      <top style="hair">
        <color indexed="23"/>
      </top>
      <bottom style="medium">
        <color indexed="64"/>
      </bottom>
      <diagonal/>
    </border>
    <border>
      <left style="hair">
        <color indexed="23"/>
      </left>
      <right style="medium">
        <color indexed="64"/>
      </right>
      <top/>
      <bottom style="medium">
        <color indexed="64"/>
      </bottom>
      <diagonal/>
    </border>
    <border>
      <left/>
      <right/>
      <top style="hair">
        <color indexed="23"/>
      </top>
      <bottom style="medium">
        <color indexed="64"/>
      </bottom>
      <diagonal/>
    </border>
    <border>
      <left/>
      <right style="medium">
        <color indexed="64"/>
      </right>
      <top style="hair">
        <color indexed="23"/>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top style="medium">
        <color indexed="64"/>
      </top>
      <bottom style="double">
        <color indexed="8"/>
      </bottom>
      <diagonal/>
    </border>
    <border>
      <left/>
      <right/>
      <top style="medium">
        <color indexed="64"/>
      </top>
      <bottom style="double">
        <color indexed="8"/>
      </bottom>
      <diagonal/>
    </border>
    <border>
      <left/>
      <right style="medium">
        <color indexed="64"/>
      </right>
      <top style="medium">
        <color indexed="64"/>
      </top>
      <bottom style="double">
        <color indexed="8"/>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bottom style="dotted">
        <color indexed="64"/>
      </bottom>
      <diagonal/>
    </border>
    <border>
      <left/>
      <right/>
      <top/>
      <bottom style="dotted">
        <color indexed="64"/>
      </bottom>
      <diagonal/>
    </border>
    <border>
      <left/>
      <right style="medium">
        <color indexed="64"/>
      </right>
      <top/>
      <bottom style="dotted">
        <color indexed="64"/>
      </bottom>
      <diagonal/>
    </border>
    <border>
      <left style="medium">
        <color indexed="64"/>
      </left>
      <right/>
      <top style="dotted">
        <color indexed="64"/>
      </top>
      <bottom style="dashed">
        <color indexed="64"/>
      </bottom>
      <diagonal/>
    </border>
    <border>
      <left/>
      <right/>
      <top style="dotted">
        <color indexed="64"/>
      </top>
      <bottom style="dashed">
        <color indexed="64"/>
      </bottom>
      <diagonal/>
    </border>
    <border>
      <left/>
      <right style="medium">
        <color indexed="64"/>
      </right>
      <top style="dotted">
        <color indexed="64"/>
      </top>
      <bottom style="dashed">
        <color indexed="64"/>
      </bottom>
      <diagonal/>
    </border>
    <border>
      <left style="medium">
        <color indexed="64"/>
      </left>
      <right/>
      <top style="dashed">
        <color indexed="64"/>
      </top>
      <bottom style="medium">
        <color indexed="64"/>
      </bottom>
      <diagonal/>
    </border>
    <border>
      <left/>
      <right/>
      <top style="dashed">
        <color indexed="64"/>
      </top>
      <bottom style="medium">
        <color indexed="64"/>
      </bottom>
      <diagonal/>
    </border>
    <border>
      <left/>
      <right style="medium">
        <color indexed="64"/>
      </right>
      <top style="dashed">
        <color indexed="64"/>
      </top>
      <bottom style="medium">
        <color indexed="64"/>
      </bottom>
      <diagonal/>
    </border>
    <border>
      <left style="medium">
        <color indexed="64"/>
      </left>
      <right style="medium">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double">
        <color indexed="64"/>
      </top>
      <bottom/>
      <diagonal/>
    </border>
    <border>
      <left/>
      <right/>
      <top style="double">
        <color indexed="64"/>
      </top>
      <bottom/>
      <diagonal/>
    </border>
    <border>
      <left/>
      <right style="medium">
        <color indexed="64"/>
      </right>
      <top style="double">
        <color indexed="64"/>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diagonal/>
    </border>
  </borders>
  <cellStyleXfs count="15">
    <xf numFmtId="0" fontId="0" fillId="0" borderId="0"/>
    <xf numFmtId="164" fontId="1" fillId="0" borderId="0"/>
    <xf numFmtId="0" fontId="10" fillId="0" borderId="0"/>
    <xf numFmtId="164" fontId="1" fillId="0" borderId="0"/>
    <xf numFmtId="0" fontId="11" fillId="0" borderId="0"/>
    <xf numFmtId="0" fontId="10" fillId="0" borderId="0"/>
    <xf numFmtId="164" fontId="71" fillId="0" borderId="0"/>
    <xf numFmtId="0" fontId="10" fillId="0" borderId="0"/>
    <xf numFmtId="0" fontId="1" fillId="0" borderId="0"/>
    <xf numFmtId="179" fontId="71" fillId="0" borderId="0"/>
    <xf numFmtId="0" fontId="71" fillId="0" borderId="0"/>
    <xf numFmtId="0" fontId="71" fillId="0" borderId="0"/>
    <xf numFmtId="0" fontId="10" fillId="0" borderId="0"/>
    <xf numFmtId="0" fontId="10" fillId="0" borderId="0"/>
    <xf numFmtId="0" fontId="10" fillId="0" borderId="0"/>
  </cellStyleXfs>
  <cellXfs count="1034">
    <xf numFmtId="0" fontId="0" fillId="0" borderId="0" xfId="0"/>
    <xf numFmtId="164" fontId="2" fillId="0" borderId="1" xfId="1" applyFont="1" applyBorder="1" applyAlignment="1">
      <alignment horizontal="centerContinuous"/>
    </xf>
    <xf numFmtId="164" fontId="2" fillId="0" borderId="2" xfId="1" applyFont="1" applyBorder="1" applyAlignment="1">
      <alignment horizontal="centerContinuous"/>
    </xf>
    <xf numFmtId="164" fontId="3" fillId="0" borderId="3" xfId="1" applyFont="1" applyBorder="1" applyAlignment="1">
      <alignment horizontal="left"/>
    </xf>
    <xf numFmtId="164" fontId="4" fillId="0" borderId="4" xfId="1" applyFont="1" applyBorder="1"/>
    <xf numFmtId="164" fontId="3" fillId="0" borderId="5" xfId="1" applyFont="1" applyBorder="1" applyAlignment="1">
      <alignment horizontal="centerContinuous"/>
    </xf>
    <xf numFmtId="164" fontId="4" fillId="0" borderId="6" xfId="1" applyFont="1" applyBorder="1" applyAlignment="1">
      <alignment horizontal="centerContinuous"/>
    </xf>
    <xf numFmtId="164" fontId="1" fillId="0" borderId="0" xfId="1"/>
    <xf numFmtId="164" fontId="2" fillId="0" borderId="7" xfId="1" applyFont="1" applyBorder="1" applyAlignment="1">
      <alignment horizontal="centerContinuous"/>
    </xf>
    <xf numFmtId="164" fontId="2" fillId="0" borderId="0" xfId="1" applyFont="1" applyAlignment="1">
      <alignment horizontal="centerContinuous"/>
    </xf>
    <xf numFmtId="164" fontId="3" fillId="0" borderId="8" xfId="1" applyFont="1" applyBorder="1" applyAlignment="1">
      <alignment horizontal="left"/>
    </xf>
    <xf numFmtId="164" fontId="4" fillId="0" borderId="9" xfId="1" applyFont="1" applyBorder="1"/>
    <xf numFmtId="164" fontId="3" fillId="0" borderId="10" xfId="1" applyFont="1" applyBorder="1" applyAlignment="1">
      <alignment horizontal="centerContinuous"/>
    </xf>
    <xf numFmtId="164" fontId="4" fillId="0" borderId="11" xfId="1" applyFont="1" applyBorder="1" applyAlignment="1">
      <alignment horizontal="centerContinuous"/>
    </xf>
    <xf numFmtId="164" fontId="4" fillId="0" borderId="7" xfId="1" applyFont="1" applyBorder="1" applyAlignment="1">
      <alignment horizontal="centerContinuous"/>
    </xf>
    <xf numFmtId="164" fontId="4" fillId="0" borderId="0" xfId="1" applyFont="1" applyAlignment="1">
      <alignment horizontal="centerContinuous"/>
    </xf>
    <xf numFmtId="0" fontId="3" fillId="0" borderId="10" xfId="1" quotePrefix="1" applyNumberFormat="1" applyFont="1" applyBorder="1" applyAlignment="1">
      <alignment horizontal="centerContinuous"/>
    </xf>
    <xf numFmtId="164" fontId="5" fillId="0" borderId="7" xfId="1" applyFont="1" applyBorder="1" applyAlignment="1">
      <alignment horizontal="centerContinuous"/>
    </xf>
    <xf numFmtId="164" fontId="6" fillId="0" borderId="7" xfId="1" applyFont="1" applyBorder="1" applyAlignment="1">
      <alignment horizontal="centerContinuous"/>
    </xf>
    <xf numFmtId="164" fontId="7" fillId="0" borderId="12" xfId="1" applyFont="1" applyBorder="1" applyAlignment="1">
      <alignment horizontal="centerContinuous"/>
    </xf>
    <xf numFmtId="164" fontId="4" fillId="0" borderId="13" xfId="1" applyFont="1" applyBorder="1" applyAlignment="1">
      <alignment horizontal="centerContinuous"/>
    </xf>
    <xf numFmtId="164" fontId="3" fillId="0" borderId="12" xfId="1" applyFont="1" applyBorder="1" applyAlignment="1">
      <alignment horizontal="left"/>
    </xf>
    <xf numFmtId="164" fontId="4" fillId="0" borderId="14" xfId="1" applyFont="1" applyBorder="1"/>
    <xf numFmtId="164" fontId="8" fillId="0" borderId="13" xfId="1" applyFont="1" applyBorder="1" applyAlignment="1">
      <alignment horizontal="centerContinuous"/>
    </xf>
    <xf numFmtId="164" fontId="4" fillId="0" borderId="15" xfId="1" applyFont="1" applyBorder="1" applyAlignment="1">
      <alignment horizontal="centerContinuous"/>
    </xf>
    <xf numFmtId="164" fontId="4" fillId="0" borderId="0" xfId="1" applyFont="1" applyAlignment="1">
      <alignment horizontal="right"/>
    </xf>
    <xf numFmtId="164" fontId="4" fillId="0" borderId="0" xfId="1" applyFont="1" applyAlignment="1">
      <alignment horizontal="left"/>
    </xf>
    <xf numFmtId="164" fontId="4" fillId="0" borderId="0" xfId="1" applyFont="1"/>
    <xf numFmtId="164" fontId="9" fillId="0" borderId="0" xfId="1" applyFont="1" applyAlignment="1">
      <alignment horizontal="right"/>
    </xf>
    <xf numFmtId="164" fontId="9" fillId="0" borderId="0" xfId="1" quotePrefix="1" applyFont="1" applyAlignment="1">
      <alignment horizontal="left"/>
    </xf>
    <xf numFmtId="164" fontId="9" fillId="0" borderId="0" xfId="2" applyNumberFormat="1" applyFont="1" applyAlignment="1">
      <alignment horizontal="centerContinuous"/>
    </xf>
    <xf numFmtId="164" fontId="9" fillId="0" borderId="0" xfId="2" applyNumberFormat="1" applyFont="1" applyAlignment="1">
      <alignment horizontal="right"/>
    </xf>
    <xf numFmtId="164" fontId="9" fillId="0" borderId="0" xfId="2" applyNumberFormat="1" applyFont="1" applyAlignment="1">
      <alignment horizontal="left"/>
    </xf>
    <xf numFmtId="164" fontId="4" fillId="0" borderId="0" xfId="2" applyNumberFormat="1" applyFont="1"/>
    <xf numFmtId="164" fontId="4" fillId="0" borderId="0" xfId="2" applyNumberFormat="1" applyFont="1" applyAlignment="1">
      <alignment horizontal="centerContinuous"/>
    </xf>
    <xf numFmtId="165" fontId="9" fillId="0" borderId="0" xfId="2" applyNumberFormat="1" applyFont="1" applyAlignment="1">
      <alignment horizontal="right"/>
    </xf>
    <xf numFmtId="164" fontId="4" fillId="0" borderId="0" xfId="2" applyNumberFormat="1" applyFont="1" applyAlignment="1">
      <alignment horizontal="left"/>
    </xf>
    <xf numFmtId="166" fontId="4" fillId="0" borderId="0" xfId="2" applyNumberFormat="1" applyFont="1" applyAlignment="1">
      <alignment horizontal="left"/>
    </xf>
    <xf numFmtId="164" fontId="4" fillId="0" borderId="0" xfId="2" applyNumberFormat="1" applyFont="1" applyAlignment="1">
      <alignment horizontal="right"/>
    </xf>
    <xf numFmtId="164" fontId="9" fillId="0" borderId="0" xfId="2" applyNumberFormat="1" applyFont="1" applyAlignment="1">
      <alignment horizontal="center"/>
    </xf>
    <xf numFmtId="164" fontId="9" fillId="0" borderId="0" xfId="1" applyFont="1" applyAlignment="1">
      <alignment horizontal="center"/>
    </xf>
    <xf numFmtId="164" fontId="9" fillId="0" borderId="0" xfId="2" quotePrefix="1" applyNumberFormat="1" applyFont="1" applyAlignment="1">
      <alignment horizontal="left"/>
    </xf>
    <xf numFmtId="164" fontId="11" fillId="0" borderId="0" xfId="2" applyNumberFormat="1" applyFont="1" applyAlignment="1">
      <alignment horizontal="right"/>
    </xf>
    <xf numFmtId="165" fontId="6" fillId="0" borderId="0" xfId="2" applyNumberFormat="1" applyFont="1" applyAlignment="1">
      <alignment horizontal="center"/>
    </xf>
    <xf numFmtId="164" fontId="9" fillId="0" borderId="0" xfId="2" applyNumberFormat="1" applyFont="1" applyAlignment="1">
      <alignment horizontal="right" vertical="center"/>
    </xf>
    <xf numFmtId="0" fontId="9" fillId="0" borderId="0" xfId="2" applyFont="1" applyAlignment="1">
      <alignment horizontal="center"/>
    </xf>
    <xf numFmtId="167" fontId="9" fillId="0" borderId="0" xfId="2" applyNumberFormat="1" applyFont="1" applyAlignment="1">
      <alignment horizontal="center"/>
    </xf>
    <xf numFmtId="164" fontId="9" fillId="0" borderId="0" xfId="2" quotePrefix="1" applyNumberFormat="1" applyFont="1" applyAlignment="1">
      <alignment horizontal="center"/>
    </xf>
    <xf numFmtId="164" fontId="13" fillId="0" borderId="0" xfId="2" applyNumberFormat="1" applyFont="1" applyAlignment="1">
      <alignment horizontal="left"/>
    </xf>
    <xf numFmtId="164" fontId="13" fillId="0" borderId="0" xfId="2" applyNumberFormat="1" applyFont="1"/>
    <xf numFmtId="164" fontId="13" fillId="0" borderId="0" xfId="2" applyNumberFormat="1" applyFont="1" applyAlignment="1">
      <alignment horizontal="right"/>
    </xf>
    <xf numFmtId="168" fontId="13" fillId="0" borderId="0" xfId="2" applyNumberFormat="1" applyFont="1" applyAlignment="1">
      <alignment horizontal="right"/>
    </xf>
    <xf numFmtId="167" fontId="9" fillId="0" borderId="0" xfId="2" applyNumberFormat="1" applyFont="1" applyAlignment="1">
      <alignment horizontal="left"/>
    </xf>
    <xf numFmtId="164" fontId="9" fillId="0" borderId="0" xfId="2" applyNumberFormat="1" applyFont="1"/>
    <xf numFmtId="164" fontId="9" fillId="0" borderId="13" xfId="2" applyNumberFormat="1" applyFont="1" applyBorder="1" applyAlignment="1">
      <alignment horizontal="center"/>
    </xf>
    <xf numFmtId="2" fontId="13" fillId="0" borderId="0" xfId="2" quotePrefix="1" applyNumberFormat="1" applyFont="1" applyAlignment="1">
      <alignment horizontal="left"/>
    </xf>
    <xf numFmtId="164" fontId="3" fillId="0" borderId="0" xfId="2" applyNumberFormat="1" applyFont="1"/>
    <xf numFmtId="164" fontId="3" fillId="0" borderId="0" xfId="2" applyNumberFormat="1" applyFont="1" applyAlignment="1">
      <alignment horizontal="right"/>
    </xf>
    <xf numFmtId="165" fontId="9" fillId="0" borderId="0" xfId="2" applyNumberFormat="1" applyFont="1" applyAlignment="1">
      <alignment horizontal="center"/>
    </xf>
    <xf numFmtId="169" fontId="13" fillId="0" borderId="0" xfId="2" applyNumberFormat="1" applyFont="1" applyAlignment="1">
      <alignment horizontal="left"/>
    </xf>
    <xf numFmtId="164" fontId="13" fillId="0" borderId="0" xfId="2" quotePrefix="1" applyNumberFormat="1" applyFont="1" applyAlignment="1">
      <alignment horizontal="right"/>
    </xf>
    <xf numFmtId="164" fontId="13" fillId="0" borderId="0" xfId="2" quotePrefix="1" applyNumberFormat="1" applyFont="1" applyAlignment="1">
      <alignment horizontal="left"/>
    </xf>
    <xf numFmtId="1" fontId="13" fillId="0" borderId="0" xfId="2" quotePrefix="1" applyNumberFormat="1" applyFont="1" applyAlignment="1">
      <alignment horizontal="left"/>
    </xf>
    <xf numFmtId="164" fontId="13" fillId="0" borderId="0" xfId="2" applyNumberFormat="1" applyFont="1" applyAlignment="1">
      <alignment horizontal="centerContinuous"/>
    </xf>
    <xf numFmtId="164" fontId="14" fillId="0" borderId="0" xfId="2" applyNumberFormat="1" applyFont="1" applyAlignment="1">
      <alignment horizontal="centerContinuous"/>
    </xf>
    <xf numFmtId="164" fontId="9" fillId="0" borderId="0" xfId="2" quotePrefix="1" applyNumberFormat="1" applyFont="1" applyAlignment="1">
      <alignment horizontal="right"/>
    </xf>
    <xf numFmtId="164" fontId="13" fillId="0" borderId="0" xfId="2" applyNumberFormat="1" applyFont="1" applyAlignment="1">
      <alignment horizontal="center"/>
    </xf>
    <xf numFmtId="165" fontId="13" fillId="0" borderId="0" xfId="2" applyNumberFormat="1" applyFont="1" applyAlignment="1">
      <alignment horizontal="center"/>
    </xf>
    <xf numFmtId="1" fontId="13" fillId="0" borderId="0" xfId="2" applyNumberFormat="1" applyFont="1" applyAlignment="1">
      <alignment horizontal="center"/>
    </xf>
    <xf numFmtId="39" fontId="13" fillId="0" borderId="0" xfId="2" applyNumberFormat="1" applyFont="1" applyAlignment="1">
      <alignment horizontal="center"/>
    </xf>
    <xf numFmtId="164" fontId="15" fillId="0" borderId="0" xfId="2" applyNumberFormat="1" applyFont="1" applyAlignment="1">
      <alignment horizontal="centerContinuous"/>
    </xf>
    <xf numFmtId="1" fontId="9" fillId="0" borderId="0" xfId="2" applyNumberFormat="1" applyFont="1" applyAlignment="1">
      <alignment horizontal="left"/>
    </xf>
    <xf numFmtId="164" fontId="16" fillId="0" borderId="0" xfId="2" applyNumberFormat="1" applyFont="1"/>
    <xf numFmtId="39" fontId="9" fillId="0" borderId="0" xfId="2" applyNumberFormat="1" applyFont="1" applyAlignment="1">
      <alignment horizontal="center"/>
    </xf>
    <xf numFmtId="1" fontId="9" fillId="0" borderId="0" xfId="2" applyNumberFormat="1" applyFont="1" applyAlignment="1">
      <alignment horizontal="center"/>
    </xf>
    <xf numFmtId="164" fontId="17" fillId="0" borderId="0" xfId="2" applyNumberFormat="1" applyFont="1" applyAlignment="1">
      <alignment horizontal="center"/>
    </xf>
    <xf numFmtId="164" fontId="10" fillId="0" borderId="0" xfId="2" applyNumberFormat="1" applyAlignment="1">
      <alignment horizontal="center" vertical="center"/>
    </xf>
    <xf numFmtId="9" fontId="10" fillId="0" borderId="0" xfId="2" quotePrefix="1" applyNumberFormat="1" applyAlignment="1">
      <alignment horizontal="center"/>
    </xf>
    <xf numFmtId="9" fontId="13" fillId="0" borderId="0" xfId="2" applyNumberFormat="1" applyFont="1" applyAlignment="1">
      <alignment horizontal="center"/>
    </xf>
    <xf numFmtId="164" fontId="18" fillId="0" borderId="0" xfId="1" applyFont="1"/>
    <xf numFmtId="164" fontId="6" fillId="0" borderId="0" xfId="1" applyFont="1"/>
    <xf numFmtId="164" fontId="6" fillId="0" borderId="0" xfId="1" applyFont="1" applyAlignment="1">
      <alignment horizontal="center"/>
    </xf>
    <xf numFmtId="0" fontId="10" fillId="0" borderId="0" xfId="2"/>
    <xf numFmtId="164" fontId="21" fillId="0" borderId="0" xfId="3" applyFont="1"/>
    <xf numFmtId="164" fontId="16" fillId="0" borderId="0" xfId="3" applyFont="1"/>
    <xf numFmtId="164" fontId="4" fillId="0" borderId="0" xfId="3" applyFont="1"/>
    <xf numFmtId="164" fontId="4" fillId="0" borderId="0" xfId="3" applyFont="1" applyAlignment="1">
      <alignment horizontal="centerContinuous"/>
    </xf>
    <xf numFmtId="171" fontId="16" fillId="0" borderId="0" xfId="3" applyNumberFormat="1" applyFont="1" applyAlignment="1">
      <alignment horizontal="center"/>
    </xf>
    <xf numFmtId="172" fontId="4" fillId="0" borderId="0" xfId="3" applyNumberFormat="1" applyFont="1"/>
    <xf numFmtId="2" fontId="4" fillId="0" borderId="0" xfId="3" applyNumberFormat="1" applyFont="1"/>
    <xf numFmtId="168" fontId="9" fillId="0" borderId="0" xfId="1" applyNumberFormat="1" applyFont="1" applyAlignment="1">
      <alignment horizontal="center"/>
    </xf>
    <xf numFmtId="164" fontId="22" fillId="0" borderId="0" xfId="3" applyFont="1" applyAlignment="1">
      <alignment horizontal="left"/>
    </xf>
    <xf numFmtId="1" fontId="1" fillId="0" borderId="0" xfId="3" applyNumberFormat="1" applyAlignment="1">
      <alignment horizontal="center"/>
    </xf>
    <xf numFmtId="1" fontId="7" fillId="2" borderId="10" xfId="3" quotePrefix="1" applyNumberFormat="1" applyFont="1" applyFill="1" applyBorder="1" applyAlignment="1">
      <alignment horizontal="center"/>
    </xf>
    <xf numFmtId="164" fontId="22" fillId="0" borderId="0" xfId="3" applyFont="1" applyAlignment="1">
      <alignment horizontal="right"/>
    </xf>
    <xf numFmtId="173" fontId="9" fillId="0" borderId="0" xfId="1" applyNumberFormat="1" applyFont="1" applyAlignment="1">
      <alignment horizontal="center"/>
    </xf>
    <xf numFmtId="173" fontId="4" fillId="0" borderId="0" xfId="1" applyNumberFormat="1" applyFont="1" applyAlignment="1">
      <alignment horizontal="center"/>
    </xf>
    <xf numFmtId="49" fontId="4" fillId="0" borderId="0" xfId="1" applyNumberFormat="1" applyFont="1"/>
    <xf numFmtId="2" fontId="4" fillId="0" borderId="0" xfId="1" applyNumberFormat="1" applyFont="1"/>
    <xf numFmtId="2" fontId="13" fillId="0" borderId="0" xfId="1" applyNumberFormat="1" applyFont="1" applyAlignment="1">
      <alignment horizontal="centerContinuous"/>
    </xf>
    <xf numFmtId="2" fontId="4" fillId="0" borderId="0" xfId="1" applyNumberFormat="1" applyFont="1" applyAlignment="1">
      <alignment horizontal="centerContinuous"/>
    </xf>
    <xf numFmtId="164" fontId="13" fillId="0" borderId="0" xfId="1" applyFont="1"/>
    <xf numFmtId="49" fontId="4" fillId="0" borderId="0" xfId="1" applyNumberFormat="1" applyFont="1" applyAlignment="1">
      <alignment horizontal="center"/>
    </xf>
    <xf numFmtId="164" fontId="4" fillId="0" borderId="0" xfId="1" applyFont="1" applyAlignment="1">
      <alignment horizontal="center"/>
    </xf>
    <xf numFmtId="164" fontId="13" fillId="0" borderId="0" xfId="1" applyFont="1" applyAlignment="1">
      <alignment horizontal="center"/>
    </xf>
    <xf numFmtId="0" fontId="24" fillId="0" borderId="0" xfId="2" applyFont="1" applyAlignment="1">
      <alignment horizontal="centerContinuous"/>
    </xf>
    <xf numFmtId="0" fontId="10" fillId="0" borderId="0" xfId="2" applyAlignment="1">
      <alignment horizontal="centerContinuous"/>
    </xf>
    <xf numFmtId="0" fontId="25" fillId="0" borderId="0" xfId="2" applyFont="1" applyAlignment="1">
      <alignment horizontal="centerContinuous"/>
    </xf>
    <xf numFmtId="0" fontId="26" fillId="0" borderId="0" xfId="2" applyFont="1" applyAlignment="1">
      <alignment horizontal="center"/>
    </xf>
    <xf numFmtId="0" fontId="25" fillId="0" borderId="0" xfId="2" applyFont="1" applyAlignment="1">
      <alignment horizontal="right"/>
    </xf>
    <xf numFmtId="0" fontId="25" fillId="0" borderId="0" xfId="2" applyFont="1"/>
    <xf numFmtId="0" fontId="27" fillId="0" borderId="0" xfId="2" applyFont="1"/>
    <xf numFmtId="14" fontId="25" fillId="0" borderId="0" xfId="2" applyNumberFormat="1" applyFont="1" applyAlignment="1">
      <alignment horizontal="center"/>
    </xf>
    <xf numFmtId="19" fontId="25" fillId="0" borderId="0" xfId="2" applyNumberFormat="1" applyFont="1"/>
    <xf numFmtId="0" fontId="28" fillId="0" borderId="19" xfId="2" applyFont="1" applyBorder="1" applyAlignment="1">
      <alignment horizontal="center"/>
    </xf>
    <xf numFmtId="0" fontId="27" fillId="0" borderId="20" xfId="2" applyFont="1" applyBorder="1" applyAlignment="1">
      <alignment horizontal="center"/>
    </xf>
    <xf numFmtId="2" fontId="27" fillId="0" borderId="20" xfId="2" applyNumberFormat="1" applyFont="1" applyBorder="1" applyAlignment="1">
      <alignment horizontal="center"/>
    </xf>
    <xf numFmtId="1" fontId="27" fillId="0" borderId="20" xfId="2" applyNumberFormat="1" applyFont="1" applyBorder="1" applyAlignment="1">
      <alignment horizontal="center"/>
    </xf>
    <xf numFmtId="165" fontId="27" fillId="0" borderId="20" xfId="2" applyNumberFormat="1" applyFont="1" applyBorder="1" applyAlignment="1">
      <alignment horizontal="center"/>
    </xf>
    <xf numFmtId="174" fontId="27" fillId="0" borderId="20" xfId="2" applyNumberFormat="1" applyFont="1" applyBorder="1" applyAlignment="1">
      <alignment horizontal="center"/>
    </xf>
    <xf numFmtId="0" fontId="28" fillId="0" borderId="3" xfId="2" applyFont="1" applyBorder="1"/>
    <xf numFmtId="0" fontId="25" fillId="0" borderId="5" xfId="2" applyFont="1" applyBorder="1" applyAlignment="1">
      <alignment horizontal="center"/>
    </xf>
    <xf numFmtId="0" fontId="25" fillId="0" borderId="6" xfId="2" applyFont="1" applyBorder="1" applyAlignment="1">
      <alignment horizontal="center"/>
    </xf>
    <xf numFmtId="0" fontId="28" fillId="0" borderId="3" xfId="2" applyFont="1" applyBorder="1" applyAlignment="1">
      <alignment horizontal="left"/>
    </xf>
    <xf numFmtId="0" fontId="27" fillId="0" borderId="5" xfId="2" applyFont="1" applyBorder="1"/>
    <xf numFmtId="0" fontId="27" fillId="0" borderId="2" xfId="2" applyFont="1" applyBorder="1"/>
    <xf numFmtId="0" fontId="27" fillId="0" borderId="17" xfId="2" applyFont="1" applyBorder="1"/>
    <xf numFmtId="0" fontId="28" fillId="0" borderId="0" xfId="2" applyFont="1"/>
    <xf numFmtId="0" fontId="27" fillId="0" borderId="0" xfId="2" applyFont="1" applyAlignment="1">
      <alignment horizontal="centerContinuous"/>
    </xf>
    <xf numFmtId="0" fontId="27" fillId="0" borderId="6" xfId="2" applyFont="1" applyBorder="1" applyAlignment="1">
      <alignment horizontal="centerContinuous"/>
    </xf>
    <xf numFmtId="0" fontId="10" fillId="0" borderId="7" xfId="2" applyBorder="1"/>
    <xf numFmtId="0" fontId="25" fillId="0" borderId="21" xfId="2" applyFont="1" applyBorder="1" applyAlignment="1">
      <alignment horizontal="center"/>
    </xf>
    <xf numFmtId="0" fontId="25" fillId="0" borderId="22" xfId="2" applyFont="1" applyBorder="1" applyAlignment="1">
      <alignment horizontal="center"/>
    </xf>
    <xf numFmtId="0" fontId="25" fillId="0" borderId="23" xfId="2" applyFont="1" applyBorder="1" applyAlignment="1">
      <alignment horizontal="right"/>
    </xf>
    <xf numFmtId="174" fontId="27" fillId="0" borderId="21" xfId="2" applyNumberFormat="1" applyFont="1" applyBorder="1" applyAlignment="1">
      <alignment horizontal="center"/>
    </xf>
    <xf numFmtId="0" fontId="25" fillId="0" borderId="24" xfId="2" applyFont="1" applyBorder="1" applyAlignment="1">
      <alignment horizontal="center"/>
    </xf>
    <xf numFmtId="0" fontId="25" fillId="0" borderId="23" xfId="2" applyFont="1" applyBorder="1"/>
    <xf numFmtId="2" fontId="27" fillId="0" borderId="21" xfId="2" applyNumberFormat="1" applyFont="1" applyBorder="1" applyAlignment="1">
      <alignment horizontal="center"/>
    </xf>
    <xf numFmtId="0" fontId="27" fillId="0" borderId="22" xfId="2" applyFont="1" applyBorder="1" applyAlignment="1">
      <alignment horizontal="center"/>
    </xf>
    <xf numFmtId="0" fontId="27" fillId="0" borderId="21" xfId="2" applyFont="1" applyBorder="1" applyAlignment="1">
      <alignment horizontal="center"/>
    </xf>
    <xf numFmtId="0" fontId="25" fillId="0" borderId="25" xfId="2" applyFont="1" applyBorder="1" applyAlignment="1">
      <alignment horizontal="center"/>
    </xf>
    <xf numFmtId="0" fontId="27" fillId="0" borderId="0" xfId="2" applyFont="1" applyAlignment="1">
      <alignment horizontal="center"/>
    </xf>
    <xf numFmtId="0" fontId="25" fillId="0" borderId="26" xfId="2" applyFont="1" applyBorder="1" applyAlignment="1">
      <alignment horizontal="centerContinuous"/>
    </xf>
    <xf numFmtId="0" fontId="27" fillId="0" borderId="27" xfId="2" applyFont="1" applyBorder="1" applyAlignment="1">
      <alignment horizontal="centerContinuous"/>
    </xf>
    <xf numFmtId="165" fontId="27" fillId="0" borderId="28" xfId="2" applyNumberFormat="1" applyFont="1" applyBorder="1" applyAlignment="1">
      <alignment horizontal="center"/>
    </xf>
    <xf numFmtId="2" fontId="27" fillId="0" borderId="22" xfId="2" applyNumberFormat="1" applyFont="1" applyBorder="1" applyAlignment="1">
      <alignment horizontal="center"/>
    </xf>
    <xf numFmtId="0" fontId="27" fillId="0" borderId="29" xfId="2" applyFont="1" applyBorder="1" applyAlignment="1">
      <alignment horizontal="left"/>
    </xf>
    <xf numFmtId="0" fontId="27" fillId="0" borderId="30" xfId="2" applyFont="1" applyBorder="1" applyAlignment="1">
      <alignment horizontal="left"/>
    </xf>
    <xf numFmtId="0" fontId="27" fillId="0" borderId="31" xfId="2" applyFont="1" applyBorder="1" applyAlignment="1">
      <alignment horizontal="left"/>
    </xf>
    <xf numFmtId="0" fontId="27" fillId="0" borderId="11" xfId="2" applyFont="1" applyBorder="1" applyAlignment="1">
      <alignment horizontal="left"/>
    </xf>
    <xf numFmtId="175" fontId="27" fillId="0" borderId="21" xfId="2" applyNumberFormat="1" applyFont="1" applyBorder="1" applyAlignment="1">
      <alignment horizontal="center"/>
    </xf>
    <xf numFmtId="0" fontId="27" fillId="0" borderId="21" xfId="2" applyFont="1" applyBorder="1" applyAlignment="1">
      <alignment horizontal="left"/>
    </xf>
    <xf numFmtId="0" fontId="27" fillId="0" borderId="22" xfId="2" applyFont="1" applyBorder="1" applyAlignment="1">
      <alignment horizontal="left"/>
    </xf>
    <xf numFmtId="165" fontId="27" fillId="0" borderId="21" xfId="2" applyNumberFormat="1" applyFont="1" applyBorder="1" applyAlignment="1">
      <alignment horizontal="center"/>
    </xf>
    <xf numFmtId="0" fontId="25" fillId="0" borderId="32" xfId="2" applyFont="1" applyBorder="1"/>
    <xf numFmtId="2" fontId="27" fillId="0" borderId="14" xfId="2" applyNumberFormat="1" applyFont="1" applyBorder="1" applyAlignment="1">
      <alignment horizontal="center"/>
    </xf>
    <xf numFmtId="2" fontId="27" fillId="0" borderId="15" xfId="2" applyNumberFormat="1" applyFont="1" applyBorder="1" applyAlignment="1">
      <alignment horizontal="center"/>
    </xf>
    <xf numFmtId="0" fontId="28" fillId="0" borderId="1" xfId="2" applyFont="1" applyBorder="1"/>
    <xf numFmtId="165" fontId="27" fillId="0" borderId="2" xfId="2" applyNumberFormat="1" applyFont="1" applyBorder="1" applyAlignment="1">
      <alignment horizontal="center"/>
    </xf>
    <xf numFmtId="165" fontId="27" fillId="0" borderId="17" xfId="2" applyNumberFormat="1" applyFont="1" applyBorder="1" applyAlignment="1">
      <alignment horizontal="center"/>
    </xf>
    <xf numFmtId="0" fontId="25" fillId="0" borderId="33" xfId="2" applyFont="1" applyBorder="1" applyAlignment="1">
      <alignment horizontal="center"/>
    </xf>
    <xf numFmtId="165" fontId="29" fillId="0" borderId="21" xfId="2" applyNumberFormat="1" applyFont="1" applyBorder="1" applyAlignment="1">
      <alignment horizontal="center"/>
    </xf>
    <xf numFmtId="165" fontId="27" fillId="0" borderId="22" xfId="2" applyNumberFormat="1" applyFont="1" applyBorder="1" applyAlignment="1">
      <alignment horizontal="center"/>
    </xf>
    <xf numFmtId="0" fontId="28" fillId="0" borderId="2" xfId="2" applyFont="1" applyBorder="1" applyAlignment="1">
      <alignment horizontal="centerContinuous"/>
    </xf>
    <xf numFmtId="0" fontId="28" fillId="0" borderId="17" xfId="2" applyFont="1" applyBorder="1" applyAlignment="1">
      <alignment horizontal="centerContinuous"/>
    </xf>
    <xf numFmtId="0" fontId="10" fillId="0" borderId="23" xfId="2" applyBorder="1"/>
    <xf numFmtId="0" fontId="25" fillId="0" borderId="22" xfId="2" applyFont="1" applyBorder="1" applyAlignment="1">
      <alignment horizontal="centerContinuous"/>
    </xf>
    <xf numFmtId="176" fontId="27" fillId="0" borderId="21" xfId="2" applyNumberFormat="1" applyFont="1" applyBorder="1" applyAlignment="1">
      <alignment horizontal="center"/>
    </xf>
    <xf numFmtId="174" fontId="27" fillId="0" borderId="22" xfId="2" applyNumberFormat="1" applyFont="1" applyBorder="1" applyAlignment="1">
      <alignment horizontal="center"/>
    </xf>
    <xf numFmtId="176" fontId="27" fillId="0" borderId="22" xfId="2" applyNumberFormat="1" applyFont="1" applyBorder="1" applyAlignment="1">
      <alignment horizontal="center"/>
    </xf>
    <xf numFmtId="0" fontId="25" fillId="0" borderId="7" xfId="2" applyFont="1" applyBorder="1"/>
    <xf numFmtId="0" fontId="27" fillId="0" borderId="30" xfId="2" applyFont="1" applyBorder="1" applyAlignment="1">
      <alignment horizontal="center"/>
    </xf>
    <xf numFmtId="0" fontId="25" fillId="0" borderId="34" xfId="2" applyFont="1" applyBorder="1" applyAlignment="1">
      <alignment horizontal="right"/>
    </xf>
    <xf numFmtId="2" fontId="27" fillId="0" borderId="35" xfId="2" applyNumberFormat="1" applyFont="1" applyBorder="1" applyAlignment="1">
      <alignment horizontal="center"/>
    </xf>
    <xf numFmtId="2" fontId="27" fillId="0" borderId="36" xfId="2" applyNumberFormat="1" applyFont="1" applyBorder="1" applyAlignment="1">
      <alignment horizontal="center"/>
    </xf>
    <xf numFmtId="174" fontId="27" fillId="0" borderId="35" xfId="2" applyNumberFormat="1" applyFont="1" applyBorder="1" applyAlignment="1">
      <alignment horizontal="center"/>
    </xf>
    <xf numFmtId="174" fontId="27" fillId="0" borderId="36" xfId="2" applyNumberFormat="1" applyFont="1" applyBorder="1" applyAlignment="1">
      <alignment horizontal="center"/>
    </xf>
    <xf numFmtId="0" fontId="27" fillId="0" borderId="30" xfId="2" applyFont="1" applyBorder="1"/>
    <xf numFmtId="0" fontId="25" fillId="0" borderId="2" xfId="2" applyFont="1" applyBorder="1" applyAlignment="1">
      <alignment horizontal="centerContinuous"/>
    </xf>
    <xf numFmtId="0" fontId="27" fillId="0" borderId="2" xfId="2" applyFont="1" applyBorder="1" applyAlignment="1">
      <alignment horizontal="centerContinuous"/>
    </xf>
    <xf numFmtId="0" fontId="28" fillId="0" borderId="37" xfId="2" applyFont="1" applyBorder="1"/>
    <xf numFmtId="0" fontId="27" fillId="0" borderId="23" xfId="2" applyFont="1" applyBorder="1"/>
    <xf numFmtId="0" fontId="27" fillId="0" borderId="26" xfId="2" applyFont="1" applyBorder="1" applyAlignment="1">
      <alignment horizontal="right"/>
    </xf>
    <xf numFmtId="2" fontId="27" fillId="0" borderId="27" xfId="2" applyNumberFormat="1" applyFont="1" applyBorder="1" applyAlignment="1">
      <alignment horizontal="center"/>
    </xf>
    <xf numFmtId="0" fontId="27" fillId="0" borderId="34" xfId="2" applyFont="1" applyBorder="1"/>
    <xf numFmtId="0" fontId="27" fillId="0" borderId="38" xfId="2" applyFont="1" applyBorder="1" applyAlignment="1">
      <alignment horizontal="right"/>
    </xf>
    <xf numFmtId="2" fontId="27" fillId="0" borderId="39" xfId="2" applyNumberFormat="1" applyFont="1" applyBorder="1" applyAlignment="1">
      <alignment horizontal="center"/>
    </xf>
    <xf numFmtId="0" fontId="10" fillId="0" borderId="5" xfId="2" applyBorder="1"/>
    <xf numFmtId="0" fontId="27" fillId="0" borderId="6" xfId="2" applyFont="1" applyBorder="1"/>
    <xf numFmtId="0" fontId="27" fillId="0" borderId="27" xfId="2" applyFont="1" applyBorder="1" applyAlignment="1">
      <alignment horizontal="center"/>
    </xf>
    <xf numFmtId="0" fontId="25" fillId="0" borderId="21" xfId="2" applyFont="1" applyBorder="1" applyAlignment="1">
      <alignment horizontal="right"/>
    </xf>
    <xf numFmtId="0" fontId="25" fillId="0" borderId="0" xfId="2" applyFont="1" applyAlignment="1">
      <alignment horizontal="center"/>
    </xf>
    <xf numFmtId="0" fontId="25" fillId="0" borderId="34" xfId="2" applyFont="1" applyBorder="1"/>
    <xf numFmtId="174" fontId="27" fillId="0" borderId="0" xfId="2" applyNumberFormat="1" applyFont="1" applyAlignment="1">
      <alignment horizontal="center"/>
    </xf>
    <xf numFmtId="165" fontId="27" fillId="0" borderId="36" xfId="2" applyNumberFormat="1" applyFont="1" applyBorder="1" applyAlignment="1">
      <alignment horizontal="center"/>
    </xf>
    <xf numFmtId="0" fontId="27" fillId="0" borderId="2" xfId="2" applyFont="1" applyBorder="1" applyAlignment="1">
      <alignment horizontal="right"/>
    </xf>
    <xf numFmtId="49" fontId="27" fillId="0" borderId="2" xfId="2" applyNumberFormat="1" applyFont="1" applyBorder="1" applyAlignment="1">
      <alignment horizontal="center"/>
    </xf>
    <xf numFmtId="0" fontId="25" fillId="0" borderId="40" xfId="2" applyFont="1" applyBorder="1" applyAlignment="1">
      <alignment horizontal="right"/>
    </xf>
    <xf numFmtId="165" fontId="27" fillId="0" borderId="41" xfId="2" applyNumberFormat="1" applyFont="1" applyBorder="1" applyAlignment="1">
      <alignment horizontal="center"/>
    </xf>
    <xf numFmtId="0" fontId="25" fillId="0" borderId="42" xfId="2" applyFont="1" applyBorder="1" applyAlignment="1">
      <alignment horizontal="right"/>
    </xf>
    <xf numFmtId="165" fontId="27" fillId="0" borderId="43" xfId="2" applyNumberFormat="1" applyFont="1" applyBorder="1" applyAlignment="1">
      <alignment horizontal="center"/>
    </xf>
    <xf numFmtId="0" fontId="25" fillId="0" borderId="44" xfId="2" applyFont="1" applyBorder="1" applyAlignment="1">
      <alignment horizontal="center"/>
    </xf>
    <xf numFmtId="0" fontId="25" fillId="0" borderId="41" xfId="2" applyFont="1" applyBorder="1" applyAlignment="1">
      <alignment horizontal="center"/>
    </xf>
    <xf numFmtId="0" fontId="25" fillId="0" borderId="45" xfId="2" applyFont="1" applyBorder="1" applyAlignment="1">
      <alignment horizontal="right"/>
    </xf>
    <xf numFmtId="165" fontId="27" fillId="0" borderId="46" xfId="2" applyNumberFormat="1" applyFont="1" applyBorder="1" applyAlignment="1">
      <alignment horizontal="center"/>
    </xf>
    <xf numFmtId="0" fontId="27" fillId="0" borderId="47" xfId="2" applyFont="1" applyBorder="1" applyAlignment="1">
      <alignment horizontal="center"/>
    </xf>
    <xf numFmtId="0" fontId="27" fillId="0" borderId="48" xfId="2" applyFont="1" applyBorder="1" applyAlignment="1">
      <alignment horizontal="center"/>
    </xf>
    <xf numFmtId="0" fontId="25" fillId="0" borderId="49" xfId="2" applyFont="1" applyBorder="1" applyAlignment="1">
      <alignment horizontal="right"/>
    </xf>
    <xf numFmtId="165" fontId="27" fillId="0" borderId="9" xfId="2" applyNumberFormat="1" applyFont="1" applyBorder="1" applyAlignment="1">
      <alignment horizontal="center"/>
    </xf>
    <xf numFmtId="0" fontId="27" fillId="0" borderId="31" xfId="2" applyFont="1" applyBorder="1" applyAlignment="1">
      <alignment horizontal="center"/>
    </xf>
    <xf numFmtId="0" fontId="27" fillId="0" borderId="11" xfId="2" applyFont="1" applyBorder="1" applyAlignment="1">
      <alignment horizontal="center"/>
    </xf>
    <xf numFmtId="2" fontId="27" fillId="0" borderId="48" xfId="2" applyNumberFormat="1" applyFont="1" applyBorder="1" applyAlignment="1">
      <alignment horizontal="center"/>
    </xf>
    <xf numFmtId="0" fontId="28" fillId="0" borderId="40" xfId="2" applyFont="1" applyBorder="1"/>
    <xf numFmtId="0" fontId="27" fillId="0" borderId="50" xfId="2" applyFont="1" applyBorder="1"/>
    <xf numFmtId="0" fontId="27" fillId="0" borderId="41" xfId="2" applyFont="1" applyBorder="1"/>
    <xf numFmtId="165" fontId="27" fillId="0" borderId="47" xfId="2" applyNumberFormat="1" applyFont="1" applyBorder="1" applyAlignment="1">
      <alignment horizontal="center"/>
    </xf>
    <xf numFmtId="174" fontId="27" fillId="0" borderId="47" xfId="2" applyNumberFormat="1" applyFont="1" applyBorder="1" applyAlignment="1">
      <alignment horizontal="center"/>
    </xf>
    <xf numFmtId="0" fontId="25" fillId="0" borderId="21" xfId="2" applyFont="1" applyBorder="1"/>
    <xf numFmtId="0" fontId="25" fillId="0" borderId="51" xfId="2" applyFont="1" applyBorder="1" applyAlignment="1">
      <alignment horizontal="right"/>
    </xf>
    <xf numFmtId="165" fontId="27" fillId="0" borderId="29" xfId="2" applyNumberFormat="1" applyFont="1" applyBorder="1" applyAlignment="1">
      <alignment horizontal="center"/>
    </xf>
    <xf numFmtId="0" fontId="27" fillId="0" borderId="29" xfId="2" applyFont="1" applyBorder="1" applyAlignment="1">
      <alignment horizontal="center"/>
    </xf>
    <xf numFmtId="1" fontId="27" fillId="0" borderId="31" xfId="2" applyNumberFormat="1" applyFont="1" applyBorder="1" applyAlignment="1">
      <alignment horizontal="center"/>
    </xf>
    <xf numFmtId="0" fontId="25" fillId="0" borderId="47" xfId="2" applyFont="1" applyBorder="1" applyAlignment="1">
      <alignment horizontal="right"/>
    </xf>
    <xf numFmtId="2" fontId="27" fillId="0" borderId="30" xfId="2" applyNumberFormat="1" applyFont="1" applyBorder="1" applyAlignment="1">
      <alignment horizontal="center"/>
    </xf>
    <xf numFmtId="0" fontId="25" fillId="0" borderId="29" xfId="2" applyFont="1" applyBorder="1" applyAlignment="1">
      <alignment horizontal="right"/>
    </xf>
    <xf numFmtId="0" fontId="27" fillId="0" borderId="35" xfId="2" applyFont="1" applyBorder="1" applyAlignment="1">
      <alignment horizontal="center"/>
    </xf>
    <xf numFmtId="0" fontId="25" fillId="0" borderId="35" xfId="2" applyFont="1" applyBorder="1"/>
    <xf numFmtId="0" fontId="25" fillId="0" borderId="31" xfId="2" applyFont="1" applyBorder="1" applyAlignment="1">
      <alignment horizontal="right"/>
    </xf>
    <xf numFmtId="0" fontId="27" fillId="0" borderId="15" xfId="2" applyFont="1" applyBorder="1" applyAlignment="1">
      <alignment horizontal="center"/>
    </xf>
    <xf numFmtId="0" fontId="25" fillId="0" borderId="0" xfId="2" applyFont="1" applyAlignment="1">
      <alignment horizontal="left"/>
    </xf>
    <xf numFmtId="2" fontId="27" fillId="0" borderId="10" xfId="2" applyNumberFormat="1" applyFont="1" applyBorder="1" applyAlignment="1">
      <alignment horizontal="centerContinuous"/>
    </xf>
    <xf numFmtId="0" fontId="27" fillId="0" borderId="11" xfId="2" applyFont="1" applyBorder="1" applyAlignment="1">
      <alignment horizontal="centerContinuous"/>
    </xf>
    <xf numFmtId="0" fontId="27" fillId="0" borderId="10" xfId="2" applyFont="1" applyBorder="1" applyAlignment="1">
      <alignment horizontal="center"/>
    </xf>
    <xf numFmtId="0" fontId="25" fillId="0" borderId="35" xfId="2" applyFont="1" applyBorder="1" applyAlignment="1">
      <alignment horizontal="right"/>
    </xf>
    <xf numFmtId="0" fontId="27" fillId="0" borderId="13" xfId="2" applyFont="1" applyBorder="1" applyAlignment="1">
      <alignment horizontal="center"/>
    </xf>
    <xf numFmtId="0" fontId="31" fillId="0" borderId="3" xfId="2" applyFont="1" applyBorder="1"/>
    <xf numFmtId="0" fontId="31" fillId="0" borderId="5" xfId="2" applyFont="1" applyBorder="1"/>
    <xf numFmtId="0" fontId="31" fillId="0" borderId="6" xfId="2" applyFont="1" applyBorder="1"/>
    <xf numFmtId="0" fontId="25" fillId="0" borderId="23" xfId="2" applyFont="1" applyBorder="1" applyAlignment="1">
      <alignment horizontal="center"/>
    </xf>
    <xf numFmtId="0" fontId="31" fillId="0" borderId="7" xfId="2" applyFont="1" applyBorder="1"/>
    <xf numFmtId="0" fontId="31" fillId="0" borderId="0" xfId="2" applyFont="1"/>
    <xf numFmtId="0" fontId="31" fillId="0" borderId="30" xfId="2" applyFont="1" applyBorder="1"/>
    <xf numFmtId="2" fontId="25" fillId="0" borderId="51" xfId="2" quotePrefix="1" applyNumberFormat="1" applyFont="1" applyBorder="1" applyAlignment="1">
      <alignment horizontal="center"/>
    </xf>
    <xf numFmtId="165" fontId="27" fillId="0" borderId="52" xfId="2" applyNumberFormat="1" applyFont="1" applyBorder="1" applyAlignment="1">
      <alignment horizontal="center"/>
    </xf>
    <xf numFmtId="2" fontId="25" fillId="0" borderId="29" xfId="2" quotePrefix="1" applyNumberFormat="1" applyFont="1" applyBorder="1" applyAlignment="1">
      <alignment horizontal="center"/>
    </xf>
    <xf numFmtId="174" fontId="25" fillId="0" borderId="51" xfId="2" quotePrefix="1" applyNumberFormat="1" applyFont="1" applyBorder="1" applyAlignment="1">
      <alignment horizontal="center"/>
    </xf>
    <xf numFmtId="2" fontId="25" fillId="0" borderId="29" xfId="2" applyNumberFormat="1" applyFont="1" applyBorder="1" applyAlignment="1">
      <alignment horizontal="center"/>
    </xf>
    <xf numFmtId="2" fontId="25" fillId="0" borderId="53" xfId="2" applyNumberFormat="1" applyFont="1" applyBorder="1" applyAlignment="1">
      <alignment horizontal="center"/>
    </xf>
    <xf numFmtId="165" fontId="27" fillId="0" borderId="53" xfId="2" applyNumberFormat="1" applyFont="1" applyBorder="1" applyAlignment="1">
      <alignment horizontal="center"/>
    </xf>
    <xf numFmtId="165" fontId="27" fillId="0" borderId="54" xfId="2" applyNumberFormat="1" applyFont="1" applyBorder="1" applyAlignment="1">
      <alignment horizontal="center"/>
    </xf>
    <xf numFmtId="2" fontId="28" fillId="0" borderId="10" xfId="2" applyNumberFormat="1" applyFont="1" applyBorder="1" applyAlignment="1">
      <alignment horizontal="left"/>
    </xf>
    <xf numFmtId="165" fontId="29" fillId="0" borderId="10" xfId="2" applyNumberFormat="1" applyFont="1" applyBorder="1" applyAlignment="1">
      <alignment horizontal="left"/>
    </xf>
    <xf numFmtId="2" fontId="25" fillId="0" borderId="0" xfId="2" applyNumberFormat="1" applyFont="1" applyAlignment="1">
      <alignment horizontal="right"/>
    </xf>
    <xf numFmtId="165" fontId="27" fillId="0" borderId="0" xfId="2" applyNumberFormat="1" applyFont="1" applyAlignment="1">
      <alignment horizontal="centerContinuous"/>
    </xf>
    <xf numFmtId="2" fontId="25" fillId="0" borderId="32" xfId="2" quotePrefix="1" applyNumberFormat="1" applyFont="1" applyBorder="1" applyAlignment="1">
      <alignment horizontal="center"/>
    </xf>
    <xf numFmtId="165" fontId="27" fillId="0" borderId="55" xfId="2" applyNumberFormat="1" applyFont="1" applyBorder="1" applyAlignment="1">
      <alignment horizontal="center"/>
    </xf>
    <xf numFmtId="2" fontId="25" fillId="0" borderId="13" xfId="2" applyNumberFormat="1" applyFont="1" applyBorder="1" applyAlignment="1">
      <alignment horizontal="right"/>
    </xf>
    <xf numFmtId="165" fontId="27" fillId="0" borderId="13" xfId="2" applyNumberFormat="1" applyFont="1" applyBorder="1" applyAlignment="1">
      <alignment horizontal="centerContinuous"/>
    </xf>
    <xf numFmtId="0" fontId="31" fillId="0" borderId="12" xfId="2" applyFont="1" applyBorder="1"/>
    <xf numFmtId="0" fontId="31" fillId="0" borderId="13" xfId="2" applyFont="1" applyBorder="1"/>
    <xf numFmtId="0" fontId="31" fillId="0" borderId="15" xfId="2" applyFont="1" applyBorder="1"/>
    <xf numFmtId="165" fontId="27" fillId="0" borderId="0" xfId="2" applyNumberFormat="1" applyFont="1" applyAlignment="1">
      <alignment horizontal="center"/>
    </xf>
    <xf numFmtId="0" fontId="33" fillId="0" borderId="0" xfId="4" applyFont="1"/>
    <xf numFmtId="0" fontId="34" fillId="0" borderId="0" xfId="4" applyFont="1"/>
    <xf numFmtId="0" fontId="35" fillId="3" borderId="0" xfId="4" applyFont="1" applyFill="1" applyAlignment="1">
      <alignment horizontal="center"/>
    </xf>
    <xf numFmtId="0" fontId="36" fillId="3" borderId="0" xfId="4" applyFont="1" applyFill="1" applyAlignment="1">
      <alignment horizontal="right"/>
    </xf>
    <xf numFmtId="0" fontId="37" fillId="3" borderId="0" xfId="4" applyFont="1" applyFill="1"/>
    <xf numFmtId="0" fontId="38" fillId="3" borderId="0" xfId="4" applyFont="1" applyFill="1"/>
    <xf numFmtId="0" fontId="39" fillId="0" borderId="56" xfId="4" applyFont="1" applyBorder="1" applyAlignment="1">
      <alignment horizontal="left" vertical="center"/>
    </xf>
    <xf numFmtId="0" fontId="39" fillId="0" borderId="57" xfId="4" applyFont="1" applyBorder="1" applyAlignment="1">
      <alignment vertical="center"/>
    </xf>
    <xf numFmtId="0" fontId="11" fillId="0" borderId="57" xfId="4" applyBorder="1"/>
    <xf numFmtId="0" fontId="39" fillId="0" borderId="58" xfId="4" applyFont="1" applyBorder="1" applyAlignment="1">
      <alignment horizontal="right" vertical="center"/>
    </xf>
    <xf numFmtId="0" fontId="40" fillId="0" borderId="0" xfId="4" applyFont="1"/>
    <xf numFmtId="0" fontId="41" fillId="0" borderId="56" xfId="4" applyFont="1" applyBorder="1"/>
    <xf numFmtId="0" fontId="40" fillId="0" borderId="58" xfId="4" applyFont="1" applyBorder="1"/>
    <xf numFmtId="0" fontId="41" fillId="0" borderId="58" xfId="4" applyFont="1" applyBorder="1"/>
    <xf numFmtId="0" fontId="42" fillId="0" borderId="0" xfId="4" applyFont="1"/>
    <xf numFmtId="0" fontId="43" fillId="3" borderId="5" xfId="4" applyFont="1" applyFill="1" applyBorder="1" applyAlignment="1">
      <alignment horizontal="center"/>
    </xf>
    <xf numFmtId="0" fontId="43" fillId="3" borderId="4" xfId="4" applyFont="1" applyFill="1" applyBorder="1" applyAlignment="1">
      <alignment horizontal="center"/>
    </xf>
    <xf numFmtId="0" fontId="43" fillId="3" borderId="0" xfId="4" quotePrefix="1" applyFont="1" applyFill="1" applyAlignment="1">
      <alignment horizontal="left"/>
    </xf>
    <xf numFmtId="0" fontId="44" fillId="3" borderId="59" xfId="4" applyFont="1" applyFill="1" applyBorder="1" applyAlignment="1">
      <alignment horizontal="right"/>
    </xf>
    <xf numFmtId="0" fontId="43" fillId="3" borderId="60" xfId="4" applyFont="1" applyFill="1" applyBorder="1" applyAlignment="1">
      <alignment horizontal="center"/>
    </xf>
    <xf numFmtId="0" fontId="43" fillId="3" borderId="30" xfId="4" applyFont="1" applyFill="1" applyBorder="1" applyAlignment="1">
      <alignment horizontal="center"/>
    </xf>
    <xf numFmtId="0" fontId="41" fillId="0" borderId="7" xfId="4" applyFont="1" applyBorder="1"/>
    <xf numFmtId="0" fontId="40" fillId="0" borderId="30" xfId="4" applyFont="1" applyBorder="1"/>
    <xf numFmtId="0" fontId="41" fillId="0" borderId="30" xfId="4" applyFont="1" applyBorder="1"/>
    <xf numFmtId="0" fontId="45" fillId="3" borderId="70" xfId="4" applyFont="1" applyFill="1" applyBorder="1"/>
    <xf numFmtId="0" fontId="45" fillId="3" borderId="71" xfId="4" applyFont="1" applyFill="1" applyBorder="1"/>
    <xf numFmtId="0" fontId="48" fillId="3" borderId="71" xfId="4" applyFont="1" applyFill="1" applyBorder="1"/>
    <xf numFmtId="0" fontId="48" fillId="3" borderId="72" xfId="4" applyFont="1" applyFill="1" applyBorder="1"/>
    <xf numFmtId="165" fontId="47" fillId="3" borderId="67" xfId="4" applyNumberFormat="1" applyFont="1" applyFill="1" applyBorder="1" applyAlignment="1">
      <alignment horizontal="center"/>
    </xf>
    <xf numFmtId="0" fontId="47" fillId="3" borderId="73" xfId="4" applyFont="1" applyFill="1" applyBorder="1" applyAlignment="1">
      <alignment horizontal="center"/>
    </xf>
    <xf numFmtId="0" fontId="45" fillId="3" borderId="74" xfId="4" applyFont="1" applyFill="1" applyBorder="1"/>
    <xf numFmtId="0" fontId="45" fillId="3" borderId="75" xfId="4" applyFont="1" applyFill="1" applyBorder="1"/>
    <xf numFmtId="0" fontId="48" fillId="3" borderId="75" xfId="4" applyFont="1" applyFill="1" applyBorder="1"/>
    <xf numFmtId="0" fontId="48" fillId="3" borderId="76" xfId="4" applyFont="1" applyFill="1" applyBorder="1"/>
    <xf numFmtId="1" fontId="47" fillId="3" borderId="67" xfId="4" applyNumberFormat="1" applyFont="1" applyFill="1" applyBorder="1" applyAlignment="1">
      <alignment horizontal="center"/>
    </xf>
    <xf numFmtId="0" fontId="47" fillId="3" borderId="77" xfId="4" applyFont="1" applyFill="1" applyBorder="1" applyAlignment="1">
      <alignment horizontal="center"/>
    </xf>
    <xf numFmtId="0" fontId="49" fillId="3" borderId="71" xfId="4" applyFont="1" applyFill="1" applyBorder="1"/>
    <xf numFmtId="0" fontId="50" fillId="3" borderId="72" xfId="4" applyFont="1" applyFill="1" applyBorder="1" applyAlignment="1">
      <alignment horizontal="left"/>
    </xf>
    <xf numFmtId="0" fontId="47" fillId="3" borderId="67" xfId="4" applyFont="1" applyFill="1" applyBorder="1" applyAlignment="1">
      <alignment horizontal="center"/>
    </xf>
    <xf numFmtId="0" fontId="41" fillId="0" borderId="12" xfId="4" applyFont="1" applyBorder="1"/>
    <xf numFmtId="0" fontId="41" fillId="0" borderId="15" xfId="4" applyFont="1" applyBorder="1"/>
    <xf numFmtId="0" fontId="45" fillId="3" borderId="79" xfId="4" applyFont="1" applyFill="1" applyBorder="1"/>
    <xf numFmtId="0" fontId="45" fillId="3" borderId="80" xfId="4" applyFont="1" applyFill="1" applyBorder="1"/>
    <xf numFmtId="0" fontId="49" fillId="3" borderId="80" xfId="4" applyFont="1" applyFill="1" applyBorder="1"/>
    <xf numFmtId="0" fontId="47" fillId="3" borderId="81" xfId="4" applyFont="1" applyFill="1" applyBorder="1" applyAlignment="1">
      <alignment horizontal="center"/>
    </xf>
    <xf numFmtId="0" fontId="47" fillId="3" borderId="82" xfId="4" applyFont="1" applyFill="1" applyBorder="1" applyAlignment="1">
      <alignment horizontal="center"/>
    </xf>
    <xf numFmtId="0" fontId="40" fillId="0" borderId="15" xfId="4" applyFont="1" applyBorder="1"/>
    <xf numFmtId="0" fontId="45" fillId="3" borderId="66" xfId="4" quotePrefix="1" applyFont="1" applyFill="1" applyBorder="1" applyAlignment="1">
      <alignment horizontal="left"/>
    </xf>
    <xf numFmtId="0" fontId="42" fillId="0" borderId="72" xfId="4" applyFont="1" applyBorder="1"/>
    <xf numFmtId="0" fontId="45" fillId="3" borderId="86" xfId="4" quotePrefix="1" applyFont="1" applyFill="1" applyBorder="1" applyAlignment="1">
      <alignment horizontal="left"/>
    </xf>
    <xf numFmtId="0" fontId="45" fillId="3" borderId="62" xfId="4" applyFont="1" applyFill="1" applyBorder="1"/>
    <xf numFmtId="0" fontId="48" fillId="3" borderId="62" xfId="4" applyFont="1" applyFill="1" applyBorder="1"/>
    <xf numFmtId="0" fontId="52" fillId="3" borderId="62" xfId="4" applyFont="1" applyFill="1" applyBorder="1" applyAlignment="1">
      <alignment horizontal="right"/>
    </xf>
    <xf numFmtId="49" fontId="47" fillId="3" borderId="62" xfId="4" applyNumberFormat="1" applyFont="1" applyFill="1" applyBorder="1" applyAlignment="1">
      <alignment horizontal="center"/>
    </xf>
    <xf numFmtId="0" fontId="47" fillId="3" borderId="87" xfId="4" applyFont="1" applyFill="1" applyBorder="1" applyAlignment="1">
      <alignment horizontal="center"/>
    </xf>
    <xf numFmtId="0" fontId="45" fillId="3" borderId="67" xfId="4" applyFont="1" applyFill="1" applyBorder="1"/>
    <xf numFmtId="0" fontId="48" fillId="3" borderId="67" xfId="4" applyFont="1" applyFill="1" applyBorder="1"/>
    <xf numFmtId="0" fontId="45" fillId="3" borderId="72" xfId="4" applyFont="1" applyFill="1" applyBorder="1" applyAlignment="1">
      <alignment horizontal="left"/>
    </xf>
    <xf numFmtId="0" fontId="45" fillId="3" borderId="88" xfId="4" quotePrefix="1" applyFont="1" applyFill="1" applyBorder="1" applyAlignment="1">
      <alignment horizontal="left"/>
    </xf>
    <xf numFmtId="0" fontId="45" fillId="3" borderId="81" xfId="4" applyFont="1" applyFill="1" applyBorder="1"/>
    <xf numFmtId="0" fontId="48" fillId="3" borderId="81" xfId="4" applyFont="1" applyFill="1" applyBorder="1"/>
    <xf numFmtId="0" fontId="45" fillId="3" borderId="66" xfId="4" applyFont="1" applyFill="1" applyBorder="1" applyAlignment="1">
      <alignment horizontal="left"/>
    </xf>
    <xf numFmtId="0" fontId="40" fillId="3" borderId="89" xfId="4" applyFont="1" applyFill="1" applyBorder="1"/>
    <xf numFmtId="0" fontId="40" fillId="3" borderId="72" xfId="4" applyFont="1" applyFill="1" applyBorder="1"/>
    <xf numFmtId="0" fontId="45" fillId="3" borderId="66" xfId="4" applyFont="1" applyFill="1" applyBorder="1"/>
    <xf numFmtId="0" fontId="40" fillId="3" borderId="71" xfId="4" applyFont="1" applyFill="1" applyBorder="1"/>
    <xf numFmtId="0" fontId="45" fillId="3" borderId="89" xfId="4" applyFont="1" applyFill="1" applyBorder="1"/>
    <xf numFmtId="0" fontId="52" fillId="3" borderId="72" xfId="4" applyFont="1" applyFill="1" applyBorder="1" applyAlignment="1">
      <alignment horizontal="right"/>
    </xf>
    <xf numFmtId="0" fontId="45" fillId="3" borderId="61" xfId="4" quotePrefix="1" applyFont="1" applyFill="1" applyBorder="1" applyAlignment="1">
      <alignment horizontal="left"/>
    </xf>
    <xf numFmtId="0" fontId="42" fillId="0" borderId="96" xfId="4" applyFont="1" applyBorder="1"/>
    <xf numFmtId="0" fontId="45" fillId="3" borderId="89" xfId="4" quotePrefix="1" applyFont="1" applyFill="1" applyBorder="1" applyAlignment="1">
      <alignment horizontal="left"/>
    </xf>
    <xf numFmtId="0" fontId="40" fillId="3" borderId="67" xfId="4" applyFont="1" applyFill="1" applyBorder="1"/>
    <xf numFmtId="0" fontId="45" fillId="3" borderId="97" xfId="4" applyFont="1" applyFill="1" applyBorder="1" applyAlignment="1">
      <alignment horizontal="left"/>
    </xf>
    <xf numFmtId="0" fontId="45" fillId="3" borderId="71" xfId="4" quotePrefix="1" applyFont="1" applyFill="1" applyBorder="1" applyAlignment="1">
      <alignment horizontal="center"/>
    </xf>
    <xf numFmtId="0" fontId="40" fillId="3" borderId="72" xfId="4" quotePrefix="1" applyFont="1" applyFill="1" applyBorder="1" applyAlignment="1">
      <alignment horizontal="center"/>
    </xf>
    <xf numFmtId="0" fontId="45" fillId="3" borderId="98" xfId="4" applyFont="1" applyFill="1" applyBorder="1"/>
    <xf numFmtId="0" fontId="42" fillId="0" borderId="99" xfId="4" applyFont="1" applyBorder="1"/>
    <xf numFmtId="0" fontId="47" fillId="0" borderId="99" xfId="4" applyFont="1" applyBorder="1" applyAlignment="1">
      <alignment horizontal="center"/>
    </xf>
    <xf numFmtId="0" fontId="47" fillId="0" borderId="100" xfId="4" applyFont="1" applyBorder="1" applyAlignment="1">
      <alignment horizontal="center"/>
    </xf>
    <xf numFmtId="0" fontId="45" fillId="3" borderId="101" xfId="4" applyFont="1" applyFill="1" applyBorder="1" applyAlignment="1">
      <alignment horizontal="center"/>
    </xf>
    <xf numFmtId="0" fontId="45" fillId="3" borderId="80" xfId="4" quotePrefix="1" applyFont="1" applyFill="1" applyBorder="1" applyAlignment="1">
      <alignment horizontal="center"/>
    </xf>
    <xf numFmtId="0" fontId="40" fillId="3" borderId="102" xfId="4" quotePrefix="1" applyFont="1" applyFill="1" applyBorder="1" applyAlignment="1">
      <alignment horizontal="center"/>
    </xf>
    <xf numFmtId="0" fontId="47" fillId="0" borderId="72" xfId="4" applyFont="1" applyBorder="1" applyAlignment="1">
      <alignment horizontal="center"/>
    </xf>
    <xf numFmtId="0" fontId="47" fillId="0" borderId="77" xfId="4" applyFont="1" applyBorder="1" applyAlignment="1">
      <alignment horizontal="center"/>
    </xf>
    <xf numFmtId="0" fontId="47" fillId="0" borderId="12" xfId="4" applyFont="1" applyBorder="1"/>
    <xf numFmtId="0" fontId="53" fillId="0" borderId="15" xfId="4" applyFont="1" applyBorder="1"/>
    <xf numFmtId="0" fontId="36" fillId="0" borderId="105" xfId="4" applyFont="1" applyBorder="1" applyAlignment="1">
      <alignment horizontal="left"/>
    </xf>
    <xf numFmtId="0" fontId="36" fillId="0" borderId="65" xfId="4" applyFont="1" applyBorder="1" applyAlignment="1">
      <alignment horizontal="left"/>
    </xf>
    <xf numFmtId="0" fontId="55" fillId="3" borderId="106" xfId="4" applyFont="1" applyFill="1" applyBorder="1" applyAlignment="1">
      <alignment horizontal="center"/>
    </xf>
    <xf numFmtId="165" fontId="47" fillId="0" borderId="72" xfId="4" applyNumberFormat="1" applyFont="1" applyBorder="1" applyAlignment="1">
      <alignment horizontal="center"/>
    </xf>
    <xf numFmtId="0" fontId="45" fillId="3" borderId="107" xfId="4" applyFont="1" applyFill="1" applyBorder="1" applyAlignment="1">
      <alignment horizontal="left"/>
    </xf>
    <xf numFmtId="0" fontId="40" fillId="3" borderId="108" xfId="4" applyFont="1" applyFill="1" applyBorder="1"/>
    <xf numFmtId="0" fontId="40" fillId="3" borderId="109" xfId="4" applyFont="1" applyFill="1" applyBorder="1"/>
    <xf numFmtId="0" fontId="47" fillId="3" borderId="110" xfId="4" applyFont="1" applyFill="1" applyBorder="1" applyAlignment="1">
      <alignment horizontal="center"/>
    </xf>
    <xf numFmtId="0" fontId="42" fillId="0" borderId="81" xfId="4" applyFont="1" applyBorder="1"/>
    <xf numFmtId="0" fontId="42" fillId="0" borderId="82" xfId="4" applyFont="1" applyBorder="1"/>
    <xf numFmtId="0" fontId="42" fillId="0" borderId="90" xfId="4" applyFont="1" applyBorder="1"/>
    <xf numFmtId="0" fontId="45" fillId="3" borderId="99" xfId="4" applyFont="1" applyFill="1" applyBorder="1"/>
    <xf numFmtId="0" fontId="52" fillId="3" borderId="67" xfId="4" applyFont="1" applyFill="1" applyBorder="1" applyAlignment="1">
      <alignment horizontal="right" shrinkToFit="1"/>
    </xf>
    <xf numFmtId="1" fontId="47" fillId="3" borderId="73" xfId="4" quotePrefix="1" applyNumberFormat="1" applyFont="1" applyFill="1" applyBorder="1" applyAlignment="1">
      <alignment horizontal="center"/>
    </xf>
    <xf numFmtId="2" fontId="42" fillId="0" borderId="0" xfId="4" applyNumberFormat="1" applyFont="1"/>
    <xf numFmtId="0" fontId="45" fillId="3" borderId="86" xfId="4" applyFont="1" applyFill="1" applyBorder="1"/>
    <xf numFmtId="0" fontId="45" fillId="3" borderId="59" xfId="4" applyFont="1" applyFill="1" applyBorder="1"/>
    <xf numFmtId="0" fontId="52" fillId="3" borderId="67" xfId="4" applyFont="1" applyFill="1" applyBorder="1" applyAlignment="1">
      <alignment horizontal="right"/>
    </xf>
    <xf numFmtId="2" fontId="47" fillId="3" borderId="73" xfId="4" quotePrefix="1" applyNumberFormat="1" applyFont="1" applyFill="1" applyBorder="1" applyAlignment="1">
      <alignment horizontal="center"/>
    </xf>
    <xf numFmtId="0" fontId="47" fillId="3" borderId="73" xfId="4" quotePrefix="1" applyFont="1" applyFill="1" applyBorder="1" applyAlignment="1">
      <alignment horizontal="center"/>
    </xf>
    <xf numFmtId="2" fontId="47" fillId="3" borderId="67" xfId="4" applyNumberFormat="1" applyFont="1" applyFill="1" applyBorder="1" applyAlignment="1">
      <alignment horizontal="center"/>
    </xf>
    <xf numFmtId="0" fontId="52" fillId="3" borderId="59" xfId="4" applyFont="1" applyFill="1" applyBorder="1" applyAlignment="1">
      <alignment horizontal="right"/>
    </xf>
    <xf numFmtId="0" fontId="52" fillId="3" borderId="67" xfId="4" applyFont="1" applyFill="1" applyBorder="1"/>
    <xf numFmtId="0" fontId="56" fillId="0" borderId="0" xfId="4" applyFont="1"/>
    <xf numFmtId="0" fontId="45" fillId="3" borderId="112" xfId="4" applyFont="1" applyFill="1" applyBorder="1"/>
    <xf numFmtId="0" fontId="45" fillId="3" borderId="113" xfId="4" applyFont="1" applyFill="1" applyBorder="1"/>
    <xf numFmtId="0" fontId="45" fillId="3" borderId="114" xfId="4" applyFont="1" applyFill="1" applyBorder="1"/>
    <xf numFmtId="0" fontId="52" fillId="3" borderId="114" xfId="4" applyFont="1" applyFill="1" applyBorder="1"/>
    <xf numFmtId="165" fontId="47" fillId="3" borderId="114" xfId="4" applyNumberFormat="1" applyFont="1" applyFill="1" applyBorder="1" applyAlignment="1">
      <alignment horizontal="center"/>
    </xf>
    <xf numFmtId="0" fontId="47" fillId="3" borderId="115" xfId="4" quotePrefix="1" applyFont="1" applyFill="1" applyBorder="1" applyAlignment="1">
      <alignment horizontal="center"/>
    </xf>
    <xf numFmtId="0" fontId="45" fillId="3" borderId="76" xfId="4" applyFont="1" applyFill="1" applyBorder="1"/>
    <xf numFmtId="0" fontId="45" fillId="3" borderId="106" xfId="4" applyFont="1" applyFill="1" applyBorder="1" applyAlignment="1">
      <alignment horizontal="left"/>
    </xf>
    <xf numFmtId="0" fontId="45" fillId="3" borderId="76" xfId="4" applyFont="1" applyFill="1" applyBorder="1" applyAlignment="1">
      <alignment horizontal="left"/>
    </xf>
    <xf numFmtId="1" fontId="47" fillId="3" borderId="62" xfId="4" applyNumberFormat="1" applyFont="1" applyFill="1" applyBorder="1" applyAlignment="1">
      <alignment horizontal="center"/>
    </xf>
    <xf numFmtId="0" fontId="47" fillId="3" borderId="116" xfId="4" applyFont="1" applyFill="1" applyBorder="1" applyAlignment="1">
      <alignment horizontal="center"/>
    </xf>
    <xf numFmtId="0" fontId="57" fillId="0" borderId="0" xfId="4" applyFont="1" applyAlignment="1">
      <alignment horizontal="right"/>
    </xf>
    <xf numFmtId="0" fontId="45" fillId="3" borderId="0" xfId="4" applyFont="1" applyFill="1"/>
    <xf numFmtId="0" fontId="45" fillId="3" borderId="89" xfId="4" applyFont="1" applyFill="1" applyBorder="1" applyAlignment="1">
      <alignment horizontal="left"/>
    </xf>
    <xf numFmtId="0" fontId="42" fillId="0" borderId="0" xfId="4" applyFont="1" applyAlignment="1">
      <alignment horizontal="right"/>
    </xf>
    <xf numFmtId="0" fontId="45" fillId="3" borderId="10" xfId="4" applyFont="1" applyFill="1" applyBorder="1"/>
    <xf numFmtId="0" fontId="45" fillId="3" borderId="110" xfId="4" applyFont="1" applyFill="1" applyBorder="1" applyAlignment="1">
      <alignment horizontal="left"/>
    </xf>
    <xf numFmtId="0" fontId="45" fillId="3" borderId="102" xfId="4" applyFont="1" applyFill="1" applyBorder="1" applyAlignment="1">
      <alignment horizontal="left"/>
    </xf>
    <xf numFmtId="1" fontId="47" fillId="3" borderId="81" xfId="4" applyNumberFormat="1" applyFont="1" applyFill="1" applyBorder="1" applyAlignment="1">
      <alignment horizontal="center"/>
    </xf>
    <xf numFmtId="0" fontId="47" fillId="3" borderId="117" xfId="4" applyFont="1" applyFill="1" applyBorder="1" applyAlignment="1">
      <alignment horizontal="center"/>
    </xf>
    <xf numFmtId="0" fontId="36" fillId="3" borderId="83" xfId="4" applyFont="1" applyFill="1" applyBorder="1" applyAlignment="1">
      <alignment horizontal="left"/>
    </xf>
    <xf numFmtId="0" fontId="36" fillId="3" borderId="84" xfId="4" applyFont="1" applyFill="1" applyBorder="1" applyAlignment="1">
      <alignment horizontal="left"/>
    </xf>
    <xf numFmtId="0" fontId="36" fillId="3" borderId="85" xfId="4" applyFont="1" applyFill="1" applyBorder="1" applyAlignment="1">
      <alignment horizontal="left"/>
    </xf>
    <xf numFmtId="0" fontId="38" fillId="3" borderId="86" xfId="4" applyFont="1" applyFill="1" applyBorder="1"/>
    <xf numFmtId="0" fontId="42" fillId="3" borderId="75" xfId="4" applyFont="1" applyFill="1" applyBorder="1" applyAlignment="1">
      <alignment horizontal="left"/>
    </xf>
    <xf numFmtId="0" fontId="42" fillId="3" borderId="87" xfId="4" applyFont="1" applyFill="1" applyBorder="1" applyAlignment="1">
      <alignment horizontal="left"/>
    </xf>
    <xf numFmtId="0" fontId="38" fillId="3" borderId="71" xfId="4" applyFont="1" applyFill="1" applyBorder="1" applyAlignment="1">
      <alignment horizontal="left"/>
    </xf>
    <xf numFmtId="0" fontId="38" fillId="3" borderId="77" xfId="4" applyFont="1" applyFill="1" applyBorder="1" applyAlignment="1">
      <alignment horizontal="left"/>
    </xf>
    <xf numFmtId="0" fontId="58" fillId="0" borderId="0" xfId="4" applyFont="1"/>
    <xf numFmtId="0" fontId="45" fillId="0" borderId="118" xfId="4" applyFont="1" applyBorder="1"/>
    <xf numFmtId="0" fontId="45" fillId="3" borderId="121" xfId="4" applyFont="1" applyFill="1" applyBorder="1"/>
    <xf numFmtId="0" fontId="60" fillId="3" borderId="122" xfId="4" applyFont="1" applyFill="1" applyBorder="1" applyAlignment="1">
      <alignment horizontal="center" shrinkToFit="1"/>
    </xf>
    <xf numFmtId="0" fontId="38" fillId="3" borderId="7" xfId="4" applyFont="1" applyFill="1" applyBorder="1"/>
    <xf numFmtId="0" fontId="45" fillId="3" borderId="123" xfId="4" applyFont="1" applyFill="1" applyBorder="1"/>
    <xf numFmtId="0" fontId="45" fillId="3" borderId="13" xfId="4" applyFont="1" applyFill="1" applyBorder="1"/>
    <xf numFmtId="14" fontId="40" fillId="3" borderId="126" xfId="4" applyNumberFormat="1" applyFont="1" applyFill="1" applyBorder="1" applyAlignment="1">
      <alignment horizontal="center"/>
    </xf>
    <xf numFmtId="0" fontId="38" fillId="0" borderId="13" xfId="4" applyFont="1" applyBorder="1"/>
    <xf numFmtId="0" fontId="38" fillId="3" borderId="127" xfId="4" applyFont="1" applyFill="1" applyBorder="1" applyAlignment="1">
      <alignment horizontal="left"/>
    </xf>
    <xf numFmtId="0" fontId="38" fillId="3" borderId="128" xfId="4" applyFont="1" applyFill="1" applyBorder="1" applyAlignment="1">
      <alignment horizontal="left"/>
    </xf>
    <xf numFmtId="0" fontId="38" fillId="0" borderId="0" xfId="4" applyFont="1"/>
    <xf numFmtId="0" fontId="10" fillId="0" borderId="1" xfId="5" applyBorder="1"/>
    <xf numFmtId="0" fontId="10" fillId="0" borderId="2" xfId="5" applyBorder="1"/>
    <xf numFmtId="0" fontId="10" fillId="0" borderId="25" xfId="5" applyBorder="1"/>
    <xf numFmtId="0" fontId="10" fillId="0" borderId="25" xfId="5" applyBorder="1" applyAlignment="1">
      <alignment horizontal="center"/>
    </xf>
    <xf numFmtId="0" fontId="63" fillId="0" borderId="25" xfId="5" applyFont="1" applyBorder="1" applyAlignment="1">
      <alignment horizontal="center"/>
    </xf>
    <xf numFmtId="0" fontId="10" fillId="0" borderId="0" xfId="5"/>
    <xf numFmtId="0" fontId="64" fillId="0" borderId="7" xfId="5" applyFont="1" applyBorder="1" applyAlignment="1">
      <alignment horizontal="center"/>
    </xf>
    <xf numFmtId="0" fontId="64" fillId="0" borderId="0" xfId="5" applyFont="1" applyAlignment="1">
      <alignment horizontal="center"/>
    </xf>
    <xf numFmtId="0" fontId="64" fillId="0" borderId="129" xfId="5" applyFont="1" applyBorder="1" applyAlignment="1">
      <alignment horizontal="center"/>
    </xf>
    <xf numFmtId="0" fontId="10" fillId="0" borderId="129" xfId="5" applyBorder="1" applyAlignment="1">
      <alignment horizontal="center"/>
    </xf>
    <xf numFmtId="0" fontId="63" fillId="0" borderId="129" xfId="5" applyFont="1" applyBorder="1" applyAlignment="1">
      <alignment horizontal="center"/>
    </xf>
    <xf numFmtId="0" fontId="10" fillId="0" borderId="7" xfId="5" applyBorder="1"/>
    <xf numFmtId="0" fontId="65" fillId="0" borderId="0" xfId="5" applyFont="1"/>
    <xf numFmtId="0" fontId="10" fillId="0" borderId="129" xfId="5" applyBorder="1"/>
    <xf numFmtId="0" fontId="63" fillId="0" borderId="0" xfId="5" applyFont="1"/>
    <xf numFmtId="0" fontId="63" fillId="0" borderId="129" xfId="5" applyFont="1" applyBorder="1"/>
    <xf numFmtId="167" fontId="10" fillId="0" borderId="23" xfId="5" applyNumberFormat="1" applyBorder="1"/>
    <xf numFmtId="49" fontId="10" fillId="0" borderId="21" xfId="5" applyNumberFormat="1" applyBorder="1" applyAlignment="1">
      <alignment horizontal="center"/>
    </xf>
    <xf numFmtId="49" fontId="10" fillId="0" borderId="21" xfId="5" applyNumberFormat="1" applyBorder="1"/>
    <xf numFmtId="49" fontId="63" fillId="0" borderId="21" xfId="5" applyNumberFormat="1" applyFont="1" applyBorder="1"/>
    <xf numFmtId="178" fontId="63" fillId="0" borderId="21" xfId="5" applyNumberFormat="1" applyFont="1" applyBorder="1"/>
    <xf numFmtId="0" fontId="10" fillId="0" borderId="21" xfId="5" applyBorder="1"/>
    <xf numFmtId="0" fontId="10" fillId="0" borderId="22" xfId="5" applyBorder="1"/>
    <xf numFmtId="178" fontId="10" fillId="0" borderId="21" xfId="5" applyNumberFormat="1" applyBorder="1"/>
    <xf numFmtId="0" fontId="10" fillId="0" borderId="21" xfId="5" applyBorder="1" applyAlignment="1">
      <alignment horizontal="center"/>
    </xf>
    <xf numFmtId="167" fontId="10" fillId="0" borderId="45" xfId="5" applyNumberFormat="1" applyBorder="1"/>
    <xf numFmtId="49" fontId="10" fillId="0" borderId="47" xfId="5" applyNumberFormat="1" applyBorder="1"/>
    <xf numFmtId="178" fontId="10" fillId="0" borderId="47" xfId="5" applyNumberFormat="1" applyBorder="1"/>
    <xf numFmtId="0" fontId="10" fillId="0" borderId="47" xfId="5" applyBorder="1"/>
    <xf numFmtId="0" fontId="10" fillId="0" borderId="130" xfId="5" applyBorder="1"/>
    <xf numFmtId="0" fontId="63" fillId="0" borderId="131" xfId="5" applyFont="1" applyBorder="1" applyAlignment="1">
      <alignment horizontal="center"/>
    </xf>
    <xf numFmtId="0" fontId="63" fillId="0" borderId="132" xfId="5" applyFont="1" applyBorder="1" applyAlignment="1">
      <alignment horizontal="center"/>
    </xf>
    <xf numFmtId="49" fontId="63" fillId="0" borderId="40" xfId="5" applyNumberFormat="1" applyFont="1" applyBorder="1" applyAlignment="1">
      <alignment horizontal="center"/>
    </xf>
    <xf numFmtId="0" fontId="10" fillId="0" borderId="4" xfId="5" applyBorder="1" applyAlignment="1">
      <alignment horizontal="left"/>
    </xf>
    <xf numFmtId="49" fontId="10" fillId="0" borderId="23" xfId="5" applyNumberFormat="1" applyBorder="1"/>
    <xf numFmtId="0" fontId="10" fillId="0" borderId="134" xfId="5" applyBorder="1" applyAlignment="1">
      <alignment horizontal="left"/>
    </xf>
    <xf numFmtId="49" fontId="10" fillId="0" borderId="34" xfId="5" applyNumberFormat="1" applyBorder="1"/>
    <xf numFmtId="0" fontId="10" fillId="0" borderId="136" xfId="5" applyBorder="1" applyAlignment="1">
      <alignment horizontal="left"/>
    </xf>
    <xf numFmtId="0" fontId="23" fillId="0" borderId="0" xfId="2" applyFont="1"/>
    <xf numFmtId="0" fontId="67" fillId="0" borderId="51" xfId="2" applyFont="1" applyBorder="1" applyAlignment="1">
      <alignment horizontal="right"/>
    </xf>
    <xf numFmtId="0" fontId="39" fillId="0" borderId="48" xfId="2" applyFont="1" applyBorder="1" applyAlignment="1">
      <alignment horizontal="center"/>
    </xf>
    <xf numFmtId="0" fontId="67" fillId="0" borderId="105" xfId="2" applyFont="1" applyBorder="1" applyAlignment="1">
      <alignment horizontal="center"/>
    </xf>
    <xf numFmtId="0" fontId="67" fillId="0" borderId="32" xfId="2" applyFont="1" applyBorder="1" applyAlignment="1">
      <alignment horizontal="right"/>
    </xf>
    <xf numFmtId="0" fontId="39" fillId="0" borderId="15" xfId="2" applyFont="1" applyBorder="1" applyAlignment="1">
      <alignment horizontal="center"/>
    </xf>
    <xf numFmtId="0" fontId="39" fillId="0" borderId="46" xfId="2" applyFont="1" applyBorder="1" applyAlignment="1">
      <alignment horizontal="center"/>
    </xf>
    <xf numFmtId="0" fontId="67" fillId="0" borderId="64" xfId="2" applyFont="1" applyBorder="1" applyAlignment="1">
      <alignment horizontal="center"/>
    </xf>
    <xf numFmtId="0" fontId="39" fillId="0" borderId="46" xfId="2" applyFont="1" applyBorder="1"/>
    <xf numFmtId="0" fontId="10" fillId="0" borderId="12" xfId="2" applyBorder="1"/>
    <xf numFmtId="0" fontId="39" fillId="0" borderId="14" xfId="2" applyFont="1" applyBorder="1" applyAlignment="1">
      <alignment horizontal="center"/>
    </xf>
    <xf numFmtId="0" fontId="23" fillId="0" borderId="54" xfId="2" applyFont="1" applyBorder="1" applyAlignment="1">
      <alignment horizontal="center"/>
    </xf>
    <xf numFmtId="0" fontId="39" fillId="0" borderId="14" xfId="2" applyFont="1" applyBorder="1"/>
    <xf numFmtId="0" fontId="67" fillId="0" borderId="105" xfId="2" applyFont="1" applyBorder="1" applyAlignment="1">
      <alignment horizontal="right"/>
    </xf>
    <xf numFmtId="0" fontId="67" fillId="0" borderId="12" xfId="2" applyFont="1" applyBorder="1" applyAlignment="1">
      <alignment horizontal="right"/>
    </xf>
    <xf numFmtId="0" fontId="39" fillId="0" borderId="39" xfId="2" applyFont="1" applyBorder="1" applyAlignment="1">
      <alignment horizontal="center"/>
    </xf>
    <xf numFmtId="0" fontId="23" fillId="0" borderId="0" xfId="2" applyFont="1" applyAlignment="1">
      <alignment horizontal="center"/>
    </xf>
    <xf numFmtId="0" fontId="24" fillId="0" borderId="0" xfId="2" applyFont="1" applyAlignment="1">
      <alignment horizontal="right"/>
    </xf>
    <xf numFmtId="0" fontId="32" fillId="0" borderId="0" xfId="2" applyFont="1"/>
    <xf numFmtId="0" fontId="68" fillId="0" borderId="47" xfId="2" applyFont="1" applyBorder="1" applyAlignment="1">
      <alignment horizontal="center"/>
    </xf>
    <xf numFmtId="0" fontId="68" fillId="0" borderId="31" xfId="2" applyFont="1" applyBorder="1" applyAlignment="1">
      <alignment horizontal="center"/>
    </xf>
    <xf numFmtId="0" fontId="23" fillId="0" borderId="21" xfId="2" applyFont="1" applyBorder="1" applyAlignment="1">
      <alignment horizontal="center"/>
    </xf>
    <xf numFmtId="0" fontId="68" fillId="0" borderId="21" xfId="2" applyFont="1" applyBorder="1" applyAlignment="1">
      <alignment horizontal="center"/>
    </xf>
    <xf numFmtId="0" fontId="68" fillId="0" borderId="21" xfId="2" applyFont="1" applyBorder="1" applyAlignment="1">
      <alignment horizontal="right"/>
    </xf>
    <xf numFmtId="0" fontId="23" fillId="0" borderId="133" xfId="2" applyFont="1" applyBorder="1" applyAlignment="1">
      <alignment horizontal="center"/>
    </xf>
    <xf numFmtId="0" fontId="23" fillId="0" borderId="134" xfId="2" quotePrefix="1" applyFont="1" applyBorder="1" applyAlignment="1">
      <alignment horizontal="center"/>
    </xf>
    <xf numFmtId="0" fontId="23" fillId="0" borderId="134" xfId="2" applyFont="1" applyBorder="1" applyAlignment="1">
      <alignment horizontal="center"/>
    </xf>
    <xf numFmtId="0" fontId="68" fillId="0" borderId="0" xfId="2" applyFont="1" applyAlignment="1">
      <alignment horizontal="right"/>
    </xf>
    <xf numFmtId="0" fontId="66" fillId="0" borderId="0" xfId="2" applyFont="1" applyAlignment="1">
      <alignment horizontal="right"/>
    </xf>
    <xf numFmtId="0" fontId="24" fillId="0" borderId="0" xfId="2" applyFont="1"/>
    <xf numFmtId="0" fontId="66" fillId="0" borderId="0" xfId="2" applyFont="1"/>
    <xf numFmtId="0" fontId="70" fillId="0" borderId="0" xfId="2" applyFont="1"/>
    <xf numFmtId="0" fontId="39" fillId="0" borderId="26" xfId="2" applyFont="1" applyBorder="1" applyAlignment="1">
      <alignment horizontal="right"/>
    </xf>
    <xf numFmtId="0" fontId="39" fillId="0" borderId="134" xfId="2" applyFont="1" applyBorder="1" applyAlignment="1">
      <alignment horizontal="left"/>
    </xf>
    <xf numFmtId="0" fontId="39" fillId="0" borderId="134" xfId="2" quotePrefix="1" applyFont="1" applyBorder="1" applyAlignment="1">
      <alignment horizontal="left"/>
    </xf>
    <xf numFmtId="164" fontId="2" fillId="0" borderId="1" xfId="6" applyFont="1" applyBorder="1" applyAlignment="1">
      <alignment horizontal="centerContinuous"/>
    </xf>
    <xf numFmtId="164" fontId="2" fillId="0" borderId="2" xfId="6" applyFont="1" applyBorder="1" applyAlignment="1">
      <alignment horizontal="centerContinuous"/>
    </xf>
    <xf numFmtId="164" fontId="3" fillId="0" borderId="3" xfId="6" applyFont="1" applyBorder="1" applyAlignment="1">
      <alignment horizontal="left"/>
    </xf>
    <xf numFmtId="164" fontId="4" fillId="0" borderId="4" xfId="6" applyFont="1" applyBorder="1"/>
    <xf numFmtId="164" fontId="3" fillId="0" borderId="5" xfId="6" applyFont="1" applyBorder="1" applyAlignment="1">
      <alignment horizontal="centerContinuous"/>
    </xf>
    <xf numFmtId="164" fontId="4" fillId="0" borderId="6" xfId="6" applyFont="1" applyBorder="1" applyAlignment="1">
      <alignment horizontal="centerContinuous"/>
    </xf>
    <xf numFmtId="164" fontId="7" fillId="0" borderId="0" xfId="6" applyFont="1"/>
    <xf numFmtId="164" fontId="71" fillId="0" borderId="0" xfId="6"/>
    <xf numFmtId="164" fontId="2" fillId="0" borderId="7" xfId="6" applyFont="1" applyBorder="1" applyAlignment="1">
      <alignment horizontal="centerContinuous"/>
    </xf>
    <xf numFmtId="164" fontId="2" fillId="0" borderId="0" xfId="6" applyFont="1" applyAlignment="1">
      <alignment horizontal="centerContinuous"/>
    </xf>
    <xf numFmtId="164" fontId="3" fillId="0" borderId="8" xfId="6" applyFont="1" applyBorder="1" applyAlignment="1">
      <alignment horizontal="left"/>
    </xf>
    <xf numFmtId="164" fontId="4" fillId="0" borderId="9" xfId="6" applyFont="1" applyBorder="1"/>
    <xf numFmtId="164" fontId="3" fillId="0" borderId="10" xfId="6" applyFont="1" applyBorder="1" applyAlignment="1">
      <alignment horizontal="centerContinuous"/>
    </xf>
    <xf numFmtId="164" fontId="4" fillId="0" borderId="11" xfId="6" applyFont="1" applyBorder="1" applyAlignment="1">
      <alignment horizontal="centerContinuous"/>
    </xf>
    <xf numFmtId="164" fontId="4" fillId="0" borderId="7" xfId="6" applyFont="1" applyBorder="1" applyAlignment="1">
      <alignment horizontal="centerContinuous"/>
    </xf>
    <xf numFmtId="164" fontId="4" fillId="0" borderId="0" xfId="6" applyFont="1" applyAlignment="1">
      <alignment horizontal="centerContinuous"/>
    </xf>
    <xf numFmtId="164" fontId="3" fillId="0" borderId="10" xfId="6" quotePrefix="1" applyFont="1" applyBorder="1" applyAlignment="1">
      <alignment horizontal="centerContinuous"/>
    </xf>
    <xf numFmtId="164" fontId="5" fillId="0" borderId="7" xfId="6" applyFont="1" applyBorder="1" applyAlignment="1">
      <alignment horizontal="centerContinuous"/>
    </xf>
    <xf numFmtId="164" fontId="7" fillId="0" borderId="7" xfId="6" applyFont="1" applyBorder="1" applyAlignment="1">
      <alignment horizontal="centerContinuous"/>
    </xf>
    <xf numFmtId="164" fontId="7" fillId="0" borderId="12" xfId="6" applyFont="1" applyBorder="1" applyAlignment="1">
      <alignment horizontal="centerContinuous"/>
    </xf>
    <xf numFmtId="164" fontId="4" fillId="0" borderId="13" xfId="6" applyFont="1" applyBorder="1" applyAlignment="1">
      <alignment horizontal="centerContinuous"/>
    </xf>
    <xf numFmtId="164" fontId="3" fillId="0" borderId="12" xfId="6" applyFont="1" applyBorder="1" applyAlignment="1">
      <alignment horizontal="left"/>
    </xf>
    <xf numFmtId="164" fontId="4" fillId="0" borderId="14" xfId="6" applyFont="1" applyBorder="1"/>
    <xf numFmtId="164" fontId="72" fillId="0" borderId="13" xfId="6" applyFont="1" applyBorder="1" applyAlignment="1">
      <alignment horizontal="centerContinuous"/>
    </xf>
    <xf numFmtId="164" fontId="4" fillId="0" borderId="15" xfId="6" applyFont="1" applyBorder="1" applyAlignment="1">
      <alignment horizontal="centerContinuous"/>
    </xf>
    <xf numFmtId="164" fontId="7" fillId="0" borderId="0" xfId="6" applyFont="1" applyAlignment="1">
      <alignment horizontal="centerContinuous"/>
    </xf>
    <xf numFmtId="164" fontId="3" fillId="0" borderId="0" xfId="6" applyFont="1" applyAlignment="1">
      <alignment horizontal="left"/>
    </xf>
    <xf numFmtId="164" fontId="4" fillId="0" borderId="0" xfId="6" applyFont="1"/>
    <xf numFmtId="164" fontId="3" fillId="0" borderId="0" xfId="6" applyFont="1" applyAlignment="1">
      <alignment horizontal="centerContinuous"/>
    </xf>
    <xf numFmtId="164" fontId="13" fillId="0" borderId="0" xfId="6" applyFont="1"/>
    <xf numFmtId="164" fontId="13" fillId="0" borderId="0" xfId="6" applyFont="1" applyAlignment="1">
      <alignment horizontal="right"/>
    </xf>
    <xf numFmtId="164" fontId="13" fillId="0" borderId="0" xfId="6" applyFont="1" applyAlignment="1" applyProtection="1">
      <alignment horizontal="left"/>
      <protection locked="0"/>
    </xf>
    <xf numFmtId="164" fontId="13" fillId="0" borderId="0" xfId="6" applyFont="1" applyAlignment="1">
      <alignment horizontal="centerContinuous"/>
    </xf>
    <xf numFmtId="164" fontId="13" fillId="0" borderId="0" xfId="6" applyFont="1" applyAlignment="1">
      <alignment horizontal="left"/>
    </xf>
    <xf numFmtId="164" fontId="13" fillId="0" borderId="0" xfId="6" quotePrefix="1" applyFont="1" applyAlignment="1" applyProtection="1">
      <alignment horizontal="left"/>
      <protection locked="0"/>
    </xf>
    <xf numFmtId="164" fontId="14" fillId="0" borderId="138" xfId="6" applyFont="1" applyBorder="1" applyAlignment="1">
      <alignment horizontal="centerContinuous"/>
    </xf>
    <xf numFmtId="164" fontId="7" fillId="0" borderId="139" xfId="6" applyFont="1" applyBorder="1" applyAlignment="1">
      <alignment horizontal="centerContinuous"/>
    </xf>
    <xf numFmtId="164" fontId="7" fillId="0" borderId="140" xfId="6" applyFont="1" applyBorder="1" applyAlignment="1">
      <alignment horizontal="centerContinuous"/>
    </xf>
    <xf numFmtId="164" fontId="13" fillId="0" borderId="7" xfId="6" applyFont="1" applyBorder="1"/>
    <xf numFmtId="164" fontId="13" fillId="0" borderId="0" xfId="6" applyFont="1" applyAlignment="1" applyProtection="1">
      <alignment horizontal="center"/>
      <protection locked="0"/>
    </xf>
    <xf numFmtId="164" fontId="13" fillId="0" borderId="30" xfId="6" applyFont="1" applyBorder="1" applyAlignment="1" applyProtection="1">
      <alignment horizontal="center"/>
      <protection locked="0"/>
    </xf>
    <xf numFmtId="164" fontId="13" fillId="0" borderId="0" xfId="6" quotePrefix="1" applyFont="1" applyAlignment="1" applyProtection="1">
      <alignment horizontal="center"/>
      <protection locked="0"/>
    </xf>
    <xf numFmtId="164" fontId="3" fillId="0" borderId="0" xfId="6" applyFont="1" applyAlignment="1">
      <alignment horizontal="right"/>
    </xf>
    <xf numFmtId="164" fontId="13" fillId="0" borderId="0" xfId="6" quotePrefix="1" applyFont="1" applyAlignment="1">
      <alignment horizontal="right"/>
    </xf>
    <xf numFmtId="164" fontId="13" fillId="0" borderId="0" xfId="6" applyFont="1" applyAlignment="1">
      <alignment horizontal="center"/>
    </xf>
    <xf numFmtId="164" fontId="13" fillId="0" borderId="30" xfId="6" applyFont="1" applyBorder="1"/>
    <xf numFmtId="164" fontId="13" fillId="0" borderId="12" xfId="6" applyFont="1" applyBorder="1"/>
    <xf numFmtId="164" fontId="13" fillId="0" borderId="13" xfId="6" applyFont="1" applyBorder="1" applyAlignment="1">
      <alignment horizontal="right"/>
    </xf>
    <xf numFmtId="165" fontId="13" fillId="0" borderId="13" xfId="6" quotePrefix="1" applyNumberFormat="1" applyFont="1" applyBorder="1" applyAlignment="1" applyProtection="1">
      <alignment horizontal="center"/>
      <protection locked="0"/>
    </xf>
    <xf numFmtId="164" fontId="13" fillId="0" borderId="13" xfId="6" applyFont="1" applyBorder="1"/>
    <xf numFmtId="165" fontId="13" fillId="0" borderId="13" xfId="6" applyNumberFormat="1" applyFont="1" applyBorder="1"/>
    <xf numFmtId="164" fontId="13" fillId="0" borderId="15" xfId="6" applyFont="1" applyBorder="1"/>
    <xf numFmtId="164" fontId="73" fillId="0" borderId="7" xfId="6" quotePrefix="1" applyFont="1" applyBorder="1" applyAlignment="1">
      <alignment horizontal="left"/>
    </xf>
    <xf numFmtId="164" fontId="4" fillId="0" borderId="0" xfId="6" quotePrefix="1" applyFont="1" applyAlignment="1">
      <alignment horizontal="right"/>
    </xf>
    <xf numFmtId="164" fontId="4" fillId="0" borderId="111" xfId="6" applyFont="1" applyBorder="1"/>
    <xf numFmtId="164" fontId="73" fillId="0" borderId="0" xfId="6" applyFont="1" applyAlignment="1">
      <alignment horizontal="left"/>
    </xf>
    <xf numFmtId="164" fontId="4" fillId="0" borderId="0" xfId="6" applyFont="1" applyAlignment="1">
      <alignment horizontal="right"/>
    </xf>
    <xf numFmtId="164" fontId="4" fillId="0" borderId="111" xfId="6" applyFont="1" applyBorder="1" applyAlignment="1">
      <alignment horizontal="right"/>
    </xf>
    <xf numFmtId="164" fontId="73" fillId="0" borderId="0" xfId="6" quotePrefix="1" applyFont="1" applyAlignment="1">
      <alignment horizontal="left"/>
    </xf>
    <xf numFmtId="164" fontId="4" fillId="0" borderId="30" xfId="6" applyFont="1" applyBorder="1"/>
    <xf numFmtId="164" fontId="71" fillId="0" borderId="7" xfId="6" applyBorder="1"/>
    <xf numFmtId="164" fontId="13" fillId="0" borderId="111" xfId="6" applyFont="1" applyBorder="1" applyAlignment="1" applyProtection="1">
      <alignment horizontal="center"/>
      <protection locked="0"/>
    </xf>
    <xf numFmtId="1" fontId="13" fillId="0" borderId="111" xfId="6" applyNumberFormat="1" applyFont="1" applyBorder="1" applyAlignment="1">
      <alignment horizontal="center"/>
    </xf>
    <xf numFmtId="164" fontId="13" fillId="0" borderId="111" xfId="6" applyFont="1" applyBorder="1"/>
    <xf numFmtId="164" fontId="13" fillId="0" borderId="14" xfId="6" applyFont="1" applyBorder="1"/>
    <xf numFmtId="164" fontId="13" fillId="0" borderId="14" xfId="6" applyFont="1" applyBorder="1" applyAlignment="1">
      <alignment horizontal="left"/>
    </xf>
    <xf numFmtId="164" fontId="14" fillId="0" borderId="141" xfId="6" applyFont="1" applyBorder="1" applyAlignment="1">
      <alignment horizontal="centerContinuous"/>
    </xf>
    <xf numFmtId="164" fontId="7" fillId="0" borderId="142" xfId="6" applyFont="1" applyBorder="1" applyAlignment="1">
      <alignment horizontal="centerContinuous"/>
    </xf>
    <xf numFmtId="164" fontId="71" fillId="0" borderId="143" xfId="6" applyBorder="1"/>
    <xf numFmtId="164" fontId="7" fillId="0" borderId="144" xfId="6" applyFont="1" applyBorder="1" applyAlignment="1">
      <alignment horizontal="centerContinuous"/>
    </xf>
    <xf numFmtId="164" fontId="73" fillId="0" borderId="7" xfId="6" applyFont="1" applyBorder="1" applyAlignment="1">
      <alignment horizontal="left"/>
    </xf>
    <xf numFmtId="164" fontId="71" fillId="0" borderId="111" xfId="6" applyBorder="1"/>
    <xf numFmtId="165" fontId="13" fillId="0" borderId="0" xfId="6" applyNumberFormat="1" applyFont="1" applyAlignment="1" applyProtection="1">
      <alignment horizontal="center"/>
      <protection locked="0"/>
    </xf>
    <xf numFmtId="164" fontId="13" fillId="0" borderId="7" xfId="6" applyFont="1" applyBorder="1" applyAlignment="1">
      <alignment horizontal="left"/>
    </xf>
    <xf numFmtId="164" fontId="71" fillId="0" borderId="14" xfId="6" applyBorder="1"/>
    <xf numFmtId="164" fontId="7" fillId="0" borderId="0" xfId="6" applyFont="1" applyAlignment="1">
      <alignment horizontal="left"/>
    </xf>
    <xf numFmtId="164" fontId="7" fillId="0" borderId="141" xfId="6" applyFont="1" applyBorder="1"/>
    <xf numFmtId="164" fontId="4" fillId="0" borderId="142" xfId="6" applyFont="1" applyBorder="1" applyAlignment="1">
      <alignment horizontal="left"/>
    </xf>
    <xf numFmtId="164" fontId="4" fillId="0" borderId="144" xfId="6" applyFont="1" applyBorder="1" applyAlignment="1">
      <alignment horizontal="left"/>
    </xf>
    <xf numFmtId="164" fontId="13" fillId="0" borderId="7" xfId="6" quotePrefix="1" applyFont="1" applyBorder="1" applyAlignment="1">
      <alignment horizontal="left"/>
    </xf>
    <xf numFmtId="164" fontId="13" fillId="0" borderId="30" xfId="6" applyFont="1" applyBorder="1" applyAlignment="1">
      <alignment horizontal="left"/>
    </xf>
    <xf numFmtId="164" fontId="13" fillId="0" borderId="145" xfId="6" applyFont="1" applyBorder="1" applyAlignment="1">
      <alignment horizontal="left"/>
    </xf>
    <xf numFmtId="164" fontId="13" fillId="0" borderId="146" xfId="6" applyFont="1" applyBorder="1" applyAlignment="1">
      <alignment horizontal="left"/>
    </xf>
    <xf numFmtId="164" fontId="13" fillId="0" borderId="147" xfId="6" applyFont="1" applyBorder="1" applyAlignment="1">
      <alignment horizontal="left"/>
    </xf>
    <xf numFmtId="164" fontId="13" fillId="0" borderId="148" xfId="6" applyFont="1" applyBorder="1" applyAlignment="1">
      <alignment horizontal="left"/>
    </xf>
    <xf numFmtId="164" fontId="13" fillId="0" borderId="149" xfId="6" applyFont="1" applyBorder="1" applyAlignment="1">
      <alignment horizontal="left"/>
    </xf>
    <xf numFmtId="164" fontId="13" fillId="0" borderId="150" xfId="6" applyFont="1" applyBorder="1" applyAlignment="1">
      <alignment horizontal="left"/>
    </xf>
    <xf numFmtId="164" fontId="13" fillId="0" borderId="0" xfId="6" quotePrefix="1" applyFont="1" applyAlignment="1">
      <alignment horizontal="left"/>
    </xf>
    <xf numFmtId="164" fontId="13" fillId="0" borderId="151" xfId="6" applyFont="1" applyBorder="1" applyAlignment="1">
      <alignment horizontal="left"/>
    </xf>
    <xf numFmtId="164" fontId="13" fillId="0" borderId="152" xfId="6" applyFont="1" applyBorder="1" applyAlignment="1">
      <alignment horizontal="left"/>
    </xf>
    <xf numFmtId="164" fontId="13" fillId="0" borderId="153" xfId="6" applyFont="1" applyBorder="1" applyAlignment="1">
      <alignment horizontal="left"/>
    </xf>
    <xf numFmtId="164" fontId="4" fillId="0" borderId="0" xfId="6" applyFont="1" applyAlignment="1">
      <alignment horizontal="left"/>
    </xf>
    <xf numFmtId="164" fontId="22" fillId="0" borderId="0" xfId="6" applyFont="1" applyAlignment="1">
      <alignment horizontal="right"/>
    </xf>
    <xf numFmtId="164" fontId="71" fillId="0" borderId="0" xfId="6" applyAlignment="1">
      <alignment horizontal="right"/>
    </xf>
    <xf numFmtId="0" fontId="70" fillId="0" borderId="64" xfId="7" applyFont="1" applyBorder="1"/>
    <xf numFmtId="0" fontId="70" fillId="0" borderId="65" xfId="7" applyFont="1" applyBorder="1"/>
    <xf numFmtId="0" fontId="70" fillId="0" borderId="46" xfId="7" applyFont="1" applyBorder="1"/>
    <xf numFmtId="0" fontId="10" fillId="0" borderId="0" xfId="7"/>
    <xf numFmtId="0" fontId="75" fillId="0" borderId="86" xfId="7" applyFont="1" applyBorder="1" applyAlignment="1">
      <alignment horizontal="centerContinuous"/>
    </xf>
    <xf numFmtId="0" fontId="70" fillId="0" borderId="0" xfId="7" applyFont="1" applyAlignment="1">
      <alignment horizontal="centerContinuous"/>
    </xf>
    <xf numFmtId="0" fontId="70" fillId="0" borderId="111" xfId="7" applyFont="1" applyBorder="1" applyAlignment="1">
      <alignment horizontal="centerContinuous"/>
    </xf>
    <xf numFmtId="0" fontId="76" fillId="0" borderId="86" xfId="7" applyFont="1" applyBorder="1" applyAlignment="1">
      <alignment horizontal="centerContinuous"/>
    </xf>
    <xf numFmtId="0" fontId="70" fillId="0" borderId="86" xfId="7" applyFont="1" applyBorder="1"/>
    <xf numFmtId="0" fontId="70" fillId="0" borderId="0" xfId="7" applyFont="1"/>
    <xf numFmtId="0" fontId="70" fillId="0" borderId="111" xfId="7" applyFont="1" applyBorder="1"/>
    <xf numFmtId="0" fontId="66" fillId="0" borderId="21" xfId="7" applyFont="1" applyBorder="1" applyAlignment="1">
      <alignment horizontal="right"/>
    </xf>
    <xf numFmtId="0" fontId="70" fillId="0" borderId="21" xfId="7" applyFont="1" applyBorder="1" applyAlignment="1">
      <alignment horizontal="center"/>
    </xf>
    <xf numFmtId="14" fontId="70" fillId="0" borderId="21" xfId="7" applyNumberFormat="1" applyFont="1" applyBorder="1" applyAlignment="1">
      <alignment horizontal="center"/>
    </xf>
    <xf numFmtId="0" fontId="66" fillId="0" borderId="0" xfId="7" applyFont="1" applyAlignment="1">
      <alignment horizontal="right"/>
    </xf>
    <xf numFmtId="0" fontId="70" fillId="0" borderId="0" xfId="7" applyFont="1" applyAlignment="1">
      <alignment horizontal="center"/>
    </xf>
    <xf numFmtId="9" fontId="70" fillId="0" borderId="0" xfId="7" applyNumberFormat="1" applyFont="1" applyAlignment="1">
      <alignment horizontal="center"/>
    </xf>
    <xf numFmtId="0" fontId="66" fillId="0" borderId="86" xfId="7" applyFont="1" applyBorder="1" applyAlignment="1">
      <alignment horizontal="right"/>
    </xf>
    <xf numFmtId="0" fontId="70" fillId="0" borderId="10" xfId="7" applyFont="1" applyBorder="1"/>
    <xf numFmtId="0" fontId="70" fillId="0" borderId="9" xfId="7" applyFont="1" applyBorder="1" applyAlignment="1">
      <alignment horizontal="center"/>
    </xf>
    <xf numFmtId="0" fontId="70" fillId="0" borderId="88" xfId="7" applyFont="1" applyBorder="1"/>
    <xf numFmtId="0" fontId="66" fillId="0" borderId="26" xfId="7" applyFont="1" applyBorder="1" applyAlignment="1">
      <alignment horizontal="right"/>
    </xf>
    <xf numFmtId="0" fontId="70" fillId="0" borderId="134" xfId="7" applyFont="1" applyBorder="1"/>
    <xf numFmtId="165" fontId="27" fillId="0" borderId="0" xfId="7" applyNumberFormat="1" applyFont="1" applyAlignment="1">
      <alignment horizontal="center"/>
    </xf>
    <xf numFmtId="165" fontId="25" fillId="0" borderId="0" xfId="7" quotePrefix="1" applyNumberFormat="1" applyFont="1" applyAlignment="1">
      <alignment horizontal="center"/>
    </xf>
    <xf numFmtId="165" fontId="25" fillId="0" borderId="0" xfId="7" applyNumberFormat="1" applyFont="1" applyAlignment="1">
      <alignment horizontal="center"/>
    </xf>
    <xf numFmtId="0" fontId="78" fillId="0" borderId="0" xfId="7" applyFont="1"/>
    <xf numFmtId="0" fontId="79" fillId="0" borderId="0" xfId="7" applyFont="1"/>
    <xf numFmtId="0" fontId="27" fillId="0" borderId="21" xfId="7" applyFont="1" applyBorder="1" applyAlignment="1">
      <alignment horizontal="center"/>
    </xf>
    <xf numFmtId="1" fontId="27" fillId="3" borderId="21" xfId="7" applyNumberFormat="1" applyFont="1" applyFill="1" applyBorder="1" applyAlignment="1">
      <alignment horizontal="center"/>
    </xf>
    <xf numFmtId="2" fontId="27" fillId="3" borderId="21" xfId="7" applyNumberFormat="1" applyFont="1" applyFill="1" applyBorder="1" applyAlignment="1">
      <alignment horizontal="center"/>
    </xf>
    <xf numFmtId="2" fontId="10" fillId="0" borderId="0" xfId="7" applyNumberFormat="1"/>
    <xf numFmtId="0" fontId="27" fillId="3" borderId="21" xfId="7" applyFont="1" applyFill="1" applyBorder="1" applyAlignment="1">
      <alignment horizontal="center"/>
    </xf>
    <xf numFmtId="0" fontId="80" fillId="0" borderId="0" xfId="7" applyFont="1"/>
    <xf numFmtId="0" fontId="27" fillId="0" borderId="24" xfId="7" applyFont="1" applyBorder="1" applyAlignment="1">
      <alignment horizontal="center"/>
    </xf>
    <xf numFmtId="0" fontId="27" fillId="0" borderId="58" xfId="7" applyFont="1" applyBorder="1" applyAlignment="1">
      <alignment horizontal="center"/>
    </xf>
    <xf numFmtId="165" fontId="25" fillId="0" borderId="154" xfId="7" quotePrefix="1" applyNumberFormat="1" applyFont="1" applyBorder="1" applyAlignment="1">
      <alignment horizontal="center"/>
    </xf>
    <xf numFmtId="165" fontId="27" fillId="0" borderId="9" xfId="7" applyNumberFormat="1" applyFont="1" applyBorder="1" applyAlignment="1">
      <alignment horizontal="center"/>
    </xf>
    <xf numFmtId="165" fontId="27" fillId="0" borderId="31" xfId="7" applyNumberFormat="1" applyFont="1" applyBorder="1" applyAlignment="1">
      <alignment horizontal="center"/>
    </xf>
    <xf numFmtId="165" fontId="27" fillId="0" borderId="155" xfId="7" applyNumberFormat="1" applyFont="1" applyBorder="1" applyAlignment="1">
      <alignment horizontal="center"/>
    </xf>
    <xf numFmtId="165" fontId="25" fillId="0" borderId="156" xfId="7" quotePrefix="1" applyNumberFormat="1" applyFont="1" applyBorder="1" applyAlignment="1">
      <alignment horizontal="center"/>
    </xf>
    <xf numFmtId="165" fontId="27" fillId="0" borderId="134" xfId="7" applyNumberFormat="1" applyFont="1" applyBorder="1" applyAlignment="1">
      <alignment horizontal="center"/>
    </xf>
    <xf numFmtId="165" fontId="27" fillId="0" borderId="21" xfId="7" applyNumberFormat="1" applyFont="1" applyBorder="1" applyAlignment="1">
      <alignment horizontal="center"/>
    </xf>
    <xf numFmtId="165" fontId="27" fillId="0" borderId="22" xfId="7" applyNumberFormat="1" applyFont="1" applyBorder="1" applyAlignment="1">
      <alignment horizontal="center"/>
    </xf>
    <xf numFmtId="165" fontId="25" fillId="0" borderId="20" xfId="7" quotePrefix="1" applyNumberFormat="1" applyFont="1" applyBorder="1" applyAlignment="1">
      <alignment horizontal="center"/>
    </xf>
    <xf numFmtId="165" fontId="27" fillId="0" borderId="136" xfId="7" applyNumberFormat="1" applyFont="1" applyBorder="1" applyAlignment="1">
      <alignment horizontal="center"/>
    </xf>
    <xf numFmtId="165" fontId="27" fillId="0" borderId="35" xfId="7" applyNumberFormat="1" applyFont="1" applyBorder="1" applyAlignment="1">
      <alignment horizontal="center"/>
    </xf>
    <xf numFmtId="165" fontId="27" fillId="0" borderId="36" xfId="7" applyNumberFormat="1" applyFont="1" applyBorder="1" applyAlignment="1">
      <alignment horizontal="center"/>
    </xf>
    <xf numFmtId="164" fontId="2" fillId="0" borderId="1" xfId="8" applyNumberFormat="1" applyFont="1" applyBorder="1" applyAlignment="1">
      <alignment horizontal="centerContinuous"/>
    </xf>
    <xf numFmtId="164" fontId="2" fillId="0" borderId="2" xfId="8" applyNumberFormat="1" applyFont="1" applyBorder="1" applyAlignment="1">
      <alignment horizontal="centerContinuous"/>
    </xf>
    <xf numFmtId="164" fontId="3" fillId="0" borderId="3" xfId="8" applyNumberFormat="1" applyFont="1" applyBorder="1" applyAlignment="1">
      <alignment horizontal="left"/>
    </xf>
    <xf numFmtId="164" fontId="4" fillId="0" borderId="4" xfId="8" applyNumberFormat="1" applyFont="1" applyBorder="1"/>
    <xf numFmtId="164" fontId="3" fillId="0" borderId="5" xfId="8" applyNumberFormat="1" applyFont="1" applyBorder="1" applyAlignment="1">
      <alignment horizontal="centerContinuous"/>
    </xf>
    <xf numFmtId="164" fontId="4" fillId="0" borderId="6" xfId="8" applyNumberFormat="1" applyFont="1" applyBorder="1" applyAlignment="1">
      <alignment horizontal="centerContinuous"/>
    </xf>
    <xf numFmtId="164" fontId="1" fillId="0" borderId="0" xfId="8" applyNumberFormat="1"/>
    <xf numFmtId="164" fontId="2" fillId="0" borderId="7" xfId="8" applyNumberFormat="1" applyFont="1" applyBorder="1" applyAlignment="1">
      <alignment horizontal="centerContinuous"/>
    </xf>
    <xf numFmtId="164" fontId="2" fillId="0" borderId="0" xfId="8" applyNumberFormat="1" applyFont="1" applyAlignment="1">
      <alignment horizontal="centerContinuous"/>
    </xf>
    <xf numFmtId="164" fontId="3" fillId="0" borderId="8" xfId="8" applyNumberFormat="1" applyFont="1" applyBorder="1" applyAlignment="1">
      <alignment horizontal="left"/>
    </xf>
    <xf numFmtId="164" fontId="4" fillId="0" borderId="9" xfId="8" applyNumberFormat="1" applyFont="1" applyBorder="1"/>
    <xf numFmtId="164" fontId="3" fillId="0" borderId="10" xfId="8" applyNumberFormat="1" applyFont="1" applyBorder="1" applyAlignment="1">
      <alignment horizontal="centerContinuous"/>
    </xf>
    <xf numFmtId="164" fontId="4" fillId="0" borderId="11" xfId="8" applyNumberFormat="1" applyFont="1" applyBorder="1" applyAlignment="1">
      <alignment horizontal="centerContinuous"/>
    </xf>
    <xf numFmtId="164" fontId="4" fillId="0" borderId="7" xfId="8" applyNumberFormat="1" applyFont="1" applyBorder="1" applyAlignment="1">
      <alignment horizontal="centerContinuous"/>
    </xf>
    <xf numFmtId="164" fontId="4" fillId="0" borderId="0" xfId="8" applyNumberFormat="1" applyFont="1" applyAlignment="1">
      <alignment horizontal="centerContinuous"/>
    </xf>
    <xf numFmtId="164" fontId="7" fillId="0" borderId="7" xfId="8" applyNumberFormat="1" applyFont="1" applyBorder="1" applyAlignment="1">
      <alignment horizontal="centerContinuous"/>
    </xf>
    <xf numFmtId="164" fontId="9" fillId="0" borderId="12" xfId="8" applyNumberFormat="1" applyFont="1" applyBorder="1" applyAlignment="1">
      <alignment horizontal="centerContinuous"/>
    </xf>
    <xf numFmtId="164" fontId="4" fillId="0" borderId="13" xfId="8" applyNumberFormat="1" applyFont="1" applyBorder="1" applyAlignment="1">
      <alignment horizontal="centerContinuous"/>
    </xf>
    <xf numFmtId="164" fontId="3" fillId="0" borderId="12" xfId="8" applyNumberFormat="1" applyFont="1" applyBorder="1" applyAlignment="1">
      <alignment horizontal="left"/>
    </xf>
    <xf numFmtId="164" fontId="4" fillId="0" borderId="14" xfId="8" applyNumberFormat="1" applyFont="1" applyBorder="1"/>
    <xf numFmtId="164" fontId="81" fillId="0" borderId="13" xfId="8" applyNumberFormat="1" applyFont="1" applyBorder="1" applyAlignment="1">
      <alignment horizontal="centerContinuous"/>
    </xf>
    <xf numFmtId="164" fontId="4" fillId="0" borderId="15" xfId="8" applyNumberFormat="1" applyFont="1" applyBorder="1" applyAlignment="1">
      <alignment horizontal="centerContinuous"/>
    </xf>
    <xf numFmtId="164" fontId="7" fillId="0" borderId="0" xfId="9" applyNumberFormat="1" applyFont="1" applyAlignment="1">
      <alignment horizontal="centerContinuous"/>
    </xf>
    <xf numFmtId="164" fontId="4" fillId="0" borderId="0" xfId="9" applyNumberFormat="1" applyFont="1" applyAlignment="1">
      <alignment horizontal="centerContinuous"/>
    </xf>
    <xf numFmtId="164" fontId="3" fillId="0" borderId="0" xfId="9" applyNumberFormat="1" applyFont="1" applyAlignment="1">
      <alignment horizontal="left"/>
    </xf>
    <xf numFmtId="164" fontId="4" fillId="0" borderId="0" xfId="9" applyNumberFormat="1" applyFont="1"/>
    <xf numFmtId="164" fontId="3" fillId="0" borderId="0" xfId="9" applyNumberFormat="1" applyFont="1" applyAlignment="1">
      <alignment horizontal="centerContinuous"/>
    </xf>
    <xf numFmtId="164" fontId="4" fillId="0" borderId="0" xfId="8" applyNumberFormat="1" applyFont="1"/>
    <xf numFmtId="164" fontId="14" fillId="0" borderId="0" xfId="8" applyNumberFormat="1" applyFont="1" applyAlignment="1">
      <alignment horizontal="center"/>
    </xf>
    <xf numFmtId="164" fontId="13" fillId="0" borderId="0" xfId="8" applyNumberFormat="1" applyFont="1" applyAlignment="1">
      <alignment horizontal="center"/>
    </xf>
    <xf numFmtId="164" fontId="82" fillId="0" borderId="133" xfId="8" applyNumberFormat="1" applyFont="1" applyBorder="1" applyAlignment="1">
      <alignment horizontal="right"/>
    </xf>
    <xf numFmtId="165" fontId="13" fillId="0" borderId="0" xfId="8" applyNumberFormat="1" applyFont="1" applyAlignment="1">
      <alignment horizontal="center"/>
    </xf>
    <xf numFmtId="165" fontId="13" fillId="0" borderId="0" xfId="8" quotePrefix="1" applyNumberFormat="1" applyFont="1" applyAlignment="1">
      <alignment horizontal="center"/>
    </xf>
    <xf numFmtId="1" fontId="13" fillId="0" borderId="0" xfId="8" applyNumberFormat="1" applyFont="1" applyAlignment="1">
      <alignment horizontal="center"/>
    </xf>
    <xf numFmtId="1" fontId="13" fillId="0" borderId="0" xfId="8" quotePrefix="1" applyNumberFormat="1" applyFont="1" applyAlignment="1">
      <alignment horizontal="center"/>
    </xf>
    <xf numFmtId="164" fontId="83" fillId="0" borderId="157" xfId="8" applyNumberFormat="1" applyFont="1" applyBorder="1" applyAlignment="1">
      <alignment horizontal="right"/>
    </xf>
    <xf numFmtId="165" fontId="82" fillId="0" borderId="133" xfId="8" applyNumberFormat="1" applyFont="1" applyBorder="1" applyAlignment="1">
      <alignment horizontal="right"/>
    </xf>
    <xf numFmtId="165" fontId="11" fillId="0" borderId="133" xfId="8" applyNumberFormat="1" applyFont="1" applyBorder="1" applyAlignment="1">
      <alignment horizontal="left"/>
    </xf>
    <xf numFmtId="165" fontId="11" fillId="0" borderId="133" xfId="8" applyNumberFormat="1" applyFont="1" applyBorder="1" applyAlignment="1">
      <alignment horizontal="center"/>
    </xf>
    <xf numFmtId="164" fontId="13" fillId="0" borderId="27" xfId="8" applyNumberFormat="1" applyFont="1" applyBorder="1"/>
    <xf numFmtId="164" fontId="13" fillId="0" borderId="0" xfId="8" applyNumberFormat="1" applyFont="1"/>
    <xf numFmtId="164" fontId="13" fillId="0" borderId="0" xfId="8" applyNumberFormat="1" applyFont="1" applyAlignment="1">
      <alignment horizontal="centerContinuous"/>
    </xf>
    <xf numFmtId="164" fontId="84" fillId="0" borderId="0" xfId="8" applyNumberFormat="1" applyFont="1" applyAlignment="1">
      <alignment horizontal="center"/>
    </xf>
    <xf numFmtId="39" fontId="13" fillId="0" borderId="0" xfId="8" applyNumberFormat="1" applyFont="1" applyAlignment="1">
      <alignment horizontal="center"/>
    </xf>
    <xf numFmtId="164" fontId="7" fillId="0" borderId="0" xfId="10" applyNumberFormat="1" applyFont="1" applyAlignment="1">
      <alignment horizontal="centerContinuous"/>
    </xf>
    <xf numFmtId="164" fontId="13" fillId="0" borderId="0" xfId="10" applyNumberFormat="1" applyFont="1" applyAlignment="1">
      <alignment horizontal="centerContinuous"/>
    </xf>
    <xf numFmtId="164" fontId="16" fillId="0" borderId="0" xfId="8" applyNumberFormat="1" applyFont="1" applyAlignment="1">
      <alignment horizontal="center"/>
    </xf>
    <xf numFmtId="1" fontId="82" fillId="0" borderId="133" xfId="8" applyNumberFormat="1" applyFont="1" applyBorder="1" applyAlignment="1">
      <alignment horizontal="right"/>
    </xf>
    <xf numFmtId="1" fontId="11" fillId="0" borderId="133" xfId="8" applyNumberFormat="1" applyFont="1" applyBorder="1" applyAlignment="1">
      <alignment horizontal="left"/>
    </xf>
    <xf numFmtId="1" fontId="11" fillId="0" borderId="133" xfId="8" applyNumberFormat="1" applyFont="1" applyBorder="1" applyAlignment="1">
      <alignment horizontal="center"/>
    </xf>
    <xf numFmtId="164" fontId="85" fillId="0" borderId="0" xfId="10" applyNumberFormat="1" applyFont="1" applyAlignment="1">
      <alignment horizontal="center"/>
    </xf>
    <xf numFmtId="174" fontId="13" fillId="0" borderId="0" xfId="10" quotePrefix="1" applyNumberFormat="1" applyFont="1" applyAlignment="1">
      <alignment horizontal="center"/>
    </xf>
    <xf numFmtId="174" fontId="13" fillId="0" borderId="0" xfId="10" applyNumberFormat="1" applyFont="1" applyAlignment="1">
      <alignment horizontal="center"/>
    </xf>
    <xf numFmtId="164" fontId="11" fillId="0" borderId="133" xfId="8" applyNumberFormat="1" applyFont="1" applyBorder="1" applyAlignment="1">
      <alignment horizontal="left"/>
    </xf>
    <xf numFmtId="39" fontId="11" fillId="0" borderId="133" xfId="8" applyNumberFormat="1" applyFont="1" applyBorder="1" applyAlignment="1">
      <alignment horizontal="center"/>
    </xf>
    <xf numFmtId="164" fontId="84" fillId="0" borderId="27" xfId="8" applyNumberFormat="1" applyFont="1" applyBorder="1" applyAlignment="1">
      <alignment horizontal="center"/>
    </xf>
    <xf numFmtId="164" fontId="14" fillId="0" borderId="0" xfId="10" applyNumberFormat="1" applyFont="1" applyAlignment="1">
      <alignment horizontal="centerContinuous"/>
    </xf>
    <xf numFmtId="164" fontId="13" fillId="0" borderId="0" xfId="10" quotePrefix="1" applyNumberFormat="1" applyFont="1" applyAlignment="1">
      <alignment horizontal="center"/>
    </xf>
    <xf numFmtId="181" fontId="13" fillId="0" borderId="0" xfId="10" quotePrefix="1" applyNumberFormat="1" applyFont="1" applyAlignment="1">
      <alignment horizontal="centerContinuous"/>
    </xf>
    <xf numFmtId="164" fontId="13" fillId="0" borderId="0" xfId="8" applyNumberFormat="1" applyFont="1" applyAlignment="1">
      <alignment horizontal="left"/>
    </xf>
    <xf numFmtId="1" fontId="16" fillId="0" borderId="0" xfId="8" applyNumberFormat="1" applyFont="1" applyAlignment="1">
      <alignment horizontal="center"/>
    </xf>
    <xf numFmtId="164" fontId="16" fillId="0" borderId="0" xfId="8" applyNumberFormat="1" applyFont="1"/>
    <xf numFmtId="164" fontId="7" fillId="0" borderId="0" xfId="10" applyNumberFormat="1" applyFont="1" applyAlignment="1">
      <alignment horizontal="center"/>
    </xf>
    <xf numFmtId="164" fontId="22" fillId="0" borderId="0" xfId="8" applyNumberFormat="1" applyFont="1" applyAlignment="1">
      <alignment horizontal="left"/>
    </xf>
    <xf numFmtId="1" fontId="1" fillId="0" borderId="0" xfId="8" applyNumberFormat="1" applyAlignment="1">
      <alignment horizontal="center"/>
    </xf>
    <xf numFmtId="1" fontId="7" fillId="0" borderId="0" xfId="8" applyNumberFormat="1" applyFont="1" applyAlignment="1">
      <alignment horizontal="center"/>
    </xf>
    <xf numFmtId="164" fontId="22" fillId="0" borderId="0" xfId="8" applyNumberFormat="1" applyFont="1" applyAlignment="1">
      <alignment horizontal="right"/>
    </xf>
    <xf numFmtId="164" fontId="7" fillId="0" borderId="18" xfId="8" applyNumberFormat="1" applyFont="1" applyBorder="1" applyAlignment="1">
      <alignment horizontal="centerContinuous"/>
    </xf>
    <xf numFmtId="14" fontId="7" fillId="0" borderId="18" xfId="8" quotePrefix="1" applyNumberFormat="1" applyFont="1" applyBorder="1" applyAlignment="1">
      <alignment horizontal="centerContinuous"/>
    </xf>
    <xf numFmtId="164" fontId="2" fillId="0" borderId="1" xfId="11" applyNumberFormat="1" applyFont="1" applyBorder="1" applyAlignment="1">
      <alignment horizontal="centerContinuous"/>
    </xf>
    <xf numFmtId="164" fontId="2" fillId="0" borderId="2" xfId="11" applyNumberFormat="1" applyFont="1" applyBorder="1" applyAlignment="1">
      <alignment horizontal="centerContinuous"/>
    </xf>
    <xf numFmtId="164" fontId="3" fillId="0" borderId="3" xfId="11" applyNumberFormat="1" applyFont="1" applyBorder="1" applyAlignment="1">
      <alignment horizontal="left"/>
    </xf>
    <xf numFmtId="164" fontId="4" fillId="0" borderId="4" xfId="11" applyNumberFormat="1" applyFont="1" applyBorder="1"/>
    <xf numFmtId="164" fontId="7" fillId="0" borderId="0" xfId="11" applyNumberFormat="1" applyFont="1"/>
    <xf numFmtId="164" fontId="71" fillId="0" borderId="0" xfId="11" applyNumberFormat="1"/>
    <xf numFmtId="164" fontId="2" fillId="0" borderId="7" xfId="11" applyNumberFormat="1" applyFont="1" applyBorder="1" applyAlignment="1">
      <alignment horizontal="centerContinuous"/>
    </xf>
    <xf numFmtId="164" fontId="2" fillId="0" borderId="0" xfId="11" applyNumberFormat="1" applyFont="1" applyAlignment="1">
      <alignment horizontal="centerContinuous"/>
    </xf>
    <xf numFmtId="164" fontId="3" fillId="0" borderId="8" xfId="11" applyNumberFormat="1" applyFont="1" applyBorder="1" applyAlignment="1">
      <alignment horizontal="left"/>
    </xf>
    <xf numFmtId="164" fontId="4" fillId="0" borderId="9" xfId="11" applyNumberFormat="1" applyFont="1" applyBorder="1"/>
    <xf numFmtId="164" fontId="3" fillId="0" borderId="10" xfId="11" applyNumberFormat="1" applyFont="1" applyBorder="1" applyAlignment="1">
      <alignment horizontal="centerContinuous"/>
    </xf>
    <xf numFmtId="164" fontId="4" fillId="0" borderId="11" xfId="11" applyNumberFormat="1" applyFont="1" applyBorder="1" applyAlignment="1">
      <alignment horizontal="centerContinuous"/>
    </xf>
    <xf numFmtId="164" fontId="4" fillId="0" borderId="7" xfId="11" applyNumberFormat="1" applyFont="1" applyBorder="1" applyAlignment="1">
      <alignment horizontal="centerContinuous"/>
    </xf>
    <xf numFmtId="164" fontId="4" fillId="0" borderId="0" xfId="11" applyNumberFormat="1" applyFont="1" applyAlignment="1">
      <alignment horizontal="centerContinuous"/>
    </xf>
    <xf numFmtId="164" fontId="5" fillId="0" borderId="7" xfId="11" applyNumberFormat="1" applyFont="1" applyBorder="1" applyAlignment="1">
      <alignment horizontal="centerContinuous"/>
    </xf>
    <xf numFmtId="164" fontId="7" fillId="0" borderId="7" xfId="11" applyNumberFormat="1" applyFont="1" applyBorder="1" applyAlignment="1">
      <alignment horizontal="centerContinuous"/>
    </xf>
    <xf numFmtId="164" fontId="7" fillId="0" borderId="12" xfId="11" applyNumberFormat="1" applyFont="1" applyBorder="1" applyAlignment="1">
      <alignment horizontal="centerContinuous"/>
    </xf>
    <xf numFmtId="164" fontId="4" fillId="0" borderId="13" xfId="11" applyNumberFormat="1" applyFont="1" applyBorder="1" applyAlignment="1">
      <alignment horizontal="centerContinuous"/>
    </xf>
    <xf numFmtId="164" fontId="3" fillId="0" borderId="12" xfId="11" applyNumberFormat="1" applyFont="1" applyBorder="1" applyAlignment="1">
      <alignment horizontal="left"/>
    </xf>
    <xf numFmtId="164" fontId="4" fillId="0" borderId="14" xfId="11" applyNumberFormat="1" applyFont="1" applyBorder="1"/>
    <xf numFmtId="164" fontId="4" fillId="0" borderId="0" xfId="11" applyNumberFormat="1" applyFont="1"/>
    <xf numFmtId="164" fontId="84" fillId="0" borderId="158" xfId="11" applyNumberFormat="1" applyFont="1" applyBorder="1"/>
    <xf numFmtId="164" fontId="84" fillId="0" borderId="159" xfId="11" applyNumberFormat="1" applyFont="1" applyBorder="1"/>
    <xf numFmtId="164" fontId="71" fillId="0" borderId="159" xfId="11" applyNumberFormat="1" applyBorder="1"/>
    <xf numFmtId="164" fontId="84" fillId="0" borderId="159" xfId="11" applyNumberFormat="1" applyFont="1" applyBorder="1" applyAlignment="1">
      <alignment horizontal="right"/>
    </xf>
    <xf numFmtId="182" fontId="83" fillId="0" borderId="159" xfId="11" applyNumberFormat="1" applyFont="1" applyBorder="1"/>
    <xf numFmtId="164" fontId="83" fillId="0" borderId="159" xfId="11" applyNumberFormat="1" applyFont="1" applyBorder="1"/>
    <xf numFmtId="164" fontId="83" fillId="0" borderId="159" xfId="11" applyNumberFormat="1" applyFont="1" applyBorder="1" applyAlignment="1">
      <alignment horizontal="right"/>
    </xf>
    <xf numFmtId="164" fontId="83" fillId="0" borderId="159" xfId="11" quotePrefix="1" applyNumberFormat="1" applyFont="1" applyBorder="1"/>
    <xf numFmtId="164" fontId="71" fillId="0" borderId="160" xfId="11" applyNumberFormat="1" applyBorder="1"/>
    <xf numFmtId="164" fontId="71" fillId="0" borderId="12" xfId="11" applyNumberFormat="1" applyBorder="1"/>
    <xf numFmtId="164" fontId="71" fillId="0" borderId="13" xfId="11" applyNumberFormat="1" applyBorder="1"/>
    <xf numFmtId="164" fontId="83" fillId="0" borderId="13" xfId="11" applyNumberFormat="1" applyFont="1" applyBorder="1" applyAlignment="1">
      <alignment horizontal="right"/>
    </xf>
    <xf numFmtId="182" fontId="83" fillId="0" borderId="13" xfId="11" applyNumberFormat="1" applyFont="1" applyBorder="1"/>
    <xf numFmtId="164" fontId="83" fillId="0" borderId="13" xfId="11" applyNumberFormat="1" applyFont="1" applyBorder="1"/>
    <xf numFmtId="164" fontId="71" fillId="0" borderId="15" xfId="11" applyNumberFormat="1" applyBorder="1"/>
    <xf numFmtId="164" fontId="82" fillId="0" borderId="129" xfId="11" applyNumberFormat="1" applyFont="1" applyBorder="1" applyAlignment="1">
      <alignment horizontal="center"/>
    </xf>
    <xf numFmtId="164" fontId="71" fillId="0" borderId="158" xfId="11" applyNumberFormat="1" applyBorder="1"/>
    <xf numFmtId="164" fontId="86" fillId="0" borderId="159" xfId="11" applyNumberFormat="1" applyFont="1" applyBorder="1" applyAlignment="1">
      <alignment horizontal="right"/>
    </xf>
    <xf numFmtId="164" fontId="83" fillId="0" borderId="129" xfId="11" applyNumberFormat="1" applyFont="1" applyBorder="1" applyAlignment="1">
      <alignment horizontal="right"/>
    </xf>
    <xf numFmtId="164" fontId="87" fillId="0" borderId="159" xfId="11" applyNumberFormat="1" applyFont="1" applyBorder="1" applyAlignment="1">
      <alignment horizontal="right"/>
    </xf>
    <xf numFmtId="164" fontId="71" fillId="0" borderId="7" xfId="11" applyNumberFormat="1" applyBorder="1"/>
    <xf numFmtId="164" fontId="83" fillId="0" borderId="0" xfId="11" applyNumberFormat="1" applyFont="1" applyAlignment="1">
      <alignment horizontal="right"/>
    </xf>
    <xf numFmtId="164" fontId="86" fillId="0" borderId="0" xfId="11" applyNumberFormat="1" applyFont="1" applyAlignment="1">
      <alignment horizontal="right"/>
    </xf>
    <xf numFmtId="164" fontId="71" fillId="0" borderId="129" xfId="11" applyNumberFormat="1" applyBorder="1"/>
    <xf numFmtId="164" fontId="87" fillId="0" borderId="0" xfId="11" applyNumberFormat="1" applyFont="1" applyAlignment="1">
      <alignment horizontal="right"/>
    </xf>
    <xf numFmtId="164" fontId="86" fillId="0" borderId="13" xfId="11" applyNumberFormat="1" applyFont="1" applyBorder="1" applyAlignment="1">
      <alignment horizontal="right"/>
    </xf>
    <xf numFmtId="164" fontId="87" fillId="0" borderId="13" xfId="11" applyNumberFormat="1" applyFont="1" applyBorder="1" applyAlignment="1">
      <alignment horizontal="right"/>
    </xf>
    <xf numFmtId="164" fontId="71" fillId="0" borderId="166" xfId="11" applyNumberFormat="1" applyBorder="1"/>
    <xf numFmtId="164" fontId="71" fillId="0" borderId="0" xfId="11" applyNumberFormat="1" applyAlignment="1">
      <alignment horizontal="right"/>
    </xf>
    <xf numFmtId="164" fontId="71" fillId="0" borderId="29" xfId="11" applyNumberFormat="1" applyBorder="1"/>
    <xf numFmtId="164" fontId="71" fillId="0" borderId="13" xfId="11" applyNumberFormat="1" applyBorder="1" applyAlignment="1">
      <alignment horizontal="right"/>
    </xf>
    <xf numFmtId="0" fontId="10" fillId="0" borderId="0" xfId="12"/>
    <xf numFmtId="0" fontId="10" fillId="0" borderId="0" xfId="13"/>
    <xf numFmtId="164" fontId="71" fillId="0" borderId="0" xfId="11" applyNumberFormat="1" applyAlignment="1">
      <alignment horizontal="center"/>
    </xf>
    <xf numFmtId="164" fontId="71" fillId="0" borderId="40" xfId="11" quotePrefix="1" applyNumberFormat="1" applyBorder="1" applyAlignment="1">
      <alignment horizontal="center"/>
    </xf>
    <xf numFmtId="164" fontId="71" fillId="0" borderId="44" xfId="11" quotePrefix="1" applyNumberFormat="1" applyBorder="1" applyAlignment="1">
      <alignment horizontal="center"/>
    </xf>
    <xf numFmtId="164" fontId="71" fillId="0" borderId="44" xfId="11" applyNumberFormat="1" applyBorder="1" applyAlignment="1">
      <alignment horizontal="center"/>
    </xf>
    <xf numFmtId="164" fontId="71" fillId="0" borderId="41" xfId="11" applyNumberFormat="1" applyBorder="1" applyAlignment="1">
      <alignment horizontal="center"/>
    </xf>
    <xf numFmtId="165" fontId="83" fillId="0" borderId="23" xfId="11" applyNumberFormat="1" applyFont="1" applyBorder="1" applyAlignment="1">
      <alignment horizontal="center"/>
    </xf>
    <xf numFmtId="165" fontId="83" fillId="0" borderId="21" xfId="11" applyNumberFormat="1" applyFont="1" applyBorder="1" applyAlignment="1">
      <alignment horizontal="center"/>
    </xf>
    <xf numFmtId="165" fontId="83" fillId="0" borderId="22" xfId="11" applyNumberFormat="1" applyFont="1" applyBorder="1" applyAlignment="1">
      <alignment horizontal="center"/>
    </xf>
    <xf numFmtId="165" fontId="83" fillId="0" borderId="34" xfId="11" quotePrefix="1" applyNumberFormat="1" applyFont="1" applyBorder="1" applyAlignment="1">
      <alignment horizontal="center"/>
    </xf>
    <xf numFmtId="165" fontId="83" fillId="0" borderId="35" xfId="11" quotePrefix="1" applyNumberFormat="1" applyFont="1" applyBorder="1" applyAlignment="1">
      <alignment horizontal="center"/>
    </xf>
    <xf numFmtId="165" fontId="83" fillId="0" borderId="36" xfId="11" quotePrefix="1" applyNumberFormat="1" applyFont="1" applyBorder="1" applyAlignment="1">
      <alignment horizontal="center"/>
    </xf>
    <xf numFmtId="164" fontId="91" fillId="0" borderId="0" xfId="11" applyNumberFormat="1" applyFont="1" applyAlignment="1">
      <alignment horizontal="right"/>
    </xf>
    <xf numFmtId="164" fontId="83" fillId="0" borderId="0" xfId="11" applyNumberFormat="1" applyFont="1"/>
    <xf numFmtId="0" fontId="31" fillId="0" borderId="0" xfId="14" applyFont="1"/>
    <xf numFmtId="164" fontId="92" fillId="0" borderId="0" xfId="11" applyNumberFormat="1" applyFont="1" applyAlignment="1">
      <alignment horizontal="left"/>
    </xf>
    <xf numFmtId="164" fontId="13" fillId="0" borderId="0" xfId="11" applyNumberFormat="1" applyFont="1" applyAlignment="1">
      <alignment horizontal="left"/>
    </xf>
    <xf numFmtId="14" fontId="40" fillId="3" borderId="124" xfId="4" applyNumberFormat="1" applyFont="1" applyFill="1" applyBorder="1" applyAlignment="1">
      <alignment horizontal="center"/>
    </xf>
    <xf numFmtId="14" fontId="40" fillId="3" borderId="125" xfId="4" applyNumberFormat="1" applyFont="1" applyFill="1" applyBorder="1" applyAlignment="1">
      <alignment horizontal="center"/>
    </xf>
    <xf numFmtId="0" fontId="42" fillId="0" borderId="7" xfId="4" applyFont="1" applyBorder="1" applyAlignment="1">
      <alignment horizontal="center"/>
    </xf>
    <xf numFmtId="0" fontId="42" fillId="0" borderId="0" xfId="4" applyFont="1" applyAlignment="1">
      <alignment horizontal="center"/>
    </xf>
    <xf numFmtId="0" fontId="42" fillId="0" borderId="111" xfId="4" applyFont="1" applyBorder="1" applyAlignment="1">
      <alignment horizontal="center"/>
    </xf>
    <xf numFmtId="0" fontId="42" fillId="0" borderId="8" xfId="4" applyFont="1" applyBorder="1" applyAlignment="1">
      <alignment horizontal="center"/>
    </xf>
    <xf numFmtId="0" fontId="42" fillId="0" borderId="10" xfId="4" applyFont="1" applyBorder="1" applyAlignment="1">
      <alignment horizontal="center"/>
    </xf>
    <xf numFmtId="0" fontId="42" fillId="0" borderId="9" xfId="4" applyFont="1" applyBorder="1" applyAlignment="1">
      <alignment horizontal="center"/>
    </xf>
    <xf numFmtId="0" fontId="36" fillId="0" borderId="105" xfId="4" applyFont="1" applyBorder="1" applyAlignment="1">
      <alignment horizontal="left"/>
    </xf>
    <xf numFmtId="0" fontId="36" fillId="0" borderId="65" xfId="4" applyFont="1" applyBorder="1" applyAlignment="1">
      <alignment horizontal="left"/>
    </xf>
    <xf numFmtId="0" fontId="36" fillId="0" borderId="46" xfId="4" applyFont="1" applyBorder="1" applyAlignment="1">
      <alignment horizontal="left"/>
    </xf>
    <xf numFmtId="0" fontId="42" fillId="0" borderId="12" xfId="4" applyFont="1" applyBorder="1" applyAlignment="1">
      <alignment horizontal="center"/>
    </xf>
    <xf numFmtId="0" fontId="42" fillId="0" borderId="13" xfId="4" applyFont="1" applyBorder="1" applyAlignment="1">
      <alignment horizontal="center"/>
    </xf>
    <xf numFmtId="0" fontId="42" fillId="0" borderId="14" xfId="4" applyFont="1" applyBorder="1" applyAlignment="1">
      <alignment horizontal="center"/>
    </xf>
    <xf numFmtId="0" fontId="59" fillId="3" borderId="119" xfId="4" applyFont="1" applyFill="1" applyBorder="1" applyAlignment="1">
      <alignment horizontal="center"/>
    </xf>
    <xf numFmtId="0" fontId="59" fillId="3" borderId="120" xfId="4" applyFont="1" applyFill="1" applyBorder="1" applyAlignment="1">
      <alignment horizontal="center"/>
    </xf>
    <xf numFmtId="0" fontId="47" fillId="0" borderId="68" xfId="4" applyFont="1" applyBorder="1" applyAlignment="1">
      <alignment horizontal="center"/>
    </xf>
    <xf numFmtId="0" fontId="47" fillId="0" borderId="69" xfId="4" applyFont="1" applyBorder="1" applyAlignment="1">
      <alignment horizontal="center"/>
    </xf>
    <xf numFmtId="177" fontId="47" fillId="3" borderId="68" xfId="4" applyNumberFormat="1" applyFont="1" applyFill="1" applyBorder="1" applyAlignment="1">
      <alignment horizontal="center"/>
    </xf>
    <xf numFmtId="177" fontId="47" fillId="3" borderId="69" xfId="4" applyNumberFormat="1" applyFont="1" applyFill="1" applyBorder="1" applyAlignment="1">
      <alignment horizontal="center"/>
    </xf>
    <xf numFmtId="1" fontId="47" fillId="3" borderId="68" xfId="4" applyNumberFormat="1" applyFont="1" applyFill="1" applyBorder="1" applyAlignment="1">
      <alignment horizontal="center"/>
    </xf>
    <xf numFmtId="1" fontId="47" fillId="3" borderId="69" xfId="4" applyNumberFormat="1" applyFont="1" applyFill="1" applyBorder="1" applyAlignment="1">
      <alignment horizontal="center"/>
    </xf>
    <xf numFmtId="1" fontId="47" fillId="3" borderId="103" xfId="4" applyNumberFormat="1" applyFont="1" applyFill="1" applyBorder="1" applyAlignment="1">
      <alignment horizontal="center"/>
    </xf>
    <xf numFmtId="1" fontId="47" fillId="3" borderId="104" xfId="4" applyNumberFormat="1" applyFont="1" applyFill="1" applyBorder="1" applyAlignment="1">
      <alignment horizontal="center"/>
    </xf>
    <xf numFmtId="0" fontId="42" fillId="0" borderId="110" xfId="4" applyFont="1" applyBorder="1" applyAlignment="1">
      <alignment horizontal="left"/>
    </xf>
    <xf numFmtId="0" fontId="42" fillId="0" borderId="80" xfId="4" applyFont="1" applyBorder="1" applyAlignment="1">
      <alignment horizontal="left"/>
    </xf>
    <xf numFmtId="0" fontId="36" fillId="3" borderId="64" xfId="4" applyFont="1" applyFill="1" applyBorder="1" applyAlignment="1">
      <alignment horizontal="left"/>
    </xf>
    <xf numFmtId="0" fontId="36" fillId="3" borderId="65" xfId="4" applyFont="1" applyFill="1" applyBorder="1" applyAlignment="1">
      <alignment horizontal="left"/>
    </xf>
    <xf numFmtId="0" fontId="36" fillId="3" borderId="48" xfId="4" applyFont="1" applyFill="1" applyBorder="1" applyAlignment="1">
      <alignment horizontal="left"/>
    </xf>
    <xf numFmtId="0" fontId="45" fillId="3" borderId="78" xfId="4" quotePrefix="1" applyFont="1" applyFill="1" applyBorder="1" applyAlignment="1">
      <alignment horizontal="left"/>
    </xf>
    <xf numFmtId="0" fontId="45" fillId="3" borderId="71" xfId="4" quotePrefix="1" applyFont="1" applyFill="1" applyBorder="1" applyAlignment="1">
      <alignment horizontal="left"/>
    </xf>
    <xf numFmtId="0" fontId="45" fillId="3" borderId="72" xfId="4" quotePrefix="1" applyFont="1" applyFill="1" applyBorder="1" applyAlignment="1">
      <alignment horizontal="left"/>
    </xf>
    <xf numFmtId="2" fontId="47" fillId="3" borderId="68" xfId="4" applyNumberFormat="1" applyFont="1" applyFill="1" applyBorder="1" applyAlignment="1">
      <alignment horizontal="center"/>
    </xf>
    <xf numFmtId="2" fontId="47" fillId="3" borderId="69" xfId="4" applyNumberFormat="1" applyFont="1" applyFill="1" applyBorder="1" applyAlignment="1">
      <alignment horizontal="center"/>
    </xf>
    <xf numFmtId="0" fontId="47" fillId="3" borderId="68" xfId="4" applyFont="1" applyFill="1" applyBorder="1" applyAlignment="1">
      <alignment horizontal="center"/>
    </xf>
    <xf numFmtId="0" fontId="47" fillId="3" borderId="69" xfId="4" applyFont="1" applyFill="1" applyBorder="1" applyAlignment="1">
      <alignment horizontal="center"/>
    </xf>
    <xf numFmtId="0" fontId="36" fillId="0" borderId="83" xfId="4" applyFont="1" applyBorder="1" applyAlignment="1">
      <alignment horizontal="left"/>
    </xf>
    <xf numFmtId="0" fontId="36" fillId="0" borderId="84" xfId="4" applyFont="1" applyBorder="1" applyAlignment="1">
      <alignment horizontal="left"/>
    </xf>
    <xf numFmtId="0" fontId="36" fillId="0" borderId="85" xfId="4" applyFont="1" applyBorder="1" applyAlignment="1">
      <alignment horizontal="left"/>
    </xf>
    <xf numFmtId="165" fontId="47" fillId="3" borderId="68" xfId="4" applyNumberFormat="1" applyFont="1" applyFill="1" applyBorder="1" applyAlignment="1">
      <alignment horizontal="center"/>
    </xf>
    <xf numFmtId="165" fontId="47" fillId="3" borderId="69" xfId="4" applyNumberFormat="1" applyFont="1" applyFill="1" applyBorder="1" applyAlignment="1">
      <alignment horizontal="center"/>
    </xf>
    <xf numFmtId="0" fontId="45" fillId="3" borderId="90" xfId="4" applyFont="1" applyFill="1" applyBorder="1" applyAlignment="1">
      <alignment horizontal="center"/>
    </xf>
    <xf numFmtId="0" fontId="45" fillId="3" borderId="91" xfId="4" applyFont="1" applyFill="1" applyBorder="1" applyAlignment="1">
      <alignment horizontal="center"/>
    </xf>
    <xf numFmtId="0" fontId="45" fillId="3" borderId="86" xfId="4" applyFont="1" applyFill="1" applyBorder="1" applyAlignment="1">
      <alignment horizontal="center"/>
    </xf>
    <xf numFmtId="0" fontId="45" fillId="3" borderId="0" xfId="4" applyFont="1" applyFill="1" applyAlignment="1">
      <alignment horizontal="center"/>
    </xf>
    <xf numFmtId="0" fontId="45" fillId="3" borderId="88" xfId="4" applyFont="1" applyFill="1" applyBorder="1" applyAlignment="1">
      <alignment horizontal="center"/>
    </xf>
    <xf numFmtId="0" fontId="45" fillId="3" borderId="10" xfId="4" applyFont="1" applyFill="1" applyBorder="1" applyAlignment="1">
      <alignment horizontal="center"/>
    </xf>
    <xf numFmtId="0" fontId="45" fillId="3" borderId="92" xfId="4" applyFont="1" applyFill="1" applyBorder="1" applyAlignment="1">
      <alignment horizontal="left"/>
    </xf>
    <xf numFmtId="0" fontId="45" fillId="3" borderId="93" xfId="4" applyFont="1" applyFill="1" applyBorder="1" applyAlignment="1">
      <alignment horizontal="left"/>
    </xf>
    <xf numFmtId="0" fontId="45" fillId="3" borderId="94" xfId="4" applyFont="1" applyFill="1" applyBorder="1" applyAlignment="1">
      <alignment horizontal="left"/>
    </xf>
    <xf numFmtId="0" fontId="47" fillId="3" borderId="95" xfId="4" applyFont="1" applyFill="1" applyBorder="1" applyAlignment="1">
      <alignment horizontal="center"/>
    </xf>
    <xf numFmtId="0" fontId="47" fillId="0" borderId="95" xfId="4" applyFont="1" applyBorder="1" applyAlignment="1">
      <alignment horizontal="center"/>
    </xf>
    <xf numFmtId="0" fontId="45" fillId="3" borderId="78" xfId="4" applyFont="1" applyFill="1" applyBorder="1" applyAlignment="1">
      <alignment horizontal="left"/>
    </xf>
    <xf numFmtId="0" fontId="45" fillId="3" borderId="71" xfId="4" applyFont="1" applyFill="1" applyBorder="1" applyAlignment="1">
      <alignment horizontal="left"/>
    </xf>
    <xf numFmtId="0" fontId="45" fillId="3" borderId="72" xfId="4" applyFont="1" applyFill="1" applyBorder="1" applyAlignment="1">
      <alignment horizontal="left"/>
    </xf>
    <xf numFmtId="0" fontId="45" fillId="0" borderId="78" xfId="4" applyFont="1" applyBorder="1" applyAlignment="1">
      <alignment horizontal="left"/>
    </xf>
    <xf numFmtId="0" fontId="45" fillId="0" borderId="71" xfId="4" applyFont="1" applyBorder="1" applyAlignment="1">
      <alignment horizontal="left"/>
    </xf>
    <xf numFmtId="0" fontId="45" fillId="0" borderId="72" xfId="4" applyFont="1" applyBorder="1" applyAlignment="1">
      <alignment horizontal="left"/>
    </xf>
    <xf numFmtId="165" fontId="47" fillId="0" borderId="68" xfId="4" applyNumberFormat="1" applyFont="1" applyBorder="1" applyAlignment="1">
      <alignment horizontal="center"/>
    </xf>
    <xf numFmtId="165" fontId="47" fillId="0" borderId="69" xfId="4" applyNumberFormat="1" applyFont="1" applyBorder="1" applyAlignment="1">
      <alignment horizontal="center"/>
    </xf>
    <xf numFmtId="0" fontId="45" fillId="0" borderId="66" xfId="4" applyFont="1" applyBorder="1" applyAlignment="1">
      <alignment horizontal="left"/>
    </xf>
    <xf numFmtId="0" fontId="45" fillId="0" borderId="67" xfId="4" applyFont="1" applyBorder="1" applyAlignment="1">
      <alignment horizontal="left"/>
    </xf>
    <xf numFmtId="2" fontId="47" fillId="0" borderId="68" xfId="4" applyNumberFormat="1" applyFont="1" applyBorder="1" applyAlignment="1">
      <alignment horizontal="center"/>
    </xf>
    <xf numFmtId="2" fontId="47" fillId="0" borderId="69" xfId="4" applyNumberFormat="1" applyFont="1" applyBorder="1" applyAlignment="1">
      <alignment horizontal="center"/>
    </xf>
    <xf numFmtId="0" fontId="32" fillId="0" borderId="0" xfId="4" applyFont="1" applyAlignment="1">
      <alignment horizontal="center"/>
    </xf>
    <xf numFmtId="0" fontId="35" fillId="3" borderId="0" xfId="4" applyFont="1" applyFill="1" applyAlignment="1">
      <alignment horizontal="center"/>
    </xf>
    <xf numFmtId="0" fontId="37" fillId="3" borderId="13" xfId="4" applyFont="1" applyFill="1" applyBorder="1" applyAlignment="1">
      <alignment horizontal="center"/>
    </xf>
    <xf numFmtId="0" fontId="43" fillId="3" borderId="3" xfId="4" applyFont="1" applyFill="1" applyBorder="1" applyAlignment="1">
      <alignment horizontal="left"/>
    </xf>
    <xf numFmtId="0" fontId="43" fillId="3" borderId="5" xfId="4" applyFont="1" applyFill="1" applyBorder="1" applyAlignment="1">
      <alignment horizontal="left"/>
    </xf>
    <xf numFmtId="0" fontId="45" fillId="0" borderId="61" xfId="4" applyFont="1" applyBorder="1" applyAlignment="1">
      <alignment horizontal="left"/>
    </xf>
    <xf numFmtId="0" fontId="45" fillId="0" borderId="62" xfId="4" applyFont="1" applyBorder="1" applyAlignment="1">
      <alignment horizontal="left"/>
    </xf>
    <xf numFmtId="0" fontId="46" fillId="3" borderId="63" xfId="4" applyFont="1" applyFill="1" applyBorder="1" applyAlignment="1">
      <alignment horizontal="center"/>
    </xf>
    <xf numFmtId="0" fontId="46" fillId="3" borderId="59" xfId="4" applyFont="1" applyFill="1" applyBorder="1" applyAlignment="1">
      <alignment horizontal="center"/>
    </xf>
    <xf numFmtId="0" fontId="10" fillId="0" borderId="26" xfId="5" applyBorder="1" applyAlignment="1">
      <alignment horizontal="left"/>
    </xf>
    <xf numFmtId="0" fontId="10" fillId="0" borderId="133" xfId="5" applyBorder="1" applyAlignment="1">
      <alignment horizontal="left"/>
    </xf>
    <xf numFmtId="167" fontId="10" fillId="0" borderId="26" xfId="5" applyNumberFormat="1" applyBorder="1" applyAlignment="1">
      <alignment horizontal="center"/>
    </xf>
    <xf numFmtId="167" fontId="10" fillId="0" borderId="133" xfId="5" applyNumberFormat="1" applyBorder="1" applyAlignment="1">
      <alignment horizontal="center"/>
    </xf>
    <xf numFmtId="167" fontId="10" fillId="0" borderId="134" xfId="5" applyNumberFormat="1" applyBorder="1" applyAlignment="1">
      <alignment horizontal="center"/>
    </xf>
    <xf numFmtId="49" fontId="10" fillId="0" borderId="26" xfId="5" applyNumberFormat="1" applyBorder="1" applyAlignment="1">
      <alignment horizontal="center"/>
    </xf>
    <xf numFmtId="49" fontId="10" fillId="0" borderId="133" xfId="5" applyNumberFormat="1" applyBorder="1" applyAlignment="1">
      <alignment horizontal="center"/>
    </xf>
    <xf numFmtId="49" fontId="10" fillId="0" borderId="27" xfId="5" applyNumberFormat="1" applyBorder="1" applyAlignment="1">
      <alignment horizontal="center"/>
    </xf>
    <xf numFmtId="0" fontId="10" fillId="0" borderId="38" xfId="5" applyBorder="1" applyAlignment="1">
      <alignment horizontal="left"/>
    </xf>
    <xf numFmtId="0" fontId="10" fillId="0" borderId="135" xfId="5" applyBorder="1" applyAlignment="1">
      <alignment horizontal="left"/>
    </xf>
    <xf numFmtId="167" fontId="10" fillId="0" borderId="38" xfId="5" applyNumberFormat="1" applyBorder="1" applyAlignment="1">
      <alignment horizontal="center"/>
    </xf>
    <xf numFmtId="167" fontId="10" fillId="0" borderId="135" xfId="5" applyNumberFormat="1" applyBorder="1" applyAlignment="1">
      <alignment horizontal="center"/>
    </xf>
    <xf numFmtId="167" fontId="10" fillId="0" borderId="136" xfId="5" applyNumberFormat="1" applyBorder="1" applyAlignment="1">
      <alignment horizontal="center"/>
    </xf>
    <xf numFmtId="49" fontId="10" fillId="0" borderId="38" xfId="5" applyNumberFormat="1" applyBorder="1" applyAlignment="1">
      <alignment horizontal="center"/>
    </xf>
    <xf numFmtId="49" fontId="10" fillId="0" borderId="135" xfId="5" applyNumberFormat="1" applyBorder="1" applyAlignment="1">
      <alignment horizontal="center"/>
    </xf>
    <xf numFmtId="49" fontId="10" fillId="0" borderId="39" xfId="5" applyNumberFormat="1" applyBorder="1" applyAlignment="1">
      <alignment horizontal="center"/>
    </xf>
    <xf numFmtId="0" fontId="64" fillId="0" borderId="7" xfId="5" applyFont="1" applyBorder="1" applyAlignment="1">
      <alignment horizontal="center"/>
    </xf>
    <xf numFmtId="0" fontId="64" fillId="0" borderId="0" xfId="5" applyFont="1" applyAlignment="1">
      <alignment horizontal="center"/>
    </xf>
    <xf numFmtId="0" fontId="64" fillId="0" borderId="57" xfId="5" applyFont="1" applyBorder="1" applyAlignment="1">
      <alignment horizontal="center"/>
    </xf>
    <xf numFmtId="0" fontId="63" fillId="0" borderId="37" xfId="5" applyFont="1" applyBorder="1" applyAlignment="1">
      <alignment horizontal="center"/>
    </xf>
    <xf numFmtId="0" fontId="63" fillId="0" borderId="2" xfId="5" applyFont="1" applyBorder="1" applyAlignment="1">
      <alignment horizontal="center"/>
    </xf>
    <xf numFmtId="0" fontId="63" fillId="0" borderId="132" xfId="5" applyFont="1" applyBorder="1" applyAlignment="1">
      <alignment horizontal="center"/>
    </xf>
    <xf numFmtId="0" fontId="63" fillId="0" borderId="17" xfId="5" applyFont="1" applyBorder="1" applyAlignment="1">
      <alignment horizontal="center"/>
    </xf>
    <xf numFmtId="0" fontId="10" fillId="0" borderId="50" xfId="5" applyBorder="1" applyAlignment="1">
      <alignment horizontal="left"/>
    </xf>
    <xf numFmtId="0" fontId="10" fillId="0" borderId="5" xfId="5" applyBorder="1" applyAlignment="1">
      <alignment horizontal="left"/>
    </xf>
    <xf numFmtId="167" fontId="10" fillId="0" borderId="50" xfId="5" applyNumberFormat="1" applyBorder="1" applyAlignment="1">
      <alignment horizontal="center"/>
    </xf>
    <xf numFmtId="167" fontId="10" fillId="0" borderId="5" xfId="5" applyNumberFormat="1" applyBorder="1" applyAlignment="1">
      <alignment horizontal="center"/>
    </xf>
    <xf numFmtId="167" fontId="10" fillId="0" borderId="4" xfId="5" applyNumberFormat="1" applyBorder="1" applyAlignment="1">
      <alignment horizontal="center"/>
    </xf>
    <xf numFmtId="49" fontId="10" fillId="0" borderId="50" xfId="5" applyNumberFormat="1" applyBorder="1" applyAlignment="1">
      <alignment horizontal="center"/>
    </xf>
    <xf numFmtId="49" fontId="10" fillId="0" borderId="5" xfId="5" applyNumberFormat="1" applyBorder="1" applyAlignment="1">
      <alignment horizontal="center"/>
    </xf>
    <xf numFmtId="49" fontId="10" fillId="0" borderId="6" xfId="5" applyNumberFormat="1" applyBorder="1" applyAlignment="1">
      <alignment horizontal="center"/>
    </xf>
    <xf numFmtId="0" fontId="39" fillId="0" borderId="65" xfId="2" applyFont="1" applyBorder="1" applyAlignment="1">
      <alignment horizontal="center"/>
    </xf>
    <xf numFmtId="0" fontId="39" fillId="0" borderId="48" xfId="2" applyFont="1" applyBorder="1" applyAlignment="1">
      <alignment horizontal="center"/>
    </xf>
    <xf numFmtId="0" fontId="67" fillId="0" borderId="105" xfId="2" applyFont="1" applyBorder="1" applyAlignment="1">
      <alignment horizontal="right"/>
    </xf>
    <xf numFmtId="0" fontId="67" fillId="0" borderId="65" xfId="2" applyFont="1" applyBorder="1" applyAlignment="1">
      <alignment horizontal="right"/>
    </xf>
    <xf numFmtId="0" fontId="39" fillId="0" borderId="13" xfId="2" applyFont="1" applyBorder="1" applyAlignment="1">
      <alignment horizontal="center"/>
    </xf>
    <xf numFmtId="0" fontId="39" fillId="0" borderId="15" xfId="2" applyFont="1" applyBorder="1" applyAlignment="1">
      <alignment horizontal="center"/>
    </xf>
    <xf numFmtId="0" fontId="67" fillId="0" borderId="12" xfId="2" applyFont="1" applyBorder="1" applyAlignment="1">
      <alignment horizontal="right"/>
    </xf>
    <xf numFmtId="0" fontId="67" fillId="0" borderId="13" xfId="2" applyFont="1" applyBorder="1" applyAlignment="1">
      <alignment horizontal="right"/>
    </xf>
    <xf numFmtId="0" fontId="66" fillId="0" borderId="3" xfId="2" applyFont="1" applyBorder="1" applyAlignment="1">
      <alignment horizontal="left"/>
    </xf>
    <xf numFmtId="0" fontId="66" fillId="0" borderId="5" xfId="2" applyFont="1" applyBorder="1" applyAlignment="1">
      <alignment horizontal="left"/>
    </xf>
    <xf numFmtId="0" fontId="66" fillId="0" borderId="6" xfId="2" applyFont="1" applyBorder="1" applyAlignment="1">
      <alignment horizontal="left"/>
    </xf>
    <xf numFmtId="0" fontId="28" fillId="0" borderId="137" xfId="2" applyFont="1" applyBorder="1" applyAlignment="1">
      <alignment horizontal="right"/>
    </xf>
    <xf numFmtId="0" fontId="28" fillId="0" borderId="135" xfId="2" applyFont="1" applyBorder="1" applyAlignment="1">
      <alignment horizontal="right"/>
    </xf>
    <xf numFmtId="0" fontId="39" fillId="0" borderId="135" xfId="2" applyFont="1" applyBorder="1" applyAlignment="1">
      <alignment horizontal="center"/>
    </xf>
    <xf numFmtId="0" fontId="39" fillId="0" borderId="53" xfId="2" applyFont="1" applyBorder="1" applyAlignment="1">
      <alignment horizontal="center"/>
    </xf>
    <xf numFmtId="0" fontId="39" fillId="0" borderId="55" xfId="2" applyFont="1" applyBorder="1" applyAlignment="1">
      <alignment horizontal="center"/>
    </xf>
    <xf numFmtId="0" fontId="39" fillId="0" borderId="12" xfId="2" applyFont="1" applyBorder="1" applyAlignment="1">
      <alignment horizontal="center"/>
    </xf>
    <xf numFmtId="0" fontId="67" fillId="0" borderId="64" xfId="2" applyFont="1" applyBorder="1" applyAlignment="1">
      <alignment horizontal="center"/>
    </xf>
    <xf numFmtId="0" fontId="10" fillId="0" borderId="48" xfId="2" applyBorder="1" applyAlignment="1">
      <alignment horizontal="center"/>
    </xf>
    <xf numFmtId="0" fontId="39" fillId="0" borderId="54" xfId="2" applyFont="1" applyBorder="1" applyAlignment="1">
      <alignment horizontal="center"/>
    </xf>
    <xf numFmtId="0" fontId="32" fillId="0" borderId="0" xfId="2" applyFont="1" applyAlignment="1">
      <alignment horizontal="center"/>
    </xf>
    <xf numFmtId="0" fontId="24" fillId="0" borderId="0" xfId="2" applyFont="1" applyAlignment="1">
      <alignment horizontal="center"/>
    </xf>
    <xf numFmtId="0" fontId="39" fillId="0" borderId="64" xfId="2" applyFont="1" applyBorder="1" applyAlignment="1">
      <alignment horizontal="center"/>
    </xf>
    <xf numFmtId="0" fontId="67" fillId="0" borderId="105" xfId="2" applyFont="1" applyBorder="1" applyAlignment="1">
      <alignment horizontal="center"/>
    </xf>
    <xf numFmtId="0" fontId="67" fillId="0" borderId="65" xfId="2" applyFont="1" applyBorder="1" applyAlignment="1">
      <alignment horizontal="center"/>
    </xf>
    <xf numFmtId="0" fontId="67" fillId="0" borderId="48" xfId="2" applyFont="1" applyBorder="1" applyAlignment="1">
      <alignment horizontal="center"/>
    </xf>
    <xf numFmtId="0" fontId="23" fillId="0" borderId="26" xfId="2" applyFont="1" applyBorder="1" applyAlignment="1">
      <alignment horizontal="right"/>
    </xf>
    <xf numFmtId="0" fontId="23" fillId="0" borderId="133" xfId="2" applyFont="1" applyBorder="1" applyAlignment="1">
      <alignment horizontal="right"/>
    </xf>
    <xf numFmtId="0" fontId="39" fillId="0" borderId="0" xfId="2" applyFont="1" applyAlignment="1">
      <alignment horizontal="center"/>
    </xf>
    <xf numFmtId="0" fontId="68" fillId="0" borderId="0" xfId="2" applyFont="1" applyAlignment="1">
      <alignment horizontal="right"/>
    </xf>
    <xf numFmtId="0" fontId="23" fillId="0" borderId="21" xfId="2" applyFont="1" applyBorder="1" applyAlignment="1">
      <alignment horizontal="center"/>
    </xf>
    <xf numFmtId="0" fontId="39" fillId="0" borderId="26" xfId="2" applyFont="1" applyBorder="1" applyAlignment="1">
      <alignment horizontal="center"/>
    </xf>
    <xf numFmtId="0" fontId="39" fillId="0" borderId="133" xfId="2" applyFont="1" applyBorder="1" applyAlignment="1">
      <alignment horizontal="center"/>
    </xf>
    <xf numFmtId="0" fontId="39" fillId="0" borderId="134" xfId="2" applyFont="1" applyBorder="1" applyAlignment="1">
      <alignment horizontal="center"/>
    </xf>
    <xf numFmtId="0" fontId="68" fillId="0" borderId="21" xfId="2" applyFont="1" applyBorder="1" applyAlignment="1">
      <alignment horizontal="center"/>
    </xf>
    <xf numFmtId="0" fontId="67" fillId="0" borderId="26" xfId="2" applyFont="1" applyBorder="1" applyAlignment="1">
      <alignment horizontal="center"/>
    </xf>
    <xf numFmtId="0" fontId="23" fillId="0" borderId="21" xfId="2" applyFont="1" applyBorder="1" applyAlignment="1">
      <alignment horizontal="right"/>
    </xf>
    <xf numFmtId="0" fontId="23" fillId="0" borderId="134" xfId="2" applyFont="1" applyBorder="1" applyAlignment="1">
      <alignment horizontal="center"/>
    </xf>
    <xf numFmtId="0" fontId="69" fillId="0" borderId="0" xfId="2" applyFont="1" applyAlignment="1">
      <alignment horizontal="center"/>
    </xf>
    <xf numFmtId="164" fontId="13" fillId="0" borderId="0" xfId="6" applyFont="1" applyAlignment="1">
      <alignment horizontal="center"/>
    </xf>
    <xf numFmtId="164" fontId="13" fillId="0" borderId="30" xfId="6" applyFont="1" applyBorder="1" applyAlignment="1">
      <alignment horizontal="center"/>
    </xf>
    <xf numFmtId="164" fontId="74" fillId="0" borderId="18" xfId="6" applyFont="1" applyBorder="1" applyAlignment="1" applyProtection="1">
      <alignment horizontal="center"/>
      <protection locked="0"/>
    </xf>
    <xf numFmtId="14" fontId="11" fillId="0" borderId="18" xfId="6" quotePrefix="1" applyNumberFormat="1" applyFont="1" applyBorder="1" applyAlignment="1" applyProtection="1">
      <alignment horizontal="center"/>
      <protection locked="0"/>
    </xf>
    <xf numFmtId="0" fontId="70" fillId="0" borderId="26" xfId="7" applyFont="1" applyBorder="1" applyAlignment="1">
      <alignment horizontal="center"/>
    </xf>
    <xf numFmtId="0" fontId="70" fillId="0" borderId="133" xfId="7" applyFont="1" applyBorder="1" applyAlignment="1">
      <alignment horizontal="center"/>
    </xf>
    <xf numFmtId="0" fontId="70" fillId="0" borderId="134" xfId="7" applyFont="1" applyBorder="1" applyAlignment="1">
      <alignment horizontal="center"/>
    </xf>
    <xf numFmtId="0" fontId="76" fillId="0" borderId="86" xfId="7" applyFont="1" applyBorder="1" applyAlignment="1">
      <alignment horizontal="center"/>
    </xf>
    <xf numFmtId="0" fontId="76" fillId="0" borderId="0" xfId="7" applyFont="1" applyAlignment="1">
      <alignment horizontal="center"/>
    </xf>
    <xf numFmtId="0" fontId="76" fillId="0" borderId="111" xfId="7" applyFont="1" applyBorder="1" applyAlignment="1">
      <alignment horizontal="center"/>
    </xf>
    <xf numFmtId="0" fontId="77" fillId="0" borderId="86" xfId="7" applyFont="1" applyBorder="1" applyAlignment="1">
      <alignment horizontal="center"/>
    </xf>
    <xf numFmtId="0" fontId="77" fillId="0" borderId="0" xfId="7" applyFont="1" applyAlignment="1">
      <alignment horizontal="center"/>
    </xf>
    <xf numFmtId="0" fontId="77" fillId="0" borderId="111" xfId="7" applyFont="1" applyBorder="1" applyAlignment="1">
      <alignment horizontal="center"/>
    </xf>
    <xf numFmtId="164" fontId="82" fillId="0" borderId="137" xfId="8" applyNumberFormat="1" applyFont="1" applyBorder="1" applyAlignment="1">
      <alignment horizontal="right"/>
    </xf>
    <xf numFmtId="164" fontId="82" fillId="0" borderId="135" xfId="8" applyNumberFormat="1" applyFont="1" applyBorder="1" applyAlignment="1">
      <alignment horizontal="right"/>
    </xf>
    <xf numFmtId="164" fontId="11" fillId="0" borderId="135" xfId="8" applyNumberFormat="1" applyFont="1" applyBorder="1" applyAlignment="1">
      <alignment horizontal="center"/>
    </xf>
    <xf numFmtId="164" fontId="11" fillId="0" borderId="39" xfId="8" applyNumberFormat="1" applyFont="1" applyBorder="1" applyAlignment="1">
      <alignment horizontal="center"/>
    </xf>
    <xf numFmtId="164" fontId="11" fillId="0" borderId="0" xfId="10" applyNumberFormat="1" applyFont="1" applyAlignment="1">
      <alignment horizontal="center"/>
    </xf>
    <xf numFmtId="164" fontId="11" fillId="0" borderId="0" xfId="10" applyNumberFormat="1" applyFont="1" applyAlignment="1">
      <alignment horizontal="center" wrapText="1"/>
    </xf>
    <xf numFmtId="164" fontId="6" fillId="0" borderId="0" xfId="10" applyNumberFormat="1" applyFont="1" applyAlignment="1">
      <alignment horizontal="center"/>
    </xf>
    <xf numFmtId="164" fontId="82" fillId="0" borderId="157" xfId="8" applyNumberFormat="1" applyFont="1" applyBorder="1" applyAlignment="1">
      <alignment horizontal="right"/>
    </xf>
    <xf numFmtId="164" fontId="82" fillId="0" borderId="133" xfId="8" applyNumberFormat="1" applyFont="1" applyBorder="1" applyAlignment="1">
      <alignment horizontal="right"/>
    </xf>
    <xf numFmtId="180" fontId="11" fillId="0" borderId="133" xfId="8" applyNumberFormat="1" applyFont="1" applyBorder="1" applyAlignment="1">
      <alignment horizontal="center"/>
    </xf>
    <xf numFmtId="180" fontId="11" fillId="0" borderId="27" xfId="8" applyNumberFormat="1" applyFont="1" applyBorder="1" applyAlignment="1">
      <alignment horizontal="center"/>
    </xf>
    <xf numFmtId="164" fontId="11" fillId="0" borderId="133" xfId="8" applyNumberFormat="1" applyFont="1" applyBorder="1" applyAlignment="1">
      <alignment horizontal="center"/>
    </xf>
    <xf numFmtId="164" fontId="11" fillId="0" borderId="27" xfId="8" applyNumberFormat="1" applyFont="1" applyBorder="1" applyAlignment="1">
      <alignment horizontal="center"/>
    </xf>
    <xf numFmtId="39" fontId="82" fillId="0" borderId="157" xfId="8" applyNumberFormat="1" applyFont="1" applyBorder="1" applyAlignment="1">
      <alignment horizontal="right"/>
    </xf>
    <xf numFmtId="39" fontId="82" fillId="0" borderId="133" xfId="8" applyNumberFormat="1" applyFont="1" applyBorder="1" applyAlignment="1">
      <alignment horizontal="right"/>
    </xf>
    <xf numFmtId="165" fontId="82" fillId="0" borderId="157" xfId="8" applyNumberFormat="1" applyFont="1" applyBorder="1" applyAlignment="1">
      <alignment horizontal="right" vertical="center"/>
    </xf>
    <xf numFmtId="165" fontId="82" fillId="0" borderId="133" xfId="8" applyNumberFormat="1" applyFont="1" applyBorder="1" applyAlignment="1">
      <alignment horizontal="right" vertical="center"/>
    </xf>
    <xf numFmtId="164" fontId="14" fillId="0" borderId="0" xfId="10" applyNumberFormat="1" applyFont="1" applyAlignment="1">
      <alignment horizontal="center"/>
    </xf>
    <xf numFmtId="166" fontId="3" fillId="0" borderId="26" xfId="8" quotePrefix="1" applyNumberFormat="1" applyFont="1" applyBorder="1" applyAlignment="1">
      <alignment horizontal="center"/>
    </xf>
    <xf numFmtId="166" fontId="3" fillId="0" borderId="27" xfId="8" quotePrefix="1" applyNumberFormat="1" applyFont="1" applyBorder="1" applyAlignment="1">
      <alignment horizontal="center"/>
    </xf>
    <xf numFmtId="164" fontId="11" fillId="0" borderId="7" xfId="8" applyNumberFormat="1" applyFont="1" applyBorder="1" applyAlignment="1">
      <alignment horizontal="center"/>
    </xf>
    <xf numFmtId="164" fontId="12" fillId="0" borderId="0" xfId="8" applyNumberFormat="1" applyFont="1" applyAlignment="1">
      <alignment horizontal="center"/>
    </xf>
    <xf numFmtId="164" fontId="12" fillId="0" borderId="30" xfId="8" applyNumberFormat="1" applyFont="1" applyBorder="1" applyAlignment="1">
      <alignment horizontal="center"/>
    </xf>
    <xf numFmtId="164" fontId="11" fillId="0" borderId="0" xfId="8" applyNumberFormat="1" applyFont="1" applyAlignment="1">
      <alignment horizontal="center"/>
    </xf>
    <xf numFmtId="164" fontId="11" fillId="0" borderId="30" xfId="8" applyNumberFormat="1" applyFont="1" applyBorder="1" applyAlignment="1">
      <alignment horizontal="center"/>
    </xf>
    <xf numFmtId="164" fontId="82" fillId="0" borderId="3" xfId="8" applyNumberFormat="1" applyFont="1" applyBorder="1" applyAlignment="1">
      <alignment horizontal="right"/>
    </xf>
    <xf numFmtId="164" fontId="82" fillId="0" borderId="5" xfId="8" applyNumberFormat="1" applyFont="1" applyBorder="1" applyAlignment="1">
      <alignment horizontal="right"/>
    </xf>
    <xf numFmtId="180" fontId="11" fillId="0" borderId="5" xfId="8" applyNumberFormat="1" applyFont="1" applyBorder="1" applyAlignment="1">
      <alignment horizontal="center"/>
    </xf>
    <xf numFmtId="180" fontId="11" fillId="0" borderId="6" xfId="8" applyNumberFormat="1" applyFont="1" applyBorder="1" applyAlignment="1">
      <alignment horizontal="center"/>
    </xf>
    <xf numFmtId="164" fontId="82" fillId="0" borderId="10" xfId="11" applyNumberFormat="1" applyFont="1" applyBorder="1" applyAlignment="1">
      <alignment horizontal="center"/>
    </xf>
    <xf numFmtId="166" fontId="82" fillId="0" borderId="10" xfId="11" applyNumberFormat="1" applyFont="1" applyBorder="1" applyAlignment="1">
      <alignment horizontal="center"/>
    </xf>
    <xf numFmtId="164" fontId="83" fillId="0" borderId="3" xfId="11" applyNumberFormat="1" applyFont="1" applyBorder="1" applyAlignment="1">
      <alignment horizontal="right"/>
    </xf>
    <xf numFmtId="164" fontId="83" fillId="0" borderId="5" xfId="11" applyNumberFormat="1" applyFont="1" applyBorder="1" applyAlignment="1">
      <alignment horizontal="right"/>
    </xf>
    <xf numFmtId="164" fontId="83" fillId="0" borderId="6" xfId="11" applyNumberFormat="1" applyFont="1" applyBorder="1" applyAlignment="1">
      <alignment horizontal="right"/>
    </xf>
    <xf numFmtId="164" fontId="83" fillId="0" borderId="157" xfId="11" applyNumberFormat="1" applyFont="1" applyBorder="1" applyAlignment="1">
      <alignment horizontal="right"/>
    </xf>
    <xf numFmtId="164" fontId="83" fillId="0" borderId="133" xfId="11" applyNumberFormat="1" applyFont="1" applyBorder="1" applyAlignment="1">
      <alignment horizontal="right"/>
    </xf>
    <xf numFmtId="164" fontId="83" fillId="0" borderId="27" xfId="11" applyNumberFormat="1" applyFont="1" applyBorder="1" applyAlignment="1">
      <alignment horizontal="right"/>
    </xf>
    <xf numFmtId="164" fontId="87" fillId="0" borderId="137" xfId="11" applyNumberFormat="1" applyFont="1" applyBorder="1" applyAlignment="1">
      <alignment horizontal="right"/>
    </xf>
    <xf numFmtId="164" fontId="87" fillId="0" borderId="135" xfId="11" applyNumberFormat="1" applyFont="1" applyBorder="1" applyAlignment="1">
      <alignment horizontal="right"/>
    </xf>
    <xf numFmtId="164" fontId="87" fillId="0" borderId="39" xfId="11" applyNumberFormat="1" applyFont="1" applyBorder="1" applyAlignment="1">
      <alignment horizontal="right"/>
    </xf>
    <xf numFmtId="164" fontId="90" fillId="0" borderId="0" xfId="11" applyNumberFormat="1" applyFont="1" applyAlignment="1">
      <alignment horizontal="center"/>
    </xf>
    <xf numFmtId="164" fontId="71" fillId="0" borderId="141" xfId="11" applyNumberFormat="1" applyBorder="1" applyAlignment="1">
      <alignment horizontal="center"/>
    </xf>
    <xf numFmtId="164" fontId="71" fillId="0" borderId="142" xfId="11" applyNumberFormat="1" applyBorder="1" applyAlignment="1">
      <alignment horizontal="center"/>
    </xf>
    <xf numFmtId="164" fontId="71" fillId="0" borderId="144" xfId="11" applyNumberFormat="1" applyBorder="1" applyAlignment="1">
      <alignment horizontal="center"/>
    </xf>
    <xf numFmtId="49" fontId="83" fillId="0" borderId="159" xfId="11" applyNumberFormat="1" applyFont="1" applyBorder="1" applyAlignment="1">
      <alignment horizontal="left"/>
    </xf>
    <xf numFmtId="182" fontId="83" fillId="0" borderId="159" xfId="11" applyNumberFormat="1" applyFont="1" applyBorder="1" applyAlignment="1">
      <alignment horizontal="left"/>
    </xf>
    <xf numFmtId="182" fontId="83" fillId="0" borderId="160" xfId="11" applyNumberFormat="1" applyFont="1" applyBorder="1" applyAlignment="1">
      <alignment horizontal="left"/>
    </xf>
    <xf numFmtId="184" fontId="83" fillId="0" borderId="13" xfId="11" applyNumberFormat="1" applyFont="1" applyBorder="1" applyAlignment="1">
      <alignment horizontal="left"/>
    </xf>
    <xf numFmtId="183" fontId="83" fillId="0" borderId="13" xfId="11" applyNumberFormat="1" applyFont="1" applyBorder="1" applyAlignment="1">
      <alignment horizontal="left"/>
    </xf>
    <xf numFmtId="183" fontId="83" fillId="0" borderId="15" xfId="11" applyNumberFormat="1" applyFont="1" applyBorder="1" applyAlignment="1">
      <alignment horizontal="left"/>
    </xf>
    <xf numFmtId="164" fontId="71" fillId="0" borderId="12" xfId="11" applyNumberFormat="1" applyBorder="1" applyAlignment="1">
      <alignment horizontal="center"/>
    </xf>
    <xf numFmtId="164" fontId="71" fillId="0" borderId="13" xfId="11" applyNumberFormat="1" applyBorder="1" applyAlignment="1">
      <alignment horizontal="center"/>
    </xf>
    <xf numFmtId="164" fontId="71" fillId="0" borderId="15" xfId="11" applyNumberFormat="1" applyBorder="1" applyAlignment="1">
      <alignment horizontal="center"/>
    </xf>
    <xf numFmtId="183" fontId="88" fillId="0" borderId="0" xfId="11" applyNumberFormat="1" applyFont="1" applyAlignment="1">
      <alignment horizontal="left"/>
    </xf>
    <xf numFmtId="183" fontId="88" fillId="0" borderId="111" xfId="11" applyNumberFormat="1" applyFont="1" applyBorder="1" applyAlignment="1">
      <alignment horizontal="left"/>
    </xf>
    <xf numFmtId="183" fontId="88" fillId="0" borderId="30" xfId="11" applyNumberFormat="1" applyFont="1" applyBorder="1" applyAlignment="1">
      <alignment horizontal="left"/>
    </xf>
    <xf numFmtId="183" fontId="88" fillId="0" borderId="13" xfId="11" applyNumberFormat="1" applyFont="1" applyBorder="1" applyAlignment="1">
      <alignment horizontal="left"/>
    </xf>
    <xf numFmtId="183" fontId="88" fillId="0" borderId="14" xfId="11" applyNumberFormat="1" applyFont="1" applyBorder="1" applyAlignment="1">
      <alignment horizontal="left"/>
    </xf>
    <xf numFmtId="183" fontId="88" fillId="0" borderId="15" xfId="11" applyNumberFormat="1" applyFont="1" applyBorder="1" applyAlignment="1">
      <alignment horizontal="left"/>
    </xf>
    <xf numFmtId="164" fontId="83" fillId="0" borderId="13" xfId="11" applyNumberFormat="1" applyFont="1" applyBorder="1" applyAlignment="1">
      <alignment horizontal="center"/>
    </xf>
    <xf numFmtId="164" fontId="83" fillId="0" borderId="15" xfId="11" applyNumberFormat="1" applyFont="1" applyBorder="1" applyAlignment="1">
      <alignment horizontal="center"/>
    </xf>
    <xf numFmtId="164" fontId="86" fillId="0" borderId="164" xfId="11" applyNumberFormat="1" applyFont="1" applyBorder="1" applyAlignment="1">
      <alignment horizontal="center"/>
    </xf>
    <xf numFmtId="164" fontId="86" fillId="0" borderId="162" xfId="11" applyNumberFormat="1" applyFont="1" applyBorder="1" applyAlignment="1">
      <alignment horizontal="center"/>
    </xf>
    <xf numFmtId="164" fontId="86" fillId="0" borderId="165" xfId="11" applyNumberFormat="1" applyFont="1" applyBorder="1" applyAlignment="1">
      <alignment horizontal="center"/>
    </xf>
    <xf numFmtId="164" fontId="86" fillId="0" borderId="161" xfId="11" applyNumberFormat="1" applyFont="1" applyBorder="1" applyAlignment="1">
      <alignment horizontal="center"/>
    </xf>
    <xf numFmtId="164" fontId="86" fillId="0" borderId="163" xfId="11" applyNumberFormat="1" applyFont="1" applyBorder="1" applyAlignment="1">
      <alignment horizontal="center"/>
    </xf>
    <xf numFmtId="183" fontId="88" fillId="0" borderId="65" xfId="11" applyNumberFormat="1" applyFont="1" applyBorder="1" applyAlignment="1">
      <alignment horizontal="left"/>
    </xf>
    <xf numFmtId="183" fontId="88" fillId="0" borderId="46" xfId="11" applyNumberFormat="1" applyFont="1" applyBorder="1" applyAlignment="1">
      <alignment horizontal="left"/>
    </xf>
    <xf numFmtId="183" fontId="88" fillId="0" borderId="48" xfId="11" applyNumberFormat="1" applyFont="1" applyBorder="1" applyAlignment="1">
      <alignment horizontal="left"/>
    </xf>
    <xf numFmtId="164" fontId="82" fillId="0" borderId="141" xfId="11" applyNumberFormat="1" applyFont="1" applyBorder="1" applyAlignment="1">
      <alignment horizontal="center"/>
    </xf>
    <xf numFmtId="164" fontId="82" fillId="0" borderId="142" xfId="11" applyNumberFormat="1" applyFont="1" applyBorder="1" applyAlignment="1">
      <alignment horizontal="center"/>
    </xf>
    <xf numFmtId="164" fontId="82" fillId="0" borderId="144" xfId="11" applyNumberFormat="1" applyFont="1" applyBorder="1" applyAlignment="1">
      <alignment horizontal="center"/>
    </xf>
    <xf numFmtId="164" fontId="83" fillId="0" borderId="161" xfId="11" applyNumberFormat="1" applyFont="1" applyBorder="1" applyAlignment="1">
      <alignment horizontal="center"/>
    </xf>
    <xf numFmtId="164" fontId="83" fillId="0" borderId="162" xfId="11" applyNumberFormat="1" applyFont="1" applyBorder="1" applyAlignment="1">
      <alignment horizontal="center"/>
    </xf>
    <xf numFmtId="164" fontId="83" fillId="0" borderId="163" xfId="11" applyNumberFormat="1" applyFont="1" applyBorder="1" applyAlignment="1">
      <alignment horizontal="center"/>
    </xf>
    <xf numFmtId="164" fontId="3" fillId="0" borderId="50" xfId="11" applyNumberFormat="1" applyFont="1" applyBorder="1" applyAlignment="1">
      <alignment horizontal="center"/>
    </xf>
    <xf numFmtId="164" fontId="3" fillId="0" borderId="6" xfId="11" applyNumberFormat="1" applyFont="1" applyBorder="1" applyAlignment="1">
      <alignment horizontal="center"/>
    </xf>
    <xf numFmtId="164" fontId="3" fillId="0" borderId="26" xfId="11" quotePrefix="1" applyNumberFormat="1" applyFont="1" applyBorder="1" applyAlignment="1">
      <alignment horizontal="center"/>
    </xf>
    <xf numFmtId="164" fontId="71" fillId="0" borderId="27" xfId="11" applyNumberFormat="1" applyBorder="1" applyAlignment="1">
      <alignment horizontal="center"/>
    </xf>
    <xf numFmtId="164" fontId="3" fillId="0" borderId="26" xfId="11" applyNumberFormat="1" applyFont="1" applyBorder="1" applyAlignment="1">
      <alignment horizontal="center"/>
    </xf>
    <xf numFmtId="164" fontId="3" fillId="0" borderId="27" xfId="11" quotePrefix="1" applyNumberFormat="1" applyFont="1" applyBorder="1" applyAlignment="1">
      <alignment horizontal="center"/>
    </xf>
    <xf numFmtId="164" fontId="3" fillId="0" borderId="27" xfId="11" applyNumberFormat="1" applyFont="1" applyBorder="1" applyAlignment="1">
      <alignment horizontal="center"/>
    </xf>
    <xf numFmtId="164" fontId="86" fillId="0" borderId="38" xfId="11" applyNumberFormat="1" applyFont="1" applyBorder="1" applyAlignment="1">
      <alignment horizontal="center"/>
    </xf>
    <xf numFmtId="164" fontId="86" fillId="0" borderId="39" xfId="11" applyNumberFormat="1" applyFont="1" applyBorder="1" applyAlignment="1">
      <alignment horizontal="center"/>
    </xf>
    <xf numFmtId="0" fontId="10" fillId="0" borderId="0" xfId="2" applyAlignment="1">
      <alignment horizontal="center"/>
    </xf>
    <xf numFmtId="164" fontId="23" fillId="0" borderId="18" xfId="3" applyFont="1" applyBorder="1" applyAlignment="1">
      <alignment horizontal="center"/>
    </xf>
    <xf numFmtId="14" fontId="7" fillId="0" borderId="18" xfId="3" quotePrefix="1" applyNumberFormat="1" applyFont="1" applyBorder="1" applyAlignment="1">
      <alignment horizontal="center"/>
    </xf>
    <xf numFmtId="49" fontId="13" fillId="0" borderId="0" xfId="2" quotePrefix="1" applyNumberFormat="1" applyFont="1" applyAlignment="1">
      <alignment horizontal="left"/>
    </xf>
    <xf numFmtId="1" fontId="13" fillId="0" borderId="0" xfId="2" quotePrefix="1" applyNumberFormat="1" applyFont="1" applyAlignment="1">
      <alignment horizontal="center"/>
    </xf>
    <xf numFmtId="1" fontId="13" fillId="0" borderId="0" xfId="2" applyNumberFormat="1" applyFont="1" applyAlignment="1">
      <alignment horizontal="center"/>
    </xf>
    <xf numFmtId="164" fontId="9" fillId="0" borderId="13" xfId="2" applyNumberFormat="1" applyFont="1" applyBorder="1" applyAlignment="1">
      <alignment horizontal="right"/>
    </xf>
    <xf numFmtId="170" fontId="9" fillId="0" borderId="13" xfId="2" applyNumberFormat="1" applyFont="1" applyBorder="1" applyAlignment="1">
      <alignment horizontal="center"/>
    </xf>
    <xf numFmtId="0" fontId="19" fillId="0" borderId="0" xfId="2" quotePrefix="1" applyFont="1" applyAlignment="1">
      <alignment horizontal="right"/>
    </xf>
    <xf numFmtId="0" fontId="10" fillId="0" borderId="0" xfId="2" applyAlignment="1">
      <alignment horizontal="right"/>
    </xf>
    <xf numFmtId="164" fontId="19" fillId="2" borderId="10" xfId="3" applyFont="1" applyFill="1" applyBorder="1" applyAlignment="1">
      <alignment horizontal="center" vertical="center"/>
    </xf>
    <xf numFmtId="0" fontId="20" fillId="2" borderId="10" xfId="2" applyFont="1" applyFill="1" applyBorder="1" applyAlignment="1">
      <alignment horizontal="center" vertical="center"/>
    </xf>
    <xf numFmtId="166" fontId="4" fillId="0" borderId="0" xfId="2" applyNumberFormat="1" applyFont="1" applyAlignment="1">
      <alignment horizontal="left"/>
    </xf>
    <xf numFmtId="164" fontId="4" fillId="0" borderId="0" xfId="2" quotePrefix="1" applyNumberFormat="1" applyFont="1" applyAlignment="1">
      <alignment horizontal="left"/>
    </xf>
    <xf numFmtId="164" fontId="4" fillId="0" borderId="0" xfId="2" applyNumberFormat="1" applyFont="1" applyAlignment="1">
      <alignment horizontal="left"/>
    </xf>
    <xf numFmtId="165" fontId="9" fillId="0" borderId="0" xfId="2" applyNumberFormat="1" applyFont="1" applyAlignment="1">
      <alignment horizontal="right"/>
    </xf>
    <xf numFmtId="164" fontId="4" fillId="0" borderId="16" xfId="2" applyNumberFormat="1" applyFont="1" applyBorder="1" applyAlignment="1">
      <alignment horizontal="center"/>
    </xf>
    <xf numFmtId="164" fontId="12" fillId="0" borderId="1" xfId="2" applyNumberFormat="1" applyFont="1" applyBorder="1" applyAlignment="1">
      <alignment horizontal="center" vertical="center"/>
    </xf>
    <xf numFmtId="164" fontId="12" fillId="0" borderId="2" xfId="2" applyNumberFormat="1" applyFont="1" applyBorder="1" applyAlignment="1">
      <alignment horizontal="center" vertical="center"/>
    </xf>
    <xf numFmtId="164" fontId="12" fillId="0" borderId="17" xfId="2" applyNumberFormat="1" applyFont="1" applyBorder="1" applyAlignment="1">
      <alignment horizontal="center" vertical="center"/>
    </xf>
    <xf numFmtId="164" fontId="12" fillId="0" borderId="12" xfId="2" applyNumberFormat="1" applyFont="1" applyBorder="1" applyAlignment="1">
      <alignment horizontal="center" vertical="center"/>
    </xf>
    <xf numFmtId="164" fontId="12" fillId="0" borderId="13" xfId="2" applyNumberFormat="1" applyFont="1" applyBorder="1" applyAlignment="1">
      <alignment horizontal="center" vertical="center"/>
    </xf>
    <xf numFmtId="164" fontId="12" fillId="0" borderId="15" xfId="2" applyNumberFormat="1" applyFont="1" applyBorder="1" applyAlignment="1">
      <alignment horizontal="center" vertical="center"/>
    </xf>
    <xf numFmtId="0" fontId="38" fillId="3" borderId="86" xfId="7" applyFont="1" applyFill="1" applyBorder="1"/>
    <xf numFmtId="0" fontId="42" fillId="3" borderId="75" xfId="7" applyFont="1" applyFill="1" applyBorder="1" applyAlignment="1">
      <alignment horizontal="left"/>
    </xf>
    <xf numFmtId="0" fontId="42" fillId="3" borderId="87" xfId="7" applyFont="1" applyFill="1" applyBorder="1" applyAlignment="1">
      <alignment horizontal="left"/>
    </xf>
    <xf numFmtId="0" fontId="38" fillId="3" borderId="71" xfId="7" applyFont="1" applyFill="1" applyBorder="1" applyAlignment="1">
      <alignment horizontal="left"/>
    </xf>
    <xf numFmtId="0" fontId="38" fillId="3" borderId="77" xfId="7" applyFont="1" applyFill="1" applyBorder="1" applyAlignment="1">
      <alignment horizontal="left"/>
    </xf>
  </cellXfs>
  <cellStyles count="15">
    <cellStyle name="Normal" xfId="0" builtinId="0"/>
    <cellStyle name="Normal 2" xfId="7" xr:uid="{C99AFCE8-FFA1-49EB-8871-4C38DE2F55E5}"/>
    <cellStyle name="Normal 2 2 2" xfId="13" xr:uid="{4C70D27B-2387-4893-AF30-E3CD4F388BC0}"/>
    <cellStyle name="Normal 3" xfId="6" xr:uid="{046139A7-1729-4626-891C-72405B8DA059}"/>
    <cellStyle name="Normal 3 2" xfId="12" xr:uid="{7977814C-247D-4482-8F0B-A47EDF1F6DDE}"/>
    <cellStyle name="Normal 5" xfId="14" xr:uid="{9DF68677-EF78-4FE2-A9F9-BF4CC233CC8C}"/>
    <cellStyle name="Normal 8" xfId="2" xr:uid="{38999FE0-2BAF-410D-92EB-094D29DD084D}"/>
    <cellStyle name="Normal_MPCF1033 2" xfId="9" xr:uid="{15F65125-0811-4BC7-B601-2EEB56C7F782}"/>
    <cellStyle name="Normal_MPCF1082 2" xfId="11" xr:uid="{D5AAA9D1-B2DF-4689-B11F-6FA8635FA156}"/>
    <cellStyle name="Normal_MPCF1109" xfId="8" xr:uid="{81692350-ED31-4F86-AB8F-8397A3B02373}"/>
    <cellStyle name="Normal_OPTEST" xfId="4" xr:uid="{70E90B1C-08CA-4B07-A576-CC6618AF2867}"/>
    <cellStyle name="Normal_PROJ_REV_HIST" xfId="5" xr:uid="{DA777E00-6B2E-454D-BC20-23D067CCCEED}"/>
    <cellStyle name="Normal_Rev. 1 2" xfId="10" xr:uid="{7D74F568-0C5F-4433-8053-AA10F6D6A5F1}"/>
    <cellStyle name="Normal_SOUND" xfId="1" xr:uid="{47800948-9ECE-4A9D-8B0C-B8741247A57E}"/>
    <cellStyle name="Normal_TEST DATA" xfId="3" xr:uid="{325F399A-CB2C-4199-B705-CC20A2CA3DD6}"/>
  </cellStyles>
  <dxfs count="2">
    <dxf>
      <fill>
        <patternFill>
          <bgColor rgb="FFFF0000"/>
        </patternFill>
      </fill>
    </dxf>
    <dxf>
      <fill>
        <patternFill>
          <bgColor theme="4"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5.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externalLink" Target="externalLinks/externalLink8.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externalLink" Target="externalLinks/externalLink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1.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externalLink" Target="externalLinks/externalLink10.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externalLink" Target="externalLinks/externalLink9.xml"/><Relationship Id="rId27" Type="http://schemas.openxmlformats.org/officeDocument/2006/relationships/sharedStrings" Target="sharedStrings.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1" u="none" strike="noStrike" baseline="0">
                <a:solidFill>
                  <a:srgbClr val="000000"/>
                </a:solidFill>
                <a:latin typeface="Times New Roman"/>
                <a:ea typeface="Times New Roman"/>
                <a:cs typeface="Times New Roman"/>
              </a:defRPr>
            </a:pPr>
            <a:r>
              <a:rPr lang="en-US"/>
              <a:t>S-T Curve Estimation</a:t>
            </a:r>
          </a:p>
        </c:rich>
      </c:tx>
      <c:layout>
        <c:manualLayout>
          <c:xMode val="edge"/>
          <c:yMode val="edge"/>
          <c:x val="0.3381509638881347"/>
          <c:y val="2.100840336134454E-2"/>
        </c:manualLayout>
      </c:layout>
      <c:overlay val="0"/>
      <c:spPr>
        <a:noFill/>
        <a:ln w="25400">
          <a:noFill/>
        </a:ln>
      </c:spPr>
    </c:title>
    <c:autoTitleDeleted val="0"/>
    <c:plotArea>
      <c:layout>
        <c:manualLayout>
          <c:layoutTarget val="inner"/>
          <c:xMode val="edge"/>
          <c:yMode val="edge"/>
          <c:x val="0.18786153678978615"/>
          <c:y val="0.11344561089649031"/>
          <c:w val="0.62716851512897842"/>
          <c:h val="0.68067366537894192"/>
        </c:manualLayout>
      </c:layout>
      <c:scatterChart>
        <c:scatterStyle val="lineMarker"/>
        <c:varyColors val="0"/>
        <c:ser>
          <c:idx val="0"/>
          <c:order val="0"/>
          <c:spPr>
            <a:ln w="12700">
              <a:solidFill>
                <a:srgbClr val="000000"/>
              </a:solidFill>
              <a:prstDash val="solid"/>
            </a:ln>
          </c:spPr>
          <c:marker>
            <c:symbol val="none"/>
          </c:marker>
          <c:xVal>
            <c:numRef>
              <c:f>(DesignSheet!$A$59:$A$68,DesignSheet!$D$59:$D$62)</c:f>
              <c:numCache>
                <c:formatCode>0.000</c:formatCode>
                <c:ptCount val="14"/>
                <c:pt idx="0" formatCode="0.00">
                  <c:v>0</c:v>
                </c:pt>
                <c:pt idx="1">
                  <c:v>2.0000003278255463E-3</c:v>
                </c:pt>
                <c:pt idx="2">
                  <c:v>1.0000001639127731E-2</c:v>
                </c:pt>
                <c:pt idx="3" formatCode="0.00">
                  <c:v>6.4444445073604584E-2</c:v>
                </c:pt>
                <c:pt idx="4" formatCode="0.00">
                  <c:v>0.11888889968395233</c:v>
                </c:pt>
                <c:pt idx="5" formatCode="0.00">
                  <c:v>0.17333333194255829</c:v>
                </c:pt>
                <c:pt idx="6" formatCode="0.00">
                  <c:v>0.28222224116325378</c:v>
                </c:pt>
                <c:pt idx="7" formatCode="0.00">
                  <c:v>0.3911111056804657</c:v>
                </c:pt>
                <c:pt idx="8" formatCode="0.00">
                  <c:v>0.5</c:v>
                </c:pt>
                <c:pt idx="9" formatCode="0.00">
                  <c:v>0.60000002384185791</c:v>
                </c:pt>
                <c:pt idx="10" formatCode="0.00">
                  <c:v>0.69999998807907104</c:v>
                </c:pt>
                <c:pt idx="11" formatCode="0.00">
                  <c:v>0.80000001192092896</c:v>
                </c:pt>
                <c:pt idx="12" formatCode="0.00">
                  <c:v>0.89999997615814209</c:v>
                </c:pt>
                <c:pt idx="13" formatCode="0.00">
                  <c:v>1</c:v>
                </c:pt>
              </c:numCache>
            </c:numRef>
          </c:xVal>
          <c:yVal>
            <c:numRef>
              <c:f>(DesignSheet!$B$59:$B$68,DesignSheet!$E$59:$E$62)</c:f>
              <c:numCache>
                <c:formatCode>0.0</c:formatCode>
                <c:ptCount val="14"/>
                <c:pt idx="0">
                  <c:v>0</c:v>
                </c:pt>
                <c:pt idx="1">
                  <c:v>104.13111118997179</c:v>
                </c:pt>
                <c:pt idx="2">
                  <c:v>270</c:v>
                </c:pt>
                <c:pt idx="3">
                  <c:v>218.03450051279526</c:v>
                </c:pt>
                <c:pt idx="4">
                  <c:v>192.06506994858418</c:v>
                </c:pt>
                <c:pt idx="5">
                  <c:v>181.1665223710026</c:v>
                </c:pt>
                <c:pt idx="6">
                  <c:v>175.69335033269158</c:v>
                </c:pt>
                <c:pt idx="7">
                  <c:v>175.03918312214597</c:v>
                </c:pt>
                <c:pt idx="8">
                  <c:v>175</c:v>
                </c:pt>
                <c:pt idx="9">
                  <c:v>175.00237299004704</c:v>
                </c:pt>
                <c:pt idx="10">
                  <c:v>175.0718641795537</c:v>
                </c:pt>
                <c:pt idx="11">
                  <c:v>175.10591590065494</c:v>
                </c:pt>
                <c:pt idx="12">
                  <c:v>175.14157596320791</c:v>
                </c:pt>
                <c:pt idx="13">
                  <c:v>175</c:v>
                </c:pt>
              </c:numCache>
            </c:numRef>
          </c:yVal>
          <c:smooth val="1"/>
          <c:extLst>
            <c:ext xmlns:c16="http://schemas.microsoft.com/office/drawing/2014/chart" uri="{C3380CC4-5D6E-409C-BE32-E72D297353CC}">
              <c16:uniqueId val="{00000000-EDD8-46AF-A34B-0CADCE81A496}"/>
            </c:ext>
          </c:extLst>
        </c:ser>
        <c:dLbls>
          <c:showLegendKey val="0"/>
          <c:showVal val="0"/>
          <c:showCatName val="0"/>
          <c:showSerName val="0"/>
          <c:showPercent val="0"/>
          <c:showBubbleSize val="0"/>
        </c:dLbls>
        <c:axId val="1174257376"/>
        <c:axId val="1"/>
      </c:scatterChart>
      <c:scatterChart>
        <c:scatterStyle val="lineMarker"/>
        <c:varyColors val="0"/>
        <c:ser>
          <c:idx val="1"/>
          <c:order val="1"/>
          <c:spPr>
            <a:ln w="12700">
              <a:solidFill>
                <a:srgbClr val="000000"/>
              </a:solidFill>
              <a:prstDash val="sysDash"/>
            </a:ln>
          </c:spPr>
          <c:marker>
            <c:symbol val="none"/>
          </c:marker>
          <c:xVal>
            <c:numRef>
              <c:f>(DesignSheet!$A$59:$A$68,DesignSheet!$D$59:$D$62)</c:f>
              <c:numCache>
                <c:formatCode>0.000</c:formatCode>
                <c:ptCount val="14"/>
                <c:pt idx="0" formatCode="0.00">
                  <c:v>0</c:v>
                </c:pt>
                <c:pt idx="1">
                  <c:v>2.0000003278255463E-3</c:v>
                </c:pt>
                <c:pt idx="2">
                  <c:v>1.0000001639127731E-2</c:v>
                </c:pt>
                <c:pt idx="3" formatCode="0.00">
                  <c:v>6.4444445073604584E-2</c:v>
                </c:pt>
                <c:pt idx="4" formatCode="0.00">
                  <c:v>0.11888889968395233</c:v>
                </c:pt>
                <c:pt idx="5" formatCode="0.00">
                  <c:v>0.17333333194255829</c:v>
                </c:pt>
                <c:pt idx="6" formatCode="0.00">
                  <c:v>0.28222224116325378</c:v>
                </c:pt>
                <c:pt idx="7" formatCode="0.00">
                  <c:v>0.3911111056804657</c:v>
                </c:pt>
                <c:pt idx="8" formatCode="0.00">
                  <c:v>0.5</c:v>
                </c:pt>
                <c:pt idx="9" formatCode="0.00">
                  <c:v>0.60000002384185791</c:v>
                </c:pt>
                <c:pt idx="10" formatCode="0.00">
                  <c:v>0.69999998807907104</c:v>
                </c:pt>
                <c:pt idx="11" formatCode="0.00">
                  <c:v>0.80000001192092896</c:v>
                </c:pt>
                <c:pt idx="12" formatCode="0.00">
                  <c:v>0.89999997615814209</c:v>
                </c:pt>
                <c:pt idx="13" formatCode="0.00">
                  <c:v>1</c:v>
                </c:pt>
              </c:numCache>
            </c:numRef>
          </c:xVal>
          <c:yVal>
            <c:numRef>
              <c:f>(DesignSheet!$C$59:$C$68,DesignSheet!$F$59:$F$62)</c:f>
              <c:numCache>
                <c:formatCode>0.0</c:formatCode>
                <c:ptCount val="14"/>
                <c:pt idx="0">
                  <c:v>0.18235482275485992</c:v>
                </c:pt>
                <c:pt idx="1">
                  <c:v>111.67385101318359</c:v>
                </c:pt>
                <c:pt idx="2">
                  <c:v>388.00021362304688</c:v>
                </c:pt>
                <c:pt idx="3">
                  <c:v>497.66629028320313</c:v>
                </c:pt>
                <c:pt idx="4">
                  <c:v>534.5316162109375</c:v>
                </c:pt>
                <c:pt idx="5">
                  <c:v>552.48638916015625</c:v>
                </c:pt>
                <c:pt idx="6">
                  <c:v>572.96807861328125</c:v>
                </c:pt>
                <c:pt idx="7">
                  <c:v>587.26995849609375</c:v>
                </c:pt>
                <c:pt idx="8">
                  <c:v>599.22869873046875</c:v>
                </c:pt>
                <c:pt idx="9">
                  <c:v>609.37945556640625</c:v>
                </c:pt>
                <c:pt idx="10">
                  <c:v>618.03643798828125</c:v>
                </c:pt>
                <c:pt idx="11">
                  <c:v>625.32086181640625</c:v>
                </c:pt>
                <c:pt idx="12">
                  <c:v>631.53363037109375</c:v>
                </c:pt>
                <c:pt idx="13">
                  <c:v>636.86376953125</c:v>
                </c:pt>
              </c:numCache>
            </c:numRef>
          </c:yVal>
          <c:smooth val="1"/>
          <c:extLst>
            <c:ext xmlns:c16="http://schemas.microsoft.com/office/drawing/2014/chart" uri="{C3380CC4-5D6E-409C-BE32-E72D297353CC}">
              <c16:uniqueId val="{00000001-EDD8-46AF-A34B-0CADCE81A496}"/>
            </c:ext>
          </c:extLst>
        </c:ser>
        <c:dLbls>
          <c:showLegendKey val="0"/>
          <c:showVal val="0"/>
          <c:showCatName val="0"/>
          <c:showSerName val="0"/>
          <c:showPercent val="0"/>
          <c:showBubbleSize val="0"/>
        </c:dLbls>
        <c:axId val="3"/>
        <c:axId val="4"/>
      </c:scatterChart>
      <c:valAx>
        <c:axId val="1174257376"/>
        <c:scaling>
          <c:orientation val="maxMin"/>
          <c:max val="1"/>
        </c:scaling>
        <c:delete val="0"/>
        <c:axPos val="b"/>
        <c:majorGridlines>
          <c:spPr>
            <a:ln w="3175">
              <a:pattFill prst="pct25">
                <a:fgClr>
                  <a:srgbClr val="000000"/>
                </a:fgClr>
                <a:bgClr>
                  <a:srgbClr val="FFFFFF"/>
                </a:bgClr>
              </a:pattFill>
              <a:prstDash val="solid"/>
            </a:ln>
          </c:spPr>
        </c:majorGridlines>
        <c:title>
          <c:tx>
            <c:rich>
              <a:bodyPr/>
              <a:lstStyle/>
              <a:p>
                <a:pPr>
                  <a:defRPr sz="800" b="0" i="1" u="none" strike="noStrike" baseline="0">
                    <a:solidFill>
                      <a:srgbClr val="000000"/>
                    </a:solidFill>
                    <a:latin typeface="Times New Roman"/>
                    <a:ea typeface="Times New Roman"/>
                    <a:cs typeface="Times New Roman"/>
                  </a:defRPr>
                </a:pPr>
                <a:r>
                  <a:rPr lang="en-US"/>
                  <a:t>Slip (p.u.)</a:t>
                </a:r>
              </a:p>
            </c:rich>
          </c:tx>
          <c:layout>
            <c:manualLayout>
              <c:xMode val="edge"/>
              <c:yMode val="edge"/>
              <c:x val="0.42774610070292934"/>
              <c:y val="0.89075806700632998"/>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1"/>
        <c:crossesAt val="0"/>
        <c:crossBetween val="midCat"/>
        <c:majorUnit val="0.2"/>
        <c:minorUnit val="0.2"/>
      </c:valAx>
      <c:valAx>
        <c:axId val="1"/>
        <c:scaling>
          <c:orientation val="minMax"/>
        </c:scaling>
        <c:delete val="0"/>
        <c:axPos val="l"/>
        <c:majorGridlines>
          <c:spPr>
            <a:ln w="3175">
              <a:pattFill prst="pct25">
                <a:fgClr>
                  <a:srgbClr val="000000"/>
                </a:fgClr>
                <a:bgClr>
                  <a:srgbClr val="FFFFFF"/>
                </a:bgClr>
              </a:pattFill>
              <a:prstDash val="solid"/>
            </a:ln>
          </c:spPr>
        </c:majorGridlines>
        <c:title>
          <c:tx>
            <c:rich>
              <a:bodyPr/>
              <a:lstStyle/>
              <a:p>
                <a:pPr>
                  <a:defRPr sz="800" b="0" i="1" u="none" strike="noStrike" baseline="0">
                    <a:solidFill>
                      <a:srgbClr val="000000"/>
                    </a:solidFill>
                    <a:latin typeface="Times New Roman"/>
                    <a:ea typeface="Times New Roman"/>
                    <a:cs typeface="Times New Roman"/>
                  </a:defRPr>
                </a:pPr>
                <a:r>
                  <a:rPr lang="en-US"/>
                  <a:t>Torque (%) </a:t>
                </a:r>
              </a:p>
            </c:rich>
          </c:tx>
          <c:layout>
            <c:manualLayout>
              <c:xMode val="edge"/>
              <c:yMode val="edge"/>
              <c:x val="1.4450779859414125E-2"/>
              <c:y val="0.289916407507885"/>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1174257376"/>
        <c:crosses val="max"/>
        <c:crossBetween val="midCat"/>
        <c:majorUnit val="50"/>
        <c:minorUnit val="50"/>
      </c:valAx>
      <c:valAx>
        <c:axId val="3"/>
        <c:scaling>
          <c:orientation val="maxMin"/>
        </c:scaling>
        <c:delete val="1"/>
        <c:axPos val="b"/>
        <c:numFmt formatCode="0.00" sourceLinked="1"/>
        <c:majorTickMark val="out"/>
        <c:minorTickMark val="none"/>
        <c:tickLblPos val="nextTo"/>
        <c:crossAx val="4"/>
        <c:crosses val="autoZero"/>
        <c:crossBetween val="midCat"/>
      </c:valAx>
      <c:valAx>
        <c:axId val="4"/>
        <c:scaling>
          <c:orientation val="minMax"/>
        </c:scaling>
        <c:delete val="0"/>
        <c:axPos val="r"/>
        <c:title>
          <c:tx>
            <c:rich>
              <a:bodyPr/>
              <a:lstStyle/>
              <a:p>
                <a:pPr>
                  <a:defRPr sz="800" b="0" i="1" u="none" strike="noStrike" baseline="0">
                    <a:solidFill>
                      <a:srgbClr val="000000"/>
                    </a:solidFill>
                    <a:latin typeface="Times New Roman"/>
                    <a:ea typeface="Times New Roman"/>
                    <a:cs typeface="Times New Roman"/>
                  </a:defRPr>
                </a:pPr>
                <a:r>
                  <a:rPr lang="en-US"/>
                  <a:t>Current (%)</a:t>
                </a:r>
              </a:p>
            </c:rich>
          </c:tx>
          <c:layout>
            <c:manualLayout>
              <c:xMode val="edge"/>
              <c:yMode val="edge"/>
              <c:x val="0.92774670407578363"/>
              <c:y val="0.24789960078519596"/>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3"/>
        <c:crosses val="autoZero"/>
        <c:crossBetween val="midCat"/>
      </c:valAx>
      <c:spPr>
        <a:solidFill>
          <a:srgbClr val="E3E3E3"/>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4" verticalDpi="300"/>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i="1" u="none" strike="noStrike" baseline="0">
                <a:solidFill>
                  <a:srgbClr val="000000"/>
                </a:solidFill>
                <a:latin typeface="Times New Roman"/>
                <a:ea typeface="Times New Roman"/>
                <a:cs typeface="Times New Roman"/>
              </a:defRPr>
            </a:pPr>
            <a:r>
              <a:rPr lang="en-US"/>
              <a:t>Design Values</a:t>
            </a:r>
          </a:p>
        </c:rich>
      </c:tx>
      <c:layout>
        <c:manualLayout>
          <c:xMode val="edge"/>
          <c:yMode val="edge"/>
          <c:x val="0.39122880692545009"/>
          <c:y val="2.8517110266159697E-2"/>
        </c:manualLayout>
      </c:layout>
      <c:overlay val="0"/>
      <c:spPr>
        <a:noFill/>
        <a:ln w="25400">
          <a:noFill/>
        </a:ln>
      </c:spPr>
    </c:title>
    <c:autoTitleDeleted val="0"/>
    <c:plotArea>
      <c:layout>
        <c:manualLayout>
          <c:layoutTarget val="inner"/>
          <c:xMode val="edge"/>
          <c:yMode val="edge"/>
          <c:x val="0.13859672868134712"/>
          <c:y val="0.14068454124263052"/>
          <c:w val="0.71228192208388519"/>
          <c:h val="0.63308043559183735"/>
        </c:manualLayout>
      </c:layout>
      <c:scatterChart>
        <c:scatterStyle val="lineMarker"/>
        <c:varyColors val="0"/>
        <c:ser>
          <c:idx val="2"/>
          <c:order val="2"/>
          <c:tx>
            <c:v>Load (Fan / Pump)</c:v>
          </c:tx>
          <c:spPr>
            <a:ln w="25400">
              <a:solidFill>
                <a:srgbClr val="000000"/>
              </a:solidFill>
              <a:prstDash val="sysDash"/>
            </a:ln>
          </c:spPr>
          <c:marker>
            <c:symbol val="none"/>
          </c:marker>
          <c:xVal>
            <c:numRef>
              <c:f>STCurve!$A$54:$A$67</c:f>
              <c:numCache>
                <c:formatCode>0.0</c:formatCode>
                <c:ptCount val="14"/>
                <c:pt idx="0">
                  <c:v>100</c:v>
                </c:pt>
                <c:pt idx="1">
                  <c:v>99.200000055134296</c:v>
                </c:pt>
                <c:pt idx="2">
                  <c:v>96.000000089406967</c:v>
                </c:pt>
                <c:pt idx="3">
                  <c:v>90.857142955064774</c:v>
                </c:pt>
                <c:pt idx="4">
                  <c:v>85.71428507566452</c:v>
                </c:pt>
                <c:pt idx="5">
                  <c:v>80.571427941322327</c:v>
                </c:pt>
                <c:pt idx="6">
                  <c:v>70.285713672637939</c:v>
                </c:pt>
                <c:pt idx="7">
                  <c:v>59.999999403953552</c:v>
                </c:pt>
                <c:pt idx="8">
                  <c:v>50</c:v>
                </c:pt>
                <c:pt idx="9">
                  <c:v>39.999997615814209</c:v>
                </c:pt>
                <c:pt idx="10">
                  <c:v>30.000001192092896</c:v>
                </c:pt>
                <c:pt idx="11">
                  <c:v>19.999998807907104</c:v>
                </c:pt>
                <c:pt idx="12">
                  <c:v>10.000002384185791</c:v>
                </c:pt>
                <c:pt idx="13">
                  <c:v>0</c:v>
                </c:pt>
              </c:numCache>
            </c:numRef>
          </c:xVal>
          <c:yVal>
            <c:numRef>
              <c:f>STCurve!$D$54:$D$67</c:f>
              <c:numCache>
                <c:formatCode>0.0</c:formatCode>
                <c:ptCount val="14"/>
                <c:pt idx="0">
                  <c:v>100</c:v>
                </c:pt>
                <c:pt idx="1">
                  <c:v>98.400001525878906</c:v>
                </c:pt>
                <c:pt idx="2">
                  <c:v>89.75</c:v>
                </c:pt>
                <c:pt idx="3">
                  <c:v>76.228569030761719</c:v>
                </c:pt>
                <c:pt idx="4">
                  <c:v>62.857139587402344</c:v>
                </c:pt>
                <c:pt idx="5">
                  <c:v>51.25714111328125</c:v>
                </c:pt>
                <c:pt idx="6">
                  <c:v>33.485713958740234</c:v>
                </c:pt>
                <c:pt idx="7">
                  <c:v>22</c:v>
                </c:pt>
                <c:pt idx="8">
                  <c:v>14</c:v>
                </c:pt>
                <c:pt idx="9">
                  <c:v>7.9999995231628418</c:v>
                </c:pt>
                <c:pt idx="10">
                  <c:v>5.9999995231628418</c:v>
                </c:pt>
                <c:pt idx="11">
                  <c:v>8.0000009536743164</c:v>
                </c:pt>
                <c:pt idx="12">
                  <c:v>14.999996185302734</c:v>
                </c:pt>
                <c:pt idx="13">
                  <c:v>30</c:v>
                </c:pt>
              </c:numCache>
            </c:numRef>
          </c:yVal>
          <c:smooth val="1"/>
          <c:extLst>
            <c:ext xmlns:c16="http://schemas.microsoft.com/office/drawing/2014/chart" uri="{C3380CC4-5D6E-409C-BE32-E72D297353CC}">
              <c16:uniqueId val="{00000000-0625-472A-A97E-C39EC63A05B6}"/>
            </c:ext>
          </c:extLst>
        </c:ser>
        <c:ser>
          <c:idx val="3"/>
          <c:order val="3"/>
          <c:spPr>
            <a:ln w="25400">
              <a:solidFill>
                <a:srgbClr val="000000"/>
              </a:solidFill>
              <a:prstDash val="solid"/>
            </a:ln>
          </c:spPr>
          <c:marker>
            <c:symbol val="none"/>
          </c:marker>
          <c:xVal>
            <c:numRef>
              <c:f>STCurve!$A$54:$A$67</c:f>
              <c:numCache>
                <c:formatCode>0.0</c:formatCode>
                <c:ptCount val="14"/>
                <c:pt idx="0">
                  <c:v>100</c:v>
                </c:pt>
                <c:pt idx="1">
                  <c:v>99.200000055134296</c:v>
                </c:pt>
                <c:pt idx="2">
                  <c:v>96.000000089406967</c:v>
                </c:pt>
                <c:pt idx="3">
                  <c:v>90.857142955064774</c:v>
                </c:pt>
                <c:pt idx="4">
                  <c:v>85.71428507566452</c:v>
                </c:pt>
                <c:pt idx="5">
                  <c:v>80.571427941322327</c:v>
                </c:pt>
                <c:pt idx="6">
                  <c:v>70.285713672637939</c:v>
                </c:pt>
                <c:pt idx="7">
                  <c:v>59.999999403953552</c:v>
                </c:pt>
                <c:pt idx="8">
                  <c:v>50</c:v>
                </c:pt>
                <c:pt idx="9">
                  <c:v>39.999997615814209</c:v>
                </c:pt>
                <c:pt idx="10">
                  <c:v>30.000001192092896</c:v>
                </c:pt>
                <c:pt idx="11">
                  <c:v>19.999998807907104</c:v>
                </c:pt>
                <c:pt idx="12">
                  <c:v>10.000002384185791</c:v>
                </c:pt>
                <c:pt idx="13">
                  <c:v>0</c:v>
                </c:pt>
              </c:numCache>
            </c:numRef>
          </c:xVal>
          <c:yVal>
            <c:numRef>
              <c:f>STCurve!$E$54:$E$67</c:f>
              <c:numCache>
                <c:formatCode>0.0</c:formatCode>
                <c:ptCount val="14"/>
                <c:pt idx="0">
                  <c:v>0</c:v>
                </c:pt>
                <c:pt idx="1">
                  <c:v>66.643913118955837</c:v>
                </c:pt>
                <c:pt idx="2">
                  <c:v>172.80000514984135</c:v>
                </c:pt>
                <c:pt idx="3">
                  <c:v>147.1129145405564</c:v>
                </c:pt>
                <c:pt idx="4">
                  <c:v>124.3177771424584</c:v>
                </c:pt>
                <c:pt idx="5">
                  <c:v>114.62875341620298</c:v>
                </c:pt>
                <c:pt idx="6">
                  <c:v>109.59049154730108</c:v>
                </c:pt>
                <c:pt idx="7">
                  <c:v>108.80000324249269</c:v>
                </c:pt>
                <c:pt idx="8">
                  <c:v>108.80001300811799</c:v>
                </c:pt>
                <c:pt idx="9">
                  <c:v>108.80004230499387</c:v>
                </c:pt>
                <c:pt idx="10">
                  <c:v>108.82782550894687</c:v>
                </c:pt>
                <c:pt idx="11">
                  <c:v>108.83805011862658</c:v>
                </c:pt>
                <c:pt idx="12">
                  <c:v>108.85095050963605</c:v>
                </c:pt>
                <c:pt idx="13">
                  <c:v>108.80000324249269</c:v>
                </c:pt>
              </c:numCache>
            </c:numRef>
          </c:yVal>
          <c:smooth val="1"/>
          <c:extLst>
            <c:ext xmlns:c16="http://schemas.microsoft.com/office/drawing/2014/chart" uri="{C3380CC4-5D6E-409C-BE32-E72D297353CC}">
              <c16:uniqueId val="{00000001-0625-472A-A97E-C39EC63A05B6}"/>
            </c:ext>
          </c:extLst>
        </c:ser>
        <c:dLbls>
          <c:showLegendKey val="0"/>
          <c:showVal val="0"/>
          <c:showCatName val="0"/>
          <c:showSerName val="0"/>
          <c:showPercent val="0"/>
          <c:showBubbleSize val="0"/>
        </c:dLbls>
        <c:axId val="1183813664"/>
        <c:axId val="1"/>
      </c:scatterChart>
      <c:scatterChart>
        <c:scatterStyle val="smoothMarker"/>
        <c:varyColors val="0"/>
        <c:ser>
          <c:idx val="0"/>
          <c:order val="0"/>
          <c:tx>
            <c:v>Torque (FV / 0.80)</c:v>
          </c:tx>
          <c:spPr>
            <a:ln w="25400">
              <a:solidFill>
                <a:srgbClr val="000000"/>
              </a:solidFill>
              <a:prstDash val="solid"/>
            </a:ln>
          </c:spPr>
          <c:marker>
            <c:symbol val="none"/>
          </c:marker>
          <c:xVal>
            <c:numRef>
              <c:f>STCurve!$A$54:$A$67</c:f>
              <c:numCache>
                <c:formatCode>0.0</c:formatCode>
                <c:ptCount val="14"/>
                <c:pt idx="0">
                  <c:v>100</c:v>
                </c:pt>
                <c:pt idx="1">
                  <c:v>99.200000055134296</c:v>
                </c:pt>
                <c:pt idx="2">
                  <c:v>96.000000089406967</c:v>
                </c:pt>
                <c:pt idx="3">
                  <c:v>90.857142955064774</c:v>
                </c:pt>
                <c:pt idx="4">
                  <c:v>85.71428507566452</c:v>
                </c:pt>
                <c:pt idx="5">
                  <c:v>80.571427941322327</c:v>
                </c:pt>
                <c:pt idx="6">
                  <c:v>70.285713672637939</c:v>
                </c:pt>
                <c:pt idx="7">
                  <c:v>59.999999403953552</c:v>
                </c:pt>
                <c:pt idx="8">
                  <c:v>50</c:v>
                </c:pt>
                <c:pt idx="9">
                  <c:v>39.999997615814209</c:v>
                </c:pt>
                <c:pt idx="10">
                  <c:v>30.000001192092896</c:v>
                </c:pt>
                <c:pt idx="11">
                  <c:v>19.999998807907104</c:v>
                </c:pt>
                <c:pt idx="12">
                  <c:v>10.000002384185791</c:v>
                </c:pt>
                <c:pt idx="13">
                  <c:v>0</c:v>
                </c:pt>
              </c:numCache>
            </c:numRef>
          </c:xVal>
          <c:yVal>
            <c:numRef>
              <c:f>STCurve!$B$54:$B$67</c:f>
              <c:numCache>
                <c:formatCode>0.0</c:formatCode>
                <c:ptCount val="14"/>
                <c:pt idx="0">
                  <c:v>0</c:v>
                </c:pt>
                <c:pt idx="1">
                  <c:v>104.13111118997179</c:v>
                </c:pt>
                <c:pt idx="2">
                  <c:v>270</c:v>
                </c:pt>
                <c:pt idx="3">
                  <c:v>229.86391631621464</c:v>
                </c:pt>
                <c:pt idx="4">
                  <c:v>194.24652409094722</c:v>
                </c:pt>
                <c:pt idx="5">
                  <c:v>179.10742640934922</c:v>
                </c:pt>
                <c:pt idx="6">
                  <c:v>171.23513279965809</c:v>
                </c:pt>
                <c:pt idx="7">
                  <c:v>170</c:v>
                </c:pt>
                <c:pt idx="8">
                  <c:v>170.00001114767471</c:v>
                </c:pt>
                <c:pt idx="9">
                  <c:v>170.00005421880923</c:v>
                </c:pt>
                <c:pt idx="10">
                  <c:v>170.04346773103447</c:v>
                </c:pt>
                <c:pt idx="11">
                  <c:v>170.05945133062588</c:v>
                </c:pt>
                <c:pt idx="12">
                  <c:v>170.07960633545824</c:v>
                </c:pt>
                <c:pt idx="13">
                  <c:v>170</c:v>
                </c:pt>
              </c:numCache>
            </c:numRef>
          </c:yVal>
          <c:smooth val="1"/>
          <c:extLst>
            <c:ext xmlns:c16="http://schemas.microsoft.com/office/drawing/2014/chart" uri="{C3380CC4-5D6E-409C-BE32-E72D297353CC}">
              <c16:uniqueId val="{00000002-0625-472A-A97E-C39EC63A05B6}"/>
            </c:ext>
          </c:extLst>
        </c:ser>
        <c:dLbls>
          <c:showLegendKey val="0"/>
          <c:showVal val="0"/>
          <c:showCatName val="0"/>
          <c:showSerName val="0"/>
          <c:showPercent val="0"/>
          <c:showBubbleSize val="0"/>
        </c:dLbls>
        <c:axId val="1183813664"/>
        <c:axId val="1"/>
      </c:scatterChart>
      <c:scatterChart>
        <c:scatterStyle val="lineMarker"/>
        <c:varyColors val="0"/>
        <c:ser>
          <c:idx val="1"/>
          <c:order val="1"/>
          <c:tx>
            <c:v>Current (FV / 0.80)</c:v>
          </c:tx>
          <c:spPr>
            <a:ln w="25400">
              <a:solidFill>
                <a:srgbClr val="000000"/>
              </a:solidFill>
              <a:prstDash val="lgDash"/>
            </a:ln>
          </c:spPr>
          <c:marker>
            <c:symbol val="none"/>
          </c:marker>
          <c:xVal>
            <c:numRef>
              <c:f>STCurve!$A$54:$A$67</c:f>
              <c:numCache>
                <c:formatCode>0.0</c:formatCode>
                <c:ptCount val="14"/>
                <c:pt idx="0">
                  <c:v>100</c:v>
                </c:pt>
                <c:pt idx="1">
                  <c:v>99.200000055134296</c:v>
                </c:pt>
                <c:pt idx="2">
                  <c:v>96.000000089406967</c:v>
                </c:pt>
                <c:pt idx="3">
                  <c:v>90.857142955064774</c:v>
                </c:pt>
                <c:pt idx="4">
                  <c:v>85.71428507566452</c:v>
                </c:pt>
                <c:pt idx="5">
                  <c:v>80.571427941322327</c:v>
                </c:pt>
                <c:pt idx="6">
                  <c:v>70.285713672637939</c:v>
                </c:pt>
                <c:pt idx="7">
                  <c:v>59.999999403953552</c:v>
                </c:pt>
                <c:pt idx="8">
                  <c:v>50</c:v>
                </c:pt>
                <c:pt idx="9">
                  <c:v>39.999997615814209</c:v>
                </c:pt>
                <c:pt idx="10">
                  <c:v>30.000001192092896</c:v>
                </c:pt>
                <c:pt idx="11">
                  <c:v>19.999998807907104</c:v>
                </c:pt>
                <c:pt idx="12">
                  <c:v>10.000002384185791</c:v>
                </c:pt>
                <c:pt idx="13">
                  <c:v>0</c:v>
                </c:pt>
              </c:numCache>
            </c:numRef>
          </c:xVal>
          <c:yVal>
            <c:numRef>
              <c:f>STCurve!$C$54:$C$67</c:f>
              <c:numCache>
                <c:formatCode>0.0</c:formatCode>
                <c:ptCount val="14"/>
                <c:pt idx="0">
                  <c:v>0.18077993392944336</c:v>
                </c:pt>
                <c:pt idx="1">
                  <c:v>110.78910827636719</c:v>
                </c:pt>
                <c:pt idx="2">
                  <c:v>384.92623901367188</c:v>
                </c:pt>
                <c:pt idx="3">
                  <c:v>493.72348022460938</c:v>
                </c:pt>
                <c:pt idx="4">
                  <c:v>530.29669189453125</c:v>
                </c:pt>
                <c:pt idx="5">
                  <c:v>548.1092529296875</c:v>
                </c:pt>
                <c:pt idx="6">
                  <c:v>568.4287109375</c:v>
                </c:pt>
                <c:pt idx="7">
                  <c:v>582.61724853515625</c:v>
                </c:pt>
                <c:pt idx="8">
                  <c:v>594.48126220703125</c:v>
                </c:pt>
                <c:pt idx="9">
                  <c:v>604.55157470703125</c:v>
                </c:pt>
                <c:pt idx="10">
                  <c:v>613.13995361328125</c:v>
                </c:pt>
                <c:pt idx="11">
                  <c:v>620.36669921875</c:v>
                </c:pt>
                <c:pt idx="12">
                  <c:v>626.53021240234375</c:v>
                </c:pt>
                <c:pt idx="13">
                  <c:v>631.81817626953125</c:v>
                </c:pt>
              </c:numCache>
            </c:numRef>
          </c:yVal>
          <c:smooth val="1"/>
          <c:extLst>
            <c:ext xmlns:c16="http://schemas.microsoft.com/office/drawing/2014/chart" uri="{C3380CC4-5D6E-409C-BE32-E72D297353CC}">
              <c16:uniqueId val="{00000003-0625-472A-A97E-C39EC63A05B6}"/>
            </c:ext>
          </c:extLst>
        </c:ser>
        <c:ser>
          <c:idx val="4"/>
          <c:order val="4"/>
          <c:spPr>
            <a:ln w="25400">
              <a:solidFill>
                <a:srgbClr val="000000"/>
              </a:solidFill>
              <a:prstDash val="lgDash"/>
            </a:ln>
          </c:spPr>
          <c:marker>
            <c:symbol val="none"/>
          </c:marker>
          <c:xVal>
            <c:numRef>
              <c:f>STCurve!$A$54:$A$67</c:f>
              <c:numCache>
                <c:formatCode>0.0</c:formatCode>
                <c:ptCount val="14"/>
                <c:pt idx="0">
                  <c:v>100</c:v>
                </c:pt>
                <c:pt idx="1">
                  <c:v>99.200000055134296</c:v>
                </c:pt>
                <c:pt idx="2">
                  <c:v>96.000000089406967</c:v>
                </c:pt>
                <c:pt idx="3">
                  <c:v>90.857142955064774</c:v>
                </c:pt>
                <c:pt idx="4">
                  <c:v>85.71428507566452</c:v>
                </c:pt>
                <c:pt idx="5">
                  <c:v>80.571427941322327</c:v>
                </c:pt>
                <c:pt idx="6">
                  <c:v>70.285713672637939</c:v>
                </c:pt>
                <c:pt idx="7">
                  <c:v>59.999999403953552</c:v>
                </c:pt>
                <c:pt idx="8">
                  <c:v>50</c:v>
                </c:pt>
                <c:pt idx="9">
                  <c:v>39.999997615814209</c:v>
                </c:pt>
                <c:pt idx="10">
                  <c:v>30.000001192092896</c:v>
                </c:pt>
                <c:pt idx="11">
                  <c:v>19.999998807907104</c:v>
                </c:pt>
                <c:pt idx="12">
                  <c:v>10.000002384185791</c:v>
                </c:pt>
                <c:pt idx="13">
                  <c:v>0</c:v>
                </c:pt>
              </c:numCache>
            </c:numRef>
          </c:xVal>
          <c:yVal>
            <c:numRef>
              <c:f>STCurve!$F$54:$F$67</c:f>
              <c:numCache>
                <c:formatCode>0.0</c:formatCode>
                <c:ptCount val="14"/>
                <c:pt idx="0">
                  <c:v>6.3634543418884277</c:v>
                </c:pt>
                <c:pt idx="1">
                  <c:v>88.63128662109375</c:v>
                </c:pt>
                <c:pt idx="2">
                  <c:v>307.94100952148438</c:v>
                </c:pt>
                <c:pt idx="3">
                  <c:v>394.97879028320313</c:v>
                </c:pt>
                <c:pt idx="4">
                  <c:v>424.23736572265625</c:v>
                </c:pt>
                <c:pt idx="5">
                  <c:v>438.48739624023438</c:v>
                </c:pt>
                <c:pt idx="6">
                  <c:v>454.74298095703125</c:v>
                </c:pt>
                <c:pt idx="7">
                  <c:v>466.09381103515625</c:v>
                </c:pt>
                <c:pt idx="8">
                  <c:v>475.58502197265625</c:v>
                </c:pt>
                <c:pt idx="9">
                  <c:v>483.64126586914063</c:v>
                </c:pt>
                <c:pt idx="10">
                  <c:v>490.511962890625</c:v>
                </c:pt>
                <c:pt idx="11">
                  <c:v>496.29336547851563</c:v>
                </c:pt>
                <c:pt idx="12">
                  <c:v>501.22418212890625</c:v>
                </c:pt>
                <c:pt idx="13">
                  <c:v>505.45455932617188</c:v>
                </c:pt>
              </c:numCache>
            </c:numRef>
          </c:yVal>
          <c:smooth val="1"/>
          <c:extLst>
            <c:ext xmlns:c16="http://schemas.microsoft.com/office/drawing/2014/chart" uri="{C3380CC4-5D6E-409C-BE32-E72D297353CC}">
              <c16:uniqueId val="{00000004-0625-472A-A97E-C39EC63A05B6}"/>
            </c:ext>
          </c:extLst>
        </c:ser>
        <c:dLbls>
          <c:showLegendKey val="0"/>
          <c:showVal val="0"/>
          <c:showCatName val="0"/>
          <c:showSerName val="0"/>
          <c:showPercent val="0"/>
          <c:showBubbleSize val="0"/>
        </c:dLbls>
        <c:axId val="3"/>
        <c:axId val="4"/>
      </c:scatterChart>
      <c:valAx>
        <c:axId val="1183813664"/>
        <c:scaling>
          <c:orientation val="minMax"/>
          <c:max val="100"/>
        </c:scaling>
        <c:delete val="0"/>
        <c:axPos val="b"/>
        <c:majorGridlines>
          <c:spPr>
            <a:ln w="3175">
              <a:solidFill>
                <a:srgbClr val="000000"/>
              </a:solidFill>
              <a:prstDash val="solid"/>
            </a:ln>
          </c:spPr>
        </c:majorGridlines>
        <c:title>
          <c:tx>
            <c:rich>
              <a:bodyPr/>
              <a:lstStyle/>
              <a:p>
                <a:pPr>
                  <a:defRPr sz="1100" b="0" i="1" u="none" strike="noStrike" baseline="0">
                    <a:solidFill>
                      <a:srgbClr val="000000"/>
                    </a:solidFill>
                    <a:latin typeface="Times New Roman"/>
                    <a:ea typeface="Times New Roman"/>
                    <a:cs typeface="Times New Roman"/>
                  </a:defRPr>
                </a:pPr>
                <a:r>
                  <a:rPr lang="en-US"/>
                  <a:t>Percent Synchronous Speed</a:t>
                </a:r>
              </a:p>
            </c:rich>
          </c:tx>
          <c:layout>
            <c:manualLayout>
              <c:xMode val="edge"/>
              <c:yMode val="edge"/>
              <c:x val="0.33508827186075424"/>
              <c:y val="0.8460084029420276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Times New Roman"/>
                <a:ea typeface="Times New Roman"/>
                <a:cs typeface="Times New Roman"/>
              </a:defRPr>
            </a:pPr>
            <a:endParaRPr lang="en-US"/>
          </a:p>
        </c:txPr>
        <c:crossAx val="1"/>
        <c:crosses val="autoZero"/>
        <c:crossBetween val="midCat"/>
        <c:majorUnit val="20"/>
        <c:minorUnit val="20"/>
      </c:valAx>
      <c:valAx>
        <c:axId val="1"/>
        <c:scaling>
          <c:orientation val="minMax"/>
        </c:scaling>
        <c:delete val="0"/>
        <c:axPos val="l"/>
        <c:majorGridlines>
          <c:spPr>
            <a:ln w="3175">
              <a:solidFill>
                <a:srgbClr val="000000"/>
              </a:solidFill>
              <a:prstDash val="solid"/>
            </a:ln>
          </c:spPr>
        </c:majorGridlines>
        <c:title>
          <c:tx>
            <c:rich>
              <a:bodyPr/>
              <a:lstStyle/>
              <a:p>
                <a:pPr>
                  <a:defRPr sz="1100" b="0" i="1" u="none" strike="noStrike" baseline="0">
                    <a:solidFill>
                      <a:srgbClr val="000000"/>
                    </a:solidFill>
                    <a:latin typeface="Times New Roman"/>
                    <a:ea typeface="Times New Roman"/>
                    <a:cs typeface="Times New Roman"/>
                  </a:defRPr>
                </a:pPr>
                <a:r>
                  <a:rPr lang="en-US"/>
                  <a:t>Percent Full-Load Torque</a:t>
                </a:r>
              </a:p>
            </c:rich>
          </c:tx>
          <c:layout>
            <c:manualLayout>
              <c:xMode val="edge"/>
              <c:yMode val="edge"/>
              <c:x val="2.8070175438596492E-2"/>
              <c:y val="0.2965781463628833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Times New Roman"/>
                <a:ea typeface="Times New Roman"/>
                <a:cs typeface="Times New Roman"/>
              </a:defRPr>
            </a:pPr>
            <a:endParaRPr lang="en-US"/>
          </a:p>
        </c:txPr>
        <c:crossAx val="1183813664"/>
        <c:crosses val="autoZero"/>
        <c:crossBetween val="midCat"/>
      </c:valAx>
      <c:valAx>
        <c:axId val="3"/>
        <c:scaling>
          <c:orientation val="minMax"/>
        </c:scaling>
        <c:delete val="1"/>
        <c:axPos val="b"/>
        <c:numFmt formatCode="0.0" sourceLinked="1"/>
        <c:majorTickMark val="out"/>
        <c:minorTickMark val="none"/>
        <c:tickLblPos val="nextTo"/>
        <c:crossAx val="4"/>
        <c:crosses val="autoZero"/>
        <c:crossBetween val="midCat"/>
      </c:valAx>
      <c:valAx>
        <c:axId val="4"/>
        <c:scaling>
          <c:orientation val="minMax"/>
          <c:max val="900"/>
        </c:scaling>
        <c:delete val="0"/>
        <c:axPos val="r"/>
        <c:title>
          <c:tx>
            <c:rich>
              <a:bodyPr/>
              <a:lstStyle/>
              <a:p>
                <a:pPr>
                  <a:defRPr sz="1100" b="0" i="1" u="none" strike="noStrike" baseline="0">
                    <a:solidFill>
                      <a:srgbClr val="000000"/>
                    </a:solidFill>
                    <a:latin typeface="Times New Roman"/>
                    <a:ea typeface="Times New Roman"/>
                    <a:cs typeface="Times New Roman"/>
                  </a:defRPr>
                </a:pPr>
                <a:r>
                  <a:rPr lang="en-US"/>
                  <a:t>Percent Full-Load Current</a:t>
                </a:r>
              </a:p>
            </c:rich>
          </c:tx>
          <c:layout>
            <c:manualLayout>
              <c:xMode val="edge"/>
              <c:yMode val="edge"/>
              <c:x val="0.92456306119629783"/>
              <c:y val="0.29277586499406205"/>
            </c:manualLayout>
          </c:layout>
          <c:overlay val="0"/>
          <c:spPr>
            <a:solidFill>
              <a:srgbClr val="FFFFFF"/>
            </a:solidFill>
            <a:ln w="25400">
              <a:noFill/>
            </a:ln>
          </c:spPr>
        </c:title>
        <c:numFmt formatCode="0" sourceLinked="0"/>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Times New Roman"/>
                <a:ea typeface="Times New Roman"/>
                <a:cs typeface="Times New Roman"/>
              </a:defRPr>
            </a:pPr>
            <a:endParaRPr lang="en-US"/>
          </a:p>
        </c:txPr>
        <c:crossAx val="3"/>
        <c:crosses val="max"/>
        <c:crossBetween val="midCat"/>
        <c:majorUnit val="150"/>
      </c:valAx>
      <c:spPr>
        <a:solidFill>
          <a:srgbClr val="FFFFFF"/>
        </a:solidFill>
        <a:ln w="12700">
          <a:solidFill>
            <a:srgbClr val="000000"/>
          </a:solidFill>
          <a:prstDash val="solid"/>
        </a:ln>
      </c:spPr>
    </c:plotArea>
    <c:legend>
      <c:legendPos val="r"/>
      <c:legendEntry>
        <c:idx val="2"/>
        <c:delete val="1"/>
      </c:legendEntry>
      <c:legendEntry>
        <c:idx val="4"/>
        <c:delete val="1"/>
      </c:legendEntry>
      <c:layout>
        <c:manualLayout>
          <c:xMode val="edge"/>
          <c:yMode val="edge"/>
          <c:x val="0.34794561276275038"/>
          <c:y val="0.93404925463141775"/>
          <c:w val="0.23561671415430344"/>
          <c:h val="5.8282219500810958E-2"/>
        </c:manualLayout>
      </c:layout>
      <c:overlay val="0"/>
      <c:spPr>
        <a:solidFill>
          <a:srgbClr val="FFFFFF"/>
        </a:solidFill>
        <a:ln w="25400">
          <a:noFill/>
        </a:ln>
      </c:spPr>
      <c:txPr>
        <a:bodyPr/>
        <a:lstStyle/>
        <a:p>
          <a:pPr>
            <a:defRPr sz="775"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6350">
      <a:noFill/>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horizontalDpi="0" verticalDpi="300"/>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82084690553746"/>
          <c:y val="2.3668656149350608E-2"/>
          <c:w val="0.81921824104234531"/>
          <c:h val="0.86834382247930042"/>
        </c:manualLayout>
      </c:layout>
      <c:scatterChart>
        <c:scatterStyle val="smoothMarker"/>
        <c:varyColors val="0"/>
        <c:ser>
          <c:idx val="0"/>
          <c:order val="0"/>
          <c:tx>
            <c:v>Cold Stall</c:v>
          </c:tx>
          <c:spPr>
            <a:ln w="25400">
              <a:solidFill>
                <a:srgbClr val="0080C0"/>
              </a:solidFill>
              <a:prstDash val="solid"/>
            </a:ln>
          </c:spPr>
          <c:marker>
            <c:symbol val="none"/>
          </c:marker>
          <c:xVal>
            <c:numRef>
              <c:f>Thermdam!$A$68:$A$71</c:f>
              <c:numCache>
                <c:formatCode>0</c:formatCode>
                <c:ptCount val="4"/>
                <c:pt idx="0">
                  <c:v>631.81818181818187</c:v>
                </c:pt>
                <c:pt idx="1">
                  <c:v>559.21938181818177</c:v>
                </c:pt>
                <c:pt idx="2">
                  <c:v>486.59879999999998</c:v>
                </c:pt>
                <c:pt idx="3">
                  <c:v>414</c:v>
                </c:pt>
              </c:numCache>
            </c:numRef>
          </c:xVal>
          <c:yVal>
            <c:numRef>
              <c:f>Thermdam!$B$68:$B$71</c:f>
              <c:numCache>
                <c:formatCode>0.00</c:formatCode>
                <c:ptCount val="4"/>
                <c:pt idx="0">
                  <c:v>35</c:v>
                </c:pt>
                <c:pt idx="1">
                  <c:v>44.677396052381482</c:v>
                </c:pt>
                <c:pt idx="2">
                  <c:v>59.007907744955553</c:v>
                </c:pt>
                <c:pt idx="3">
                  <c:v>81.517640555562309</c:v>
                </c:pt>
              </c:numCache>
            </c:numRef>
          </c:yVal>
          <c:smooth val="1"/>
          <c:extLst>
            <c:ext xmlns:c16="http://schemas.microsoft.com/office/drawing/2014/chart" uri="{C3380CC4-5D6E-409C-BE32-E72D297353CC}">
              <c16:uniqueId val="{00000000-F447-4C4D-9BE5-CBF355825DFC}"/>
            </c:ext>
          </c:extLst>
        </c:ser>
        <c:ser>
          <c:idx val="1"/>
          <c:order val="1"/>
          <c:tx>
            <c:v>Hot Stall</c:v>
          </c:tx>
          <c:spPr>
            <a:ln w="25400">
              <a:solidFill>
                <a:srgbClr val="996666"/>
              </a:solidFill>
              <a:prstDash val="solid"/>
            </a:ln>
          </c:spPr>
          <c:marker>
            <c:symbol val="none"/>
          </c:marker>
          <c:xVal>
            <c:numRef>
              <c:f>Thermdam!$A$68:$A$71</c:f>
              <c:numCache>
                <c:formatCode>0</c:formatCode>
                <c:ptCount val="4"/>
                <c:pt idx="0">
                  <c:v>631.81818181818187</c:v>
                </c:pt>
                <c:pt idx="1">
                  <c:v>559.21938181818177</c:v>
                </c:pt>
                <c:pt idx="2">
                  <c:v>486.59879999999998</c:v>
                </c:pt>
                <c:pt idx="3">
                  <c:v>414</c:v>
                </c:pt>
              </c:numCache>
            </c:numRef>
          </c:xVal>
          <c:yVal>
            <c:numRef>
              <c:f>Thermdam!$C$68:$C$71</c:f>
              <c:numCache>
                <c:formatCode>0.00</c:formatCode>
                <c:ptCount val="4"/>
                <c:pt idx="0">
                  <c:v>15</c:v>
                </c:pt>
                <c:pt idx="1">
                  <c:v>19.147455451020633</c:v>
                </c:pt>
                <c:pt idx="2">
                  <c:v>25.289103319266665</c:v>
                </c:pt>
                <c:pt idx="3">
                  <c:v>34.93613166666956</c:v>
                </c:pt>
              </c:numCache>
            </c:numRef>
          </c:yVal>
          <c:smooth val="1"/>
          <c:extLst>
            <c:ext xmlns:c16="http://schemas.microsoft.com/office/drawing/2014/chart" uri="{C3380CC4-5D6E-409C-BE32-E72D297353CC}">
              <c16:uniqueId val="{00000001-F447-4C4D-9BE5-CBF355825DFC}"/>
            </c:ext>
          </c:extLst>
        </c:ser>
        <c:ser>
          <c:idx val="2"/>
          <c:order val="2"/>
          <c:tx>
            <c:v>Running Condition</c:v>
          </c:tx>
          <c:spPr>
            <a:ln w="25400">
              <a:solidFill>
                <a:srgbClr val="000000"/>
              </a:solidFill>
              <a:prstDash val="solid"/>
            </a:ln>
          </c:spPr>
          <c:marker>
            <c:symbol val="none"/>
          </c:marker>
          <c:xVal>
            <c:numRef>
              <c:f>Thermdam!$A$72:$A$79</c:f>
              <c:numCache>
                <c:formatCode>0</c:formatCode>
                <c:ptCount val="8"/>
                <c:pt idx="0">
                  <c:v>314</c:v>
                </c:pt>
                <c:pt idx="1">
                  <c:v>214</c:v>
                </c:pt>
                <c:pt idx="2">
                  <c:v>270</c:v>
                </c:pt>
                <c:pt idx="3" formatCode="General">
                  <c:v>180</c:v>
                </c:pt>
                <c:pt idx="4" formatCode="General">
                  <c:v>145</c:v>
                </c:pt>
                <c:pt idx="5" formatCode="General">
                  <c:v>125</c:v>
                </c:pt>
                <c:pt idx="6" formatCode="General">
                  <c:v>125</c:v>
                </c:pt>
                <c:pt idx="7" formatCode="General">
                  <c:v>125</c:v>
                </c:pt>
              </c:numCache>
            </c:numRef>
          </c:xVal>
          <c:yVal>
            <c:numRef>
              <c:f>Thermdam!$C$72:$C$79</c:f>
              <c:numCache>
                <c:formatCode>0.00</c:formatCode>
                <c:ptCount val="8"/>
                <c:pt idx="2">
                  <c:v>82.138727340747565</c:v>
                </c:pt>
                <c:pt idx="3">
                  <c:v>184.81213651668199</c:v>
                </c:pt>
                <c:pt idx="4">
                  <c:v>284.79967767612357</c:v>
                </c:pt>
                <c:pt idx="5" formatCode="0">
                  <c:v>600</c:v>
                </c:pt>
                <c:pt idx="6" formatCode="0">
                  <c:v>1200</c:v>
                </c:pt>
                <c:pt idx="7" formatCode="General">
                  <c:v>10000</c:v>
                </c:pt>
              </c:numCache>
            </c:numRef>
          </c:yVal>
          <c:smooth val="1"/>
          <c:extLst>
            <c:ext xmlns:c16="http://schemas.microsoft.com/office/drawing/2014/chart" uri="{C3380CC4-5D6E-409C-BE32-E72D297353CC}">
              <c16:uniqueId val="{00000002-F447-4C4D-9BE5-CBF355825DFC}"/>
            </c:ext>
          </c:extLst>
        </c:ser>
        <c:ser>
          <c:idx val="3"/>
          <c:order val="3"/>
          <c:tx>
            <c:v>Acceleration Curve</c:v>
          </c:tx>
          <c:spPr>
            <a:ln w="25400">
              <a:solidFill>
                <a:srgbClr val="336666"/>
              </a:solidFill>
              <a:prstDash val="solid"/>
            </a:ln>
          </c:spPr>
          <c:marker>
            <c:symbol val="none"/>
          </c:marker>
          <c:xVal>
            <c:numRef>
              <c:f>Thermdam!$E$68:$E$81</c:f>
              <c:numCache>
                <c:formatCode>0</c:formatCode>
                <c:ptCount val="14"/>
                <c:pt idx="0">
                  <c:v>631.81818181818187</c:v>
                </c:pt>
                <c:pt idx="1">
                  <c:v>629.09090909090912</c:v>
                </c:pt>
                <c:pt idx="2">
                  <c:v>623.40909090909088</c:v>
                </c:pt>
                <c:pt idx="3">
                  <c:v>616.81818181818176</c:v>
                </c:pt>
                <c:pt idx="4">
                  <c:v>608.86363636363626</c:v>
                </c:pt>
                <c:pt idx="5">
                  <c:v>599.5454545454545</c:v>
                </c:pt>
                <c:pt idx="6">
                  <c:v>588.63636363636363</c:v>
                </c:pt>
                <c:pt idx="7">
                  <c:v>575.4545454545455</c:v>
                </c:pt>
                <c:pt idx="8">
                  <c:v>558.18181818181813</c:v>
                </c:pt>
                <c:pt idx="9">
                  <c:v>539.09090909090912</c:v>
                </c:pt>
                <c:pt idx="10">
                  <c:v>512.0454545454545</c:v>
                </c:pt>
                <c:pt idx="11">
                  <c:v>439.31818181818181</c:v>
                </c:pt>
                <c:pt idx="12">
                  <c:v>247.95454545454547</c:v>
                </c:pt>
                <c:pt idx="13">
                  <c:v>120</c:v>
                </c:pt>
              </c:numCache>
            </c:numRef>
          </c:xVal>
          <c:yVal>
            <c:numRef>
              <c:f>Thermdam!$F$68:$F$81</c:f>
              <c:numCache>
                <c:formatCode>0.00</c:formatCode>
                <c:ptCount val="14"/>
                <c:pt idx="0">
                  <c:v>1E-4</c:v>
                </c:pt>
                <c:pt idx="1">
                  <c:v>0.91699999570846558</c:v>
                </c:pt>
                <c:pt idx="2">
                  <c:v>1.7699999809265137</c:v>
                </c:pt>
                <c:pt idx="3">
                  <c:v>2.5999999046325684</c:v>
                </c:pt>
                <c:pt idx="4">
                  <c:v>3.429999828338623</c:v>
                </c:pt>
                <c:pt idx="5">
                  <c:v>4.2809996604919434</c:v>
                </c:pt>
                <c:pt idx="6">
                  <c:v>5.5</c:v>
                </c:pt>
                <c:pt idx="7">
                  <c:v>7.2</c:v>
                </c:pt>
                <c:pt idx="8">
                  <c:v>8.6999999999999993</c:v>
                </c:pt>
                <c:pt idx="9">
                  <c:v>10</c:v>
                </c:pt>
                <c:pt idx="10">
                  <c:v>10.8</c:v>
                </c:pt>
                <c:pt idx="11">
                  <c:v>11.5</c:v>
                </c:pt>
                <c:pt idx="12">
                  <c:v>12</c:v>
                </c:pt>
                <c:pt idx="13">
                  <c:v>13</c:v>
                </c:pt>
              </c:numCache>
            </c:numRef>
          </c:yVal>
          <c:smooth val="1"/>
          <c:extLst>
            <c:ext xmlns:c16="http://schemas.microsoft.com/office/drawing/2014/chart" uri="{C3380CC4-5D6E-409C-BE32-E72D297353CC}">
              <c16:uniqueId val="{00000003-F447-4C4D-9BE5-CBF355825DFC}"/>
            </c:ext>
          </c:extLst>
        </c:ser>
        <c:ser>
          <c:idx val="4"/>
          <c:order val="4"/>
          <c:spPr>
            <a:ln w="25400">
              <a:solidFill>
                <a:schemeClr val="accent2"/>
              </a:solidFill>
            </a:ln>
          </c:spPr>
          <c:marker>
            <c:symbol val="none"/>
          </c:marker>
          <c:xVal>
            <c:numRef>
              <c:f>Thermdam!$G$68:$G$81</c:f>
              <c:numCache>
                <c:formatCode>General</c:formatCode>
                <c:ptCount val="14"/>
                <c:pt idx="0">
                  <c:v>505.4545454545455</c:v>
                </c:pt>
                <c:pt idx="1">
                  <c:v>503.27272727272731</c:v>
                </c:pt>
                <c:pt idx="2">
                  <c:v>498.72727272727275</c:v>
                </c:pt>
                <c:pt idx="3">
                  <c:v>493.45454545454544</c:v>
                </c:pt>
                <c:pt idx="4">
                  <c:v>487.09090909090901</c:v>
                </c:pt>
                <c:pt idx="5">
                  <c:v>479.63636363636363</c:v>
                </c:pt>
                <c:pt idx="6">
                  <c:v>470.90909090909093</c:v>
                </c:pt>
                <c:pt idx="7">
                  <c:v>460.36363636363643</c:v>
                </c:pt>
                <c:pt idx="8">
                  <c:v>446.5454545454545</c:v>
                </c:pt>
                <c:pt idx="9">
                  <c:v>431.27272727272731</c:v>
                </c:pt>
                <c:pt idx="10">
                  <c:v>409.63636363636363</c:v>
                </c:pt>
                <c:pt idx="11">
                  <c:v>351.4545454545455</c:v>
                </c:pt>
                <c:pt idx="12">
                  <c:v>198.36363636363637</c:v>
                </c:pt>
                <c:pt idx="13">
                  <c:v>120</c:v>
                </c:pt>
              </c:numCache>
            </c:numRef>
          </c:xVal>
          <c:yVal>
            <c:numRef>
              <c:f>Thermdam!$H$68:$H$81</c:f>
              <c:numCache>
                <c:formatCode>General</c:formatCode>
                <c:ptCount val="14"/>
                <c:pt idx="0" formatCode="0.00">
                  <c:v>1E-4</c:v>
                </c:pt>
                <c:pt idx="1">
                  <c:v>1.1279099947214126</c:v>
                </c:pt>
                <c:pt idx="2">
                  <c:v>2.177099976539612</c:v>
                </c:pt>
                <c:pt idx="3">
                  <c:v>3.1979998826980589</c:v>
                </c:pt>
                <c:pt idx="4">
                  <c:v>4.2188997888565059</c:v>
                </c:pt>
                <c:pt idx="5">
                  <c:v>5.26562958240509</c:v>
                </c:pt>
                <c:pt idx="6">
                  <c:v>6.7649999999999997</c:v>
                </c:pt>
                <c:pt idx="7">
                  <c:v>8.8559999999999999</c:v>
                </c:pt>
                <c:pt idx="8">
                  <c:v>10.700999999999999</c:v>
                </c:pt>
                <c:pt idx="9">
                  <c:v>12.3</c:v>
                </c:pt>
                <c:pt idx="10">
                  <c:v>13.284000000000001</c:v>
                </c:pt>
                <c:pt idx="11">
                  <c:v>14.145</c:v>
                </c:pt>
                <c:pt idx="12">
                  <c:v>14.76</c:v>
                </c:pt>
                <c:pt idx="13">
                  <c:v>15.99</c:v>
                </c:pt>
              </c:numCache>
            </c:numRef>
          </c:yVal>
          <c:smooth val="1"/>
          <c:extLst>
            <c:ext xmlns:c16="http://schemas.microsoft.com/office/drawing/2014/chart" uri="{C3380CC4-5D6E-409C-BE32-E72D297353CC}">
              <c16:uniqueId val="{00000004-F447-4C4D-9BE5-CBF355825DFC}"/>
            </c:ext>
          </c:extLst>
        </c:ser>
        <c:dLbls>
          <c:showLegendKey val="0"/>
          <c:showVal val="0"/>
          <c:showCatName val="0"/>
          <c:showSerName val="0"/>
          <c:showPercent val="0"/>
          <c:showBubbleSize val="0"/>
        </c:dLbls>
        <c:axId val="1183818704"/>
        <c:axId val="1"/>
      </c:scatterChart>
      <c:valAx>
        <c:axId val="1183818704"/>
        <c:scaling>
          <c:orientation val="minMax"/>
          <c:max val="1000"/>
          <c:min val="0"/>
        </c:scaling>
        <c:delete val="0"/>
        <c:axPos val="b"/>
        <c:majorGridlines>
          <c:spPr>
            <a:ln w="3175">
              <a:solidFill>
                <a:srgbClr val="000000"/>
              </a:solidFill>
              <a:prstDash val="solid"/>
            </a:ln>
          </c:spPr>
        </c:majorGridlines>
        <c:minorGridlines>
          <c:spPr>
            <a:ln w="3175">
              <a:solidFill>
                <a:srgbClr val="000000"/>
              </a:solidFill>
              <a:prstDash val="solid"/>
            </a:ln>
          </c:spPr>
        </c:minorGridlines>
        <c:title>
          <c:tx>
            <c:rich>
              <a:bodyPr/>
              <a:lstStyle/>
              <a:p>
                <a:pPr>
                  <a:defRPr sz="1200" b="1" i="0" u="none" strike="noStrike" baseline="0">
                    <a:solidFill>
                      <a:srgbClr val="000000"/>
                    </a:solidFill>
                    <a:latin typeface="Times New Roman"/>
                    <a:ea typeface="Times New Roman"/>
                    <a:cs typeface="Times New Roman"/>
                  </a:defRPr>
                </a:pPr>
                <a:r>
                  <a:rPr lang="en-US"/>
                  <a:t>Percent of Full Load Current</a:t>
                </a:r>
              </a:p>
            </c:rich>
          </c:tx>
          <c:layout>
            <c:manualLayout>
              <c:xMode val="edge"/>
              <c:yMode val="edge"/>
              <c:x val="0.41530944625407168"/>
              <c:y val="0.94970476323595643"/>
            </c:manualLayout>
          </c:layout>
          <c:overlay val="0"/>
          <c:spPr>
            <a:noFill/>
            <a:ln w="25400">
              <a:noFill/>
            </a:ln>
          </c:spPr>
        </c:title>
        <c:numFmt formatCode="0" sourceLinked="1"/>
        <c:majorTickMark val="out"/>
        <c:minorTickMark val="in"/>
        <c:tickLblPos val="nextTo"/>
        <c:spPr>
          <a:ln w="3175">
            <a:solidFill>
              <a:srgbClr val="000000"/>
            </a:solidFill>
            <a:prstDash val="solid"/>
          </a:ln>
        </c:spPr>
        <c:txPr>
          <a:bodyPr rot="0" vert="horz"/>
          <a:lstStyle/>
          <a:p>
            <a:pPr>
              <a:defRPr sz="875" b="0" i="0" u="none" strike="noStrike" baseline="0">
                <a:solidFill>
                  <a:srgbClr val="000000"/>
                </a:solidFill>
                <a:latin typeface="Arial"/>
                <a:ea typeface="Arial"/>
                <a:cs typeface="Arial"/>
              </a:defRPr>
            </a:pPr>
            <a:endParaRPr lang="en-US"/>
          </a:p>
        </c:txPr>
        <c:crossAx val="1"/>
        <c:crossesAt val="0.1"/>
        <c:crossBetween val="midCat"/>
        <c:majorUnit val="100"/>
      </c:valAx>
      <c:valAx>
        <c:axId val="1"/>
        <c:scaling>
          <c:logBase val="10"/>
          <c:orientation val="minMax"/>
          <c:max val="10000"/>
          <c:min val="1"/>
        </c:scaling>
        <c:delete val="0"/>
        <c:axPos val="l"/>
        <c:majorGridlines>
          <c:spPr>
            <a:ln w="3175">
              <a:solidFill>
                <a:srgbClr val="000000"/>
              </a:solidFill>
              <a:prstDash val="solid"/>
            </a:ln>
          </c:spPr>
        </c:majorGridlines>
        <c:minorGridlines>
          <c:spPr>
            <a:ln w="3175">
              <a:solidFill>
                <a:srgbClr val="000000"/>
              </a:solidFill>
              <a:prstDash val="solid"/>
            </a:ln>
          </c:spPr>
        </c:minorGridlines>
        <c:title>
          <c:tx>
            <c:rich>
              <a:bodyPr/>
              <a:lstStyle/>
              <a:p>
                <a:pPr>
                  <a:defRPr sz="1200" b="1" i="0" u="none" strike="noStrike" baseline="0">
                    <a:solidFill>
                      <a:srgbClr val="000000"/>
                    </a:solidFill>
                    <a:latin typeface="Times New Roman"/>
                    <a:ea typeface="Times New Roman"/>
                    <a:cs typeface="Times New Roman"/>
                  </a:defRPr>
                </a:pPr>
                <a:r>
                  <a:rPr lang="en-US"/>
                  <a:t>Time in Seconds</a:t>
                </a:r>
              </a:p>
            </c:rich>
          </c:tx>
          <c:layout>
            <c:manualLayout>
              <c:xMode val="edge"/>
              <c:yMode val="edge"/>
              <c:x val="3.5830618892508145E-2"/>
              <c:y val="0.37573995558247525"/>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75" b="0" i="0" u="none" strike="noStrike" baseline="0">
                <a:solidFill>
                  <a:srgbClr val="000000"/>
                </a:solidFill>
                <a:latin typeface="Arial"/>
                <a:ea typeface="Arial"/>
                <a:cs typeface="Arial"/>
              </a:defRPr>
            </a:pPr>
            <a:endParaRPr lang="en-US"/>
          </a:p>
        </c:txPr>
        <c:crossAx val="1183818704"/>
        <c:crosses val="autoZero"/>
        <c:crossBetween val="midCat"/>
        <c:minorUnit val="10"/>
      </c:valAx>
      <c:spPr>
        <a:noFill/>
        <a:ln w="25400">
          <a:noFill/>
        </a:ln>
      </c:spPr>
    </c:plotArea>
    <c:plotVisOnly val="1"/>
    <c:dispBlanksAs val="gap"/>
    <c:showDLblsOverMax val="0"/>
  </c:chart>
  <c:spPr>
    <a:solidFill>
      <a:srgbClr val="FFFFFF"/>
    </a:solidFill>
    <a:ln w="6350">
      <a:noFill/>
    </a:ln>
  </c:spPr>
  <c:txPr>
    <a:bodyPr/>
    <a:lstStyle/>
    <a:p>
      <a:pPr>
        <a:defRPr sz="17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9689952292200055"/>
          <c:y val="3.5984915040754913E-2"/>
          <c:w val="0.6201559777070883"/>
          <c:h val="0.82386516014359934"/>
        </c:manualLayout>
      </c:layout>
      <c:scatterChart>
        <c:scatterStyle val="smoothMarker"/>
        <c:varyColors val="0"/>
        <c:ser>
          <c:idx val="0"/>
          <c:order val="0"/>
          <c:tx>
            <c:v>Efficiency</c:v>
          </c:tx>
          <c:spPr>
            <a:ln w="25400">
              <a:solidFill>
                <a:srgbClr val="000080"/>
              </a:solidFill>
              <a:prstDash val="solid"/>
            </a:ln>
          </c:spPr>
          <c:marker>
            <c:symbol val="none"/>
          </c:marker>
          <c:xVal>
            <c:numRef>
              <c:f>Performance!$A$54:$A$59</c:f>
              <c:numCache>
                <c:formatCode>0.0</c:formatCode>
                <c:ptCount val="6"/>
                <c:pt idx="0">
                  <c:v>0</c:v>
                </c:pt>
                <c:pt idx="1">
                  <c:v>25</c:v>
                </c:pt>
                <c:pt idx="2">
                  <c:v>50</c:v>
                </c:pt>
                <c:pt idx="3">
                  <c:v>75</c:v>
                </c:pt>
                <c:pt idx="4">
                  <c:v>100</c:v>
                </c:pt>
                <c:pt idx="5">
                  <c:v>125</c:v>
                </c:pt>
              </c:numCache>
            </c:numRef>
          </c:xVal>
          <c:yVal>
            <c:numRef>
              <c:f>Performance!$B$54:$B$59</c:f>
              <c:numCache>
                <c:formatCode>0.0</c:formatCode>
                <c:ptCount val="6"/>
                <c:pt idx="1">
                  <c:v>88.418853759765625</c:v>
                </c:pt>
                <c:pt idx="2">
                  <c:v>92.347732543945313</c:v>
                </c:pt>
                <c:pt idx="3">
                  <c:v>93.339019775390625</c:v>
                </c:pt>
                <c:pt idx="4">
                  <c:v>93.491844177246094</c:v>
                </c:pt>
                <c:pt idx="5">
                  <c:v>93.315025329589844</c:v>
                </c:pt>
              </c:numCache>
            </c:numRef>
          </c:yVal>
          <c:smooth val="1"/>
          <c:extLst>
            <c:ext xmlns:c16="http://schemas.microsoft.com/office/drawing/2014/chart" uri="{C3380CC4-5D6E-409C-BE32-E72D297353CC}">
              <c16:uniqueId val="{00000000-3F38-4BD5-8260-D86B19753BF5}"/>
            </c:ext>
          </c:extLst>
        </c:ser>
        <c:ser>
          <c:idx val="1"/>
          <c:order val="1"/>
          <c:spPr>
            <a:ln w="25400">
              <a:solidFill>
                <a:srgbClr val="000000"/>
              </a:solidFill>
              <a:prstDash val="solid"/>
            </a:ln>
          </c:spPr>
          <c:marker>
            <c:symbol val="none"/>
          </c:marker>
          <c:xVal>
            <c:numRef>
              <c:f>Performance!$A$55:$A$59</c:f>
              <c:numCache>
                <c:formatCode>0.0</c:formatCode>
                <c:ptCount val="5"/>
                <c:pt idx="0">
                  <c:v>25</c:v>
                </c:pt>
                <c:pt idx="1">
                  <c:v>50</c:v>
                </c:pt>
                <c:pt idx="2">
                  <c:v>75</c:v>
                </c:pt>
                <c:pt idx="3">
                  <c:v>100</c:v>
                </c:pt>
                <c:pt idx="4">
                  <c:v>125</c:v>
                </c:pt>
              </c:numCache>
            </c:numRef>
          </c:xVal>
          <c:yVal>
            <c:numRef>
              <c:f>Performance!$C$55:$C$59</c:f>
              <c:numCache>
                <c:formatCode>0.0</c:formatCode>
                <c:ptCount val="5"/>
                <c:pt idx="0">
                  <c:v>76.590118408203125</c:v>
                </c:pt>
                <c:pt idx="1">
                  <c:v>89.274543762207031</c:v>
                </c:pt>
                <c:pt idx="2">
                  <c:v>92.07757568359375</c:v>
                </c:pt>
                <c:pt idx="3">
                  <c:v>92.427459716796875</c:v>
                </c:pt>
                <c:pt idx="4">
                  <c:v>91.718742370605469</c:v>
                </c:pt>
              </c:numCache>
            </c:numRef>
          </c:yVal>
          <c:smooth val="1"/>
          <c:extLst>
            <c:ext xmlns:c16="http://schemas.microsoft.com/office/drawing/2014/chart" uri="{C3380CC4-5D6E-409C-BE32-E72D297353CC}">
              <c16:uniqueId val="{00000001-3F38-4BD5-8260-D86B19753BF5}"/>
            </c:ext>
          </c:extLst>
        </c:ser>
        <c:ser>
          <c:idx val="3"/>
          <c:order val="3"/>
          <c:spPr>
            <a:ln w="25400">
              <a:solidFill>
                <a:srgbClr val="3333CC"/>
              </a:solidFill>
              <a:prstDash val="solid"/>
            </a:ln>
          </c:spPr>
          <c:marker>
            <c:symbol val="none"/>
          </c:marker>
          <c:xVal>
            <c:numRef>
              <c:f>Performance!$A$54:$A$59</c:f>
              <c:numCache>
                <c:formatCode>0.0</c:formatCode>
                <c:ptCount val="6"/>
                <c:pt idx="0">
                  <c:v>0</c:v>
                </c:pt>
                <c:pt idx="1">
                  <c:v>25</c:v>
                </c:pt>
                <c:pt idx="2">
                  <c:v>50</c:v>
                </c:pt>
                <c:pt idx="3">
                  <c:v>75</c:v>
                </c:pt>
                <c:pt idx="4">
                  <c:v>100</c:v>
                </c:pt>
                <c:pt idx="5">
                  <c:v>125</c:v>
                </c:pt>
              </c:numCache>
            </c:numRef>
          </c:xVal>
          <c:yVal>
            <c:numRef>
              <c:f>Performance!$E$54:$E$59</c:f>
              <c:numCache>
                <c:formatCode>0.0</c:formatCode>
                <c:ptCount val="6"/>
                <c:pt idx="0">
                  <c:v>100</c:v>
                </c:pt>
                <c:pt idx="1">
                  <c:v>78.890041177077009</c:v>
                </c:pt>
                <c:pt idx="2">
                  <c:v>64.438925877155356</c:v>
                </c:pt>
                <c:pt idx="3">
                  <c:v>49.582286519327965</c:v>
                </c:pt>
                <c:pt idx="4">
                  <c:v>33.255477310555136</c:v>
                </c:pt>
                <c:pt idx="5">
                  <c:v>17.568488870143973</c:v>
                </c:pt>
              </c:numCache>
            </c:numRef>
          </c:yVal>
          <c:smooth val="1"/>
          <c:extLst>
            <c:ext xmlns:c16="http://schemas.microsoft.com/office/drawing/2014/chart" uri="{C3380CC4-5D6E-409C-BE32-E72D297353CC}">
              <c16:uniqueId val="{00000002-3F38-4BD5-8260-D86B19753BF5}"/>
            </c:ext>
          </c:extLst>
        </c:ser>
        <c:ser>
          <c:idx val="4"/>
          <c:order val="4"/>
          <c:spPr>
            <a:ln w="25400">
              <a:solidFill>
                <a:srgbClr val="339933"/>
              </a:solidFill>
              <a:prstDash val="solid"/>
            </a:ln>
          </c:spPr>
          <c:marker>
            <c:symbol val="none"/>
          </c:marker>
          <c:xVal>
            <c:numRef>
              <c:f>Performance!$A$54:$A$59</c:f>
              <c:numCache>
                <c:formatCode>0.0</c:formatCode>
                <c:ptCount val="6"/>
                <c:pt idx="0">
                  <c:v>0</c:v>
                </c:pt>
                <c:pt idx="1">
                  <c:v>25</c:v>
                </c:pt>
                <c:pt idx="2">
                  <c:v>50</c:v>
                </c:pt>
                <c:pt idx="3">
                  <c:v>75</c:v>
                </c:pt>
                <c:pt idx="4">
                  <c:v>100</c:v>
                </c:pt>
                <c:pt idx="5">
                  <c:v>125</c:v>
                </c:pt>
              </c:numCache>
            </c:numRef>
          </c:xVal>
          <c:yVal>
            <c:numRef>
              <c:f>Performance!$F$54:$F$59</c:f>
              <c:numCache>
                <c:formatCode>0.0</c:formatCode>
                <c:ptCount val="6"/>
                <c:pt idx="0">
                  <c:v>7.108217401773655</c:v>
                </c:pt>
                <c:pt idx="1">
                  <c:v>9.3095134975336116</c:v>
                </c:pt>
                <c:pt idx="2">
                  <c:v>17.826892438442112</c:v>
                </c:pt>
                <c:pt idx="3">
                  <c:v>26.456345253965722</c:v>
                </c:pt>
                <c:pt idx="4">
                  <c:v>35.217463329482186</c:v>
                </c:pt>
                <c:pt idx="5">
                  <c:v>44.105241810128</c:v>
                </c:pt>
              </c:numCache>
            </c:numRef>
          </c:yVal>
          <c:smooth val="1"/>
          <c:extLst>
            <c:ext xmlns:c16="http://schemas.microsoft.com/office/drawing/2014/chart" uri="{C3380CC4-5D6E-409C-BE32-E72D297353CC}">
              <c16:uniqueId val="{00000003-3F38-4BD5-8260-D86B19753BF5}"/>
            </c:ext>
          </c:extLst>
        </c:ser>
        <c:dLbls>
          <c:showLegendKey val="0"/>
          <c:showVal val="0"/>
          <c:showCatName val="0"/>
          <c:showSerName val="0"/>
          <c:showPercent val="0"/>
          <c:showBubbleSize val="0"/>
        </c:dLbls>
        <c:axId val="1174277176"/>
        <c:axId val="1"/>
      </c:scatterChart>
      <c:scatterChart>
        <c:scatterStyle val="lineMarker"/>
        <c:varyColors val="0"/>
        <c:ser>
          <c:idx val="2"/>
          <c:order val="2"/>
          <c:spPr>
            <a:ln w="25400">
              <a:solidFill>
                <a:srgbClr val="333300"/>
              </a:solidFill>
              <a:prstDash val="solid"/>
            </a:ln>
          </c:spPr>
          <c:marker>
            <c:symbol val="none"/>
          </c:marker>
          <c:xVal>
            <c:numRef>
              <c:f>Performance!$A$54:$A$59</c:f>
              <c:numCache>
                <c:formatCode>0.0</c:formatCode>
                <c:ptCount val="6"/>
                <c:pt idx="0">
                  <c:v>0</c:v>
                </c:pt>
                <c:pt idx="1">
                  <c:v>25</c:v>
                </c:pt>
                <c:pt idx="2">
                  <c:v>50</c:v>
                </c:pt>
                <c:pt idx="3">
                  <c:v>75</c:v>
                </c:pt>
                <c:pt idx="4">
                  <c:v>100</c:v>
                </c:pt>
                <c:pt idx="5">
                  <c:v>125</c:v>
                </c:pt>
              </c:numCache>
            </c:numRef>
          </c:xVal>
          <c:yVal>
            <c:numRef>
              <c:f>Performance!$D$54:$D$59</c:f>
              <c:numCache>
                <c:formatCode>0.0</c:formatCode>
                <c:ptCount val="6"/>
                <c:pt idx="0">
                  <c:v>8.1277218040434711</c:v>
                </c:pt>
                <c:pt idx="1">
                  <c:v>14.035774230957031</c:v>
                </c:pt>
                <c:pt idx="2">
                  <c:v>23.058450698852539</c:v>
                </c:pt>
                <c:pt idx="3">
                  <c:v>33.178600311279297</c:v>
                </c:pt>
                <c:pt idx="4">
                  <c:v>43.998630523681641</c:v>
                </c:pt>
                <c:pt idx="5">
                  <c:v>55.528278350830078</c:v>
                </c:pt>
              </c:numCache>
            </c:numRef>
          </c:yVal>
          <c:smooth val="1"/>
          <c:extLst>
            <c:ext xmlns:c16="http://schemas.microsoft.com/office/drawing/2014/chart" uri="{C3380CC4-5D6E-409C-BE32-E72D297353CC}">
              <c16:uniqueId val="{00000004-3F38-4BD5-8260-D86B19753BF5}"/>
            </c:ext>
          </c:extLst>
        </c:ser>
        <c:dLbls>
          <c:showLegendKey val="0"/>
          <c:showVal val="0"/>
          <c:showCatName val="0"/>
          <c:showSerName val="0"/>
          <c:showPercent val="0"/>
          <c:showBubbleSize val="0"/>
        </c:dLbls>
        <c:axId val="3"/>
        <c:axId val="4"/>
      </c:scatterChart>
      <c:valAx>
        <c:axId val="1174277176"/>
        <c:scaling>
          <c:orientation val="minMax"/>
          <c:max val="125"/>
          <c:min val="0"/>
        </c:scaling>
        <c:delete val="0"/>
        <c:axPos val="b"/>
        <c:majorGridlines>
          <c:spPr>
            <a:ln w="3175">
              <a:solidFill>
                <a:srgbClr val="000000"/>
              </a:solidFill>
              <a:prstDash val="solid"/>
            </a:ln>
          </c:spPr>
        </c:majorGridlines>
        <c:minorGridlines>
          <c:spPr>
            <a:ln w="3175">
              <a:solidFill>
                <a:srgbClr val="000000"/>
              </a:solidFill>
              <a:prstDash val="solid"/>
            </a:ln>
          </c:spPr>
        </c:minorGridlines>
        <c:title>
          <c:tx>
            <c:rich>
              <a:bodyPr/>
              <a:lstStyle/>
              <a:p>
                <a:pPr>
                  <a:defRPr sz="1125" b="1" i="0" u="none" strike="noStrike" baseline="0">
                    <a:solidFill>
                      <a:srgbClr val="000000"/>
                    </a:solidFill>
                    <a:latin typeface="Times New Roman"/>
                    <a:ea typeface="Times New Roman"/>
                    <a:cs typeface="Times New Roman"/>
                  </a:defRPr>
                </a:pPr>
                <a:r>
                  <a:rPr lang="en-US"/>
                  <a:t>Percent Load </a:t>
                </a:r>
              </a:p>
            </c:rich>
          </c:tx>
          <c:layout>
            <c:manualLayout>
              <c:xMode val="edge"/>
              <c:yMode val="edge"/>
              <c:x val="0.43565956581008769"/>
              <c:y val="0.92045633500357904"/>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50" b="1" i="0" u="none" strike="noStrike" baseline="0">
                <a:solidFill>
                  <a:srgbClr val="000000"/>
                </a:solidFill>
                <a:latin typeface="Arial"/>
                <a:ea typeface="Arial"/>
                <a:cs typeface="Arial"/>
              </a:defRPr>
            </a:pPr>
            <a:endParaRPr lang="en-US"/>
          </a:p>
        </c:txPr>
        <c:crossAx val="1"/>
        <c:crossesAt val="0"/>
        <c:crossBetween val="midCat"/>
        <c:majorUnit val="25"/>
        <c:minorUnit val="12.5"/>
      </c:valAx>
      <c:valAx>
        <c:axId val="1"/>
        <c:scaling>
          <c:orientation val="minMax"/>
          <c:max val="100"/>
          <c:min val="0"/>
        </c:scaling>
        <c:delete val="0"/>
        <c:axPos val="l"/>
        <c:majorGridlines>
          <c:spPr>
            <a:ln w="3175">
              <a:solidFill>
                <a:srgbClr val="000000"/>
              </a:solidFill>
              <a:prstDash val="solid"/>
            </a:ln>
          </c:spPr>
        </c:majorGridlines>
        <c:minorGridlines>
          <c:spPr>
            <a:ln w="3175">
              <a:solidFill>
                <a:srgbClr val="000000"/>
              </a:solidFill>
              <a:prstDash val="solid"/>
            </a:ln>
          </c:spPr>
        </c:minorGridlines>
        <c:title>
          <c:tx>
            <c:rich>
              <a:bodyPr/>
              <a:lstStyle/>
              <a:p>
                <a:pPr>
                  <a:defRPr sz="1125" b="1" i="0" u="none" strike="noStrike" baseline="0">
                    <a:solidFill>
                      <a:srgbClr val="000000"/>
                    </a:solidFill>
                    <a:latin typeface="Times New Roman"/>
                    <a:ea typeface="Times New Roman"/>
                    <a:cs typeface="Times New Roman"/>
                  </a:defRPr>
                </a:pPr>
                <a:r>
                  <a:rPr lang="en-US"/>
                  <a:t>Efficiency &amp; Power Factor (%)</a:t>
                </a:r>
              </a:p>
            </c:rich>
          </c:tx>
          <c:layout>
            <c:manualLayout>
              <c:xMode val="edge"/>
              <c:yMode val="edge"/>
              <c:x val="0.11938000773159169"/>
              <c:y val="0.25568221585938122"/>
            </c:manualLayout>
          </c:layout>
          <c:overlay val="0"/>
          <c:spPr>
            <a:noFill/>
            <a:ln w="25400">
              <a:noFill/>
            </a:ln>
          </c:spPr>
        </c:title>
        <c:numFmt formatCode="0" sourceLinked="0"/>
        <c:majorTickMark val="cross"/>
        <c:minorTickMark val="none"/>
        <c:tickLblPos val="nextTo"/>
        <c:spPr>
          <a:ln w="3175">
            <a:solidFill>
              <a:srgbClr val="000000"/>
            </a:solidFill>
            <a:prstDash val="solid"/>
          </a:ln>
        </c:spPr>
        <c:txPr>
          <a:bodyPr rot="0" vert="horz"/>
          <a:lstStyle/>
          <a:p>
            <a:pPr>
              <a:defRPr sz="1050" b="1" i="0" u="none" strike="noStrike" baseline="0">
                <a:solidFill>
                  <a:srgbClr val="000000"/>
                </a:solidFill>
                <a:latin typeface="Arial"/>
                <a:ea typeface="Arial"/>
                <a:cs typeface="Arial"/>
              </a:defRPr>
            </a:pPr>
            <a:endParaRPr lang="en-US"/>
          </a:p>
        </c:txPr>
        <c:crossAx val="1174277176"/>
        <c:crosses val="autoZero"/>
        <c:crossBetween val="midCat"/>
        <c:majorUnit val="10"/>
        <c:minorUnit val="5"/>
      </c:valAx>
      <c:valAx>
        <c:axId val="3"/>
        <c:scaling>
          <c:orientation val="minMax"/>
        </c:scaling>
        <c:delete val="1"/>
        <c:axPos val="b"/>
        <c:numFmt formatCode="0.0" sourceLinked="1"/>
        <c:majorTickMark val="out"/>
        <c:minorTickMark val="none"/>
        <c:tickLblPos val="nextTo"/>
        <c:crossAx val="4"/>
        <c:crosses val="autoZero"/>
        <c:crossBetween val="midCat"/>
      </c:valAx>
      <c:valAx>
        <c:axId val="4"/>
        <c:scaling>
          <c:orientation val="minMax"/>
          <c:max val="60"/>
        </c:scaling>
        <c:delete val="0"/>
        <c:axPos val="r"/>
        <c:title>
          <c:tx>
            <c:rich>
              <a:bodyPr/>
              <a:lstStyle/>
              <a:p>
                <a:pPr>
                  <a:defRPr sz="1125" b="1" i="0" u="none" strike="noStrike" baseline="0">
                    <a:solidFill>
                      <a:srgbClr val="000000"/>
                    </a:solidFill>
                    <a:latin typeface="Times New Roman"/>
                    <a:ea typeface="Times New Roman"/>
                    <a:cs typeface="Times New Roman"/>
                  </a:defRPr>
                </a:pPr>
                <a:r>
                  <a:rPr lang="en-US"/>
                  <a:t>Load Current (Amps)</a:t>
                </a:r>
              </a:p>
            </c:rich>
          </c:tx>
          <c:layout>
            <c:manualLayout>
              <c:xMode val="edge"/>
              <c:yMode val="edge"/>
              <c:x val="0.87907106960467141"/>
              <c:y val="0.32007635409210211"/>
            </c:manualLayout>
          </c:layout>
          <c:overlay val="0"/>
          <c:spPr>
            <a:noFill/>
            <a:ln w="25400">
              <a:noFill/>
            </a:ln>
          </c:spPr>
        </c:title>
        <c:numFmt formatCode="0" sourceLinked="0"/>
        <c:majorTickMark val="cross"/>
        <c:minorTickMark val="none"/>
        <c:tickLblPos val="nextTo"/>
        <c:spPr>
          <a:ln w="3175">
            <a:solidFill>
              <a:srgbClr val="000000"/>
            </a:solidFill>
            <a:prstDash val="solid"/>
          </a:ln>
        </c:spPr>
        <c:txPr>
          <a:bodyPr rot="0" vert="horz"/>
          <a:lstStyle/>
          <a:p>
            <a:pPr>
              <a:defRPr sz="1100" b="1" i="0" u="none" strike="noStrike" baseline="0">
                <a:solidFill>
                  <a:srgbClr val="000000"/>
                </a:solidFill>
                <a:latin typeface="Arial"/>
                <a:ea typeface="Arial"/>
                <a:cs typeface="Arial"/>
              </a:defRPr>
            </a:pPr>
            <a:endParaRPr lang="en-US"/>
          </a:p>
        </c:txPr>
        <c:crossAx val="3"/>
        <c:crosses val="max"/>
        <c:crossBetween val="midCat"/>
        <c:majorUnit val="6"/>
      </c:valAx>
      <c:spPr>
        <a:solidFill>
          <a:srgbClr val="FFFFFF"/>
        </a:solidFill>
        <a:ln w="12700">
          <a:solidFill>
            <a:srgbClr val="808080"/>
          </a:solidFill>
          <a:prstDash val="solid"/>
        </a:ln>
      </c:spPr>
    </c:plotArea>
    <c:plotVisOnly val="1"/>
    <c:dispBlanksAs val="gap"/>
    <c:showDLblsOverMax val="0"/>
  </c:chart>
  <c:spPr>
    <a:solidFill>
      <a:srgbClr val="FFFFFF"/>
    </a:solidFill>
    <a:ln w="6350">
      <a:noFill/>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6</xdr:col>
      <xdr:colOff>7620</xdr:colOff>
      <xdr:row>56</xdr:row>
      <xdr:rowOff>7620</xdr:rowOff>
    </xdr:from>
    <xdr:to>
      <xdr:col>9</xdr:col>
      <xdr:colOff>838200</xdr:colOff>
      <xdr:row>67</xdr:row>
      <xdr:rowOff>182880</xdr:rowOff>
    </xdr:to>
    <xdr:graphicFrame macro="">
      <xdr:nvGraphicFramePr>
        <xdr:cNvPr id="2" name="Chart 1">
          <a:extLst>
            <a:ext uri="{FF2B5EF4-FFF2-40B4-BE49-F238E27FC236}">
              <a16:creationId xmlns:a16="http://schemas.microsoft.com/office/drawing/2014/main" id="{E59ED7C8-98A2-47CE-92BD-8791F5272E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160020</xdr:colOff>
      <xdr:row>43</xdr:row>
      <xdr:rowOff>0</xdr:rowOff>
    </xdr:from>
    <xdr:to>
      <xdr:col>9</xdr:col>
      <xdr:colOff>373380</xdr:colOff>
      <xdr:row>43</xdr:row>
      <xdr:rowOff>0</xdr:rowOff>
    </xdr:to>
    <xdr:sp macro="" textlink="">
      <xdr:nvSpPr>
        <xdr:cNvPr id="2" name="Rectangle 1">
          <a:extLst>
            <a:ext uri="{FF2B5EF4-FFF2-40B4-BE49-F238E27FC236}">
              <a16:creationId xmlns:a16="http://schemas.microsoft.com/office/drawing/2014/main" id="{85DEA4A9-A7E7-4872-95E3-DB70E5FD9E89}"/>
            </a:ext>
          </a:extLst>
        </xdr:cNvPr>
        <xdr:cNvSpPr>
          <a:spLocks noChangeArrowheads="1"/>
        </xdr:cNvSpPr>
      </xdr:nvSpPr>
      <xdr:spPr bwMode="auto">
        <a:xfrm>
          <a:off x="5760720" y="9883140"/>
          <a:ext cx="21336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22860</xdr:colOff>
      <xdr:row>43</xdr:row>
      <xdr:rowOff>0</xdr:rowOff>
    </xdr:from>
    <xdr:to>
      <xdr:col>9</xdr:col>
      <xdr:colOff>342900</xdr:colOff>
      <xdr:row>43</xdr:row>
      <xdr:rowOff>0</xdr:rowOff>
    </xdr:to>
    <xdr:sp macro="" textlink="">
      <xdr:nvSpPr>
        <xdr:cNvPr id="3" name="Rectangle 2">
          <a:extLst>
            <a:ext uri="{FF2B5EF4-FFF2-40B4-BE49-F238E27FC236}">
              <a16:creationId xmlns:a16="http://schemas.microsoft.com/office/drawing/2014/main" id="{B3128914-88E7-494D-AB69-3EEE3616DA62}"/>
            </a:ext>
          </a:extLst>
        </xdr:cNvPr>
        <xdr:cNvSpPr>
          <a:spLocks noChangeArrowheads="1"/>
        </xdr:cNvSpPr>
      </xdr:nvSpPr>
      <xdr:spPr bwMode="auto">
        <a:xfrm>
          <a:off x="5623560" y="9883140"/>
          <a:ext cx="3200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30480</xdr:colOff>
      <xdr:row>43</xdr:row>
      <xdr:rowOff>0</xdr:rowOff>
    </xdr:from>
    <xdr:to>
      <xdr:col>9</xdr:col>
      <xdr:colOff>350520</xdr:colOff>
      <xdr:row>43</xdr:row>
      <xdr:rowOff>0</xdr:rowOff>
    </xdr:to>
    <xdr:sp macro="" textlink="">
      <xdr:nvSpPr>
        <xdr:cNvPr id="4" name="Rectangle 3">
          <a:extLst>
            <a:ext uri="{FF2B5EF4-FFF2-40B4-BE49-F238E27FC236}">
              <a16:creationId xmlns:a16="http://schemas.microsoft.com/office/drawing/2014/main" id="{ED8B7069-47E2-4C44-BBAB-E81C59D6CF75}"/>
            </a:ext>
          </a:extLst>
        </xdr:cNvPr>
        <xdr:cNvSpPr>
          <a:spLocks noChangeArrowheads="1"/>
        </xdr:cNvSpPr>
      </xdr:nvSpPr>
      <xdr:spPr bwMode="auto">
        <a:xfrm>
          <a:off x="5631180" y="9883140"/>
          <a:ext cx="3200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0</xdr:colOff>
      <xdr:row>43</xdr:row>
      <xdr:rowOff>0</xdr:rowOff>
    </xdr:from>
    <xdr:to>
      <xdr:col>9</xdr:col>
      <xdr:colOff>419100</xdr:colOff>
      <xdr:row>43</xdr:row>
      <xdr:rowOff>0</xdr:rowOff>
    </xdr:to>
    <xdr:sp macro="" textlink="">
      <xdr:nvSpPr>
        <xdr:cNvPr id="5" name="Rectangle 4">
          <a:extLst>
            <a:ext uri="{FF2B5EF4-FFF2-40B4-BE49-F238E27FC236}">
              <a16:creationId xmlns:a16="http://schemas.microsoft.com/office/drawing/2014/main" id="{12E2EB63-5CEC-4A5F-8372-DE556B6517BA}"/>
            </a:ext>
          </a:extLst>
        </xdr:cNvPr>
        <xdr:cNvSpPr>
          <a:spLocks noChangeArrowheads="1"/>
        </xdr:cNvSpPr>
      </xdr:nvSpPr>
      <xdr:spPr bwMode="auto">
        <a:xfrm>
          <a:off x="5600700" y="9883140"/>
          <a:ext cx="4191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144780</xdr:colOff>
      <xdr:row>43</xdr:row>
      <xdr:rowOff>0</xdr:rowOff>
    </xdr:from>
    <xdr:to>
      <xdr:col>9</xdr:col>
      <xdr:colOff>373380</xdr:colOff>
      <xdr:row>43</xdr:row>
      <xdr:rowOff>0</xdr:rowOff>
    </xdr:to>
    <xdr:sp macro="" textlink="">
      <xdr:nvSpPr>
        <xdr:cNvPr id="6" name="Rectangle 5">
          <a:extLst>
            <a:ext uri="{FF2B5EF4-FFF2-40B4-BE49-F238E27FC236}">
              <a16:creationId xmlns:a16="http://schemas.microsoft.com/office/drawing/2014/main" id="{5AAF523B-4DDE-44E4-919D-E3FFF4C3359E}"/>
            </a:ext>
          </a:extLst>
        </xdr:cNvPr>
        <xdr:cNvSpPr>
          <a:spLocks noChangeArrowheads="1"/>
        </xdr:cNvSpPr>
      </xdr:nvSpPr>
      <xdr:spPr bwMode="auto">
        <a:xfrm>
          <a:off x="5745480" y="9883140"/>
          <a:ext cx="228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253365</xdr:colOff>
      <xdr:row>35</xdr:row>
      <xdr:rowOff>114300</xdr:rowOff>
    </xdr:from>
    <xdr:to>
      <xdr:col>3</xdr:col>
      <xdr:colOff>563892</xdr:colOff>
      <xdr:row>36</xdr:row>
      <xdr:rowOff>2241</xdr:rowOff>
    </xdr:to>
    <xdr:sp macro="" textlink="">
      <xdr:nvSpPr>
        <xdr:cNvPr id="7" name="Depth2">
          <a:extLst>
            <a:ext uri="{FF2B5EF4-FFF2-40B4-BE49-F238E27FC236}">
              <a16:creationId xmlns:a16="http://schemas.microsoft.com/office/drawing/2014/main" id="{A2F6489B-5459-48B4-8F2E-4F9CA5DA80ED}"/>
            </a:ext>
          </a:extLst>
        </xdr:cNvPr>
        <xdr:cNvSpPr txBox="1">
          <a:spLocks noChangeArrowheads="1"/>
        </xdr:cNvSpPr>
      </xdr:nvSpPr>
      <xdr:spPr bwMode="auto">
        <a:xfrm>
          <a:off x="2028825" y="8168640"/>
          <a:ext cx="310527" cy="116541"/>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strike="noStrike">
              <a:solidFill>
                <a:srgbClr val="000000"/>
              </a:solidFill>
              <a:latin typeface="Univers (W1)"/>
            </a:rPr>
            <a:t>32.05</a:t>
          </a:r>
        </a:p>
      </xdr:txBody>
    </xdr:sp>
    <xdr:clientData/>
  </xdr:twoCellAnchor>
  <xdr:twoCellAnchor>
    <xdr:from>
      <xdr:col>1</xdr:col>
      <xdr:colOff>320040</xdr:colOff>
      <xdr:row>33</xdr:row>
      <xdr:rowOff>190500</xdr:rowOff>
    </xdr:from>
    <xdr:to>
      <xdr:col>2</xdr:col>
      <xdr:colOff>129540</xdr:colOff>
      <xdr:row>34</xdr:row>
      <xdr:rowOff>66675</xdr:rowOff>
    </xdr:to>
    <xdr:sp macro="" textlink="">
      <xdr:nvSpPr>
        <xdr:cNvPr id="8" name="Tip2">
          <a:extLst>
            <a:ext uri="{FF2B5EF4-FFF2-40B4-BE49-F238E27FC236}">
              <a16:creationId xmlns:a16="http://schemas.microsoft.com/office/drawing/2014/main" id="{E3AA2C5C-6A62-4BD8-AAC3-D82051CFF2D7}"/>
            </a:ext>
          </a:extLst>
        </xdr:cNvPr>
        <xdr:cNvSpPr txBox="1">
          <a:spLocks noChangeArrowheads="1"/>
        </xdr:cNvSpPr>
      </xdr:nvSpPr>
      <xdr:spPr bwMode="auto">
        <a:xfrm>
          <a:off x="1150620" y="7787640"/>
          <a:ext cx="228600" cy="10477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strike="noStrike">
              <a:solidFill>
                <a:srgbClr val="000000"/>
              </a:solidFill>
              <a:latin typeface="Univers (W1)"/>
            </a:rPr>
            <a:t>2.00</a:t>
          </a:r>
        </a:p>
      </xdr:txBody>
    </xdr:sp>
    <xdr:clientData/>
  </xdr:twoCellAnchor>
  <xdr:twoCellAnchor>
    <xdr:from>
      <xdr:col>2</xdr:col>
      <xdr:colOff>234315</xdr:colOff>
      <xdr:row>33</xdr:row>
      <xdr:rowOff>40005</xdr:rowOff>
    </xdr:from>
    <xdr:to>
      <xdr:col>3</xdr:col>
      <xdr:colOff>37968</xdr:colOff>
      <xdr:row>33</xdr:row>
      <xdr:rowOff>153979</xdr:rowOff>
    </xdr:to>
    <xdr:sp macro="" textlink="">
      <xdr:nvSpPr>
        <xdr:cNvPr id="9" name="Opening">
          <a:extLst>
            <a:ext uri="{FF2B5EF4-FFF2-40B4-BE49-F238E27FC236}">
              <a16:creationId xmlns:a16="http://schemas.microsoft.com/office/drawing/2014/main" id="{35614AD4-20CC-4C6D-9D53-57D421D2A47B}"/>
            </a:ext>
          </a:extLst>
        </xdr:cNvPr>
        <xdr:cNvSpPr txBox="1">
          <a:spLocks noChangeArrowheads="1"/>
        </xdr:cNvSpPr>
      </xdr:nvSpPr>
      <xdr:spPr bwMode="auto">
        <a:xfrm>
          <a:off x="1483995" y="7637145"/>
          <a:ext cx="329433" cy="113974"/>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strike="noStrike">
              <a:solidFill>
                <a:srgbClr val="000000"/>
              </a:solidFill>
              <a:latin typeface="Univers (W1)"/>
            </a:rPr>
            <a:t>3.00</a:t>
          </a:r>
        </a:p>
      </xdr:txBody>
    </xdr:sp>
    <xdr:clientData/>
  </xdr:twoCellAnchor>
  <xdr:twoCellAnchor>
    <xdr:from>
      <xdr:col>2</xdr:col>
      <xdr:colOff>179070</xdr:colOff>
      <xdr:row>36</xdr:row>
      <xdr:rowOff>154305</xdr:rowOff>
    </xdr:from>
    <xdr:to>
      <xdr:col>3</xdr:col>
      <xdr:colOff>38292</xdr:colOff>
      <xdr:row>37</xdr:row>
      <xdr:rowOff>38920</xdr:rowOff>
    </xdr:to>
    <xdr:sp macro="" textlink="">
      <xdr:nvSpPr>
        <xdr:cNvPr id="10" name="Width3">
          <a:extLst>
            <a:ext uri="{FF2B5EF4-FFF2-40B4-BE49-F238E27FC236}">
              <a16:creationId xmlns:a16="http://schemas.microsoft.com/office/drawing/2014/main" id="{64376CC7-2975-4577-A20E-1DB4344C023B}"/>
            </a:ext>
          </a:extLst>
        </xdr:cNvPr>
        <xdr:cNvSpPr txBox="1">
          <a:spLocks noChangeArrowheads="1"/>
        </xdr:cNvSpPr>
      </xdr:nvSpPr>
      <xdr:spPr bwMode="auto">
        <a:xfrm>
          <a:off x="1428750" y="8437245"/>
          <a:ext cx="385002" cy="11321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strike="noStrike">
              <a:solidFill>
                <a:srgbClr val="000000"/>
              </a:solidFill>
              <a:latin typeface="Univers (W1)"/>
            </a:rPr>
            <a:t>8.05</a:t>
          </a:r>
        </a:p>
      </xdr:txBody>
    </xdr:sp>
    <xdr:clientData/>
  </xdr:twoCellAnchor>
  <xdr:twoCellAnchor>
    <xdr:from>
      <xdr:col>2</xdr:col>
      <xdr:colOff>106680</xdr:colOff>
      <xdr:row>33</xdr:row>
      <xdr:rowOff>182880</xdr:rowOff>
    </xdr:from>
    <xdr:to>
      <xdr:col>3</xdr:col>
      <xdr:colOff>411480</xdr:colOff>
      <xdr:row>37</xdr:row>
      <xdr:rowOff>175260</xdr:rowOff>
    </xdr:to>
    <xdr:grpSp>
      <xdr:nvGrpSpPr>
        <xdr:cNvPr id="11" name="Group 10">
          <a:extLst>
            <a:ext uri="{FF2B5EF4-FFF2-40B4-BE49-F238E27FC236}">
              <a16:creationId xmlns:a16="http://schemas.microsoft.com/office/drawing/2014/main" id="{CBD5424B-1180-41A8-A2C5-D8DF3308FAE0}"/>
            </a:ext>
          </a:extLst>
        </xdr:cNvPr>
        <xdr:cNvGrpSpPr>
          <a:grpSpLocks/>
        </xdr:cNvGrpSpPr>
      </xdr:nvGrpSpPr>
      <xdr:grpSpPr bwMode="auto">
        <a:xfrm>
          <a:off x="1354455" y="7774305"/>
          <a:ext cx="828675" cy="906780"/>
          <a:chOff x="133" y="794"/>
          <a:chExt cx="85" cy="95"/>
        </a:xfrm>
      </xdr:grpSpPr>
      <xdr:sp macro="" textlink="">
        <xdr:nvSpPr>
          <xdr:cNvPr id="12" name="Line 11">
            <a:extLst>
              <a:ext uri="{FF2B5EF4-FFF2-40B4-BE49-F238E27FC236}">
                <a16:creationId xmlns:a16="http://schemas.microsoft.com/office/drawing/2014/main" id="{AE3E695C-0F71-A52B-1A60-BD322EC1387B}"/>
              </a:ext>
            </a:extLst>
          </xdr:cNvPr>
          <xdr:cNvSpPr>
            <a:spLocks noChangeShapeType="1"/>
          </xdr:cNvSpPr>
        </xdr:nvSpPr>
        <xdr:spPr bwMode="auto">
          <a:xfrm>
            <a:off x="134" y="794"/>
            <a:ext cx="2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3" name="Line 12">
            <a:extLst>
              <a:ext uri="{FF2B5EF4-FFF2-40B4-BE49-F238E27FC236}">
                <a16:creationId xmlns:a16="http://schemas.microsoft.com/office/drawing/2014/main" id="{C8E96935-3EB9-2CC5-7051-EAEF7AAE83D2}"/>
              </a:ext>
            </a:extLst>
          </xdr:cNvPr>
          <xdr:cNvSpPr>
            <a:spLocks noChangeShapeType="1"/>
          </xdr:cNvSpPr>
        </xdr:nvSpPr>
        <xdr:spPr bwMode="auto">
          <a:xfrm flipH="1">
            <a:off x="170" y="794"/>
            <a:ext cx="2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4" name="Line 13">
            <a:extLst>
              <a:ext uri="{FF2B5EF4-FFF2-40B4-BE49-F238E27FC236}">
                <a16:creationId xmlns:a16="http://schemas.microsoft.com/office/drawing/2014/main" id="{A5493107-3CA1-68AA-659F-B36F032BE24C}"/>
              </a:ext>
            </a:extLst>
          </xdr:cNvPr>
          <xdr:cNvSpPr>
            <a:spLocks noChangeShapeType="1"/>
          </xdr:cNvSpPr>
        </xdr:nvSpPr>
        <xdr:spPr bwMode="auto">
          <a:xfrm flipH="1">
            <a:off x="133" y="876"/>
            <a:ext cx="20" cy="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15" name="Line 14">
            <a:extLst>
              <a:ext uri="{FF2B5EF4-FFF2-40B4-BE49-F238E27FC236}">
                <a16:creationId xmlns:a16="http://schemas.microsoft.com/office/drawing/2014/main" id="{F3259D46-5622-0716-3974-40AB5ABA773D}"/>
              </a:ext>
            </a:extLst>
          </xdr:cNvPr>
          <xdr:cNvSpPr>
            <a:spLocks noChangeShapeType="1"/>
          </xdr:cNvSpPr>
        </xdr:nvSpPr>
        <xdr:spPr bwMode="auto">
          <a:xfrm>
            <a:off x="154" y="877"/>
            <a:ext cx="36" cy="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16" name="Line 15">
            <a:extLst>
              <a:ext uri="{FF2B5EF4-FFF2-40B4-BE49-F238E27FC236}">
                <a16:creationId xmlns:a16="http://schemas.microsoft.com/office/drawing/2014/main" id="{C74E8FC9-CF21-3A1A-3334-F61BD3E88454}"/>
              </a:ext>
            </a:extLst>
          </xdr:cNvPr>
          <xdr:cNvSpPr>
            <a:spLocks noChangeShapeType="1"/>
          </xdr:cNvSpPr>
        </xdr:nvSpPr>
        <xdr:spPr bwMode="auto">
          <a:xfrm flipV="1">
            <a:off x="200" y="889"/>
            <a:ext cx="1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7" name="Line 16">
            <a:extLst>
              <a:ext uri="{FF2B5EF4-FFF2-40B4-BE49-F238E27FC236}">
                <a16:creationId xmlns:a16="http://schemas.microsoft.com/office/drawing/2014/main" id="{3DD3F041-0FC8-67A6-B445-5CDD56EF8231}"/>
              </a:ext>
            </a:extLst>
          </xdr:cNvPr>
          <xdr:cNvSpPr>
            <a:spLocks noChangeShapeType="1"/>
          </xdr:cNvSpPr>
        </xdr:nvSpPr>
        <xdr:spPr bwMode="auto">
          <a:xfrm flipV="1">
            <a:off x="210" y="795"/>
            <a:ext cx="0" cy="36"/>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18" name="Line 17">
            <a:extLst>
              <a:ext uri="{FF2B5EF4-FFF2-40B4-BE49-F238E27FC236}">
                <a16:creationId xmlns:a16="http://schemas.microsoft.com/office/drawing/2014/main" id="{7E8BCAD2-17C0-816F-5230-509AA161FDF3}"/>
              </a:ext>
            </a:extLst>
          </xdr:cNvPr>
          <xdr:cNvSpPr>
            <a:spLocks noChangeShapeType="1"/>
          </xdr:cNvSpPr>
        </xdr:nvSpPr>
        <xdr:spPr bwMode="auto">
          <a:xfrm>
            <a:off x="210" y="847"/>
            <a:ext cx="0" cy="41"/>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19" name="Line 18">
            <a:extLst>
              <a:ext uri="{FF2B5EF4-FFF2-40B4-BE49-F238E27FC236}">
                <a16:creationId xmlns:a16="http://schemas.microsoft.com/office/drawing/2014/main" id="{71F0D4D6-23EF-F071-0AE3-763D7C6E320E}"/>
              </a:ext>
            </a:extLst>
          </xdr:cNvPr>
          <xdr:cNvSpPr>
            <a:spLocks noChangeShapeType="1"/>
          </xdr:cNvSpPr>
        </xdr:nvSpPr>
        <xdr:spPr bwMode="auto">
          <a:xfrm>
            <a:off x="200" y="794"/>
            <a:ext cx="1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0" name="Line 19">
            <a:extLst>
              <a:ext uri="{FF2B5EF4-FFF2-40B4-BE49-F238E27FC236}">
                <a16:creationId xmlns:a16="http://schemas.microsoft.com/office/drawing/2014/main" id="{ABA4F752-F057-9F80-5847-22412025E416}"/>
              </a:ext>
            </a:extLst>
          </xdr:cNvPr>
          <xdr:cNvSpPr>
            <a:spLocks noChangeShapeType="1"/>
          </xdr:cNvSpPr>
        </xdr:nvSpPr>
        <xdr:spPr bwMode="auto">
          <a:xfrm flipV="1">
            <a:off x="133" y="871"/>
            <a:ext cx="0" cy="18"/>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1" name="Line 20">
            <a:extLst>
              <a:ext uri="{FF2B5EF4-FFF2-40B4-BE49-F238E27FC236}">
                <a16:creationId xmlns:a16="http://schemas.microsoft.com/office/drawing/2014/main" id="{C9772D08-DF61-0695-1640-62D8BB24FD3C}"/>
              </a:ext>
            </a:extLst>
          </xdr:cNvPr>
          <xdr:cNvSpPr>
            <a:spLocks noChangeShapeType="1"/>
          </xdr:cNvSpPr>
        </xdr:nvSpPr>
        <xdr:spPr bwMode="auto">
          <a:xfrm flipV="1">
            <a:off x="190" y="868"/>
            <a:ext cx="0" cy="2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 name="Line 21">
            <a:extLst>
              <a:ext uri="{FF2B5EF4-FFF2-40B4-BE49-F238E27FC236}">
                <a16:creationId xmlns:a16="http://schemas.microsoft.com/office/drawing/2014/main" id="{79D7E0BB-D444-AD1C-C521-08B40936CD9D}"/>
              </a:ext>
            </a:extLst>
          </xdr:cNvPr>
          <xdr:cNvSpPr>
            <a:spLocks noChangeShapeType="1"/>
          </xdr:cNvSpPr>
        </xdr:nvSpPr>
        <xdr:spPr bwMode="auto">
          <a:xfrm flipV="1">
            <a:off x="133" y="805"/>
            <a:ext cx="21"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 name="Line 22">
            <a:extLst>
              <a:ext uri="{FF2B5EF4-FFF2-40B4-BE49-F238E27FC236}">
                <a16:creationId xmlns:a16="http://schemas.microsoft.com/office/drawing/2014/main" id="{F3525DE2-2714-FEAB-6103-18AE03D036FC}"/>
              </a:ext>
            </a:extLst>
          </xdr:cNvPr>
          <xdr:cNvSpPr>
            <a:spLocks noChangeShapeType="1"/>
          </xdr:cNvSpPr>
        </xdr:nvSpPr>
        <xdr:spPr bwMode="auto">
          <a:xfrm flipH="1">
            <a:off x="133" y="805"/>
            <a:ext cx="0" cy="8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 name="Line 23">
            <a:extLst>
              <a:ext uri="{FF2B5EF4-FFF2-40B4-BE49-F238E27FC236}">
                <a16:creationId xmlns:a16="http://schemas.microsoft.com/office/drawing/2014/main" id="{37107078-30C4-006C-8D7C-46088E1C8F8D}"/>
              </a:ext>
            </a:extLst>
          </xdr:cNvPr>
          <xdr:cNvSpPr>
            <a:spLocks noChangeShapeType="1"/>
          </xdr:cNvSpPr>
        </xdr:nvSpPr>
        <xdr:spPr bwMode="auto">
          <a:xfrm flipV="1">
            <a:off x="154" y="794"/>
            <a:ext cx="0" cy="1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5" name="Line 24">
            <a:extLst>
              <a:ext uri="{FF2B5EF4-FFF2-40B4-BE49-F238E27FC236}">
                <a16:creationId xmlns:a16="http://schemas.microsoft.com/office/drawing/2014/main" id="{4A727FCD-B9A3-3BFD-87F8-A213183E49B7}"/>
              </a:ext>
            </a:extLst>
          </xdr:cNvPr>
          <xdr:cNvSpPr>
            <a:spLocks noChangeShapeType="1"/>
          </xdr:cNvSpPr>
        </xdr:nvSpPr>
        <xdr:spPr bwMode="auto">
          <a:xfrm>
            <a:off x="170" y="794"/>
            <a:ext cx="0" cy="1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6" name="Line 25">
            <a:extLst>
              <a:ext uri="{FF2B5EF4-FFF2-40B4-BE49-F238E27FC236}">
                <a16:creationId xmlns:a16="http://schemas.microsoft.com/office/drawing/2014/main" id="{0E3CFF06-775A-743B-2B39-92F899B12B32}"/>
              </a:ext>
            </a:extLst>
          </xdr:cNvPr>
          <xdr:cNvSpPr>
            <a:spLocks noChangeShapeType="1"/>
          </xdr:cNvSpPr>
        </xdr:nvSpPr>
        <xdr:spPr bwMode="auto">
          <a:xfrm>
            <a:off x="139" y="794"/>
            <a:ext cx="0" cy="1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7" name="Line 26">
            <a:extLst>
              <a:ext uri="{FF2B5EF4-FFF2-40B4-BE49-F238E27FC236}">
                <a16:creationId xmlns:a16="http://schemas.microsoft.com/office/drawing/2014/main" id="{123A0F54-EC67-B153-2DBF-3FAADADFDC2F}"/>
              </a:ext>
            </a:extLst>
          </xdr:cNvPr>
          <xdr:cNvSpPr>
            <a:spLocks noChangeShapeType="1"/>
          </xdr:cNvSpPr>
        </xdr:nvSpPr>
        <xdr:spPr bwMode="auto">
          <a:xfrm flipH="1" flipV="1">
            <a:off x="139" y="794"/>
            <a:ext cx="2"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8" name="Line 27">
            <a:extLst>
              <a:ext uri="{FF2B5EF4-FFF2-40B4-BE49-F238E27FC236}">
                <a16:creationId xmlns:a16="http://schemas.microsoft.com/office/drawing/2014/main" id="{E06C3A6A-3377-6FC9-A65C-D4CDBCAA12C8}"/>
              </a:ext>
            </a:extLst>
          </xdr:cNvPr>
          <xdr:cNvSpPr>
            <a:spLocks noChangeShapeType="1"/>
          </xdr:cNvSpPr>
        </xdr:nvSpPr>
        <xdr:spPr bwMode="auto">
          <a:xfrm flipV="1">
            <a:off x="137" y="794"/>
            <a:ext cx="2"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9" name="Line 28">
            <a:extLst>
              <a:ext uri="{FF2B5EF4-FFF2-40B4-BE49-F238E27FC236}">
                <a16:creationId xmlns:a16="http://schemas.microsoft.com/office/drawing/2014/main" id="{F24A26F4-FB7B-5A97-9CAC-51FF53A27AA2}"/>
              </a:ext>
            </a:extLst>
          </xdr:cNvPr>
          <xdr:cNvSpPr>
            <a:spLocks noChangeShapeType="1"/>
          </xdr:cNvSpPr>
        </xdr:nvSpPr>
        <xdr:spPr bwMode="auto">
          <a:xfrm flipV="1">
            <a:off x="139" y="801"/>
            <a:ext cx="2"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0" name="Line 29">
            <a:extLst>
              <a:ext uri="{FF2B5EF4-FFF2-40B4-BE49-F238E27FC236}">
                <a16:creationId xmlns:a16="http://schemas.microsoft.com/office/drawing/2014/main" id="{1B05333D-5858-A56D-E2D0-97D0A4B29FA6}"/>
              </a:ext>
            </a:extLst>
          </xdr:cNvPr>
          <xdr:cNvSpPr>
            <a:spLocks noChangeShapeType="1"/>
          </xdr:cNvSpPr>
        </xdr:nvSpPr>
        <xdr:spPr bwMode="auto">
          <a:xfrm flipH="1" flipV="1">
            <a:off x="137" y="801"/>
            <a:ext cx="2"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1" name="Line 30">
            <a:extLst>
              <a:ext uri="{FF2B5EF4-FFF2-40B4-BE49-F238E27FC236}">
                <a16:creationId xmlns:a16="http://schemas.microsoft.com/office/drawing/2014/main" id="{E81FA599-905B-6EE8-4452-A09426281356}"/>
              </a:ext>
            </a:extLst>
          </xdr:cNvPr>
          <xdr:cNvSpPr>
            <a:spLocks noChangeShapeType="1"/>
          </xdr:cNvSpPr>
        </xdr:nvSpPr>
        <xdr:spPr bwMode="auto">
          <a:xfrm>
            <a:off x="190" y="805"/>
            <a:ext cx="0" cy="8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 name="Line 31">
            <a:extLst>
              <a:ext uri="{FF2B5EF4-FFF2-40B4-BE49-F238E27FC236}">
                <a16:creationId xmlns:a16="http://schemas.microsoft.com/office/drawing/2014/main" id="{C6FF6153-2C9E-18E3-4AE6-52199505B936}"/>
              </a:ext>
            </a:extLst>
          </xdr:cNvPr>
          <xdr:cNvSpPr>
            <a:spLocks noChangeShapeType="1"/>
          </xdr:cNvSpPr>
        </xdr:nvSpPr>
        <xdr:spPr bwMode="auto">
          <a:xfrm>
            <a:off x="169" y="805"/>
            <a:ext cx="21"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 name="Line 32">
            <a:extLst>
              <a:ext uri="{FF2B5EF4-FFF2-40B4-BE49-F238E27FC236}">
                <a16:creationId xmlns:a16="http://schemas.microsoft.com/office/drawing/2014/main" id="{5EDB0538-B0D1-73DB-4119-58203FF512BC}"/>
              </a:ext>
            </a:extLst>
          </xdr:cNvPr>
          <xdr:cNvSpPr>
            <a:spLocks noChangeShapeType="1"/>
          </xdr:cNvSpPr>
        </xdr:nvSpPr>
        <xdr:spPr bwMode="auto">
          <a:xfrm>
            <a:off x="133" y="889"/>
            <a:ext cx="5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4" name="Line 33">
            <a:extLst>
              <a:ext uri="{FF2B5EF4-FFF2-40B4-BE49-F238E27FC236}">
                <a16:creationId xmlns:a16="http://schemas.microsoft.com/office/drawing/2014/main" id="{FFC17BCE-061C-5E38-87FF-F879D3A567B4}"/>
              </a:ext>
            </a:extLst>
          </xdr:cNvPr>
          <xdr:cNvSpPr>
            <a:spLocks noChangeShapeType="1"/>
          </xdr:cNvSpPr>
        </xdr:nvSpPr>
        <xdr:spPr bwMode="auto">
          <a:xfrm>
            <a:off x="154" y="797"/>
            <a:ext cx="1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5" name="Line 34">
            <a:extLst>
              <a:ext uri="{FF2B5EF4-FFF2-40B4-BE49-F238E27FC236}">
                <a16:creationId xmlns:a16="http://schemas.microsoft.com/office/drawing/2014/main" id="{2768A796-7398-6E97-C435-E8ED44F8ACCB}"/>
              </a:ext>
            </a:extLst>
          </xdr:cNvPr>
          <xdr:cNvSpPr>
            <a:spLocks noChangeShapeType="1"/>
          </xdr:cNvSpPr>
        </xdr:nvSpPr>
        <xdr:spPr bwMode="auto">
          <a:xfrm flipH="1">
            <a:off x="154" y="795"/>
            <a:ext cx="3"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 name="Line 35">
            <a:extLst>
              <a:ext uri="{FF2B5EF4-FFF2-40B4-BE49-F238E27FC236}">
                <a16:creationId xmlns:a16="http://schemas.microsoft.com/office/drawing/2014/main" id="{D68A5DB6-AD2E-AAEC-A704-F8B7077A0BD9}"/>
              </a:ext>
            </a:extLst>
          </xdr:cNvPr>
          <xdr:cNvSpPr>
            <a:spLocks noChangeShapeType="1"/>
          </xdr:cNvSpPr>
        </xdr:nvSpPr>
        <xdr:spPr bwMode="auto">
          <a:xfrm flipH="1" flipV="1">
            <a:off x="154" y="797"/>
            <a:ext cx="3"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 name="Line 36">
            <a:extLst>
              <a:ext uri="{FF2B5EF4-FFF2-40B4-BE49-F238E27FC236}">
                <a16:creationId xmlns:a16="http://schemas.microsoft.com/office/drawing/2014/main" id="{7D55CF4D-4749-3040-962D-942E1D5C9E84}"/>
              </a:ext>
            </a:extLst>
          </xdr:cNvPr>
          <xdr:cNvSpPr>
            <a:spLocks noChangeShapeType="1"/>
          </xdr:cNvSpPr>
        </xdr:nvSpPr>
        <xdr:spPr bwMode="auto">
          <a:xfrm flipH="1">
            <a:off x="154" y="795"/>
            <a:ext cx="3"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 name="Line 37">
            <a:extLst>
              <a:ext uri="{FF2B5EF4-FFF2-40B4-BE49-F238E27FC236}">
                <a16:creationId xmlns:a16="http://schemas.microsoft.com/office/drawing/2014/main" id="{219E37E4-D2DF-D629-B511-73D17D8B935E}"/>
              </a:ext>
            </a:extLst>
          </xdr:cNvPr>
          <xdr:cNvSpPr>
            <a:spLocks noChangeShapeType="1"/>
          </xdr:cNvSpPr>
        </xdr:nvSpPr>
        <xdr:spPr bwMode="auto">
          <a:xfrm flipV="1">
            <a:off x="167" y="797"/>
            <a:ext cx="3"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9" name="Line 38">
            <a:extLst>
              <a:ext uri="{FF2B5EF4-FFF2-40B4-BE49-F238E27FC236}">
                <a16:creationId xmlns:a16="http://schemas.microsoft.com/office/drawing/2014/main" id="{F0B85C1D-491C-9643-EAF2-A1CFD7862C67}"/>
              </a:ext>
            </a:extLst>
          </xdr:cNvPr>
          <xdr:cNvSpPr>
            <a:spLocks noChangeShapeType="1"/>
          </xdr:cNvSpPr>
        </xdr:nvSpPr>
        <xdr:spPr bwMode="auto">
          <a:xfrm>
            <a:off x="167" y="795"/>
            <a:ext cx="3"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3</xdr:col>
      <xdr:colOff>188595</xdr:colOff>
      <xdr:row>29</xdr:row>
      <xdr:rowOff>76200</xdr:rowOff>
    </xdr:from>
    <xdr:to>
      <xdr:col>3</xdr:col>
      <xdr:colOff>461023</xdr:colOff>
      <xdr:row>29</xdr:row>
      <xdr:rowOff>192741</xdr:rowOff>
    </xdr:to>
    <xdr:sp macro="" textlink="">
      <xdr:nvSpPr>
        <xdr:cNvPr id="40" name="Depth">
          <a:extLst>
            <a:ext uri="{FF2B5EF4-FFF2-40B4-BE49-F238E27FC236}">
              <a16:creationId xmlns:a16="http://schemas.microsoft.com/office/drawing/2014/main" id="{72EC1B02-3B4E-418F-AE2D-9C8558C3E3FE}"/>
            </a:ext>
          </a:extLst>
        </xdr:cNvPr>
        <xdr:cNvSpPr txBox="1">
          <a:spLocks noChangeArrowheads="1"/>
        </xdr:cNvSpPr>
      </xdr:nvSpPr>
      <xdr:spPr bwMode="auto">
        <a:xfrm>
          <a:off x="1964055" y="6758940"/>
          <a:ext cx="272428" cy="116541"/>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strike="noStrike">
              <a:solidFill>
                <a:srgbClr val="000000"/>
              </a:solidFill>
              <a:latin typeface="Univers (W1)"/>
            </a:rPr>
            <a:t>50.5</a:t>
          </a:r>
        </a:p>
      </xdr:txBody>
    </xdr:sp>
    <xdr:clientData/>
  </xdr:twoCellAnchor>
  <xdr:twoCellAnchor>
    <xdr:from>
      <xdr:col>1</xdr:col>
      <xdr:colOff>114300</xdr:colOff>
      <xdr:row>30</xdr:row>
      <xdr:rowOff>209550</xdr:rowOff>
    </xdr:from>
    <xdr:to>
      <xdr:col>2</xdr:col>
      <xdr:colOff>93536</xdr:colOff>
      <xdr:row>31</xdr:row>
      <xdr:rowOff>90617</xdr:rowOff>
    </xdr:to>
    <xdr:sp macro="" textlink="">
      <xdr:nvSpPr>
        <xdr:cNvPr id="41" name="Tip">
          <a:extLst>
            <a:ext uri="{FF2B5EF4-FFF2-40B4-BE49-F238E27FC236}">
              <a16:creationId xmlns:a16="http://schemas.microsoft.com/office/drawing/2014/main" id="{9B9D132D-0F5F-4609-BBEE-C4396D9022E7}"/>
            </a:ext>
          </a:extLst>
        </xdr:cNvPr>
        <xdr:cNvSpPr txBox="1">
          <a:spLocks noChangeArrowheads="1"/>
        </xdr:cNvSpPr>
      </xdr:nvSpPr>
      <xdr:spPr bwMode="auto">
        <a:xfrm>
          <a:off x="944880" y="7120890"/>
          <a:ext cx="398336" cy="109667"/>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strike="noStrike">
              <a:solidFill>
                <a:srgbClr val="000000"/>
              </a:solidFill>
              <a:latin typeface="Univers (W1)"/>
            </a:rPr>
            <a:t>2.83</a:t>
          </a:r>
        </a:p>
      </xdr:txBody>
    </xdr:sp>
    <xdr:clientData/>
  </xdr:twoCellAnchor>
  <xdr:twoCellAnchor>
    <xdr:from>
      <xdr:col>2</xdr:col>
      <xdr:colOff>243840</xdr:colOff>
      <xdr:row>26</xdr:row>
      <xdr:rowOff>190500</xdr:rowOff>
    </xdr:from>
    <xdr:to>
      <xdr:col>3</xdr:col>
      <xdr:colOff>36146</xdr:colOff>
      <xdr:row>27</xdr:row>
      <xdr:rowOff>41063</xdr:rowOff>
    </xdr:to>
    <xdr:sp macro="" textlink="">
      <xdr:nvSpPr>
        <xdr:cNvPr id="42" name="Width">
          <a:extLst>
            <a:ext uri="{FF2B5EF4-FFF2-40B4-BE49-F238E27FC236}">
              <a16:creationId xmlns:a16="http://schemas.microsoft.com/office/drawing/2014/main" id="{881EE88B-0FFE-40CC-92A3-B5D5F3B8A0AF}"/>
            </a:ext>
          </a:extLst>
        </xdr:cNvPr>
        <xdr:cNvSpPr txBox="1">
          <a:spLocks noChangeArrowheads="1"/>
        </xdr:cNvSpPr>
      </xdr:nvSpPr>
      <xdr:spPr bwMode="auto">
        <a:xfrm>
          <a:off x="1493520" y="6187440"/>
          <a:ext cx="318086" cy="79163"/>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strike="noStrike">
              <a:solidFill>
                <a:srgbClr val="000000"/>
              </a:solidFill>
              <a:latin typeface="Univers (W1)"/>
            </a:rPr>
            <a:t>10.1</a:t>
          </a:r>
        </a:p>
      </xdr:txBody>
    </xdr:sp>
    <xdr:clientData/>
  </xdr:twoCellAnchor>
  <xdr:twoCellAnchor>
    <xdr:from>
      <xdr:col>2</xdr:col>
      <xdr:colOff>0</xdr:colOff>
      <xdr:row>27</xdr:row>
      <xdr:rowOff>45720</xdr:rowOff>
    </xdr:from>
    <xdr:to>
      <xdr:col>3</xdr:col>
      <xdr:colOff>441960</xdr:colOff>
      <xdr:row>31</xdr:row>
      <xdr:rowOff>213360</xdr:rowOff>
    </xdr:to>
    <xdr:grpSp>
      <xdr:nvGrpSpPr>
        <xdr:cNvPr id="43" name="Group 42">
          <a:extLst>
            <a:ext uri="{FF2B5EF4-FFF2-40B4-BE49-F238E27FC236}">
              <a16:creationId xmlns:a16="http://schemas.microsoft.com/office/drawing/2014/main" id="{70AE3544-9EE6-4BFE-80EA-317709401460}"/>
            </a:ext>
          </a:extLst>
        </xdr:cNvPr>
        <xdr:cNvGrpSpPr>
          <a:grpSpLocks/>
        </xdr:cNvGrpSpPr>
      </xdr:nvGrpSpPr>
      <xdr:grpSpPr bwMode="auto">
        <a:xfrm>
          <a:off x="1247775" y="6265545"/>
          <a:ext cx="965835" cy="1082040"/>
          <a:chOff x="128" y="636"/>
          <a:chExt cx="99" cy="113"/>
        </a:xfrm>
      </xdr:grpSpPr>
      <xdr:sp macro="" textlink="">
        <xdr:nvSpPr>
          <xdr:cNvPr id="44" name="Line 43">
            <a:extLst>
              <a:ext uri="{FF2B5EF4-FFF2-40B4-BE49-F238E27FC236}">
                <a16:creationId xmlns:a16="http://schemas.microsoft.com/office/drawing/2014/main" id="{8D78D75A-4A37-0F7D-9D73-47F2D6BAF663}"/>
              </a:ext>
            </a:extLst>
          </xdr:cNvPr>
          <xdr:cNvSpPr>
            <a:spLocks noChangeShapeType="1"/>
          </xdr:cNvSpPr>
        </xdr:nvSpPr>
        <xdr:spPr bwMode="auto">
          <a:xfrm flipH="1">
            <a:off x="192" y="650"/>
            <a:ext cx="1" cy="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5" name="Line 44">
            <a:extLst>
              <a:ext uri="{FF2B5EF4-FFF2-40B4-BE49-F238E27FC236}">
                <a16:creationId xmlns:a16="http://schemas.microsoft.com/office/drawing/2014/main" id="{3BD9A228-5553-B02C-2580-383A5A216F29}"/>
              </a:ext>
            </a:extLst>
          </xdr:cNvPr>
          <xdr:cNvSpPr>
            <a:spLocks noChangeShapeType="1"/>
          </xdr:cNvSpPr>
        </xdr:nvSpPr>
        <xdr:spPr bwMode="auto">
          <a:xfrm flipH="1">
            <a:off x="144" y="651"/>
            <a:ext cx="4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6" name="Line 45">
            <a:extLst>
              <a:ext uri="{FF2B5EF4-FFF2-40B4-BE49-F238E27FC236}">
                <a16:creationId xmlns:a16="http://schemas.microsoft.com/office/drawing/2014/main" id="{BE1D8B81-CCE4-AF98-0CB7-B7E769A7C204}"/>
              </a:ext>
            </a:extLst>
          </xdr:cNvPr>
          <xdr:cNvSpPr>
            <a:spLocks noChangeShapeType="1"/>
          </xdr:cNvSpPr>
        </xdr:nvSpPr>
        <xdr:spPr bwMode="auto">
          <a:xfrm>
            <a:off x="193" y="650"/>
            <a:ext cx="0" cy="7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7" name="Line 46">
            <a:extLst>
              <a:ext uri="{FF2B5EF4-FFF2-40B4-BE49-F238E27FC236}">
                <a16:creationId xmlns:a16="http://schemas.microsoft.com/office/drawing/2014/main" id="{68BC168D-D8F8-8C2A-2BFE-8917F53B618E}"/>
              </a:ext>
            </a:extLst>
          </xdr:cNvPr>
          <xdr:cNvSpPr>
            <a:spLocks noChangeShapeType="1"/>
          </xdr:cNvSpPr>
        </xdr:nvSpPr>
        <xdr:spPr bwMode="auto">
          <a:xfrm>
            <a:off x="146" y="651"/>
            <a:ext cx="0" cy="7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8" name="Line 47">
            <a:extLst>
              <a:ext uri="{FF2B5EF4-FFF2-40B4-BE49-F238E27FC236}">
                <a16:creationId xmlns:a16="http://schemas.microsoft.com/office/drawing/2014/main" id="{45E4B7C0-FD92-C2EB-187F-A98E09BD3ED8}"/>
              </a:ext>
            </a:extLst>
          </xdr:cNvPr>
          <xdr:cNvSpPr>
            <a:spLocks noChangeShapeType="1"/>
          </xdr:cNvSpPr>
        </xdr:nvSpPr>
        <xdr:spPr bwMode="auto">
          <a:xfrm>
            <a:off x="140" y="723"/>
            <a:ext cx="0" cy="6"/>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9" name="Line 48">
            <a:extLst>
              <a:ext uri="{FF2B5EF4-FFF2-40B4-BE49-F238E27FC236}">
                <a16:creationId xmlns:a16="http://schemas.microsoft.com/office/drawing/2014/main" id="{4100C04E-87EE-B6A3-6554-6610C4A60A72}"/>
              </a:ext>
            </a:extLst>
          </xdr:cNvPr>
          <xdr:cNvSpPr>
            <a:spLocks noChangeShapeType="1"/>
          </xdr:cNvSpPr>
        </xdr:nvSpPr>
        <xdr:spPr bwMode="auto">
          <a:xfrm flipH="1">
            <a:off x="200" y="728"/>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0" name="Line 49">
            <a:extLst>
              <a:ext uri="{FF2B5EF4-FFF2-40B4-BE49-F238E27FC236}">
                <a16:creationId xmlns:a16="http://schemas.microsoft.com/office/drawing/2014/main" id="{13AB6EA7-9FFD-9CAF-62D8-293B01BE0210}"/>
              </a:ext>
            </a:extLst>
          </xdr:cNvPr>
          <xdr:cNvSpPr>
            <a:spLocks noChangeShapeType="1"/>
          </xdr:cNvSpPr>
        </xdr:nvSpPr>
        <xdr:spPr bwMode="auto">
          <a:xfrm>
            <a:off x="140" y="729"/>
            <a:ext cx="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1" name="Line 50">
            <a:extLst>
              <a:ext uri="{FF2B5EF4-FFF2-40B4-BE49-F238E27FC236}">
                <a16:creationId xmlns:a16="http://schemas.microsoft.com/office/drawing/2014/main" id="{6DD74A62-6877-620E-2331-7B0057AB0312}"/>
              </a:ext>
            </a:extLst>
          </xdr:cNvPr>
          <xdr:cNvSpPr>
            <a:spLocks noChangeShapeType="1"/>
          </xdr:cNvSpPr>
        </xdr:nvSpPr>
        <xdr:spPr bwMode="auto">
          <a:xfrm>
            <a:off x="192" y="728"/>
            <a:ext cx="0" cy="9"/>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2" name="Line 51">
            <a:extLst>
              <a:ext uri="{FF2B5EF4-FFF2-40B4-BE49-F238E27FC236}">
                <a16:creationId xmlns:a16="http://schemas.microsoft.com/office/drawing/2014/main" id="{E7F7AFE5-20E6-03F8-0AA5-116D546F22A1}"/>
              </a:ext>
            </a:extLst>
          </xdr:cNvPr>
          <xdr:cNvSpPr>
            <a:spLocks noChangeShapeType="1"/>
          </xdr:cNvSpPr>
        </xdr:nvSpPr>
        <xdr:spPr bwMode="auto">
          <a:xfrm>
            <a:off x="147" y="730"/>
            <a:ext cx="0" cy="8"/>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3" name="Line 52">
            <a:extLst>
              <a:ext uri="{FF2B5EF4-FFF2-40B4-BE49-F238E27FC236}">
                <a16:creationId xmlns:a16="http://schemas.microsoft.com/office/drawing/2014/main" id="{80376D94-A461-2F98-5931-5EA0361D82E5}"/>
              </a:ext>
            </a:extLst>
          </xdr:cNvPr>
          <xdr:cNvSpPr>
            <a:spLocks noChangeShapeType="1"/>
          </xdr:cNvSpPr>
        </xdr:nvSpPr>
        <xdr:spPr bwMode="auto">
          <a:xfrm>
            <a:off x="192" y="738"/>
            <a:ext cx="13"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4" name="Line 53">
            <a:extLst>
              <a:ext uri="{FF2B5EF4-FFF2-40B4-BE49-F238E27FC236}">
                <a16:creationId xmlns:a16="http://schemas.microsoft.com/office/drawing/2014/main" id="{3FC19C82-8E92-E710-A6E5-1669210F360C}"/>
              </a:ext>
            </a:extLst>
          </xdr:cNvPr>
          <xdr:cNvSpPr>
            <a:spLocks noChangeShapeType="1"/>
          </xdr:cNvSpPr>
        </xdr:nvSpPr>
        <xdr:spPr bwMode="auto">
          <a:xfrm flipH="1">
            <a:off x="131" y="738"/>
            <a:ext cx="1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5" name="Line 54">
            <a:extLst>
              <a:ext uri="{FF2B5EF4-FFF2-40B4-BE49-F238E27FC236}">
                <a16:creationId xmlns:a16="http://schemas.microsoft.com/office/drawing/2014/main" id="{C7CA659A-E55F-8DF6-9A19-DA36E8D626AA}"/>
              </a:ext>
            </a:extLst>
          </xdr:cNvPr>
          <xdr:cNvSpPr>
            <a:spLocks noChangeShapeType="1"/>
          </xdr:cNvSpPr>
        </xdr:nvSpPr>
        <xdr:spPr bwMode="auto">
          <a:xfrm>
            <a:off x="200" y="652"/>
            <a:ext cx="2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6" name="Line 55">
            <a:extLst>
              <a:ext uri="{FF2B5EF4-FFF2-40B4-BE49-F238E27FC236}">
                <a16:creationId xmlns:a16="http://schemas.microsoft.com/office/drawing/2014/main" id="{B72C1515-16B2-C555-CCA8-2D662520D6AF}"/>
              </a:ext>
            </a:extLst>
          </xdr:cNvPr>
          <xdr:cNvSpPr>
            <a:spLocks noChangeShapeType="1"/>
          </xdr:cNvSpPr>
        </xdr:nvSpPr>
        <xdr:spPr bwMode="auto">
          <a:xfrm flipV="1">
            <a:off x="210" y="653"/>
            <a:ext cx="0" cy="31"/>
          </a:xfrm>
          <a:prstGeom prst="line">
            <a:avLst/>
          </a:prstGeom>
          <a:noFill/>
          <a:ln w="9525">
            <a:solidFill>
              <a:srgbClr val="000000"/>
            </a:solidFill>
            <a:round/>
            <a:headEnd/>
            <a:tailEnd type="arrow" w="med" len="sm"/>
          </a:ln>
          <a:extLst>
            <a:ext uri="{909E8E84-426E-40DD-AFC4-6F175D3DCCD1}">
              <a14:hiddenFill xmlns:a14="http://schemas.microsoft.com/office/drawing/2010/main">
                <a:noFill/>
              </a14:hiddenFill>
            </a:ext>
          </a:extLst>
        </xdr:spPr>
      </xdr:sp>
      <xdr:sp macro="" textlink="">
        <xdr:nvSpPr>
          <xdr:cNvPr id="57" name="Line 56">
            <a:extLst>
              <a:ext uri="{FF2B5EF4-FFF2-40B4-BE49-F238E27FC236}">
                <a16:creationId xmlns:a16="http://schemas.microsoft.com/office/drawing/2014/main" id="{0739AC7B-4437-AAF5-7ACE-21EDA93A9A7F}"/>
              </a:ext>
            </a:extLst>
          </xdr:cNvPr>
          <xdr:cNvSpPr>
            <a:spLocks noChangeShapeType="1"/>
          </xdr:cNvSpPr>
        </xdr:nvSpPr>
        <xdr:spPr bwMode="auto">
          <a:xfrm>
            <a:off x="210" y="707"/>
            <a:ext cx="0" cy="29"/>
          </a:xfrm>
          <a:prstGeom prst="line">
            <a:avLst/>
          </a:prstGeom>
          <a:noFill/>
          <a:ln w="9525">
            <a:solidFill>
              <a:srgbClr val="000000"/>
            </a:solidFill>
            <a:round/>
            <a:headEnd/>
            <a:tailEnd type="arrow" w="med" len="sm"/>
          </a:ln>
          <a:extLst>
            <a:ext uri="{909E8E84-426E-40DD-AFC4-6F175D3DCCD1}">
              <a14:hiddenFill xmlns:a14="http://schemas.microsoft.com/office/drawing/2010/main">
                <a:noFill/>
              </a14:hiddenFill>
            </a:ext>
          </a:extLst>
        </xdr:spPr>
      </xdr:sp>
      <xdr:sp macro="" textlink="">
        <xdr:nvSpPr>
          <xdr:cNvPr id="58" name="Line 57">
            <a:extLst>
              <a:ext uri="{FF2B5EF4-FFF2-40B4-BE49-F238E27FC236}">
                <a16:creationId xmlns:a16="http://schemas.microsoft.com/office/drawing/2014/main" id="{1941D702-0A52-CE4D-1EC6-489FD9417A85}"/>
              </a:ext>
            </a:extLst>
          </xdr:cNvPr>
          <xdr:cNvSpPr>
            <a:spLocks noChangeShapeType="1"/>
          </xdr:cNvSpPr>
        </xdr:nvSpPr>
        <xdr:spPr bwMode="auto">
          <a:xfrm flipV="1">
            <a:off x="134" y="739"/>
            <a:ext cx="0" cy="1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59" name="Line 58">
            <a:extLst>
              <a:ext uri="{FF2B5EF4-FFF2-40B4-BE49-F238E27FC236}">
                <a16:creationId xmlns:a16="http://schemas.microsoft.com/office/drawing/2014/main" id="{C5D05B74-63BF-CEF7-71EB-272F99F96547}"/>
              </a:ext>
            </a:extLst>
          </xdr:cNvPr>
          <xdr:cNvSpPr>
            <a:spLocks noChangeShapeType="1"/>
          </xdr:cNvSpPr>
        </xdr:nvSpPr>
        <xdr:spPr bwMode="auto">
          <a:xfrm>
            <a:off x="132" y="713"/>
            <a:ext cx="0" cy="8"/>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60" name="Line 59">
            <a:extLst>
              <a:ext uri="{FF2B5EF4-FFF2-40B4-BE49-F238E27FC236}">
                <a16:creationId xmlns:a16="http://schemas.microsoft.com/office/drawing/2014/main" id="{F370EDAB-F3AB-009E-AAED-24CD80A62879}"/>
              </a:ext>
            </a:extLst>
          </xdr:cNvPr>
          <xdr:cNvSpPr>
            <a:spLocks noChangeShapeType="1"/>
          </xdr:cNvSpPr>
        </xdr:nvSpPr>
        <xdr:spPr bwMode="auto">
          <a:xfrm>
            <a:off x="128" y="723"/>
            <a:ext cx="1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1" name="Line 60">
            <a:extLst>
              <a:ext uri="{FF2B5EF4-FFF2-40B4-BE49-F238E27FC236}">
                <a16:creationId xmlns:a16="http://schemas.microsoft.com/office/drawing/2014/main" id="{298AB2E1-DBC5-8511-DD57-31366763DDFA}"/>
              </a:ext>
            </a:extLst>
          </xdr:cNvPr>
          <xdr:cNvSpPr>
            <a:spLocks noChangeShapeType="1"/>
          </xdr:cNvSpPr>
        </xdr:nvSpPr>
        <xdr:spPr bwMode="auto">
          <a:xfrm flipV="1">
            <a:off x="193" y="636"/>
            <a:ext cx="0" cy="1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2" name="Line 61">
            <a:extLst>
              <a:ext uri="{FF2B5EF4-FFF2-40B4-BE49-F238E27FC236}">
                <a16:creationId xmlns:a16="http://schemas.microsoft.com/office/drawing/2014/main" id="{C0B41B19-758D-3C4E-167E-EB36599D4DF0}"/>
              </a:ext>
            </a:extLst>
          </xdr:cNvPr>
          <xdr:cNvSpPr>
            <a:spLocks noChangeShapeType="1"/>
          </xdr:cNvSpPr>
        </xdr:nvSpPr>
        <xdr:spPr bwMode="auto">
          <a:xfrm flipV="1">
            <a:off x="145" y="637"/>
            <a:ext cx="0" cy="9"/>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3" name="Line 62">
            <a:extLst>
              <a:ext uri="{FF2B5EF4-FFF2-40B4-BE49-F238E27FC236}">
                <a16:creationId xmlns:a16="http://schemas.microsoft.com/office/drawing/2014/main" id="{56578C3B-7B09-85CE-D506-123AA7E7ACE3}"/>
              </a:ext>
            </a:extLst>
          </xdr:cNvPr>
          <xdr:cNvSpPr>
            <a:spLocks noChangeShapeType="1"/>
          </xdr:cNvSpPr>
        </xdr:nvSpPr>
        <xdr:spPr bwMode="auto">
          <a:xfrm>
            <a:off x="154" y="642"/>
            <a:ext cx="36" cy="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64" name="Line 63">
            <a:extLst>
              <a:ext uri="{FF2B5EF4-FFF2-40B4-BE49-F238E27FC236}">
                <a16:creationId xmlns:a16="http://schemas.microsoft.com/office/drawing/2014/main" id="{911DB907-742D-DFB2-C3E0-77FA03660C9C}"/>
              </a:ext>
            </a:extLst>
          </xdr:cNvPr>
          <xdr:cNvSpPr>
            <a:spLocks noChangeShapeType="1"/>
          </xdr:cNvSpPr>
        </xdr:nvSpPr>
        <xdr:spPr bwMode="auto">
          <a:xfrm flipH="1">
            <a:off x="149" y="642"/>
            <a:ext cx="6" cy="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65" name="Line 64">
            <a:extLst>
              <a:ext uri="{FF2B5EF4-FFF2-40B4-BE49-F238E27FC236}">
                <a16:creationId xmlns:a16="http://schemas.microsoft.com/office/drawing/2014/main" id="{36CDE372-1C4B-4740-1CC2-09AD3DA64B70}"/>
              </a:ext>
            </a:extLst>
          </xdr:cNvPr>
          <xdr:cNvSpPr>
            <a:spLocks noChangeShapeType="1"/>
          </xdr:cNvSpPr>
        </xdr:nvSpPr>
        <xdr:spPr bwMode="auto">
          <a:xfrm>
            <a:off x="140" y="723"/>
            <a:ext cx="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6" name="Line 65">
            <a:extLst>
              <a:ext uri="{FF2B5EF4-FFF2-40B4-BE49-F238E27FC236}">
                <a16:creationId xmlns:a16="http://schemas.microsoft.com/office/drawing/2014/main" id="{70029C92-6640-FDBF-B451-2B9C0FEAF367}"/>
              </a:ext>
            </a:extLst>
          </xdr:cNvPr>
          <xdr:cNvSpPr>
            <a:spLocks noChangeShapeType="1"/>
          </xdr:cNvSpPr>
        </xdr:nvSpPr>
        <xdr:spPr bwMode="auto">
          <a:xfrm>
            <a:off x="192" y="729"/>
            <a:ext cx="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7" name="Line 66">
            <a:extLst>
              <a:ext uri="{FF2B5EF4-FFF2-40B4-BE49-F238E27FC236}">
                <a16:creationId xmlns:a16="http://schemas.microsoft.com/office/drawing/2014/main" id="{78BFCFFF-0432-9B53-9628-8B2AC3BF49A1}"/>
              </a:ext>
            </a:extLst>
          </xdr:cNvPr>
          <xdr:cNvSpPr>
            <a:spLocks noChangeShapeType="1"/>
          </xdr:cNvSpPr>
        </xdr:nvSpPr>
        <xdr:spPr bwMode="auto">
          <a:xfrm flipV="1">
            <a:off x="200" y="721"/>
            <a:ext cx="0" cy="6"/>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8" name="Line 67">
            <a:extLst>
              <a:ext uri="{FF2B5EF4-FFF2-40B4-BE49-F238E27FC236}">
                <a16:creationId xmlns:a16="http://schemas.microsoft.com/office/drawing/2014/main" id="{7D51EA9F-5F87-53FE-09AD-411DB520B0F2}"/>
              </a:ext>
            </a:extLst>
          </xdr:cNvPr>
          <xdr:cNvSpPr>
            <a:spLocks noChangeShapeType="1"/>
          </xdr:cNvSpPr>
        </xdr:nvSpPr>
        <xdr:spPr bwMode="auto">
          <a:xfrm>
            <a:off x="193" y="722"/>
            <a:ext cx="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9</xdr:col>
      <xdr:colOff>160020</xdr:colOff>
      <xdr:row>44</xdr:row>
      <xdr:rowOff>0</xdr:rowOff>
    </xdr:from>
    <xdr:to>
      <xdr:col>9</xdr:col>
      <xdr:colOff>373380</xdr:colOff>
      <xdr:row>44</xdr:row>
      <xdr:rowOff>0</xdr:rowOff>
    </xdr:to>
    <xdr:sp macro="" textlink="">
      <xdr:nvSpPr>
        <xdr:cNvPr id="69" name="Rectangle 90">
          <a:extLst>
            <a:ext uri="{FF2B5EF4-FFF2-40B4-BE49-F238E27FC236}">
              <a16:creationId xmlns:a16="http://schemas.microsoft.com/office/drawing/2014/main" id="{D6C752EA-5634-44E4-9DB3-1695E7821ACB}"/>
            </a:ext>
          </a:extLst>
        </xdr:cNvPr>
        <xdr:cNvSpPr>
          <a:spLocks noChangeArrowheads="1"/>
        </xdr:cNvSpPr>
      </xdr:nvSpPr>
      <xdr:spPr bwMode="auto">
        <a:xfrm>
          <a:off x="5760720" y="10096500"/>
          <a:ext cx="21336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22860</xdr:colOff>
      <xdr:row>44</xdr:row>
      <xdr:rowOff>0</xdr:rowOff>
    </xdr:from>
    <xdr:to>
      <xdr:col>9</xdr:col>
      <xdr:colOff>342900</xdr:colOff>
      <xdr:row>44</xdr:row>
      <xdr:rowOff>0</xdr:rowOff>
    </xdr:to>
    <xdr:sp macro="" textlink="">
      <xdr:nvSpPr>
        <xdr:cNvPr id="70" name="Rectangle 91">
          <a:extLst>
            <a:ext uri="{FF2B5EF4-FFF2-40B4-BE49-F238E27FC236}">
              <a16:creationId xmlns:a16="http://schemas.microsoft.com/office/drawing/2014/main" id="{B78CBA07-93EF-4269-8AA3-637972EC4158}"/>
            </a:ext>
          </a:extLst>
        </xdr:cNvPr>
        <xdr:cNvSpPr>
          <a:spLocks noChangeArrowheads="1"/>
        </xdr:cNvSpPr>
      </xdr:nvSpPr>
      <xdr:spPr bwMode="auto">
        <a:xfrm>
          <a:off x="5623560" y="10096500"/>
          <a:ext cx="3200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30480</xdr:colOff>
      <xdr:row>44</xdr:row>
      <xdr:rowOff>0</xdr:rowOff>
    </xdr:from>
    <xdr:to>
      <xdr:col>9</xdr:col>
      <xdr:colOff>350520</xdr:colOff>
      <xdr:row>44</xdr:row>
      <xdr:rowOff>0</xdr:rowOff>
    </xdr:to>
    <xdr:sp macro="" textlink="">
      <xdr:nvSpPr>
        <xdr:cNvPr id="71" name="Rectangle 92">
          <a:extLst>
            <a:ext uri="{FF2B5EF4-FFF2-40B4-BE49-F238E27FC236}">
              <a16:creationId xmlns:a16="http://schemas.microsoft.com/office/drawing/2014/main" id="{672510A4-A938-4582-A841-BD8A08DE60F5}"/>
            </a:ext>
          </a:extLst>
        </xdr:cNvPr>
        <xdr:cNvSpPr>
          <a:spLocks noChangeArrowheads="1"/>
        </xdr:cNvSpPr>
      </xdr:nvSpPr>
      <xdr:spPr bwMode="auto">
        <a:xfrm>
          <a:off x="5631180" y="10096500"/>
          <a:ext cx="3200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0</xdr:colOff>
      <xdr:row>44</xdr:row>
      <xdr:rowOff>0</xdr:rowOff>
    </xdr:from>
    <xdr:to>
      <xdr:col>9</xdr:col>
      <xdr:colOff>419100</xdr:colOff>
      <xdr:row>44</xdr:row>
      <xdr:rowOff>0</xdr:rowOff>
    </xdr:to>
    <xdr:sp macro="" textlink="">
      <xdr:nvSpPr>
        <xdr:cNvPr id="72" name="Rectangle 93">
          <a:extLst>
            <a:ext uri="{FF2B5EF4-FFF2-40B4-BE49-F238E27FC236}">
              <a16:creationId xmlns:a16="http://schemas.microsoft.com/office/drawing/2014/main" id="{F5593F84-DA19-4FF3-98A9-4C01641809A9}"/>
            </a:ext>
          </a:extLst>
        </xdr:cNvPr>
        <xdr:cNvSpPr>
          <a:spLocks noChangeArrowheads="1"/>
        </xdr:cNvSpPr>
      </xdr:nvSpPr>
      <xdr:spPr bwMode="auto">
        <a:xfrm>
          <a:off x="5600700" y="10096500"/>
          <a:ext cx="4191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144780</xdr:colOff>
      <xdr:row>44</xdr:row>
      <xdr:rowOff>0</xdr:rowOff>
    </xdr:from>
    <xdr:to>
      <xdr:col>9</xdr:col>
      <xdr:colOff>373380</xdr:colOff>
      <xdr:row>44</xdr:row>
      <xdr:rowOff>0</xdr:rowOff>
    </xdr:to>
    <xdr:sp macro="" textlink="">
      <xdr:nvSpPr>
        <xdr:cNvPr id="73" name="Rectangle 94">
          <a:extLst>
            <a:ext uri="{FF2B5EF4-FFF2-40B4-BE49-F238E27FC236}">
              <a16:creationId xmlns:a16="http://schemas.microsoft.com/office/drawing/2014/main" id="{8CA1C7D7-E026-420D-9C79-F121F27031E3}"/>
            </a:ext>
          </a:extLst>
        </xdr:cNvPr>
        <xdr:cNvSpPr>
          <a:spLocks noChangeArrowheads="1"/>
        </xdr:cNvSpPr>
      </xdr:nvSpPr>
      <xdr:spPr bwMode="auto">
        <a:xfrm>
          <a:off x="5745480" y="10096500"/>
          <a:ext cx="228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4</xdr:col>
      <xdr:colOff>129540</xdr:colOff>
      <xdr:row>27</xdr:row>
      <xdr:rowOff>154305</xdr:rowOff>
    </xdr:from>
    <xdr:to>
      <xdr:col>4</xdr:col>
      <xdr:colOff>771616</xdr:colOff>
      <xdr:row>28</xdr:row>
      <xdr:rowOff>114744</xdr:rowOff>
    </xdr:to>
    <xdr:sp macro="" textlink="">
      <xdr:nvSpPr>
        <xdr:cNvPr id="74" name="Text 219">
          <a:extLst>
            <a:ext uri="{FF2B5EF4-FFF2-40B4-BE49-F238E27FC236}">
              <a16:creationId xmlns:a16="http://schemas.microsoft.com/office/drawing/2014/main" id="{A661E57E-4FCE-4DCB-9EBD-6E581C4BC328}"/>
            </a:ext>
          </a:extLst>
        </xdr:cNvPr>
        <xdr:cNvSpPr txBox="1">
          <a:spLocks noChangeArrowheads="1"/>
        </xdr:cNvSpPr>
      </xdr:nvSpPr>
      <xdr:spPr bwMode="auto">
        <a:xfrm>
          <a:off x="2804160" y="6379845"/>
          <a:ext cx="642076" cy="189039"/>
        </a:xfrm>
        <a:prstGeom prst="rect">
          <a:avLst/>
        </a:prstGeom>
        <a:solidFill>
          <a:srgbClr val="FFFFFF"/>
        </a:solidFill>
        <a:ln w="1">
          <a:solidFill>
            <a:srgbClr val="000000"/>
          </a:solidFill>
          <a:miter lim="800000"/>
          <a:headEnd/>
          <a:tailEnd/>
        </a:ln>
      </xdr:spPr>
      <xdr:txBody>
        <a:bodyPr vertOverflow="clip" wrap="square" lIns="27432" tIns="22860" rIns="0" bIns="0" anchor="t" upright="1"/>
        <a:lstStyle/>
        <a:p>
          <a:pPr algn="l" rtl="1">
            <a:defRPr sz="1000"/>
          </a:pPr>
          <a:r>
            <a:rPr lang="en-US" sz="1000" b="0" i="0" strike="noStrike">
              <a:solidFill>
                <a:srgbClr val="000000"/>
              </a:solidFill>
              <a:latin typeface="Arial"/>
              <a:cs typeface="Arial"/>
            </a:rPr>
            <a:t>311-V210</a:t>
          </a:r>
        </a:p>
      </xdr:txBody>
    </xdr:sp>
    <xdr:clientData/>
  </xdr:twoCellAnchor>
  <xdr:twoCellAnchor>
    <xdr:from>
      <xdr:col>4</xdr:col>
      <xdr:colOff>114300</xdr:colOff>
      <xdr:row>29</xdr:row>
      <xdr:rowOff>104775</xdr:rowOff>
    </xdr:from>
    <xdr:to>
      <xdr:col>4</xdr:col>
      <xdr:colOff>763838</xdr:colOff>
      <xdr:row>30</xdr:row>
      <xdr:rowOff>40171</xdr:rowOff>
    </xdr:to>
    <xdr:sp macro="" textlink="">
      <xdr:nvSpPr>
        <xdr:cNvPr id="75" name="Text 219">
          <a:extLst>
            <a:ext uri="{FF2B5EF4-FFF2-40B4-BE49-F238E27FC236}">
              <a16:creationId xmlns:a16="http://schemas.microsoft.com/office/drawing/2014/main" id="{828EB07E-9DE8-4A7A-B791-451BFEB110BD}"/>
            </a:ext>
          </a:extLst>
        </xdr:cNvPr>
        <xdr:cNvSpPr txBox="1">
          <a:spLocks noChangeArrowheads="1"/>
        </xdr:cNvSpPr>
      </xdr:nvSpPr>
      <xdr:spPr bwMode="auto">
        <a:xfrm>
          <a:off x="2788920" y="6787515"/>
          <a:ext cx="649538" cy="163996"/>
        </a:xfrm>
        <a:prstGeom prst="rect">
          <a:avLst/>
        </a:prstGeom>
        <a:solidFill>
          <a:srgbClr val="FFFFFF"/>
        </a:solidFill>
        <a:ln w="1">
          <a:solidFill>
            <a:srgbClr val="000000"/>
          </a:solidFill>
          <a:miter lim="800000"/>
          <a:headEnd/>
          <a:tailEnd/>
        </a:ln>
      </xdr:spPr>
      <xdr:txBody>
        <a:bodyPr vertOverflow="clip" wrap="square" lIns="27432" tIns="22860" rIns="0" bIns="0" anchor="t" upright="1"/>
        <a:lstStyle/>
        <a:p>
          <a:pPr algn="l" rtl="1">
            <a:defRPr sz="1000"/>
          </a:pPr>
          <a:r>
            <a:rPr lang="en-US" sz="1000" b="0" i="0" strike="noStrike">
              <a:solidFill>
                <a:srgbClr val="000000"/>
              </a:solidFill>
              <a:latin typeface="Arial"/>
              <a:cs typeface="Arial"/>
            </a:rPr>
            <a:t>311-V220</a:t>
          </a:r>
        </a:p>
      </xdr:txBody>
    </xdr:sp>
    <xdr:clientData/>
  </xdr:twoCellAnchor>
  <xdr:twoCellAnchor>
    <xdr:from>
      <xdr:col>3</xdr:col>
      <xdr:colOff>609600</xdr:colOff>
      <xdr:row>27</xdr:row>
      <xdr:rowOff>152400</xdr:rowOff>
    </xdr:from>
    <xdr:to>
      <xdr:col>4</xdr:col>
      <xdr:colOff>9126</xdr:colOff>
      <xdr:row>28</xdr:row>
      <xdr:rowOff>133509</xdr:rowOff>
    </xdr:to>
    <xdr:sp macro="" textlink="">
      <xdr:nvSpPr>
        <xdr:cNvPr id="76" name="Text 219">
          <a:extLst>
            <a:ext uri="{FF2B5EF4-FFF2-40B4-BE49-F238E27FC236}">
              <a16:creationId xmlns:a16="http://schemas.microsoft.com/office/drawing/2014/main" id="{5C247A3C-B18A-45A5-BC09-02674BC5D709}"/>
            </a:ext>
          </a:extLst>
        </xdr:cNvPr>
        <xdr:cNvSpPr txBox="1">
          <a:spLocks noChangeArrowheads="1"/>
        </xdr:cNvSpPr>
      </xdr:nvSpPr>
      <xdr:spPr bwMode="auto">
        <a:xfrm>
          <a:off x="2385060" y="6377940"/>
          <a:ext cx="298686" cy="209709"/>
        </a:xfrm>
        <a:prstGeom prst="rect">
          <a:avLst/>
        </a:prstGeom>
        <a:solidFill>
          <a:srgbClr val="FFFFFF"/>
        </a:solidFill>
        <a:ln w="0">
          <a:noFill/>
          <a:miter lim="800000"/>
          <a:headEnd/>
          <a:tailEnd/>
        </a:ln>
      </xdr:spPr>
      <xdr:txBody>
        <a:bodyPr vertOverflow="clip" wrap="square" lIns="27432" tIns="22860" rIns="0" bIns="0" anchor="t" upright="1"/>
        <a:lstStyle/>
        <a:p>
          <a:pPr algn="l" rtl="1">
            <a:defRPr sz="1000"/>
          </a:pPr>
          <a:r>
            <a:rPr lang="en-US" sz="1000" b="0" i="0" strike="noStrike">
              <a:solidFill>
                <a:srgbClr val="000000"/>
              </a:solidFill>
              <a:latin typeface="Arial"/>
              <a:cs typeface="Arial"/>
            </a:rPr>
            <a:t>DIE:</a:t>
          </a:r>
        </a:p>
      </xdr:txBody>
    </xdr:sp>
    <xdr:clientData/>
  </xdr:twoCellAnchor>
  <xdr:twoCellAnchor>
    <xdr:from>
      <xdr:col>3</xdr:col>
      <xdr:colOff>609600</xdr:colOff>
      <xdr:row>29</xdr:row>
      <xdr:rowOff>104775</xdr:rowOff>
    </xdr:from>
    <xdr:to>
      <xdr:col>4</xdr:col>
      <xdr:colOff>95378</xdr:colOff>
      <xdr:row>30</xdr:row>
      <xdr:rowOff>78241</xdr:rowOff>
    </xdr:to>
    <xdr:sp macro="" textlink="">
      <xdr:nvSpPr>
        <xdr:cNvPr id="77" name="Text 219">
          <a:extLst>
            <a:ext uri="{FF2B5EF4-FFF2-40B4-BE49-F238E27FC236}">
              <a16:creationId xmlns:a16="http://schemas.microsoft.com/office/drawing/2014/main" id="{1302D3B8-1913-4573-B13B-62BC1EDAACDC}"/>
            </a:ext>
          </a:extLst>
        </xdr:cNvPr>
        <xdr:cNvSpPr txBox="1">
          <a:spLocks noChangeArrowheads="1"/>
        </xdr:cNvSpPr>
      </xdr:nvSpPr>
      <xdr:spPr bwMode="auto">
        <a:xfrm>
          <a:off x="2385060" y="6787515"/>
          <a:ext cx="384938" cy="202066"/>
        </a:xfrm>
        <a:prstGeom prst="rect">
          <a:avLst/>
        </a:prstGeom>
        <a:solidFill>
          <a:srgbClr val="FFFFFF"/>
        </a:solidFill>
        <a:ln w="0">
          <a:noFill/>
          <a:miter lim="800000"/>
          <a:headEnd/>
          <a:tailEnd/>
        </a:ln>
      </xdr:spPr>
      <xdr:txBody>
        <a:bodyPr vertOverflow="clip" wrap="square" lIns="27432" tIns="22860" rIns="0" bIns="0" anchor="t" upright="1"/>
        <a:lstStyle/>
        <a:p>
          <a:pPr algn="l" rtl="1">
            <a:defRPr sz="1000"/>
          </a:pPr>
          <a:r>
            <a:rPr lang="en-US" sz="1000" b="0" i="0" strike="noStrike">
              <a:solidFill>
                <a:srgbClr val="000000"/>
              </a:solidFill>
              <a:latin typeface="Arial"/>
              <a:cs typeface="Arial"/>
            </a:rPr>
            <a:t>LAM:</a:t>
          </a:r>
        </a:p>
      </xdr:txBody>
    </xdr:sp>
    <xdr:clientData/>
  </xdr:twoCellAnchor>
  <xdr:twoCellAnchor>
    <xdr:from>
      <xdr:col>4</xdr:col>
      <xdr:colOff>158115</xdr:colOff>
      <xdr:row>33</xdr:row>
      <xdr:rowOff>78105</xdr:rowOff>
    </xdr:from>
    <xdr:to>
      <xdr:col>4</xdr:col>
      <xdr:colOff>809781</xdr:colOff>
      <xdr:row>34</xdr:row>
      <xdr:rowOff>28748</xdr:rowOff>
    </xdr:to>
    <xdr:sp macro="" textlink="">
      <xdr:nvSpPr>
        <xdr:cNvPr id="78" name="Text 219">
          <a:extLst>
            <a:ext uri="{FF2B5EF4-FFF2-40B4-BE49-F238E27FC236}">
              <a16:creationId xmlns:a16="http://schemas.microsoft.com/office/drawing/2014/main" id="{BD56B049-A219-4260-977E-ED2F999C115A}"/>
            </a:ext>
          </a:extLst>
        </xdr:cNvPr>
        <xdr:cNvSpPr txBox="1">
          <a:spLocks noChangeArrowheads="1"/>
        </xdr:cNvSpPr>
      </xdr:nvSpPr>
      <xdr:spPr bwMode="auto">
        <a:xfrm>
          <a:off x="2832735" y="7675245"/>
          <a:ext cx="651666" cy="179243"/>
        </a:xfrm>
        <a:prstGeom prst="rect">
          <a:avLst/>
        </a:prstGeom>
        <a:solidFill>
          <a:srgbClr val="FFFFFF"/>
        </a:solidFill>
        <a:ln w="1">
          <a:solidFill>
            <a:srgbClr val="000000"/>
          </a:solidFill>
          <a:miter lim="800000"/>
          <a:headEnd/>
          <a:tailEnd/>
        </a:ln>
      </xdr:spPr>
      <xdr:txBody>
        <a:bodyPr vertOverflow="clip" wrap="square" lIns="27432" tIns="22860" rIns="0" bIns="0" anchor="t" upright="1"/>
        <a:lstStyle/>
        <a:p>
          <a:pPr algn="l" rtl="1">
            <a:defRPr sz="1000"/>
          </a:pPr>
          <a:r>
            <a:rPr lang="en-US" sz="1000" b="0" i="0" strike="noStrike">
              <a:solidFill>
                <a:srgbClr val="000000"/>
              </a:solidFill>
              <a:latin typeface="Arial"/>
              <a:cs typeface="Arial"/>
            </a:rPr>
            <a:t>411-V220</a:t>
          </a:r>
        </a:p>
      </xdr:txBody>
    </xdr:sp>
    <xdr:clientData/>
  </xdr:twoCellAnchor>
  <xdr:twoCellAnchor>
    <xdr:from>
      <xdr:col>3</xdr:col>
      <xdr:colOff>45720</xdr:colOff>
      <xdr:row>41</xdr:row>
      <xdr:rowOff>0</xdr:rowOff>
    </xdr:from>
    <xdr:to>
      <xdr:col>3</xdr:col>
      <xdr:colOff>320040</xdr:colOff>
      <xdr:row>41</xdr:row>
      <xdr:rowOff>91440</xdr:rowOff>
    </xdr:to>
    <xdr:sp macro="" textlink="">
      <xdr:nvSpPr>
        <xdr:cNvPr id="79" name="Height">
          <a:extLst>
            <a:ext uri="{FF2B5EF4-FFF2-40B4-BE49-F238E27FC236}">
              <a16:creationId xmlns:a16="http://schemas.microsoft.com/office/drawing/2014/main" id="{32D6562F-105A-4FD0-A010-3A1B68857F47}"/>
            </a:ext>
          </a:extLst>
        </xdr:cNvPr>
        <xdr:cNvSpPr txBox="1">
          <a:spLocks noChangeArrowheads="1"/>
        </xdr:cNvSpPr>
      </xdr:nvSpPr>
      <xdr:spPr bwMode="auto">
        <a:xfrm>
          <a:off x="1821180" y="9425940"/>
          <a:ext cx="274320" cy="9144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487680</xdr:colOff>
      <xdr:row>42</xdr:row>
      <xdr:rowOff>0</xdr:rowOff>
    </xdr:from>
    <xdr:to>
      <xdr:col>3</xdr:col>
      <xdr:colOff>251460</xdr:colOff>
      <xdr:row>42</xdr:row>
      <xdr:rowOff>106680</xdr:rowOff>
    </xdr:to>
    <xdr:sp macro="" textlink="">
      <xdr:nvSpPr>
        <xdr:cNvPr id="80" name="Thickness">
          <a:extLst>
            <a:ext uri="{FF2B5EF4-FFF2-40B4-BE49-F238E27FC236}">
              <a16:creationId xmlns:a16="http://schemas.microsoft.com/office/drawing/2014/main" id="{CA8C15B7-6D53-4C11-98FD-875334303B5F}"/>
            </a:ext>
          </a:extLst>
        </xdr:cNvPr>
        <xdr:cNvSpPr txBox="1">
          <a:spLocks noChangeArrowheads="1"/>
        </xdr:cNvSpPr>
      </xdr:nvSpPr>
      <xdr:spPr bwMode="auto">
        <a:xfrm>
          <a:off x="1737360" y="9654540"/>
          <a:ext cx="289560" cy="10668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99060</xdr:colOff>
      <xdr:row>42</xdr:row>
      <xdr:rowOff>137160</xdr:rowOff>
    </xdr:from>
    <xdr:to>
      <xdr:col>3</xdr:col>
      <xdr:colOff>426720</xdr:colOff>
      <xdr:row>43</xdr:row>
      <xdr:rowOff>30480</xdr:rowOff>
    </xdr:to>
    <xdr:sp macro="" textlink="">
      <xdr:nvSpPr>
        <xdr:cNvPr id="81" name="Radius">
          <a:extLst>
            <a:ext uri="{FF2B5EF4-FFF2-40B4-BE49-F238E27FC236}">
              <a16:creationId xmlns:a16="http://schemas.microsoft.com/office/drawing/2014/main" id="{B93C8973-6EEC-415C-90E3-47F483208CAE}"/>
            </a:ext>
          </a:extLst>
        </xdr:cNvPr>
        <xdr:cNvSpPr txBox="1">
          <a:spLocks noChangeArrowheads="1"/>
        </xdr:cNvSpPr>
      </xdr:nvSpPr>
      <xdr:spPr bwMode="auto">
        <a:xfrm>
          <a:off x="1874520" y="9791700"/>
          <a:ext cx="327660" cy="12192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182880</xdr:colOff>
      <xdr:row>41</xdr:row>
      <xdr:rowOff>83820</xdr:rowOff>
    </xdr:from>
    <xdr:to>
      <xdr:col>2</xdr:col>
      <xdr:colOff>449580</xdr:colOff>
      <xdr:row>41</xdr:row>
      <xdr:rowOff>198120</xdr:rowOff>
    </xdr:to>
    <xdr:sp macro="" textlink="">
      <xdr:nvSpPr>
        <xdr:cNvPr id="82" name="Clear">
          <a:extLst>
            <a:ext uri="{FF2B5EF4-FFF2-40B4-BE49-F238E27FC236}">
              <a16:creationId xmlns:a16="http://schemas.microsoft.com/office/drawing/2014/main" id="{A9EDCBBD-F64C-4095-A46B-3342E23F1458}"/>
            </a:ext>
          </a:extLst>
        </xdr:cNvPr>
        <xdr:cNvSpPr txBox="1">
          <a:spLocks noChangeArrowheads="1"/>
        </xdr:cNvSpPr>
      </xdr:nvSpPr>
      <xdr:spPr bwMode="auto">
        <a:xfrm>
          <a:off x="1432560" y="9509760"/>
          <a:ext cx="266700" cy="11430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487680</xdr:colOff>
      <xdr:row>42</xdr:row>
      <xdr:rowOff>0</xdr:rowOff>
    </xdr:from>
    <xdr:to>
      <xdr:col>3</xdr:col>
      <xdr:colOff>251460</xdr:colOff>
      <xdr:row>42</xdr:row>
      <xdr:rowOff>106680</xdr:rowOff>
    </xdr:to>
    <xdr:sp macro="" textlink="">
      <xdr:nvSpPr>
        <xdr:cNvPr id="83" name="Thickness">
          <a:extLst>
            <a:ext uri="{FF2B5EF4-FFF2-40B4-BE49-F238E27FC236}">
              <a16:creationId xmlns:a16="http://schemas.microsoft.com/office/drawing/2014/main" id="{88D87550-F6D3-46FD-B83C-CC0EA97203B5}"/>
            </a:ext>
          </a:extLst>
        </xdr:cNvPr>
        <xdr:cNvSpPr txBox="1">
          <a:spLocks noChangeArrowheads="1"/>
        </xdr:cNvSpPr>
      </xdr:nvSpPr>
      <xdr:spPr bwMode="auto">
        <a:xfrm>
          <a:off x="1737360" y="9654540"/>
          <a:ext cx="289560" cy="10668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99060</xdr:colOff>
      <xdr:row>42</xdr:row>
      <xdr:rowOff>137160</xdr:rowOff>
    </xdr:from>
    <xdr:to>
      <xdr:col>3</xdr:col>
      <xdr:colOff>426720</xdr:colOff>
      <xdr:row>43</xdr:row>
      <xdr:rowOff>30480</xdr:rowOff>
    </xdr:to>
    <xdr:sp macro="" textlink="">
      <xdr:nvSpPr>
        <xdr:cNvPr id="84" name="Radius">
          <a:extLst>
            <a:ext uri="{FF2B5EF4-FFF2-40B4-BE49-F238E27FC236}">
              <a16:creationId xmlns:a16="http://schemas.microsoft.com/office/drawing/2014/main" id="{64246834-E589-4186-89DA-56A5CFDF8A0D}"/>
            </a:ext>
          </a:extLst>
        </xdr:cNvPr>
        <xdr:cNvSpPr txBox="1">
          <a:spLocks noChangeArrowheads="1"/>
        </xdr:cNvSpPr>
      </xdr:nvSpPr>
      <xdr:spPr bwMode="auto">
        <a:xfrm>
          <a:off x="1874520" y="9791700"/>
          <a:ext cx="327660" cy="12192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487680</xdr:colOff>
      <xdr:row>42</xdr:row>
      <xdr:rowOff>0</xdr:rowOff>
    </xdr:from>
    <xdr:to>
      <xdr:col>3</xdr:col>
      <xdr:colOff>251460</xdr:colOff>
      <xdr:row>42</xdr:row>
      <xdr:rowOff>106680</xdr:rowOff>
    </xdr:to>
    <xdr:sp macro="" textlink="">
      <xdr:nvSpPr>
        <xdr:cNvPr id="85" name="Thickness">
          <a:extLst>
            <a:ext uri="{FF2B5EF4-FFF2-40B4-BE49-F238E27FC236}">
              <a16:creationId xmlns:a16="http://schemas.microsoft.com/office/drawing/2014/main" id="{059507F0-266E-4BE6-ADFA-D7A1FB6D6A02}"/>
            </a:ext>
          </a:extLst>
        </xdr:cNvPr>
        <xdr:cNvSpPr txBox="1">
          <a:spLocks noChangeArrowheads="1"/>
        </xdr:cNvSpPr>
      </xdr:nvSpPr>
      <xdr:spPr bwMode="auto">
        <a:xfrm>
          <a:off x="1737360" y="9654540"/>
          <a:ext cx="289560" cy="10668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99060</xdr:colOff>
      <xdr:row>42</xdr:row>
      <xdr:rowOff>137160</xdr:rowOff>
    </xdr:from>
    <xdr:to>
      <xdr:col>3</xdr:col>
      <xdr:colOff>426720</xdr:colOff>
      <xdr:row>43</xdr:row>
      <xdr:rowOff>30480</xdr:rowOff>
    </xdr:to>
    <xdr:sp macro="" textlink="">
      <xdr:nvSpPr>
        <xdr:cNvPr id="86" name="Radius">
          <a:extLst>
            <a:ext uri="{FF2B5EF4-FFF2-40B4-BE49-F238E27FC236}">
              <a16:creationId xmlns:a16="http://schemas.microsoft.com/office/drawing/2014/main" id="{E0973069-4097-4E69-B95D-47CDDB325075}"/>
            </a:ext>
          </a:extLst>
        </xdr:cNvPr>
        <xdr:cNvSpPr txBox="1">
          <a:spLocks noChangeArrowheads="1"/>
        </xdr:cNvSpPr>
      </xdr:nvSpPr>
      <xdr:spPr bwMode="auto">
        <a:xfrm>
          <a:off x="1874520" y="9791700"/>
          <a:ext cx="327660" cy="12192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45720</xdr:colOff>
      <xdr:row>41</xdr:row>
      <xdr:rowOff>0</xdr:rowOff>
    </xdr:from>
    <xdr:to>
      <xdr:col>3</xdr:col>
      <xdr:colOff>320040</xdr:colOff>
      <xdr:row>41</xdr:row>
      <xdr:rowOff>91440</xdr:rowOff>
    </xdr:to>
    <xdr:sp macro="" textlink="">
      <xdr:nvSpPr>
        <xdr:cNvPr id="87" name="Height">
          <a:extLst>
            <a:ext uri="{FF2B5EF4-FFF2-40B4-BE49-F238E27FC236}">
              <a16:creationId xmlns:a16="http://schemas.microsoft.com/office/drawing/2014/main" id="{044C8096-BC8C-40ED-A2EE-033625D07032}"/>
            </a:ext>
          </a:extLst>
        </xdr:cNvPr>
        <xdr:cNvSpPr txBox="1">
          <a:spLocks noChangeArrowheads="1"/>
        </xdr:cNvSpPr>
      </xdr:nvSpPr>
      <xdr:spPr bwMode="auto">
        <a:xfrm>
          <a:off x="1821180" y="9425940"/>
          <a:ext cx="274320" cy="9144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182880</xdr:colOff>
      <xdr:row>41</xdr:row>
      <xdr:rowOff>83820</xdr:rowOff>
    </xdr:from>
    <xdr:to>
      <xdr:col>2</xdr:col>
      <xdr:colOff>449580</xdr:colOff>
      <xdr:row>41</xdr:row>
      <xdr:rowOff>198120</xdr:rowOff>
    </xdr:to>
    <xdr:sp macro="" textlink="">
      <xdr:nvSpPr>
        <xdr:cNvPr id="88" name="Clear">
          <a:extLst>
            <a:ext uri="{FF2B5EF4-FFF2-40B4-BE49-F238E27FC236}">
              <a16:creationId xmlns:a16="http://schemas.microsoft.com/office/drawing/2014/main" id="{3A520615-C3C1-4040-952B-82C9CA431D9E}"/>
            </a:ext>
          </a:extLst>
        </xdr:cNvPr>
        <xdr:cNvSpPr txBox="1">
          <a:spLocks noChangeArrowheads="1"/>
        </xdr:cNvSpPr>
      </xdr:nvSpPr>
      <xdr:spPr bwMode="auto">
        <a:xfrm>
          <a:off x="1432560" y="9509760"/>
          <a:ext cx="266700" cy="11430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205740</xdr:colOff>
      <xdr:row>41</xdr:row>
      <xdr:rowOff>175260</xdr:rowOff>
    </xdr:from>
    <xdr:to>
      <xdr:col>3</xdr:col>
      <xdr:colOff>495300</xdr:colOff>
      <xdr:row>42</xdr:row>
      <xdr:rowOff>45720</xdr:rowOff>
    </xdr:to>
    <xdr:sp macro="" textlink="">
      <xdr:nvSpPr>
        <xdr:cNvPr id="89" name="Thickness">
          <a:extLst>
            <a:ext uri="{FF2B5EF4-FFF2-40B4-BE49-F238E27FC236}">
              <a16:creationId xmlns:a16="http://schemas.microsoft.com/office/drawing/2014/main" id="{1695CFAD-B183-48BD-9E80-83E7C0160C21}"/>
            </a:ext>
          </a:extLst>
        </xdr:cNvPr>
        <xdr:cNvSpPr txBox="1">
          <a:spLocks noChangeArrowheads="1"/>
        </xdr:cNvSpPr>
      </xdr:nvSpPr>
      <xdr:spPr bwMode="auto">
        <a:xfrm>
          <a:off x="1981200" y="9601200"/>
          <a:ext cx="289560" cy="9906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4</xdr:col>
      <xdr:colOff>167640</xdr:colOff>
      <xdr:row>39</xdr:row>
      <xdr:rowOff>57150</xdr:rowOff>
    </xdr:from>
    <xdr:to>
      <xdr:col>4</xdr:col>
      <xdr:colOff>826972</xdr:colOff>
      <xdr:row>40</xdr:row>
      <xdr:rowOff>198</xdr:rowOff>
    </xdr:to>
    <xdr:sp macro="" textlink="">
      <xdr:nvSpPr>
        <xdr:cNvPr id="90" name="Text 219">
          <a:extLst>
            <a:ext uri="{FF2B5EF4-FFF2-40B4-BE49-F238E27FC236}">
              <a16:creationId xmlns:a16="http://schemas.microsoft.com/office/drawing/2014/main" id="{8A60EC9D-D122-4F38-917F-7A7EF11EF6DB}"/>
            </a:ext>
          </a:extLst>
        </xdr:cNvPr>
        <xdr:cNvSpPr txBox="1">
          <a:spLocks noChangeArrowheads="1"/>
        </xdr:cNvSpPr>
      </xdr:nvSpPr>
      <xdr:spPr bwMode="auto">
        <a:xfrm>
          <a:off x="2842260" y="9025890"/>
          <a:ext cx="659332" cy="171648"/>
        </a:xfrm>
        <a:prstGeom prst="rect">
          <a:avLst/>
        </a:prstGeom>
        <a:solidFill>
          <a:srgbClr val="FFFFFF"/>
        </a:solidFill>
        <a:ln w="1">
          <a:solidFill>
            <a:srgbClr val="000000"/>
          </a:solidFill>
          <a:miter lim="800000"/>
          <a:headEnd/>
          <a:tailEnd/>
        </a:ln>
      </xdr:spPr>
      <xdr:txBody>
        <a:bodyPr vertOverflow="clip" wrap="square" lIns="27432" tIns="22860" rIns="27432" bIns="0" anchor="t" upright="1"/>
        <a:lstStyle/>
        <a:p>
          <a:pPr algn="ctr" rtl="0">
            <a:defRPr sz="1000"/>
          </a:pPr>
          <a:r>
            <a:rPr lang="en-US" sz="1000" b="0" i="0" strike="noStrike">
              <a:solidFill>
                <a:srgbClr val="000000"/>
              </a:solidFill>
              <a:latin typeface="Arial"/>
              <a:ea typeface="+mn-ea"/>
              <a:cs typeface="Arial"/>
            </a:rPr>
            <a:t>051-V220</a:t>
          </a:r>
        </a:p>
      </xdr:txBody>
    </xdr:sp>
    <xdr:clientData/>
  </xdr:twoCellAnchor>
  <xdr:twoCellAnchor>
    <xdr:from>
      <xdr:col>3</xdr:col>
      <xdr:colOff>565785</xdr:colOff>
      <xdr:row>42</xdr:row>
      <xdr:rowOff>114300</xdr:rowOff>
    </xdr:from>
    <xdr:to>
      <xdr:col>4</xdr:col>
      <xdr:colOff>7012</xdr:colOff>
      <xdr:row>43</xdr:row>
      <xdr:rowOff>19315</xdr:rowOff>
    </xdr:to>
    <xdr:sp macro="" textlink="">
      <xdr:nvSpPr>
        <xdr:cNvPr id="91" name="Radius">
          <a:extLst>
            <a:ext uri="{FF2B5EF4-FFF2-40B4-BE49-F238E27FC236}">
              <a16:creationId xmlns:a16="http://schemas.microsoft.com/office/drawing/2014/main" id="{214D2ECB-049C-45C7-9257-2DFBD0E44182}"/>
            </a:ext>
          </a:extLst>
        </xdr:cNvPr>
        <xdr:cNvSpPr txBox="1">
          <a:spLocks noChangeArrowheads="1"/>
        </xdr:cNvSpPr>
      </xdr:nvSpPr>
      <xdr:spPr bwMode="auto">
        <a:xfrm>
          <a:off x="2341245" y="9768840"/>
          <a:ext cx="340387" cy="13361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strike="noStrike">
              <a:solidFill>
                <a:srgbClr val="000000"/>
              </a:solidFill>
              <a:latin typeface="Univers (W1)"/>
            </a:rPr>
            <a:t>278.4</a:t>
          </a:r>
        </a:p>
      </xdr:txBody>
    </xdr:sp>
    <xdr:clientData/>
  </xdr:twoCellAnchor>
  <xdr:twoCellAnchor>
    <xdr:from>
      <xdr:col>3</xdr:col>
      <xdr:colOff>64770</xdr:colOff>
      <xdr:row>41</xdr:row>
      <xdr:rowOff>0</xdr:rowOff>
    </xdr:from>
    <xdr:to>
      <xdr:col>3</xdr:col>
      <xdr:colOff>337198</xdr:colOff>
      <xdr:row>41</xdr:row>
      <xdr:rowOff>80596</xdr:rowOff>
    </xdr:to>
    <xdr:sp macro="" textlink="">
      <xdr:nvSpPr>
        <xdr:cNvPr id="92" name="Height">
          <a:extLst>
            <a:ext uri="{FF2B5EF4-FFF2-40B4-BE49-F238E27FC236}">
              <a16:creationId xmlns:a16="http://schemas.microsoft.com/office/drawing/2014/main" id="{BAA408D6-AF4D-4E2D-B4CD-6969D8735745}"/>
            </a:ext>
          </a:extLst>
        </xdr:cNvPr>
        <xdr:cNvSpPr txBox="1">
          <a:spLocks noChangeArrowheads="1"/>
        </xdr:cNvSpPr>
      </xdr:nvSpPr>
      <xdr:spPr bwMode="auto">
        <a:xfrm>
          <a:off x="1840230" y="9425940"/>
          <a:ext cx="272428" cy="80596"/>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strike="noStrike">
              <a:solidFill>
                <a:srgbClr val="000000"/>
              </a:solidFill>
              <a:latin typeface="Univers (W1)"/>
            </a:rPr>
            <a:t>35.0</a:t>
          </a:r>
        </a:p>
      </xdr:txBody>
    </xdr:sp>
    <xdr:clientData/>
  </xdr:twoCellAnchor>
  <xdr:twoCellAnchor>
    <xdr:from>
      <xdr:col>2</xdr:col>
      <xdr:colOff>179070</xdr:colOff>
      <xdr:row>41</xdr:row>
      <xdr:rowOff>78105</xdr:rowOff>
    </xdr:from>
    <xdr:to>
      <xdr:col>2</xdr:col>
      <xdr:colOff>451373</xdr:colOff>
      <xdr:row>41</xdr:row>
      <xdr:rowOff>192405</xdr:rowOff>
    </xdr:to>
    <xdr:sp macro="" textlink="">
      <xdr:nvSpPr>
        <xdr:cNvPr id="93" name="Clear">
          <a:extLst>
            <a:ext uri="{FF2B5EF4-FFF2-40B4-BE49-F238E27FC236}">
              <a16:creationId xmlns:a16="http://schemas.microsoft.com/office/drawing/2014/main" id="{D2ED9B98-A018-46EC-9EC8-AE4593D3C3BC}"/>
            </a:ext>
          </a:extLst>
        </xdr:cNvPr>
        <xdr:cNvSpPr txBox="1">
          <a:spLocks noChangeArrowheads="1"/>
        </xdr:cNvSpPr>
      </xdr:nvSpPr>
      <xdr:spPr bwMode="auto">
        <a:xfrm>
          <a:off x="1428750" y="9504045"/>
          <a:ext cx="272303" cy="11430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strike="noStrike">
              <a:solidFill>
                <a:srgbClr val="000000"/>
              </a:solidFill>
              <a:latin typeface="Univers (W1)"/>
            </a:rPr>
            <a:t>63.5</a:t>
          </a:r>
        </a:p>
      </xdr:txBody>
    </xdr:sp>
    <xdr:clientData/>
  </xdr:twoCellAnchor>
  <xdr:twoCellAnchor>
    <xdr:from>
      <xdr:col>2</xdr:col>
      <xdr:colOff>480060</xdr:colOff>
      <xdr:row>42</xdr:row>
      <xdr:rowOff>0</xdr:rowOff>
    </xdr:from>
    <xdr:to>
      <xdr:col>3</xdr:col>
      <xdr:colOff>255576</xdr:colOff>
      <xdr:row>42</xdr:row>
      <xdr:rowOff>88656</xdr:rowOff>
    </xdr:to>
    <xdr:sp macro="" textlink="">
      <xdr:nvSpPr>
        <xdr:cNvPr id="94" name="Thickness">
          <a:extLst>
            <a:ext uri="{FF2B5EF4-FFF2-40B4-BE49-F238E27FC236}">
              <a16:creationId xmlns:a16="http://schemas.microsoft.com/office/drawing/2014/main" id="{62A18724-A4AD-4F92-AA6B-0E7981821D55}"/>
            </a:ext>
          </a:extLst>
        </xdr:cNvPr>
        <xdr:cNvSpPr txBox="1">
          <a:spLocks noChangeArrowheads="1"/>
        </xdr:cNvSpPr>
      </xdr:nvSpPr>
      <xdr:spPr bwMode="auto">
        <a:xfrm>
          <a:off x="1729740" y="9654540"/>
          <a:ext cx="301296" cy="88656"/>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strike="noStrike">
              <a:solidFill>
                <a:srgbClr val="000000"/>
              </a:solidFill>
              <a:latin typeface="Univers (W1)"/>
            </a:rPr>
            <a:t>45.0</a:t>
          </a:r>
        </a:p>
      </xdr:txBody>
    </xdr:sp>
    <xdr:clientData/>
  </xdr:twoCellAnchor>
  <xdr:twoCellAnchor>
    <xdr:from>
      <xdr:col>2</xdr:col>
      <xdr:colOff>464820</xdr:colOff>
      <xdr:row>41</xdr:row>
      <xdr:rowOff>160020</xdr:rowOff>
    </xdr:from>
    <xdr:to>
      <xdr:col>2</xdr:col>
      <xdr:colOff>464820</xdr:colOff>
      <xdr:row>42</xdr:row>
      <xdr:rowOff>68580</xdr:rowOff>
    </xdr:to>
    <xdr:sp macro="" textlink="">
      <xdr:nvSpPr>
        <xdr:cNvPr id="95" name="Line 120">
          <a:extLst>
            <a:ext uri="{FF2B5EF4-FFF2-40B4-BE49-F238E27FC236}">
              <a16:creationId xmlns:a16="http://schemas.microsoft.com/office/drawing/2014/main" id="{BD05A029-EC54-404B-95DC-3FD531261BC2}"/>
            </a:ext>
          </a:extLst>
        </xdr:cNvPr>
        <xdr:cNvSpPr>
          <a:spLocks noChangeShapeType="1"/>
        </xdr:cNvSpPr>
      </xdr:nvSpPr>
      <xdr:spPr bwMode="auto">
        <a:xfrm flipV="1">
          <a:off x="1714500" y="9585960"/>
          <a:ext cx="0" cy="1371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251460</xdr:colOff>
      <xdr:row>41</xdr:row>
      <xdr:rowOff>175260</xdr:rowOff>
    </xdr:from>
    <xdr:to>
      <xdr:col>3</xdr:col>
      <xdr:colOff>251460</xdr:colOff>
      <xdr:row>42</xdr:row>
      <xdr:rowOff>76200</xdr:rowOff>
    </xdr:to>
    <xdr:sp macro="" textlink="">
      <xdr:nvSpPr>
        <xdr:cNvPr id="96" name="Line 121">
          <a:extLst>
            <a:ext uri="{FF2B5EF4-FFF2-40B4-BE49-F238E27FC236}">
              <a16:creationId xmlns:a16="http://schemas.microsoft.com/office/drawing/2014/main" id="{E4434286-D2E7-41DC-9188-414C25C0DD3A}"/>
            </a:ext>
          </a:extLst>
        </xdr:cNvPr>
        <xdr:cNvSpPr>
          <a:spLocks noChangeShapeType="1"/>
        </xdr:cNvSpPr>
      </xdr:nvSpPr>
      <xdr:spPr bwMode="auto">
        <a:xfrm flipV="1">
          <a:off x="2026920" y="9601200"/>
          <a:ext cx="0" cy="1295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480060</xdr:colOff>
      <xdr:row>41</xdr:row>
      <xdr:rowOff>213360</xdr:rowOff>
    </xdr:from>
    <xdr:to>
      <xdr:col>3</xdr:col>
      <xdr:colOff>243840</xdr:colOff>
      <xdr:row>41</xdr:row>
      <xdr:rowOff>213360</xdr:rowOff>
    </xdr:to>
    <xdr:sp macro="" textlink="">
      <xdr:nvSpPr>
        <xdr:cNvPr id="97" name="Line 122">
          <a:extLst>
            <a:ext uri="{FF2B5EF4-FFF2-40B4-BE49-F238E27FC236}">
              <a16:creationId xmlns:a16="http://schemas.microsoft.com/office/drawing/2014/main" id="{0BFE04C8-3070-4AAD-9253-6B952B94E388}"/>
            </a:ext>
          </a:extLst>
        </xdr:cNvPr>
        <xdr:cNvSpPr>
          <a:spLocks noChangeShapeType="1"/>
        </xdr:cNvSpPr>
      </xdr:nvSpPr>
      <xdr:spPr bwMode="auto">
        <a:xfrm flipV="1">
          <a:off x="1729740" y="9639300"/>
          <a:ext cx="289560" cy="0"/>
        </a:xfrm>
        <a:prstGeom prst="line">
          <a:avLst/>
        </a:prstGeom>
        <a:noFill/>
        <a:ln w="9525">
          <a:solidFill>
            <a:srgbClr val="000000"/>
          </a:solidFill>
          <a:round/>
          <a:headEnd type="arrow" w="sm" len="sm"/>
          <a:tailEnd type="arrow" w="sm" len="sm"/>
        </a:ln>
        <a:extLst>
          <a:ext uri="{909E8E84-426E-40DD-AFC4-6F175D3DCCD1}">
            <a14:hiddenFill xmlns:a14="http://schemas.microsoft.com/office/drawing/2010/main">
              <a:noFill/>
            </a14:hiddenFill>
          </a:ext>
        </a:extLst>
      </xdr:spPr>
    </xdr:sp>
    <xdr:clientData/>
  </xdr:twoCellAnchor>
  <xdr:twoCellAnchor>
    <xdr:from>
      <xdr:col>3</xdr:col>
      <xdr:colOff>22860</xdr:colOff>
      <xdr:row>40</xdr:row>
      <xdr:rowOff>182880</xdr:rowOff>
    </xdr:from>
    <xdr:to>
      <xdr:col>3</xdr:col>
      <xdr:colOff>22860</xdr:colOff>
      <xdr:row>41</xdr:row>
      <xdr:rowOff>144780</xdr:rowOff>
    </xdr:to>
    <xdr:sp macro="" textlink="">
      <xdr:nvSpPr>
        <xdr:cNvPr id="98" name="Line 123">
          <a:extLst>
            <a:ext uri="{FF2B5EF4-FFF2-40B4-BE49-F238E27FC236}">
              <a16:creationId xmlns:a16="http://schemas.microsoft.com/office/drawing/2014/main" id="{04C67507-0BB2-4CCE-850A-E6521BCE9D69}"/>
            </a:ext>
          </a:extLst>
        </xdr:cNvPr>
        <xdr:cNvSpPr>
          <a:spLocks noChangeShapeType="1"/>
        </xdr:cNvSpPr>
      </xdr:nvSpPr>
      <xdr:spPr bwMode="auto">
        <a:xfrm flipV="1">
          <a:off x="1798320" y="9380220"/>
          <a:ext cx="0" cy="190500"/>
        </a:xfrm>
        <a:prstGeom prst="line">
          <a:avLst/>
        </a:prstGeom>
        <a:noFill/>
        <a:ln w="9525">
          <a:solidFill>
            <a:srgbClr val="000000"/>
          </a:solidFill>
          <a:round/>
          <a:headEnd type="arrow" w="sm" len="sm"/>
          <a:tailEnd type="arrow" w="sm" len="sm"/>
        </a:ln>
        <a:extLst>
          <a:ext uri="{909E8E84-426E-40DD-AFC4-6F175D3DCCD1}">
            <a14:hiddenFill xmlns:a14="http://schemas.microsoft.com/office/drawing/2010/main">
              <a:noFill/>
            </a14:hiddenFill>
          </a:ext>
        </a:extLst>
      </xdr:spPr>
    </xdr:sp>
    <xdr:clientData/>
  </xdr:twoCellAnchor>
  <xdr:twoCellAnchor>
    <xdr:from>
      <xdr:col>3</xdr:col>
      <xdr:colOff>388620</xdr:colOff>
      <xdr:row>42</xdr:row>
      <xdr:rowOff>137160</xdr:rowOff>
    </xdr:from>
    <xdr:to>
      <xdr:col>3</xdr:col>
      <xdr:colOff>518160</xdr:colOff>
      <xdr:row>43</xdr:row>
      <xdr:rowOff>0</xdr:rowOff>
    </xdr:to>
    <xdr:sp macro="" textlink="">
      <xdr:nvSpPr>
        <xdr:cNvPr id="99" name="Text 583">
          <a:extLst>
            <a:ext uri="{FF2B5EF4-FFF2-40B4-BE49-F238E27FC236}">
              <a16:creationId xmlns:a16="http://schemas.microsoft.com/office/drawing/2014/main" id="{9BCA4E4B-2C13-471B-9AD2-BA902370811A}"/>
            </a:ext>
          </a:extLst>
        </xdr:cNvPr>
        <xdr:cNvSpPr txBox="1">
          <a:spLocks noChangeArrowheads="1"/>
        </xdr:cNvSpPr>
      </xdr:nvSpPr>
      <xdr:spPr bwMode="auto">
        <a:xfrm>
          <a:off x="2164080" y="9791700"/>
          <a:ext cx="129540" cy="9144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1</xdr:col>
      <xdr:colOff>289560</xdr:colOff>
      <xdr:row>39</xdr:row>
      <xdr:rowOff>160020</xdr:rowOff>
    </xdr:from>
    <xdr:to>
      <xdr:col>2</xdr:col>
      <xdr:colOff>167640</xdr:colOff>
      <xdr:row>39</xdr:row>
      <xdr:rowOff>160020</xdr:rowOff>
    </xdr:to>
    <xdr:sp macro="" textlink="">
      <xdr:nvSpPr>
        <xdr:cNvPr id="100" name="Line 125">
          <a:extLst>
            <a:ext uri="{FF2B5EF4-FFF2-40B4-BE49-F238E27FC236}">
              <a16:creationId xmlns:a16="http://schemas.microsoft.com/office/drawing/2014/main" id="{F99FA03E-D0BB-4746-B7F4-70A8D7B035FF}"/>
            </a:ext>
          </a:extLst>
        </xdr:cNvPr>
        <xdr:cNvSpPr>
          <a:spLocks noChangeShapeType="1"/>
        </xdr:cNvSpPr>
      </xdr:nvSpPr>
      <xdr:spPr bwMode="auto">
        <a:xfrm flipV="1">
          <a:off x="1120140" y="9128760"/>
          <a:ext cx="29718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167640</xdr:colOff>
      <xdr:row>39</xdr:row>
      <xdr:rowOff>160020</xdr:rowOff>
    </xdr:from>
    <xdr:to>
      <xdr:col>2</xdr:col>
      <xdr:colOff>167640</xdr:colOff>
      <xdr:row>42</xdr:row>
      <xdr:rowOff>213360</xdr:rowOff>
    </xdr:to>
    <xdr:sp macro="" textlink="">
      <xdr:nvSpPr>
        <xdr:cNvPr id="101" name="Line 126">
          <a:extLst>
            <a:ext uri="{FF2B5EF4-FFF2-40B4-BE49-F238E27FC236}">
              <a16:creationId xmlns:a16="http://schemas.microsoft.com/office/drawing/2014/main" id="{418B3D44-0B44-4912-8BBD-2E7DDE8F79E9}"/>
            </a:ext>
          </a:extLst>
        </xdr:cNvPr>
        <xdr:cNvSpPr>
          <a:spLocks noChangeShapeType="1"/>
        </xdr:cNvSpPr>
      </xdr:nvSpPr>
      <xdr:spPr bwMode="auto">
        <a:xfrm>
          <a:off x="1417320" y="9128760"/>
          <a:ext cx="0" cy="7391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175260</xdr:colOff>
      <xdr:row>41</xdr:row>
      <xdr:rowOff>60960</xdr:rowOff>
    </xdr:from>
    <xdr:to>
      <xdr:col>2</xdr:col>
      <xdr:colOff>457200</xdr:colOff>
      <xdr:row>41</xdr:row>
      <xdr:rowOff>60960</xdr:rowOff>
    </xdr:to>
    <xdr:sp macro="" textlink="">
      <xdr:nvSpPr>
        <xdr:cNvPr id="102" name="Line 127">
          <a:extLst>
            <a:ext uri="{FF2B5EF4-FFF2-40B4-BE49-F238E27FC236}">
              <a16:creationId xmlns:a16="http://schemas.microsoft.com/office/drawing/2014/main" id="{07421481-A379-4806-89F9-FD3C63074AD7}"/>
            </a:ext>
          </a:extLst>
        </xdr:cNvPr>
        <xdr:cNvSpPr>
          <a:spLocks noChangeShapeType="1"/>
        </xdr:cNvSpPr>
      </xdr:nvSpPr>
      <xdr:spPr bwMode="auto">
        <a:xfrm flipV="1">
          <a:off x="1424940" y="9486900"/>
          <a:ext cx="281940" cy="0"/>
        </a:xfrm>
        <a:prstGeom prst="line">
          <a:avLst/>
        </a:prstGeom>
        <a:noFill/>
        <a:ln w="9525">
          <a:solidFill>
            <a:srgbClr val="000000"/>
          </a:solidFill>
          <a:round/>
          <a:headEnd type="arrow" w="sm" len="sm"/>
          <a:tailEnd type="arrow" w="sm" len="sm"/>
        </a:ln>
        <a:extLst>
          <a:ext uri="{909E8E84-426E-40DD-AFC4-6F175D3DCCD1}">
            <a14:hiddenFill xmlns:a14="http://schemas.microsoft.com/office/drawing/2010/main">
              <a:noFill/>
            </a14:hiddenFill>
          </a:ext>
        </a:extLst>
      </xdr:spPr>
    </xdr:sp>
    <xdr:clientData/>
  </xdr:twoCellAnchor>
  <xdr:twoCellAnchor>
    <xdr:from>
      <xdr:col>2</xdr:col>
      <xdr:colOff>464820</xdr:colOff>
      <xdr:row>39</xdr:row>
      <xdr:rowOff>175260</xdr:rowOff>
    </xdr:from>
    <xdr:to>
      <xdr:col>3</xdr:col>
      <xdr:colOff>251460</xdr:colOff>
      <xdr:row>41</xdr:row>
      <xdr:rowOff>144780</xdr:rowOff>
    </xdr:to>
    <xdr:sp macro="" textlink="">
      <xdr:nvSpPr>
        <xdr:cNvPr id="103" name="Rectangle 128">
          <a:extLst>
            <a:ext uri="{FF2B5EF4-FFF2-40B4-BE49-F238E27FC236}">
              <a16:creationId xmlns:a16="http://schemas.microsoft.com/office/drawing/2014/main" id="{A885CD46-67B1-4693-A23E-50879AA233E3}"/>
            </a:ext>
          </a:extLst>
        </xdr:cNvPr>
        <xdr:cNvSpPr>
          <a:spLocks noChangeArrowheads="1"/>
        </xdr:cNvSpPr>
      </xdr:nvSpPr>
      <xdr:spPr bwMode="auto">
        <a:xfrm>
          <a:off x="1714500" y="9144000"/>
          <a:ext cx="312420" cy="426720"/>
        </a:xfrm>
        <a:prstGeom prst="rect">
          <a:avLst/>
        </a:prstGeom>
        <a:solidFill>
          <a:srgbClr val="FFFFFF"/>
        </a:solidFill>
        <a:ln w="9525">
          <a:solidFill>
            <a:srgbClr val="000000"/>
          </a:solidFill>
          <a:miter lim="800000"/>
          <a:headEnd/>
          <a:tailEnd/>
        </a:ln>
      </xdr:spPr>
    </xdr:sp>
    <xdr:clientData/>
  </xdr:twoCellAnchor>
  <xdr:twoCellAnchor>
    <xdr:from>
      <xdr:col>2</xdr:col>
      <xdr:colOff>167640</xdr:colOff>
      <xdr:row>40</xdr:row>
      <xdr:rowOff>220980</xdr:rowOff>
    </xdr:from>
    <xdr:to>
      <xdr:col>2</xdr:col>
      <xdr:colOff>472440</xdr:colOff>
      <xdr:row>40</xdr:row>
      <xdr:rowOff>220980</xdr:rowOff>
    </xdr:to>
    <xdr:sp macro="" textlink="">
      <xdr:nvSpPr>
        <xdr:cNvPr id="104" name="Line 129">
          <a:extLst>
            <a:ext uri="{FF2B5EF4-FFF2-40B4-BE49-F238E27FC236}">
              <a16:creationId xmlns:a16="http://schemas.microsoft.com/office/drawing/2014/main" id="{219A2FAC-0B76-40C1-B924-BFBAF8BD9CED}"/>
            </a:ext>
          </a:extLst>
        </xdr:cNvPr>
        <xdr:cNvSpPr>
          <a:spLocks noChangeShapeType="1"/>
        </xdr:cNvSpPr>
      </xdr:nvSpPr>
      <xdr:spPr bwMode="auto">
        <a:xfrm>
          <a:off x="1417320" y="9418320"/>
          <a:ext cx="3048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167640</xdr:colOff>
      <xdr:row>39</xdr:row>
      <xdr:rowOff>190500</xdr:rowOff>
    </xdr:from>
    <xdr:to>
      <xdr:col>2</xdr:col>
      <xdr:colOff>472440</xdr:colOff>
      <xdr:row>39</xdr:row>
      <xdr:rowOff>190500</xdr:rowOff>
    </xdr:to>
    <xdr:sp macro="" textlink="">
      <xdr:nvSpPr>
        <xdr:cNvPr id="105" name="Line 130">
          <a:extLst>
            <a:ext uri="{FF2B5EF4-FFF2-40B4-BE49-F238E27FC236}">
              <a16:creationId xmlns:a16="http://schemas.microsoft.com/office/drawing/2014/main" id="{A6EF490A-6C95-47C4-AA8F-3A2961C9842F}"/>
            </a:ext>
          </a:extLst>
        </xdr:cNvPr>
        <xdr:cNvSpPr>
          <a:spLocks noChangeShapeType="1"/>
        </xdr:cNvSpPr>
      </xdr:nvSpPr>
      <xdr:spPr bwMode="auto">
        <a:xfrm>
          <a:off x="1417320" y="9159240"/>
          <a:ext cx="3048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304800</xdr:colOff>
      <xdr:row>41</xdr:row>
      <xdr:rowOff>144780</xdr:rowOff>
    </xdr:from>
    <xdr:to>
      <xdr:col>3</xdr:col>
      <xdr:colOff>685800</xdr:colOff>
      <xdr:row>41</xdr:row>
      <xdr:rowOff>144780</xdr:rowOff>
    </xdr:to>
    <xdr:sp macro="" textlink="">
      <xdr:nvSpPr>
        <xdr:cNvPr id="106" name="Line 131">
          <a:extLst>
            <a:ext uri="{FF2B5EF4-FFF2-40B4-BE49-F238E27FC236}">
              <a16:creationId xmlns:a16="http://schemas.microsoft.com/office/drawing/2014/main" id="{B8F84283-7898-427A-86B5-58CA8A696F04}"/>
            </a:ext>
          </a:extLst>
        </xdr:cNvPr>
        <xdr:cNvSpPr>
          <a:spLocks noChangeShapeType="1"/>
        </xdr:cNvSpPr>
      </xdr:nvSpPr>
      <xdr:spPr bwMode="auto">
        <a:xfrm>
          <a:off x="2080260" y="9570720"/>
          <a:ext cx="3810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647700</xdr:colOff>
      <xdr:row>41</xdr:row>
      <xdr:rowOff>144780</xdr:rowOff>
    </xdr:from>
    <xdr:to>
      <xdr:col>3</xdr:col>
      <xdr:colOff>647700</xdr:colOff>
      <xdr:row>42</xdr:row>
      <xdr:rowOff>91440</xdr:rowOff>
    </xdr:to>
    <xdr:sp macro="" textlink="">
      <xdr:nvSpPr>
        <xdr:cNvPr id="107" name="Line 132">
          <a:extLst>
            <a:ext uri="{FF2B5EF4-FFF2-40B4-BE49-F238E27FC236}">
              <a16:creationId xmlns:a16="http://schemas.microsoft.com/office/drawing/2014/main" id="{9C9EB028-A213-4A59-A9EA-B5AE47878E5F}"/>
            </a:ext>
          </a:extLst>
        </xdr:cNvPr>
        <xdr:cNvSpPr>
          <a:spLocks noChangeShapeType="1"/>
        </xdr:cNvSpPr>
      </xdr:nvSpPr>
      <xdr:spPr bwMode="auto">
        <a:xfrm flipV="1">
          <a:off x="2423160" y="9570720"/>
          <a:ext cx="0" cy="17526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289560</xdr:colOff>
      <xdr:row>39</xdr:row>
      <xdr:rowOff>175260</xdr:rowOff>
    </xdr:from>
    <xdr:to>
      <xdr:col>3</xdr:col>
      <xdr:colOff>518160</xdr:colOff>
      <xdr:row>39</xdr:row>
      <xdr:rowOff>175260</xdr:rowOff>
    </xdr:to>
    <xdr:sp macro="" textlink="">
      <xdr:nvSpPr>
        <xdr:cNvPr id="108" name="Line 133">
          <a:extLst>
            <a:ext uri="{FF2B5EF4-FFF2-40B4-BE49-F238E27FC236}">
              <a16:creationId xmlns:a16="http://schemas.microsoft.com/office/drawing/2014/main" id="{0C24CAFA-8ABD-4713-B4D2-2E48D4D20961}"/>
            </a:ext>
          </a:extLst>
        </xdr:cNvPr>
        <xdr:cNvSpPr>
          <a:spLocks noChangeShapeType="1"/>
        </xdr:cNvSpPr>
      </xdr:nvSpPr>
      <xdr:spPr bwMode="auto">
        <a:xfrm>
          <a:off x="2065020" y="9144000"/>
          <a:ext cx="2286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308610</xdr:colOff>
      <xdr:row>40</xdr:row>
      <xdr:rowOff>133350</xdr:rowOff>
    </xdr:from>
    <xdr:to>
      <xdr:col>3</xdr:col>
      <xdr:colOff>609608</xdr:colOff>
      <xdr:row>41</xdr:row>
      <xdr:rowOff>2041</xdr:rowOff>
    </xdr:to>
    <xdr:sp macro="" textlink="">
      <xdr:nvSpPr>
        <xdr:cNvPr id="109" name="Thickness">
          <a:extLst>
            <a:ext uri="{FF2B5EF4-FFF2-40B4-BE49-F238E27FC236}">
              <a16:creationId xmlns:a16="http://schemas.microsoft.com/office/drawing/2014/main" id="{B14987C7-3917-4A99-83E7-3EAE301E1FA7}"/>
            </a:ext>
          </a:extLst>
        </xdr:cNvPr>
        <xdr:cNvSpPr txBox="1">
          <a:spLocks noChangeArrowheads="1"/>
        </xdr:cNvSpPr>
      </xdr:nvSpPr>
      <xdr:spPr bwMode="auto">
        <a:xfrm>
          <a:off x="2084070" y="9330690"/>
          <a:ext cx="300998" cy="97291"/>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strike="noStrike">
              <a:solidFill>
                <a:srgbClr val="000000"/>
              </a:solidFill>
              <a:latin typeface="Univers (W1)"/>
            </a:rPr>
            <a:t>35.0</a:t>
          </a:r>
        </a:p>
      </xdr:txBody>
    </xdr:sp>
    <xdr:clientData/>
  </xdr:twoCellAnchor>
  <xdr:twoCellAnchor>
    <xdr:from>
      <xdr:col>3</xdr:col>
      <xdr:colOff>441960</xdr:colOff>
      <xdr:row>39</xdr:row>
      <xdr:rowOff>175260</xdr:rowOff>
    </xdr:from>
    <xdr:to>
      <xdr:col>3</xdr:col>
      <xdr:colOff>441960</xdr:colOff>
      <xdr:row>40</xdr:row>
      <xdr:rowOff>83820</xdr:rowOff>
    </xdr:to>
    <xdr:sp macro="" textlink="">
      <xdr:nvSpPr>
        <xdr:cNvPr id="110" name="Line 135">
          <a:extLst>
            <a:ext uri="{FF2B5EF4-FFF2-40B4-BE49-F238E27FC236}">
              <a16:creationId xmlns:a16="http://schemas.microsoft.com/office/drawing/2014/main" id="{BBC73F9F-511C-4BB4-90DC-52C7F629639E}"/>
            </a:ext>
          </a:extLst>
        </xdr:cNvPr>
        <xdr:cNvSpPr>
          <a:spLocks noChangeShapeType="1"/>
        </xdr:cNvSpPr>
      </xdr:nvSpPr>
      <xdr:spPr bwMode="auto">
        <a:xfrm flipV="1">
          <a:off x="2217420" y="9144000"/>
          <a:ext cx="0" cy="13716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449580</xdr:colOff>
      <xdr:row>41</xdr:row>
      <xdr:rowOff>22860</xdr:rowOff>
    </xdr:from>
    <xdr:to>
      <xdr:col>3</xdr:col>
      <xdr:colOff>449580</xdr:colOff>
      <xdr:row>41</xdr:row>
      <xdr:rowOff>144780</xdr:rowOff>
    </xdr:to>
    <xdr:sp macro="" textlink="">
      <xdr:nvSpPr>
        <xdr:cNvPr id="111" name="Line 136">
          <a:extLst>
            <a:ext uri="{FF2B5EF4-FFF2-40B4-BE49-F238E27FC236}">
              <a16:creationId xmlns:a16="http://schemas.microsoft.com/office/drawing/2014/main" id="{33E1AD07-2962-46BD-A7F8-5D7A4BCE864D}"/>
            </a:ext>
          </a:extLst>
        </xdr:cNvPr>
        <xdr:cNvSpPr>
          <a:spLocks noChangeShapeType="1"/>
        </xdr:cNvSpPr>
      </xdr:nvSpPr>
      <xdr:spPr bwMode="auto">
        <a:xfrm>
          <a:off x="2225040" y="9448800"/>
          <a:ext cx="0" cy="12192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160020</xdr:colOff>
      <xdr:row>50</xdr:row>
      <xdr:rowOff>0</xdr:rowOff>
    </xdr:from>
    <xdr:to>
      <xdr:col>10</xdr:col>
      <xdr:colOff>365760</xdr:colOff>
      <xdr:row>50</xdr:row>
      <xdr:rowOff>0</xdr:rowOff>
    </xdr:to>
    <xdr:sp macro="" textlink="">
      <xdr:nvSpPr>
        <xdr:cNvPr id="112" name="Rectangle 1">
          <a:extLst>
            <a:ext uri="{FF2B5EF4-FFF2-40B4-BE49-F238E27FC236}">
              <a16:creationId xmlns:a16="http://schemas.microsoft.com/office/drawing/2014/main" id="{CFC04311-DB61-4102-89C2-C00BFC365410}"/>
            </a:ext>
          </a:extLst>
        </xdr:cNvPr>
        <xdr:cNvSpPr>
          <a:spLocks noChangeArrowheads="1"/>
        </xdr:cNvSpPr>
      </xdr:nvSpPr>
      <xdr:spPr bwMode="auto">
        <a:xfrm>
          <a:off x="5501640" y="9883140"/>
          <a:ext cx="2057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10</xdr:col>
      <xdr:colOff>22860</xdr:colOff>
      <xdr:row>50</xdr:row>
      <xdr:rowOff>0</xdr:rowOff>
    </xdr:from>
    <xdr:to>
      <xdr:col>10</xdr:col>
      <xdr:colOff>327660</xdr:colOff>
      <xdr:row>50</xdr:row>
      <xdr:rowOff>0</xdr:rowOff>
    </xdr:to>
    <xdr:sp macro="" textlink="">
      <xdr:nvSpPr>
        <xdr:cNvPr id="113" name="Rectangle 2">
          <a:extLst>
            <a:ext uri="{FF2B5EF4-FFF2-40B4-BE49-F238E27FC236}">
              <a16:creationId xmlns:a16="http://schemas.microsoft.com/office/drawing/2014/main" id="{BCE90118-43FE-4084-B5CB-2F8E22A9BE07}"/>
            </a:ext>
          </a:extLst>
        </xdr:cNvPr>
        <xdr:cNvSpPr>
          <a:spLocks noChangeArrowheads="1"/>
        </xdr:cNvSpPr>
      </xdr:nvSpPr>
      <xdr:spPr bwMode="auto">
        <a:xfrm>
          <a:off x="5364480" y="9883140"/>
          <a:ext cx="3048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10</xdr:col>
      <xdr:colOff>30480</xdr:colOff>
      <xdr:row>50</xdr:row>
      <xdr:rowOff>0</xdr:rowOff>
    </xdr:from>
    <xdr:to>
      <xdr:col>10</xdr:col>
      <xdr:colOff>335280</xdr:colOff>
      <xdr:row>50</xdr:row>
      <xdr:rowOff>0</xdr:rowOff>
    </xdr:to>
    <xdr:sp macro="" textlink="">
      <xdr:nvSpPr>
        <xdr:cNvPr id="114" name="Rectangle 3">
          <a:extLst>
            <a:ext uri="{FF2B5EF4-FFF2-40B4-BE49-F238E27FC236}">
              <a16:creationId xmlns:a16="http://schemas.microsoft.com/office/drawing/2014/main" id="{DCB12BEF-7165-4A1A-AFBE-D018E674E78F}"/>
            </a:ext>
          </a:extLst>
        </xdr:cNvPr>
        <xdr:cNvSpPr>
          <a:spLocks noChangeArrowheads="1"/>
        </xdr:cNvSpPr>
      </xdr:nvSpPr>
      <xdr:spPr bwMode="auto">
        <a:xfrm>
          <a:off x="5372100" y="9883140"/>
          <a:ext cx="3048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10</xdr:col>
      <xdr:colOff>0</xdr:colOff>
      <xdr:row>50</xdr:row>
      <xdr:rowOff>0</xdr:rowOff>
    </xdr:from>
    <xdr:to>
      <xdr:col>10</xdr:col>
      <xdr:colOff>403860</xdr:colOff>
      <xdr:row>50</xdr:row>
      <xdr:rowOff>0</xdr:rowOff>
    </xdr:to>
    <xdr:sp macro="" textlink="">
      <xdr:nvSpPr>
        <xdr:cNvPr id="115" name="Rectangle 4">
          <a:extLst>
            <a:ext uri="{FF2B5EF4-FFF2-40B4-BE49-F238E27FC236}">
              <a16:creationId xmlns:a16="http://schemas.microsoft.com/office/drawing/2014/main" id="{8F2DB707-7B57-4B31-91DA-DC47F502173A}"/>
            </a:ext>
          </a:extLst>
        </xdr:cNvPr>
        <xdr:cNvSpPr>
          <a:spLocks noChangeArrowheads="1"/>
        </xdr:cNvSpPr>
      </xdr:nvSpPr>
      <xdr:spPr bwMode="auto">
        <a:xfrm>
          <a:off x="5341620" y="9883140"/>
          <a:ext cx="40386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10</xdr:col>
      <xdr:colOff>137160</xdr:colOff>
      <xdr:row>50</xdr:row>
      <xdr:rowOff>0</xdr:rowOff>
    </xdr:from>
    <xdr:to>
      <xdr:col>10</xdr:col>
      <xdr:colOff>350520</xdr:colOff>
      <xdr:row>50</xdr:row>
      <xdr:rowOff>0</xdr:rowOff>
    </xdr:to>
    <xdr:sp macro="" textlink="">
      <xdr:nvSpPr>
        <xdr:cNvPr id="116" name="Rectangle 5">
          <a:extLst>
            <a:ext uri="{FF2B5EF4-FFF2-40B4-BE49-F238E27FC236}">
              <a16:creationId xmlns:a16="http://schemas.microsoft.com/office/drawing/2014/main" id="{FC660B01-DF5B-44A4-ABBD-2B2D40EDF727}"/>
            </a:ext>
          </a:extLst>
        </xdr:cNvPr>
        <xdr:cNvSpPr>
          <a:spLocks noChangeArrowheads="1"/>
        </xdr:cNvSpPr>
      </xdr:nvSpPr>
      <xdr:spPr bwMode="auto">
        <a:xfrm>
          <a:off x="5478780" y="9883140"/>
          <a:ext cx="21336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10</xdr:col>
      <xdr:colOff>160020</xdr:colOff>
      <xdr:row>50</xdr:row>
      <xdr:rowOff>0</xdr:rowOff>
    </xdr:from>
    <xdr:to>
      <xdr:col>10</xdr:col>
      <xdr:colOff>373380</xdr:colOff>
      <xdr:row>50</xdr:row>
      <xdr:rowOff>0</xdr:rowOff>
    </xdr:to>
    <xdr:sp macro="" textlink="">
      <xdr:nvSpPr>
        <xdr:cNvPr id="117" name="Rectangle 1">
          <a:extLst>
            <a:ext uri="{FF2B5EF4-FFF2-40B4-BE49-F238E27FC236}">
              <a16:creationId xmlns:a16="http://schemas.microsoft.com/office/drawing/2014/main" id="{AECC38DD-B26C-489A-8045-E248F0EA5127}"/>
            </a:ext>
          </a:extLst>
        </xdr:cNvPr>
        <xdr:cNvSpPr>
          <a:spLocks noChangeArrowheads="1"/>
        </xdr:cNvSpPr>
      </xdr:nvSpPr>
      <xdr:spPr bwMode="auto">
        <a:xfrm>
          <a:off x="5501640" y="9883140"/>
          <a:ext cx="21336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10</xdr:col>
      <xdr:colOff>22860</xdr:colOff>
      <xdr:row>50</xdr:row>
      <xdr:rowOff>0</xdr:rowOff>
    </xdr:from>
    <xdr:to>
      <xdr:col>10</xdr:col>
      <xdr:colOff>342900</xdr:colOff>
      <xdr:row>50</xdr:row>
      <xdr:rowOff>0</xdr:rowOff>
    </xdr:to>
    <xdr:sp macro="" textlink="">
      <xdr:nvSpPr>
        <xdr:cNvPr id="118" name="Rectangle 2">
          <a:extLst>
            <a:ext uri="{FF2B5EF4-FFF2-40B4-BE49-F238E27FC236}">
              <a16:creationId xmlns:a16="http://schemas.microsoft.com/office/drawing/2014/main" id="{A732B5FA-6B1C-4A0F-AC78-95F0222F6D69}"/>
            </a:ext>
          </a:extLst>
        </xdr:cNvPr>
        <xdr:cNvSpPr>
          <a:spLocks noChangeArrowheads="1"/>
        </xdr:cNvSpPr>
      </xdr:nvSpPr>
      <xdr:spPr bwMode="auto">
        <a:xfrm>
          <a:off x="5364480" y="9883140"/>
          <a:ext cx="3200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10</xdr:col>
      <xdr:colOff>30480</xdr:colOff>
      <xdr:row>50</xdr:row>
      <xdr:rowOff>0</xdr:rowOff>
    </xdr:from>
    <xdr:to>
      <xdr:col>10</xdr:col>
      <xdr:colOff>350520</xdr:colOff>
      <xdr:row>50</xdr:row>
      <xdr:rowOff>0</xdr:rowOff>
    </xdr:to>
    <xdr:sp macro="" textlink="">
      <xdr:nvSpPr>
        <xdr:cNvPr id="119" name="Rectangle 3">
          <a:extLst>
            <a:ext uri="{FF2B5EF4-FFF2-40B4-BE49-F238E27FC236}">
              <a16:creationId xmlns:a16="http://schemas.microsoft.com/office/drawing/2014/main" id="{7499A3D8-F57F-4628-8D99-3EB48BB4198D}"/>
            </a:ext>
          </a:extLst>
        </xdr:cNvPr>
        <xdr:cNvSpPr>
          <a:spLocks noChangeArrowheads="1"/>
        </xdr:cNvSpPr>
      </xdr:nvSpPr>
      <xdr:spPr bwMode="auto">
        <a:xfrm>
          <a:off x="5372100" y="9883140"/>
          <a:ext cx="3200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10</xdr:col>
      <xdr:colOff>0</xdr:colOff>
      <xdr:row>50</xdr:row>
      <xdr:rowOff>0</xdr:rowOff>
    </xdr:from>
    <xdr:to>
      <xdr:col>10</xdr:col>
      <xdr:colOff>419100</xdr:colOff>
      <xdr:row>50</xdr:row>
      <xdr:rowOff>0</xdr:rowOff>
    </xdr:to>
    <xdr:sp macro="" textlink="">
      <xdr:nvSpPr>
        <xdr:cNvPr id="120" name="Rectangle 4">
          <a:extLst>
            <a:ext uri="{FF2B5EF4-FFF2-40B4-BE49-F238E27FC236}">
              <a16:creationId xmlns:a16="http://schemas.microsoft.com/office/drawing/2014/main" id="{C6AA8A62-34A4-40A3-9FE2-67E7D86B58EE}"/>
            </a:ext>
          </a:extLst>
        </xdr:cNvPr>
        <xdr:cNvSpPr>
          <a:spLocks noChangeArrowheads="1"/>
        </xdr:cNvSpPr>
      </xdr:nvSpPr>
      <xdr:spPr bwMode="auto">
        <a:xfrm>
          <a:off x="5341620" y="9883140"/>
          <a:ext cx="4191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10</xdr:col>
      <xdr:colOff>144780</xdr:colOff>
      <xdr:row>50</xdr:row>
      <xdr:rowOff>0</xdr:rowOff>
    </xdr:from>
    <xdr:to>
      <xdr:col>10</xdr:col>
      <xdr:colOff>373380</xdr:colOff>
      <xdr:row>50</xdr:row>
      <xdr:rowOff>0</xdr:rowOff>
    </xdr:to>
    <xdr:sp macro="" textlink="">
      <xdr:nvSpPr>
        <xdr:cNvPr id="121" name="Rectangle 5">
          <a:extLst>
            <a:ext uri="{FF2B5EF4-FFF2-40B4-BE49-F238E27FC236}">
              <a16:creationId xmlns:a16="http://schemas.microsoft.com/office/drawing/2014/main" id="{4FC54973-0AAF-4BB3-B834-8ECE855D4164}"/>
            </a:ext>
          </a:extLst>
        </xdr:cNvPr>
        <xdr:cNvSpPr>
          <a:spLocks noChangeArrowheads="1"/>
        </xdr:cNvSpPr>
      </xdr:nvSpPr>
      <xdr:spPr bwMode="auto">
        <a:xfrm>
          <a:off x="5486400" y="9883140"/>
          <a:ext cx="228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10</xdr:col>
      <xdr:colOff>160020</xdr:colOff>
      <xdr:row>50</xdr:row>
      <xdr:rowOff>0</xdr:rowOff>
    </xdr:from>
    <xdr:to>
      <xdr:col>10</xdr:col>
      <xdr:colOff>373380</xdr:colOff>
      <xdr:row>50</xdr:row>
      <xdr:rowOff>0</xdr:rowOff>
    </xdr:to>
    <xdr:sp macro="" textlink="">
      <xdr:nvSpPr>
        <xdr:cNvPr id="122" name="Rectangle 1">
          <a:extLst>
            <a:ext uri="{FF2B5EF4-FFF2-40B4-BE49-F238E27FC236}">
              <a16:creationId xmlns:a16="http://schemas.microsoft.com/office/drawing/2014/main" id="{5225F3F5-13F3-4E49-A0F9-12577D5E308F}"/>
            </a:ext>
          </a:extLst>
        </xdr:cNvPr>
        <xdr:cNvSpPr>
          <a:spLocks noChangeArrowheads="1"/>
        </xdr:cNvSpPr>
      </xdr:nvSpPr>
      <xdr:spPr bwMode="auto">
        <a:xfrm>
          <a:off x="5501640" y="9883140"/>
          <a:ext cx="21336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10</xdr:col>
      <xdr:colOff>22860</xdr:colOff>
      <xdr:row>50</xdr:row>
      <xdr:rowOff>0</xdr:rowOff>
    </xdr:from>
    <xdr:to>
      <xdr:col>10</xdr:col>
      <xdr:colOff>342900</xdr:colOff>
      <xdr:row>50</xdr:row>
      <xdr:rowOff>0</xdr:rowOff>
    </xdr:to>
    <xdr:sp macro="" textlink="">
      <xdr:nvSpPr>
        <xdr:cNvPr id="123" name="Rectangle 2">
          <a:extLst>
            <a:ext uri="{FF2B5EF4-FFF2-40B4-BE49-F238E27FC236}">
              <a16:creationId xmlns:a16="http://schemas.microsoft.com/office/drawing/2014/main" id="{868735CD-3191-4442-824B-4A1216513F54}"/>
            </a:ext>
          </a:extLst>
        </xdr:cNvPr>
        <xdr:cNvSpPr>
          <a:spLocks noChangeArrowheads="1"/>
        </xdr:cNvSpPr>
      </xdr:nvSpPr>
      <xdr:spPr bwMode="auto">
        <a:xfrm>
          <a:off x="5364480" y="9883140"/>
          <a:ext cx="3200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10</xdr:col>
      <xdr:colOff>30480</xdr:colOff>
      <xdr:row>50</xdr:row>
      <xdr:rowOff>0</xdr:rowOff>
    </xdr:from>
    <xdr:to>
      <xdr:col>10</xdr:col>
      <xdr:colOff>350520</xdr:colOff>
      <xdr:row>50</xdr:row>
      <xdr:rowOff>0</xdr:rowOff>
    </xdr:to>
    <xdr:sp macro="" textlink="">
      <xdr:nvSpPr>
        <xdr:cNvPr id="124" name="Rectangle 3">
          <a:extLst>
            <a:ext uri="{FF2B5EF4-FFF2-40B4-BE49-F238E27FC236}">
              <a16:creationId xmlns:a16="http://schemas.microsoft.com/office/drawing/2014/main" id="{6F57695F-E9C7-46DD-8231-7FBCD5929634}"/>
            </a:ext>
          </a:extLst>
        </xdr:cNvPr>
        <xdr:cNvSpPr>
          <a:spLocks noChangeArrowheads="1"/>
        </xdr:cNvSpPr>
      </xdr:nvSpPr>
      <xdr:spPr bwMode="auto">
        <a:xfrm>
          <a:off x="5372100" y="9883140"/>
          <a:ext cx="3200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10</xdr:col>
      <xdr:colOff>0</xdr:colOff>
      <xdr:row>50</xdr:row>
      <xdr:rowOff>0</xdr:rowOff>
    </xdr:from>
    <xdr:to>
      <xdr:col>10</xdr:col>
      <xdr:colOff>419100</xdr:colOff>
      <xdr:row>50</xdr:row>
      <xdr:rowOff>0</xdr:rowOff>
    </xdr:to>
    <xdr:sp macro="" textlink="">
      <xdr:nvSpPr>
        <xdr:cNvPr id="125" name="Rectangle 4">
          <a:extLst>
            <a:ext uri="{FF2B5EF4-FFF2-40B4-BE49-F238E27FC236}">
              <a16:creationId xmlns:a16="http://schemas.microsoft.com/office/drawing/2014/main" id="{62446F7D-C7C0-4414-AF5E-46ABBDD59003}"/>
            </a:ext>
          </a:extLst>
        </xdr:cNvPr>
        <xdr:cNvSpPr>
          <a:spLocks noChangeArrowheads="1"/>
        </xdr:cNvSpPr>
      </xdr:nvSpPr>
      <xdr:spPr bwMode="auto">
        <a:xfrm>
          <a:off x="5341620" y="9883140"/>
          <a:ext cx="4191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10</xdr:col>
      <xdr:colOff>144780</xdr:colOff>
      <xdr:row>50</xdr:row>
      <xdr:rowOff>0</xdr:rowOff>
    </xdr:from>
    <xdr:to>
      <xdr:col>10</xdr:col>
      <xdr:colOff>373380</xdr:colOff>
      <xdr:row>50</xdr:row>
      <xdr:rowOff>0</xdr:rowOff>
    </xdr:to>
    <xdr:sp macro="" textlink="">
      <xdr:nvSpPr>
        <xdr:cNvPr id="126" name="Rectangle 5">
          <a:extLst>
            <a:ext uri="{FF2B5EF4-FFF2-40B4-BE49-F238E27FC236}">
              <a16:creationId xmlns:a16="http://schemas.microsoft.com/office/drawing/2014/main" id="{315FC972-B04D-4FAB-B180-5E80575F9DCB}"/>
            </a:ext>
          </a:extLst>
        </xdr:cNvPr>
        <xdr:cNvSpPr>
          <a:spLocks noChangeArrowheads="1"/>
        </xdr:cNvSpPr>
      </xdr:nvSpPr>
      <xdr:spPr bwMode="auto">
        <a:xfrm>
          <a:off x="5486400" y="9883140"/>
          <a:ext cx="228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8</xdr:row>
      <xdr:rowOff>0</xdr:rowOff>
    </xdr:from>
    <xdr:to>
      <xdr:col>7</xdr:col>
      <xdr:colOff>0</xdr:colOff>
      <xdr:row>8</xdr:row>
      <xdr:rowOff>0</xdr:rowOff>
    </xdr:to>
    <xdr:sp macro="" textlink="">
      <xdr:nvSpPr>
        <xdr:cNvPr id="2" name="Line 1">
          <a:extLst>
            <a:ext uri="{FF2B5EF4-FFF2-40B4-BE49-F238E27FC236}">
              <a16:creationId xmlns:a16="http://schemas.microsoft.com/office/drawing/2014/main" id="{C1768930-6B8A-4A9D-9303-CE7BA6BCE962}"/>
            </a:ext>
          </a:extLst>
        </xdr:cNvPr>
        <xdr:cNvSpPr>
          <a:spLocks noChangeShapeType="1"/>
        </xdr:cNvSpPr>
      </xdr:nvSpPr>
      <xdr:spPr bwMode="auto">
        <a:xfrm>
          <a:off x="624840" y="1272540"/>
          <a:ext cx="9700260"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9</xdr:row>
      <xdr:rowOff>0</xdr:rowOff>
    </xdr:from>
    <xdr:to>
      <xdr:col>13</xdr:col>
      <xdr:colOff>403860</xdr:colOff>
      <xdr:row>9</xdr:row>
      <xdr:rowOff>7620</xdr:rowOff>
    </xdr:to>
    <xdr:sp macro="" textlink="">
      <xdr:nvSpPr>
        <xdr:cNvPr id="3" name="Line 2">
          <a:extLst>
            <a:ext uri="{FF2B5EF4-FFF2-40B4-BE49-F238E27FC236}">
              <a16:creationId xmlns:a16="http://schemas.microsoft.com/office/drawing/2014/main" id="{23278577-F8DA-46F9-B11A-8FB6DC26DB3A}"/>
            </a:ext>
          </a:extLst>
        </xdr:cNvPr>
        <xdr:cNvSpPr>
          <a:spLocks noChangeShapeType="1"/>
        </xdr:cNvSpPr>
      </xdr:nvSpPr>
      <xdr:spPr bwMode="auto">
        <a:xfrm flipV="1">
          <a:off x="624840" y="1440180"/>
          <a:ext cx="12230100" cy="762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3</xdr:row>
      <xdr:rowOff>0</xdr:rowOff>
    </xdr:from>
    <xdr:to>
      <xdr:col>10</xdr:col>
      <xdr:colOff>0</xdr:colOff>
      <xdr:row>4</xdr:row>
      <xdr:rowOff>0</xdr:rowOff>
    </xdr:to>
    <xdr:sp macro="" textlink="">
      <xdr:nvSpPr>
        <xdr:cNvPr id="4" name="Line 3">
          <a:extLst>
            <a:ext uri="{FF2B5EF4-FFF2-40B4-BE49-F238E27FC236}">
              <a16:creationId xmlns:a16="http://schemas.microsoft.com/office/drawing/2014/main" id="{526A0E11-319A-45D9-8334-787168076D05}"/>
            </a:ext>
          </a:extLst>
        </xdr:cNvPr>
        <xdr:cNvSpPr>
          <a:spLocks noChangeShapeType="1"/>
        </xdr:cNvSpPr>
      </xdr:nvSpPr>
      <xdr:spPr bwMode="auto">
        <a:xfrm flipV="1">
          <a:off x="12199620" y="480060"/>
          <a:ext cx="0" cy="16002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3</xdr:row>
      <xdr:rowOff>0</xdr:rowOff>
    </xdr:from>
    <xdr:to>
      <xdr:col>10</xdr:col>
      <xdr:colOff>0</xdr:colOff>
      <xdr:row>4</xdr:row>
      <xdr:rowOff>0</xdr:rowOff>
    </xdr:to>
    <xdr:sp macro="" textlink="">
      <xdr:nvSpPr>
        <xdr:cNvPr id="5" name="Line 4">
          <a:extLst>
            <a:ext uri="{FF2B5EF4-FFF2-40B4-BE49-F238E27FC236}">
              <a16:creationId xmlns:a16="http://schemas.microsoft.com/office/drawing/2014/main" id="{88E7B1B3-B065-46A0-B0ED-6A3623261001}"/>
            </a:ext>
          </a:extLst>
        </xdr:cNvPr>
        <xdr:cNvSpPr>
          <a:spLocks noChangeShapeType="1"/>
        </xdr:cNvSpPr>
      </xdr:nvSpPr>
      <xdr:spPr bwMode="auto">
        <a:xfrm flipV="1">
          <a:off x="12199620" y="480060"/>
          <a:ext cx="0" cy="16002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3</xdr:row>
      <xdr:rowOff>7620</xdr:rowOff>
    </xdr:from>
    <xdr:to>
      <xdr:col>1</xdr:col>
      <xdr:colOff>0</xdr:colOff>
      <xdr:row>7</xdr:row>
      <xdr:rowOff>152400</xdr:rowOff>
    </xdr:to>
    <xdr:sp macro="" textlink="">
      <xdr:nvSpPr>
        <xdr:cNvPr id="6" name="Line 5">
          <a:extLst>
            <a:ext uri="{FF2B5EF4-FFF2-40B4-BE49-F238E27FC236}">
              <a16:creationId xmlns:a16="http://schemas.microsoft.com/office/drawing/2014/main" id="{C7AB3945-D680-41F3-A7A0-D22663C59211}"/>
            </a:ext>
          </a:extLst>
        </xdr:cNvPr>
        <xdr:cNvSpPr>
          <a:spLocks noChangeShapeType="1"/>
        </xdr:cNvSpPr>
      </xdr:nvSpPr>
      <xdr:spPr bwMode="auto">
        <a:xfrm flipH="1">
          <a:off x="624840" y="487680"/>
          <a:ext cx="0" cy="77724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822960</xdr:colOff>
      <xdr:row>15</xdr:row>
      <xdr:rowOff>160020</xdr:rowOff>
    </xdr:from>
    <xdr:to>
      <xdr:col>5</xdr:col>
      <xdr:colOff>670560</xdr:colOff>
      <xdr:row>36</xdr:row>
      <xdr:rowOff>167640</xdr:rowOff>
    </xdr:to>
    <xdr:graphicFrame macro="">
      <xdr:nvGraphicFramePr>
        <xdr:cNvPr id="2" name="Chart 1">
          <a:extLst>
            <a:ext uri="{FF2B5EF4-FFF2-40B4-BE49-F238E27FC236}">
              <a16:creationId xmlns:a16="http://schemas.microsoft.com/office/drawing/2014/main" id="{565AAE82-6659-48A5-8F4E-97954BBB99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320040</xdr:colOff>
      <xdr:row>11</xdr:row>
      <xdr:rowOff>0</xdr:rowOff>
    </xdr:from>
    <xdr:to>
      <xdr:col>5</xdr:col>
      <xdr:colOff>609600</xdr:colOff>
      <xdr:row>38</xdr:row>
      <xdr:rowOff>7620</xdr:rowOff>
    </xdr:to>
    <xdr:graphicFrame macro="">
      <xdr:nvGraphicFramePr>
        <xdr:cNvPr id="2" name="Chart 1">
          <a:extLst>
            <a:ext uri="{FF2B5EF4-FFF2-40B4-BE49-F238E27FC236}">
              <a16:creationId xmlns:a16="http://schemas.microsoft.com/office/drawing/2014/main" id="{593E26C0-17B2-4BB3-9834-8E5B191E08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0.63969</cdr:x>
      <cdr:y>0.64828</cdr:y>
    </cdr:from>
    <cdr:to>
      <cdr:x>0.87849</cdr:x>
      <cdr:y>0.66898</cdr:y>
    </cdr:to>
    <cdr:sp macro="" textlink="">
      <cdr:nvSpPr>
        <cdr:cNvPr id="5133" name="Hot Stall"/>
        <cdr:cNvSpPr txBox="1">
          <a:spLocks xmlns:a="http://schemas.openxmlformats.org/drawingml/2006/main" noChangeArrowheads="1"/>
        </cdr:cNvSpPr>
      </cdr:nvSpPr>
      <cdr:spPr bwMode="auto">
        <a:xfrm xmlns:a="http://schemas.openxmlformats.org/drawingml/2006/main">
          <a:off x="3754727" y="4191482"/>
          <a:ext cx="1381590" cy="13341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vertOverflow="clip" wrap="square" lIns="27432" tIns="18288" rIns="0" bIns="0" anchor="t" upright="1"/>
        <a:lstStyle xmlns:a="http://schemas.openxmlformats.org/drawingml/2006/main"/>
        <a:p xmlns:a="http://schemas.openxmlformats.org/drawingml/2006/main">
          <a:pPr algn="l" rtl="0">
            <a:defRPr sz="1000"/>
          </a:pPr>
          <a:r>
            <a:rPr lang="en-US" sz="800" b="1" i="0" u="none" strike="noStrike" baseline="0">
              <a:solidFill>
                <a:srgbClr val="000000"/>
              </a:solidFill>
              <a:latin typeface="Times New Roman"/>
              <a:cs typeface="Times New Roman"/>
            </a:rPr>
            <a:t>HOT STALL</a:t>
          </a:r>
        </a:p>
      </cdr:txBody>
    </cdr:sp>
  </cdr:relSizeAnchor>
  <cdr:relSizeAnchor xmlns:cdr="http://schemas.openxmlformats.org/drawingml/2006/chartDrawing">
    <cdr:from>
      <cdr:x>0.63969</cdr:x>
      <cdr:y>0.54236</cdr:y>
    </cdr:from>
    <cdr:to>
      <cdr:x>0.9262</cdr:x>
      <cdr:y>0.56773</cdr:y>
    </cdr:to>
    <cdr:sp macro="" textlink="">
      <cdr:nvSpPr>
        <cdr:cNvPr id="5134" name="Cold Stall"/>
        <cdr:cNvSpPr txBox="1">
          <a:spLocks xmlns:a="http://schemas.openxmlformats.org/drawingml/2006/main" noChangeArrowheads="1"/>
        </cdr:cNvSpPr>
      </cdr:nvSpPr>
      <cdr:spPr bwMode="auto">
        <a:xfrm xmlns:a="http://schemas.openxmlformats.org/drawingml/2006/main">
          <a:off x="3754727" y="3510104"/>
          <a:ext cx="1656755" cy="16200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vertOverflow="clip" wrap="square" lIns="27432" tIns="18288" rIns="0" bIns="0" anchor="t" upright="1"/>
        <a:lstStyle xmlns:a="http://schemas.openxmlformats.org/drawingml/2006/main"/>
        <a:p xmlns:a="http://schemas.openxmlformats.org/drawingml/2006/main">
          <a:pPr algn="l" rtl="0">
            <a:defRPr sz="1000"/>
          </a:pPr>
          <a:r>
            <a:rPr lang="en-US" sz="800" b="1" i="0" u="none" strike="noStrike" baseline="0">
              <a:solidFill>
                <a:srgbClr val="000000"/>
              </a:solidFill>
              <a:latin typeface="Times New Roman"/>
              <a:cs typeface="Times New Roman"/>
            </a:rPr>
            <a:t>COLD (AMBIENT) STALL</a:t>
          </a:r>
        </a:p>
      </cdr:txBody>
    </cdr:sp>
  </cdr:relSizeAnchor>
  <cdr:relSizeAnchor xmlns:cdr="http://schemas.openxmlformats.org/drawingml/2006/chartDrawing">
    <cdr:from>
      <cdr:x>0.22582</cdr:x>
      <cdr:y>0.67776</cdr:y>
    </cdr:from>
    <cdr:to>
      <cdr:x>0.5185</cdr:x>
      <cdr:y>0.7004</cdr:y>
    </cdr:to>
    <cdr:sp macro="" textlink="">
      <cdr:nvSpPr>
        <cdr:cNvPr id="5135" name="Acceleration"/>
        <cdr:cNvSpPr txBox="1">
          <a:spLocks xmlns:a="http://schemas.openxmlformats.org/drawingml/2006/main" noChangeArrowheads="1"/>
        </cdr:cNvSpPr>
      </cdr:nvSpPr>
      <cdr:spPr bwMode="auto">
        <a:xfrm xmlns:a="http://schemas.openxmlformats.org/drawingml/2006/main">
          <a:off x="1344160" y="4338867"/>
          <a:ext cx="1764800" cy="149313"/>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vertOverflow="clip" wrap="square" lIns="27432" tIns="18288" rIns="0" bIns="0" anchor="t" upright="1"/>
        <a:lstStyle xmlns:a="http://schemas.openxmlformats.org/drawingml/2006/main"/>
        <a:p xmlns:a="http://schemas.openxmlformats.org/drawingml/2006/main">
          <a:pPr algn="l" rtl="0">
            <a:defRPr sz="1000"/>
          </a:pPr>
          <a:r>
            <a:rPr lang="en-US" sz="800" b="1" i="0" u="none" strike="noStrike" baseline="0">
              <a:solidFill>
                <a:srgbClr val="000000"/>
              </a:solidFill>
              <a:latin typeface="Times New Roman"/>
              <a:cs typeface="Times New Roman"/>
            </a:rPr>
            <a:t>ACCELERATION CURVE 100%V</a:t>
          </a:r>
        </a:p>
      </cdr:txBody>
    </cdr:sp>
  </cdr:relSizeAnchor>
  <cdr:relSizeAnchor xmlns:cdr="http://schemas.openxmlformats.org/drawingml/2006/chartDrawing">
    <cdr:from>
      <cdr:x>0.2949</cdr:x>
      <cdr:y>0.36035</cdr:y>
    </cdr:from>
    <cdr:to>
      <cdr:x>0.6232</cdr:x>
      <cdr:y>0.38695</cdr:y>
    </cdr:to>
    <cdr:sp macro="" textlink="">
      <cdr:nvSpPr>
        <cdr:cNvPr id="5136" name="Running"/>
        <cdr:cNvSpPr txBox="1">
          <a:spLocks xmlns:a="http://schemas.openxmlformats.org/drawingml/2006/main" noChangeArrowheads="1"/>
        </cdr:cNvSpPr>
      </cdr:nvSpPr>
      <cdr:spPr bwMode="auto">
        <a:xfrm xmlns:a="http://schemas.openxmlformats.org/drawingml/2006/main">
          <a:off x="1756537" y="2336355"/>
          <a:ext cx="1904548" cy="181065"/>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vertOverflow="clip" wrap="square" lIns="27432" tIns="18288" rIns="0" bIns="0" anchor="t" upright="1"/>
        <a:lstStyle xmlns:a="http://schemas.openxmlformats.org/drawingml/2006/main"/>
        <a:p xmlns:a="http://schemas.openxmlformats.org/drawingml/2006/main">
          <a:pPr algn="l" rtl="0">
            <a:defRPr sz="1000"/>
          </a:pPr>
          <a:r>
            <a:rPr lang="en-US" sz="800" b="1" i="0" u="none" strike="noStrike" baseline="0">
              <a:solidFill>
                <a:srgbClr val="000000"/>
              </a:solidFill>
              <a:latin typeface="Times New Roman"/>
              <a:cs typeface="Times New Roman"/>
            </a:rPr>
            <a:t>RUNNING CONDITION</a:t>
          </a:r>
        </a:p>
      </cdr:txBody>
    </cdr:sp>
  </cdr:relSizeAnchor>
  <cdr:relSizeAnchor xmlns:cdr="http://schemas.openxmlformats.org/drawingml/2006/chartDrawing">
    <cdr:from>
      <cdr:x>0.62296</cdr:x>
      <cdr:y>0.19261</cdr:y>
    </cdr:from>
    <cdr:to>
      <cdr:x>0.95276</cdr:x>
      <cdr:y>0.22119</cdr:y>
    </cdr:to>
    <cdr:sp macro="" textlink="">
      <cdr:nvSpPr>
        <cdr:cNvPr id="5137" name="Load Type"/>
        <cdr:cNvSpPr txBox="1">
          <a:spLocks xmlns:a="http://schemas.openxmlformats.org/drawingml/2006/main" noChangeArrowheads="1"/>
        </cdr:cNvSpPr>
      </cdr:nvSpPr>
      <cdr:spPr bwMode="auto">
        <a:xfrm xmlns:a="http://schemas.openxmlformats.org/drawingml/2006/main">
          <a:off x="3659644" y="1262668"/>
          <a:ext cx="1904547" cy="18106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a:lstStyle xmlns:a="http://schemas.openxmlformats.org/drawingml/2006/main"/>
        <a:p xmlns:a="http://schemas.openxmlformats.org/drawingml/2006/main">
          <a:r>
            <a:rPr lang="en-US"/>
            <a:t>LOAD TYPE: FAN / PUMP</a:t>
          </a:r>
        </a:p>
      </cdr:txBody>
    </cdr:sp>
  </cdr:relSizeAnchor>
  <cdr:relSizeAnchor xmlns:cdr="http://schemas.openxmlformats.org/drawingml/2006/chartDrawing">
    <cdr:from>
      <cdr:x>0.2205</cdr:x>
      <cdr:y>0.60542</cdr:y>
    </cdr:from>
    <cdr:to>
      <cdr:x>0.51367</cdr:x>
      <cdr:y>0.62929</cdr:y>
    </cdr:to>
    <cdr:sp macro="" textlink="">
      <cdr:nvSpPr>
        <cdr:cNvPr id="7" name="Acceleration"/>
        <cdr:cNvSpPr txBox="1">
          <a:spLocks xmlns:a="http://schemas.openxmlformats.org/drawingml/2006/main" noChangeArrowheads="1"/>
        </cdr:cNvSpPr>
      </cdr:nvSpPr>
      <cdr:spPr bwMode="auto">
        <a:xfrm xmlns:a="http://schemas.openxmlformats.org/drawingml/2006/main">
          <a:off x="1313680" y="3881667"/>
          <a:ext cx="1764800" cy="149313"/>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vertOverflow="clip" wrap="square" lIns="27432" tIns="18288" rIns="0" bIns="0" anchor="t" upright="1"/>
        <a:lstStyle xmlns:a="http://schemas.openxmlformats.org/drawingml/2006/main"/>
        <a:p xmlns:a="http://schemas.openxmlformats.org/drawingml/2006/main">
          <a:pPr algn="l" rtl="0">
            <a:defRPr sz="1000"/>
          </a:pPr>
          <a:r>
            <a:rPr lang="en-US" sz="800" b="1" i="0" u="none" strike="noStrike" baseline="0">
              <a:solidFill>
                <a:srgbClr val="000000"/>
              </a:solidFill>
              <a:latin typeface="Times New Roman"/>
              <a:cs typeface="Times New Roman"/>
            </a:rPr>
            <a:t>ACCELERATION CURVE 80%V</a:t>
          </a:r>
        </a:p>
      </cdr:txBody>
    </cdr:sp>
  </cdr:relSizeAnchor>
</c:userShapes>
</file>

<file path=xl/drawings/drawing7.xml><?xml version="1.0" encoding="utf-8"?>
<xdr:wsDr xmlns:xdr="http://schemas.openxmlformats.org/drawingml/2006/spreadsheetDrawing" xmlns:a="http://schemas.openxmlformats.org/drawingml/2006/main">
  <xdr:twoCellAnchor>
    <xdr:from>
      <xdr:col>0</xdr:col>
      <xdr:colOff>342900</xdr:colOff>
      <xdr:row>16</xdr:row>
      <xdr:rowOff>15240</xdr:rowOff>
    </xdr:from>
    <xdr:to>
      <xdr:col>5</xdr:col>
      <xdr:colOff>929640</xdr:colOff>
      <xdr:row>37</xdr:row>
      <xdr:rowOff>45720</xdr:rowOff>
    </xdr:to>
    <xdr:graphicFrame macro="">
      <xdr:nvGraphicFramePr>
        <xdr:cNvPr id="2" name="Chart 1">
          <a:extLst>
            <a:ext uri="{FF2B5EF4-FFF2-40B4-BE49-F238E27FC236}">
              <a16:creationId xmlns:a16="http://schemas.microsoft.com/office/drawing/2014/main" id="{AE9C276F-DBAB-470B-A853-D1C5F04196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574724</xdr:colOff>
      <xdr:row>16</xdr:row>
      <xdr:rowOff>83821</xdr:rowOff>
    </xdr:from>
    <xdr:to>
      <xdr:col>0</xdr:col>
      <xdr:colOff>1137544</xdr:colOff>
      <xdr:row>17</xdr:row>
      <xdr:rowOff>28576</xdr:rowOff>
    </xdr:to>
    <xdr:sp macro="" textlink="">
      <xdr:nvSpPr>
        <xdr:cNvPr id="3" name="RPM11">
          <a:extLst>
            <a:ext uri="{FF2B5EF4-FFF2-40B4-BE49-F238E27FC236}">
              <a16:creationId xmlns:a16="http://schemas.microsoft.com/office/drawing/2014/main" id="{461D55AA-2BA0-4958-AB35-B12DBA1D6168}"/>
            </a:ext>
          </a:extLst>
        </xdr:cNvPr>
        <xdr:cNvSpPr txBox="1">
          <a:spLocks noChangeArrowheads="1"/>
        </xdr:cNvSpPr>
      </xdr:nvSpPr>
      <xdr:spPr bwMode="auto">
        <a:xfrm>
          <a:off x="574724" y="3954781"/>
          <a:ext cx="562820" cy="18097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1800</a:t>
          </a:r>
        </a:p>
      </xdr:txBody>
    </xdr:sp>
    <xdr:clientData/>
  </xdr:twoCellAnchor>
  <xdr:twoCellAnchor>
    <xdr:from>
      <xdr:col>0</xdr:col>
      <xdr:colOff>561389</xdr:colOff>
      <xdr:row>18</xdr:row>
      <xdr:rowOff>30481</xdr:rowOff>
    </xdr:from>
    <xdr:to>
      <xdr:col>0</xdr:col>
      <xdr:colOff>1114425</xdr:colOff>
      <xdr:row>18</xdr:row>
      <xdr:rowOff>211456</xdr:rowOff>
    </xdr:to>
    <xdr:sp macro="" textlink="">
      <xdr:nvSpPr>
        <xdr:cNvPr id="4" name="RPM10">
          <a:extLst>
            <a:ext uri="{FF2B5EF4-FFF2-40B4-BE49-F238E27FC236}">
              <a16:creationId xmlns:a16="http://schemas.microsoft.com/office/drawing/2014/main" id="{6C540D2B-AB7B-4657-A8E8-5E7AAC954D8D}"/>
            </a:ext>
          </a:extLst>
        </xdr:cNvPr>
        <xdr:cNvSpPr txBox="1">
          <a:spLocks noChangeArrowheads="1"/>
        </xdr:cNvSpPr>
      </xdr:nvSpPr>
      <xdr:spPr bwMode="auto">
        <a:xfrm>
          <a:off x="561389" y="4373881"/>
          <a:ext cx="553036" cy="18097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1797</a:t>
          </a:r>
        </a:p>
      </xdr:txBody>
    </xdr:sp>
    <xdr:clientData/>
  </xdr:twoCellAnchor>
  <xdr:twoCellAnchor>
    <xdr:from>
      <xdr:col>0</xdr:col>
      <xdr:colOff>561389</xdr:colOff>
      <xdr:row>19</xdr:row>
      <xdr:rowOff>198121</xdr:rowOff>
    </xdr:from>
    <xdr:to>
      <xdr:col>0</xdr:col>
      <xdr:colOff>1106831</xdr:colOff>
      <xdr:row>20</xdr:row>
      <xdr:rowOff>142876</xdr:rowOff>
    </xdr:to>
    <xdr:sp macro="" textlink="">
      <xdr:nvSpPr>
        <xdr:cNvPr id="5" name="RPM9">
          <a:extLst>
            <a:ext uri="{FF2B5EF4-FFF2-40B4-BE49-F238E27FC236}">
              <a16:creationId xmlns:a16="http://schemas.microsoft.com/office/drawing/2014/main" id="{57F31DE0-ABA8-4185-841F-08440E110953}"/>
            </a:ext>
          </a:extLst>
        </xdr:cNvPr>
        <xdr:cNvSpPr txBox="1">
          <a:spLocks noChangeArrowheads="1"/>
        </xdr:cNvSpPr>
      </xdr:nvSpPr>
      <xdr:spPr bwMode="auto">
        <a:xfrm>
          <a:off x="561389" y="4777741"/>
          <a:ext cx="545442" cy="18097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1794</a:t>
          </a:r>
        </a:p>
      </xdr:txBody>
    </xdr:sp>
    <xdr:clientData/>
  </xdr:twoCellAnchor>
  <xdr:twoCellAnchor>
    <xdr:from>
      <xdr:col>0</xdr:col>
      <xdr:colOff>561389</xdr:colOff>
      <xdr:row>21</xdr:row>
      <xdr:rowOff>121921</xdr:rowOff>
    </xdr:from>
    <xdr:to>
      <xdr:col>0</xdr:col>
      <xdr:colOff>1106831</xdr:colOff>
      <xdr:row>22</xdr:row>
      <xdr:rowOff>74544</xdr:rowOff>
    </xdr:to>
    <xdr:sp macro="" textlink="">
      <xdr:nvSpPr>
        <xdr:cNvPr id="6" name="RPM8">
          <a:extLst>
            <a:ext uri="{FF2B5EF4-FFF2-40B4-BE49-F238E27FC236}">
              <a16:creationId xmlns:a16="http://schemas.microsoft.com/office/drawing/2014/main" id="{54CC0E9F-D05C-444E-9FF7-9487015313A0}"/>
            </a:ext>
          </a:extLst>
        </xdr:cNvPr>
        <xdr:cNvSpPr txBox="1">
          <a:spLocks noChangeArrowheads="1"/>
        </xdr:cNvSpPr>
      </xdr:nvSpPr>
      <xdr:spPr bwMode="auto">
        <a:xfrm>
          <a:off x="561389" y="5173981"/>
          <a:ext cx="545442" cy="188843"/>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1791</a:t>
          </a:r>
        </a:p>
      </xdr:txBody>
    </xdr:sp>
    <xdr:clientData/>
  </xdr:twoCellAnchor>
  <xdr:twoCellAnchor>
    <xdr:from>
      <xdr:col>0</xdr:col>
      <xdr:colOff>561389</xdr:colOff>
      <xdr:row>23</xdr:row>
      <xdr:rowOff>68580</xdr:rowOff>
    </xdr:from>
    <xdr:to>
      <xdr:col>0</xdr:col>
      <xdr:colOff>1114425</xdr:colOff>
      <xdr:row>24</xdr:row>
      <xdr:rowOff>6096</xdr:rowOff>
    </xdr:to>
    <xdr:sp macro="" textlink="">
      <xdr:nvSpPr>
        <xdr:cNvPr id="7" name="RPM7">
          <a:extLst>
            <a:ext uri="{FF2B5EF4-FFF2-40B4-BE49-F238E27FC236}">
              <a16:creationId xmlns:a16="http://schemas.microsoft.com/office/drawing/2014/main" id="{9EFD6AFF-770C-44CC-839E-908A9F8E52CE}"/>
            </a:ext>
          </a:extLst>
        </xdr:cNvPr>
        <xdr:cNvSpPr txBox="1">
          <a:spLocks noChangeArrowheads="1"/>
        </xdr:cNvSpPr>
      </xdr:nvSpPr>
      <xdr:spPr bwMode="auto">
        <a:xfrm>
          <a:off x="561389" y="5593080"/>
          <a:ext cx="553036" cy="173736"/>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1788</a:t>
          </a:r>
        </a:p>
      </xdr:txBody>
    </xdr:sp>
    <xdr:clientData/>
  </xdr:twoCellAnchor>
  <xdr:twoCellAnchor>
    <xdr:from>
      <xdr:col>0</xdr:col>
      <xdr:colOff>561389</xdr:colOff>
      <xdr:row>25</xdr:row>
      <xdr:rowOff>1</xdr:rowOff>
    </xdr:from>
    <xdr:to>
      <xdr:col>0</xdr:col>
      <xdr:colOff>1114425</xdr:colOff>
      <xdr:row>25</xdr:row>
      <xdr:rowOff>180976</xdr:rowOff>
    </xdr:to>
    <xdr:sp macro="" textlink="">
      <xdr:nvSpPr>
        <xdr:cNvPr id="8" name="RPM6">
          <a:extLst>
            <a:ext uri="{FF2B5EF4-FFF2-40B4-BE49-F238E27FC236}">
              <a16:creationId xmlns:a16="http://schemas.microsoft.com/office/drawing/2014/main" id="{9BC47951-E378-4B2D-8E2D-D8F1528A0B59}"/>
            </a:ext>
          </a:extLst>
        </xdr:cNvPr>
        <xdr:cNvSpPr txBox="1">
          <a:spLocks noChangeArrowheads="1"/>
        </xdr:cNvSpPr>
      </xdr:nvSpPr>
      <xdr:spPr bwMode="auto">
        <a:xfrm>
          <a:off x="561389" y="5996941"/>
          <a:ext cx="553036" cy="18097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1785</a:t>
          </a:r>
        </a:p>
      </xdr:txBody>
    </xdr:sp>
    <xdr:clientData/>
  </xdr:twoCellAnchor>
  <xdr:twoCellAnchor>
    <xdr:from>
      <xdr:col>0</xdr:col>
      <xdr:colOff>561389</xdr:colOff>
      <xdr:row>26</xdr:row>
      <xdr:rowOff>160021</xdr:rowOff>
    </xdr:from>
    <xdr:to>
      <xdr:col>0</xdr:col>
      <xdr:colOff>1106831</xdr:colOff>
      <xdr:row>27</xdr:row>
      <xdr:rowOff>112644</xdr:rowOff>
    </xdr:to>
    <xdr:sp macro="" textlink="">
      <xdr:nvSpPr>
        <xdr:cNvPr id="9" name="RPM5">
          <a:extLst>
            <a:ext uri="{FF2B5EF4-FFF2-40B4-BE49-F238E27FC236}">
              <a16:creationId xmlns:a16="http://schemas.microsoft.com/office/drawing/2014/main" id="{42AF96D1-F353-493C-AC09-65D274A7C93E}"/>
            </a:ext>
          </a:extLst>
        </xdr:cNvPr>
        <xdr:cNvSpPr txBox="1">
          <a:spLocks noChangeArrowheads="1"/>
        </xdr:cNvSpPr>
      </xdr:nvSpPr>
      <xdr:spPr bwMode="auto">
        <a:xfrm>
          <a:off x="561389" y="6393181"/>
          <a:ext cx="545442" cy="188843"/>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1782</a:t>
          </a:r>
        </a:p>
      </xdr:txBody>
    </xdr:sp>
    <xdr:clientData/>
  </xdr:twoCellAnchor>
  <xdr:twoCellAnchor>
    <xdr:from>
      <xdr:col>0</xdr:col>
      <xdr:colOff>544244</xdr:colOff>
      <xdr:row>28</xdr:row>
      <xdr:rowOff>106681</xdr:rowOff>
    </xdr:from>
    <xdr:to>
      <xdr:col>0</xdr:col>
      <xdr:colOff>1106904</xdr:colOff>
      <xdr:row>29</xdr:row>
      <xdr:rowOff>51436</xdr:rowOff>
    </xdr:to>
    <xdr:sp macro="" textlink="">
      <xdr:nvSpPr>
        <xdr:cNvPr id="10" name="RPM4">
          <a:extLst>
            <a:ext uri="{FF2B5EF4-FFF2-40B4-BE49-F238E27FC236}">
              <a16:creationId xmlns:a16="http://schemas.microsoft.com/office/drawing/2014/main" id="{EDB5265E-09DA-4BCE-8171-F15C4CA29A2F}"/>
            </a:ext>
          </a:extLst>
        </xdr:cNvPr>
        <xdr:cNvSpPr txBox="1">
          <a:spLocks noChangeArrowheads="1"/>
        </xdr:cNvSpPr>
      </xdr:nvSpPr>
      <xdr:spPr bwMode="auto">
        <a:xfrm>
          <a:off x="544244" y="6812281"/>
          <a:ext cx="562660" cy="18097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1779</a:t>
          </a:r>
        </a:p>
      </xdr:txBody>
    </xdr:sp>
    <xdr:clientData/>
  </xdr:twoCellAnchor>
  <xdr:twoCellAnchor>
    <xdr:from>
      <xdr:col>0</xdr:col>
      <xdr:colOff>544244</xdr:colOff>
      <xdr:row>30</xdr:row>
      <xdr:rowOff>45721</xdr:rowOff>
    </xdr:from>
    <xdr:to>
      <xdr:col>0</xdr:col>
      <xdr:colOff>1106904</xdr:colOff>
      <xdr:row>30</xdr:row>
      <xdr:rowOff>226696</xdr:rowOff>
    </xdr:to>
    <xdr:sp macro="" textlink="">
      <xdr:nvSpPr>
        <xdr:cNvPr id="11" name="RPM3">
          <a:extLst>
            <a:ext uri="{FF2B5EF4-FFF2-40B4-BE49-F238E27FC236}">
              <a16:creationId xmlns:a16="http://schemas.microsoft.com/office/drawing/2014/main" id="{5E9DD0EB-00DA-44D8-A0FD-2EC20E8C7301}"/>
            </a:ext>
          </a:extLst>
        </xdr:cNvPr>
        <xdr:cNvSpPr txBox="1">
          <a:spLocks noChangeArrowheads="1"/>
        </xdr:cNvSpPr>
      </xdr:nvSpPr>
      <xdr:spPr bwMode="auto">
        <a:xfrm>
          <a:off x="544244" y="7223761"/>
          <a:ext cx="562660" cy="18097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1776</a:t>
          </a:r>
        </a:p>
      </xdr:txBody>
    </xdr:sp>
    <xdr:clientData/>
  </xdr:twoCellAnchor>
  <xdr:twoCellAnchor>
    <xdr:from>
      <xdr:col>0</xdr:col>
      <xdr:colOff>544244</xdr:colOff>
      <xdr:row>31</xdr:row>
      <xdr:rowOff>220980</xdr:rowOff>
    </xdr:from>
    <xdr:to>
      <xdr:col>0</xdr:col>
      <xdr:colOff>1106904</xdr:colOff>
      <xdr:row>32</xdr:row>
      <xdr:rowOff>158496</xdr:rowOff>
    </xdr:to>
    <xdr:sp macro="" textlink="">
      <xdr:nvSpPr>
        <xdr:cNvPr id="12" name="RPM2">
          <a:extLst>
            <a:ext uri="{FF2B5EF4-FFF2-40B4-BE49-F238E27FC236}">
              <a16:creationId xmlns:a16="http://schemas.microsoft.com/office/drawing/2014/main" id="{72A3AE60-F274-4AD5-A869-DCFCEF316BDD}"/>
            </a:ext>
          </a:extLst>
        </xdr:cNvPr>
        <xdr:cNvSpPr txBox="1">
          <a:spLocks noChangeArrowheads="1"/>
        </xdr:cNvSpPr>
      </xdr:nvSpPr>
      <xdr:spPr bwMode="auto">
        <a:xfrm>
          <a:off x="544244" y="7635240"/>
          <a:ext cx="562660" cy="173736"/>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1773</a:t>
          </a:r>
        </a:p>
      </xdr:txBody>
    </xdr:sp>
    <xdr:clientData/>
  </xdr:twoCellAnchor>
  <xdr:twoCellAnchor>
    <xdr:from>
      <xdr:col>0</xdr:col>
      <xdr:colOff>561389</xdr:colOff>
      <xdr:row>33</xdr:row>
      <xdr:rowOff>152401</xdr:rowOff>
    </xdr:from>
    <xdr:to>
      <xdr:col>0</xdr:col>
      <xdr:colOff>1106831</xdr:colOff>
      <xdr:row>34</xdr:row>
      <xdr:rowOff>89615</xdr:rowOff>
    </xdr:to>
    <xdr:sp macro="" textlink="">
      <xdr:nvSpPr>
        <xdr:cNvPr id="13" name="RPM1">
          <a:extLst>
            <a:ext uri="{FF2B5EF4-FFF2-40B4-BE49-F238E27FC236}">
              <a16:creationId xmlns:a16="http://schemas.microsoft.com/office/drawing/2014/main" id="{6877DDC0-48F3-48CA-9D8D-5C58F62253B0}"/>
            </a:ext>
          </a:extLst>
        </xdr:cNvPr>
        <xdr:cNvSpPr txBox="1">
          <a:spLocks noChangeArrowheads="1"/>
        </xdr:cNvSpPr>
      </xdr:nvSpPr>
      <xdr:spPr bwMode="auto">
        <a:xfrm>
          <a:off x="561389" y="8039101"/>
          <a:ext cx="545442" cy="173434"/>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1770</a:t>
          </a:r>
        </a:p>
      </xdr:txBody>
    </xdr:sp>
    <xdr:clientData/>
  </xdr:twoCellAnchor>
  <xdr:twoCellAnchor>
    <xdr:from>
      <xdr:col>0</xdr:col>
      <xdr:colOff>220980</xdr:colOff>
      <xdr:row>24</xdr:row>
      <xdr:rowOff>116205</xdr:rowOff>
    </xdr:from>
    <xdr:to>
      <xdr:col>0</xdr:col>
      <xdr:colOff>423280</xdr:colOff>
      <xdr:row>26</xdr:row>
      <xdr:rowOff>215265</xdr:rowOff>
    </xdr:to>
    <xdr:sp macro="" textlink="">
      <xdr:nvSpPr>
        <xdr:cNvPr id="14" name="RPM">
          <a:extLst>
            <a:ext uri="{FF2B5EF4-FFF2-40B4-BE49-F238E27FC236}">
              <a16:creationId xmlns:a16="http://schemas.microsoft.com/office/drawing/2014/main" id="{1F4EEBE4-161D-452C-BA5F-5C64E75C68C4}"/>
            </a:ext>
          </a:extLst>
        </xdr:cNvPr>
        <xdr:cNvSpPr txBox="1">
          <a:spLocks noChangeArrowheads="1"/>
        </xdr:cNvSpPr>
      </xdr:nvSpPr>
      <xdr:spPr bwMode="auto">
        <a:xfrm>
          <a:off x="220980" y="5876925"/>
          <a:ext cx="202300" cy="5715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vert270"/>
        <a:lstStyle/>
        <a:p>
          <a:r>
            <a:rPr lang="en-US"/>
            <a:t>RPM</a:t>
          </a:r>
        </a:p>
      </xdr:txBody>
    </xdr:sp>
    <xdr:clientData/>
  </xdr:twoCellAnchor>
  <xdr:twoCellAnchor>
    <xdr:from>
      <xdr:col>5</xdr:col>
      <xdr:colOff>356235</xdr:colOff>
      <xdr:row>16</xdr:row>
      <xdr:rowOff>83821</xdr:rowOff>
    </xdr:from>
    <xdr:to>
      <xdr:col>5</xdr:col>
      <xdr:colOff>791588</xdr:colOff>
      <xdr:row>17</xdr:row>
      <xdr:rowOff>28576</xdr:rowOff>
    </xdr:to>
    <xdr:sp macro="" textlink="">
      <xdr:nvSpPr>
        <xdr:cNvPr id="15" name="Watts11">
          <a:extLst>
            <a:ext uri="{FF2B5EF4-FFF2-40B4-BE49-F238E27FC236}">
              <a16:creationId xmlns:a16="http://schemas.microsoft.com/office/drawing/2014/main" id="{E60F92CE-4CEB-48A3-B619-29393875F654}"/>
            </a:ext>
          </a:extLst>
        </xdr:cNvPr>
        <xdr:cNvSpPr txBox="1">
          <a:spLocks noChangeArrowheads="1"/>
        </xdr:cNvSpPr>
      </xdr:nvSpPr>
      <xdr:spPr bwMode="auto">
        <a:xfrm>
          <a:off x="6071235" y="3954781"/>
          <a:ext cx="435353" cy="18097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800</a:t>
          </a:r>
        </a:p>
      </xdr:txBody>
    </xdr:sp>
    <xdr:clientData/>
  </xdr:twoCellAnchor>
  <xdr:twoCellAnchor>
    <xdr:from>
      <xdr:col>5</xdr:col>
      <xdr:colOff>386715</xdr:colOff>
      <xdr:row>25</xdr:row>
      <xdr:rowOff>0</xdr:rowOff>
    </xdr:from>
    <xdr:to>
      <xdr:col>5</xdr:col>
      <xdr:colOff>873983</xdr:colOff>
      <xdr:row>25</xdr:row>
      <xdr:rowOff>188214</xdr:rowOff>
    </xdr:to>
    <xdr:sp macro="" textlink="">
      <xdr:nvSpPr>
        <xdr:cNvPr id="16" name="Watts6">
          <a:extLst>
            <a:ext uri="{FF2B5EF4-FFF2-40B4-BE49-F238E27FC236}">
              <a16:creationId xmlns:a16="http://schemas.microsoft.com/office/drawing/2014/main" id="{13210F20-69A7-4E33-9D6B-42FCF27915EE}"/>
            </a:ext>
          </a:extLst>
        </xdr:cNvPr>
        <xdr:cNvSpPr txBox="1">
          <a:spLocks noChangeArrowheads="1"/>
        </xdr:cNvSpPr>
      </xdr:nvSpPr>
      <xdr:spPr bwMode="auto">
        <a:xfrm>
          <a:off x="6101715" y="5996940"/>
          <a:ext cx="487268" cy="188214"/>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400</a:t>
          </a:r>
        </a:p>
      </xdr:txBody>
    </xdr:sp>
    <xdr:clientData/>
  </xdr:twoCellAnchor>
  <xdr:twoCellAnchor>
    <xdr:from>
      <xdr:col>5</xdr:col>
      <xdr:colOff>379095</xdr:colOff>
      <xdr:row>26</xdr:row>
      <xdr:rowOff>182880</xdr:rowOff>
    </xdr:from>
    <xdr:to>
      <xdr:col>5</xdr:col>
      <xdr:colOff>807031</xdr:colOff>
      <xdr:row>27</xdr:row>
      <xdr:rowOff>120396</xdr:rowOff>
    </xdr:to>
    <xdr:sp macro="" textlink="">
      <xdr:nvSpPr>
        <xdr:cNvPr id="17" name="Watts5">
          <a:extLst>
            <a:ext uri="{FF2B5EF4-FFF2-40B4-BE49-F238E27FC236}">
              <a16:creationId xmlns:a16="http://schemas.microsoft.com/office/drawing/2014/main" id="{7D66D09C-6757-413E-8AEB-7A39A3CC327D}"/>
            </a:ext>
          </a:extLst>
        </xdr:cNvPr>
        <xdr:cNvSpPr txBox="1">
          <a:spLocks noChangeArrowheads="1"/>
        </xdr:cNvSpPr>
      </xdr:nvSpPr>
      <xdr:spPr bwMode="auto">
        <a:xfrm>
          <a:off x="6094095" y="6416040"/>
          <a:ext cx="427936" cy="173736"/>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320</a:t>
          </a:r>
        </a:p>
      </xdr:txBody>
    </xdr:sp>
    <xdr:clientData/>
  </xdr:twoCellAnchor>
  <xdr:twoCellAnchor>
    <xdr:from>
      <xdr:col>5</xdr:col>
      <xdr:colOff>386715</xdr:colOff>
      <xdr:row>28</xdr:row>
      <xdr:rowOff>114301</xdr:rowOff>
    </xdr:from>
    <xdr:to>
      <xdr:col>5</xdr:col>
      <xdr:colOff>805063</xdr:colOff>
      <xdr:row>29</xdr:row>
      <xdr:rowOff>59056</xdr:rowOff>
    </xdr:to>
    <xdr:sp macro="" textlink="">
      <xdr:nvSpPr>
        <xdr:cNvPr id="18" name="Watts4">
          <a:extLst>
            <a:ext uri="{FF2B5EF4-FFF2-40B4-BE49-F238E27FC236}">
              <a16:creationId xmlns:a16="http://schemas.microsoft.com/office/drawing/2014/main" id="{F52B2ABD-A922-404D-B46E-ED9638438A10}"/>
            </a:ext>
          </a:extLst>
        </xdr:cNvPr>
        <xdr:cNvSpPr txBox="1">
          <a:spLocks noChangeArrowheads="1"/>
        </xdr:cNvSpPr>
      </xdr:nvSpPr>
      <xdr:spPr bwMode="auto">
        <a:xfrm>
          <a:off x="6101715" y="6819901"/>
          <a:ext cx="418348" cy="18097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240</a:t>
          </a:r>
        </a:p>
      </xdr:txBody>
    </xdr:sp>
    <xdr:clientData/>
  </xdr:twoCellAnchor>
  <xdr:twoCellAnchor>
    <xdr:from>
      <xdr:col>5</xdr:col>
      <xdr:colOff>379095</xdr:colOff>
      <xdr:row>30</xdr:row>
      <xdr:rowOff>38101</xdr:rowOff>
    </xdr:from>
    <xdr:to>
      <xdr:col>5</xdr:col>
      <xdr:colOff>807031</xdr:colOff>
      <xdr:row>30</xdr:row>
      <xdr:rowOff>219076</xdr:rowOff>
    </xdr:to>
    <xdr:sp macro="" textlink="">
      <xdr:nvSpPr>
        <xdr:cNvPr id="19" name="Watts3">
          <a:extLst>
            <a:ext uri="{FF2B5EF4-FFF2-40B4-BE49-F238E27FC236}">
              <a16:creationId xmlns:a16="http://schemas.microsoft.com/office/drawing/2014/main" id="{75A27CA5-FBE0-4486-8CD1-9B599D25BC9D}"/>
            </a:ext>
          </a:extLst>
        </xdr:cNvPr>
        <xdr:cNvSpPr txBox="1">
          <a:spLocks noChangeArrowheads="1"/>
        </xdr:cNvSpPr>
      </xdr:nvSpPr>
      <xdr:spPr bwMode="auto">
        <a:xfrm>
          <a:off x="6094095" y="7216141"/>
          <a:ext cx="427936" cy="18097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160</a:t>
          </a:r>
        </a:p>
      </xdr:txBody>
    </xdr:sp>
    <xdr:clientData/>
  </xdr:twoCellAnchor>
  <xdr:twoCellAnchor>
    <xdr:from>
      <xdr:col>5</xdr:col>
      <xdr:colOff>379095</xdr:colOff>
      <xdr:row>31</xdr:row>
      <xdr:rowOff>220980</xdr:rowOff>
    </xdr:from>
    <xdr:to>
      <xdr:col>5</xdr:col>
      <xdr:colOff>807031</xdr:colOff>
      <xdr:row>32</xdr:row>
      <xdr:rowOff>158496</xdr:rowOff>
    </xdr:to>
    <xdr:sp macro="" textlink="">
      <xdr:nvSpPr>
        <xdr:cNvPr id="20" name="Watts2">
          <a:extLst>
            <a:ext uri="{FF2B5EF4-FFF2-40B4-BE49-F238E27FC236}">
              <a16:creationId xmlns:a16="http://schemas.microsoft.com/office/drawing/2014/main" id="{6F7A4DAC-9826-4E05-9DAE-A2FCCF7EAE59}"/>
            </a:ext>
          </a:extLst>
        </xdr:cNvPr>
        <xdr:cNvSpPr txBox="1">
          <a:spLocks noChangeArrowheads="1"/>
        </xdr:cNvSpPr>
      </xdr:nvSpPr>
      <xdr:spPr bwMode="auto">
        <a:xfrm>
          <a:off x="6094095" y="7635240"/>
          <a:ext cx="427936" cy="173736"/>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80</a:t>
          </a:r>
        </a:p>
      </xdr:txBody>
    </xdr:sp>
    <xdr:clientData/>
  </xdr:twoCellAnchor>
  <xdr:twoCellAnchor>
    <xdr:from>
      <xdr:col>5</xdr:col>
      <xdr:colOff>800100</xdr:colOff>
      <xdr:row>22</xdr:row>
      <xdr:rowOff>224790</xdr:rowOff>
    </xdr:from>
    <xdr:to>
      <xdr:col>5</xdr:col>
      <xdr:colOff>1034823</xdr:colOff>
      <xdr:row>28</xdr:row>
      <xdr:rowOff>125730</xdr:rowOff>
    </xdr:to>
    <xdr:sp macro="" textlink="">
      <xdr:nvSpPr>
        <xdr:cNvPr id="21" name="Input Watts">
          <a:extLst>
            <a:ext uri="{FF2B5EF4-FFF2-40B4-BE49-F238E27FC236}">
              <a16:creationId xmlns:a16="http://schemas.microsoft.com/office/drawing/2014/main" id="{478CDDE4-462A-4112-94FE-F3DEED3F2720}"/>
            </a:ext>
          </a:extLst>
        </xdr:cNvPr>
        <xdr:cNvSpPr txBox="1">
          <a:spLocks noChangeArrowheads="1"/>
        </xdr:cNvSpPr>
      </xdr:nvSpPr>
      <xdr:spPr bwMode="auto">
        <a:xfrm>
          <a:off x="6515100" y="5513070"/>
          <a:ext cx="234723" cy="131826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vert270"/>
        <a:lstStyle/>
        <a:p>
          <a:r>
            <a:rPr lang="en-US"/>
            <a:t>Input Watts (kW)</a:t>
          </a:r>
        </a:p>
      </xdr:txBody>
    </xdr:sp>
    <xdr:clientData/>
  </xdr:twoCellAnchor>
  <xdr:twoCellAnchor>
    <xdr:from>
      <xdr:col>5</xdr:col>
      <xdr:colOff>379095</xdr:colOff>
      <xdr:row>23</xdr:row>
      <xdr:rowOff>68580</xdr:rowOff>
    </xdr:from>
    <xdr:to>
      <xdr:col>5</xdr:col>
      <xdr:colOff>807031</xdr:colOff>
      <xdr:row>24</xdr:row>
      <xdr:rowOff>6096</xdr:rowOff>
    </xdr:to>
    <xdr:sp macro="" textlink="">
      <xdr:nvSpPr>
        <xdr:cNvPr id="22" name="Watts7">
          <a:extLst>
            <a:ext uri="{FF2B5EF4-FFF2-40B4-BE49-F238E27FC236}">
              <a16:creationId xmlns:a16="http://schemas.microsoft.com/office/drawing/2014/main" id="{6F3DC8FB-0E0B-4A3C-9404-39DEA0B115C2}"/>
            </a:ext>
          </a:extLst>
        </xdr:cNvPr>
        <xdr:cNvSpPr txBox="1">
          <a:spLocks noChangeArrowheads="1"/>
        </xdr:cNvSpPr>
      </xdr:nvSpPr>
      <xdr:spPr bwMode="auto">
        <a:xfrm>
          <a:off x="6094095" y="5593080"/>
          <a:ext cx="427936" cy="173736"/>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480</a:t>
          </a:r>
        </a:p>
      </xdr:txBody>
    </xdr:sp>
    <xdr:clientData/>
  </xdr:twoCellAnchor>
  <xdr:twoCellAnchor>
    <xdr:from>
      <xdr:col>5</xdr:col>
      <xdr:colOff>379095</xdr:colOff>
      <xdr:row>21</xdr:row>
      <xdr:rowOff>121921</xdr:rowOff>
    </xdr:from>
    <xdr:to>
      <xdr:col>5</xdr:col>
      <xdr:colOff>807031</xdr:colOff>
      <xdr:row>22</xdr:row>
      <xdr:rowOff>74544</xdr:rowOff>
    </xdr:to>
    <xdr:sp macro="" textlink="">
      <xdr:nvSpPr>
        <xdr:cNvPr id="23" name="Watts8">
          <a:extLst>
            <a:ext uri="{FF2B5EF4-FFF2-40B4-BE49-F238E27FC236}">
              <a16:creationId xmlns:a16="http://schemas.microsoft.com/office/drawing/2014/main" id="{54682116-D47D-4DB8-BA2A-A3300895F00A}"/>
            </a:ext>
          </a:extLst>
        </xdr:cNvPr>
        <xdr:cNvSpPr txBox="1">
          <a:spLocks noChangeArrowheads="1"/>
        </xdr:cNvSpPr>
      </xdr:nvSpPr>
      <xdr:spPr bwMode="auto">
        <a:xfrm>
          <a:off x="6094095" y="5173981"/>
          <a:ext cx="427936" cy="188843"/>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560</a:t>
          </a:r>
        </a:p>
      </xdr:txBody>
    </xdr:sp>
    <xdr:clientData/>
  </xdr:twoCellAnchor>
  <xdr:twoCellAnchor>
    <xdr:from>
      <xdr:col>5</xdr:col>
      <xdr:colOff>371475</xdr:colOff>
      <xdr:row>19</xdr:row>
      <xdr:rowOff>198121</xdr:rowOff>
    </xdr:from>
    <xdr:to>
      <xdr:col>5</xdr:col>
      <xdr:colOff>799411</xdr:colOff>
      <xdr:row>20</xdr:row>
      <xdr:rowOff>142876</xdr:rowOff>
    </xdr:to>
    <xdr:sp macro="" textlink="">
      <xdr:nvSpPr>
        <xdr:cNvPr id="24" name="Watts9">
          <a:extLst>
            <a:ext uri="{FF2B5EF4-FFF2-40B4-BE49-F238E27FC236}">
              <a16:creationId xmlns:a16="http://schemas.microsoft.com/office/drawing/2014/main" id="{95D3DF2B-61EE-4228-BA78-64948966055F}"/>
            </a:ext>
          </a:extLst>
        </xdr:cNvPr>
        <xdr:cNvSpPr txBox="1">
          <a:spLocks noChangeArrowheads="1"/>
        </xdr:cNvSpPr>
      </xdr:nvSpPr>
      <xdr:spPr bwMode="auto">
        <a:xfrm>
          <a:off x="6086475" y="4777741"/>
          <a:ext cx="427936" cy="18097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640</a:t>
          </a:r>
        </a:p>
      </xdr:txBody>
    </xdr:sp>
    <xdr:clientData/>
  </xdr:twoCellAnchor>
  <xdr:twoCellAnchor>
    <xdr:from>
      <xdr:col>5</xdr:col>
      <xdr:colOff>371475</xdr:colOff>
      <xdr:row>18</xdr:row>
      <xdr:rowOff>30481</xdr:rowOff>
    </xdr:from>
    <xdr:to>
      <xdr:col>5</xdr:col>
      <xdr:colOff>799411</xdr:colOff>
      <xdr:row>18</xdr:row>
      <xdr:rowOff>211456</xdr:rowOff>
    </xdr:to>
    <xdr:sp macro="" textlink="">
      <xdr:nvSpPr>
        <xdr:cNvPr id="25" name="Watts10">
          <a:extLst>
            <a:ext uri="{FF2B5EF4-FFF2-40B4-BE49-F238E27FC236}">
              <a16:creationId xmlns:a16="http://schemas.microsoft.com/office/drawing/2014/main" id="{C96DE80F-2156-44F3-88EE-AA323EDFCA28}"/>
            </a:ext>
          </a:extLst>
        </xdr:cNvPr>
        <xdr:cNvSpPr txBox="1">
          <a:spLocks noChangeArrowheads="1"/>
        </xdr:cNvSpPr>
      </xdr:nvSpPr>
      <xdr:spPr bwMode="auto">
        <a:xfrm>
          <a:off x="6086475" y="4373881"/>
          <a:ext cx="427936" cy="18097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720</a:t>
          </a:r>
        </a:p>
      </xdr:txBody>
    </xdr:sp>
    <xdr:clientData/>
  </xdr:twoCellAnchor>
  <xdr:twoCellAnchor>
    <xdr:from>
      <xdr:col>2</xdr:col>
      <xdr:colOff>422910</xdr:colOff>
      <xdr:row>16</xdr:row>
      <xdr:rowOff>190500</xdr:rowOff>
    </xdr:from>
    <xdr:to>
      <xdr:col>2</xdr:col>
      <xdr:colOff>792202</xdr:colOff>
      <xdr:row>17</xdr:row>
      <xdr:rowOff>105093</xdr:rowOff>
    </xdr:to>
    <xdr:sp macro="" textlink="" fLocksText="0">
      <xdr:nvSpPr>
        <xdr:cNvPr id="26" name="Text Box 26">
          <a:extLst>
            <a:ext uri="{FF2B5EF4-FFF2-40B4-BE49-F238E27FC236}">
              <a16:creationId xmlns:a16="http://schemas.microsoft.com/office/drawing/2014/main" id="{0123F141-A61A-46F6-B630-D7E9D562BE57}"/>
            </a:ext>
          </a:extLst>
        </xdr:cNvPr>
        <xdr:cNvSpPr txBox="1">
          <a:spLocks noChangeArrowheads="1"/>
        </xdr:cNvSpPr>
      </xdr:nvSpPr>
      <xdr:spPr bwMode="auto">
        <a:xfrm>
          <a:off x="2708910" y="4061460"/>
          <a:ext cx="369292" cy="15081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EFF.</a:t>
          </a:r>
        </a:p>
      </xdr:txBody>
    </xdr:sp>
    <xdr:clientData fLocksWithSheet="0"/>
  </xdr:twoCellAnchor>
  <xdr:twoCellAnchor>
    <xdr:from>
      <xdr:col>3</xdr:col>
      <xdr:colOff>459105</xdr:colOff>
      <xdr:row>18</xdr:row>
      <xdr:rowOff>85725</xdr:rowOff>
    </xdr:from>
    <xdr:to>
      <xdr:col>3</xdr:col>
      <xdr:colOff>803514</xdr:colOff>
      <xdr:row>19</xdr:row>
      <xdr:rowOff>26757</xdr:rowOff>
    </xdr:to>
    <xdr:sp macro="" textlink="" fLocksText="0">
      <xdr:nvSpPr>
        <xdr:cNvPr id="27" name="Text Box 27">
          <a:extLst>
            <a:ext uri="{FF2B5EF4-FFF2-40B4-BE49-F238E27FC236}">
              <a16:creationId xmlns:a16="http://schemas.microsoft.com/office/drawing/2014/main" id="{EE7EABB2-998F-451F-B81F-F7A4DE124181}"/>
            </a:ext>
          </a:extLst>
        </xdr:cNvPr>
        <xdr:cNvSpPr txBox="1">
          <a:spLocks noChangeArrowheads="1"/>
        </xdr:cNvSpPr>
      </xdr:nvSpPr>
      <xdr:spPr bwMode="auto">
        <a:xfrm>
          <a:off x="3888105" y="4429125"/>
          <a:ext cx="344409" cy="17725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P.F.</a:t>
          </a:r>
        </a:p>
      </xdr:txBody>
    </xdr:sp>
    <xdr:clientData fLocksWithSheet="0"/>
  </xdr:twoCellAnchor>
  <xdr:twoCellAnchor>
    <xdr:from>
      <xdr:col>2</xdr:col>
      <xdr:colOff>521970</xdr:colOff>
      <xdr:row>22</xdr:row>
      <xdr:rowOff>201930</xdr:rowOff>
    </xdr:from>
    <xdr:to>
      <xdr:col>2</xdr:col>
      <xdr:colOff>870595</xdr:colOff>
      <xdr:row>23</xdr:row>
      <xdr:rowOff>124461</xdr:rowOff>
    </xdr:to>
    <xdr:sp macro="" textlink="" fLocksText="0">
      <xdr:nvSpPr>
        <xdr:cNvPr id="28" name="Speed">
          <a:extLst>
            <a:ext uri="{FF2B5EF4-FFF2-40B4-BE49-F238E27FC236}">
              <a16:creationId xmlns:a16="http://schemas.microsoft.com/office/drawing/2014/main" id="{5CEAA221-083B-4415-A624-CEDF22C1F71E}"/>
            </a:ext>
          </a:extLst>
        </xdr:cNvPr>
        <xdr:cNvSpPr txBox="1">
          <a:spLocks noChangeArrowheads="1"/>
        </xdr:cNvSpPr>
      </xdr:nvSpPr>
      <xdr:spPr bwMode="auto">
        <a:xfrm>
          <a:off x="2807970" y="5490210"/>
          <a:ext cx="348625" cy="15875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RPM</a:t>
          </a:r>
        </a:p>
      </xdr:txBody>
    </xdr:sp>
    <xdr:clientData fLocksWithSheet="0"/>
  </xdr:twoCellAnchor>
  <xdr:twoCellAnchor>
    <xdr:from>
      <xdr:col>1</xdr:col>
      <xdr:colOff>1032510</xdr:colOff>
      <xdr:row>28</xdr:row>
      <xdr:rowOff>36195</xdr:rowOff>
    </xdr:from>
    <xdr:to>
      <xdr:col>2</xdr:col>
      <xdr:colOff>330136</xdr:colOff>
      <xdr:row>28</xdr:row>
      <xdr:rowOff>188595</xdr:rowOff>
    </xdr:to>
    <xdr:sp macro="" textlink="" fLocksText="0">
      <xdr:nvSpPr>
        <xdr:cNvPr id="29" name="Amps">
          <a:extLst>
            <a:ext uri="{FF2B5EF4-FFF2-40B4-BE49-F238E27FC236}">
              <a16:creationId xmlns:a16="http://schemas.microsoft.com/office/drawing/2014/main" id="{E45CD653-ED4F-4E72-A65B-3ACC1A3D97D5}"/>
            </a:ext>
          </a:extLst>
        </xdr:cNvPr>
        <xdr:cNvSpPr txBox="1">
          <a:spLocks noChangeArrowheads="1"/>
        </xdr:cNvSpPr>
      </xdr:nvSpPr>
      <xdr:spPr bwMode="auto">
        <a:xfrm>
          <a:off x="2175510" y="6741795"/>
          <a:ext cx="440626" cy="1524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AMPS</a:t>
          </a:r>
        </a:p>
      </xdr:txBody>
    </xdr:sp>
    <xdr:clientData fLocksWithSheet="0"/>
  </xdr:twoCellAnchor>
  <xdr:twoCellAnchor>
    <xdr:from>
      <xdr:col>2</xdr:col>
      <xdr:colOff>508635</xdr:colOff>
      <xdr:row>32</xdr:row>
      <xdr:rowOff>120015</xdr:rowOff>
    </xdr:from>
    <xdr:to>
      <xdr:col>2</xdr:col>
      <xdr:colOff>1034776</xdr:colOff>
      <xdr:row>33</xdr:row>
      <xdr:rowOff>42211</xdr:rowOff>
    </xdr:to>
    <xdr:sp macro="" textlink="" fLocksText="0">
      <xdr:nvSpPr>
        <xdr:cNvPr id="30" name="Watts">
          <a:extLst>
            <a:ext uri="{FF2B5EF4-FFF2-40B4-BE49-F238E27FC236}">
              <a16:creationId xmlns:a16="http://schemas.microsoft.com/office/drawing/2014/main" id="{2885086F-CB73-4C7F-B70E-F35CF919C4CA}"/>
            </a:ext>
          </a:extLst>
        </xdr:cNvPr>
        <xdr:cNvSpPr txBox="1">
          <a:spLocks noChangeArrowheads="1"/>
        </xdr:cNvSpPr>
      </xdr:nvSpPr>
      <xdr:spPr bwMode="auto">
        <a:xfrm>
          <a:off x="2794635" y="7770495"/>
          <a:ext cx="526141" cy="15841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WATTS</a:t>
          </a:r>
        </a:p>
      </xdr:txBody>
    </xdr:sp>
    <xdr:clientData fLocksWithSheet="0"/>
  </xdr:twoCellAnchor>
  <xdr:twoCellAnchor>
    <xdr:from>
      <xdr:col>5</xdr:col>
      <xdr:colOff>371475</xdr:colOff>
      <xdr:row>33</xdr:row>
      <xdr:rowOff>144780</xdr:rowOff>
    </xdr:from>
    <xdr:to>
      <xdr:col>5</xdr:col>
      <xdr:colOff>765865</xdr:colOff>
      <xdr:row>34</xdr:row>
      <xdr:rowOff>106680</xdr:rowOff>
    </xdr:to>
    <xdr:sp macro="" textlink="">
      <xdr:nvSpPr>
        <xdr:cNvPr id="31" name="Watts1">
          <a:extLst>
            <a:ext uri="{FF2B5EF4-FFF2-40B4-BE49-F238E27FC236}">
              <a16:creationId xmlns:a16="http://schemas.microsoft.com/office/drawing/2014/main" id="{23076E31-CAFA-42C0-A47A-BEA6ECE9A2B0}"/>
            </a:ext>
          </a:extLst>
        </xdr:cNvPr>
        <xdr:cNvSpPr txBox="1">
          <a:spLocks noChangeArrowheads="1"/>
        </xdr:cNvSpPr>
      </xdr:nvSpPr>
      <xdr:spPr bwMode="auto">
        <a:xfrm>
          <a:off x="6086475" y="8031480"/>
          <a:ext cx="394390" cy="19812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t>0</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6</xdr:col>
      <xdr:colOff>152400</xdr:colOff>
      <xdr:row>16</xdr:row>
      <xdr:rowOff>99060</xdr:rowOff>
    </xdr:from>
    <xdr:to>
      <xdr:col>12</xdr:col>
      <xdr:colOff>990600</xdr:colOff>
      <xdr:row>41</xdr:row>
      <xdr:rowOff>30480</xdr:rowOff>
    </xdr:to>
    <xdr:pic>
      <xdr:nvPicPr>
        <xdr:cNvPr id="2" name="Picture 4">
          <a:extLst>
            <a:ext uri="{FF2B5EF4-FFF2-40B4-BE49-F238E27FC236}">
              <a16:creationId xmlns:a16="http://schemas.microsoft.com/office/drawing/2014/main" id="{FEB983A6-2E2B-49BD-BDD3-A0A13C4A0A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28294" r="27284"/>
        <a:stretch>
          <a:fillRect/>
        </a:stretch>
      </xdr:blipFill>
      <xdr:spPr bwMode="auto">
        <a:xfrm>
          <a:off x="2964180" y="2994660"/>
          <a:ext cx="3535680" cy="419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OCUME~1/&#38596;&#21496;/LOCALS~1/Temp/QUOTE.lzh%20&#12398;&#19968;&#26178;&#12487;&#12451;&#12524;&#12463;&#12488;&#12522;%204/QDB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QUOTE/QDB12.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QUOTE/myQuotation/TMGA/drawing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35211;&#31309;&#38306;&#20418;/&#35211;&#31309;/B&#12471;&#12522;&#12540;&#12474;/BAD3473/&#35211;&#31309;&#38306;&#20418;/&#35211;&#31309;&#36039;&#26009;/&#31038;&#20869;&#20844;&#20849;&#29256;rev%206.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QUOTE/QDB11.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QUOTE/myQuotation/TMGA/QUOTE.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35211;&#31309;&#38306;&#20418;/&#35211;&#31309;&#36039;&#26009;/&#35211;&#31309;&#36039;&#26009;(&#26087;)/PAINT/RAL551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35211;&#31309;&#38306;&#20418;/&#35211;&#31309;&#36039;&#26009;/&#31038;&#20869;&amp;&#20844;&#20849;&#29256;&#65420;&#65387;&#65392;&#65423;&#65391;&#65412;(REC).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QUOTE/QDB7.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35211;&#31309;&#38306;&#20418;/&#35211;&#31309;&#36039;&#26009;/&#35211;&#31309;&#12484;&#12540;&#12523;rev9.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ELECTRIC/PERFORMA/BY%20PROJECTS/811k/81167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基本構造変換"/>
      <sheetName val="OPTION"/>
      <sheetName val="本体価格TM21"/>
      <sheetName val="図面特性DATA"/>
      <sheetName val="特殊値増"/>
      <sheetName val="JPENG"/>
      <sheetName val="標準軸受"/>
      <sheetName val="防爆出力及業種"/>
      <sheetName val="騒音構造付"/>
      <sheetName val="許容ベルト荷重"/>
      <sheetName val="許容ｽﾗｽﾄ"/>
      <sheetName val="温度"/>
      <sheetName val="時津範囲"/>
      <sheetName val="変更履歴"/>
      <sheetName val="防爆出力,業種"/>
      <sheetName val="DV&amp;CL"/>
      <sheetName val="入力補助"/>
      <sheetName val="Miscellanou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基本構造変換"/>
      <sheetName val="OPTION"/>
      <sheetName val="本体価格TM21"/>
      <sheetName val="特性DATA"/>
      <sheetName val="外形図DATA"/>
      <sheetName val="防爆出力及業種"/>
      <sheetName val="特殊値増"/>
      <sheetName val="JPENG"/>
      <sheetName val="標準軸受"/>
      <sheetName val="騒音構造付"/>
      <sheetName val="許容ベルト荷重"/>
      <sheetName val="許容ｽﾗｽﾄ"/>
      <sheetName val="温度"/>
      <sheetName val="補助データ"/>
      <sheetName val="時津範囲"/>
      <sheetName val="入力補助"/>
      <sheetName val="DVCL"/>
      <sheetName val="見積補助"/>
      <sheetName val="変更履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arings"/>
      <sheetName val="Accessories"/>
      <sheetName val="Conduit box"/>
      <sheetName val="F II Drawings"/>
      <sheetName val="M II Drawings"/>
      <sheetName val="Appendix"/>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
      <sheetName val="JPN SPEC."/>
      <sheetName val="特性表"/>
      <sheetName val="DV&amp;CL"/>
      <sheetName val="INPUT"/>
      <sheetName val="ENG SPEC."/>
      <sheetName val="DATA"/>
      <sheetName val="DV&amp;CL辞書"/>
      <sheetName val="内訳"/>
      <sheetName val="OL"/>
      <sheetName val="LBﾊﾟﾗﾒｰ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基本構造変換"/>
      <sheetName val="OPTION"/>
      <sheetName val="本体価格TM21"/>
      <sheetName val="図面特性DATA"/>
      <sheetName val="防爆出力及業種"/>
      <sheetName val="特殊値増"/>
      <sheetName val="JPENG"/>
      <sheetName val="標準軸受"/>
      <sheetName val="騒音構造付"/>
      <sheetName val="許容ベルト荷重"/>
      <sheetName val="許容ｽﾗｽﾄ"/>
      <sheetName val="温度"/>
      <sheetName val="補助データ"/>
      <sheetName val="時津範囲"/>
      <sheetName val="入力補助"/>
      <sheetName val="DVCL"/>
      <sheetName val="見積補助"/>
      <sheetName val="変更履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REPLY"/>
      <sheetName val="CALC"/>
      <sheetName val="LB"/>
      <sheetName val="値増"/>
      <sheetName val="本体価格"/>
      <sheetName val="計算判断基準"/>
      <sheetName val="COMMENT"/>
      <sheetName val="プログラム論理説明"/>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見積回答書"/>
      <sheetName val="JPN SPEC."/>
      <sheetName val="ENG SPEC."/>
      <sheetName val="DV&amp;CL"/>
      <sheetName val="TEST"/>
      <sheetName val="PP (1)"/>
      <sheetName val="INPUT"/>
      <sheetName val="特性表"/>
      <sheetName val="DATA"/>
      <sheetName val="内訳"/>
      <sheetName val="OL"/>
      <sheetName val="DV&amp;CL辞書"/>
      <sheetName val="LBﾊﾟﾗﾒｰﾀ"/>
      <sheetName val="変更履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
      <sheetName val="ENG SPEC."/>
      <sheetName val="JPN SPEC."/>
      <sheetName val="DATA"/>
      <sheetName val="ﾃﾞｰﾀ"/>
      <sheetName val="始動特性1"/>
      <sheetName val="始動特性2"/>
      <sheetName val="始動特性3"/>
      <sheetName val="STI"/>
      <sheetName val="STI (2)"/>
      <sheetName val="STI (3)"/>
      <sheetName val="グラフ"/>
      <sheetName val="dwg"/>
      <sheetName val="DV&amp;CL"/>
      <sheetName val="cost"/>
      <sheetName val="INPUT"/>
      <sheetName val="内訳"/>
      <sheetName val="LBﾊﾟﾗﾒｰ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基本構造変換"/>
      <sheetName val="OPTION"/>
      <sheetName val="本体価格TM21"/>
      <sheetName val="特殊値増"/>
      <sheetName val="JPENG"/>
      <sheetName val="標準軸受"/>
      <sheetName val="防爆出力,業種"/>
      <sheetName val="騒音構造付"/>
      <sheetName val="許容ベルト荷重"/>
      <sheetName val="許容ｽﾗｽﾄ"/>
      <sheetName val="図面特性DATA"/>
      <sheetName val="変更履歴"/>
      <sheetName val="防爆出力及業種"/>
      <sheetName val="温度"/>
      <sheetName val="時津範囲"/>
      <sheetName val="DV&amp;CL"/>
      <sheetName val="入力補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
      <sheetName val="入力整理"/>
      <sheetName val="見積回答社外"/>
      <sheetName val="PRICE社内"/>
      <sheetName val="HOU Quotation sheet"/>
      <sheetName val="JPN SPEC."/>
      <sheetName val="特性"/>
      <sheetName val="ENG SPEC."/>
      <sheetName val="DATA"/>
      <sheetName val="STI"/>
      <sheetName val="始動特性１"/>
      <sheetName val="STI (2)"/>
      <sheetName val="OL"/>
      <sheetName val="thermal"/>
      <sheetName val="DV&amp;CL"/>
      <sheetName val="API541 3rd COMMENT"/>
      <sheetName val="API541 4th COMMENT"/>
      <sheetName val="cost "/>
      <sheetName val="内訳"/>
      <sheetName val="図面特性"/>
      <sheetName val="提出形式へ変更"/>
      <sheetName val="LBﾊﾟﾗﾒｰ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
      <sheetName val="PerfData"/>
      <sheetName val="STCurve STAGE93"/>
      <sheetName val="Thermdam STAGE93"/>
      <sheetName val="Circuit Param."/>
    </sheetNames>
    <sheetDataSet>
      <sheetData sheetId="0"/>
      <sheetData sheetId="1">
        <row r="43">
          <cell r="K43" t="str">
            <v>JERRY R</v>
          </cell>
        </row>
      </sheetData>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DF156-11CE-47AB-82CE-BE73BB8870D8}">
  <sheetPr>
    <pageSetUpPr fitToPage="1"/>
  </sheetPr>
  <dimension ref="A1:J113"/>
  <sheetViews>
    <sheetView zoomScale="95" workbookViewId="0">
      <selection activeCell="B3" sqref="B3"/>
    </sheetView>
  </sheetViews>
  <sheetFormatPr defaultRowHeight="13.2"/>
  <cols>
    <col min="1" max="6" width="9.25" style="82" customWidth="1"/>
    <col min="7" max="7" width="9.33203125" style="82" customWidth="1"/>
    <col min="8" max="8" width="9.5" style="82" customWidth="1"/>
    <col min="9" max="10" width="9.25" style="82" customWidth="1"/>
    <col min="11" max="256" width="8.6640625" style="82"/>
    <col min="257" max="262" width="9.25" style="82" customWidth="1"/>
    <col min="263" max="263" width="9.33203125" style="82" customWidth="1"/>
    <col min="264" max="264" width="9.5" style="82" customWidth="1"/>
    <col min="265" max="266" width="9.25" style="82" customWidth="1"/>
    <col min="267" max="512" width="8.6640625" style="82"/>
    <col min="513" max="518" width="9.25" style="82" customWidth="1"/>
    <col min="519" max="519" width="9.33203125" style="82" customWidth="1"/>
    <col min="520" max="520" width="9.5" style="82" customWidth="1"/>
    <col min="521" max="522" width="9.25" style="82" customWidth="1"/>
    <col min="523" max="768" width="8.6640625" style="82"/>
    <col min="769" max="774" width="9.25" style="82" customWidth="1"/>
    <col min="775" max="775" width="9.33203125" style="82" customWidth="1"/>
    <col min="776" max="776" width="9.5" style="82" customWidth="1"/>
    <col min="777" max="778" width="9.25" style="82" customWidth="1"/>
    <col min="779" max="1024" width="8.6640625" style="82"/>
    <col min="1025" max="1030" width="9.25" style="82" customWidth="1"/>
    <col min="1031" max="1031" width="9.33203125" style="82" customWidth="1"/>
    <col min="1032" max="1032" width="9.5" style="82" customWidth="1"/>
    <col min="1033" max="1034" width="9.25" style="82" customWidth="1"/>
    <col min="1035" max="1280" width="8.6640625" style="82"/>
    <col min="1281" max="1286" width="9.25" style="82" customWidth="1"/>
    <col min="1287" max="1287" width="9.33203125" style="82" customWidth="1"/>
    <col min="1288" max="1288" width="9.5" style="82" customWidth="1"/>
    <col min="1289" max="1290" width="9.25" style="82" customWidth="1"/>
    <col min="1291" max="1536" width="8.6640625" style="82"/>
    <col min="1537" max="1542" width="9.25" style="82" customWidth="1"/>
    <col min="1543" max="1543" width="9.33203125" style="82" customWidth="1"/>
    <col min="1544" max="1544" width="9.5" style="82" customWidth="1"/>
    <col min="1545" max="1546" width="9.25" style="82" customWidth="1"/>
    <col min="1547" max="1792" width="8.6640625" style="82"/>
    <col min="1793" max="1798" width="9.25" style="82" customWidth="1"/>
    <col min="1799" max="1799" width="9.33203125" style="82" customWidth="1"/>
    <col min="1800" max="1800" width="9.5" style="82" customWidth="1"/>
    <col min="1801" max="1802" width="9.25" style="82" customWidth="1"/>
    <col min="1803" max="2048" width="8.6640625" style="82"/>
    <col min="2049" max="2054" width="9.25" style="82" customWidth="1"/>
    <col min="2055" max="2055" width="9.33203125" style="82" customWidth="1"/>
    <col min="2056" max="2056" width="9.5" style="82" customWidth="1"/>
    <col min="2057" max="2058" width="9.25" style="82" customWidth="1"/>
    <col min="2059" max="2304" width="8.6640625" style="82"/>
    <col min="2305" max="2310" width="9.25" style="82" customWidth="1"/>
    <col min="2311" max="2311" width="9.33203125" style="82" customWidth="1"/>
    <col min="2312" max="2312" width="9.5" style="82" customWidth="1"/>
    <col min="2313" max="2314" width="9.25" style="82" customWidth="1"/>
    <col min="2315" max="2560" width="8.6640625" style="82"/>
    <col min="2561" max="2566" width="9.25" style="82" customWidth="1"/>
    <col min="2567" max="2567" width="9.33203125" style="82" customWidth="1"/>
    <col min="2568" max="2568" width="9.5" style="82" customWidth="1"/>
    <col min="2569" max="2570" width="9.25" style="82" customWidth="1"/>
    <col min="2571" max="2816" width="8.6640625" style="82"/>
    <col min="2817" max="2822" width="9.25" style="82" customWidth="1"/>
    <col min="2823" max="2823" width="9.33203125" style="82" customWidth="1"/>
    <col min="2824" max="2824" width="9.5" style="82" customWidth="1"/>
    <col min="2825" max="2826" width="9.25" style="82" customWidth="1"/>
    <col min="2827" max="3072" width="8.6640625" style="82"/>
    <col min="3073" max="3078" width="9.25" style="82" customWidth="1"/>
    <col min="3079" max="3079" width="9.33203125" style="82" customWidth="1"/>
    <col min="3080" max="3080" width="9.5" style="82" customWidth="1"/>
    <col min="3081" max="3082" width="9.25" style="82" customWidth="1"/>
    <col min="3083" max="3328" width="8.6640625" style="82"/>
    <col min="3329" max="3334" width="9.25" style="82" customWidth="1"/>
    <col min="3335" max="3335" width="9.33203125" style="82" customWidth="1"/>
    <col min="3336" max="3336" width="9.5" style="82" customWidth="1"/>
    <col min="3337" max="3338" width="9.25" style="82" customWidth="1"/>
    <col min="3339" max="3584" width="8.6640625" style="82"/>
    <col min="3585" max="3590" width="9.25" style="82" customWidth="1"/>
    <col min="3591" max="3591" width="9.33203125" style="82" customWidth="1"/>
    <col min="3592" max="3592" width="9.5" style="82" customWidth="1"/>
    <col min="3593" max="3594" width="9.25" style="82" customWidth="1"/>
    <col min="3595" max="3840" width="8.6640625" style="82"/>
    <col min="3841" max="3846" width="9.25" style="82" customWidth="1"/>
    <col min="3847" max="3847" width="9.33203125" style="82" customWidth="1"/>
    <col min="3848" max="3848" width="9.5" style="82" customWidth="1"/>
    <col min="3849" max="3850" width="9.25" style="82" customWidth="1"/>
    <col min="3851" max="4096" width="8.6640625" style="82"/>
    <col min="4097" max="4102" width="9.25" style="82" customWidth="1"/>
    <col min="4103" max="4103" width="9.33203125" style="82" customWidth="1"/>
    <col min="4104" max="4104" width="9.5" style="82" customWidth="1"/>
    <col min="4105" max="4106" width="9.25" style="82" customWidth="1"/>
    <col min="4107" max="4352" width="8.6640625" style="82"/>
    <col min="4353" max="4358" width="9.25" style="82" customWidth="1"/>
    <col min="4359" max="4359" width="9.33203125" style="82" customWidth="1"/>
    <col min="4360" max="4360" width="9.5" style="82" customWidth="1"/>
    <col min="4361" max="4362" width="9.25" style="82" customWidth="1"/>
    <col min="4363" max="4608" width="8.6640625" style="82"/>
    <col min="4609" max="4614" width="9.25" style="82" customWidth="1"/>
    <col min="4615" max="4615" width="9.33203125" style="82" customWidth="1"/>
    <col min="4616" max="4616" width="9.5" style="82" customWidth="1"/>
    <col min="4617" max="4618" width="9.25" style="82" customWidth="1"/>
    <col min="4619" max="4864" width="8.6640625" style="82"/>
    <col min="4865" max="4870" width="9.25" style="82" customWidth="1"/>
    <col min="4871" max="4871" width="9.33203125" style="82" customWidth="1"/>
    <col min="4872" max="4872" width="9.5" style="82" customWidth="1"/>
    <col min="4873" max="4874" width="9.25" style="82" customWidth="1"/>
    <col min="4875" max="5120" width="8.6640625" style="82"/>
    <col min="5121" max="5126" width="9.25" style="82" customWidth="1"/>
    <col min="5127" max="5127" width="9.33203125" style="82" customWidth="1"/>
    <col min="5128" max="5128" width="9.5" style="82" customWidth="1"/>
    <col min="5129" max="5130" width="9.25" style="82" customWidth="1"/>
    <col min="5131" max="5376" width="8.6640625" style="82"/>
    <col min="5377" max="5382" width="9.25" style="82" customWidth="1"/>
    <col min="5383" max="5383" width="9.33203125" style="82" customWidth="1"/>
    <col min="5384" max="5384" width="9.5" style="82" customWidth="1"/>
    <col min="5385" max="5386" width="9.25" style="82" customWidth="1"/>
    <col min="5387" max="5632" width="8.6640625" style="82"/>
    <col min="5633" max="5638" width="9.25" style="82" customWidth="1"/>
    <col min="5639" max="5639" width="9.33203125" style="82" customWidth="1"/>
    <col min="5640" max="5640" width="9.5" style="82" customWidth="1"/>
    <col min="5641" max="5642" width="9.25" style="82" customWidth="1"/>
    <col min="5643" max="5888" width="8.6640625" style="82"/>
    <col min="5889" max="5894" width="9.25" style="82" customWidth="1"/>
    <col min="5895" max="5895" width="9.33203125" style="82" customWidth="1"/>
    <col min="5896" max="5896" width="9.5" style="82" customWidth="1"/>
    <col min="5897" max="5898" width="9.25" style="82" customWidth="1"/>
    <col min="5899" max="6144" width="8.6640625" style="82"/>
    <col min="6145" max="6150" width="9.25" style="82" customWidth="1"/>
    <col min="6151" max="6151" width="9.33203125" style="82" customWidth="1"/>
    <col min="6152" max="6152" width="9.5" style="82" customWidth="1"/>
    <col min="6153" max="6154" width="9.25" style="82" customWidth="1"/>
    <col min="6155" max="6400" width="8.6640625" style="82"/>
    <col min="6401" max="6406" width="9.25" style="82" customWidth="1"/>
    <col min="6407" max="6407" width="9.33203125" style="82" customWidth="1"/>
    <col min="6408" max="6408" width="9.5" style="82" customWidth="1"/>
    <col min="6409" max="6410" width="9.25" style="82" customWidth="1"/>
    <col min="6411" max="6656" width="8.6640625" style="82"/>
    <col min="6657" max="6662" width="9.25" style="82" customWidth="1"/>
    <col min="6663" max="6663" width="9.33203125" style="82" customWidth="1"/>
    <col min="6664" max="6664" width="9.5" style="82" customWidth="1"/>
    <col min="6665" max="6666" width="9.25" style="82" customWidth="1"/>
    <col min="6667" max="6912" width="8.6640625" style="82"/>
    <col min="6913" max="6918" width="9.25" style="82" customWidth="1"/>
    <col min="6919" max="6919" width="9.33203125" style="82" customWidth="1"/>
    <col min="6920" max="6920" width="9.5" style="82" customWidth="1"/>
    <col min="6921" max="6922" width="9.25" style="82" customWidth="1"/>
    <col min="6923" max="7168" width="8.6640625" style="82"/>
    <col min="7169" max="7174" width="9.25" style="82" customWidth="1"/>
    <col min="7175" max="7175" width="9.33203125" style="82" customWidth="1"/>
    <col min="7176" max="7176" width="9.5" style="82" customWidth="1"/>
    <col min="7177" max="7178" width="9.25" style="82" customWidth="1"/>
    <col min="7179" max="7424" width="8.6640625" style="82"/>
    <col min="7425" max="7430" width="9.25" style="82" customWidth="1"/>
    <col min="7431" max="7431" width="9.33203125" style="82" customWidth="1"/>
    <col min="7432" max="7432" width="9.5" style="82" customWidth="1"/>
    <col min="7433" max="7434" width="9.25" style="82" customWidth="1"/>
    <col min="7435" max="7680" width="8.6640625" style="82"/>
    <col min="7681" max="7686" width="9.25" style="82" customWidth="1"/>
    <col min="7687" max="7687" width="9.33203125" style="82" customWidth="1"/>
    <col min="7688" max="7688" width="9.5" style="82" customWidth="1"/>
    <col min="7689" max="7690" width="9.25" style="82" customWidth="1"/>
    <col min="7691" max="7936" width="8.6640625" style="82"/>
    <col min="7937" max="7942" width="9.25" style="82" customWidth="1"/>
    <col min="7943" max="7943" width="9.33203125" style="82" customWidth="1"/>
    <col min="7944" max="7944" width="9.5" style="82" customWidth="1"/>
    <col min="7945" max="7946" width="9.25" style="82" customWidth="1"/>
    <col min="7947" max="8192" width="8.6640625" style="82"/>
    <col min="8193" max="8198" width="9.25" style="82" customWidth="1"/>
    <col min="8199" max="8199" width="9.33203125" style="82" customWidth="1"/>
    <col min="8200" max="8200" width="9.5" style="82" customWidth="1"/>
    <col min="8201" max="8202" width="9.25" style="82" customWidth="1"/>
    <col min="8203" max="8448" width="8.6640625" style="82"/>
    <col min="8449" max="8454" width="9.25" style="82" customWidth="1"/>
    <col min="8455" max="8455" width="9.33203125" style="82" customWidth="1"/>
    <col min="8456" max="8456" width="9.5" style="82" customWidth="1"/>
    <col min="8457" max="8458" width="9.25" style="82" customWidth="1"/>
    <col min="8459" max="8704" width="8.6640625" style="82"/>
    <col min="8705" max="8710" width="9.25" style="82" customWidth="1"/>
    <col min="8711" max="8711" width="9.33203125" style="82" customWidth="1"/>
    <col min="8712" max="8712" width="9.5" style="82" customWidth="1"/>
    <col min="8713" max="8714" width="9.25" style="82" customWidth="1"/>
    <col min="8715" max="8960" width="8.6640625" style="82"/>
    <col min="8961" max="8966" width="9.25" style="82" customWidth="1"/>
    <col min="8967" max="8967" width="9.33203125" style="82" customWidth="1"/>
    <col min="8968" max="8968" width="9.5" style="82" customWidth="1"/>
    <col min="8969" max="8970" width="9.25" style="82" customWidth="1"/>
    <col min="8971" max="9216" width="8.6640625" style="82"/>
    <col min="9217" max="9222" width="9.25" style="82" customWidth="1"/>
    <col min="9223" max="9223" width="9.33203125" style="82" customWidth="1"/>
    <col min="9224" max="9224" width="9.5" style="82" customWidth="1"/>
    <col min="9225" max="9226" width="9.25" style="82" customWidth="1"/>
    <col min="9227" max="9472" width="8.6640625" style="82"/>
    <col min="9473" max="9478" width="9.25" style="82" customWidth="1"/>
    <col min="9479" max="9479" width="9.33203125" style="82" customWidth="1"/>
    <col min="9480" max="9480" width="9.5" style="82" customWidth="1"/>
    <col min="9481" max="9482" width="9.25" style="82" customWidth="1"/>
    <col min="9483" max="9728" width="8.6640625" style="82"/>
    <col min="9729" max="9734" width="9.25" style="82" customWidth="1"/>
    <col min="9735" max="9735" width="9.33203125" style="82" customWidth="1"/>
    <col min="9736" max="9736" width="9.5" style="82" customWidth="1"/>
    <col min="9737" max="9738" width="9.25" style="82" customWidth="1"/>
    <col min="9739" max="9984" width="8.6640625" style="82"/>
    <col min="9985" max="9990" width="9.25" style="82" customWidth="1"/>
    <col min="9991" max="9991" width="9.33203125" style="82" customWidth="1"/>
    <col min="9992" max="9992" width="9.5" style="82" customWidth="1"/>
    <col min="9993" max="9994" width="9.25" style="82" customWidth="1"/>
    <col min="9995" max="10240" width="8.6640625" style="82"/>
    <col min="10241" max="10246" width="9.25" style="82" customWidth="1"/>
    <col min="10247" max="10247" width="9.33203125" style="82" customWidth="1"/>
    <col min="10248" max="10248" width="9.5" style="82" customWidth="1"/>
    <col min="10249" max="10250" width="9.25" style="82" customWidth="1"/>
    <col min="10251" max="10496" width="8.6640625" style="82"/>
    <col min="10497" max="10502" width="9.25" style="82" customWidth="1"/>
    <col min="10503" max="10503" width="9.33203125" style="82" customWidth="1"/>
    <col min="10504" max="10504" width="9.5" style="82" customWidth="1"/>
    <col min="10505" max="10506" width="9.25" style="82" customWidth="1"/>
    <col min="10507" max="10752" width="8.6640625" style="82"/>
    <col min="10753" max="10758" width="9.25" style="82" customWidth="1"/>
    <col min="10759" max="10759" width="9.33203125" style="82" customWidth="1"/>
    <col min="10760" max="10760" width="9.5" style="82" customWidth="1"/>
    <col min="10761" max="10762" width="9.25" style="82" customWidth="1"/>
    <col min="10763" max="11008" width="8.6640625" style="82"/>
    <col min="11009" max="11014" width="9.25" style="82" customWidth="1"/>
    <col min="11015" max="11015" width="9.33203125" style="82" customWidth="1"/>
    <col min="11016" max="11016" width="9.5" style="82" customWidth="1"/>
    <col min="11017" max="11018" width="9.25" style="82" customWidth="1"/>
    <col min="11019" max="11264" width="8.6640625" style="82"/>
    <col min="11265" max="11270" width="9.25" style="82" customWidth="1"/>
    <col min="11271" max="11271" width="9.33203125" style="82" customWidth="1"/>
    <col min="11272" max="11272" width="9.5" style="82" customWidth="1"/>
    <col min="11273" max="11274" width="9.25" style="82" customWidth="1"/>
    <col min="11275" max="11520" width="8.6640625" style="82"/>
    <col min="11521" max="11526" width="9.25" style="82" customWidth="1"/>
    <col min="11527" max="11527" width="9.33203125" style="82" customWidth="1"/>
    <col min="11528" max="11528" width="9.5" style="82" customWidth="1"/>
    <col min="11529" max="11530" width="9.25" style="82" customWidth="1"/>
    <col min="11531" max="11776" width="8.6640625" style="82"/>
    <col min="11777" max="11782" width="9.25" style="82" customWidth="1"/>
    <col min="11783" max="11783" width="9.33203125" style="82" customWidth="1"/>
    <col min="11784" max="11784" width="9.5" style="82" customWidth="1"/>
    <col min="11785" max="11786" width="9.25" style="82" customWidth="1"/>
    <col min="11787" max="12032" width="8.6640625" style="82"/>
    <col min="12033" max="12038" width="9.25" style="82" customWidth="1"/>
    <col min="12039" max="12039" width="9.33203125" style="82" customWidth="1"/>
    <col min="12040" max="12040" width="9.5" style="82" customWidth="1"/>
    <col min="12041" max="12042" width="9.25" style="82" customWidth="1"/>
    <col min="12043" max="12288" width="8.6640625" style="82"/>
    <col min="12289" max="12294" width="9.25" style="82" customWidth="1"/>
    <col min="12295" max="12295" width="9.33203125" style="82" customWidth="1"/>
    <col min="12296" max="12296" width="9.5" style="82" customWidth="1"/>
    <col min="12297" max="12298" width="9.25" style="82" customWidth="1"/>
    <col min="12299" max="12544" width="8.6640625" style="82"/>
    <col min="12545" max="12550" width="9.25" style="82" customWidth="1"/>
    <col min="12551" max="12551" width="9.33203125" style="82" customWidth="1"/>
    <col min="12552" max="12552" width="9.5" style="82" customWidth="1"/>
    <col min="12553" max="12554" width="9.25" style="82" customWidth="1"/>
    <col min="12555" max="12800" width="8.6640625" style="82"/>
    <col min="12801" max="12806" width="9.25" style="82" customWidth="1"/>
    <col min="12807" max="12807" width="9.33203125" style="82" customWidth="1"/>
    <col min="12808" max="12808" width="9.5" style="82" customWidth="1"/>
    <col min="12809" max="12810" width="9.25" style="82" customWidth="1"/>
    <col min="12811" max="13056" width="8.6640625" style="82"/>
    <col min="13057" max="13062" width="9.25" style="82" customWidth="1"/>
    <col min="13063" max="13063" width="9.33203125" style="82" customWidth="1"/>
    <col min="13064" max="13064" width="9.5" style="82" customWidth="1"/>
    <col min="13065" max="13066" width="9.25" style="82" customWidth="1"/>
    <col min="13067" max="13312" width="8.6640625" style="82"/>
    <col min="13313" max="13318" width="9.25" style="82" customWidth="1"/>
    <col min="13319" max="13319" width="9.33203125" style="82" customWidth="1"/>
    <col min="13320" max="13320" width="9.5" style="82" customWidth="1"/>
    <col min="13321" max="13322" width="9.25" style="82" customWidth="1"/>
    <col min="13323" max="13568" width="8.6640625" style="82"/>
    <col min="13569" max="13574" width="9.25" style="82" customWidth="1"/>
    <col min="13575" max="13575" width="9.33203125" style="82" customWidth="1"/>
    <col min="13576" max="13576" width="9.5" style="82" customWidth="1"/>
    <col min="13577" max="13578" width="9.25" style="82" customWidth="1"/>
    <col min="13579" max="13824" width="8.6640625" style="82"/>
    <col min="13825" max="13830" width="9.25" style="82" customWidth="1"/>
    <col min="13831" max="13831" width="9.33203125" style="82" customWidth="1"/>
    <col min="13832" max="13832" width="9.5" style="82" customWidth="1"/>
    <col min="13833" max="13834" width="9.25" style="82" customWidth="1"/>
    <col min="13835" max="14080" width="8.6640625" style="82"/>
    <col min="14081" max="14086" width="9.25" style="82" customWidth="1"/>
    <col min="14087" max="14087" width="9.33203125" style="82" customWidth="1"/>
    <col min="14088" max="14088" width="9.5" style="82" customWidth="1"/>
    <col min="14089" max="14090" width="9.25" style="82" customWidth="1"/>
    <col min="14091" max="14336" width="8.6640625" style="82"/>
    <col min="14337" max="14342" width="9.25" style="82" customWidth="1"/>
    <col min="14343" max="14343" width="9.33203125" style="82" customWidth="1"/>
    <col min="14344" max="14344" width="9.5" style="82" customWidth="1"/>
    <col min="14345" max="14346" width="9.25" style="82" customWidth="1"/>
    <col min="14347" max="14592" width="8.6640625" style="82"/>
    <col min="14593" max="14598" width="9.25" style="82" customWidth="1"/>
    <col min="14599" max="14599" width="9.33203125" style="82" customWidth="1"/>
    <col min="14600" max="14600" width="9.5" style="82" customWidth="1"/>
    <col min="14601" max="14602" width="9.25" style="82" customWidth="1"/>
    <col min="14603" max="14848" width="8.6640625" style="82"/>
    <col min="14849" max="14854" width="9.25" style="82" customWidth="1"/>
    <col min="14855" max="14855" width="9.33203125" style="82" customWidth="1"/>
    <col min="14856" max="14856" width="9.5" style="82" customWidth="1"/>
    <col min="14857" max="14858" width="9.25" style="82" customWidth="1"/>
    <col min="14859" max="15104" width="8.6640625" style="82"/>
    <col min="15105" max="15110" width="9.25" style="82" customWidth="1"/>
    <col min="15111" max="15111" width="9.33203125" style="82" customWidth="1"/>
    <col min="15112" max="15112" width="9.5" style="82" customWidth="1"/>
    <col min="15113" max="15114" width="9.25" style="82" customWidth="1"/>
    <col min="15115" max="15360" width="8.6640625" style="82"/>
    <col min="15361" max="15366" width="9.25" style="82" customWidth="1"/>
    <col min="15367" max="15367" width="9.33203125" style="82" customWidth="1"/>
    <col min="15368" max="15368" width="9.5" style="82" customWidth="1"/>
    <col min="15369" max="15370" width="9.25" style="82" customWidth="1"/>
    <col min="15371" max="15616" width="8.6640625" style="82"/>
    <col min="15617" max="15622" width="9.25" style="82" customWidth="1"/>
    <col min="15623" max="15623" width="9.33203125" style="82" customWidth="1"/>
    <col min="15624" max="15624" width="9.5" style="82" customWidth="1"/>
    <col min="15625" max="15626" width="9.25" style="82" customWidth="1"/>
    <col min="15627" max="15872" width="8.6640625" style="82"/>
    <col min="15873" max="15878" width="9.25" style="82" customWidth="1"/>
    <col min="15879" max="15879" width="9.33203125" style="82" customWidth="1"/>
    <col min="15880" max="15880" width="9.5" style="82" customWidth="1"/>
    <col min="15881" max="15882" width="9.25" style="82" customWidth="1"/>
    <col min="15883" max="16128" width="8.6640625" style="82"/>
    <col min="16129" max="16134" width="9.25" style="82" customWidth="1"/>
    <col min="16135" max="16135" width="9.33203125" style="82" customWidth="1"/>
    <col min="16136" max="16136" width="9.5" style="82" customWidth="1"/>
    <col min="16137" max="16138" width="9.25" style="82" customWidth="1"/>
    <col min="16139" max="16384" width="8.6640625" style="82"/>
  </cols>
  <sheetData>
    <row r="1" spans="1:10" ht="17.399999999999999">
      <c r="A1" s="105" t="s">
        <v>67</v>
      </c>
      <c r="B1" s="106"/>
      <c r="C1" s="106"/>
      <c r="D1" s="106"/>
      <c r="E1" s="106"/>
      <c r="F1" s="106"/>
      <c r="G1" s="106"/>
      <c r="H1" s="106"/>
      <c r="I1" s="107" t="s">
        <v>68</v>
      </c>
      <c r="J1" s="107" t="s">
        <v>69</v>
      </c>
    </row>
    <row r="2" spans="1:10" ht="17.399999999999999">
      <c r="A2" s="105" t="s">
        <v>70</v>
      </c>
      <c r="B2" s="106"/>
      <c r="C2" s="106"/>
      <c r="D2" s="106"/>
      <c r="E2" s="106"/>
      <c r="F2" s="106"/>
      <c r="G2" s="106"/>
      <c r="H2" s="106"/>
      <c r="I2" s="106"/>
      <c r="J2" s="108" t="s">
        <v>71</v>
      </c>
    </row>
    <row r="3" spans="1:10" ht="15" customHeight="1" thickBot="1">
      <c r="A3" s="109" t="s">
        <v>72</v>
      </c>
      <c r="B3" s="110" t="s">
        <v>73</v>
      </c>
      <c r="C3" s="111"/>
      <c r="D3" s="109"/>
      <c r="E3" s="111"/>
      <c r="F3" s="111"/>
      <c r="G3" s="109" t="s">
        <v>74</v>
      </c>
      <c r="H3" s="112">
        <v>40056</v>
      </c>
      <c r="I3" s="109" t="s">
        <v>75</v>
      </c>
      <c r="J3" s="113">
        <v>0.4175462962962963</v>
      </c>
    </row>
    <row r="4" spans="1:10" ht="15" customHeight="1">
      <c r="A4" s="114" t="s">
        <v>76</v>
      </c>
      <c r="B4" s="114" t="s">
        <v>77</v>
      </c>
      <c r="C4" s="114" t="s">
        <v>78</v>
      </c>
      <c r="D4" s="114" t="s">
        <v>79</v>
      </c>
      <c r="E4" s="114" t="s">
        <v>80</v>
      </c>
      <c r="F4" s="114" t="s">
        <v>81</v>
      </c>
      <c r="G4" s="114" t="s">
        <v>82</v>
      </c>
      <c r="H4" s="114" t="s">
        <v>83</v>
      </c>
      <c r="I4" s="114" t="s">
        <v>84</v>
      </c>
      <c r="J4" s="114" t="s">
        <v>85</v>
      </c>
    </row>
    <row r="5" spans="1:10" ht="15" customHeight="1" thickBot="1">
      <c r="A5" s="115">
        <v>4</v>
      </c>
      <c r="B5" s="116">
        <v>350.00000818165631</v>
      </c>
      <c r="C5" s="117">
        <v>1800</v>
      </c>
      <c r="D5" s="115" t="s">
        <v>86</v>
      </c>
      <c r="E5" s="117">
        <v>4000</v>
      </c>
      <c r="F5" s="117">
        <v>60</v>
      </c>
      <c r="G5" s="115">
        <v>105</v>
      </c>
      <c r="H5" s="118" t="s">
        <v>87</v>
      </c>
      <c r="I5" s="119" t="s">
        <v>88</v>
      </c>
      <c r="J5" s="115" t="s">
        <v>89</v>
      </c>
    </row>
    <row r="6" spans="1:10" ht="15" customHeight="1" thickBot="1">
      <c r="A6" s="120" t="s">
        <v>90</v>
      </c>
      <c r="B6" s="121"/>
      <c r="C6" s="122"/>
      <c r="D6" s="123" t="s">
        <v>91</v>
      </c>
      <c r="E6" s="124"/>
      <c r="F6" s="125"/>
      <c r="G6" s="126"/>
      <c r="H6" s="127" t="s">
        <v>92</v>
      </c>
      <c r="I6" s="128"/>
      <c r="J6" s="129"/>
    </row>
    <row r="7" spans="1:10" ht="15" customHeight="1" thickBot="1">
      <c r="A7" s="130"/>
      <c r="B7" s="131" t="s">
        <v>93</v>
      </c>
      <c r="C7" s="132" t="s">
        <v>94</v>
      </c>
      <c r="D7" s="130"/>
      <c r="E7" s="128"/>
      <c r="F7" s="131" t="s">
        <v>95</v>
      </c>
      <c r="G7" s="132" t="s">
        <v>96</v>
      </c>
      <c r="H7" s="133" t="s">
        <v>97</v>
      </c>
      <c r="I7" s="134">
        <v>18.430661333333333</v>
      </c>
      <c r="J7" s="135" t="s">
        <v>98</v>
      </c>
    </row>
    <row r="8" spans="1:10" ht="15" customHeight="1">
      <c r="A8" s="136" t="s">
        <v>99</v>
      </c>
      <c r="B8" s="137">
        <v>1.7999999523162842</v>
      </c>
      <c r="C8" s="138"/>
      <c r="D8" s="136"/>
      <c r="E8" s="139"/>
      <c r="F8" s="131"/>
      <c r="G8" s="132"/>
      <c r="H8" s="133" t="s">
        <v>100</v>
      </c>
      <c r="I8" s="134">
        <v>21.890599125992107</v>
      </c>
      <c r="J8" s="140" t="s">
        <v>101</v>
      </c>
    </row>
    <row r="9" spans="1:10" ht="15" customHeight="1" thickBot="1">
      <c r="A9" s="136" t="s">
        <v>102</v>
      </c>
      <c r="B9" s="137">
        <v>0.93000000715255737</v>
      </c>
      <c r="C9" s="138"/>
      <c r="D9" s="136" t="s">
        <v>103</v>
      </c>
      <c r="E9" s="141" t="s">
        <v>104</v>
      </c>
      <c r="F9" s="142" t="s">
        <v>105</v>
      </c>
      <c r="G9" s="143"/>
      <c r="H9" s="133" t="s">
        <v>106</v>
      </c>
      <c r="I9" s="137">
        <v>20.160630229662722</v>
      </c>
      <c r="J9" s="144">
        <v>829.16182021854911</v>
      </c>
    </row>
    <row r="10" spans="1:10" ht="15" customHeight="1">
      <c r="A10" s="136" t="s">
        <v>107</v>
      </c>
      <c r="B10" s="137">
        <v>520</v>
      </c>
      <c r="C10" s="145">
        <v>520</v>
      </c>
      <c r="D10" s="136"/>
      <c r="E10" s="139"/>
      <c r="F10" s="146" t="s">
        <v>108</v>
      </c>
      <c r="G10" s="147" t="s">
        <v>109</v>
      </c>
      <c r="H10" s="133" t="s">
        <v>110</v>
      </c>
      <c r="I10" s="134">
        <v>11.353491303314225</v>
      </c>
      <c r="J10" s="140" t="s">
        <v>111</v>
      </c>
    </row>
    <row r="11" spans="1:10" ht="15" customHeight="1" thickBot="1">
      <c r="A11" s="136" t="s">
        <v>112</v>
      </c>
      <c r="B11" s="137">
        <v>550</v>
      </c>
      <c r="C11" s="145">
        <v>348.40000009536743</v>
      </c>
      <c r="D11" s="136" t="s">
        <v>113</v>
      </c>
      <c r="E11" s="134">
        <v>0.86657999999999991</v>
      </c>
      <c r="F11" s="148"/>
      <c r="G11" s="149"/>
      <c r="H11" s="133" t="s">
        <v>114</v>
      </c>
      <c r="I11" s="134">
        <v>21.17125849396945</v>
      </c>
      <c r="J11" s="144">
        <v>13665.422446647064</v>
      </c>
    </row>
    <row r="12" spans="1:10" ht="15" customHeight="1">
      <c r="A12" s="136" t="s">
        <v>115</v>
      </c>
      <c r="B12" s="137">
        <v>352</v>
      </c>
      <c r="C12" s="145">
        <v>140</v>
      </c>
      <c r="D12" s="136" t="s">
        <v>116</v>
      </c>
      <c r="E12" s="150" t="s">
        <v>37</v>
      </c>
      <c r="F12" s="151" t="s">
        <v>117</v>
      </c>
      <c r="G12" s="152" t="s">
        <v>118</v>
      </c>
      <c r="H12" s="133" t="s">
        <v>119</v>
      </c>
      <c r="I12" s="134">
        <v>1.1944752556197273</v>
      </c>
      <c r="J12" s="140" t="s">
        <v>120</v>
      </c>
    </row>
    <row r="13" spans="1:10" ht="15" customHeight="1" thickBot="1">
      <c r="A13" s="136" t="s">
        <v>121</v>
      </c>
      <c r="B13" s="137">
        <v>48.5</v>
      </c>
      <c r="C13" s="145">
        <v>72.150000810623169</v>
      </c>
      <c r="D13" s="136" t="s">
        <v>122</v>
      </c>
      <c r="E13" s="153">
        <v>19</v>
      </c>
      <c r="F13" s="151"/>
      <c r="G13" s="152" t="s">
        <v>123</v>
      </c>
      <c r="H13" s="133" t="s">
        <v>124</v>
      </c>
      <c r="I13" s="134">
        <v>1.0339772258804341</v>
      </c>
      <c r="J13" s="144">
        <v>43.059921264648438</v>
      </c>
    </row>
    <row r="14" spans="1:10" ht="15" customHeight="1" thickBot="1">
      <c r="A14" s="154" t="s">
        <v>125</v>
      </c>
      <c r="B14" s="155">
        <v>483.60000610351563</v>
      </c>
      <c r="C14" s="156">
        <v>483.60000610351563</v>
      </c>
      <c r="D14" s="136" t="s">
        <v>126</v>
      </c>
      <c r="E14" s="139" t="s">
        <v>127</v>
      </c>
      <c r="F14" s="139" t="s">
        <v>128</v>
      </c>
      <c r="G14" s="152" t="s">
        <v>129</v>
      </c>
      <c r="H14" s="109" t="s">
        <v>130</v>
      </c>
      <c r="I14" s="134">
        <v>1.2350602111885081</v>
      </c>
      <c r="J14" s="140" t="s">
        <v>131</v>
      </c>
    </row>
    <row r="15" spans="1:10" ht="15" customHeight="1" thickBot="1">
      <c r="A15" s="157" t="s">
        <v>132</v>
      </c>
      <c r="B15" s="158"/>
      <c r="C15" s="159"/>
      <c r="D15" s="136" t="s">
        <v>133</v>
      </c>
      <c r="E15" s="139" t="s">
        <v>37</v>
      </c>
      <c r="F15" s="139"/>
      <c r="G15" s="152"/>
      <c r="H15" s="133" t="s">
        <v>134</v>
      </c>
      <c r="I15" s="134">
        <v>0.97811904826498275</v>
      </c>
      <c r="J15" s="144">
        <v>12.155098684210527</v>
      </c>
    </row>
    <row r="16" spans="1:10" ht="15" customHeight="1">
      <c r="A16" s="136" t="s">
        <v>135</v>
      </c>
      <c r="B16" s="139">
        <v>60</v>
      </c>
      <c r="C16" s="138">
        <v>50</v>
      </c>
      <c r="D16" s="136" t="s">
        <v>136</v>
      </c>
      <c r="E16" s="139">
        <v>1</v>
      </c>
      <c r="F16" s="139"/>
      <c r="G16" s="152"/>
      <c r="H16" s="133" t="s">
        <v>137</v>
      </c>
      <c r="I16" s="134">
        <v>0.95650599867242181</v>
      </c>
      <c r="J16" s="160" t="s">
        <v>138</v>
      </c>
    </row>
    <row r="17" spans="1:10" ht="15" customHeight="1" thickBot="1">
      <c r="A17" s="136" t="s">
        <v>139</v>
      </c>
      <c r="B17" s="139" t="s">
        <v>140</v>
      </c>
      <c r="C17" s="138" t="s">
        <v>141</v>
      </c>
      <c r="D17" s="110" t="s">
        <v>142</v>
      </c>
      <c r="E17" s="139" t="s">
        <v>143</v>
      </c>
      <c r="F17" s="139"/>
      <c r="G17" s="152"/>
      <c r="H17" s="133" t="s">
        <v>144</v>
      </c>
      <c r="I17" s="134">
        <v>0.93557673708121603</v>
      </c>
      <c r="J17" s="144">
        <v>443.90078534439294</v>
      </c>
    </row>
    <row r="18" spans="1:10" ht="15" customHeight="1">
      <c r="A18" s="136" t="s">
        <v>145</v>
      </c>
      <c r="B18" s="139" t="s">
        <v>37</v>
      </c>
      <c r="C18" s="145">
        <v>0</v>
      </c>
      <c r="D18" s="136" t="s">
        <v>146</v>
      </c>
      <c r="E18" s="161">
        <v>977</v>
      </c>
      <c r="F18" s="153">
        <v>692</v>
      </c>
      <c r="G18" s="162"/>
      <c r="H18" s="157" t="s">
        <v>147</v>
      </c>
      <c r="I18" s="163" t="s">
        <v>148</v>
      </c>
      <c r="J18" s="164"/>
    </row>
    <row r="19" spans="1:10" ht="15" customHeight="1">
      <c r="A19" s="136" t="s">
        <v>149</v>
      </c>
      <c r="B19" s="137">
        <v>50.5</v>
      </c>
      <c r="C19" s="145">
        <v>32.049999237060547</v>
      </c>
      <c r="D19" s="136" t="s">
        <v>150</v>
      </c>
      <c r="E19" s="153">
        <v>380</v>
      </c>
      <c r="F19" s="139"/>
      <c r="G19" s="138"/>
      <c r="H19" s="165"/>
      <c r="I19" s="131" t="s">
        <v>151</v>
      </c>
      <c r="J19" s="166" t="s">
        <v>152</v>
      </c>
    </row>
    <row r="20" spans="1:10" ht="15" customHeight="1">
      <c r="A20" s="136" t="s">
        <v>153</v>
      </c>
      <c r="B20" s="137" t="s">
        <v>154</v>
      </c>
      <c r="C20" s="145">
        <v>8.0500001907348633</v>
      </c>
      <c r="D20" s="136" t="s">
        <v>155</v>
      </c>
      <c r="E20" s="167">
        <v>0.62523589204579355</v>
      </c>
      <c r="F20" s="139"/>
      <c r="G20" s="138"/>
      <c r="H20" s="133" t="s">
        <v>156</v>
      </c>
      <c r="I20" s="134">
        <v>22.258333206176758</v>
      </c>
      <c r="J20" s="168">
        <v>22.258333206176758</v>
      </c>
    </row>
    <row r="21" spans="1:10" ht="15" customHeight="1">
      <c r="A21" s="136" t="s">
        <v>157</v>
      </c>
      <c r="B21" s="137">
        <v>10.100000381469727</v>
      </c>
      <c r="C21" s="145">
        <v>3</v>
      </c>
      <c r="D21" s="133" t="s">
        <v>158</v>
      </c>
      <c r="E21" s="167">
        <v>0.83405730982140236</v>
      </c>
      <c r="F21" s="167">
        <v>0.51162528991699219</v>
      </c>
      <c r="G21" s="169">
        <v>6.7444959358229389E-2</v>
      </c>
      <c r="H21" s="133" t="s">
        <v>159</v>
      </c>
      <c r="I21" s="134">
        <v>18.094043731689453</v>
      </c>
      <c r="J21" s="168">
        <v>12.169862747192383</v>
      </c>
    </row>
    <row r="22" spans="1:10" ht="15" customHeight="1">
      <c r="A22" s="136" t="s">
        <v>160</v>
      </c>
      <c r="B22" s="137">
        <v>2.8299999237060547</v>
      </c>
      <c r="C22" s="145">
        <v>2</v>
      </c>
      <c r="D22" s="136" t="s">
        <v>161</v>
      </c>
      <c r="E22" s="139" t="s">
        <v>162</v>
      </c>
      <c r="F22" s="139" t="s">
        <v>163</v>
      </c>
      <c r="G22" s="138" t="s">
        <v>163</v>
      </c>
      <c r="H22" s="133" t="s">
        <v>164</v>
      </c>
      <c r="I22" s="134">
        <v>5.5395636558532715</v>
      </c>
      <c r="J22" s="168">
        <v>5.1792435646057129</v>
      </c>
    </row>
    <row r="23" spans="1:10" ht="15" customHeight="1">
      <c r="A23" s="136" t="s">
        <v>165</v>
      </c>
      <c r="B23" s="137">
        <v>8.3306608200073242</v>
      </c>
      <c r="C23" s="145">
        <v>9.8172140121459961</v>
      </c>
      <c r="D23" s="136" t="s">
        <v>166</v>
      </c>
      <c r="E23" s="134">
        <v>1.7419999837875366</v>
      </c>
      <c r="F23" s="134">
        <v>1.7239999771118164</v>
      </c>
      <c r="G23" s="168">
        <v>1.7239999771118164</v>
      </c>
      <c r="H23" s="133" t="s">
        <v>167</v>
      </c>
      <c r="I23" s="134">
        <v>9.5634813752509409</v>
      </c>
      <c r="J23" s="132" t="s">
        <v>168</v>
      </c>
    </row>
    <row r="24" spans="1:10" ht="15" customHeight="1">
      <c r="A24" s="136" t="s">
        <v>169</v>
      </c>
      <c r="B24" s="137">
        <v>0</v>
      </c>
      <c r="C24" s="145">
        <v>0.80000001192092896</v>
      </c>
      <c r="D24" s="136" t="s">
        <v>170</v>
      </c>
      <c r="E24" s="134">
        <v>8.8900003433227539</v>
      </c>
      <c r="F24" s="134">
        <v>8.8900003433227539</v>
      </c>
      <c r="G24" s="168">
        <v>8.8900003433227539</v>
      </c>
      <c r="H24" s="133" t="s">
        <v>171</v>
      </c>
      <c r="I24" s="134">
        <v>4.615872410614493</v>
      </c>
      <c r="J24" s="168">
        <v>4.3803971106352684</v>
      </c>
    </row>
    <row r="25" spans="1:10" ht="15" customHeight="1">
      <c r="A25" s="136" t="s">
        <v>172</v>
      </c>
      <c r="B25" s="139" t="s">
        <v>37</v>
      </c>
      <c r="C25" s="145">
        <v>0.80000001192092896</v>
      </c>
      <c r="D25" s="170" t="s">
        <v>173</v>
      </c>
      <c r="E25" s="141"/>
      <c r="F25" s="141"/>
      <c r="G25" s="171"/>
      <c r="H25" s="133" t="s">
        <v>174</v>
      </c>
      <c r="I25" s="134">
        <v>1.4131275415420532</v>
      </c>
      <c r="J25" s="168">
        <v>2.4567182064056396</v>
      </c>
    </row>
    <row r="26" spans="1:10" ht="15" customHeight="1">
      <c r="A26" s="136" t="s">
        <v>175</v>
      </c>
      <c r="B26" s="141" t="s">
        <v>176</v>
      </c>
      <c r="C26" s="171" t="s">
        <v>177</v>
      </c>
      <c r="D26" s="133" t="s">
        <v>178</v>
      </c>
      <c r="E26" s="137">
        <v>102.41972343299983</v>
      </c>
      <c r="F26" s="137">
        <v>78.623163036346426</v>
      </c>
      <c r="G26" s="145">
        <v>27.65510446137969</v>
      </c>
      <c r="H26" s="133" t="s">
        <v>179</v>
      </c>
      <c r="I26" s="134">
        <v>12.177829742431641</v>
      </c>
      <c r="J26" s="168">
        <v>10.842952728271484</v>
      </c>
    </row>
    <row r="27" spans="1:10" ht="15" customHeight="1" thickBot="1">
      <c r="A27" s="136" t="s">
        <v>180</v>
      </c>
      <c r="B27" s="139" t="s">
        <v>37</v>
      </c>
      <c r="C27" s="138" t="s">
        <v>37</v>
      </c>
      <c r="D27" s="172" t="s">
        <v>181</v>
      </c>
      <c r="E27" s="173" t="s">
        <v>37</v>
      </c>
      <c r="F27" s="173" t="s">
        <v>37</v>
      </c>
      <c r="G27" s="174" t="s">
        <v>37</v>
      </c>
      <c r="H27" s="172" t="s">
        <v>182</v>
      </c>
      <c r="I27" s="175">
        <v>12.259546279907227</v>
      </c>
      <c r="J27" s="176">
        <v>11.117782592773438</v>
      </c>
    </row>
    <row r="28" spans="1:10" ht="15" customHeight="1">
      <c r="A28" s="136" t="s">
        <v>183</v>
      </c>
      <c r="B28" s="111"/>
      <c r="C28" s="177"/>
      <c r="D28" s="157" t="s">
        <v>184</v>
      </c>
      <c r="E28" s="178"/>
      <c r="F28" s="179"/>
      <c r="G28" s="124"/>
      <c r="H28" s="126"/>
      <c r="I28" s="180" t="s">
        <v>185</v>
      </c>
      <c r="J28" s="126"/>
    </row>
    <row r="29" spans="1:10" ht="15" customHeight="1">
      <c r="A29" s="181"/>
      <c r="B29" s="182" t="s">
        <v>186</v>
      </c>
      <c r="C29" s="183">
        <v>30.027266267355561</v>
      </c>
      <c r="D29" s="181"/>
      <c r="E29" s="131" t="s">
        <v>187</v>
      </c>
      <c r="F29" s="131" t="s">
        <v>188</v>
      </c>
      <c r="G29" s="131" t="s">
        <v>189</v>
      </c>
      <c r="H29" s="132" t="s">
        <v>190</v>
      </c>
      <c r="I29" s="131" t="s">
        <v>191</v>
      </c>
      <c r="J29" s="132" t="s">
        <v>192</v>
      </c>
    </row>
    <row r="30" spans="1:10" ht="15" customHeight="1" thickBot="1">
      <c r="A30" s="184"/>
      <c r="B30" s="185" t="s">
        <v>193</v>
      </c>
      <c r="C30" s="186">
        <v>30.043499313394168</v>
      </c>
      <c r="D30" s="133" t="s">
        <v>194</v>
      </c>
      <c r="E30" s="137">
        <v>21.598431250000001</v>
      </c>
      <c r="F30" s="137">
        <v>469.09200592041014</v>
      </c>
      <c r="G30" s="137">
        <v>10.396491960254567</v>
      </c>
      <c r="H30" s="162">
        <v>77.331533951285692</v>
      </c>
      <c r="I30" s="153">
        <v>36952.895978603497</v>
      </c>
      <c r="J30" s="162">
        <v>1396.2689137193922</v>
      </c>
    </row>
    <row r="31" spans="1:10" ht="15" customHeight="1">
      <c r="A31" s="120" t="s">
        <v>195</v>
      </c>
      <c r="B31" s="187"/>
      <c r="C31" s="188"/>
      <c r="D31" s="133" t="s">
        <v>196</v>
      </c>
      <c r="E31" s="137">
        <v>5.05</v>
      </c>
      <c r="F31" s="137">
        <v>604.30614351027907</v>
      </c>
      <c r="G31" s="137">
        <v>8.0702659083396817</v>
      </c>
      <c r="H31" s="162">
        <v>10.210192854274775</v>
      </c>
      <c r="I31" s="153">
        <v>12206.984098907638</v>
      </c>
      <c r="J31" s="162">
        <v>306.00648121695912</v>
      </c>
    </row>
    <row r="32" spans="1:10" ht="15" customHeight="1">
      <c r="A32" s="136" t="s">
        <v>197</v>
      </c>
      <c r="B32" s="134" t="s">
        <v>198</v>
      </c>
      <c r="C32" s="189"/>
      <c r="D32" s="133" t="s">
        <v>199</v>
      </c>
      <c r="E32" s="137">
        <v>11.164425526166141</v>
      </c>
      <c r="F32" s="137">
        <v>697.83481664772046</v>
      </c>
      <c r="G32" s="137">
        <v>6.9886327707165474</v>
      </c>
      <c r="H32" s="162">
        <v>20.654187223407362</v>
      </c>
      <c r="I32" s="190" t="s">
        <v>200</v>
      </c>
      <c r="J32" s="162">
        <v>1702.2753949363514</v>
      </c>
    </row>
    <row r="33" spans="1:10" ht="15" customHeight="1">
      <c r="A33" s="136" t="s">
        <v>201</v>
      </c>
      <c r="B33" s="134" t="s">
        <v>202</v>
      </c>
      <c r="C33" s="191" t="s">
        <v>203</v>
      </c>
      <c r="D33" s="133" t="s">
        <v>196</v>
      </c>
      <c r="E33" s="137">
        <v>3.2049999237060547</v>
      </c>
      <c r="F33" s="137">
        <v>593.45059452416535</v>
      </c>
      <c r="G33" s="137">
        <v>8.2178892618375237</v>
      </c>
      <c r="H33" s="162">
        <v>6.6423243245398602</v>
      </c>
      <c r="I33" s="190" t="s">
        <v>204</v>
      </c>
      <c r="J33" s="145" t="s">
        <v>205</v>
      </c>
    </row>
    <row r="34" spans="1:10" ht="15" customHeight="1" thickBot="1">
      <c r="A34" s="192" t="s">
        <v>206</v>
      </c>
      <c r="B34" s="175" t="s">
        <v>207</v>
      </c>
      <c r="C34" s="193">
        <v>4.8769112681712317</v>
      </c>
      <c r="D34" s="172" t="s">
        <v>99</v>
      </c>
      <c r="E34" s="175">
        <v>0.17999999523162843</v>
      </c>
      <c r="F34" s="173">
        <v>1163.9850194968183</v>
      </c>
      <c r="G34" s="173">
        <v>4.1898402354692532</v>
      </c>
      <c r="H34" s="194">
        <v>600.15089684343798</v>
      </c>
      <c r="I34" s="190" t="s">
        <v>208</v>
      </c>
      <c r="J34" s="145">
        <v>6.0500001907348633</v>
      </c>
    </row>
    <row r="35" spans="1:10" ht="15" customHeight="1">
      <c r="A35" s="157" t="s">
        <v>209</v>
      </c>
      <c r="B35" s="125"/>
      <c r="C35" s="125"/>
      <c r="D35" s="195" t="s">
        <v>210</v>
      </c>
      <c r="E35" s="196" t="s">
        <v>211</v>
      </c>
      <c r="F35" s="126"/>
      <c r="G35" s="197" t="s">
        <v>212</v>
      </c>
      <c r="H35" s="198" t="s">
        <v>213</v>
      </c>
      <c r="I35" s="133" t="s">
        <v>214</v>
      </c>
      <c r="J35" s="162" t="s">
        <v>215</v>
      </c>
    </row>
    <row r="36" spans="1:10" ht="15" customHeight="1">
      <c r="A36" s="136" t="s">
        <v>216</v>
      </c>
      <c r="B36" s="131">
        <v>25</v>
      </c>
      <c r="C36" s="131">
        <v>50</v>
      </c>
      <c r="D36" s="131">
        <v>75</v>
      </c>
      <c r="E36" s="131">
        <v>100</v>
      </c>
      <c r="F36" s="132">
        <v>125</v>
      </c>
      <c r="G36" s="133" t="s">
        <v>217</v>
      </c>
      <c r="H36" s="162" t="s">
        <v>218</v>
      </c>
      <c r="I36" s="133" t="s">
        <v>219</v>
      </c>
      <c r="J36" s="162" t="s">
        <v>220</v>
      </c>
    </row>
    <row r="37" spans="1:10" ht="15" customHeight="1" thickBot="1">
      <c r="A37" s="136" t="s">
        <v>221</v>
      </c>
      <c r="B37" s="137" t="s">
        <v>222</v>
      </c>
      <c r="C37" s="137" t="s">
        <v>223</v>
      </c>
      <c r="D37" s="137" t="s">
        <v>224</v>
      </c>
      <c r="E37" s="137" t="s">
        <v>225</v>
      </c>
      <c r="F37" s="145" t="s">
        <v>226</v>
      </c>
      <c r="G37" s="133" t="s">
        <v>227</v>
      </c>
      <c r="H37" s="162" t="s">
        <v>228</v>
      </c>
      <c r="I37" s="172" t="s">
        <v>229</v>
      </c>
      <c r="J37" s="194" t="s">
        <v>230</v>
      </c>
    </row>
    <row r="38" spans="1:10" ht="15" customHeight="1" thickBot="1">
      <c r="A38" s="136" t="s">
        <v>231</v>
      </c>
      <c r="B38" s="134" t="s">
        <v>232</v>
      </c>
      <c r="C38" s="134" t="s">
        <v>233</v>
      </c>
      <c r="D38" s="134" t="s">
        <v>234</v>
      </c>
      <c r="E38" s="134" t="s">
        <v>235</v>
      </c>
      <c r="F38" s="168" t="s">
        <v>236</v>
      </c>
      <c r="G38" s="192" t="s">
        <v>237</v>
      </c>
      <c r="H38" s="194" t="s">
        <v>238</v>
      </c>
      <c r="I38" s="199" t="s">
        <v>239</v>
      </c>
      <c r="J38" s="200">
        <v>4427.466796875</v>
      </c>
    </row>
    <row r="39" spans="1:10" ht="15" customHeight="1">
      <c r="A39" s="136" t="s">
        <v>240</v>
      </c>
      <c r="B39" s="134" t="s">
        <v>241</v>
      </c>
      <c r="C39" s="134" t="s">
        <v>242</v>
      </c>
      <c r="D39" s="134" t="s">
        <v>243</v>
      </c>
      <c r="E39" s="134" t="s">
        <v>244</v>
      </c>
      <c r="F39" s="168" t="s">
        <v>245</v>
      </c>
      <c r="G39" s="157" t="s">
        <v>246</v>
      </c>
      <c r="H39" s="125"/>
      <c r="I39" s="201" t="s">
        <v>247</v>
      </c>
      <c r="J39" s="202" t="s">
        <v>248</v>
      </c>
    </row>
    <row r="40" spans="1:10" ht="15" customHeight="1">
      <c r="A40" s="136" t="s">
        <v>247</v>
      </c>
      <c r="B40" s="167" t="s">
        <v>249</v>
      </c>
      <c r="C40" s="167" t="s">
        <v>250</v>
      </c>
      <c r="D40" s="167" t="s">
        <v>251</v>
      </c>
      <c r="E40" s="167" t="s">
        <v>88</v>
      </c>
      <c r="F40" s="169" t="s">
        <v>252</v>
      </c>
      <c r="G40" s="203" t="s">
        <v>253</v>
      </c>
      <c r="H40" s="204" t="s">
        <v>254</v>
      </c>
      <c r="I40" s="205"/>
      <c r="J40" s="206"/>
    </row>
    <row r="41" spans="1:10" ht="15" customHeight="1">
      <c r="A41" s="136" t="s">
        <v>78</v>
      </c>
      <c r="B41" s="153" t="s">
        <v>255</v>
      </c>
      <c r="C41" s="153" t="s">
        <v>256</v>
      </c>
      <c r="D41" s="153" t="s">
        <v>257</v>
      </c>
      <c r="E41" s="153" t="s">
        <v>87</v>
      </c>
      <c r="F41" s="162" t="s">
        <v>258</v>
      </c>
      <c r="G41" s="207" t="s">
        <v>259</v>
      </c>
      <c r="H41" s="208" t="s">
        <v>260</v>
      </c>
      <c r="I41" s="209"/>
      <c r="J41" s="210"/>
    </row>
    <row r="42" spans="1:10" ht="15" customHeight="1">
      <c r="A42" s="136" t="s">
        <v>261</v>
      </c>
      <c r="B42" s="134">
        <v>24.306251555450018</v>
      </c>
      <c r="C42" s="134">
        <v>24.306251555450018</v>
      </c>
      <c r="D42" s="134">
        <v>24.306251555450018</v>
      </c>
      <c r="E42" s="134">
        <v>24.306251555450018</v>
      </c>
      <c r="F42" s="168">
        <v>24.306251555450018</v>
      </c>
      <c r="G42" s="203" t="s">
        <v>262</v>
      </c>
      <c r="H42" s="204" t="s">
        <v>263</v>
      </c>
      <c r="I42" s="205"/>
      <c r="J42" s="211">
        <v>0.22097854480324475</v>
      </c>
    </row>
    <row r="43" spans="1:10" ht="15" customHeight="1" thickBot="1">
      <c r="A43" s="192" t="s">
        <v>264</v>
      </c>
      <c r="B43" s="175">
        <v>24.306251555450018</v>
      </c>
      <c r="C43" s="175"/>
      <c r="D43" s="175" t="s">
        <v>265</v>
      </c>
      <c r="E43" s="175"/>
      <c r="F43" s="176"/>
      <c r="G43" s="207" t="s">
        <v>259</v>
      </c>
      <c r="H43" s="208" t="s">
        <v>266</v>
      </c>
      <c r="I43" s="209"/>
      <c r="J43" s="210"/>
    </row>
    <row r="44" spans="1:10" ht="15" customHeight="1">
      <c r="A44" s="212" t="s">
        <v>267</v>
      </c>
      <c r="B44" s="213"/>
      <c r="C44" s="111"/>
      <c r="D44" s="111"/>
      <c r="E44" s="212" t="s">
        <v>268</v>
      </c>
      <c r="F44" s="214"/>
      <c r="G44" s="203" t="s">
        <v>269</v>
      </c>
      <c r="H44" s="215">
        <v>588.09622044573268</v>
      </c>
      <c r="I44" s="216">
        <v>4.7440046326008914E-2</v>
      </c>
      <c r="J44" s="211">
        <v>0.62466771244058739</v>
      </c>
    </row>
    <row r="45" spans="1:10" ht="15" customHeight="1">
      <c r="A45" s="136" t="s">
        <v>270</v>
      </c>
      <c r="B45" s="134">
        <v>0.19644536077976227</v>
      </c>
      <c r="C45" s="217" t="s">
        <v>271</v>
      </c>
      <c r="D45" s="168">
        <v>1.5685267746448517E-2</v>
      </c>
      <c r="E45" s="136" t="s">
        <v>272</v>
      </c>
      <c r="F45" s="162">
        <v>224.32583365542672</v>
      </c>
      <c r="G45" s="218" t="s">
        <v>259</v>
      </c>
      <c r="H45" s="219" t="s">
        <v>273</v>
      </c>
      <c r="I45" s="220"/>
      <c r="J45" s="171"/>
    </row>
    <row r="46" spans="1:10" ht="15" customHeight="1">
      <c r="A46" s="136" t="s">
        <v>274</v>
      </c>
      <c r="B46" s="134">
        <v>0.21312263607978821</v>
      </c>
      <c r="C46" s="217" t="s">
        <v>275</v>
      </c>
      <c r="D46" s="168">
        <v>1.0134234093129635E-2</v>
      </c>
      <c r="E46" s="136" t="s">
        <v>276</v>
      </c>
      <c r="F46" s="162">
        <v>402.92118340499707</v>
      </c>
      <c r="G46" s="207" t="s">
        <v>277</v>
      </c>
      <c r="H46" s="221">
        <v>129.43695991293919</v>
      </c>
      <c r="I46" s="209"/>
      <c r="J46" s="210"/>
    </row>
    <row r="47" spans="1:10" ht="15" customHeight="1">
      <c r="A47" s="136" t="s">
        <v>278</v>
      </c>
      <c r="B47" s="134">
        <v>0.40956801176071167</v>
      </c>
      <c r="C47" s="217" t="s">
        <v>279</v>
      </c>
      <c r="D47" s="168">
        <v>1.3404825702309608E-2</v>
      </c>
      <c r="E47" s="136" t="s">
        <v>280</v>
      </c>
      <c r="F47" s="162">
        <v>330.89041118949029</v>
      </c>
      <c r="G47" s="222" t="s">
        <v>281</v>
      </c>
      <c r="H47" s="215">
        <v>560.90122354302605</v>
      </c>
      <c r="I47" s="216">
        <v>4.510378749293311E-2</v>
      </c>
      <c r="J47" s="223">
        <v>0.641829790033704</v>
      </c>
    </row>
    <row r="48" spans="1:10" ht="15" customHeight="1">
      <c r="A48" s="136" t="s">
        <v>282</v>
      </c>
      <c r="B48" s="134">
        <v>1.1032153852283955E-2</v>
      </c>
      <c r="C48" s="217" t="s">
        <v>200</v>
      </c>
      <c r="D48" s="168">
        <v>5.0256483256816864E-2</v>
      </c>
      <c r="E48" s="136" t="s">
        <v>283</v>
      </c>
      <c r="F48" s="162">
        <v>4.5043495717199011</v>
      </c>
      <c r="G48" s="224" t="s">
        <v>259</v>
      </c>
      <c r="H48" s="219">
        <v>214.82237090436962</v>
      </c>
      <c r="I48" s="220"/>
      <c r="J48" s="171"/>
    </row>
    <row r="49" spans="1:10" ht="15" customHeight="1" thickBot="1">
      <c r="A49" s="184"/>
      <c r="B49" s="225"/>
      <c r="C49" s="226" t="s">
        <v>284</v>
      </c>
      <c r="D49" s="176">
        <v>0.94974350929260254</v>
      </c>
      <c r="E49" s="192" t="s">
        <v>285</v>
      </c>
      <c r="F49" s="194">
        <v>9.1890654908110374</v>
      </c>
      <c r="G49" s="227" t="s">
        <v>277</v>
      </c>
      <c r="H49" s="221">
        <v>126.13429144564508</v>
      </c>
      <c r="I49" s="209"/>
      <c r="J49" s="228"/>
    </row>
    <row r="50" spans="1:10" ht="15" customHeight="1">
      <c r="A50" s="157" t="s">
        <v>286</v>
      </c>
      <c r="B50" s="125"/>
      <c r="C50" s="125"/>
      <c r="D50" s="125"/>
      <c r="E50" s="125"/>
      <c r="F50" s="126"/>
      <c r="G50" s="157" t="s">
        <v>287</v>
      </c>
      <c r="H50" s="125"/>
      <c r="I50" s="124"/>
      <c r="J50" s="188"/>
    </row>
    <row r="51" spans="1:10" ht="15" customHeight="1">
      <c r="A51" s="133" t="s">
        <v>288</v>
      </c>
      <c r="B51" s="139">
        <v>50</v>
      </c>
      <c r="C51" s="190" t="s">
        <v>289</v>
      </c>
      <c r="D51" s="137" t="s">
        <v>37</v>
      </c>
      <c r="E51" s="190" t="s">
        <v>290</v>
      </c>
      <c r="F51" s="145" t="s">
        <v>37</v>
      </c>
      <c r="G51" s="190" t="s">
        <v>291</v>
      </c>
      <c r="H51" s="167">
        <v>6.3788280068828807E-2</v>
      </c>
      <c r="I51" s="229" t="s">
        <v>292</v>
      </c>
      <c r="J51" s="177"/>
    </row>
    <row r="52" spans="1:10" ht="15" customHeight="1">
      <c r="A52" s="133" t="s">
        <v>149</v>
      </c>
      <c r="B52" s="137">
        <v>32.049999237060547</v>
      </c>
      <c r="C52" s="190" t="s">
        <v>293</v>
      </c>
      <c r="D52" s="137" t="s">
        <v>37</v>
      </c>
      <c r="E52" s="190" t="s">
        <v>294</v>
      </c>
      <c r="F52" s="145" t="s">
        <v>37</v>
      </c>
      <c r="G52" s="190" t="s">
        <v>295</v>
      </c>
      <c r="H52" s="137">
        <v>63118.931234555057</v>
      </c>
      <c r="I52" s="230" t="s">
        <v>296</v>
      </c>
      <c r="J52" s="231"/>
    </row>
    <row r="53" spans="1:10" ht="15" customHeight="1">
      <c r="A53" s="133" t="s">
        <v>157</v>
      </c>
      <c r="B53" s="137">
        <v>3</v>
      </c>
      <c r="C53" s="190" t="s">
        <v>297</v>
      </c>
      <c r="D53" s="137" t="s">
        <v>37</v>
      </c>
      <c r="E53" s="190" t="s">
        <v>298</v>
      </c>
      <c r="F53" s="145" t="s">
        <v>37</v>
      </c>
      <c r="G53" s="190" t="s">
        <v>299</v>
      </c>
      <c r="H53" s="134">
        <v>29.113841989922232</v>
      </c>
      <c r="I53" s="229" t="s">
        <v>300</v>
      </c>
      <c r="J53" s="177"/>
    </row>
    <row r="54" spans="1:10" ht="15" customHeight="1">
      <c r="A54" s="133" t="s">
        <v>160</v>
      </c>
      <c r="B54" s="137">
        <v>2</v>
      </c>
      <c r="C54" s="190" t="s">
        <v>301</v>
      </c>
      <c r="D54" s="137" t="s">
        <v>37</v>
      </c>
      <c r="E54" s="190" t="s">
        <v>298</v>
      </c>
      <c r="F54" s="145" t="s">
        <v>37</v>
      </c>
      <c r="G54" s="190" t="s">
        <v>302</v>
      </c>
      <c r="H54" s="153">
        <v>157300</v>
      </c>
      <c r="I54" s="232" t="s">
        <v>303</v>
      </c>
      <c r="J54" s="210" t="s">
        <v>304</v>
      </c>
    </row>
    <row r="55" spans="1:10" ht="15" customHeight="1">
      <c r="A55" s="133" t="s">
        <v>305</v>
      </c>
      <c r="B55" s="137">
        <v>8.0500001907348633</v>
      </c>
      <c r="C55" s="190" t="s">
        <v>306</v>
      </c>
      <c r="D55" s="137" t="s">
        <v>37</v>
      </c>
      <c r="E55" s="190" t="s">
        <v>307</v>
      </c>
      <c r="F55" s="145" t="s">
        <v>37</v>
      </c>
      <c r="G55" s="190" t="s">
        <v>308</v>
      </c>
      <c r="H55" s="137">
        <v>1.0499999523162842</v>
      </c>
      <c r="I55" s="229" t="s">
        <v>309</v>
      </c>
      <c r="J55" s="177"/>
    </row>
    <row r="56" spans="1:10" ht="15" customHeight="1" thickBot="1">
      <c r="A56" s="172" t="s">
        <v>310</v>
      </c>
      <c r="B56" s="173" t="s">
        <v>37</v>
      </c>
      <c r="C56" s="233" t="s">
        <v>311</v>
      </c>
      <c r="D56" s="173" t="s">
        <v>37</v>
      </c>
      <c r="E56" s="233" t="s">
        <v>312</v>
      </c>
      <c r="F56" s="174" t="s">
        <v>37</v>
      </c>
      <c r="G56" s="233" t="s">
        <v>313</v>
      </c>
      <c r="H56" s="175">
        <v>0.89993499999999993</v>
      </c>
      <c r="I56" s="234" t="s">
        <v>314</v>
      </c>
      <c r="J56" s="228" t="s">
        <v>315</v>
      </c>
    </row>
    <row r="57" spans="1:10" ht="15" customHeight="1">
      <c r="A57" s="120" t="s">
        <v>316</v>
      </c>
      <c r="B57" s="124"/>
      <c r="C57" s="124"/>
      <c r="D57" s="124"/>
      <c r="E57" s="124"/>
      <c r="F57" s="188"/>
      <c r="G57" s="235"/>
      <c r="H57" s="236"/>
      <c r="I57" s="236"/>
      <c r="J57" s="237"/>
    </row>
    <row r="58" spans="1:10" ht="15" customHeight="1">
      <c r="A58" s="238" t="s">
        <v>247</v>
      </c>
      <c r="B58" s="131" t="s">
        <v>317</v>
      </c>
      <c r="C58" s="132" t="s">
        <v>318</v>
      </c>
      <c r="D58" s="131" t="s">
        <v>247</v>
      </c>
      <c r="E58" s="131" t="s">
        <v>317</v>
      </c>
      <c r="F58" s="132" t="s">
        <v>319</v>
      </c>
      <c r="G58" s="239"/>
      <c r="H58" s="240"/>
      <c r="I58" s="240"/>
      <c r="J58" s="241"/>
    </row>
    <row r="59" spans="1:10" ht="15" customHeight="1">
      <c r="A59" s="242">
        <v>0</v>
      </c>
      <c r="B59" s="219">
        <v>0</v>
      </c>
      <c r="C59" s="243">
        <v>0.18235482275485992</v>
      </c>
      <c r="D59" s="244">
        <v>0.69999998807907104</v>
      </c>
      <c r="E59" s="219">
        <v>175.0718641795537</v>
      </c>
      <c r="F59" s="243">
        <v>618.03643798828125</v>
      </c>
      <c r="G59" s="239"/>
      <c r="H59" s="240"/>
      <c r="I59" s="240"/>
      <c r="J59" s="241"/>
    </row>
    <row r="60" spans="1:10" ht="15" customHeight="1">
      <c r="A60" s="245">
        <v>2.0000003278255463E-3</v>
      </c>
      <c r="B60" s="219">
        <v>104.13111118997179</v>
      </c>
      <c r="C60" s="243">
        <v>111.67385101318359</v>
      </c>
      <c r="D60" s="244">
        <v>0.80000001192092896</v>
      </c>
      <c r="E60" s="219">
        <v>175.10591590065494</v>
      </c>
      <c r="F60" s="243">
        <v>625.32086181640625</v>
      </c>
      <c r="G60" s="239"/>
      <c r="H60" s="240"/>
      <c r="I60" s="240"/>
      <c r="J60" s="241"/>
    </row>
    <row r="61" spans="1:10" ht="15" customHeight="1">
      <c r="A61" s="245">
        <v>1.0000001639127731E-2</v>
      </c>
      <c r="B61" s="219">
        <v>270</v>
      </c>
      <c r="C61" s="243">
        <v>388.00021362304688</v>
      </c>
      <c r="D61" s="244">
        <v>0.89999997615814209</v>
      </c>
      <c r="E61" s="219">
        <v>175.14157596320791</v>
      </c>
      <c r="F61" s="243">
        <v>631.53363037109375</v>
      </c>
      <c r="G61" s="239"/>
      <c r="H61" s="240"/>
      <c r="I61" s="240"/>
      <c r="J61" s="241"/>
    </row>
    <row r="62" spans="1:10" ht="15" customHeight="1">
      <c r="A62" s="242">
        <v>6.4444445073604584E-2</v>
      </c>
      <c r="B62" s="219">
        <v>218.03450051279526</v>
      </c>
      <c r="C62" s="243">
        <v>497.66629028320313</v>
      </c>
      <c r="D62" s="246">
        <v>1</v>
      </c>
      <c r="E62" s="219">
        <v>175</v>
      </c>
      <c r="F62" s="243">
        <v>636.86376953125</v>
      </c>
      <c r="G62" s="239"/>
      <c r="H62" s="240"/>
      <c r="I62" s="240"/>
      <c r="J62" s="241"/>
    </row>
    <row r="63" spans="1:10" ht="15" customHeight="1" thickBot="1">
      <c r="A63" s="242">
        <v>0.11888889968395233</v>
      </c>
      <c r="B63" s="219">
        <v>192.06506994858418</v>
      </c>
      <c r="C63" s="243">
        <v>534.5316162109375</v>
      </c>
      <c r="D63" s="247"/>
      <c r="E63" s="248"/>
      <c r="F63" s="249"/>
      <c r="G63" s="239"/>
      <c r="H63" s="240"/>
      <c r="I63" s="240"/>
      <c r="J63" s="241"/>
    </row>
    <row r="64" spans="1:10" ht="15" customHeight="1">
      <c r="A64" s="242">
        <v>0.17333333194255829</v>
      </c>
      <c r="B64" s="219">
        <v>181.1665223710026</v>
      </c>
      <c r="C64" s="243">
        <v>552.48638916015625</v>
      </c>
      <c r="D64" s="250" t="s">
        <v>320</v>
      </c>
      <c r="E64" s="251"/>
      <c r="F64" s="251"/>
      <c r="G64" s="239"/>
      <c r="H64" s="240"/>
      <c r="I64" s="240"/>
      <c r="J64" s="241"/>
    </row>
    <row r="65" spans="1:10" ht="15" customHeight="1">
      <c r="A65" s="242">
        <v>0.28222224116325378</v>
      </c>
      <c r="B65" s="219">
        <v>175.69335033269158</v>
      </c>
      <c r="C65" s="243">
        <v>572.96807861328125</v>
      </c>
      <c r="D65" s="252" t="s">
        <v>321</v>
      </c>
      <c r="E65" s="253" t="s">
        <v>322</v>
      </c>
      <c r="F65" s="253"/>
      <c r="G65" s="239"/>
      <c r="H65" s="240"/>
      <c r="I65" s="240"/>
      <c r="J65" s="241"/>
    </row>
    <row r="66" spans="1:10" ht="15" customHeight="1">
      <c r="A66" s="242">
        <v>0.3911111056804657</v>
      </c>
      <c r="B66" s="219">
        <v>175.03918312214597</v>
      </c>
      <c r="C66" s="243">
        <v>587.26995849609375</v>
      </c>
      <c r="D66" s="252" t="s">
        <v>323</v>
      </c>
      <c r="E66" s="253" t="s">
        <v>324</v>
      </c>
      <c r="F66" s="253"/>
      <c r="G66" s="239"/>
      <c r="H66" s="240"/>
      <c r="I66" s="240"/>
      <c r="J66" s="241"/>
    </row>
    <row r="67" spans="1:10" ht="15" customHeight="1">
      <c r="A67" s="242">
        <v>0.5</v>
      </c>
      <c r="B67" s="219">
        <v>175</v>
      </c>
      <c r="C67" s="243">
        <v>599.22869873046875</v>
      </c>
      <c r="D67" s="252" t="s">
        <v>325</v>
      </c>
      <c r="E67" s="253" t="s">
        <v>326</v>
      </c>
      <c r="F67" s="253"/>
      <c r="G67" s="239"/>
      <c r="H67" s="240"/>
      <c r="I67" s="240"/>
      <c r="J67" s="241"/>
    </row>
    <row r="68" spans="1:10" ht="15" customHeight="1" thickBot="1">
      <c r="A68" s="254">
        <v>0.60000002384185791</v>
      </c>
      <c r="B68" s="248">
        <v>175.00237299004704</v>
      </c>
      <c r="C68" s="255">
        <v>609.37945556640625</v>
      </c>
      <c r="D68" s="256" t="s">
        <v>327</v>
      </c>
      <c r="E68" s="257" t="s">
        <v>328</v>
      </c>
      <c r="F68" s="257"/>
      <c r="G68" s="258"/>
      <c r="H68" s="259"/>
      <c r="I68" s="259"/>
      <c r="J68" s="260"/>
    </row>
    <row r="69" spans="1:10" ht="15" customHeight="1">
      <c r="A69" s="240"/>
      <c r="B69" s="240"/>
      <c r="C69" s="240"/>
      <c r="D69" s="240"/>
      <c r="E69" s="240"/>
      <c r="F69" s="240"/>
      <c r="G69" s="240"/>
      <c r="H69" s="240"/>
      <c r="I69" s="240"/>
      <c r="J69" s="240"/>
    </row>
    <row r="70" spans="1:10" ht="15" customHeight="1">
      <c r="A70" s="240"/>
      <c r="B70" s="240"/>
      <c r="C70" s="240"/>
      <c r="D70" s="240"/>
      <c r="E70" s="240"/>
      <c r="F70" s="240"/>
      <c r="G70" s="240"/>
      <c r="H70" s="240"/>
      <c r="I70" s="240"/>
      <c r="J70" s="240"/>
    </row>
    <row r="71" spans="1:10">
      <c r="A71" s="111"/>
      <c r="B71" s="111"/>
      <c r="C71" s="111"/>
      <c r="D71" s="111"/>
      <c r="E71" s="111"/>
      <c r="F71" s="111"/>
      <c r="G71" s="111"/>
      <c r="H71" s="111"/>
      <c r="I71" s="111"/>
      <c r="J71" s="111"/>
    </row>
    <row r="99" spans="1:9">
      <c r="A99" s="261" t="s">
        <v>329</v>
      </c>
      <c r="B99" s="261"/>
      <c r="C99" s="261"/>
      <c r="D99" s="261"/>
      <c r="E99" s="261"/>
      <c r="F99" s="261"/>
      <c r="G99" s="261"/>
      <c r="H99" s="261"/>
      <c r="I99" s="261"/>
    </row>
    <row r="100" spans="1:9">
      <c r="A100" s="261">
        <v>100</v>
      </c>
      <c r="B100" s="261"/>
      <c r="C100" s="261"/>
      <c r="D100" s="261"/>
      <c r="E100" s="261"/>
      <c r="F100" s="261"/>
      <c r="G100" s="261"/>
      <c r="H100" s="261"/>
      <c r="I100" s="261"/>
    </row>
    <row r="101" spans="1:9">
      <c r="A101" s="261">
        <v>99.599998474121094</v>
      </c>
      <c r="B101" s="261"/>
      <c r="C101" s="261"/>
      <c r="D101" s="261"/>
      <c r="E101" s="261"/>
      <c r="F101" s="261"/>
      <c r="G101" s="261"/>
      <c r="H101" s="261"/>
      <c r="I101" s="261"/>
    </row>
    <row r="102" spans="1:9">
      <c r="A102" s="261">
        <v>98</v>
      </c>
      <c r="B102" s="261"/>
      <c r="C102" s="261"/>
      <c r="D102" s="261"/>
      <c r="E102" s="261"/>
      <c r="F102" s="261"/>
      <c r="G102" s="261"/>
      <c r="H102" s="261"/>
      <c r="I102" s="261"/>
    </row>
    <row r="103" spans="1:9">
      <c r="A103" s="261">
        <v>83.24444580078125</v>
      </c>
      <c r="B103" s="261"/>
      <c r="C103" s="261"/>
      <c r="D103" s="261"/>
      <c r="E103" s="261"/>
      <c r="F103" s="261"/>
      <c r="G103" s="261"/>
      <c r="H103" s="261"/>
      <c r="I103" s="261"/>
    </row>
    <row r="104" spans="1:9">
      <c r="A104" s="261">
        <v>69.088882446289063</v>
      </c>
      <c r="B104" s="261"/>
      <c r="C104" s="261"/>
      <c r="D104" s="261"/>
      <c r="E104" s="261"/>
      <c r="F104" s="261"/>
      <c r="G104" s="261"/>
      <c r="H104" s="261"/>
      <c r="I104" s="261"/>
    </row>
    <row r="105" spans="1:9">
      <c r="A105" s="261">
        <v>55.866668701171875</v>
      </c>
      <c r="B105" s="261"/>
      <c r="C105" s="261"/>
      <c r="D105" s="261"/>
      <c r="E105" s="261"/>
      <c r="F105" s="261"/>
      <c r="G105" s="261"/>
      <c r="H105" s="261"/>
      <c r="I105" s="261"/>
    </row>
    <row r="106" spans="1:9">
      <c r="A106" s="261">
        <v>36.022220611572266</v>
      </c>
      <c r="B106" s="261"/>
      <c r="C106" s="261"/>
      <c r="D106" s="261"/>
      <c r="E106" s="261"/>
      <c r="F106" s="261"/>
      <c r="G106" s="261"/>
      <c r="H106" s="261"/>
      <c r="I106" s="261"/>
    </row>
    <row r="107" spans="1:9">
      <c r="A107" s="261">
        <v>22.977777481079102</v>
      </c>
      <c r="B107" s="261"/>
      <c r="C107" s="261"/>
      <c r="D107" s="261"/>
      <c r="E107" s="261"/>
      <c r="F107" s="261"/>
      <c r="G107" s="261"/>
      <c r="H107" s="261"/>
      <c r="I107" s="261"/>
    </row>
    <row r="108" spans="1:9">
      <c r="A108" s="261">
        <v>14</v>
      </c>
      <c r="B108" s="261"/>
      <c r="C108" s="261"/>
      <c r="D108" s="261"/>
      <c r="E108" s="261"/>
      <c r="F108" s="261"/>
      <c r="G108" s="261"/>
      <c r="H108" s="261"/>
      <c r="I108" s="261"/>
    </row>
    <row r="109" spans="1:9">
      <c r="A109" s="261">
        <v>7.9999995231628418</v>
      </c>
      <c r="B109" s="261"/>
      <c r="C109" s="261"/>
      <c r="D109" s="261"/>
      <c r="E109" s="261"/>
      <c r="F109" s="261"/>
      <c r="G109" s="261"/>
      <c r="H109" s="261"/>
      <c r="I109" s="261"/>
    </row>
    <row r="110" spans="1:9">
      <c r="A110" s="261">
        <v>5.9999995231628418</v>
      </c>
      <c r="B110" s="261"/>
      <c r="C110" s="261"/>
      <c r="D110" s="261"/>
      <c r="E110" s="261"/>
      <c r="F110" s="261"/>
      <c r="G110" s="261"/>
      <c r="H110" s="261"/>
      <c r="I110" s="261"/>
    </row>
    <row r="111" spans="1:9">
      <c r="A111" s="261">
        <v>8.0000009536743164</v>
      </c>
      <c r="B111" s="261"/>
      <c r="C111" s="261"/>
      <c r="D111" s="261"/>
      <c r="E111" s="261"/>
      <c r="F111" s="261"/>
      <c r="G111" s="261"/>
      <c r="H111" s="261"/>
      <c r="I111" s="261"/>
    </row>
    <row r="112" spans="1:9">
      <c r="A112" s="261">
        <v>14.999996185302734</v>
      </c>
      <c r="B112" s="261"/>
      <c r="C112" s="261"/>
      <c r="D112" s="261"/>
      <c r="E112" s="261"/>
      <c r="F112" s="261"/>
      <c r="G112" s="261"/>
      <c r="H112" s="261"/>
      <c r="I112" s="261"/>
    </row>
    <row r="113" spans="1:9">
      <c r="A113" s="261">
        <v>30</v>
      </c>
      <c r="B113" s="261"/>
      <c r="C113" s="261"/>
      <c r="D113" s="261"/>
      <c r="E113" s="261"/>
      <c r="F113" s="261"/>
      <c r="G113" s="261"/>
      <c r="H113" s="261"/>
      <c r="I113" s="261"/>
    </row>
  </sheetData>
  <printOptions horizontalCentered="1"/>
  <pageMargins left="0.86614173228346503" right="0" top="0.23622047244094499" bottom="0.23622047244094499" header="0" footer="0"/>
  <pageSetup scale="76" orientation="portrait" horizontalDpi="4294967292" verticalDpi="300"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EB76E-B7C7-4EB1-A83E-7B96FA9BF626}">
  <sheetPr>
    <pageSetUpPr fitToPage="1"/>
  </sheetPr>
  <dimension ref="A1:Z51"/>
  <sheetViews>
    <sheetView tabSelected="1" topLeftCell="B40" zoomScale="80" zoomScaleNormal="80" workbookViewId="0">
      <selection activeCell="O51" sqref="O51"/>
    </sheetView>
  </sheetViews>
  <sheetFormatPr defaultColWidth="8.58203125" defaultRowHeight="15"/>
  <cols>
    <col min="1" max="1" width="9.08203125" style="411" customWidth="1"/>
    <col min="2" max="2" width="4.58203125" style="411" customWidth="1"/>
    <col min="3" max="3" width="5.75" style="411" customWidth="1"/>
    <col min="4" max="5" width="9.83203125" style="411" customWidth="1"/>
    <col min="6" max="6" width="7.08203125" style="411" customWidth="1"/>
    <col min="7" max="7" width="4.25" style="411" customWidth="1"/>
    <col min="8" max="8" width="5.9140625" style="411" customWidth="1"/>
    <col min="9" max="9" width="4.9140625" style="411" customWidth="1"/>
    <col min="10" max="11" width="9" style="411" customWidth="1"/>
    <col min="12" max="12" width="12" style="262" customWidth="1"/>
    <col min="13" max="26" width="8.58203125" style="262" customWidth="1"/>
    <col min="27" max="256" width="8.58203125" style="263"/>
    <col min="257" max="257" width="9.08203125" style="263" customWidth="1"/>
    <col min="258" max="258" width="4.58203125" style="263" customWidth="1"/>
    <col min="259" max="259" width="5.75" style="263" customWidth="1"/>
    <col min="260" max="261" width="9.83203125" style="263" customWidth="1"/>
    <col min="262" max="262" width="7.08203125" style="263" customWidth="1"/>
    <col min="263" max="263" width="4.25" style="263" customWidth="1"/>
    <col min="264" max="264" width="5.9140625" style="263" customWidth="1"/>
    <col min="265" max="265" width="4.9140625" style="263" customWidth="1"/>
    <col min="266" max="267" width="9" style="263" customWidth="1"/>
    <col min="268" max="268" width="12" style="263" customWidth="1"/>
    <col min="269" max="512" width="8.58203125" style="263"/>
    <col min="513" max="513" width="9.08203125" style="263" customWidth="1"/>
    <col min="514" max="514" width="4.58203125" style="263" customWidth="1"/>
    <col min="515" max="515" width="5.75" style="263" customWidth="1"/>
    <col min="516" max="517" width="9.83203125" style="263" customWidth="1"/>
    <col min="518" max="518" width="7.08203125" style="263" customWidth="1"/>
    <col min="519" max="519" width="4.25" style="263" customWidth="1"/>
    <col min="520" max="520" width="5.9140625" style="263" customWidth="1"/>
    <col min="521" max="521" width="4.9140625" style="263" customWidth="1"/>
    <col min="522" max="523" width="9" style="263" customWidth="1"/>
    <col min="524" max="524" width="12" style="263" customWidth="1"/>
    <col min="525" max="768" width="8.58203125" style="263"/>
    <col min="769" max="769" width="9.08203125" style="263" customWidth="1"/>
    <col min="770" max="770" width="4.58203125" style="263" customWidth="1"/>
    <col min="771" max="771" width="5.75" style="263" customWidth="1"/>
    <col min="772" max="773" width="9.83203125" style="263" customWidth="1"/>
    <col min="774" max="774" width="7.08203125" style="263" customWidth="1"/>
    <col min="775" max="775" width="4.25" style="263" customWidth="1"/>
    <col min="776" max="776" width="5.9140625" style="263" customWidth="1"/>
    <col min="777" max="777" width="4.9140625" style="263" customWidth="1"/>
    <col min="778" max="779" width="9" style="263" customWidth="1"/>
    <col min="780" max="780" width="12" style="263" customWidth="1"/>
    <col min="781" max="1024" width="8.58203125" style="263"/>
    <col min="1025" max="1025" width="9.08203125" style="263" customWidth="1"/>
    <col min="1026" max="1026" width="4.58203125" style="263" customWidth="1"/>
    <col min="1027" max="1027" width="5.75" style="263" customWidth="1"/>
    <col min="1028" max="1029" width="9.83203125" style="263" customWidth="1"/>
    <col min="1030" max="1030" width="7.08203125" style="263" customWidth="1"/>
    <col min="1031" max="1031" width="4.25" style="263" customWidth="1"/>
    <col min="1032" max="1032" width="5.9140625" style="263" customWidth="1"/>
    <col min="1033" max="1033" width="4.9140625" style="263" customWidth="1"/>
    <col min="1034" max="1035" width="9" style="263" customWidth="1"/>
    <col min="1036" max="1036" width="12" style="263" customWidth="1"/>
    <col min="1037" max="1280" width="8.58203125" style="263"/>
    <col min="1281" max="1281" width="9.08203125" style="263" customWidth="1"/>
    <col min="1282" max="1282" width="4.58203125" style="263" customWidth="1"/>
    <col min="1283" max="1283" width="5.75" style="263" customWidth="1"/>
    <col min="1284" max="1285" width="9.83203125" style="263" customWidth="1"/>
    <col min="1286" max="1286" width="7.08203125" style="263" customWidth="1"/>
    <col min="1287" max="1287" width="4.25" style="263" customWidth="1"/>
    <col min="1288" max="1288" width="5.9140625" style="263" customWidth="1"/>
    <col min="1289" max="1289" width="4.9140625" style="263" customWidth="1"/>
    <col min="1290" max="1291" width="9" style="263" customWidth="1"/>
    <col min="1292" max="1292" width="12" style="263" customWidth="1"/>
    <col min="1293" max="1536" width="8.58203125" style="263"/>
    <col min="1537" max="1537" width="9.08203125" style="263" customWidth="1"/>
    <col min="1538" max="1538" width="4.58203125" style="263" customWidth="1"/>
    <col min="1539" max="1539" width="5.75" style="263" customWidth="1"/>
    <col min="1540" max="1541" width="9.83203125" style="263" customWidth="1"/>
    <col min="1542" max="1542" width="7.08203125" style="263" customWidth="1"/>
    <col min="1543" max="1543" width="4.25" style="263" customWidth="1"/>
    <col min="1544" max="1544" width="5.9140625" style="263" customWidth="1"/>
    <col min="1545" max="1545" width="4.9140625" style="263" customWidth="1"/>
    <col min="1546" max="1547" width="9" style="263" customWidth="1"/>
    <col min="1548" max="1548" width="12" style="263" customWidth="1"/>
    <col min="1549" max="1792" width="8.58203125" style="263"/>
    <col min="1793" max="1793" width="9.08203125" style="263" customWidth="1"/>
    <col min="1794" max="1794" width="4.58203125" style="263" customWidth="1"/>
    <col min="1795" max="1795" width="5.75" style="263" customWidth="1"/>
    <col min="1796" max="1797" width="9.83203125" style="263" customWidth="1"/>
    <col min="1798" max="1798" width="7.08203125" style="263" customWidth="1"/>
    <col min="1799" max="1799" width="4.25" style="263" customWidth="1"/>
    <col min="1800" max="1800" width="5.9140625" style="263" customWidth="1"/>
    <col min="1801" max="1801" width="4.9140625" style="263" customWidth="1"/>
    <col min="1802" max="1803" width="9" style="263" customWidth="1"/>
    <col min="1804" max="1804" width="12" style="263" customWidth="1"/>
    <col min="1805" max="2048" width="8.58203125" style="263"/>
    <col min="2049" max="2049" width="9.08203125" style="263" customWidth="1"/>
    <col min="2050" max="2050" width="4.58203125" style="263" customWidth="1"/>
    <col min="2051" max="2051" width="5.75" style="263" customWidth="1"/>
    <col min="2052" max="2053" width="9.83203125" style="263" customWidth="1"/>
    <col min="2054" max="2054" width="7.08203125" style="263" customWidth="1"/>
    <col min="2055" max="2055" width="4.25" style="263" customWidth="1"/>
    <col min="2056" max="2056" width="5.9140625" style="263" customWidth="1"/>
    <col min="2057" max="2057" width="4.9140625" style="263" customWidth="1"/>
    <col min="2058" max="2059" width="9" style="263" customWidth="1"/>
    <col min="2060" max="2060" width="12" style="263" customWidth="1"/>
    <col min="2061" max="2304" width="8.58203125" style="263"/>
    <col min="2305" max="2305" width="9.08203125" style="263" customWidth="1"/>
    <col min="2306" max="2306" width="4.58203125" style="263" customWidth="1"/>
    <col min="2307" max="2307" width="5.75" style="263" customWidth="1"/>
    <col min="2308" max="2309" width="9.83203125" style="263" customWidth="1"/>
    <col min="2310" max="2310" width="7.08203125" style="263" customWidth="1"/>
    <col min="2311" max="2311" width="4.25" style="263" customWidth="1"/>
    <col min="2312" max="2312" width="5.9140625" style="263" customWidth="1"/>
    <col min="2313" max="2313" width="4.9140625" style="263" customWidth="1"/>
    <col min="2314" max="2315" width="9" style="263" customWidth="1"/>
    <col min="2316" max="2316" width="12" style="263" customWidth="1"/>
    <col min="2317" max="2560" width="8.58203125" style="263"/>
    <col min="2561" max="2561" width="9.08203125" style="263" customWidth="1"/>
    <col min="2562" max="2562" width="4.58203125" style="263" customWidth="1"/>
    <col min="2563" max="2563" width="5.75" style="263" customWidth="1"/>
    <col min="2564" max="2565" width="9.83203125" style="263" customWidth="1"/>
    <col min="2566" max="2566" width="7.08203125" style="263" customWidth="1"/>
    <col min="2567" max="2567" width="4.25" style="263" customWidth="1"/>
    <col min="2568" max="2568" width="5.9140625" style="263" customWidth="1"/>
    <col min="2569" max="2569" width="4.9140625" style="263" customWidth="1"/>
    <col min="2570" max="2571" width="9" style="263" customWidth="1"/>
    <col min="2572" max="2572" width="12" style="263" customWidth="1"/>
    <col min="2573" max="2816" width="8.58203125" style="263"/>
    <col min="2817" max="2817" width="9.08203125" style="263" customWidth="1"/>
    <col min="2818" max="2818" width="4.58203125" style="263" customWidth="1"/>
    <col min="2819" max="2819" width="5.75" style="263" customWidth="1"/>
    <col min="2820" max="2821" width="9.83203125" style="263" customWidth="1"/>
    <col min="2822" max="2822" width="7.08203125" style="263" customWidth="1"/>
    <col min="2823" max="2823" width="4.25" style="263" customWidth="1"/>
    <col min="2824" max="2824" width="5.9140625" style="263" customWidth="1"/>
    <col min="2825" max="2825" width="4.9140625" style="263" customWidth="1"/>
    <col min="2826" max="2827" width="9" style="263" customWidth="1"/>
    <col min="2828" max="2828" width="12" style="263" customWidth="1"/>
    <col min="2829" max="3072" width="8.58203125" style="263"/>
    <col min="3073" max="3073" width="9.08203125" style="263" customWidth="1"/>
    <col min="3074" max="3074" width="4.58203125" style="263" customWidth="1"/>
    <col min="3075" max="3075" width="5.75" style="263" customWidth="1"/>
    <col min="3076" max="3077" width="9.83203125" style="263" customWidth="1"/>
    <col min="3078" max="3078" width="7.08203125" style="263" customWidth="1"/>
    <col min="3079" max="3079" width="4.25" style="263" customWidth="1"/>
    <col min="3080" max="3080" width="5.9140625" style="263" customWidth="1"/>
    <col min="3081" max="3081" width="4.9140625" style="263" customWidth="1"/>
    <col min="3082" max="3083" width="9" style="263" customWidth="1"/>
    <col min="3084" max="3084" width="12" style="263" customWidth="1"/>
    <col min="3085" max="3328" width="8.58203125" style="263"/>
    <col min="3329" max="3329" width="9.08203125" style="263" customWidth="1"/>
    <col min="3330" max="3330" width="4.58203125" style="263" customWidth="1"/>
    <col min="3331" max="3331" width="5.75" style="263" customWidth="1"/>
    <col min="3332" max="3333" width="9.83203125" style="263" customWidth="1"/>
    <col min="3334" max="3334" width="7.08203125" style="263" customWidth="1"/>
    <col min="3335" max="3335" width="4.25" style="263" customWidth="1"/>
    <col min="3336" max="3336" width="5.9140625" style="263" customWidth="1"/>
    <col min="3337" max="3337" width="4.9140625" style="263" customWidth="1"/>
    <col min="3338" max="3339" width="9" style="263" customWidth="1"/>
    <col min="3340" max="3340" width="12" style="263" customWidth="1"/>
    <col min="3341" max="3584" width="8.58203125" style="263"/>
    <col min="3585" max="3585" width="9.08203125" style="263" customWidth="1"/>
    <col min="3586" max="3586" width="4.58203125" style="263" customWidth="1"/>
    <col min="3587" max="3587" width="5.75" style="263" customWidth="1"/>
    <col min="3588" max="3589" width="9.83203125" style="263" customWidth="1"/>
    <col min="3590" max="3590" width="7.08203125" style="263" customWidth="1"/>
    <col min="3591" max="3591" width="4.25" style="263" customWidth="1"/>
    <col min="3592" max="3592" width="5.9140625" style="263" customWidth="1"/>
    <col min="3593" max="3593" width="4.9140625" style="263" customWidth="1"/>
    <col min="3594" max="3595" width="9" style="263" customWidth="1"/>
    <col min="3596" max="3596" width="12" style="263" customWidth="1"/>
    <col min="3597" max="3840" width="8.58203125" style="263"/>
    <col min="3841" max="3841" width="9.08203125" style="263" customWidth="1"/>
    <col min="3842" max="3842" width="4.58203125" style="263" customWidth="1"/>
    <col min="3843" max="3843" width="5.75" style="263" customWidth="1"/>
    <col min="3844" max="3845" width="9.83203125" style="263" customWidth="1"/>
    <col min="3846" max="3846" width="7.08203125" style="263" customWidth="1"/>
    <col min="3847" max="3847" width="4.25" style="263" customWidth="1"/>
    <col min="3848" max="3848" width="5.9140625" style="263" customWidth="1"/>
    <col min="3849" max="3849" width="4.9140625" style="263" customWidth="1"/>
    <col min="3850" max="3851" width="9" style="263" customWidth="1"/>
    <col min="3852" max="3852" width="12" style="263" customWidth="1"/>
    <col min="3853" max="4096" width="8.58203125" style="263"/>
    <col min="4097" max="4097" width="9.08203125" style="263" customWidth="1"/>
    <col min="4098" max="4098" width="4.58203125" style="263" customWidth="1"/>
    <col min="4099" max="4099" width="5.75" style="263" customWidth="1"/>
    <col min="4100" max="4101" width="9.83203125" style="263" customWidth="1"/>
    <col min="4102" max="4102" width="7.08203125" style="263" customWidth="1"/>
    <col min="4103" max="4103" width="4.25" style="263" customWidth="1"/>
    <col min="4104" max="4104" width="5.9140625" style="263" customWidth="1"/>
    <col min="4105" max="4105" width="4.9140625" style="263" customWidth="1"/>
    <col min="4106" max="4107" width="9" style="263" customWidth="1"/>
    <col min="4108" max="4108" width="12" style="263" customWidth="1"/>
    <col min="4109" max="4352" width="8.58203125" style="263"/>
    <col min="4353" max="4353" width="9.08203125" style="263" customWidth="1"/>
    <col min="4354" max="4354" width="4.58203125" style="263" customWidth="1"/>
    <col min="4355" max="4355" width="5.75" style="263" customWidth="1"/>
    <col min="4356" max="4357" width="9.83203125" style="263" customWidth="1"/>
    <col min="4358" max="4358" width="7.08203125" style="263" customWidth="1"/>
    <col min="4359" max="4359" width="4.25" style="263" customWidth="1"/>
    <col min="4360" max="4360" width="5.9140625" style="263" customWidth="1"/>
    <col min="4361" max="4361" width="4.9140625" style="263" customWidth="1"/>
    <col min="4362" max="4363" width="9" style="263" customWidth="1"/>
    <col min="4364" max="4364" width="12" style="263" customWidth="1"/>
    <col min="4365" max="4608" width="8.58203125" style="263"/>
    <col min="4609" max="4609" width="9.08203125" style="263" customWidth="1"/>
    <col min="4610" max="4610" width="4.58203125" style="263" customWidth="1"/>
    <col min="4611" max="4611" width="5.75" style="263" customWidth="1"/>
    <col min="4612" max="4613" width="9.83203125" style="263" customWidth="1"/>
    <col min="4614" max="4614" width="7.08203125" style="263" customWidth="1"/>
    <col min="4615" max="4615" width="4.25" style="263" customWidth="1"/>
    <col min="4616" max="4616" width="5.9140625" style="263" customWidth="1"/>
    <col min="4617" max="4617" width="4.9140625" style="263" customWidth="1"/>
    <col min="4618" max="4619" width="9" style="263" customWidth="1"/>
    <col min="4620" max="4620" width="12" style="263" customWidth="1"/>
    <col min="4621" max="4864" width="8.58203125" style="263"/>
    <col min="4865" max="4865" width="9.08203125" style="263" customWidth="1"/>
    <col min="4866" max="4866" width="4.58203125" style="263" customWidth="1"/>
    <col min="4867" max="4867" width="5.75" style="263" customWidth="1"/>
    <col min="4868" max="4869" width="9.83203125" style="263" customWidth="1"/>
    <col min="4870" max="4870" width="7.08203125" style="263" customWidth="1"/>
    <col min="4871" max="4871" width="4.25" style="263" customWidth="1"/>
    <col min="4872" max="4872" width="5.9140625" style="263" customWidth="1"/>
    <col min="4873" max="4873" width="4.9140625" style="263" customWidth="1"/>
    <col min="4874" max="4875" width="9" style="263" customWidth="1"/>
    <col min="4876" max="4876" width="12" style="263" customWidth="1"/>
    <col min="4877" max="5120" width="8.58203125" style="263"/>
    <col min="5121" max="5121" width="9.08203125" style="263" customWidth="1"/>
    <col min="5122" max="5122" width="4.58203125" style="263" customWidth="1"/>
    <col min="5123" max="5123" width="5.75" style="263" customWidth="1"/>
    <col min="5124" max="5125" width="9.83203125" style="263" customWidth="1"/>
    <col min="5126" max="5126" width="7.08203125" style="263" customWidth="1"/>
    <col min="5127" max="5127" width="4.25" style="263" customWidth="1"/>
    <col min="5128" max="5128" width="5.9140625" style="263" customWidth="1"/>
    <col min="5129" max="5129" width="4.9140625" style="263" customWidth="1"/>
    <col min="5130" max="5131" width="9" style="263" customWidth="1"/>
    <col min="5132" max="5132" width="12" style="263" customWidth="1"/>
    <col min="5133" max="5376" width="8.58203125" style="263"/>
    <col min="5377" max="5377" width="9.08203125" style="263" customWidth="1"/>
    <col min="5378" max="5378" width="4.58203125" style="263" customWidth="1"/>
    <col min="5379" max="5379" width="5.75" style="263" customWidth="1"/>
    <col min="5380" max="5381" width="9.83203125" style="263" customWidth="1"/>
    <col min="5382" max="5382" width="7.08203125" style="263" customWidth="1"/>
    <col min="5383" max="5383" width="4.25" style="263" customWidth="1"/>
    <col min="5384" max="5384" width="5.9140625" style="263" customWidth="1"/>
    <col min="5385" max="5385" width="4.9140625" style="263" customWidth="1"/>
    <col min="5386" max="5387" width="9" style="263" customWidth="1"/>
    <col min="5388" max="5388" width="12" style="263" customWidth="1"/>
    <col min="5389" max="5632" width="8.58203125" style="263"/>
    <col min="5633" max="5633" width="9.08203125" style="263" customWidth="1"/>
    <col min="5634" max="5634" width="4.58203125" style="263" customWidth="1"/>
    <col min="5635" max="5635" width="5.75" style="263" customWidth="1"/>
    <col min="5636" max="5637" width="9.83203125" style="263" customWidth="1"/>
    <col min="5638" max="5638" width="7.08203125" style="263" customWidth="1"/>
    <col min="5639" max="5639" width="4.25" style="263" customWidth="1"/>
    <col min="5640" max="5640" width="5.9140625" style="263" customWidth="1"/>
    <col min="5641" max="5641" width="4.9140625" style="263" customWidth="1"/>
    <col min="5642" max="5643" width="9" style="263" customWidth="1"/>
    <col min="5644" max="5644" width="12" style="263" customWidth="1"/>
    <col min="5645" max="5888" width="8.58203125" style="263"/>
    <col min="5889" max="5889" width="9.08203125" style="263" customWidth="1"/>
    <col min="5890" max="5890" width="4.58203125" style="263" customWidth="1"/>
    <col min="5891" max="5891" width="5.75" style="263" customWidth="1"/>
    <col min="5892" max="5893" width="9.83203125" style="263" customWidth="1"/>
    <col min="5894" max="5894" width="7.08203125" style="263" customWidth="1"/>
    <col min="5895" max="5895" width="4.25" style="263" customWidth="1"/>
    <col min="5896" max="5896" width="5.9140625" style="263" customWidth="1"/>
    <col min="5897" max="5897" width="4.9140625" style="263" customWidth="1"/>
    <col min="5898" max="5899" width="9" style="263" customWidth="1"/>
    <col min="5900" max="5900" width="12" style="263" customWidth="1"/>
    <col min="5901" max="6144" width="8.58203125" style="263"/>
    <col min="6145" max="6145" width="9.08203125" style="263" customWidth="1"/>
    <col min="6146" max="6146" width="4.58203125" style="263" customWidth="1"/>
    <col min="6147" max="6147" width="5.75" style="263" customWidth="1"/>
    <col min="6148" max="6149" width="9.83203125" style="263" customWidth="1"/>
    <col min="6150" max="6150" width="7.08203125" style="263" customWidth="1"/>
    <col min="6151" max="6151" width="4.25" style="263" customWidth="1"/>
    <col min="6152" max="6152" width="5.9140625" style="263" customWidth="1"/>
    <col min="6153" max="6153" width="4.9140625" style="263" customWidth="1"/>
    <col min="6154" max="6155" width="9" style="263" customWidth="1"/>
    <col min="6156" max="6156" width="12" style="263" customWidth="1"/>
    <col min="6157" max="6400" width="8.58203125" style="263"/>
    <col min="6401" max="6401" width="9.08203125" style="263" customWidth="1"/>
    <col min="6402" max="6402" width="4.58203125" style="263" customWidth="1"/>
    <col min="6403" max="6403" width="5.75" style="263" customWidth="1"/>
    <col min="6404" max="6405" width="9.83203125" style="263" customWidth="1"/>
    <col min="6406" max="6406" width="7.08203125" style="263" customWidth="1"/>
    <col min="6407" max="6407" width="4.25" style="263" customWidth="1"/>
    <col min="6408" max="6408" width="5.9140625" style="263" customWidth="1"/>
    <col min="6409" max="6409" width="4.9140625" style="263" customWidth="1"/>
    <col min="6410" max="6411" width="9" style="263" customWidth="1"/>
    <col min="6412" max="6412" width="12" style="263" customWidth="1"/>
    <col min="6413" max="6656" width="8.58203125" style="263"/>
    <col min="6657" max="6657" width="9.08203125" style="263" customWidth="1"/>
    <col min="6658" max="6658" width="4.58203125" style="263" customWidth="1"/>
    <col min="6659" max="6659" width="5.75" style="263" customWidth="1"/>
    <col min="6660" max="6661" width="9.83203125" style="263" customWidth="1"/>
    <col min="6662" max="6662" width="7.08203125" style="263" customWidth="1"/>
    <col min="6663" max="6663" width="4.25" style="263" customWidth="1"/>
    <col min="6664" max="6664" width="5.9140625" style="263" customWidth="1"/>
    <col min="6665" max="6665" width="4.9140625" style="263" customWidth="1"/>
    <col min="6666" max="6667" width="9" style="263" customWidth="1"/>
    <col min="6668" max="6668" width="12" style="263" customWidth="1"/>
    <col min="6669" max="6912" width="8.58203125" style="263"/>
    <col min="6913" max="6913" width="9.08203125" style="263" customWidth="1"/>
    <col min="6914" max="6914" width="4.58203125" style="263" customWidth="1"/>
    <col min="6915" max="6915" width="5.75" style="263" customWidth="1"/>
    <col min="6916" max="6917" width="9.83203125" style="263" customWidth="1"/>
    <col min="6918" max="6918" width="7.08203125" style="263" customWidth="1"/>
    <col min="6919" max="6919" width="4.25" style="263" customWidth="1"/>
    <col min="6920" max="6920" width="5.9140625" style="263" customWidth="1"/>
    <col min="6921" max="6921" width="4.9140625" style="263" customWidth="1"/>
    <col min="6922" max="6923" width="9" style="263" customWidth="1"/>
    <col min="6924" max="6924" width="12" style="263" customWidth="1"/>
    <col min="6925" max="7168" width="8.58203125" style="263"/>
    <col min="7169" max="7169" width="9.08203125" style="263" customWidth="1"/>
    <col min="7170" max="7170" width="4.58203125" style="263" customWidth="1"/>
    <col min="7171" max="7171" width="5.75" style="263" customWidth="1"/>
    <col min="7172" max="7173" width="9.83203125" style="263" customWidth="1"/>
    <col min="7174" max="7174" width="7.08203125" style="263" customWidth="1"/>
    <col min="7175" max="7175" width="4.25" style="263" customWidth="1"/>
    <col min="7176" max="7176" width="5.9140625" style="263" customWidth="1"/>
    <col min="7177" max="7177" width="4.9140625" style="263" customWidth="1"/>
    <col min="7178" max="7179" width="9" style="263" customWidth="1"/>
    <col min="7180" max="7180" width="12" style="263" customWidth="1"/>
    <col min="7181" max="7424" width="8.58203125" style="263"/>
    <col min="7425" max="7425" width="9.08203125" style="263" customWidth="1"/>
    <col min="7426" max="7426" width="4.58203125" style="263" customWidth="1"/>
    <col min="7427" max="7427" width="5.75" style="263" customWidth="1"/>
    <col min="7428" max="7429" width="9.83203125" style="263" customWidth="1"/>
    <col min="7430" max="7430" width="7.08203125" style="263" customWidth="1"/>
    <col min="7431" max="7431" width="4.25" style="263" customWidth="1"/>
    <col min="7432" max="7432" width="5.9140625" style="263" customWidth="1"/>
    <col min="7433" max="7433" width="4.9140625" style="263" customWidth="1"/>
    <col min="7434" max="7435" width="9" style="263" customWidth="1"/>
    <col min="7436" max="7436" width="12" style="263" customWidth="1"/>
    <col min="7437" max="7680" width="8.58203125" style="263"/>
    <col min="7681" max="7681" width="9.08203125" style="263" customWidth="1"/>
    <col min="7682" max="7682" width="4.58203125" style="263" customWidth="1"/>
    <col min="7683" max="7683" width="5.75" style="263" customWidth="1"/>
    <col min="7684" max="7685" width="9.83203125" style="263" customWidth="1"/>
    <col min="7686" max="7686" width="7.08203125" style="263" customWidth="1"/>
    <col min="7687" max="7687" width="4.25" style="263" customWidth="1"/>
    <col min="7688" max="7688" width="5.9140625" style="263" customWidth="1"/>
    <col min="7689" max="7689" width="4.9140625" style="263" customWidth="1"/>
    <col min="7690" max="7691" width="9" style="263" customWidth="1"/>
    <col min="7692" max="7692" width="12" style="263" customWidth="1"/>
    <col min="7693" max="7936" width="8.58203125" style="263"/>
    <col min="7937" max="7937" width="9.08203125" style="263" customWidth="1"/>
    <col min="7938" max="7938" width="4.58203125" style="263" customWidth="1"/>
    <col min="7939" max="7939" width="5.75" style="263" customWidth="1"/>
    <col min="7940" max="7941" width="9.83203125" style="263" customWidth="1"/>
    <col min="7942" max="7942" width="7.08203125" style="263" customWidth="1"/>
    <col min="7943" max="7943" width="4.25" style="263" customWidth="1"/>
    <col min="7944" max="7944" width="5.9140625" style="263" customWidth="1"/>
    <col min="7945" max="7945" width="4.9140625" style="263" customWidth="1"/>
    <col min="7946" max="7947" width="9" style="263" customWidth="1"/>
    <col min="7948" max="7948" width="12" style="263" customWidth="1"/>
    <col min="7949" max="8192" width="8.58203125" style="263"/>
    <col min="8193" max="8193" width="9.08203125" style="263" customWidth="1"/>
    <col min="8194" max="8194" width="4.58203125" style="263" customWidth="1"/>
    <col min="8195" max="8195" width="5.75" style="263" customWidth="1"/>
    <col min="8196" max="8197" width="9.83203125" style="263" customWidth="1"/>
    <col min="8198" max="8198" width="7.08203125" style="263" customWidth="1"/>
    <col min="8199" max="8199" width="4.25" style="263" customWidth="1"/>
    <col min="8200" max="8200" width="5.9140625" style="263" customWidth="1"/>
    <col min="8201" max="8201" width="4.9140625" style="263" customWidth="1"/>
    <col min="8202" max="8203" width="9" style="263" customWidth="1"/>
    <col min="8204" max="8204" width="12" style="263" customWidth="1"/>
    <col min="8205" max="8448" width="8.58203125" style="263"/>
    <col min="8449" max="8449" width="9.08203125" style="263" customWidth="1"/>
    <col min="8450" max="8450" width="4.58203125" style="263" customWidth="1"/>
    <col min="8451" max="8451" width="5.75" style="263" customWidth="1"/>
    <col min="8452" max="8453" width="9.83203125" style="263" customWidth="1"/>
    <col min="8454" max="8454" width="7.08203125" style="263" customWidth="1"/>
    <col min="8455" max="8455" width="4.25" style="263" customWidth="1"/>
    <col min="8456" max="8456" width="5.9140625" style="263" customWidth="1"/>
    <col min="8457" max="8457" width="4.9140625" style="263" customWidth="1"/>
    <col min="8458" max="8459" width="9" style="263" customWidth="1"/>
    <col min="8460" max="8460" width="12" style="263" customWidth="1"/>
    <col min="8461" max="8704" width="8.58203125" style="263"/>
    <col min="8705" max="8705" width="9.08203125" style="263" customWidth="1"/>
    <col min="8706" max="8706" width="4.58203125" style="263" customWidth="1"/>
    <col min="8707" max="8707" width="5.75" style="263" customWidth="1"/>
    <col min="8708" max="8709" width="9.83203125" style="263" customWidth="1"/>
    <col min="8710" max="8710" width="7.08203125" style="263" customWidth="1"/>
    <col min="8711" max="8711" width="4.25" style="263" customWidth="1"/>
    <col min="8712" max="8712" width="5.9140625" style="263" customWidth="1"/>
    <col min="8713" max="8713" width="4.9140625" style="263" customWidth="1"/>
    <col min="8714" max="8715" width="9" style="263" customWidth="1"/>
    <col min="8716" max="8716" width="12" style="263" customWidth="1"/>
    <col min="8717" max="8960" width="8.58203125" style="263"/>
    <col min="8961" max="8961" width="9.08203125" style="263" customWidth="1"/>
    <col min="8962" max="8962" width="4.58203125" style="263" customWidth="1"/>
    <col min="8963" max="8963" width="5.75" style="263" customWidth="1"/>
    <col min="8964" max="8965" width="9.83203125" style="263" customWidth="1"/>
    <col min="8966" max="8966" width="7.08203125" style="263" customWidth="1"/>
    <col min="8967" max="8967" width="4.25" style="263" customWidth="1"/>
    <col min="8968" max="8968" width="5.9140625" style="263" customWidth="1"/>
    <col min="8969" max="8969" width="4.9140625" style="263" customWidth="1"/>
    <col min="8970" max="8971" width="9" style="263" customWidth="1"/>
    <col min="8972" max="8972" width="12" style="263" customWidth="1"/>
    <col min="8973" max="9216" width="8.58203125" style="263"/>
    <col min="9217" max="9217" width="9.08203125" style="263" customWidth="1"/>
    <col min="9218" max="9218" width="4.58203125" style="263" customWidth="1"/>
    <col min="9219" max="9219" width="5.75" style="263" customWidth="1"/>
    <col min="9220" max="9221" width="9.83203125" style="263" customWidth="1"/>
    <col min="9222" max="9222" width="7.08203125" style="263" customWidth="1"/>
    <col min="9223" max="9223" width="4.25" style="263" customWidth="1"/>
    <col min="9224" max="9224" width="5.9140625" style="263" customWidth="1"/>
    <col min="9225" max="9225" width="4.9140625" style="263" customWidth="1"/>
    <col min="9226" max="9227" width="9" style="263" customWidth="1"/>
    <col min="9228" max="9228" width="12" style="263" customWidth="1"/>
    <col min="9229" max="9472" width="8.58203125" style="263"/>
    <col min="9473" max="9473" width="9.08203125" style="263" customWidth="1"/>
    <col min="9474" max="9474" width="4.58203125" style="263" customWidth="1"/>
    <col min="9475" max="9475" width="5.75" style="263" customWidth="1"/>
    <col min="9476" max="9477" width="9.83203125" style="263" customWidth="1"/>
    <col min="9478" max="9478" width="7.08203125" style="263" customWidth="1"/>
    <col min="9479" max="9479" width="4.25" style="263" customWidth="1"/>
    <col min="9480" max="9480" width="5.9140625" style="263" customWidth="1"/>
    <col min="9481" max="9481" width="4.9140625" style="263" customWidth="1"/>
    <col min="9482" max="9483" width="9" style="263" customWidth="1"/>
    <col min="9484" max="9484" width="12" style="263" customWidth="1"/>
    <col min="9485" max="9728" width="8.58203125" style="263"/>
    <col min="9729" max="9729" width="9.08203125" style="263" customWidth="1"/>
    <col min="9730" max="9730" width="4.58203125" style="263" customWidth="1"/>
    <col min="9731" max="9731" width="5.75" style="263" customWidth="1"/>
    <col min="9732" max="9733" width="9.83203125" style="263" customWidth="1"/>
    <col min="9734" max="9734" width="7.08203125" style="263" customWidth="1"/>
    <col min="9735" max="9735" width="4.25" style="263" customWidth="1"/>
    <col min="9736" max="9736" width="5.9140625" style="263" customWidth="1"/>
    <col min="9737" max="9737" width="4.9140625" style="263" customWidth="1"/>
    <col min="9738" max="9739" width="9" style="263" customWidth="1"/>
    <col min="9740" max="9740" width="12" style="263" customWidth="1"/>
    <col min="9741" max="9984" width="8.58203125" style="263"/>
    <col min="9985" max="9985" width="9.08203125" style="263" customWidth="1"/>
    <col min="9986" max="9986" width="4.58203125" style="263" customWidth="1"/>
    <col min="9987" max="9987" width="5.75" style="263" customWidth="1"/>
    <col min="9988" max="9989" width="9.83203125" style="263" customWidth="1"/>
    <col min="9990" max="9990" width="7.08203125" style="263" customWidth="1"/>
    <col min="9991" max="9991" width="4.25" style="263" customWidth="1"/>
    <col min="9992" max="9992" width="5.9140625" style="263" customWidth="1"/>
    <col min="9993" max="9993" width="4.9140625" style="263" customWidth="1"/>
    <col min="9994" max="9995" width="9" style="263" customWidth="1"/>
    <col min="9996" max="9996" width="12" style="263" customWidth="1"/>
    <col min="9997" max="10240" width="8.58203125" style="263"/>
    <col min="10241" max="10241" width="9.08203125" style="263" customWidth="1"/>
    <col min="10242" max="10242" width="4.58203125" style="263" customWidth="1"/>
    <col min="10243" max="10243" width="5.75" style="263" customWidth="1"/>
    <col min="10244" max="10245" width="9.83203125" style="263" customWidth="1"/>
    <col min="10246" max="10246" width="7.08203125" style="263" customWidth="1"/>
    <col min="10247" max="10247" width="4.25" style="263" customWidth="1"/>
    <col min="10248" max="10248" width="5.9140625" style="263" customWidth="1"/>
    <col min="10249" max="10249" width="4.9140625" style="263" customWidth="1"/>
    <col min="10250" max="10251" width="9" style="263" customWidth="1"/>
    <col min="10252" max="10252" width="12" style="263" customWidth="1"/>
    <col min="10253" max="10496" width="8.58203125" style="263"/>
    <col min="10497" max="10497" width="9.08203125" style="263" customWidth="1"/>
    <col min="10498" max="10498" width="4.58203125" style="263" customWidth="1"/>
    <col min="10499" max="10499" width="5.75" style="263" customWidth="1"/>
    <col min="10500" max="10501" width="9.83203125" style="263" customWidth="1"/>
    <col min="10502" max="10502" width="7.08203125" style="263" customWidth="1"/>
    <col min="10503" max="10503" width="4.25" style="263" customWidth="1"/>
    <col min="10504" max="10504" width="5.9140625" style="263" customWidth="1"/>
    <col min="10505" max="10505" width="4.9140625" style="263" customWidth="1"/>
    <col min="10506" max="10507" width="9" style="263" customWidth="1"/>
    <col min="10508" max="10508" width="12" style="263" customWidth="1"/>
    <col min="10509" max="10752" width="8.58203125" style="263"/>
    <col min="10753" max="10753" width="9.08203125" style="263" customWidth="1"/>
    <col min="10754" max="10754" width="4.58203125" style="263" customWidth="1"/>
    <col min="10755" max="10755" width="5.75" style="263" customWidth="1"/>
    <col min="10756" max="10757" width="9.83203125" style="263" customWidth="1"/>
    <col min="10758" max="10758" width="7.08203125" style="263" customWidth="1"/>
    <col min="10759" max="10759" width="4.25" style="263" customWidth="1"/>
    <col min="10760" max="10760" width="5.9140625" style="263" customWidth="1"/>
    <col min="10761" max="10761" width="4.9140625" style="263" customWidth="1"/>
    <col min="10762" max="10763" width="9" style="263" customWidth="1"/>
    <col min="10764" max="10764" width="12" style="263" customWidth="1"/>
    <col min="10765" max="11008" width="8.58203125" style="263"/>
    <col min="11009" max="11009" width="9.08203125" style="263" customWidth="1"/>
    <col min="11010" max="11010" width="4.58203125" style="263" customWidth="1"/>
    <col min="11011" max="11011" width="5.75" style="263" customWidth="1"/>
    <col min="11012" max="11013" width="9.83203125" style="263" customWidth="1"/>
    <col min="11014" max="11014" width="7.08203125" style="263" customWidth="1"/>
    <col min="11015" max="11015" width="4.25" style="263" customWidth="1"/>
    <col min="11016" max="11016" width="5.9140625" style="263" customWidth="1"/>
    <col min="11017" max="11017" width="4.9140625" style="263" customWidth="1"/>
    <col min="11018" max="11019" width="9" style="263" customWidth="1"/>
    <col min="11020" max="11020" width="12" style="263" customWidth="1"/>
    <col min="11021" max="11264" width="8.58203125" style="263"/>
    <col min="11265" max="11265" width="9.08203125" style="263" customWidth="1"/>
    <col min="11266" max="11266" width="4.58203125" style="263" customWidth="1"/>
    <col min="11267" max="11267" width="5.75" style="263" customWidth="1"/>
    <col min="11268" max="11269" width="9.83203125" style="263" customWidth="1"/>
    <col min="11270" max="11270" width="7.08203125" style="263" customWidth="1"/>
    <col min="11271" max="11271" width="4.25" style="263" customWidth="1"/>
    <col min="11272" max="11272" width="5.9140625" style="263" customWidth="1"/>
    <col min="11273" max="11273" width="4.9140625" style="263" customWidth="1"/>
    <col min="11274" max="11275" width="9" style="263" customWidth="1"/>
    <col min="11276" max="11276" width="12" style="263" customWidth="1"/>
    <col min="11277" max="11520" width="8.58203125" style="263"/>
    <col min="11521" max="11521" width="9.08203125" style="263" customWidth="1"/>
    <col min="11522" max="11522" width="4.58203125" style="263" customWidth="1"/>
    <col min="11523" max="11523" width="5.75" style="263" customWidth="1"/>
    <col min="11524" max="11525" width="9.83203125" style="263" customWidth="1"/>
    <col min="11526" max="11526" width="7.08203125" style="263" customWidth="1"/>
    <col min="11527" max="11527" width="4.25" style="263" customWidth="1"/>
    <col min="11528" max="11528" width="5.9140625" style="263" customWidth="1"/>
    <col min="11529" max="11529" width="4.9140625" style="263" customWidth="1"/>
    <col min="11530" max="11531" width="9" style="263" customWidth="1"/>
    <col min="11532" max="11532" width="12" style="263" customWidth="1"/>
    <col min="11533" max="11776" width="8.58203125" style="263"/>
    <col min="11777" max="11777" width="9.08203125" style="263" customWidth="1"/>
    <col min="11778" max="11778" width="4.58203125" style="263" customWidth="1"/>
    <col min="11779" max="11779" width="5.75" style="263" customWidth="1"/>
    <col min="11780" max="11781" width="9.83203125" style="263" customWidth="1"/>
    <col min="11782" max="11782" width="7.08203125" style="263" customWidth="1"/>
    <col min="11783" max="11783" width="4.25" style="263" customWidth="1"/>
    <col min="11784" max="11784" width="5.9140625" style="263" customWidth="1"/>
    <col min="11785" max="11785" width="4.9140625" style="263" customWidth="1"/>
    <col min="11786" max="11787" width="9" style="263" customWidth="1"/>
    <col min="11788" max="11788" width="12" style="263" customWidth="1"/>
    <col min="11789" max="12032" width="8.58203125" style="263"/>
    <col min="12033" max="12033" width="9.08203125" style="263" customWidth="1"/>
    <col min="12034" max="12034" width="4.58203125" style="263" customWidth="1"/>
    <col min="12035" max="12035" width="5.75" style="263" customWidth="1"/>
    <col min="12036" max="12037" width="9.83203125" style="263" customWidth="1"/>
    <col min="12038" max="12038" width="7.08203125" style="263" customWidth="1"/>
    <col min="12039" max="12039" width="4.25" style="263" customWidth="1"/>
    <col min="12040" max="12040" width="5.9140625" style="263" customWidth="1"/>
    <col min="12041" max="12041" width="4.9140625" style="263" customWidth="1"/>
    <col min="12042" max="12043" width="9" style="263" customWidth="1"/>
    <col min="12044" max="12044" width="12" style="263" customWidth="1"/>
    <col min="12045" max="12288" width="8.58203125" style="263"/>
    <col min="12289" max="12289" width="9.08203125" style="263" customWidth="1"/>
    <col min="12290" max="12290" width="4.58203125" style="263" customWidth="1"/>
    <col min="12291" max="12291" width="5.75" style="263" customWidth="1"/>
    <col min="12292" max="12293" width="9.83203125" style="263" customWidth="1"/>
    <col min="12294" max="12294" width="7.08203125" style="263" customWidth="1"/>
    <col min="12295" max="12295" width="4.25" style="263" customWidth="1"/>
    <col min="12296" max="12296" width="5.9140625" style="263" customWidth="1"/>
    <col min="12297" max="12297" width="4.9140625" style="263" customWidth="1"/>
    <col min="12298" max="12299" width="9" style="263" customWidth="1"/>
    <col min="12300" max="12300" width="12" style="263" customWidth="1"/>
    <col min="12301" max="12544" width="8.58203125" style="263"/>
    <col min="12545" max="12545" width="9.08203125" style="263" customWidth="1"/>
    <col min="12546" max="12546" width="4.58203125" style="263" customWidth="1"/>
    <col min="12547" max="12547" width="5.75" style="263" customWidth="1"/>
    <col min="12548" max="12549" width="9.83203125" style="263" customWidth="1"/>
    <col min="12550" max="12550" width="7.08203125" style="263" customWidth="1"/>
    <col min="12551" max="12551" width="4.25" style="263" customWidth="1"/>
    <col min="12552" max="12552" width="5.9140625" style="263" customWidth="1"/>
    <col min="12553" max="12553" width="4.9140625" style="263" customWidth="1"/>
    <col min="12554" max="12555" width="9" style="263" customWidth="1"/>
    <col min="12556" max="12556" width="12" style="263" customWidth="1"/>
    <col min="12557" max="12800" width="8.58203125" style="263"/>
    <col min="12801" max="12801" width="9.08203125" style="263" customWidth="1"/>
    <col min="12802" max="12802" width="4.58203125" style="263" customWidth="1"/>
    <col min="12803" max="12803" width="5.75" style="263" customWidth="1"/>
    <col min="12804" max="12805" width="9.83203125" style="263" customWidth="1"/>
    <col min="12806" max="12806" width="7.08203125" style="263" customWidth="1"/>
    <col min="12807" max="12807" width="4.25" style="263" customWidth="1"/>
    <col min="12808" max="12808" width="5.9140625" style="263" customWidth="1"/>
    <col min="12809" max="12809" width="4.9140625" style="263" customWidth="1"/>
    <col min="12810" max="12811" width="9" style="263" customWidth="1"/>
    <col min="12812" max="12812" width="12" style="263" customWidth="1"/>
    <col min="12813" max="13056" width="8.58203125" style="263"/>
    <col min="13057" max="13057" width="9.08203125" style="263" customWidth="1"/>
    <col min="13058" max="13058" width="4.58203125" style="263" customWidth="1"/>
    <col min="13059" max="13059" width="5.75" style="263" customWidth="1"/>
    <col min="13060" max="13061" width="9.83203125" style="263" customWidth="1"/>
    <col min="13062" max="13062" width="7.08203125" style="263" customWidth="1"/>
    <col min="13063" max="13063" width="4.25" style="263" customWidth="1"/>
    <col min="13064" max="13064" width="5.9140625" style="263" customWidth="1"/>
    <col min="13065" max="13065" width="4.9140625" style="263" customWidth="1"/>
    <col min="13066" max="13067" width="9" style="263" customWidth="1"/>
    <col min="13068" max="13068" width="12" style="263" customWidth="1"/>
    <col min="13069" max="13312" width="8.58203125" style="263"/>
    <col min="13313" max="13313" width="9.08203125" style="263" customWidth="1"/>
    <col min="13314" max="13314" width="4.58203125" style="263" customWidth="1"/>
    <col min="13315" max="13315" width="5.75" style="263" customWidth="1"/>
    <col min="13316" max="13317" width="9.83203125" style="263" customWidth="1"/>
    <col min="13318" max="13318" width="7.08203125" style="263" customWidth="1"/>
    <col min="13319" max="13319" width="4.25" style="263" customWidth="1"/>
    <col min="13320" max="13320" width="5.9140625" style="263" customWidth="1"/>
    <col min="13321" max="13321" width="4.9140625" style="263" customWidth="1"/>
    <col min="13322" max="13323" width="9" style="263" customWidth="1"/>
    <col min="13324" max="13324" width="12" style="263" customWidth="1"/>
    <col min="13325" max="13568" width="8.58203125" style="263"/>
    <col min="13569" max="13569" width="9.08203125" style="263" customWidth="1"/>
    <col min="13570" max="13570" width="4.58203125" style="263" customWidth="1"/>
    <col min="13571" max="13571" width="5.75" style="263" customWidth="1"/>
    <col min="13572" max="13573" width="9.83203125" style="263" customWidth="1"/>
    <col min="13574" max="13574" width="7.08203125" style="263" customWidth="1"/>
    <col min="13575" max="13575" width="4.25" style="263" customWidth="1"/>
    <col min="13576" max="13576" width="5.9140625" style="263" customWidth="1"/>
    <col min="13577" max="13577" width="4.9140625" style="263" customWidth="1"/>
    <col min="13578" max="13579" width="9" style="263" customWidth="1"/>
    <col min="13580" max="13580" width="12" style="263" customWidth="1"/>
    <col min="13581" max="13824" width="8.58203125" style="263"/>
    <col min="13825" max="13825" width="9.08203125" style="263" customWidth="1"/>
    <col min="13826" max="13826" width="4.58203125" style="263" customWidth="1"/>
    <col min="13827" max="13827" width="5.75" style="263" customWidth="1"/>
    <col min="13828" max="13829" width="9.83203125" style="263" customWidth="1"/>
    <col min="13830" max="13830" width="7.08203125" style="263" customWidth="1"/>
    <col min="13831" max="13831" width="4.25" style="263" customWidth="1"/>
    <col min="13832" max="13832" width="5.9140625" style="263" customWidth="1"/>
    <col min="13833" max="13833" width="4.9140625" style="263" customWidth="1"/>
    <col min="13834" max="13835" width="9" style="263" customWidth="1"/>
    <col min="13836" max="13836" width="12" style="263" customWidth="1"/>
    <col min="13837" max="14080" width="8.58203125" style="263"/>
    <col min="14081" max="14081" width="9.08203125" style="263" customWidth="1"/>
    <col min="14082" max="14082" width="4.58203125" style="263" customWidth="1"/>
    <col min="14083" max="14083" width="5.75" style="263" customWidth="1"/>
    <col min="14084" max="14085" width="9.83203125" style="263" customWidth="1"/>
    <col min="14086" max="14086" width="7.08203125" style="263" customWidth="1"/>
    <col min="14087" max="14087" width="4.25" style="263" customWidth="1"/>
    <col min="14088" max="14088" width="5.9140625" style="263" customWidth="1"/>
    <col min="14089" max="14089" width="4.9140625" style="263" customWidth="1"/>
    <col min="14090" max="14091" width="9" style="263" customWidth="1"/>
    <col min="14092" max="14092" width="12" style="263" customWidth="1"/>
    <col min="14093" max="14336" width="8.58203125" style="263"/>
    <col min="14337" max="14337" width="9.08203125" style="263" customWidth="1"/>
    <col min="14338" max="14338" width="4.58203125" style="263" customWidth="1"/>
    <col min="14339" max="14339" width="5.75" style="263" customWidth="1"/>
    <col min="14340" max="14341" width="9.83203125" style="263" customWidth="1"/>
    <col min="14342" max="14342" width="7.08203125" style="263" customWidth="1"/>
    <col min="14343" max="14343" width="4.25" style="263" customWidth="1"/>
    <col min="14344" max="14344" width="5.9140625" style="263" customWidth="1"/>
    <col min="14345" max="14345" width="4.9140625" style="263" customWidth="1"/>
    <col min="14346" max="14347" width="9" style="263" customWidth="1"/>
    <col min="14348" max="14348" width="12" style="263" customWidth="1"/>
    <col min="14349" max="14592" width="8.58203125" style="263"/>
    <col min="14593" max="14593" width="9.08203125" style="263" customWidth="1"/>
    <col min="14594" max="14594" width="4.58203125" style="263" customWidth="1"/>
    <col min="14595" max="14595" width="5.75" style="263" customWidth="1"/>
    <col min="14596" max="14597" width="9.83203125" style="263" customWidth="1"/>
    <col min="14598" max="14598" width="7.08203125" style="263" customWidth="1"/>
    <col min="14599" max="14599" width="4.25" style="263" customWidth="1"/>
    <col min="14600" max="14600" width="5.9140625" style="263" customWidth="1"/>
    <col min="14601" max="14601" width="4.9140625" style="263" customWidth="1"/>
    <col min="14602" max="14603" width="9" style="263" customWidth="1"/>
    <col min="14604" max="14604" width="12" style="263" customWidth="1"/>
    <col min="14605" max="14848" width="8.58203125" style="263"/>
    <col min="14849" max="14849" width="9.08203125" style="263" customWidth="1"/>
    <col min="14850" max="14850" width="4.58203125" style="263" customWidth="1"/>
    <col min="14851" max="14851" width="5.75" style="263" customWidth="1"/>
    <col min="14852" max="14853" width="9.83203125" style="263" customWidth="1"/>
    <col min="14854" max="14854" width="7.08203125" style="263" customWidth="1"/>
    <col min="14855" max="14855" width="4.25" style="263" customWidth="1"/>
    <col min="14856" max="14856" width="5.9140625" style="263" customWidth="1"/>
    <col min="14857" max="14857" width="4.9140625" style="263" customWidth="1"/>
    <col min="14858" max="14859" width="9" style="263" customWidth="1"/>
    <col min="14860" max="14860" width="12" style="263" customWidth="1"/>
    <col min="14861" max="15104" width="8.58203125" style="263"/>
    <col min="15105" max="15105" width="9.08203125" style="263" customWidth="1"/>
    <col min="15106" max="15106" width="4.58203125" style="263" customWidth="1"/>
    <col min="15107" max="15107" width="5.75" style="263" customWidth="1"/>
    <col min="15108" max="15109" width="9.83203125" style="263" customWidth="1"/>
    <col min="15110" max="15110" width="7.08203125" style="263" customWidth="1"/>
    <col min="15111" max="15111" width="4.25" style="263" customWidth="1"/>
    <col min="15112" max="15112" width="5.9140625" style="263" customWidth="1"/>
    <col min="15113" max="15113" width="4.9140625" style="263" customWidth="1"/>
    <col min="15114" max="15115" width="9" style="263" customWidth="1"/>
    <col min="15116" max="15116" width="12" style="263" customWidth="1"/>
    <col min="15117" max="15360" width="8.58203125" style="263"/>
    <col min="15361" max="15361" width="9.08203125" style="263" customWidth="1"/>
    <col min="15362" max="15362" width="4.58203125" style="263" customWidth="1"/>
    <col min="15363" max="15363" width="5.75" style="263" customWidth="1"/>
    <col min="15364" max="15365" width="9.83203125" style="263" customWidth="1"/>
    <col min="15366" max="15366" width="7.08203125" style="263" customWidth="1"/>
    <col min="15367" max="15367" width="4.25" style="263" customWidth="1"/>
    <col min="15368" max="15368" width="5.9140625" style="263" customWidth="1"/>
    <col min="15369" max="15369" width="4.9140625" style="263" customWidth="1"/>
    <col min="15370" max="15371" width="9" style="263" customWidth="1"/>
    <col min="15372" max="15372" width="12" style="263" customWidth="1"/>
    <col min="15373" max="15616" width="8.58203125" style="263"/>
    <col min="15617" max="15617" width="9.08203125" style="263" customWidth="1"/>
    <col min="15618" max="15618" width="4.58203125" style="263" customWidth="1"/>
    <col min="15619" max="15619" width="5.75" style="263" customWidth="1"/>
    <col min="15620" max="15621" width="9.83203125" style="263" customWidth="1"/>
    <col min="15622" max="15622" width="7.08203125" style="263" customWidth="1"/>
    <col min="15623" max="15623" width="4.25" style="263" customWidth="1"/>
    <col min="15624" max="15624" width="5.9140625" style="263" customWidth="1"/>
    <col min="15625" max="15625" width="4.9140625" style="263" customWidth="1"/>
    <col min="15626" max="15627" width="9" style="263" customWidth="1"/>
    <col min="15628" max="15628" width="12" style="263" customWidth="1"/>
    <col min="15629" max="15872" width="8.58203125" style="263"/>
    <col min="15873" max="15873" width="9.08203125" style="263" customWidth="1"/>
    <col min="15874" max="15874" width="4.58203125" style="263" customWidth="1"/>
    <col min="15875" max="15875" width="5.75" style="263" customWidth="1"/>
    <col min="15876" max="15877" width="9.83203125" style="263" customWidth="1"/>
    <col min="15878" max="15878" width="7.08203125" style="263" customWidth="1"/>
    <col min="15879" max="15879" width="4.25" style="263" customWidth="1"/>
    <col min="15880" max="15880" width="5.9140625" style="263" customWidth="1"/>
    <col min="15881" max="15881" width="4.9140625" style="263" customWidth="1"/>
    <col min="15882" max="15883" width="9" style="263" customWidth="1"/>
    <col min="15884" max="15884" width="12" style="263" customWidth="1"/>
    <col min="15885" max="16128" width="8.58203125" style="263"/>
    <col min="16129" max="16129" width="9.08203125" style="263" customWidth="1"/>
    <col min="16130" max="16130" width="4.58203125" style="263" customWidth="1"/>
    <col min="16131" max="16131" width="5.75" style="263" customWidth="1"/>
    <col min="16132" max="16133" width="9.83203125" style="263" customWidth="1"/>
    <col min="16134" max="16134" width="7.08203125" style="263" customWidth="1"/>
    <col min="16135" max="16135" width="4.25" style="263" customWidth="1"/>
    <col min="16136" max="16136" width="5.9140625" style="263" customWidth="1"/>
    <col min="16137" max="16137" width="4.9140625" style="263" customWidth="1"/>
    <col min="16138" max="16139" width="9" style="263" customWidth="1"/>
    <col min="16140" max="16140" width="12" style="263" customWidth="1"/>
    <col min="16141" max="16384" width="8.58203125" style="263"/>
  </cols>
  <sheetData>
    <row r="1" spans="1:26" ht="20.25" customHeight="1">
      <c r="A1" s="830" t="s">
        <v>0</v>
      </c>
      <c r="B1" s="830"/>
      <c r="C1" s="830"/>
      <c r="D1" s="830"/>
      <c r="E1" s="830"/>
      <c r="F1" s="830"/>
      <c r="G1" s="830"/>
      <c r="H1" s="830"/>
      <c r="I1" s="830"/>
      <c r="J1" s="830"/>
      <c r="K1" s="830"/>
    </row>
    <row r="2" spans="1:26" ht="20.25" customHeight="1">
      <c r="A2" s="831" t="s">
        <v>330</v>
      </c>
      <c r="B2" s="831"/>
      <c r="C2" s="831"/>
      <c r="D2" s="831"/>
      <c r="E2" s="831"/>
      <c r="F2" s="831"/>
      <c r="G2" s="831"/>
      <c r="H2" s="831"/>
      <c r="I2" s="831"/>
      <c r="J2" s="831"/>
      <c r="K2" s="831"/>
    </row>
    <row r="3" spans="1:26" ht="18.75" customHeight="1" thickBot="1">
      <c r="A3" s="265" t="s">
        <v>72</v>
      </c>
      <c r="B3" s="266" t="s">
        <v>331</v>
      </c>
      <c r="C3" s="267"/>
      <c r="D3" s="267"/>
      <c r="E3" s="267"/>
      <c r="F3" s="264"/>
      <c r="G3" s="267"/>
      <c r="H3" s="267"/>
      <c r="I3" s="265" t="s">
        <v>332</v>
      </c>
      <c r="J3" s="832" t="s">
        <v>333</v>
      </c>
      <c r="K3" s="832"/>
    </row>
    <row r="4" spans="1:26" s="276" customFormat="1" ht="18.45" customHeight="1" thickBot="1">
      <c r="A4" s="268" t="s">
        <v>334</v>
      </c>
      <c r="B4" s="269"/>
      <c r="C4" s="270"/>
      <c r="D4" s="270"/>
      <c r="E4" s="270"/>
      <c r="F4" s="270"/>
      <c r="G4" s="270"/>
      <c r="H4" s="270"/>
      <c r="I4" s="270"/>
      <c r="J4" s="270"/>
      <c r="K4" s="271"/>
      <c r="L4" s="272"/>
      <c r="M4" s="272"/>
      <c r="N4" s="272"/>
      <c r="O4" s="272"/>
      <c r="P4" s="272"/>
      <c r="Q4" s="273" t="s">
        <v>335</v>
      </c>
      <c r="R4" s="274"/>
      <c r="S4" s="272"/>
      <c r="T4" s="273" t="s">
        <v>336</v>
      </c>
      <c r="U4" s="275"/>
      <c r="V4" s="272"/>
      <c r="W4" s="272"/>
      <c r="X4" s="272"/>
      <c r="Y4" s="272"/>
      <c r="Z4" s="272"/>
    </row>
    <row r="5" spans="1:26" s="276" customFormat="1" ht="18.45" customHeight="1">
      <c r="A5" s="833" t="s">
        <v>337</v>
      </c>
      <c r="B5" s="834"/>
      <c r="C5" s="834"/>
      <c r="D5" s="277"/>
      <c r="E5" s="278"/>
      <c r="F5" s="279" t="s">
        <v>338</v>
      </c>
      <c r="G5" s="267"/>
      <c r="H5" s="267"/>
      <c r="I5" s="280"/>
      <c r="J5" s="281" t="s">
        <v>339</v>
      </c>
      <c r="K5" s="282" t="s">
        <v>340</v>
      </c>
      <c r="L5" s="272"/>
      <c r="M5" s="272"/>
      <c r="N5" s="272"/>
      <c r="O5" s="272"/>
      <c r="P5" s="272"/>
      <c r="Q5" s="283" t="s">
        <v>341</v>
      </c>
      <c r="R5" s="284"/>
      <c r="S5" s="272"/>
      <c r="T5" s="283" t="s">
        <v>342</v>
      </c>
      <c r="U5" s="285"/>
      <c r="V5" s="272"/>
      <c r="W5" s="272"/>
      <c r="X5" s="272"/>
      <c r="Y5" s="272"/>
      <c r="Z5" s="272"/>
    </row>
    <row r="6" spans="1:26" s="276" customFormat="1" ht="18.45" customHeight="1">
      <c r="A6" s="835" t="s">
        <v>161</v>
      </c>
      <c r="B6" s="836"/>
      <c r="C6" s="836"/>
      <c r="D6" s="837" t="s">
        <v>343</v>
      </c>
      <c r="E6" s="838"/>
      <c r="F6" s="792" t="s">
        <v>344</v>
      </c>
      <c r="G6" s="793"/>
      <c r="H6" s="793"/>
      <c r="I6" s="793"/>
      <c r="J6" s="793"/>
      <c r="K6" s="794"/>
      <c r="L6" s="272"/>
      <c r="M6" s="272"/>
      <c r="N6" s="272"/>
      <c r="O6" s="272"/>
      <c r="P6" s="272"/>
      <c r="Q6" s="283" t="s">
        <v>345</v>
      </c>
      <c r="R6" s="284"/>
      <c r="S6" s="272"/>
      <c r="T6" s="283" t="s">
        <v>343</v>
      </c>
      <c r="U6" s="285"/>
      <c r="V6" s="272"/>
      <c r="W6" s="272"/>
      <c r="X6" s="272"/>
      <c r="Y6" s="272"/>
      <c r="Z6" s="272"/>
    </row>
    <row r="7" spans="1:26" s="276" customFormat="1" ht="18.45" customHeight="1">
      <c r="A7" s="826" t="s">
        <v>99</v>
      </c>
      <c r="B7" s="827"/>
      <c r="C7" s="827"/>
      <c r="D7" s="828">
        <v>1.79999995231628</v>
      </c>
      <c r="E7" s="829"/>
      <c r="F7" s="286" t="s">
        <v>346</v>
      </c>
      <c r="G7" s="287"/>
      <c r="H7" s="288"/>
      <c r="I7" s="289"/>
      <c r="J7" s="290">
        <v>8.4</v>
      </c>
      <c r="K7" s="291" t="s">
        <v>37</v>
      </c>
      <c r="L7" s="272"/>
      <c r="M7" s="272"/>
      <c r="N7" s="272"/>
      <c r="O7" s="272"/>
      <c r="P7" s="272"/>
      <c r="Q7" s="283" t="s">
        <v>347</v>
      </c>
      <c r="R7" s="284"/>
      <c r="S7" s="272"/>
      <c r="T7" s="283" t="s">
        <v>348</v>
      </c>
      <c r="U7" s="285"/>
      <c r="V7" s="272"/>
      <c r="W7" s="272"/>
      <c r="X7" s="272"/>
      <c r="Y7" s="272"/>
      <c r="Z7" s="272"/>
    </row>
    <row r="8" spans="1:26" s="276" customFormat="1" ht="18.45" customHeight="1">
      <c r="A8" s="826" t="s">
        <v>349</v>
      </c>
      <c r="B8" s="827"/>
      <c r="C8" s="827"/>
      <c r="D8" s="782">
        <v>520</v>
      </c>
      <c r="E8" s="783"/>
      <c r="F8" s="292" t="s">
        <v>350</v>
      </c>
      <c r="G8" s="293"/>
      <c r="H8" s="294"/>
      <c r="I8" s="295"/>
      <c r="J8" s="296">
        <v>4784</v>
      </c>
      <c r="K8" s="297" t="s">
        <v>37</v>
      </c>
      <c r="L8" s="272"/>
      <c r="M8" s="272"/>
      <c r="N8" s="272"/>
      <c r="O8" s="272"/>
      <c r="P8" s="272"/>
      <c r="Q8" s="283" t="s">
        <v>351</v>
      </c>
      <c r="R8" s="284"/>
      <c r="S8" s="272"/>
      <c r="T8" s="283" t="s">
        <v>352</v>
      </c>
      <c r="U8" s="285"/>
      <c r="V8" s="272"/>
      <c r="W8" s="272"/>
      <c r="X8" s="272"/>
      <c r="Y8" s="272"/>
      <c r="Z8" s="272"/>
    </row>
    <row r="9" spans="1:26" s="276" customFormat="1" ht="18.45" customHeight="1">
      <c r="A9" s="821" t="s">
        <v>353</v>
      </c>
      <c r="B9" s="822"/>
      <c r="C9" s="823"/>
      <c r="D9" s="782" t="s">
        <v>354</v>
      </c>
      <c r="E9" s="783"/>
      <c r="F9" s="286" t="s">
        <v>355</v>
      </c>
      <c r="G9" s="287"/>
      <c r="H9" s="298">
        <v>3</v>
      </c>
      <c r="I9" s="299" t="s">
        <v>356</v>
      </c>
      <c r="J9" s="300">
        <v>60</v>
      </c>
      <c r="K9" s="297" t="s">
        <v>37</v>
      </c>
      <c r="L9" s="272"/>
      <c r="M9" s="272"/>
      <c r="N9" s="272"/>
      <c r="O9" s="272"/>
      <c r="P9" s="272"/>
      <c r="Q9" s="283" t="s">
        <v>357</v>
      </c>
      <c r="R9" s="284"/>
      <c r="S9" s="272"/>
      <c r="T9" s="283" t="s">
        <v>358</v>
      </c>
      <c r="U9" s="285"/>
      <c r="V9" s="272"/>
      <c r="W9" s="272"/>
      <c r="X9" s="272"/>
      <c r="Y9" s="272"/>
      <c r="Z9" s="272"/>
    </row>
    <row r="10" spans="1:26" s="276" customFormat="1" ht="18.45" customHeight="1" thickBot="1">
      <c r="A10" s="821" t="s">
        <v>359</v>
      </c>
      <c r="B10" s="822"/>
      <c r="C10" s="823"/>
      <c r="D10" s="805" t="s">
        <v>127</v>
      </c>
      <c r="E10" s="806"/>
      <c r="F10" s="286" t="s">
        <v>360</v>
      </c>
      <c r="G10" s="287"/>
      <c r="H10" s="298">
        <v>3</v>
      </c>
      <c r="I10" s="299" t="s">
        <v>356</v>
      </c>
      <c r="J10" s="300">
        <v>1150</v>
      </c>
      <c r="K10" s="297" t="s">
        <v>37</v>
      </c>
      <c r="L10" s="272"/>
      <c r="M10" s="272"/>
      <c r="N10" s="272"/>
      <c r="O10" s="272"/>
      <c r="P10" s="272"/>
      <c r="Q10" s="283" t="s">
        <v>361</v>
      </c>
      <c r="R10" s="284"/>
      <c r="S10" s="272"/>
      <c r="T10" s="301" t="s">
        <v>362</v>
      </c>
      <c r="U10" s="302"/>
      <c r="V10" s="272"/>
      <c r="W10" s="272"/>
      <c r="X10" s="272"/>
      <c r="Y10" s="272"/>
      <c r="Z10" s="272"/>
    </row>
    <row r="11" spans="1:26" s="276" customFormat="1" ht="18.45" customHeight="1" thickBot="1">
      <c r="A11" s="821" t="s">
        <v>363</v>
      </c>
      <c r="B11" s="822"/>
      <c r="C11" s="823"/>
      <c r="D11" s="800" t="s">
        <v>37</v>
      </c>
      <c r="E11" s="801"/>
      <c r="F11" s="303" t="s">
        <v>364</v>
      </c>
      <c r="G11" s="304"/>
      <c r="H11" s="305">
        <v>3</v>
      </c>
      <c r="I11" s="299" t="s">
        <v>356</v>
      </c>
      <c r="J11" s="306">
        <v>13665</v>
      </c>
      <c r="K11" s="307" t="s">
        <v>37</v>
      </c>
      <c r="L11" s="272"/>
      <c r="M11" s="272"/>
      <c r="N11" s="272"/>
      <c r="O11" s="272"/>
      <c r="P11" s="272"/>
      <c r="Q11" s="301" t="s">
        <v>365</v>
      </c>
      <c r="R11" s="308"/>
      <c r="S11" s="272"/>
      <c r="T11" s="272"/>
      <c r="U11" s="272"/>
      <c r="V11" s="272"/>
      <c r="W11" s="272"/>
      <c r="X11" s="272"/>
      <c r="Y11" s="272"/>
      <c r="Z11" s="272"/>
    </row>
    <row r="12" spans="1:26" s="276" customFormat="1" ht="18.45" customHeight="1">
      <c r="A12" s="309" t="s">
        <v>366</v>
      </c>
      <c r="C12" s="310"/>
      <c r="D12" s="824" t="s">
        <v>37</v>
      </c>
      <c r="E12" s="825"/>
      <c r="F12" s="802" t="s">
        <v>367</v>
      </c>
      <c r="G12" s="803"/>
      <c r="H12" s="803"/>
      <c r="I12" s="803"/>
      <c r="J12" s="803"/>
      <c r="K12" s="804"/>
      <c r="L12" s="272"/>
      <c r="M12" s="272"/>
      <c r="N12" s="272"/>
      <c r="O12" s="272"/>
      <c r="P12" s="272"/>
      <c r="Q12" s="272"/>
      <c r="R12" s="272"/>
      <c r="S12" s="272"/>
      <c r="T12" s="272"/>
      <c r="U12" s="272"/>
      <c r="V12" s="272"/>
      <c r="W12" s="272"/>
      <c r="X12" s="272"/>
      <c r="Y12" s="272"/>
      <c r="Z12" s="272"/>
    </row>
    <row r="13" spans="1:26" s="276" customFormat="1" ht="18.45" customHeight="1">
      <c r="A13" s="821" t="s">
        <v>142</v>
      </c>
      <c r="B13" s="822"/>
      <c r="C13" s="823"/>
      <c r="D13" s="786" t="s">
        <v>368</v>
      </c>
      <c r="E13" s="787"/>
      <c r="F13" s="311"/>
      <c r="G13" s="312" t="s">
        <v>369</v>
      </c>
      <c r="H13" s="313"/>
      <c r="I13" s="314" t="s">
        <v>370</v>
      </c>
      <c r="J13" s="315" t="s">
        <v>371</v>
      </c>
      <c r="K13" s="316" t="s">
        <v>37</v>
      </c>
      <c r="L13" s="272"/>
      <c r="M13" s="272"/>
      <c r="N13" s="272"/>
      <c r="O13" s="272"/>
      <c r="P13" s="272"/>
      <c r="Q13" s="272"/>
      <c r="R13" s="272"/>
      <c r="S13" s="272"/>
      <c r="T13" s="272"/>
      <c r="U13" s="272"/>
      <c r="V13" s="272"/>
      <c r="W13" s="272"/>
      <c r="X13" s="272"/>
      <c r="Y13" s="272"/>
      <c r="Z13" s="272"/>
    </row>
    <row r="14" spans="1:26" s="276" customFormat="1" ht="18.45" customHeight="1">
      <c r="A14" s="821" t="s">
        <v>146</v>
      </c>
      <c r="B14" s="822"/>
      <c r="C14" s="823"/>
      <c r="D14" s="824">
        <v>977</v>
      </c>
      <c r="E14" s="825"/>
      <c r="F14" s="311"/>
      <c r="G14" s="317" t="s">
        <v>85</v>
      </c>
      <c r="H14" s="318"/>
      <c r="I14" s="318"/>
      <c r="J14" s="300" t="s">
        <v>37</v>
      </c>
      <c r="K14" s="297" t="s">
        <v>37</v>
      </c>
      <c r="L14" s="272"/>
      <c r="M14" s="272"/>
      <c r="N14" s="272"/>
      <c r="O14" s="272"/>
      <c r="P14" s="272"/>
      <c r="Q14" s="272"/>
      <c r="R14" s="272"/>
      <c r="S14" s="272"/>
      <c r="T14" s="272"/>
      <c r="U14" s="272"/>
      <c r="V14" s="272"/>
      <c r="W14" s="272"/>
      <c r="X14" s="272"/>
      <c r="Y14" s="272"/>
      <c r="Z14" s="272"/>
    </row>
    <row r="15" spans="1:26" s="276" customFormat="1" ht="18.45" customHeight="1">
      <c r="A15" s="818" t="s">
        <v>372</v>
      </c>
      <c r="B15" s="819"/>
      <c r="C15" s="820"/>
      <c r="D15" s="798">
        <v>12.983599662780762</v>
      </c>
      <c r="E15" s="799"/>
      <c r="F15" s="311"/>
      <c r="G15" s="317" t="s">
        <v>373</v>
      </c>
      <c r="H15" s="318"/>
      <c r="I15" s="318"/>
      <c r="J15" s="300" t="s">
        <v>37</v>
      </c>
      <c r="K15" s="297" t="s">
        <v>37</v>
      </c>
      <c r="L15" s="272"/>
      <c r="M15" s="272"/>
      <c r="N15" s="272"/>
      <c r="O15" s="272"/>
      <c r="P15" s="272"/>
      <c r="Q15" s="272"/>
      <c r="R15" s="272"/>
      <c r="S15" s="272"/>
      <c r="T15" s="272"/>
      <c r="U15" s="272"/>
      <c r="V15" s="272"/>
      <c r="W15" s="272"/>
      <c r="X15" s="272"/>
      <c r="Y15" s="272"/>
      <c r="Z15" s="272"/>
    </row>
    <row r="16" spans="1:26" s="276" customFormat="1" ht="18.45" customHeight="1">
      <c r="A16" s="795" t="s">
        <v>374</v>
      </c>
      <c r="B16" s="796"/>
      <c r="C16" s="797"/>
      <c r="D16" s="798">
        <v>3.3468003273010254</v>
      </c>
      <c r="E16" s="799"/>
      <c r="F16" s="320"/>
      <c r="G16" s="321" t="s">
        <v>96</v>
      </c>
      <c r="H16" s="322"/>
      <c r="I16" s="322"/>
      <c r="J16" s="306" t="s">
        <v>37</v>
      </c>
      <c r="K16" s="307" t="s">
        <v>37</v>
      </c>
      <c r="L16" s="272"/>
      <c r="M16" s="272"/>
      <c r="N16" s="272"/>
      <c r="O16" s="272"/>
      <c r="P16" s="272"/>
      <c r="Q16" s="272"/>
      <c r="R16" s="272"/>
      <c r="S16" s="272"/>
      <c r="T16" s="272"/>
      <c r="U16" s="272"/>
      <c r="V16" s="272"/>
      <c r="W16" s="272"/>
      <c r="X16" s="272"/>
      <c r="Y16" s="272"/>
      <c r="Z16" s="272"/>
    </row>
    <row r="17" spans="1:26" s="276" customFormat="1" ht="18.45" customHeight="1">
      <c r="A17" s="323" t="s">
        <v>375</v>
      </c>
      <c r="B17" s="324"/>
      <c r="C17" s="325"/>
      <c r="D17" s="800" t="s">
        <v>376</v>
      </c>
      <c r="E17" s="801"/>
      <c r="F17" s="802" t="s">
        <v>377</v>
      </c>
      <c r="G17" s="803"/>
      <c r="H17" s="803"/>
      <c r="I17" s="803"/>
      <c r="J17" s="803"/>
      <c r="K17" s="804"/>
      <c r="L17" s="272"/>
      <c r="M17" s="272"/>
      <c r="N17" s="272"/>
      <c r="O17" s="272"/>
      <c r="P17" s="272"/>
      <c r="Q17" s="272"/>
      <c r="R17" s="272"/>
      <c r="S17" s="272"/>
      <c r="T17" s="272"/>
      <c r="U17" s="272"/>
      <c r="V17" s="272"/>
      <c r="W17" s="272"/>
      <c r="X17" s="272"/>
      <c r="Y17" s="272"/>
      <c r="Z17" s="272"/>
    </row>
    <row r="18" spans="1:26" s="276" customFormat="1" ht="18.45" customHeight="1">
      <c r="A18" s="326" t="s">
        <v>378</v>
      </c>
      <c r="B18" s="327"/>
      <c r="C18" s="325"/>
      <c r="D18" s="805" t="s">
        <v>37</v>
      </c>
      <c r="E18" s="806"/>
      <c r="F18" s="807"/>
      <c r="G18" s="808"/>
      <c r="H18" s="328" t="s">
        <v>379</v>
      </c>
      <c r="I18" s="329"/>
      <c r="J18" s="296">
        <v>44</v>
      </c>
      <c r="K18" s="297"/>
      <c r="L18" s="272"/>
      <c r="M18" s="272"/>
      <c r="N18" s="272"/>
      <c r="O18" s="272"/>
      <c r="P18" s="272"/>
      <c r="Q18" s="272"/>
      <c r="R18" s="272"/>
      <c r="S18" s="272"/>
      <c r="T18" s="272"/>
      <c r="U18" s="272"/>
      <c r="V18" s="272"/>
      <c r="W18" s="272"/>
      <c r="X18" s="272"/>
      <c r="Y18" s="272"/>
      <c r="Z18" s="272"/>
    </row>
    <row r="19" spans="1:26" s="276" customFormat="1" ht="18.45" customHeight="1">
      <c r="A19" s="813" t="s">
        <v>380</v>
      </c>
      <c r="B19" s="814"/>
      <c r="C19" s="815"/>
      <c r="D19" s="816">
        <v>5</v>
      </c>
      <c r="E19" s="801"/>
      <c r="F19" s="809"/>
      <c r="G19" s="810"/>
      <c r="H19" s="328" t="s">
        <v>78</v>
      </c>
      <c r="I19" s="289"/>
      <c r="J19" s="296">
        <v>1780</v>
      </c>
      <c r="K19" s="297"/>
      <c r="L19" s="272"/>
      <c r="M19" s="272"/>
      <c r="N19" s="272"/>
      <c r="O19" s="272"/>
      <c r="P19" s="272"/>
      <c r="Q19" s="272"/>
      <c r="R19" s="272"/>
      <c r="S19" s="272"/>
      <c r="T19" s="272"/>
      <c r="U19" s="272"/>
      <c r="V19" s="272"/>
      <c r="W19" s="272"/>
      <c r="X19" s="272"/>
      <c r="Y19" s="272"/>
      <c r="Z19" s="272"/>
    </row>
    <row r="20" spans="1:26" s="276" customFormat="1" ht="18.45" customHeight="1" thickBot="1">
      <c r="A20" s="330" t="s">
        <v>381</v>
      </c>
      <c r="C20" s="331"/>
      <c r="D20" s="817" t="s">
        <v>104</v>
      </c>
      <c r="E20" s="783"/>
      <c r="F20" s="809"/>
      <c r="G20" s="810"/>
      <c r="H20" s="328" t="s">
        <v>382</v>
      </c>
      <c r="I20" s="289"/>
      <c r="J20" s="300" t="s">
        <v>383</v>
      </c>
      <c r="K20" s="297"/>
      <c r="L20" s="272"/>
      <c r="M20" s="272"/>
      <c r="N20" s="272"/>
      <c r="O20" s="272"/>
      <c r="P20" s="272"/>
      <c r="Q20" s="272"/>
      <c r="R20" s="272"/>
      <c r="S20" s="272"/>
      <c r="T20" s="272"/>
      <c r="U20" s="272"/>
      <c r="V20" s="272"/>
      <c r="W20" s="272"/>
      <c r="X20" s="272"/>
      <c r="Y20" s="272"/>
      <c r="Z20" s="272"/>
    </row>
    <row r="21" spans="1:26" s="276" customFormat="1" ht="18.45" customHeight="1" thickBot="1">
      <c r="A21" s="818" t="s">
        <v>384</v>
      </c>
      <c r="B21" s="819"/>
      <c r="C21" s="820"/>
      <c r="D21" s="782" t="s">
        <v>37</v>
      </c>
      <c r="E21" s="783"/>
      <c r="F21" s="809"/>
      <c r="G21" s="810"/>
      <c r="H21" s="332" t="s">
        <v>385</v>
      </c>
      <c r="I21" s="289"/>
      <c r="J21" s="300">
        <v>1.1499999999999999</v>
      </c>
      <c r="K21" s="297"/>
      <c r="L21" s="272"/>
      <c r="M21" s="272"/>
      <c r="N21" s="272"/>
      <c r="O21" s="272"/>
      <c r="P21" s="272"/>
      <c r="Q21" s="273" t="s">
        <v>386</v>
      </c>
      <c r="R21" s="275"/>
      <c r="S21" s="272"/>
      <c r="T21" s="272"/>
      <c r="U21" s="272"/>
      <c r="V21" s="272"/>
      <c r="W21" s="272"/>
      <c r="X21" s="272"/>
      <c r="Y21" s="272"/>
      <c r="Z21" s="272"/>
    </row>
    <row r="22" spans="1:26" s="276" customFormat="1" ht="18.45" customHeight="1">
      <c r="A22" s="326" t="s">
        <v>387</v>
      </c>
      <c r="B22" s="333"/>
      <c r="C22" s="333"/>
      <c r="D22" s="784">
        <v>0.63800000000000001</v>
      </c>
      <c r="E22" s="785"/>
      <c r="F22" s="809"/>
      <c r="G22" s="810"/>
      <c r="H22" s="328" t="s">
        <v>339</v>
      </c>
      <c r="I22" s="289"/>
      <c r="J22" s="300" t="s">
        <v>388</v>
      </c>
      <c r="K22" s="297"/>
      <c r="L22" s="272"/>
      <c r="M22" s="272"/>
      <c r="N22" s="272"/>
      <c r="O22" s="272"/>
      <c r="P22" s="272"/>
      <c r="Q22" s="283" t="s">
        <v>389</v>
      </c>
      <c r="R22" s="285"/>
      <c r="S22" s="272"/>
      <c r="T22" s="272"/>
      <c r="U22" s="272"/>
      <c r="V22" s="272"/>
      <c r="W22" s="272"/>
      <c r="X22" s="272"/>
      <c r="Y22" s="272"/>
      <c r="Z22" s="272"/>
    </row>
    <row r="23" spans="1:26" s="276" customFormat="1" ht="18.45" customHeight="1">
      <c r="A23" s="334" t="s">
        <v>390</v>
      </c>
      <c r="B23" s="335" t="s">
        <v>391</v>
      </c>
      <c r="C23" s="336"/>
      <c r="D23" s="786">
        <v>233</v>
      </c>
      <c r="E23" s="787"/>
      <c r="F23" s="809"/>
      <c r="G23" s="810"/>
      <c r="H23" s="337" t="s">
        <v>392</v>
      </c>
      <c r="I23" s="338"/>
      <c r="J23" s="339"/>
      <c r="K23" s="340"/>
      <c r="L23" s="272"/>
      <c r="Q23" s="283" t="s">
        <v>393</v>
      </c>
      <c r="R23" s="285"/>
      <c r="S23" s="272"/>
      <c r="T23" s="272"/>
      <c r="U23" s="272"/>
      <c r="V23" s="272"/>
      <c r="W23" s="272"/>
      <c r="X23" s="272"/>
      <c r="Y23" s="272"/>
      <c r="Z23" s="272"/>
    </row>
    <row r="24" spans="1:26" s="276" customFormat="1" ht="18.45" customHeight="1" thickBot="1">
      <c r="A24" s="341" t="s">
        <v>394</v>
      </c>
      <c r="B24" s="342" t="s">
        <v>395</v>
      </c>
      <c r="C24" s="343"/>
      <c r="D24" s="788" t="s">
        <v>37</v>
      </c>
      <c r="E24" s="789"/>
      <c r="F24" s="809"/>
      <c r="G24" s="810"/>
      <c r="H24" s="328" t="s">
        <v>396</v>
      </c>
      <c r="I24" s="310"/>
      <c r="J24" s="344"/>
      <c r="K24" s="345"/>
      <c r="Q24" s="346" t="s">
        <v>37</v>
      </c>
      <c r="R24" s="347"/>
      <c r="S24" s="272"/>
      <c r="T24" s="272"/>
      <c r="U24" s="272"/>
      <c r="V24" s="272"/>
      <c r="W24" s="272"/>
      <c r="X24" s="272"/>
      <c r="Y24" s="272"/>
      <c r="Z24" s="272"/>
    </row>
    <row r="25" spans="1:26" s="276" customFormat="1" ht="18.45" customHeight="1">
      <c r="A25" s="348" t="s">
        <v>397</v>
      </c>
      <c r="B25" s="349"/>
      <c r="C25" s="349"/>
      <c r="D25" s="350"/>
      <c r="E25" s="350" t="s">
        <v>398</v>
      </c>
      <c r="F25" s="809"/>
      <c r="G25" s="810"/>
      <c r="H25" s="328" t="s">
        <v>399</v>
      </c>
      <c r="I25" s="310"/>
      <c r="J25" s="351"/>
      <c r="K25" s="345"/>
      <c r="R25" s="272"/>
      <c r="S25" s="272"/>
      <c r="T25" s="272"/>
      <c r="U25" s="272"/>
      <c r="V25" s="272"/>
      <c r="W25" s="272"/>
      <c r="X25" s="272"/>
      <c r="Y25" s="272"/>
      <c r="Z25" s="272"/>
    </row>
    <row r="26" spans="1:26" s="276" customFormat="1" ht="18.45" customHeight="1">
      <c r="A26" s="352" t="s">
        <v>400</v>
      </c>
      <c r="B26" s="353"/>
      <c r="C26" s="354"/>
      <c r="D26" s="355" t="s">
        <v>401</v>
      </c>
      <c r="E26" s="355" t="s">
        <v>402</v>
      </c>
      <c r="F26" s="811"/>
      <c r="G26" s="812"/>
      <c r="H26" s="790"/>
      <c r="I26" s="791"/>
      <c r="J26" s="356"/>
      <c r="K26" s="357"/>
      <c r="R26" s="272"/>
      <c r="S26" s="272"/>
      <c r="T26" s="272"/>
      <c r="U26" s="272"/>
      <c r="V26" s="272"/>
      <c r="W26" s="272"/>
      <c r="X26" s="272"/>
      <c r="Y26" s="272"/>
      <c r="Z26" s="272"/>
    </row>
    <row r="27" spans="1:26" s="276" customFormat="1" ht="18.45" customHeight="1">
      <c r="A27" s="774" t="s">
        <v>403</v>
      </c>
      <c r="B27" s="775"/>
      <c r="C27" s="775"/>
      <c r="D27" s="775"/>
      <c r="E27" s="775"/>
      <c r="F27" s="792" t="s">
        <v>404</v>
      </c>
      <c r="G27" s="793"/>
      <c r="H27" s="793"/>
      <c r="I27" s="793"/>
      <c r="J27" s="793"/>
      <c r="K27" s="794"/>
      <c r="R27" s="272"/>
      <c r="S27" s="272"/>
      <c r="T27" s="272"/>
      <c r="U27" s="272"/>
      <c r="V27" s="272"/>
      <c r="W27" s="272"/>
      <c r="X27" s="272"/>
      <c r="Y27" s="272"/>
      <c r="Z27" s="272"/>
    </row>
    <row r="28" spans="1:26" s="276" customFormat="1" ht="18.45" customHeight="1">
      <c r="A28" s="768"/>
      <c r="B28" s="769"/>
      <c r="C28" s="769"/>
      <c r="D28" s="769"/>
      <c r="E28" s="770"/>
      <c r="F28" s="358"/>
      <c r="G28" s="359"/>
      <c r="H28" s="317" t="s">
        <v>405</v>
      </c>
      <c r="I28" s="360">
        <v>293</v>
      </c>
      <c r="J28" s="296">
        <v>278</v>
      </c>
      <c r="K28" s="361" t="s">
        <v>37</v>
      </c>
      <c r="N28" s="362"/>
      <c r="O28" s="362"/>
      <c r="R28" s="272"/>
      <c r="S28" s="272"/>
      <c r="T28" s="272"/>
      <c r="U28" s="272"/>
      <c r="V28" s="272"/>
      <c r="W28" s="272"/>
      <c r="X28" s="272"/>
      <c r="Y28" s="272"/>
      <c r="Z28" s="272"/>
    </row>
    <row r="29" spans="1:26" s="276" customFormat="1" ht="18.45" customHeight="1">
      <c r="A29" s="768"/>
      <c r="B29" s="769"/>
      <c r="C29" s="769"/>
      <c r="D29" s="769"/>
      <c r="E29" s="770"/>
      <c r="F29" s="363"/>
      <c r="G29" s="364"/>
      <c r="H29" s="317" t="s">
        <v>406</v>
      </c>
      <c r="I29" s="365">
        <v>80</v>
      </c>
      <c r="J29" s="296">
        <v>170</v>
      </c>
      <c r="K29" s="366" t="s">
        <v>37</v>
      </c>
      <c r="Q29" s="272"/>
      <c r="R29" s="272"/>
      <c r="S29" s="272"/>
      <c r="T29" s="272"/>
      <c r="U29" s="272"/>
      <c r="V29" s="272"/>
      <c r="W29" s="272"/>
      <c r="X29" s="272"/>
      <c r="Y29" s="272"/>
      <c r="Z29" s="272"/>
    </row>
    <row r="30" spans="1:26" s="276" customFormat="1" ht="18.45" customHeight="1">
      <c r="A30" s="768"/>
      <c r="B30" s="769"/>
      <c r="C30" s="769"/>
      <c r="D30" s="769"/>
      <c r="E30" s="770"/>
      <c r="F30" s="363"/>
      <c r="G30" s="364"/>
      <c r="H30" s="317" t="s">
        <v>407</v>
      </c>
      <c r="I30" s="365">
        <v>175</v>
      </c>
      <c r="J30" s="296">
        <v>270</v>
      </c>
      <c r="K30" s="367" t="s">
        <v>37</v>
      </c>
      <c r="L30" s="272"/>
      <c r="R30" s="272"/>
      <c r="S30" s="272"/>
      <c r="T30" s="272"/>
      <c r="U30" s="272"/>
      <c r="V30" s="272"/>
      <c r="W30" s="272"/>
      <c r="X30" s="272"/>
      <c r="Y30" s="272"/>
      <c r="Z30" s="272"/>
    </row>
    <row r="31" spans="1:26" s="276" customFormat="1" ht="18.45" customHeight="1">
      <c r="A31" s="768"/>
      <c r="B31" s="769"/>
      <c r="C31" s="769"/>
      <c r="D31" s="769"/>
      <c r="E31" s="770"/>
      <c r="F31" s="363"/>
      <c r="G31" s="364"/>
      <c r="H31" s="317" t="s">
        <v>408</v>
      </c>
      <c r="I31" s="318"/>
      <c r="J31" s="368">
        <v>1.01</v>
      </c>
      <c r="K31" s="291" t="s">
        <v>37</v>
      </c>
      <c r="L31" s="272"/>
      <c r="R31" s="272"/>
      <c r="S31" s="272"/>
      <c r="T31" s="272"/>
      <c r="U31" s="272"/>
      <c r="V31" s="272"/>
      <c r="W31" s="272"/>
      <c r="X31" s="272"/>
      <c r="Y31" s="272"/>
      <c r="Z31" s="272"/>
    </row>
    <row r="32" spans="1:26" s="276" customFormat="1" ht="18.45" customHeight="1">
      <c r="A32" s="771"/>
      <c r="B32" s="772"/>
      <c r="C32" s="772"/>
      <c r="D32" s="772"/>
      <c r="E32" s="773"/>
      <c r="F32" s="363"/>
      <c r="G32" s="369" t="s">
        <v>409</v>
      </c>
      <c r="H32" s="317" t="s">
        <v>410</v>
      </c>
      <c r="I32" s="370"/>
      <c r="J32" s="290">
        <v>93.7</v>
      </c>
      <c r="K32" s="366" t="s">
        <v>37</v>
      </c>
      <c r="L32" s="272"/>
      <c r="N32" s="371"/>
      <c r="R32" s="272"/>
      <c r="S32" s="272"/>
      <c r="T32" s="272"/>
      <c r="U32" s="272"/>
      <c r="V32" s="272"/>
      <c r="W32" s="272"/>
      <c r="X32" s="272"/>
      <c r="Y32" s="272"/>
      <c r="Z32" s="272"/>
    </row>
    <row r="33" spans="1:26" s="276" customFormat="1" ht="18.45" customHeight="1">
      <c r="A33" s="774" t="s">
        <v>411</v>
      </c>
      <c r="B33" s="775"/>
      <c r="C33" s="775"/>
      <c r="D33" s="775"/>
      <c r="E33" s="776"/>
      <c r="F33" s="372"/>
      <c r="G33" s="373"/>
      <c r="H33" s="374" t="s">
        <v>412</v>
      </c>
      <c r="I33" s="375"/>
      <c r="J33" s="376">
        <v>92.4</v>
      </c>
      <c r="K33" s="377" t="s">
        <v>37</v>
      </c>
      <c r="L33" s="272"/>
      <c r="R33" s="272"/>
      <c r="S33" s="272"/>
      <c r="T33" s="272"/>
      <c r="U33" s="272"/>
      <c r="V33" s="272"/>
      <c r="W33" s="272"/>
      <c r="X33" s="272"/>
      <c r="Y33" s="272"/>
      <c r="Z33" s="272"/>
    </row>
    <row r="34" spans="1:26" s="276" customFormat="1" ht="18.45" customHeight="1">
      <c r="A34" s="768"/>
      <c r="B34" s="769"/>
      <c r="C34" s="769"/>
      <c r="D34" s="769"/>
      <c r="E34" s="770"/>
      <c r="F34" s="292" t="s">
        <v>413</v>
      </c>
      <c r="G34" s="378"/>
      <c r="H34" s="379" t="s">
        <v>93</v>
      </c>
      <c r="I34" s="380"/>
      <c r="J34" s="381">
        <v>5183</v>
      </c>
      <c r="K34" s="382" t="s">
        <v>37</v>
      </c>
      <c r="L34" s="383"/>
      <c r="M34" s="362"/>
      <c r="R34" s="272"/>
      <c r="S34" s="272"/>
      <c r="T34" s="272"/>
      <c r="U34" s="272"/>
      <c r="V34" s="272"/>
      <c r="W34" s="272"/>
      <c r="X34" s="272"/>
      <c r="Y34" s="272"/>
      <c r="Z34" s="272"/>
    </row>
    <row r="35" spans="1:26" s="276" customFormat="1" ht="18.45" customHeight="1">
      <c r="A35" s="768"/>
      <c r="B35" s="769"/>
      <c r="C35" s="769"/>
      <c r="D35" s="769"/>
      <c r="E35" s="770"/>
      <c r="F35" s="311"/>
      <c r="G35" s="384"/>
      <c r="H35" s="385" t="s">
        <v>94</v>
      </c>
      <c r="I35" s="319"/>
      <c r="J35" s="296">
        <v>3279</v>
      </c>
      <c r="K35" s="291" t="s">
        <v>37</v>
      </c>
      <c r="L35" s="386"/>
      <c r="M35" s="362"/>
      <c r="R35" s="272"/>
      <c r="S35" s="272"/>
      <c r="T35" s="272"/>
      <c r="U35" s="272"/>
      <c r="V35" s="272"/>
      <c r="W35" s="272"/>
      <c r="X35" s="272"/>
      <c r="Y35" s="272"/>
      <c r="Z35" s="272"/>
    </row>
    <row r="36" spans="1:26" s="276" customFormat="1" ht="18.45" customHeight="1">
      <c r="A36" s="768"/>
      <c r="B36" s="769"/>
      <c r="C36" s="769"/>
      <c r="D36" s="769"/>
      <c r="E36" s="770"/>
      <c r="F36" s="311"/>
      <c r="G36" s="384"/>
      <c r="H36" s="385" t="s">
        <v>414</v>
      </c>
      <c r="I36" s="319"/>
      <c r="J36" s="296">
        <v>1382</v>
      </c>
      <c r="K36" s="291" t="s">
        <v>37</v>
      </c>
      <c r="L36" s="386"/>
      <c r="M36" s="362"/>
      <c r="Q36" s="272"/>
      <c r="R36" s="272"/>
      <c r="S36" s="272"/>
      <c r="T36" s="272"/>
      <c r="U36" s="272"/>
      <c r="V36" s="272"/>
      <c r="W36" s="272"/>
      <c r="X36" s="272"/>
      <c r="Y36" s="272"/>
      <c r="Z36" s="272"/>
    </row>
    <row r="37" spans="1:26" s="276" customFormat="1" ht="18.45" customHeight="1">
      <c r="A37" s="768"/>
      <c r="B37" s="769"/>
      <c r="C37" s="769"/>
      <c r="D37" s="769"/>
      <c r="E37" s="770"/>
      <c r="F37" s="363"/>
      <c r="G37" s="384"/>
      <c r="H37" s="385" t="s">
        <v>415</v>
      </c>
      <c r="I37" s="319"/>
      <c r="J37" s="296">
        <v>3267</v>
      </c>
      <c r="K37" s="291" t="s">
        <v>37</v>
      </c>
      <c r="L37" s="386"/>
      <c r="M37" s="362"/>
      <c r="N37" s="386"/>
      <c r="R37" s="272"/>
      <c r="S37" s="272"/>
      <c r="T37" s="272"/>
      <c r="U37" s="272"/>
      <c r="V37" s="272"/>
      <c r="W37" s="272"/>
      <c r="X37" s="272"/>
      <c r="Y37" s="272"/>
      <c r="Z37" s="272"/>
    </row>
    <row r="38" spans="1:26" s="276" customFormat="1" ht="18.45" customHeight="1">
      <c r="A38" s="771"/>
      <c r="B38" s="772"/>
      <c r="C38" s="772"/>
      <c r="D38" s="772"/>
      <c r="E38" s="773"/>
      <c r="F38" s="320"/>
      <c r="G38" s="387"/>
      <c r="H38" s="388" t="s">
        <v>416</v>
      </c>
      <c r="I38" s="389"/>
      <c r="J38" s="390">
        <v>4427</v>
      </c>
      <c r="K38" s="391" t="s">
        <v>37</v>
      </c>
      <c r="R38" s="272"/>
      <c r="S38" s="272"/>
      <c r="T38" s="272"/>
      <c r="U38" s="272"/>
      <c r="V38" s="272"/>
      <c r="W38" s="272"/>
      <c r="X38" s="272"/>
      <c r="Y38" s="272"/>
      <c r="Z38" s="272"/>
    </row>
    <row r="39" spans="1:26" s="276" customFormat="1" ht="18.45" customHeight="1">
      <c r="A39" s="774" t="s">
        <v>417</v>
      </c>
      <c r="B39" s="775"/>
      <c r="C39" s="775"/>
      <c r="D39" s="775"/>
      <c r="E39" s="775"/>
      <c r="F39" s="392" t="s">
        <v>418</v>
      </c>
      <c r="G39" s="393"/>
      <c r="H39" s="393"/>
      <c r="I39" s="393"/>
      <c r="J39" s="393"/>
      <c r="K39" s="394"/>
      <c r="R39" s="272"/>
      <c r="S39" s="272"/>
      <c r="T39" s="272"/>
      <c r="U39" s="272"/>
      <c r="V39" s="272"/>
      <c r="W39" s="272"/>
      <c r="X39" s="272"/>
      <c r="Y39" s="272"/>
      <c r="Z39" s="272"/>
    </row>
    <row r="40" spans="1:26" s="276" customFormat="1" ht="18.45" customHeight="1">
      <c r="A40" s="768"/>
      <c r="B40" s="769"/>
      <c r="C40" s="769"/>
      <c r="D40" s="769"/>
      <c r="E40" s="770"/>
      <c r="F40" s="395"/>
      <c r="G40" s="396" t="s">
        <v>419</v>
      </c>
      <c r="H40" s="396"/>
      <c r="I40" s="396"/>
      <c r="J40" s="396"/>
      <c r="K40" s="397"/>
      <c r="R40" s="272"/>
      <c r="S40" s="272"/>
      <c r="T40" s="272"/>
      <c r="U40" s="272"/>
      <c r="V40" s="272"/>
      <c r="W40" s="272"/>
      <c r="X40" s="272"/>
      <c r="Y40" s="272"/>
      <c r="Z40" s="272"/>
    </row>
    <row r="41" spans="1:26" s="276" customFormat="1" ht="18.45" customHeight="1">
      <c r="A41" s="768"/>
      <c r="B41" s="769"/>
      <c r="C41" s="769"/>
      <c r="D41" s="769"/>
      <c r="E41" s="770"/>
      <c r="F41" s="395"/>
      <c r="G41" s="398" t="s">
        <v>420</v>
      </c>
      <c r="H41" s="398"/>
      <c r="I41" s="398"/>
      <c r="J41" s="398"/>
      <c r="K41" s="399"/>
      <c r="L41" s="400"/>
      <c r="R41" s="272"/>
      <c r="S41" s="272"/>
      <c r="T41" s="272"/>
      <c r="U41" s="272"/>
      <c r="V41" s="272"/>
      <c r="W41" s="272"/>
      <c r="X41" s="272"/>
      <c r="Y41" s="272"/>
      <c r="Z41" s="272"/>
    </row>
    <row r="42" spans="1:26" s="276" customFormat="1" ht="18.45" customHeight="1">
      <c r="A42" s="768"/>
      <c r="B42" s="769"/>
      <c r="C42" s="769"/>
      <c r="D42" s="769"/>
      <c r="E42" s="770"/>
      <c r="F42" s="395"/>
      <c r="G42" s="398" t="s">
        <v>421</v>
      </c>
      <c r="H42" s="398"/>
      <c r="I42" s="398"/>
      <c r="J42" s="398"/>
      <c r="K42" s="399"/>
      <c r="L42" s="272"/>
      <c r="M42" s="272"/>
      <c r="N42" s="272"/>
      <c r="O42" s="272"/>
      <c r="P42" s="272"/>
      <c r="Q42" s="272"/>
      <c r="R42" s="272"/>
      <c r="S42" s="272"/>
      <c r="T42" s="272"/>
      <c r="U42" s="272"/>
      <c r="V42" s="272"/>
      <c r="W42" s="272"/>
      <c r="X42" s="272"/>
      <c r="Y42" s="272"/>
      <c r="Z42" s="272"/>
    </row>
    <row r="43" spans="1:26" s="276" customFormat="1" ht="18.45" customHeight="1">
      <c r="A43" s="768"/>
      <c r="B43" s="769"/>
      <c r="C43" s="769"/>
      <c r="D43" s="769"/>
      <c r="E43" s="770"/>
      <c r="F43" s="395"/>
      <c r="G43" s="398" t="s">
        <v>422</v>
      </c>
      <c r="H43" s="398"/>
      <c r="I43" s="398"/>
      <c r="J43" s="398"/>
      <c r="K43" s="399"/>
      <c r="L43" s="272"/>
      <c r="M43" s="272"/>
      <c r="N43" s="272"/>
      <c r="O43" s="272"/>
      <c r="P43" s="272"/>
      <c r="Q43" s="272"/>
      <c r="R43" s="272"/>
      <c r="S43" s="272"/>
      <c r="T43" s="272"/>
      <c r="U43" s="272"/>
      <c r="V43" s="272"/>
      <c r="W43" s="272"/>
      <c r="X43" s="272"/>
      <c r="Y43" s="272"/>
      <c r="Z43" s="272"/>
    </row>
    <row r="44" spans="1:26" s="276" customFormat="1" ht="17.100000000000001" customHeight="1" thickBot="1">
      <c r="A44" s="777"/>
      <c r="B44" s="778"/>
      <c r="C44" s="778"/>
      <c r="D44" s="778"/>
      <c r="E44" s="779"/>
      <c r="F44" s="395"/>
      <c r="G44" s="398" t="s">
        <v>423</v>
      </c>
      <c r="H44" s="398"/>
      <c r="I44" s="398"/>
      <c r="J44" s="398"/>
      <c r="K44" s="399"/>
      <c r="L44" s="272"/>
      <c r="M44" s="272"/>
      <c r="N44" s="272"/>
      <c r="O44" s="272"/>
      <c r="P44" s="272"/>
      <c r="Q44" s="272"/>
      <c r="R44" s="272"/>
      <c r="S44" s="272"/>
      <c r="T44" s="272"/>
      <c r="U44" s="272"/>
      <c r="V44" s="272"/>
      <c r="W44" s="272"/>
      <c r="X44" s="272"/>
      <c r="Y44" s="272"/>
      <c r="Z44" s="272"/>
    </row>
    <row r="45" spans="1:26" s="276" customFormat="1" ht="17.100000000000001" customHeight="1">
      <c r="A45" s="401" t="s">
        <v>424</v>
      </c>
      <c r="B45" s="780" t="s">
        <v>425</v>
      </c>
      <c r="C45" s="781"/>
      <c r="D45" s="402" t="s">
        <v>426</v>
      </c>
      <c r="E45" s="403" t="s">
        <v>427</v>
      </c>
      <c r="F45" s="404"/>
      <c r="G45" s="398" t="s">
        <v>428</v>
      </c>
      <c r="H45" s="398"/>
      <c r="I45" s="398"/>
      <c r="J45" s="398"/>
      <c r="K45" s="399"/>
      <c r="L45" s="272"/>
      <c r="M45" s="272"/>
      <c r="N45" s="272"/>
      <c r="O45" s="272"/>
      <c r="P45" s="272"/>
      <c r="Q45" s="272"/>
      <c r="R45" s="272"/>
      <c r="S45" s="272"/>
      <c r="T45" s="272"/>
      <c r="U45" s="272"/>
      <c r="V45" s="272"/>
      <c r="W45" s="272"/>
      <c r="X45" s="272"/>
      <c r="Y45" s="272"/>
      <c r="Z45" s="272"/>
    </row>
    <row r="46" spans="1:26" s="276" customFormat="1" ht="17.100000000000001" customHeight="1" thickBot="1">
      <c r="A46" s="405" t="s">
        <v>429</v>
      </c>
      <c r="B46" s="766">
        <v>40065</v>
      </c>
      <c r="C46" s="767"/>
      <c r="D46" s="406" t="s">
        <v>429</v>
      </c>
      <c r="E46" s="407">
        <v>40056</v>
      </c>
      <c r="F46" s="408"/>
      <c r="G46" s="409" t="s">
        <v>430</v>
      </c>
      <c r="H46" s="409"/>
      <c r="I46" s="409"/>
      <c r="J46" s="409"/>
      <c r="K46" s="410"/>
      <c r="L46" s="272"/>
      <c r="M46" s="272"/>
      <c r="N46" s="272"/>
      <c r="O46" s="272"/>
      <c r="P46" s="272"/>
      <c r="Q46" s="272"/>
      <c r="R46" s="272"/>
      <c r="S46" s="272"/>
      <c r="T46" s="272"/>
      <c r="U46" s="272"/>
      <c r="V46" s="272"/>
      <c r="W46" s="272"/>
      <c r="X46" s="272"/>
      <c r="Y46" s="272"/>
      <c r="Z46" s="272"/>
    </row>
    <row r="47" spans="1:26" s="276" customFormat="1" ht="17.100000000000001" customHeight="1">
      <c r="F47" s="411"/>
      <c r="G47" s="1029" t="s">
        <v>895</v>
      </c>
      <c r="H47" s="1030" t="s">
        <v>896</v>
      </c>
      <c r="I47" s="1030"/>
      <c r="J47" s="1030"/>
      <c r="K47" s="1030"/>
      <c r="L47" s="1031"/>
      <c r="M47" s="272"/>
      <c r="N47" s="272"/>
      <c r="O47" s="272"/>
      <c r="P47" s="272"/>
      <c r="Q47" s="272"/>
      <c r="R47" s="272"/>
      <c r="S47" s="272"/>
      <c r="T47" s="272"/>
      <c r="U47" s="272"/>
    </row>
    <row r="48" spans="1:26" s="276" customFormat="1" ht="17.100000000000001" customHeight="1">
      <c r="F48" s="272"/>
      <c r="G48" s="1029"/>
      <c r="H48" s="1032" t="s">
        <v>897</v>
      </c>
      <c r="I48" s="1032"/>
      <c r="J48" s="1032"/>
      <c r="K48" s="1032"/>
      <c r="L48" s="1033"/>
    </row>
    <row r="49" spans="6:26" ht="17.100000000000001" customHeight="1">
      <c r="F49" s="262"/>
      <c r="G49" s="1029"/>
      <c r="H49" s="1032" t="s">
        <v>898</v>
      </c>
      <c r="I49" s="1032"/>
      <c r="J49" s="1032"/>
      <c r="K49" s="1032"/>
      <c r="L49" s="1033"/>
      <c r="M49" s="263"/>
      <c r="N49" s="263"/>
      <c r="O49" s="263"/>
      <c r="P49" s="263"/>
      <c r="Q49" s="263"/>
      <c r="R49" s="263"/>
      <c r="S49" s="263"/>
      <c r="T49" s="263"/>
      <c r="U49" s="263"/>
      <c r="V49" s="263"/>
      <c r="W49" s="263"/>
      <c r="X49" s="263"/>
      <c r="Y49" s="263"/>
      <c r="Z49" s="263"/>
    </row>
    <row r="50" spans="6:26">
      <c r="G50" s="1029"/>
      <c r="H50" s="1032" t="s">
        <v>899</v>
      </c>
      <c r="I50" s="1032"/>
      <c r="J50" s="1032"/>
      <c r="K50" s="1032"/>
      <c r="L50" s="1033"/>
    </row>
    <row r="51" spans="6:26">
      <c r="G51" s="1029"/>
      <c r="H51" s="1032" t="s">
        <v>900</v>
      </c>
      <c r="I51" s="1032"/>
      <c r="J51" s="1032"/>
      <c r="K51" s="1032"/>
      <c r="L51" s="1033"/>
    </row>
  </sheetData>
  <mergeCells count="49">
    <mergeCell ref="A1:K1"/>
    <mergeCell ref="A2:K2"/>
    <mergeCell ref="J3:K3"/>
    <mergeCell ref="A5:C5"/>
    <mergeCell ref="A6:C6"/>
    <mergeCell ref="D6:E6"/>
    <mergeCell ref="F6:K6"/>
    <mergeCell ref="F12:K12"/>
    <mergeCell ref="A7:C7"/>
    <mergeCell ref="D7:E7"/>
    <mergeCell ref="A8:C8"/>
    <mergeCell ref="D8:E8"/>
    <mergeCell ref="A9:C9"/>
    <mergeCell ref="D9:E9"/>
    <mergeCell ref="A10:C10"/>
    <mergeCell ref="D10:E10"/>
    <mergeCell ref="A11:C11"/>
    <mergeCell ref="D11:E11"/>
    <mergeCell ref="D12:E12"/>
    <mergeCell ref="A13:C13"/>
    <mergeCell ref="D13:E13"/>
    <mergeCell ref="A14:C14"/>
    <mergeCell ref="D14:E14"/>
    <mergeCell ref="A15:C15"/>
    <mergeCell ref="D15:E15"/>
    <mergeCell ref="A27:E27"/>
    <mergeCell ref="F27:K27"/>
    <mergeCell ref="A16:C16"/>
    <mergeCell ref="D16:E16"/>
    <mergeCell ref="D17:E17"/>
    <mergeCell ref="F17:K17"/>
    <mergeCell ref="D18:E18"/>
    <mergeCell ref="F18:G26"/>
    <mergeCell ref="A19:C19"/>
    <mergeCell ref="D19:E19"/>
    <mergeCell ref="D20:E20"/>
    <mergeCell ref="A21:C21"/>
    <mergeCell ref="D21:E21"/>
    <mergeCell ref="D22:E22"/>
    <mergeCell ref="D23:E23"/>
    <mergeCell ref="D24:E24"/>
    <mergeCell ref="H26:I26"/>
    <mergeCell ref="B46:C46"/>
    <mergeCell ref="A28:E32"/>
    <mergeCell ref="A33:E33"/>
    <mergeCell ref="A34:E38"/>
    <mergeCell ref="A39:E39"/>
    <mergeCell ref="A40:E44"/>
    <mergeCell ref="B45:C45"/>
  </mergeCells>
  <dataValidations count="3">
    <dataValidation type="list" allowBlank="1" showInputMessage="1" sqref="D6:E6 IZ6:JA6 SV6:SW6 ACR6:ACS6 AMN6:AMO6 AWJ6:AWK6 BGF6:BGG6 BQB6:BQC6 BZX6:BZY6 CJT6:CJU6 CTP6:CTQ6 DDL6:DDM6 DNH6:DNI6 DXD6:DXE6 EGZ6:EHA6 EQV6:EQW6 FAR6:FAS6 FKN6:FKO6 FUJ6:FUK6 GEF6:GEG6 GOB6:GOC6 GXX6:GXY6 HHT6:HHU6 HRP6:HRQ6 IBL6:IBM6 ILH6:ILI6 IVD6:IVE6 JEZ6:JFA6 JOV6:JOW6 JYR6:JYS6 KIN6:KIO6 KSJ6:KSK6 LCF6:LCG6 LMB6:LMC6 LVX6:LVY6 MFT6:MFU6 MPP6:MPQ6 MZL6:MZM6 NJH6:NJI6 NTD6:NTE6 OCZ6:ODA6 OMV6:OMW6 OWR6:OWS6 PGN6:PGO6 PQJ6:PQK6 QAF6:QAG6 QKB6:QKC6 QTX6:QTY6 RDT6:RDU6 RNP6:RNQ6 RXL6:RXM6 SHH6:SHI6 SRD6:SRE6 TAZ6:TBA6 TKV6:TKW6 TUR6:TUS6 UEN6:UEO6 UOJ6:UOK6 UYF6:UYG6 VIB6:VIC6 VRX6:VRY6 WBT6:WBU6 WLP6:WLQ6 WVL6:WVM6 D65542:E65542 IZ65542:JA65542 SV65542:SW65542 ACR65542:ACS65542 AMN65542:AMO65542 AWJ65542:AWK65542 BGF65542:BGG65542 BQB65542:BQC65542 BZX65542:BZY65542 CJT65542:CJU65542 CTP65542:CTQ65542 DDL65542:DDM65542 DNH65542:DNI65542 DXD65542:DXE65542 EGZ65542:EHA65542 EQV65542:EQW65542 FAR65542:FAS65542 FKN65542:FKO65542 FUJ65542:FUK65542 GEF65542:GEG65542 GOB65542:GOC65542 GXX65542:GXY65542 HHT65542:HHU65542 HRP65542:HRQ65542 IBL65542:IBM65542 ILH65542:ILI65542 IVD65542:IVE65542 JEZ65542:JFA65542 JOV65542:JOW65542 JYR65542:JYS65542 KIN65542:KIO65542 KSJ65542:KSK65542 LCF65542:LCG65542 LMB65542:LMC65542 LVX65542:LVY65542 MFT65542:MFU65542 MPP65542:MPQ65542 MZL65542:MZM65542 NJH65542:NJI65542 NTD65542:NTE65542 OCZ65542:ODA65542 OMV65542:OMW65542 OWR65542:OWS65542 PGN65542:PGO65542 PQJ65542:PQK65542 QAF65542:QAG65542 QKB65542:QKC65542 QTX65542:QTY65542 RDT65542:RDU65542 RNP65542:RNQ65542 RXL65542:RXM65542 SHH65542:SHI65542 SRD65542:SRE65542 TAZ65542:TBA65542 TKV65542:TKW65542 TUR65542:TUS65542 UEN65542:UEO65542 UOJ65542:UOK65542 UYF65542:UYG65542 VIB65542:VIC65542 VRX65542:VRY65542 WBT65542:WBU65542 WLP65542:WLQ65542 WVL65542:WVM65542 D131078:E131078 IZ131078:JA131078 SV131078:SW131078 ACR131078:ACS131078 AMN131078:AMO131078 AWJ131078:AWK131078 BGF131078:BGG131078 BQB131078:BQC131078 BZX131078:BZY131078 CJT131078:CJU131078 CTP131078:CTQ131078 DDL131078:DDM131078 DNH131078:DNI131078 DXD131078:DXE131078 EGZ131078:EHA131078 EQV131078:EQW131078 FAR131078:FAS131078 FKN131078:FKO131078 FUJ131078:FUK131078 GEF131078:GEG131078 GOB131078:GOC131078 GXX131078:GXY131078 HHT131078:HHU131078 HRP131078:HRQ131078 IBL131078:IBM131078 ILH131078:ILI131078 IVD131078:IVE131078 JEZ131078:JFA131078 JOV131078:JOW131078 JYR131078:JYS131078 KIN131078:KIO131078 KSJ131078:KSK131078 LCF131078:LCG131078 LMB131078:LMC131078 LVX131078:LVY131078 MFT131078:MFU131078 MPP131078:MPQ131078 MZL131078:MZM131078 NJH131078:NJI131078 NTD131078:NTE131078 OCZ131078:ODA131078 OMV131078:OMW131078 OWR131078:OWS131078 PGN131078:PGO131078 PQJ131078:PQK131078 QAF131078:QAG131078 QKB131078:QKC131078 QTX131078:QTY131078 RDT131078:RDU131078 RNP131078:RNQ131078 RXL131078:RXM131078 SHH131078:SHI131078 SRD131078:SRE131078 TAZ131078:TBA131078 TKV131078:TKW131078 TUR131078:TUS131078 UEN131078:UEO131078 UOJ131078:UOK131078 UYF131078:UYG131078 VIB131078:VIC131078 VRX131078:VRY131078 WBT131078:WBU131078 WLP131078:WLQ131078 WVL131078:WVM131078 D196614:E196614 IZ196614:JA196614 SV196614:SW196614 ACR196614:ACS196614 AMN196614:AMO196614 AWJ196614:AWK196614 BGF196614:BGG196614 BQB196614:BQC196614 BZX196614:BZY196614 CJT196614:CJU196614 CTP196614:CTQ196614 DDL196614:DDM196614 DNH196614:DNI196614 DXD196614:DXE196614 EGZ196614:EHA196614 EQV196614:EQW196614 FAR196614:FAS196614 FKN196614:FKO196614 FUJ196614:FUK196614 GEF196614:GEG196614 GOB196614:GOC196614 GXX196614:GXY196614 HHT196614:HHU196614 HRP196614:HRQ196614 IBL196614:IBM196614 ILH196614:ILI196614 IVD196614:IVE196614 JEZ196614:JFA196614 JOV196614:JOW196614 JYR196614:JYS196614 KIN196614:KIO196614 KSJ196614:KSK196614 LCF196614:LCG196614 LMB196614:LMC196614 LVX196614:LVY196614 MFT196614:MFU196614 MPP196614:MPQ196614 MZL196614:MZM196614 NJH196614:NJI196614 NTD196614:NTE196614 OCZ196614:ODA196614 OMV196614:OMW196614 OWR196614:OWS196614 PGN196614:PGO196614 PQJ196614:PQK196614 QAF196614:QAG196614 QKB196614:QKC196614 QTX196614:QTY196614 RDT196614:RDU196614 RNP196614:RNQ196614 RXL196614:RXM196614 SHH196614:SHI196614 SRD196614:SRE196614 TAZ196614:TBA196614 TKV196614:TKW196614 TUR196614:TUS196614 UEN196614:UEO196614 UOJ196614:UOK196614 UYF196614:UYG196614 VIB196614:VIC196614 VRX196614:VRY196614 WBT196614:WBU196614 WLP196614:WLQ196614 WVL196614:WVM196614 D262150:E262150 IZ262150:JA262150 SV262150:SW262150 ACR262150:ACS262150 AMN262150:AMO262150 AWJ262150:AWK262150 BGF262150:BGG262150 BQB262150:BQC262150 BZX262150:BZY262150 CJT262150:CJU262150 CTP262150:CTQ262150 DDL262150:DDM262150 DNH262150:DNI262150 DXD262150:DXE262150 EGZ262150:EHA262150 EQV262150:EQW262150 FAR262150:FAS262150 FKN262150:FKO262150 FUJ262150:FUK262150 GEF262150:GEG262150 GOB262150:GOC262150 GXX262150:GXY262150 HHT262150:HHU262150 HRP262150:HRQ262150 IBL262150:IBM262150 ILH262150:ILI262150 IVD262150:IVE262150 JEZ262150:JFA262150 JOV262150:JOW262150 JYR262150:JYS262150 KIN262150:KIO262150 KSJ262150:KSK262150 LCF262150:LCG262150 LMB262150:LMC262150 LVX262150:LVY262150 MFT262150:MFU262150 MPP262150:MPQ262150 MZL262150:MZM262150 NJH262150:NJI262150 NTD262150:NTE262150 OCZ262150:ODA262150 OMV262150:OMW262150 OWR262150:OWS262150 PGN262150:PGO262150 PQJ262150:PQK262150 QAF262150:QAG262150 QKB262150:QKC262150 QTX262150:QTY262150 RDT262150:RDU262150 RNP262150:RNQ262150 RXL262150:RXM262150 SHH262150:SHI262150 SRD262150:SRE262150 TAZ262150:TBA262150 TKV262150:TKW262150 TUR262150:TUS262150 UEN262150:UEO262150 UOJ262150:UOK262150 UYF262150:UYG262150 VIB262150:VIC262150 VRX262150:VRY262150 WBT262150:WBU262150 WLP262150:WLQ262150 WVL262150:WVM262150 D327686:E327686 IZ327686:JA327686 SV327686:SW327686 ACR327686:ACS327686 AMN327686:AMO327686 AWJ327686:AWK327686 BGF327686:BGG327686 BQB327686:BQC327686 BZX327686:BZY327686 CJT327686:CJU327686 CTP327686:CTQ327686 DDL327686:DDM327686 DNH327686:DNI327686 DXD327686:DXE327686 EGZ327686:EHA327686 EQV327686:EQW327686 FAR327686:FAS327686 FKN327686:FKO327686 FUJ327686:FUK327686 GEF327686:GEG327686 GOB327686:GOC327686 GXX327686:GXY327686 HHT327686:HHU327686 HRP327686:HRQ327686 IBL327686:IBM327686 ILH327686:ILI327686 IVD327686:IVE327686 JEZ327686:JFA327686 JOV327686:JOW327686 JYR327686:JYS327686 KIN327686:KIO327686 KSJ327686:KSK327686 LCF327686:LCG327686 LMB327686:LMC327686 LVX327686:LVY327686 MFT327686:MFU327686 MPP327686:MPQ327686 MZL327686:MZM327686 NJH327686:NJI327686 NTD327686:NTE327686 OCZ327686:ODA327686 OMV327686:OMW327686 OWR327686:OWS327686 PGN327686:PGO327686 PQJ327686:PQK327686 QAF327686:QAG327686 QKB327686:QKC327686 QTX327686:QTY327686 RDT327686:RDU327686 RNP327686:RNQ327686 RXL327686:RXM327686 SHH327686:SHI327686 SRD327686:SRE327686 TAZ327686:TBA327686 TKV327686:TKW327686 TUR327686:TUS327686 UEN327686:UEO327686 UOJ327686:UOK327686 UYF327686:UYG327686 VIB327686:VIC327686 VRX327686:VRY327686 WBT327686:WBU327686 WLP327686:WLQ327686 WVL327686:WVM327686 D393222:E393222 IZ393222:JA393222 SV393222:SW393222 ACR393222:ACS393222 AMN393222:AMO393222 AWJ393222:AWK393222 BGF393222:BGG393222 BQB393222:BQC393222 BZX393222:BZY393222 CJT393222:CJU393222 CTP393222:CTQ393222 DDL393222:DDM393222 DNH393222:DNI393222 DXD393222:DXE393222 EGZ393222:EHA393222 EQV393222:EQW393222 FAR393222:FAS393222 FKN393222:FKO393222 FUJ393222:FUK393222 GEF393222:GEG393222 GOB393222:GOC393222 GXX393222:GXY393222 HHT393222:HHU393222 HRP393222:HRQ393222 IBL393222:IBM393222 ILH393222:ILI393222 IVD393222:IVE393222 JEZ393222:JFA393222 JOV393222:JOW393222 JYR393222:JYS393222 KIN393222:KIO393222 KSJ393222:KSK393222 LCF393222:LCG393222 LMB393222:LMC393222 LVX393222:LVY393222 MFT393222:MFU393222 MPP393222:MPQ393222 MZL393222:MZM393222 NJH393222:NJI393222 NTD393222:NTE393222 OCZ393222:ODA393222 OMV393222:OMW393222 OWR393222:OWS393222 PGN393222:PGO393222 PQJ393222:PQK393222 QAF393222:QAG393222 QKB393222:QKC393222 QTX393222:QTY393222 RDT393222:RDU393222 RNP393222:RNQ393222 RXL393222:RXM393222 SHH393222:SHI393222 SRD393222:SRE393222 TAZ393222:TBA393222 TKV393222:TKW393222 TUR393222:TUS393222 UEN393222:UEO393222 UOJ393222:UOK393222 UYF393222:UYG393222 VIB393222:VIC393222 VRX393222:VRY393222 WBT393222:WBU393222 WLP393222:WLQ393222 WVL393222:WVM393222 D458758:E458758 IZ458758:JA458758 SV458758:SW458758 ACR458758:ACS458758 AMN458758:AMO458758 AWJ458758:AWK458758 BGF458758:BGG458758 BQB458758:BQC458758 BZX458758:BZY458758 CJT458758:CJU458758 CTP458758:CTQ458758 DDL458758:DDM458758 DNH458758:DNI458758 DXD458758:DXE458758 EGZ458758:EHA458758 EQV458758:EQW458758 FAR458758:FAS458758 FKN458758:FKO458758 FUJ458758:FUK458758 GEF458758:GEG458758 GOB458758:GOC458758 GXX458758:GXY458758 HHT458758:HHU458758 HRP458758:HRQ458758 IBL458758:IBM458758 ILH458758:ILI458758 IVD458758:IVE458758 JEZ458758:JFA458758 JOV458758:JOW458758 JYR458758:JYS458758 KIN458758:KIO458758 KSJ458758:KSK458758 LCF458758:LCG458758 LMB458758:LMC458758 LVX458758:LVY458758 MFT458758:MFU458758 MPP458758:MPQ458758 MZL458758:MZM458758 NJH458758:NJI458758 NTD458758:NTE458758 OCZ458758:ODA458758 OMV458758:OMW458758 OWR458758:OWS458758 PGN458758:PGO458758 PQJ458758:PQK458758 QAF458758:QAG458758 QKB458758:QKC458758 QTX458758:QTY458758 RDT458758:RDU458758 RNP458758:RNQ458758 RXL458758:RXM458758 SHH458758:SHI458758 SRD458758:SRE458758 TAZ458758:TBA458758 TKV458758:TKW458758 TUR458758:TUS458758 UEN458758:UEO458758 UOJ458758:UOK458758 UYF458758:UYG458758 VIB458758:VIC458758 VRX458758:VRY458758 WBT458758:WBU458758 WLP458758:WLQ458758 WVL458758:WVM458758 D524294:E524294 IZ524294:JA524294 SV524294:SW524294 ACR524294:ACS524294 AMN524294:AMO524294 AWJ524294:AWK524294 BGF524294:BGG524294 BQB524294:BQC524294 BZX524294:BZY524294 CJT524294:CJU524294 CTP524294:CTQ524294 DDL524294:DDM524294 DNH524294:DNI524294 DXD524294:DXE524294 EGZ524294:EHA524294 EQV524294:EQW524294 FAR524294:FAS524294 FKN524294:FKO524294 FUJ524294:FUK524294 GEF524294:GEG524294 GOB524294:GOC524294 GXX524294:GXY524294 HHT524294:HHU524294 HRP524294:HRQ524294 IBL524294:IBM524294 ILH524294:ILI524294 IVD524294:IVE524294 JEZ524294:JFA524294 JOV524294:JOW524294 JYR524294:JYS524294 KIN524294:KIO524294 KSJ524294:KSK524294 LCF524294:LCG524294 LMB524294:LMC524294 LVX524294:LVY524294 MFT524294:MFU524294 MPP524294:MPQ524294 MZL524294:MZM524294 NJH524294:NJI524294 NTD524294:NTE524294 OCZ524294:ODA524294 OMV524294:OMW524294 OWR524294:OWS524294 PGN524294:PGO524294 PQJ524294:PQK524294 QAF524294:QAG524294 QKB524294:QKC524294 QTX524294:QTY524294 RDT524294:RDU524294 RNP524294:RNQ524294 RXL524294:RXM524294 SHH524294:SHI524294 SRD524294:SRE524294 TAZ524294:TBA524294 TKV524294:TKW524294 TUR524294:TUS524294 UEN524294:UEO524294 UOJ524294:UOK524294 UYF524294:UYG524294 VIB524294:VIC524294 VRX524294:VRY524294 WBT524294:WBU524294 WLP524294:WLQ524294 WVL524294:WVM524294 D589830:E589830 IZ589830:JA589830 SV589830:SW589830 ACR589830:ACS589830 AMN589830:AMO589830 AWJ589830:AWK589830 BGF589830:BGG589830 BQB589830:BQC589830 BZX589830:BZY589830 CJT589830:CJU589830 CTP589830:CTQ589830 DDL589830:DDM589830 DNH589830:DNI589830 DXD589830:DXE589830 EGZ589830:EHA589830 EQV589830:EQW589830 FAR589830:FAS589830 FKN589830:FKO589830 FUJ589830:FUK589830 GEF589830:GEG589830 GOB589830:GOC589830 GXX589830:GXY589830 HHT589830:HHU589830 HRP589830:HRQ589830 IBL589830:IBM589830 ILH589830:ILI589830 IVD589830:IVE589830 JEZ589830:JFA589830 JOV589830:JOW589830 JYR589830:JYS589830 KIN589830:KIO589830 KSJ589830:KSK589830 LCF589830:LCG589830 LMB589830:LMC589830 LVX589830:LVY589830 MFT589830:MFU589830 MPP589830:MPQ589830 MZL589830:MZM589830 NJH589830:NJI589830 NTD589830:NTE589830 OCZ589830:ODA589830 OMV589830:OMW589830 OWR589830:OWS589830 PGN589830:PGO589830 PQJ589830:PQK589830 QAF589830:QAG589830 QKB589830:QKC589830 QTX589830:QTY589830 RDT589830:RDU589830 RNP589830:RNQ589830 RXL589830:RXM589830 SHH589830:SHI589830 SRD589830:SRE589830 TAZ589830:TBA589830 TKV589830:TKW589830 TUR589830:TUS589830 UEN589830:UEO589830 UOJ589830:UOK589830 UYF589830:UYG589830 VIB589830:VIC589830 VRX589830:VRY589830 WBT589830:WBU589830 WLP589830:WLQ589830 WVL589830:WVM589830 D655366:E655366 IZ655366:JA655366 SV655366:SW655366 ACR655366:ACS655366 AMN655366:AMO655366 AWJ655366:AWK655366 BGF655366:BGG655366 BQB655366:BQC655366 BZX655366:BZY655366 CJT655366:CJU655366 CTP655366:CTQ655366 DDL655366:DDM655366 DNH655366:DNI655366 DXD655366:DXE655366 EGZ655366:EHA655366 EQV655366:EQW655366 FAR655366:FAS655366 FKN655366:FKO655366 FUJ655366:FUK655366 GEF655366:GEG655366 GOB655366:GOC655366 GXX655366:GXY655366 HHT655366:HHU655366 HRP655366:HRQ655366 IBL655366:IBM655366 ILH655366:ILI655366 IVD655366:IVE655366 JEZ655366:JFA655366 JOV655366:JOW655366 JYR655366:JYS655366 KIN655366:KIO655366 KSJ655366:KSK655366 LCF655366:LCG655366 LMB655366:LMC655366 LVX655366:LVY655366 MFT655366:MFU655366 MPP655366:MPQ655366 MZL655366:MZM655366 NJH655366:NJI655366 NTD655366:NTE655366 OCZ655366:ODA655366 OMV655366:OMW655366 OWR655366:OWS655366 PGN655366:PGO655366 PQJ655366:PQK655366 QAF655366:QAG655366 QKB655366:QKC655366 QTX655366:QTY655366 RDT655366:RDU655366 RNP655366:RNQ655366 RXL655366:RXM655366 SHH655366:SHI655366 SRD655366:SRE655366 TAZ655366:TBA655366 TKV655366:TKW655366 TUR655366:TUS655366 UEN655366:UEO655366 UOJ655366:UOK655366 UYF655366:UYG655366 VIB655366:VIC655366 VRX655366:VRY655366 WBT655366:WBU655366 WLP655366:WLQ655366 WVL655366:WVM655366 D720902:E720902 IZ720902:JA720902 SV720902:SW720902 ACR720902:ACS720902 AMN720902:AMO720902 AWJ720902:AWK720902 BGF720902:BGG720902 BQB720902:BQC720902 BZX720902:BZY720902 CJT720902:CJU720902 CTP720902:CTQ720902 DDL720902:DDM720902 DNH720902:DNI720902 DXD720902:DXE720902 EGZ720902:EHA720902 EQV720902:EQW720902 FAR720902:FAS720902 FKN720902:FKO720902 FUJ720902:FUK720902 GEF720902:GEG720902 GOB720902:GOC720902 GXX720902:GXY720902 HHT720902:HHU720902 HRP720902:HRQ720902 IBL720902:IBM720902 ILH720902:ILI720902 IVD720902:IVE720902 JEZ720902:JFA720902 JOV720902:JOW720902 JYR720902:JYS720902 KIN720902:KIO720902 KSJ720902:KSK720902 LCF720902:LCG720902 LMB720902:LMC720902 LVX720902:LVY720902 MFT720902:MFU720902 MPP720902:MPQ720902 MZL720902:MZM720902 NJH720902:NJI720902 NTD720902:NTE720902 OCZ720902:ODA720902 OMV720902:OMW720902 OWR720902:OWS720902 PGN720902:PGO720902 PQJ720902:PQK720902 QAF720902:QAG720902 QKB720902:QKC720902 QTX720902:QTY720902 RDT720902:RDU720902 RNP720902:RNQ720902 RXL720902:RXM720902 SHH720902:SHI720902 SRD720902:SRE720902 TAZ720902:TBA720902 TKV720902:TKW720902 TUR720902:TUS720902 UEN720902:UEO720902 UOJ720902:UOK720902 UYF720902:UYG720902 VIB720902:VIC720902 VRX720902:VRY720902 WBT720902:WBU720902 WLP720902:WLQ720902 WVL720902:WVM720902 D786438:E786438 IZ786438:JA786438 SV786438:SW786438 ACR786438:ACS786438 AMN786438:AMO786438 AWJ786438:AWK786438 BGF786438:BGG786438 BQB786438:BQC786438 BZX786438:BZY786438 CJT786438:CJU786438 CTP786438:CTQ786438 DDL786438:DDM786438 DNH786438:DNI786438 DXD786438:DXE786438 EGZ786438:EHA786438 EQV786438:EQW786438 FAR786438:FAS786438 FKN786438:FKO786438 FUJ786438:FUK786438 GEF786438:GEG786438 GOB786438:GOC786438 GXX786438:GXY786438 HHT786438:HHU786438 HRP786438:HRQ786438 IBL786438:IBM786438 ILH786438:ILI786438 IVD786438:IVE786438 JEZ786438:JFA786438 JOV786438:JOW786438 JYR786438:JYS786438 KIN786438:KIO786438 KSJ786438:KSK786438 LCF786438:LCG786438 LMB786438:LMC786438 LVX786438:LVY786438 MFT786438:MFU786438 MPP786438:MPQ786438 MZL786438:MZM786438 NJH786438:NJI786438 NTD786438:NTE786438 OCZ786438:ODA786438 OMV786438:OMW786438 OWR786438:OWS786438 PGN786438:PGO786438 PQJ786438:PQK786438 QAF786438:QAG786438 QKB786438:QKC786438 QTX786438:QTY786438 RDT786438:RDU786438 RNP786438:RNQ786438 RXL786438:RXM786438 SHH786438:SHI786438 SRD786438:SRE786438 TAZ786438:TBA786438 TKV786438:TKW786438 TUR786438:TUS786438 UEN786438:UEO786438 UOJ786438:UOK786438 UYF786438:UYG786438 VIB786438:VIC786438 VRX786438:VRY786438 WBT786438:WBU786438 WLP786438:WLQ786438 WVL786438:WVM786438 D851974:E851974 IZ851974:JA851974 SV851974:SW851974 ACR851974:ACS851974 AMN851974:AMO851974 AWJ851974:AWK851974 BGF851974:BGG851974 BQB851974:BQC851974 BZX851974:BZY851974 CJT851974:CJU851974 CTP851974:CTQ851974 DDL851974:DDM851974 DNH851974:DNI851974 DXD851974:DXE851974 EGZ851974:EHA851974 EQV851974:EQW851974 FAR851974:FAS851974 FKN851974:FKO851974 FUJ851974:FUK851974 GEF851974:GEG851974 GOB851974:GOC851974 GXX851974:GXY851974 HHT851974:HHU851974 HRP851974:HRQ851974 IBL851974:IBM851974 ILH851974:ILI851974 IVD851974:IVE851974 JEZ851974:JFA851974 JOV851974:JOW851974 JYR851974:JYS851974 KIN851974:KIO851974 KSJ851974:KSK851974 LCF851974:LCG851974 LMB851974:LMC851974 LVX851974:LVY851974 MFT851974:MFU851974 MPP851974:MPQ851974 MZL851974:MZM851974 NJH851974:NJI851974 NTD851974:NTE851974 OCZ851974:ODA851974 OMV851974:OMW851974 OWR851974:OWS851974 PGN851974:PGO851974 PQJ851974:PQK851974 QAF851974:QAG851974 QKB851974:QKC851974 QTX851974:QTY851974 RDT851974:RDU851974 RNP851974:RNQ851974 RXL851974:RXM851974 SHH851974:SHI851974 SRD851974:SRE851974 TAZ851974:TBA851974 TKV851974:TKW851974 TUR851974:TUS851974 UEN851974:UEO851974 UOJ851974:UOK851974 UYF851974:UYG851974 VIB851974:VIC851974 VRX851974:VRY851974 WBT851974:WBU851974 WLP851974:WLQ851974 WVL851974:WVM851974 D917510:E917510 IZ917510:JA917510 SV917510:SW917510 ACR917510:ACS917510 AMN917510:AMO917510 AWJ917510:AWK917510 BGF917510:BGG917510 BQB917510:BQC917510 BZX917510:BZY917510 CJT917510:CJU917510 CTP917510:CTQ917510 DDL917510:DDM917510 DNH917510:DNI917510 DXD917510:DXE917510 EGZ917510:EHA917510 EQV917510:EQW917510 FAR917510:FAS917510 FKN917510:FKO917510 FUJ917510:FUK917510 GEF917510:GEG917510 GOB917510:GOC917510 GXX917510:GXY917510 HHT917510:HHU917510 HRP917510:HRQ917510 IBL917510:IBM917510 ILH917510:ILI917510 IVD917510:IVE917510 JEZ917510:JFA917510 JOV917510:JOW917510 JYR917510:JYS917510 KIN917510:KIO917510 KSJ917510:KSK917510 LCF917510:LCG917510 LMB917510:LMC917510 LVX917510:LVY917510 MFT917510:MFU917510 MPP917510:MPQ917510 MZL917510:MZM917510 NJH917510:NJI917510 NTD917510:NTE917510 OCZ917510:ODA917510 OMV917510:OMW917510 OWR917510:OWS917510 PGN917510:PGO917510 PQJ917510:PQK917510 QAF917510:QAG917510 QKB917510:QKC917510 QTX917510:QTY917510 RDT917510:RDU917510 RNP917510:RNQ917510 RXL917510:RXM917510 SHH917510:SHI917510 SRD917510:SRE917510 TAZ917510:TBA917510 TKV917510:TKW917510 TUR917510:TUS917510 UEN917510:UEO917510 UOJ917510:UOK917510 UYF917510:UYG917510 VIB917510:VIC917510 VRX917510:VRY917510 WBT917510:WBU917510 WLP917510:WLQ917510 WVL917510:WVM917510 D983046:E983046 IZ983046:JA983046 SV983046:SW983046 ACR983046:ACS983046 AMN983046:AMO983046 AWJ983046:AWK983046 BGF983046:BGG983046 BQB983046:BQC983046 BZX983046:BZY983046 CJT983046:CJU983046 CTP983046:CTQ983046 DDL983046:DDM983046 DNH983046:DNI983046 DXD983046:DXE983046 EGZ983046:EHA983046 EQV983046:EQW983046 FAR983046:FAS983046 FKN983046:FKO983046 FUJ983046:FUK983046 GEF983046:GEG983046 GOB983046:GOC983046 GXX983046:GXY983046 HHT983046:HHU983046 HRP983046:HRQ983046 IBL983046:IBM983046 ILH983046:ILI983046 IVD983046:IVE983046 JEZ983046:JFA983046 JOV983046:JOW983046 JYR983046:JYS983046 KIN983046:KIO983046 KSJ983046:KSK983046 LCF983046:LCG983046 LMB983046:LMC983046 LVX983046:LVY983046 MFT983046:MFU983046 MPP983046:MPQ983046 MZL983046:MZM983046 NJH983046:NJI983046 NTD983046:NTE983046 OCZ983046:ODA983046 OMV983046:OMW983046 OWR983046:OWS983046 PGN983046:PGO983046 PQJ983046:PQK983046 QAF983046:QAG983046 QKB983046:QKC983046 QTX983046:QTY983046 RDT983046:RDU983046 RNP983046:RNQ983046 RXL983046:RXM983046 SHH983046:SHI983046 SRD983046:SRE983046 TAZ983046:TBA983046 TKV983046:TKW983046 TUR983046:TUS983046 UEN983046:UEO983046 UOJ983046:UOK983046 UYF983046:UYG983046 VIB983046:VIC983046 VRX983046:VRY983046 WBT983046:WBU983046 WLP983046:WLQ983046 WVL983046:WVM983046" xr:uid="{92F689B5-65B9-4FE4-9CE0-39411E5F3621}">
      <formula1>$T$5:$T$10</formula1>
    </dataValidation>
    <dataValidation type="list" allowBlank="1" showErrorMessage="1" error="Choose from list!" sqref="D21 IZ21 SV21 ACR21 AMN21 AWJ21 BGF21 BQB21 BZX21 CJT21 CTP21 DDL21 DNH21 DXD21 EGZ21 EQV21 FAR21 FKN21 FUJ21 GEF21 GOB21 GXX21 HHT21 HRP21 IBL21 ILH21 IVD21 JEZ21 JOV21 JYR21 KIN21 KSJ21 LCF21 LMB21 LVX21 MFT21 MPP21 MZL21 NJH21 NTD21 OCZ21 OMV21 OWR21 PGN21 PQJ21 QAF21 QKB21 QTX21 RDT21 RNP21 RXL21 SHH21 SRD21 TAZ21 TKV21 TUR21 UEN21 UOJ21 UYF21 VIB21 VRX21 WBT21 WLP21 WVL21 D65557 IZ65557 SV65557 ACR65557 AMN65557 AWJ65557 BGF65557 BQB65557 BZX65557 CJT65557 CTP65557 DDL65557 DNH65557 DXD65557 EGZ65557 EQV65557 FAR65557 FKN65557 FUJ65557 GEF65557 GOB65557 GXX65557 HHT65557 HRP65557 IBL65557 ILH65557 IVD65557 JEZ65557 JOV65557 JYR65557 KIN65557 KSJ65557 LCF65557 LMB65557 LVX65557 MFT65557 MPP65557 MZL65557 NJH65557 NTD65557 OCZ65557 OMV65557 OWR65557 PGN65557 PQJ65557 QAF65557 QKB65557 QTX65557 RDT65557 RNP65557 RXL65557 SHH65557 SRD65557 TAZ65557 TKV65557 TUR65557 UEN65557 UOJ65557 UYF65557 VIB65557 VRX65557 WBT65557 WLP65557 WVL65557 D131093 IZ131093 SV131093 ACR131093 AMN131093 AWJ131093 BGF131093 BQB131093 BZX131093 CJT131093 CTP131093 DDL131093 DNH131093 DXD131093 EGZ131093 EQV131093 FAR131093 FKN131093 FUJ131093 GEF131093 GOB131093 GXX131093 HHT131093 HRP131093 IBL131093 ILH131093 IVD131093 JEZ131093 JOV131093 JYR131093 KIN131093 KSJ131093 LCF131093 LMB131093 LVX131093 MFT131093 MPP131093 MZL131093 NJH131093 NTD131093 OCZ131093 OMV131093 OWR131093 PGN131093 PQJ131093 QAF131093 QKB131093 QTX131093 RDT131093 RNP131093 RXL131093 SHH131093 SRD131093 TAZ131093 TKV131093 TUR131093 UEN131093 UOJ131093 UYF131093 VIB131093 VRX131093 WBT131093 WLP131093 WVL131093 D196629 IZ196629 SV196629 ACR196629 AMN196629 AWJ196629 BGF196629 BQB196629 BZX196629 CJT196629 CTP196629 DDL196629 DNH196629 DXD196629 EGZ196629 EQV196629 FAR196629 FKN196629 FUJ196629 GEF196629 GOB196629 GXX196629 HHT196629 HRP196629 IBL196629 ILH196629 IVD196629 JEZ196629 JOV196629 JYR196629 KIN196629 KSJ196629 LCF196629 LMB196629 LVX196629 MFT196629 MPP196629 MZL196629 NJH196629 NTD196629 OCZ196629 OMV196629 OWR196629 PGN196629 PQJ196629 QAF196629 QKB196629 QTX196629 RDT196629 RNP196629 RXL196629 SHH196629 SRD196629 TAZ196629 TKV196629 TUR196629 UEN196629 UOJ196629 UYF196629 VIB196629 VRX196629 WBT196629 WLP196629 WVL196629 D262165 IZ262165 SV262165 ACR262165 AMN262165 AWJ262165 BGF262165 BQB262165 BZX262165 CJT262165 CTP262165 DDL262165 DNH262165 DXD262165 EGZ262165 EQV262165 FAR262165 FKN262165 FUJ262165 GEF262165 GOB262165 GXX262165 HHT262165 HRP262165 IBL262165 ILH262165 IVD262165 JEZ262165 JOV262165 JYR262165 KIN262165 KSJ262165 LCF262165 LMB262165 LVX262165 MFT262165 MPP262165 MZL262165 NJH262165 NTD262165 OCZ262165 OMV262165 OWR262165 PGN262165 PQJ262165 QAF262165 QKB262165 QTX262165 RDT262165 RNP262165 RXL262165 SHH262165 SRD262165 TAZ262165 TKV262165 TUR262165 UEN262165 UOJ262165 UYF262165 VIB262165 VRX262165 WBT262165 WLP262165 WVL262165 D327701 IZ327701 SV327701 ACR327701 AMN327701 AWJ327701 BGF327701 BQB327701 BZX327701 CJT327701 CTP327701 DDL327701 DNH327701 DXD327701 EGZ327701 EQV327701 FAR327701 FKN327701 FUJ327701 GEF327701 GOB327701 GXX327701 HHT327701 HRP327701 IBL327701 ILH327701 IVD327701 JEZ327701 JOV327701 JYR327701 KIN327701 KSJ327701 LCF327701 LMB327701 LVX327701 MFT327701 MPP327701 MZL327701 NJH327701 NTD327701 OCZ327701 OMV327701 OWR327701 PGN327701 PQJ327701 QAF327701 QKB327701 QTX327701 RDT327701 RNP327701 RXL327701 SHH327701 SRD327701 TAZ327701 TKV327701 TUR327701 UEN327701 UOJ327701 UYF327701 VIB327701 VRX327701 WBT327701 WLP327701 WVL327701 D393237 IZ393237 SV393237 ACR393237 AMN393237 AWJ393237 BGF393237 BQB393237 BZX393237 CJT393237 CTP393237 DDL393237 DNH393237 DXD393237 EGZ393237 EQV393237 FAR393237 FKN393237 FUJ393237 GEF393237 GOB393237 GXX393237 HHT393237 HRP393237 IBL393237 ILH393237 IVD393237 JEZ393237 JOV393237 JYR393237 KIN393237 KSJ393237 LCF393237 LMB393237 LVX393237 MFT393237 MPP393237 MZL393237 NJH393237 NTD393237 OCZ393237 OMV393237 OWR393237 PGN393237 PQJ393237 QAF393237 QKB393237 QTX393237 RDT393237 RNP393237 RXL393237 SHH393237 SRD393237 TAZ393237 TKV393237 TUR393237 UEN393237 UOJ393237 UYF393237 VIB393237 VRX393237 WBT393237 WLP393237 WVL393237 D458773 IZ458773 SV458773 ACR458773 AMN458773 AWJ458773 BGF458773 BQB458773 BZX458773 CJT458773 CTP458773 DDL458773 DNH458773 DXD458773 EGZ458773 EQV458773 FAR458773 FKN458773 FUJ458773 GEF458773 GOB458773 GXX458773 HHT458773 HRP458773 IBL458773 ILH458773 IVD458773 JEZ458773 JOV458773 JYR458773 KIN458773 KSJ458773 LCF458773 LMB458773 LVX458773 MFT458773 MPP458773 MZL458773 NJH458773 NTD458773 OCZ458773 OMV458773 OWR458773 PGN458773 PQJ458773 QAF458773 QKB458773 QTX458773 RDT458773 RNP458773 RXL458773 SHH458773 SRD458773 TAZ458773 TKV458773 TUR458773 UEN458773 UOJ458773 UYF458773 VIB458773 VRX458773 WBT458773 WLP458773 WVL458773 D524309 IZ524309 SV524309 ACR524309 AMN524309 AWJ524309 BGF524309 BQB524309 BZX524309 CJT524309 CTP524309 DDL524309 DNH524309 DXD524309 EGZ524309 EQV524309 FAR524309 FKN524309 FUJ524309 GEF524309 GOB524309 GXX524309 HHT524309 HRP524309 IBL524309 ILH524309 IVD524309 JEZ524309 JOV524309 JYR524309 KIN524309 KSJ524309 LCF524309 LMB524309 LVX524309 MFT524309 MPP524309 MZL524309 NJH524309 NTD524309 OCZ524309 OMV524309 OWR524309 PGN524309 PQJ524309 QAF524309 QKB524309 QTX524309 RDT524309 RNP524309 RXL524309 SHH524309 SRD524309 TAZ524309 TKV524309 TUR524309 UEN524309 UOJ524309 UYF524309 VIB524309 VRX524309 WBT524309 WLP524309 WVL524309 D589845 IZ589845 SV589845 ACR589845 AMN589845 AWJ589845 BGF589845 BQB589845 BZX589845 CJT589845 CTP589845 DDL589845 DNH589845 DXD589845 EGZ589845 EQV589845 FAR589845 FKN589845 FUJ589845 GEF589845 GOB589845 GXX589845 HHT589845 HRP589845 IBL589845 ILH589845 IVD589845 JEZ589845 JOV589845 JYR589845 KIN589845 KSJ589845 LCF589845 LMB589845 LVX589845 MFT589845 MPP589845 MZL589845 NJH589845 NTD589845 OCZ589845 OMV589845 OWR589845 PGN589845 PQJ589845 QAF589845 QKB589845 QTX589845 RDT589845 RNP589845 RXL589845 SHH589845 SRD589845 TAZ589845 TKV589845 TUR589845 UEN589845 UOJ589845 UYF589845 VIB589845 VRX589845 WBT589845 WLP589845 WVL589845 D655381 IZ655381 SV655381 ACR655381 AMN655381 AWJ655381 BGF655381 BQB655381 BZX655381 CJT655381 CTP655381 DDL655381 DNH655381 DXD655381 EGZ655381 EQV655381 FAR655381 FKN655381 FUJ655381 GEF655381 GOB655381 GXX655381 HHT655381 HRP655381 IBL655381 ILH655381 IVD655381 JEZ655381 JOV655381 JYR655381 KIN655381 KSJ655381 LCF655381 LMB655381 LVX655381 MFT655381 MPP655381 MZL655381 NJH655381 NTD655381 OCZ655381 OMV655381 OWR655381 PGN655381 PQJ655381 QAF655381 QKB655381 QTX655381 RDT655381 RNP655381 RXL655381 SHH655381 SRD655381 TAZ655381 TKV655381 TUR655381 UEN655381 UOJ655381 UYF655381 VIB655381 VRX655381 WBT655381 WLP655381 WVL655381 D720917 IZ720917 SV720917 ACR720917 AMN720917 AWJ720917 BGF720917 BQB720917 BZX720917 CJT720917 CTP720917 DDL720917 DNH720917 DXD720917 EGZ720917 EQV720917 FAR720917 FKN720917 FUJ720917 GEF720917 GOB720917 GXX720917 HHT720917 HRP720917 IBL720917 ILH720917 IVD720917 JEZ720917 JOV720917 JYR720917 KIN720917 KSJ720917 LCF720917 LMB720917 LVX720917 MFT720917 MPP720917 MZL720917 NJH720917 NTD720917 OCZ720917 OMV720917 OWR720917 PGN720917 PQJ720917 QAF720917 QKB720917 QTX720917 RDT720917 RNP720917 RXL720917 SHH720917 SRD720917 TAZ720917 TKV720917 TUR720917 UEN720917 UOJ720917 UYF720917 VIB720917 VRX720917 WBT720917 WLP720917 WVL720917 D786453 IZ786453 SV786453 ACR786453 AMN786453 AWJ786453 BGF786453 BQB786453 BZX786453 CJT786453 CTP786453 DDL786453 DNH786453 DXD786453 EGZ786453 EQV786453 FAR786453 FKN786453 FUJ786453 GEF786453 GOB786453 GXX786453 HHT786453 HRP786453 IBL786453 ILH786453 IVD786453 JEZ786453 JOV786453 JYR786453 KIN786453 KSJ786453 LCF786453 LMB786453 LVX786453 MFT786453 MPP786453 MZL786453 NJH786453 NTD786453 OCZ786453 OMV786453 OWR786453 PGN786453 PQJ786453 QAF786453 QKB786453 QTX786453 RDT786453 RNP786453 RXL786453 SHH786453 SRD786453 TAZ786453 TKV786453 TUR786453 UEN786453 UOJ786453 UYF786453 VIB786453 VRX786453 WBT786453 WLP786453 WVL786453 D851989 IZ851989 SV851989 ACR851989 AMN851989 AWJ851989 BGF851989 BQB851989 BZX851989 CJT851989 CTP851989 DDL851989 DNH851989 DXD851989 EGZ851989 EQV851989 FAR851989 FKN851989 FUJ851989 GEF851989 GOB851989 GXX851989 HHT851989 HRP851989 IBL851989 ILH851989 IVD851989 JEZ851989 JOV851989 JYR851989 KIN851989 KSJ851989 LCF851989 LMB851989 LVX851989 MFT851989 MPP851989 MZL851989 NJH851989 NTD851989 OCZ851989 OMV851989 OWR851989 PGN851989 PQJ851989 QAF851989 QKB851989 QTX851989 RDT851989 RNP851989 RXL851989 SHH851989 SRD851989 TAZ851989 TKV851989 TUR851989 UEN851989 UOJ851989 UYF851989 VIB851989 VRX851989 WBT851989 WLP851989 WVL851989 D917525 IZ917525 SV917525 ACR917525 AMN917525 AWJ917525 BGF917525 BQB917525 BZX917525 CJT917525 CTP917525 DDL917525 DNH917525 DXD917525 EGZ917525 EQV917525 FAR917525 FKN917525 FUJ917525 GEF917525 GOB917525 GXX917525 HHT917525 HRP917525 IBL917525 ILH917525 IVD917525 JEZ917525 JOV917525 JYR917525 KIN917525 KSJ917525 LCF917525 LMB917525 LVX917525 MFT917525 MPP917525 MZL917525 NJH917525 NTD917525 OCZ917525 OMV917525 OWR917525 PGN917525 PQJ917525 QAF917525 QKB917525 QTX917525 RDT917525 RNP917525 RXL917525 SHH917525 SRD917525 TAZ917525 TKV917525 TUR917525 UEN917525 UOJ917525 UYF917525 VIB917525 VRX917525 WBT917525 WLP917525 WVL917525 D983061 IZ983061 SV983061 ACR983061 AMN983061 AWJ983061 BGF983061 BQB983061 BZX983061 CJT983061 CTP983061 DDL983061 DNH983061 DXD983061 EGZ983061 EQV983061 FAR983061 FKN983061 FUJ983061 GEF983061 GOB983061 GXX983061 HHT983061 HRP983061 IBL983061 ILH983061 IVD983061 JEZ983061 JOV983061 JYR983061 KIN983061 KSJ983061 LCF983061 LMB983061 LVX983061 MFT983061 MPP983061 MZL983061 NJH983061 NTD983061 OCZ983061 OMV983061 OWR983061 PGN983061 PQJ983061 QAF983061 QKB983061 QTX983061 RDT983061 RNP983061 RXL983061 SHH983061 SRD983061 TAZ983061 TKV983061 TUR983061 UEN983061 UOJ983061 UYF983061 VIB983061 VRX983061 WBT983061 WLP983061 WVL983061" xr:uid="{E6B802A2-550E-4A24-907C-5AE992122DE9}">
      <formula1>$Q$22:$Q$24</formula1>
    </dataValidation>
    <dataValidation type="list" allowBlank="1" showInputMessage="1" errorTitle="Hold on!" error="Enter a valid motor type!" prompt="Motor Type  Select one from the list or input name" sqref="K4 JG4 TC4 ACY4 AMU4 AWQ4 BGM4 BQI4 CAE4 CKA4 CTW4 DDS4 DNO4 DXK4 EHG4 ERC4 FAY4 FKU4 FUQ4 GEM4 GOI4 GYE4 HIA4 HRW4 IBS4 ILO4 IVK4 JFG4 JPC4 JYY4 KIU4 KSQ4 LCM4 LMI4 LWE4 MGA4 MPW4 MZS4 NJO4 NTK4 ODG4 ONC4 OWY4 PGU4 PQQ4 QAM4 QKI4 QUE4 REA4 RNW4 RXS4 SHO4 SRK4 TBG4 TLC4 TUY4 UEU4 UOQ4 UYM4 VII4 VSE4 WCA4 WLW4 WVS4 K65540 JG65540 TC65540 ACY65540 AMU65540 AWQ65540 BGM65540 BQI65540 CAE65540 CKA65540 CTW65540 DDS65540 DNO65540 DXK65540 EHG65540 ERC65540 FAY65540 FKU65540 FUQ65540 GEM65540 GOI65540 GYE65540 HIA65540 HRW65540 IBS65540 ILO65540 IVK65540 JFG65540 JPC65540 JYY65540 KIU65540 KSQ65540 LCM65540 LMI65540 LWE65540 MGA65540 MPW65540 MZS65540 NJO65540 NTK65540 ODG65540 ONC65540 OWY65540 PGU65540 PQQ65540 QAM65540 QKI65540 QUE65540 REA65540 RNW65540 RXS65540 SHO65540 SRK65540 TBG65540 TLC65540 TUY65540 UEU65540 UOQ65540 UYM65540 VII65540 VSE65540 WCA65540 WLW65540 WVS65540 K131076 JG131076 TC131076 ACY131076 AMU131076 AWQ131076 BGM131076 BQI131076 CAE131076 CKA131076 CTW131076 DDS131076 DNO131076 DXK131076 EHG131076 ERC131076 FAY131076 FKU131076 FUQ131076 GEM131076 GOI131076 GYE131076 HIA131076 HRW131076 IBS131076 ILO131076 IVK131076 JFG131076 JPC131076 JYY131076 KIU131076 KSQ131076 LCM131076 LMI131076 LWE131076 MGA131076 MPW131076 MZS131076 NJO131076 NTK131076 ODG131076 ONC131076 OWY131076 PGU131076 PQQ131076 QAM131076 QKI131076 QUE131076 REA131076 RNW131076 RXS131076 SHO131076 SRK131076 TBG131076 TLC131076 TUY131076 UEU131076 UOQ131076 UYM131076 VII131076 VSE131076 WCA131076 WLW131076 WVS131076 K196612 JG196612 TC196612 ACY196612 AMU196612 AWQ196612 BGM196612 BQI196612 CAE196612 CKA196612 CTW196612 DDS196612 DNO196612 DXK196612 EHG196612 ERC196612 FAY196612 FKU196612 FUQ196612 GEM196612 GOI196612 GYE196612 HIA196612 HRW196612 IBS196612 ILO196612 IVK196612 JFG196612 JPC196612 JYY196612 KIU196612 KSQ196612 LCM196612 LMI196612 LWE196612 MGA196612 MPW196612 MZS196612 NJO196612 NTK196612 ODG196612 ONC196612 OWY196612 PGU196612 PQQ196612 QAM196612 QKI196612 QUE196612 REA196612 RNW196612 RXS196612 SHO196612 SRK196612 TBG196612 TLC196612 TUY196612 UEU196612 UOQ196612 UYM196612 VII196612 VSE196612 WCA196612 WLW196612 WVS196612 K262148 JG262148 TC262148 ACY262148 AMU262148 AWQ262148 BGM262148 BQI262148 CAE262148 CKA262148 CTW262148 DDS262148 DNO262148 DXK262148 EHG262148 ERC262148 FAY262148 FKU262148 FUQ262148 GEM262148 GOI262148 GYE262148 HIA262148 HRW262148 IBS262148 ILO262148 IVK262148 JFG262148 JPC262148 JYY262148 KIU262148 KSQ262148 LCM262148 LMI262148 LWE262148 MGA262148 MPW262148 MZS262148 NJO262148 NTK262148 ODG262148 ONC262148 OWY262148 PGU262148 PQQ262148 QAM262148 QKI262148 QUE262148 REA262148 RNW262148 RXS262148 SHO262148 SRK262148 TBG262148 TLC262148 TUY262148 UEU262148 UOQ262148 UYM262148 VII262148 VSE262148 WCA262148 WLW262148 WVS262148 K327684 JG327684 TC327684 ACY327684 AMU327684 AWQ327684 BGM327684 BQI327684 CAE327684 CKA327684 CTW327684 DDS327684 DNO327684 DXK327684 EHG327684 ERC327684 FAY327684 FKU327684 FUQ327684 GEM327684 GOI327684 GYE327684 HIA327684 HRW327684 IBS327684 ILO327684 IVK327684 JFG327684 JPC327684 JYY327684 KIU327684 KSQ327684 LCM327684 LMI327684 LWE327684 MGA327684 MPW327684 MZS327684 NJO327684 NTK327684 ODG327684 ONC327684 OWY327684 PGU327684 PQQ327684 QAM327684 QKI327684 QUE327684 REA327684 RNW327684 RXS327684 SHO327684 SRK327684 TBG327684 TLC327684 TUY327684 UEU327684 UOQ327684 UYM327684 VII327684 VSE327684 WCA327684 WLW327684 WVS327684 K393220 JG393220 TC393220 ACY393220 AMU393220 AWQ393220 BGM393220 BQI393220 CAE393220 CKA393220 CTW393220 DDS393220 DNO393220 DXK393220 EHG393220 ERC393220 FAY393220 FKU393220 FUQ393220 GEM393220 GOI393220 GYE393220 HIA393220 HRW393220 IBS393220 ILO393220 IVK393220 JFG393220 JPC393220 JYY393220 KIU393220 KSQ393220 LCM393220 LMI393220 LWE393220 MGA393220 MPW393220 MZS393220 NJO393220 NTK393220 ODG393220 ONC393220 OWY393220 PGU393220 PQQ393220 QAM393220 QKI393220 QUE393220 REA393220 RNW393220 RXS393220 SHO393220 SRK393220 TBG393220 TLC393220 TUY393220 UEU393220 UOQ393220 UYM393220 VII393220 VSE393220 WCA393220 WLW393220 WVS393220 K458756 JG458756 TC458756 ACY458756 AMU458756 AWQ458756 BGM458756 BQI458756 CAE458756 CKA458756 CTW458756 DDS458756 DNO458756 DXK458756 EHG458756 ERC458756 FAY458756 FKU458756 FUQ458756 GEM458756 GOI458756 GYE458756 HIA458756 HRW458756 IBS458756 ILO458756 IVK458756 JFG458756 JPC458756 JYY458756 KIU458756 KSQ458756 LCM458756 LMI458756 LWE458756 MGA458756 MPW458756 MZS458756 NJO458756 NTK458756 ODG458756 ONC458756 OWY458756 PGU458756 PQQ458756 QAM458756 QKI458756 QUE458756 REA458756 RNW458756 RXS458756 SHO458756 SRK458756 TBG458756 TLC458756 TUY458756 UEU458756 UOQ458756 UYM458756 VII458756 VSE458756 WCA458756 WLW458756 WVS458756 K524292 JG524292 TC524292 ACY524292 AMU524292 AWQ524292 BGM524292 BQI524292 CAE524292 CKA524292 CTW524292 DDS524292 DNO524292 DXK524292 EHG524292 ERC524292 FAY524292 FKU524292 FUQ524292 GEM524292 GOI524292 GYE524292 HIA524292 HRW524292 IBS524292 ILO524292 IVK524292 JFG524292 JPC524292 JYY524292 KIU524292 KSQ524292 LCM524292 LMI524292 LWE524292 MGA524292 MPW524292 MZS524292 NJO524292 NTK524292 ODG524292 ONC524292 OWY524292 PGU524292 PQQ524292 QAM524292 QKI524292 QUE524292 REA524292 RNW524292 RXS524292 SHO524292 SRK524292 TBG524292 TLC524292 TUY524292 UEU524292 UOQ524292 UYM524292 VII524292 VSE524292 WCA524292 WLW524292 WVS524292 K589828 JG589828 TC589828 ACY589828 AMU589828 AWQ589828 BGM589828 BQI589828 CAE589828 CKA589828 CTW589828 DDS589828 DNO589828 DXK589828 EHG589828 ERC589828 FAY589828 FKU589828 FUQ589828 GEM589828 GOI589828 GYE589828 HIA589828 HRW589828 IBS589828 ILO589828 IVK589828 JFG589828 JPC589828 JYY589828 KIU589828 KSQ589828 LCM589828 LMI589828 LWE589828 MGA589828 MPW589828 MZS589828 NJO589828 NTK589828 ODG589828 ONC589828 OWY589828 PGU589828 PQQ589828 QAM589828 QKI589828 QUE589828 REA589828 RNW589828 RXS589828 SHO589828 SRK589828 TBG589828 TLC589828 TUY589828 UEU589828 UOQ589828 UYM589828 VII589828 VSE589828 WCA589828 WLW589828 WVS589828 K655364 JG655364 TC655364 ACY655364 AMU655364 AWQ655364 BGM655364 BQI655364 CAE655364 CKA655364 CTW655364 DDS655364 DNO655364 DXK655364 EHG655364 ERC655364 FAY655364 FKU655364 FUQ655364 GEM655364 GOI655364 GYE655364 HIA655364 HRW655364 IBS655364 ILO655364 IVK655364 JFG655364 JPC655364 JYY655364 KIU655364 KSQ655364 LCM655364 LMI655364 LWE655364 MGA655364 MPW655364 MZS655364 NJO655364 NTK655364 ODG655364 ONC655364 OWY655364 PGU655364 PQQ655364 QAM655364 QKI655364 QUE655364 REA655364 RNW655364 RXS655364 SHO655364 SRK655364 TBG655364 TLC655364 TUY655364 UEU655364 UOQ655364 UYM655364 VII655364 VSE655364 WCA655364 WLW655364 WVS655364 K720900 JG720900 TC720900 ACY720900 AMU720900 AWQ720900 BGM720900 BQI720900 CAE720900 CKA720900 CTW720900 DDS720900 DNO720900 DXK720900 EHG720900 ERC720900 FAY720900 FKU720900 FUQ720900 GEM720900 GOI720900 GYE720900 HIA720900 HRW720900 IBS720900 ILO720900 IVK720900 JFG720900 JPC720900 JYY720900 KIU720900 KSQ720900 LCM720900 LMI720900 LWE720900 MGA720900 MPW720900 MZS720900 NJO720900 NTK720900 ODG720900 ONC720900 OWY720900 PGU720900 PQQ720900 QAM720900 QKI720900 QUE720900 REA720900 RNW720900 RXS720900 SHO720900 SRK720900 TBG720900 TLC720900 TUY720900 UEU720900 UOQ720900 UYM720900 VII720900 VSE720900 WCA720900 WLW720900 WVS720900 K786436 JG786436 TC786436 ACY786436 AMU786436 AWQ786436 BGM786436 BQI786436 CAE786436 CKA786436 CTW786436 DDS786436 DNO786436 DXK786436 EHG786436 ERC786436 FAY786436 FKU786436 FUQ786436 GEM786436 GOI786436 GYE786436 HIA786436 HRW786436 IBS786436 ILO786436 IVK786436 JFG786436 JPC786436 JYY786436 KIU786436 KSQ786436 LCM786436 LMI786436 LWE786436 MGA786436 MPW786436 MZS786436 NJO786436 NTK786436 ODG786436 ONC786436 OWY786436 PGU786436 PQQ786436 QAM786436 QKI786436 QUE786436 REA786436 RNW786436 RXS786436 SHO786436 SRK786436 TBG786436 TLC786436 TUY786436 UEU786436 UOQ786436 UYM786436 VII786436 VSE786436 WCA786436 WLW786436 WVS786436 K851972 JG851972 TC851972 ACY851972 AMU851972 AWQ851972 BGM851972 BQI851972 CAE851972 CKA851972 CTW851972 DDS851972 DNO851972 DXK851972 EHG851972 ERC851972 FAY851972 FKU851972 FUQ851972 GEM851972 GOI851972 GYE851972 HIA851972 HRW851972 IBS851972 ILO851972 IVK851972 JFG851972 JPC851972 JYY851972 KIU851972 KSQ851972 LCM851972 LMI851972 LWE851972 MGA851972 MPW851972 MZS851972 NJO851972 NTK851972 ODG851972 ONC851972 OWY851972 PGU851972 PQQ851972 QAM851972 QKI851972 QUE851972 REA851972 RNW851972 RXS851972 SHO851972 SRK851972 TBG851972 TLC851972 TUY851972 UEU851972 UOQ851972 UYM851972 VII851972 VSE851972 WCA851972 WLW851972 WVS851972 K917508 JG917508 TC917508 ACY917508 AMU917508 AWQ917508 BGM917508 BQI917508 CAE917508 CKA917508 CTW917508 DDS917508 DNO917508 DXK917508 EHG917508 ERC917508 FAY917508 FKU917508 FUQ917508 GEM917508 GOI917508 GYE917508 HIA917508 HRW917508 IBS917508 ILO917508 IVK917508 JFG917508 JPC917508 JYY917508 KIU917508 KSQ917508 LCM917508 LMI917508 LWE917508 MGA917508 MPW917508 MZS917508 NJO917508 NTK917508 ODG917508 ONC917508 OWY917508 PGU917508 PQQ917508 QAM917508 QKI917508 QUE917508 REA917508 RNW917508 RXS917508 SHO917508 SRK917508 TBG917508 TLC917508 TUY917508 UEU917508 UOQ917508 UYM917508 VII917508 VSE917508 WCA917508 WLW917508 WVS917508 K983044 JG983044 TC983044 ACY983044 AMU983044 AWQ983044 BGM983044 BQI983044 CAE983044 CKA983044 CTW983044 DDS983044 DNO983044 DXK983044 EHG983044 ERC983044 FAY983044 FKU983044 FUQ983044 GEM983044 GOI983044 GYE983044 HIA983044 HRW983044 IBS983044 ILO983044 IVK983044 JFG983044 JPC983044 JYY983044 KIU983044 KSQ983044 LCM983044 LMI983044 LWE983044 MGA983044 MPW983044 MZS983044 NJO983044 NTK983044 ODG983044 ONC983044 OWY983044 PGU983044 PQQ983044 QAM983044 QKI983044 QUE983044 REA983044 RNW983044 RXS983044 SHO983044 SRK983044 TBG983044 TLC983044 TUY983044 UEU983044 UOQ983044 UYM983044 VII983044 VSE983044 WCA983044 WLW983044 WVS983044" xr:uid="{A4C524BE-0204-459E-84A9-7E8DACBE5242}">
      <formula1>$Q$5:$Q$11</formula1>
    </dataValidation>
  </dataValidations>
  <printOptions horizontalCentered="1" verticalCentered="1"/>
  <pageMargins left="0.25" right="0.25" top="0.5" bottom="0.5" header="0.5" footer="0.5"/>
  <pageSetup scale="88" orientation="portrait" blackAndWhite="1" horizontalDpi="300"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13CE7-503A-4090-90F3-3408990D2873}">
  <dimension ref="B1:N79"/>
  <sheetViews>
    <sheetView zoomScale="75" zoomScaleNormal="75" workbookViewId="0">
      <selection activeCell="C12" sqref="C12"/>
    </sheetView>
  </sheetViews>
  <sheetFormatPr defaultColWidth="6.83203125" defaultRowHeight="13.2"/>
  <cols>
    <col min="1" max="1" width="6.83203125" style="417"/>
    <col min="2" max="2" width="13.58203125" style="417" customWidth="1"/>
    <col min="3" max="3" width="16.1640625" style="417" customWidth="1"/>
    <col min="4" max="4" width="16" style="417" bestFit="1" customWidth="1"/>
    <col min="5" max="5" width="5.1640625" style="417" bestFit="1" customWidth="1"/>
    <col min="6" max="6" width="22.4140625" style="417" customWidth="1"/>
    <col min="7" max="7" width="32.75" style="417" customWidth="1"/>
    <col min="8" max="8" width="12.83203125" style="417" customWidth="1"/>
    <col min="9" max="9" width="5.9140625" style="417" customWidth="1"/>
    <col min="10" max="10" width="1.75" style="417" bestFit="1" customWidth="1"/>
    <col min="11" max="12" width="1.75" style="417" customWidth="1"/>
    <col min="13" max="13" width="1.9140625" style="417" bestFit="1" customWidth="1"/>
    <col min="14" max="14" width="1.75" style="417" bestFit="1" customWidth="1"/>
    <col min="15" max="257" width="6.83203125" style="417"/>
    <col min="258" max="258" width="13.58203125" style="417" customWidth="1"/>
    <col min="259" max="259" width="16.1640625" style="417" customWidth="1"/>
    <col min="260" max="260" width="16" style="417" bestFit="1" customWidth="1"/>
    <col min="261" max="261" width="5.1640625" style="417" bestFit="1" customWidth="1"/>
    <col min="262" max="262" width="22.4140625" style="417" customWidth="1"/>
    <col min="263" max="263" width="32.75" style="417" customWidth="1"/>
    <col min="264" max="264" width="12.83203125" style="417" customWidth="1"/>
    <col min="265" max="265" width="5.9140625" style="417" customWidth="1"/>
    <col min="266" max="266" width="1.75" style="417" bestFit="1" customWidth="1"/>
    <col min="267" max="268" width="1.75" style="417" customWidth="1"/>
    <col min="269" max="269" width="1.9140625" style="417" bestFit="1" customWidth="1"/>
    <col min="270" max="270" width="1.75" style="417" bestFit="1" customWidth="1"/>
    <col min="271" max="513" width="6.83203125" style="417"/>
    <col min="514" max="514" width="13.58203125" style="417" customWidth="1"/>
    <col min="515" max="515" width="16.1640625" style="417" customWidth="1"/>
    <col min="516" max="516" width="16" style="417" bestFit="1" customWidth="1"/>
    <col min="517" max="517" width="5.1640625" style="417" bestFit="1" customWidth="1"/>
    <col min="518" max="518" width="22.4140625" style="417" customWidth="1"/>
    <col min="519" max="519" width="32.75" style="417" customWidth="1"/>
    <col min="520" max="520" width="12.83203125" style="417" customWidth="1"/>
    <col min="521" max="521" width="5.9140625" style="417" customWidth="1"/>
    <col min="522" max="522" width="1.75" style="417" bestFit="1" customWidth="1"/>
    <col min="523" max="524" width="1.75" style="417" customWidth="1"/>
    <col min="525" max="525" width="1.9140625" style="417" bestFit="1" customWidth="1"/>
    <col min="526" max="526" width="1.75" style="417" bestFit="1" customWidth="1"/>
    <col min="527" max="769" width="6.83203125" style="417"/>
    <col min="770" max="770" width="13.58203125" style="417" customWidth="1"/>
    <col min="771" max="771" width="16.1640625" style="417" customWidth="1"/>
    <col min="772" max="772" width="16" style="417" bestFit="1" customWidth="1"/>
    <col min="773" max="773" width="5.1640625" style="417" bestFit="1" customWidth="1"/>
    <col min="774" max="774" width="22.4140625" style="417" customWidth="1"/>
    <col min="775" max="775" width="32.75" style="417" customWidth="1"/>
    <col min="776" max="776" width="12.83203125" style="417" customWidth="1"/>
    <col min="777" max="777" width="5.9140625" style="417" customWidth="1"/>
    <col min="778" max="778" width="1.75" style="417" bestFit="1" customWidth="1"/>
    <col min="779" max="780" width="1.75" style="417" customWidth="1"/>
    <col min="781" max="781" width="1.9140625" style="417" bestFit="1" customWidth="1"/>
    <col min="782" max="782" width="1.75" style="417" bestFit="1" customWidth="1"/>
    <col min="783" max="1025" width="6.83203125" style="417"/>
    <col min="1026" max="1026" width="13.58203125" style="417" customWidth="1"/>
    <col min="1027" max="1027" width="16.1640625" style="417" customWidth="1"/>
    <col min="1028" max="1028" width="16" style="417" bestFit="1" customWidth="1"/>
    <col min="1029" max="1029" width="5.1640625" style="417" bestFit="1" customWidth="1"/>
    <col min="1030" max="1030" width="22.4140625" style="417" customWidth="1"/>
    <col min="1031" max="1031" width="32.75" style="417" customWidth="1"/>
    <col min="1032" max="1032" width="12.83203125" style="417" customWidth="1"/>
    <col min="1033" max="1033" width="5.9140625" style="417" customWidth="1"/>
    <col min="1034" max="1034" width="1.75" style="417" bestFit="1" customWidth="1"/>
    <col min="1035" max="1036" width="1.75" style="417" customWidth="1"/>
    <col min="1037" max="1037" width="1.9140625" style="417" bestFit="1" customWidth="1"/>
    <col min="1038" max="1038" width="1.75" style="417" bestFit="1" customWidth="1"/>
    <col min="1039" max="1281" width="6.83203125" style="417"/>
    <col min="1282" max="1282" width="13.58203125" style="417" customWidth="1"/>
    <col min="1283" max="1283" width="16.1640625" style="417" customWidth="1"/>
    <col min="1284" max="1284" width="16" style="417" bestFit="1" customWidth="1"/>
    <col min="1285" max="1285" width="5.1640625" style="417" bestFit="1" customWidth="1"/>
    <col min="1286" max="1286" width="22.4140625" style="417" customWidth="1"/>
    <col min="1287" max="1287" width="32.75" style="417" customWidth="1"/>
    <col min="1288" max="1288" width="12.83203125" style="417" customWidth="1"/>
    <col min="1289" max="1289" width="5.9140625" style="417" customWidth="1"/>
    <col min="1290" max="1290" width="1.75" style="417" bestFit="1" customWidth="1"/>
    <col min="1291" max="1292" width="1.75" style="417" customWidth="1"/>
    <col min="1293" max="1293" width="1.9140625" style="417" bestFit="1" customWidth="1"/>
    <col min="1294" max="1294" width="1.75" style="417" bestFit="1" customWidth="1"/>
    <col min="1295" max="1537" width="6.83203125" style="417"/>
    <col min="1538" max="1538" width="13.58203125" style="417" customWidth="1"/>
    <col min="1539" max="1539" width="16.1640625" style="417" customWidth="1"/>
    <col min="1540" max="1540" width="16" style="417" bestFit="1" customWidth="1"/>
    <col min="1541" max="1541" width="5.1640625" style="417" bestFit="1" customWidth="1"/>
    <col min="1542" max="1542" width="22.4140625" style="417" customWidth="1"/>
    <col min="1543" max="1543" width="32.75" style="417" customWidth="1"/>
    <col min="1544" max="1544" width="12.83203125" style="417" customWidth="1"/>
    <col min="1545" max="1545" width="5.9140625" style="417" customWidth="1"/>
    <col min="1546" max="1546" width="1.75" style="417" bestFit="1" customWidth="1"/>
    <col min="1547" max="1548" width="1.75" style="417" customWidth="1"/>
    <col min="1549" max="1549" width="1.9140625" style="417" bestFit="1" customWidth="1"/>
    <col min="1550" max="1550" width="1.75" style="417" bestFit="1" customWidth="1"/>
    <col min="1551" max="1793" width="6.83203125" style="417"/>
    <col min="1794" max="1794" width="13.58203125" style="417" customWidth="1"/>
    <col min="1795" max="1795" width="16.1640625" style="417" customWidth="1"/>
    <col min="1796" max="1796" width="16" style="417" bestFit="1" customWidth="1"/>
    <col min="1797" max="1797" width="5.1640625" style="417" bestFit="1" customWidth="1"/>
    <col min="1798" max="1798" width="22.4140625" style="417" customWidth="1"/>
    <col min="1799" max="1799" width="32.75" style="417" customWidth="1"/>
    <col min="1800" max="1800" width="12.83203125" style="417" customWidth="1"/>
    <col min="1801" max="1801" width="5.9140625" style="417" customWidth="1"/>
    <col min="1802" max="1802" width="1.75" style="417" bestFit="1" customWidth="1"/>
    <col min="1803" max="1804" width="1.75" style="417" customWidth="1"/>
    <col min="1805" max="1805" width="1.9140625" style="417" bestFit="1" customWidth="1"/>
    <col min="1806" max="1806" width="1.75" style="417" bestFit="1" customWidth="1"/>
    <col min="1807" max="2049" width="6.83203125" style="417"/>
    <col min="2050" max="2050" width="13.58203125" style="417" customWidth="1"/>
    <col min="2051" max="2051" width="16.1640625" style="417" customWidth="1"/>
    <col min="2052" max="2052" width="16" style="417" bestFit="1" customWidth="1"/>
    <col min="2053" max="2053" width="5.1640625" style="417" bestFit="1" customWidth="1"/>
    <col min="2054" max="2054" width="22.4140625" style="417" customWidth="1"/>
    <col min="2055" max="2055" width="32.75" style="417" customWidth="1"/>
    <col min="2056" max="2056" width="12.83203125" style="417" customWidth="1"/>
    <col min="2057" max="2057" width="5.9140625" style="417" customWidth="1"/>
    <col min="2058" max="2058" width="1.75" style="417" bestFit="1" customWidth="1"/>
    <col min="2059" max="2060" width="1.75" style="417" customWidth="1"/>
    <col min="2061" max="2061" width="1.9140625" style="417" bestFit="1" customWidth="1"/>
    <col min="2062" max="2062" width="1.75" style="417" bestFit="1" customWidth="1"/>
    <col min="2063" max="2305" width="6.83203125" style="417"/>
    <col min="2306" max="2306" width="13.58203125" style="417" customWidth="1"/>
    <col min="2307" max="2307" width="16.1640625" style="417" customWidth="1"/>
    <col min="2308" max="2308" width="16" style="417" bestFit="1" customWidth="1"/>
    <col min="2309" max="2309" width="5.1640625" style="417" bestFit="1" customWidth="1"/>
    <col min="2310" max="2310" width="22.4140625" style="417" customWidth="1"/>
    <col min="2311" max="2311" width="32.75" style="417" customWidth="1"/>
    <col min="2312" max="2312" width="12.83203125" style="417" customWidth="1"/>
    <col min="2313" max="2313" width="5.9140625" style="417" customWidth="1"/>
    <col min="2314" max="2314" width="1.75" style="417" bestFit="1" customWidth="1"/>
    <col min="2315" max="2316" width="1.75" style="417" customWidth="1"/>
    <col min="2317" max="2317" width="1.9140625" style="417" bestFit="1" customWidth="1"/>
    <col min="2318" max="2318" width="1.75" style="417" bestFit="1" customWidth="1"/>
    <col min="2319" max="2561" width="6.83203125" style="417"/>
    <col min="2562" max="2562" width="13.58203125" style="417" customWidth="1"/>
    <col min="2563" max="2563" width="16.1640625" style="417" customWidth="1"/>
    <col min="2564" max="2564" width="16" style="417" bestFit="1" customWidth="1"/>
    <col min="2565" max="2565" width="5.1640625" style="417" bestFit="1" customWidth="1"/>
    <col min="2566" max="2566" width="22.4140625" style="417" customWidth="1"/>
    <col min="2567" max="2567" width="32.75" style="417" customWidth="1"/>
    <col min="2568" max="2568" width="12.83203125" style="417" customWidth="1"/>
    <col min="2569" max="2569" width="5.9140625" style="417" customWidth="1"/>
    <col min="2570" max="2570" width="1.75" style="417" bestFit="1" customWidth="1"/>
    <col min="2571" max="2572" width="1.75" style="417" customWidth="1"/>
    <col min="2573" max="2573" width="1.9140625" style="417" bestFit="1" customWidth="1"/>
    <col min="2574" max="2574" width="1.75" style="417" bestFit="1" customWidth="1"/>
    <col min="2575" max="2817" width="6.83203125" style="417"/>
    <col min="2818" max="2818" width="13.58203125" style="417" customWidth="1"/>
    <col min="2819" max="2819" width="16.1640625" style="417" customWidth="1"/>
    <col min="2820" max="2820" width="16" style="417" bestFit="1" customWidth="1"/>
    <col min="2821" max="2821" width="5.1640625" style="417" bestFit="1" customWidth="1"/>
    <col min="2822" max="2822" width="22.4140625" style="417" customWidth="1"/>
    <col min="2823" max="2823" width="32.75" style="417" customWidth="1"/>
    <col min="2824" max="2824" width="12.83203125" style="417" customWidth="1"/>
    <col min="2825" max="2825" width="5.9140625" style="417" customWidth="1"/>
    <col min="2826" max="2826" width="1.75" style="417" bestFit="1" customWidth="1"/>
    <col min="2827" max="2828" width="1.75" style="417" customWidth="1"/>
    <col min="2829" max="2829" width="1.9140625" style="417" bestFit="1" customWidth="1"/>
    <col min="2830" max="2830" width="1.75" style="417" bestFit="1" customWidth="1"/>
    <col min="2831" max="3073" width="6.83203125" style="417"/>
    <col min="3074" max="3074" width="13.58203125" style="417" customWidth="1"/>
    <col min="3075" max="3075" width="16.1640625" style="417" customWidth="1"/>
    <col min="3076" max="3076" width="16" style="417" bestFit="1" customWidth="1"/>
    <col min="3077" max="3077" width="5.1640625" style="417" bestFit="1" customWidth="1"/>
    <col min="3078" max="3078" width="22.4140625" style="417" customWidth="1"/>
    <col min="3079" max="3079" width="32.75" style="417" customWidth="1"/>
    <col min="3080" max="3080" width="12.83203125" style="417" customWidth="1"/>
    <col min="3081" max="3081" width="5.9140625" style="417" customWidth="1"/>
    <col min="3082" max="3082" width="1.75" style="417" bestFit="1" customWidth="1"/>
    <col min="3083" max="3084" width="1.75" style="417" customWidth="1"/>
    <col min="3085" max="3085" width="1.9140625" style="417" bestFit="1" customWidth="1"/>
    <col min="3086" max="3086" width="1.75" style="417" bestFit="1" customWidth="1"/>
    <col min="3087" max="3329" width="6.83203125" style="417"/>
    <col min="3330" max="3330" width="13.58203125" style="417" customWidth="1"/>
    <col min="3331" max="3331" width="16.1640625" style="417" customWidth="1"/>
    <col min="3332" max="3332" width="16" style="417" bestFit="1" customWidth="1"/>
    <col min="3333" max="3333" width="5.1640625" style="417" bestFit="1" customWidth="1"/>
    <col min="3334" max="3334" width="22.4140625" style="417" customWidth="1"/>
    <col min="3335" max="3335" width="32.75" style="417" customWidth="1"/>
    <col min="3336" max="3336" width="12.83203125" style="417" customWidth="1"/>
    <col min="3337" max="3337" width="5.9140625" style="417" customWidth="1"/>
    <col min="3338" max="3338" width="1.75" style="417" bestFit="1" customWidth="1"/>
    <col min="3339" max="3340" width="1.75" style="417" customWidth="1"/>
    <col min="3341" max="3341" width="1.9140625" style="417" bestFit="1" customWidth="1"/>
    <col min="3342" max="3342" width="1.75" style="417" bestFit="1" customWidth="1"/>
    <col min="3343" max="3585" width="6.83203125" style="417"/>
    <col min="3586" max="3586" width="13.58203125" style="417" customWidth="1"/>
    <col min="3587" max="3587" width="16.1640625" style="417" customWidth="1"/>
    <col min="3588" max="3588" width="16" style="417" bestFit="1" customWidth="1"/>
    <col min="3589" max="3589" width="5.1640625" style="417" bestFit="1" customWidth="1"/>
    <col min="3590" max="3590" width="22.4140625" style="417" customWidth="1"/>
    <col min="3591" max="3591" width="32.75" style="417" customWidth="1"/>
    <col min="3592" max="3592" width="12.83203125" style="417" customWidth="1"/>
    <col min="3593" max="3593" width="5.9140625" style="417" customWidth="1"/>
    <col min="3594" max="3594" width="1.75" style="417" bestFit="1" customWidth="1"/>
    <col min="3595" max="3596" width="1.75" style="417" customWidth="1"/>
    <col min="3597" max="3597" width="1.9140625" style="417" bestFit="1" customWidth="1"/>
    <col min="3598" max="3598" width="1.75" style="417" bestFit="1" customWidth="1"/>
    <col min="3599" max="3841" width="6.83203125" style="417"/>
    <col min="3842" max="3842" width="13.58203125" style="417" customWidth="1"/>
    <col min="3843" max="3843" width="16.1640625" style="417" customWidth="1"/>
    <col min="3844" max="3844" width="16" style="417" bestFit="1" customWidth="1"/>
    <col min="3845" max="3845" width="5.1640625" style="417" bestFit="1" customWidth="1"/>
    <col min="3846" max="3846" width="22.4140625" style="417" customWidth="1"/>
    <col min="3847" max="3847" width="32.75" style="417" customWidth="1"/>
    <col min="3848" max="3848" width="12.83203125" style="417" customWidth="1"/>
    <col min="3849" max="3849" width="5.9140625" style="417" customWidth="1"/>
    <col min="3850" max="3850" width="1.75" style="417" bestFit="1" customWidth="1"/>
    <col min="3851" max="3852" width="1.75" style="417" customWidth="1"/>
    <col min="3853" max="3853" width="1.9140625" style="417" bestFit="1" customWidth="1"/>
    <col min="3854" max="3854" width="1.75" style="417" bestFit="1" customWidth="1"/>
    <col min="3855" max="4097" width="6.83203125" style="417"/>
    <col min="4098" max="4098" width="13.58203125" style="417" customWidth="1"/>
    <col min="4099" max="4099" width="16.1640625" style="417" customWidth="1"/>
    <col min="4100" max="4100" width="16" style="417" bestFit="1" customWidth="1"/>
    <col min="4101" max="4101" width="5.1640625" style="417" bestFit="1" customWidth="1"/>
    <col min="4102" max="4102" width="22.4140625" style="417" customWidth="1"/>
    <col min="4103" max="4103" width="32.75" style="417" customWidth="1"/>
    <col min="4104" max="4104" width="12.83203125" style="417" customWidth="1"/>
    <col min="4105" max="4105" width="5.9140625" style="417" customWidth="1"/>
    <col min="4106" max="4106" width="1.75" style="417" bestFit="1" customWidth="1"/>
    <col min="4107" max="4108" width="1.75" style="417" customWidth="1"/>
    <col min="4109" max="4109" width="1.9140625" style="417" bestFit="1" customWidth="1"/>
    <col min="4110" max="4110" width="1.75" style="417" bestFit="1" customWidth="1"/>
    <col min="4111" max="4353" width="6.83203125" style="417"/>
    <col min="4354" max="4354" width="13.58203125" style="417" customWidth="1"/>
    <col min="4355" max="4355" width="16.1640625" style="417" customWidth="1"/>
    <col min="4356" max="4356" width="16" style="417" bestFit="1" customWidth="1"/>
    <col min="4357" max="4357" width="5.1640625" style="417" bestFit="1" customWidth="1"/>
    <col min="4358" max="4358" width="22.4140625" style="417" customWidth="1"/>
    <col min="4359" max="4359" width="32.75" style="417" customWidth="1"/>
    <col min="4360" max="4360" width="12.83203125" style="417" customWidth="1"/>
    <col min="4361" max="4361" width="5.9140625" style="417" customWidth="1"/>
    <col min="4362" max="4362" width="1.75" style="417" bestFit="1" customWidth="1"/>
    <col min="4363" max="4364" width="1.75" style="417" customWidth="1"/>
    <col min="4365" max="4365" width="1.9140625" style="417" bestFit="1" customWidth="1"/>
    <col min="4366" max="4366" width="1.75" style="417" bestFit="1" customWidth="1"/>
    <col min="4367" max="4609" width="6.83203125" style="417"/>
    <col min="4610" max="4610" width="13.58203125" style="417" customWidth="1"/>
    <col min="4611" max="4611" width="16.1640625" style="417" customWidth="1"/>
    <col min="4612" max="4612" width="16" style="417" bestFit="1" customWidth="1"/>
    <col min="4613" max="4613" width="5.1640625" style="417" bestFit="1" customWidth="1"/>
    <col min="4614" max="4614" width="22.4140625" style="417" customWidth="1"/>
    <col min="4615" max="4615" width="32.75" style="417" customWidth="1"/>
    <col min="4616" max="4616" width="12.83203125" style="417" customWidth="1"/>
    <col min="4617" max="4617" width="5.9140625" style="417" customWidth="1"/>
    <col min="4618" max="4618" width="1.75" style="417" bestFit="1" customWidth="1"/>
    <col min="4619" max="4620" width="1.75" style="417" customWidth="1"/>
    <col min="4621" max="4621" width="1.9140625" style="417" bestFit="1" customWidth="1"/>
    <col min="4622" max="4622" width="1.75" style="417" bestFit="1" customWidth="1"/>
    <col min="4623" max="4865" width="6.83203125" style="417"/>
    <col min="4866" max="4866" width="13.58203125" style="417" customWidth="1"/>
    <col min="4867" max="4867" width="16.1640625" style="417" customWidth="1"/>
    <col min="4868" max="4868" width="16" style="417" bestFit="1" customWidth="1"/>
    <col min="4869" max="4869" width="5.1640625" style="417" bestFit="1" customWidth="1"/>
    <col min="4870" max="4870" width="22.4140625" style="417" customWidth="1"/>
    <col min="4871" max="4871" width="32.75" style="417" customWidth="1"/>
    <col min="4872" max="4872" width="12.83203125" style="417" customWidth="1"/>
    <col min="4873" max="4873" width="5.9140625" style="417" customWidth="1"/>
    <col min="4874" max="4874" width="1.75" style="417" bestFit="1" customWidth="1"/>
    <col min="4875" max="4876" width="1.75" style="417" customWidth="1"/>
    <col min="4877" max="4877" width="1.9140625" style="417" bestFit="1" customWidth="1"/>
    <col min="4878" max="4878" width="1.75" style="417" bestFit="1" customWidth="1"/>
    <col min="4879" max="5121" width="6.83203125" style="417"/>
    <col min="5122" max="5122" width="13.58203125" style="417" customWidth="1"/>
    <col min="5123" max="5123" width="16.1640625" style="417" customWidth="1"/>
    <col min="5124" max="5124" width="16" style="417" bestFit="1" customWidth="1"/>
    <col min="5125" max="5125" width="5.1640625" style="417" bestFit="1" customWidth="1"/>
    <col min="5126" max="5126" width="22.4140625" style="417" customWidth="1"/>
    <col min="5127" max="5127" width="32.75" style="417" customWidth="1"/>
    <col min="5128" max="5128" width="12.83203125" style="417" customWidth="1"/>
    <col min="5129" max="5129" width="5.9140625" style="417" customWidth="1"/>
    <col min="5130" max="5130" width="1.75" style="417" bestFit="1" customWidth="1"/>
    <col min="5131" max="5132" width="1.75" style="417" customWidth="1"/>
    <col min="5133" max="5133" width="1.9140625" style="417" bestFit="1" customWidth="1"/>
    <col min="5134" max="5134" width="1.75" style="417" bestFit="1" customWidth="1"/>
    <col min="5135" max="5377" width="6.83203125" style="417"/>
    <col min="5378" max="5378" width="13.58203125" style="417" customWidth="1"/>
    <col min="5379" max="5379" width="16.1640625" style="417" customWidth="1"/>
    <col min="5380" max="5380" width="16" style="417" bestFit="1" customWidth="1"/>
    <col min="5381" max="5381" width="5.1640625" style="417" bestFit="1" customWidth="1"/>
    <col min="5382" max="5382" width="22.4140625" style="417" customWidth="1"/>
    <col min="5383" max="5383" width="32.75" style="417" customWidth="1"/>
    <col min="5384" max="5384" width="12.83203125" style="417" customWidth="1"/>
    <col min="5385" max="5385" width="5.9140625" style="417" customWidth="1"/>
    <col min="5386" max="5386" width="1.75" style="417" bestFit="1" customWidth="1"/>
    <col min="5387" max="5388" width="1.75" style="417" customWidth="1"/>
    <col min="5389" max="5389" width="1.9140625" style="417" bestFit="1" customWidth="1"/>
    <col min="5390" max="5390" width="1.75" style="417" bestFit="1" customWidth="1"/>
    <col min="5391" max="5633" width="6.83203125" style="417"/>
    <col min="5634" max="5634" width="13.58203125" style="417" customWidth="1"/>
    <col min="5635" max="5635" width="16.1640625" style="417" customWidth="1"/>
    <col min="5636" max="5636" width="16" style="417" bestFit="1" customWidth="1"/>
    <col min="5637" max="5637" width="5.1640625" style="417" bestFit="1" customWidth="1"/>
    <col min="5638" max="5638" width="22.4140625" style="417" customWidth="1"/>
    <col min="5639" max="5639" width="32.75" style="417" customWidth="1"/>
    <col min="5640" max="5640" width="12.83203125" style="417" customWidth="1"/>
    <col min="5641" max="5641" width="5.9140625" style="417" customWidth="1"/>
    <col min="5642" max="5642" width="1.75" style="417" bestFit="1" customWidth="1"/>
    <col min="5643" max="5644" width="1.75" style="417" customWidth="1"/>
    <col min="5645" max="5645" width="1.9140625" style="417" bestFit="1" customWidth="1"/>
    <col min="5646" max="5646" width="1.75" style="417" bestFit="1" customWidth="1"/>
    <col min="5647" max="5889" width="6.83203125" style="417"/>
    <col min="5890" max="5890" width="13.58203125" style="417" customWidth="1"/>
    <col min="5891" max="5891" width="16.1640625" style="417" customWidth="1"/>
    <col min="5892" max="5892" width="16" style="417" bestFit="1" customWidth="1"/>
    <col min="5893" max="5893" width="5.1640625" style="417" bestFit="1" customWidth="1"/>
    <col min="5894" max="5894" width="22.4140625" style="417" customWidth="1"/>
    <col min="5895" max="5895" width="32.75" style="417" customWidth="1"/>
    <col min="5896" max="5896" width="12.83203125" style="417" customWidth="1"/>
    <col min="5897" max="5897" width="5.9140625" style="417" customWidth="1"/>
    <col min="5898" max="5898" width="1.75" style="417" bestFit="1" customWidth="1"/>
    <col min="5899" max="5900" width="1.75" style="417" customWidth="1"/>
    <col min="5901" max="5901" width="1.9140625" style="417" bestFit="1" customWidth="1"/>
    <col min="5902" max="5902" width="1.75" style="417" bestFit="1" customWidth="1"/>
    <col min="5903" max="6145" width="6.83203125" style="417"/>
    <col min="6146" max="6146" width="13.58203125" style="417" customWidth="1"/>
    <col min="6147" max="6147" width="16.1640625" style="417" customWidth="1"/>
    <col min="6148" max="6148" width="16" style="417" bestFit="1" customWidth="1"/>
    <col min="6149" max="6149" width="5.1640625" style="417" bestFit="1" customWidth="1"/>
    <col min="6150" max="6150" width="22.4140625" style="417" customWidth="1"/>
    <col min="6151" max="6151" width="32.75" style="417" customWidth="1"/>
    <col min="6152" max="6152" width="12.83203125" style="417" customWidth="1"/>
    <col min="6153" max="6153" width="5.9140625" style="417" customWidth="1"/>
    <col min="6154" max="6154" width="1.75" style="417" bestFit="1" customWidth="1"/>
    <col min="6155" max="6156" width="1.75" style="417" customWidth="1"/>
    <col min="6157" max="6157" width="1.9140625" style="417" bestFit="1" customWidth="1"/>
    <col min="6158" max="6158" width="1.75" style="417" bestFit="1" customWidth="1"/>
    <col min="6159" max="6401" width="6.83203125" style="417"/>
    <col min="6402" max="6402" width="13.58203125" style="417" customWidth="1"/>
    <col min="6403" max="6403" width="16.1640625" style="417" customWidth="1"/>
    <col min="6404" max="6404" width="16" style="417" bestFit="1" customWidth="1"/>
    <col min="6405" max="6405" width="5.1640625" style="417" bestFit="1" customWidth="1"/>
    <col min="6406" max="6406" width="22.4140625" style="417" customWidth="1"/>
    <col min="6407" max="6407" width="32.75" style="417" customWidth="1"/>
    <col min="6408" max="6408" width="12.83203125" style="417" customWidth="1"/>
    <col min="6409" max="6409" width="5.9140625" style="417" customWidth="1"/>
    <col min="6410" max="6410" width="1.75" style="417" bestFit="1" customWidth="1"/>
    <col min="6411" max="6412" width="1.75" style="417" customWidth="1"/>
    <col min="6413" max="6413" width="1.9140625" style="417" bestFit="1" customWidth="1"/>
    <col min="6414" max="6414" width="1.75" style="417" bestFit="1" customWidth="1"/>
    <col min="6415" max="6657" width="6.83203125" style="417"/>
    <col min="6658" max="6658" width="13.58203125" style="417" customWidth="1"/>
    <col min="6659" max="6659" width="16.1640625" style="417" customWidth="1"/>
    <col min="6660" max="6660" width="16" style="417" bestFit="1" customWidth="1"/>
    <col min="6661" max="6661" width="5.1640625" style="417" bestFit="1" customWidth="1"/>
    <col min="6662" max="6662" width="22.4140625" style="417" customWidth="1"/>
    <col min="6663" max="6663" width="32.75" style="417" customWidth="1"/>
    <col min="6664" max="6664" width="12.83203125" style="417" customWidth="1"/>
    <col min="6665" max="6665" width="5.9140625" style="417" customWidth="1"/>
    <col min="6666" max="6666" width="1.75" style="417" bestFit="1" customWidth="1"/>
    <col min="6667" max="6668" width="1.75" style="417" customWidth="1"/>
    <col min="6669" max="6669" width="1.9140625" style="417" bestFit="1" customWidth="1"/>
    <col min="6670" max="6670" width="1.75" style="417" bestFit="1" customWidth="1"/>
    <col min="6671" max="6913" width="6.83203125" style="417"/>
    <col min="6914" max="6914" width="13.58203125" style="417" customWidth="1"/>
    <col min="6915" max="6915" width="16.1640625" style="417" customWidth="1"/>
    <col min="6916" max="6916" width="16" style="417" bestFit="1" customWidth="1"/>
    <col min="6917" max="6917" width="5.1640625" style="417" bestFit="1" customWidth="1"/>
    <col min="6918" max="6918" width="22.4140625" style="417" customWidth="1"/>
    <col min="6919" max="6919" width="32.75" style="417" customWidth="1"/>
    <col min="6920" max="6920" width="12.83203125" style="417" customWidth="1"/>
    <col min="6921" max="6921" width="5.9140625" style="417" customWidth="1"/>
    <col min="6922" max="6922" width="1.75" style="417" bestFit="1" customWidth="1"/>
    <col min="6923" max="6924" width="1.75" style="417" customWidth="1"/>
    <col min="6925" max="6925" width="1.9140625" style="417" bestFit="1" customWidth="1"/>
    <col min="6926" max="6926" width="1.75" style="417" bestFit="1" customWidth="1"/>
    <col min="6927" max="7169" width="6.83203125" style="417"/>
    <col min="7170" max="7170" width="13.58203125" style="417" customWidth="1"/>
    <col min="7171" max="7171" width="16.1640625" style="417" customWidth="1"/>
    <col min="7172" max="7172" width="16" style="417" bestFit="1" customWidth="1"/>
    <col min="7173" max="7173" width="5.1640625" style="417" bestFit="1" customWidth="1"/>
    <col min="7174" max="7174" width="22.4140625" style="417" customWidth="1"/>
    <col min="7175" max="7175" width="32.75" style="417" customWidth="1"/>
    <col min="7176" max="7176" width="12.83203125" style="417" customWidth="1"/>
    <col min="7177" max="7177" width="5.9140625" style="417" customWidth="1"/>
    <col min="7178" max="7178" width="1.75" style="417" bestFit="1" customWidth="1"/>
    <col min="7179" max="7180" width="1.75" style="417" customWidth="1"/>
    <col min="7181" max="7181" width="1.9140625" style="417" bestFit="1" customWidth="1"/>
    <col min="7182" max="7182" width="1.75" style="417" bestFit="1" customWidth="1"/>
    <col min="7183" max="7425" width="6.83203125" style="417"/>
    <col min="7426" max="7426" width="13.58203125" style="417" customWidth="1"/>
    <col min="7427" max="7427" width="16.1640625" style="417" customWidth="1"/>
    <col min="7428" max="7428" width="16" style="417" bestFit="1" customWidth="1"/>
    <col min="7429" max="7429" width="5.1640625" style="417" bestFit="1" customWidth="1"/>
    <col min="7430" max="7430" width="22.4140625" style="417" customWidth="1"/>
    <col min="7431" max="7431" width="32.75" style="417" customWidth="1"/>
    <col min="7432" max="7432" width="12.83203125" style="417" customWidth="1"/>
    <col min="7433" max="7433" width="5.9140625" style="417" customWidth="1"/>
    <col min="7434" max="7434" width="1.75" style="417" bestFit="1" customWidth="1"/>
    <col min="7435" max="7436" width="1.75" style="417" customWidth="1"/>
    <col min="7437" max="7437" width="1.9140625" style="417" bestFit="1" customWidth="1"/>
    <col min="7438" max="7438" width="1.75" style="417" bestFit="1" customWidth="1"/>
    <col min="7439" max="7681" width="6.83203125" style="417"/>
    <col min="7682" max="7682" width="13.58203125" style="417" customWidth="1"/>
    <col min="7683" max="7683" width="16.1640625" style="417" customWidth="1"/>
    <col min="7684" max="7684" width="16" style="417" bestFit="1" customWidth="1"/>
    <col min="7685" max="7685" width="5.1640625" style="417" bestFit="1" customWidth="1"/>
    <col min="7686" max="7686" width="22.4140625" style="417" customWidth="1"/>
    <col min="7687" max="7687" width="32.75" style="417" customWidth="1"/>
    <col min="7688" max="7688" width="12.83203125" style="417" customWidth="1"/>
    <col min="7689" max="7689" width="5.9140625" style="417" customWidth="1"/>
    <col min="7690" max="7690" width="1.75" style="417" bestFit="1" customWidth="1"/>
    <col min="7691" max="7692" width="1.75" style="417" customWidth="1"/>
    <col min="7693" max="7693" width="1.9140625" style="417" bestFit="1" customWidth="1"/>
    <col min="7694" max="7694" width="1.75" style="417" bestFit="1" customWidth="1"/>
    <col min="7695" max="7937" width="6.83203125" style="417"/>
    <col min="7938" max="7938" width="13.58203125" style="417" customWidth="1"/>
    <col min="7939" max="7939" width="16.1640625" style="417" customWidth="1"/>
    <col min="7940" max="7940" width="16" style="417" bestFit="1" customWidth="1"/>
    <col min="7941" max="7941" width="5.1640625" style="417" bestFit="1" customWidth="1"/>
    <col min="7942" max="7942" width="22.4140625" style="417" customWidth="1"/>
    <col min="7943" max="7943" width="32.75" style="417" customWidth="1"/>
    <col min="7944" max="7944" width="12.83203125" style="417" customWidth="1"/>
    <col min="7945" max="7945" width="5.9140625" style="417" customWidth="1"/>
    <col min="7946" max="7946" width="1.75" style="417" bestFit="1" customWidth="1"/>
    <col min="7947" max="7948" width="1.75" style="417" customWidth="1"/>
    <col min="7949" max="7949" width="1.9140625" style="417" bestFit="1" customWidth="1"/>
    <col min="7950" max="7950" width="1.75" style="417" bestFit="1" customWidth="1"/>
    <col min="7951" max="8193" width="6.83203125" style="417"/>
    <col min="8194" max="8194" width="13.58203125" style="417" customWidth="1"/>
    <col min="8195" max="8195" width="16.1640625" style="417" customWidth="1"/>
    <col min="8196" max="8196" width="16" style="417" bestFit="1" customWidth="1"/>
    <col min="8197" max="8197" width="5.1640625" style="417" bestFit="1" customWidth="1"/>
    <col min="8198" max="8198" width="22.4140625" style="417" customWidth="1"/>
    <col min="8199" max="8199" width="32.75" style="417" customWidth="1"/>
    <col min="8200" max="8200" width="12.83203125" style="417" customWidth="1"/>
    <col min="8201" max="8201" width="5.9140625" style="417" customWidth="1"/>
    <col min="8202" max="8202" width="1.75" style="417" bestFit="1" customWidth="1"/>
    <col min="8203" max="8204" width="1.75" style="417" customWidth="1"/>
    <col min="8205" max="8205" width="1.9140625" style="417" bestFit="1" customWidth="1"/>
    <col min="8206" max="8206" width="1.75" style="417" bestFit="1" customWidth="1"/>
    <col min="8207" max="8449" width="6.83203125" style="417"/>
    <col min="8450" max="8450" width="13.58203125" style="417" customWidth="1"/>
    <col min="8451" max="8451" width="16.1640625" style="417" customWidth="1"/>
    <col min="8452" max="8452" width="16" style="417" bestFit="1" customWidth="1"/>
    <col min="8453" max="8453" width="5.1640625" style="417" bestFit="1" customWidth="1"/>
    <col min="8454" max="8454" width="22.4140625" style="417" customWidth="1"/>
    <col min="8455" max="8455" width="32.75" style="417" customWidth="1"/>
    <col min="8456" max="8456" width="12.83203125" style="417" customWidth="1"/>
    <col min="8457" max="8457" width="5.9140625" style="417" customWidth="1"/>
    <col min="8458" max="8458" width="1.75" style="417" bestFit="1" customWidth="1"/>
    <col min="8459" max="8460" width="1.75" style="417" customWidth="1"/>
    <col min="8461" max="8461" width="1.9140625" style="417" bestFit="1" customWidth="1"/>
    <col min="8462" max="8462" width="1.75" style="417" bestFit="1" customWidth="1"/>
    <col min="8463" max="8705" width="6.83203125" style="417"/>
    <col min="8706" max="8706" width="13.58203125" style="417" customWidth="1"/>
    <col min="8707" max="8707" width="16.1640625" style="417" customWidth="1"/>
    <col min="8708" max="8708" width="16" style="417" bestFit="1" customWidth="1"/>
    <col min="8709" max="8709" width="5.1640625" style="417" bestFit="1" customWidth="1"/>
    <col min="8710" max="8710" width="22.4140625" style="417" customWidth="1"/>
    <col min="8711" max="8711" width="32.75" style="417" customWidth="1"/>
    <col min="8712" max="8712" width="12.83203125" style="417" customWidth="1"/>
    <col min="8713" max="8713" width="5.9140625" style="417" customWidth="1"/>
    <col min="8714" max="8714" width="1.75" style="417" bestFit="1" customWidth="1"/>
    <col min="8715" max="8716" width="1.75" style="417" customWidth="1"/>
    <col min="8717" max="8717" width="1.9140625" style="417" bestFit="1" customWidth="1"/>
    <col min="8718" max="8718" width="1.75" style="417" bestFit="1" customWidth="1"/>
    <col min="8719" max="8961" width="6.83203125" style="417"/>
    <col min="8962" max="8962" width="13.58203125" style="417" customWidth="1"/>
    <col min="8963" max="8963" width="16.1640625" style="417" customWidth="1"/>
    <col min="8964" max="8964" width="16" style="417" bestFit="1" customWidth="1"/>
    <col min="8965" max="8965" width="5.1640625" style="417" bestFit="1" customWidth="1"/>
    <col min="8966" max="8966" width="22.4140625" style="417" customWidth="1"/>
    <col min="8967" max="8967" width="32.75" style="417" customWidth="1"/>
    <col min="8968" max="8968" width="12.83203125" style="417" customWidth="1"/>
    <col min="8969" max="8969" width="5.9140625" style="417" customWidth="1"/>
    <col min="8970" max="8970" width="1.75" style="417" bestFit="1" customWidth="1"/>
    <col min="8971" max="8972" width="1.75" style="417" customWidth="1"/>
    <col min="8973" max="8973" width="1.9140625" style="417" bestFit="1" customWidth="1"/>
    <col min="8974" max="8974" width="1.75" style="417" bestFit="1" customWidth="1"/>
    <col min="8975" max="9217" width="6.83203125" style="417"/>
    <col min="9218" max="9218" width="13.58203125" style="417" customWidth="1"/>
    <col min="9219" max="9219" width="16.1640625" style="417" customWidth="1"/>
    <col min="9220" max="9220" width="16" style="417" bestFit="1" customWidth="1"/>
    <col min="9221" max="9221" width="5.1640625" style="417" bestFit="1" customWidth="1"/>
    <col min="9222" max="9222" width="22.4140625" style="417" customWidth="1"/>
    <col min="9223" max="9223" width="32.75" style="417" customWidth="1"/>
    <col min="9224" max="9224" width="12.83203125" style="417" customWidth="1"/>
    <col min="9225" max="9225" width="5.9140625" style="417" customWidth="1"/>
    <col min="9226" max="9226" width="1.75" style="417" bestFit="1" customWidth="1"/>
    <col min="9227" max="9228" width="1.75" style="417" customWidth="1"/>
    <col min="9229" max="9229" width="1.9140625" style="417" bestFit="1" customWidth="1"/>
    <col min="9230" max="9230" width="1.75" style="417" bestFit="1" customWidth="1"/>
    <col min="9231" max="9473" width="6.83203125" style="417"/>
    <col min="9474" max="9474" width="13.58203125" style="417" customWidth="1"/>
    <col min="9475" max="9475" width="16.1640625" style="417" customWidth="1"/>
    <col min="9476" max="9476" width="16" style="417" bestFit="1" customWidth="1"/>
    <col min="9477" max="9477" width="5.1640625" style="417" bestFit="1" customWidth="1"/>
    <col min="9478" max="9478" width="22.4140625" style="417" customWidth="1"/>
    <col min="9479" max="9479" width="32.75" style="417" customWidth="1"/>
    <col min="9480" max="9480" width="12.83203125" style="417" customWidth="1"/>
    <col min="9481" max="9481" width="5.9140625" style="417" customWidth="1"/>
    <col min="9482" max="9482" width="1.75" style="417" bestFit="1" customWidth="1"/>
    <col min="9483" max="9484" width="1.75" style="417" customWidth="1"/>
    <col min="9485" max="9485" width="1.9140625" style="417" bestFit="1" customWidth="1"/>
    <col min="9486" max="9486" width="1.75" style="417" bestFit="1" customWidth="1"/>
    <col min="9487" max="9729" width="6.83203125" style="417"/>
    <col min="9730" max="9730" width="13.58203125" style="417" customWidth="1"/>
    <col min="9731" max="9731" width="16.1640625" style="417" customWidth="1"/>
    <col min="9732" max="9732" width="16" style="417" bestFit="1" customWidth="1"/>
    <col min="9733" max="9733" width="5.1640625" style="417" bestFit="1" customWidth="1"/>
    <col min="9734" max="9734" width="22.4140625" style="417" customWidth="1"/>
    <col min="9735" max="9735" width="32.75" style="417" customWidth="1"/>
    <col min="9736" max="9736" width="12.83203125" style="417" customWidth="1"/>
    <col min="9737" max="9737" width="5.9140625" style="417" customWidth="1"/>
    <col min="9738" max="9738" width="1.75" style="417" bestFit="1" customWidth="1"/>
    <col min="9739" max="9740" width="1.75" style="417" customWidth="1"/>
    <col min="9741" max="9741" width="1.9140625" style="417" bestFit="1" customWidth="1"/>
    <col min="9742" max="9742" width="1.75" style="417" bestFit="1" customWidth="1"/>
    <col min="9743" max="9985" width="6.83203125" style="417"/>
    <col min="9986" max="9986" width="13.58203125" style="417" customWidth="1"/>
    <col min="9987" max="9987" width="16.1640625" style="417" customWidth="1"/>
    <col min="9988" max="9988" width="16" style="417" bestFit="1" customWidth="1"/>
    <col min="9989" max="9989" width="5.1640625" style="417" bestFit="1" customWidth="1"/>
    <col min="9990" max="9990" width="22.4140625" style="417" customWidth="1"/>
    <col min="9991" max="9991" width="32.75" style="417" customWidth="1"/>
    <col min="9992" max="9992" width="12.83203125" style="417" customWidth="1"/>
    <col min="9993" max="9993" width="5.9140625" style="417" customWidth="1"/>
    <col min="9994" max="9994" width="1.75" style="417" bestFit="1" customWidth="1"/>
    <col min="9995" max="9996" width="1.75" style="417" customWidth="1"/>
    <col min="9997" max="9997" width="1.9140625" style="417" bestFit="1" customWidth="1"/>
    <col min="9998" max="9998" width="1.75" style="417" bestFit="1" customWidth="1"/>
    <col min="9999" max="10241" width="6.83203125" style="417"/>
    <col min="10242" max="10242" width="13.58203125" style="417" customWidth="1"/>
    <col min="10243" max="10243" width="16.1640625" style="417" customWidth="1"/>
    <col min="10244" max="10244" width="16" style="417" bestFit="1" customWidth="1"/>
    <col min="10245" max="10245" width="5.1640625" style="417" bestFit="1" customWidth="1"/>
    <col min="10246" max="10246" width="22.4140625" style="417" customWidth="1"/>
    <col min="10247" max="10247" width="32.75" style="417" customWidth="1"/>
    <col min="10248" max="10248" width="12.83203125" style="417" customWidth="1"/>
    <col min="10249" max="10249" width="5.9140625" style="417" customWidth="1"/>
    <col min="10250" max="10250" width="1.75" style="417" bestFit="1" customWidth="1"/>
    <col min="10251" max="10252" width="1.75" style="417" customWidth="1"/>
    <col min="10253" max="10253" width="1.9140625" style="417" bestFit="1" customWidth="1"/>
    <col min="10254" max="10254" width="1.75" style="417" bestFit="1" customWidth="1"/>
    <col min="10255" max="10497" width="6.83203125" style="417"/>
    <col min="10498" max="10498" width="13.58203125" style="417" customWidth="1"/>
    <col min="10499" max="10499" width="16.1640625" style="417" customWidth="1"/>
    <col min="10500" max="10500" width="16" style="417" bestFit="1" customWidth="1"/>
    <col min="10501" max="10501" width="5.1640625" style="417" bestFit="1" customWidth="1"/>
    <col min="10502" max="10502" width="22.4140625" style="417" customWidth="1"/>
    <col min="10503" max="10503" width="32.75" style="417" customWidth="1"/>
    <col min="10504" max="10504" width="12.83203125" style="417" customWidth="1"/>
    <col min="10505" max="10505" width="5.9140625" style="417" customWidth="1"/>
    <col min="10506" max="10506" width="1.75" style="417" bestFit="1" customWidth="1"/>
    <col min="10507" max="10508" width="1.75" style="417" customWidth="1"/>
    <col min="10509" max="10509" width="1.9140625" style="417" bestFit="1" customWidth="1"/>
    <col min="10510" max="10510" width="1.75" style="417" bestFit="1" customWidth="1"/>
    <col min="10511" max="10753" width="6.83203125" style="417"/>
    <col min="10754" max="10754" width="13.58203125" style="417" customWidth="1"/>
    <col min="10755" max="10755" width="16.1640625" style="417" customWidth="1"/>
    <col min="10756" max="10756" width="16" style="417" bestFit="1" customWidth="1"/>
    <col min="10757" max="10757" width="5.1640625" style="417" bestFit="1" customWidth="1"/>
    <col min="10758" max="10758" width="22.4140625" style="417" customWidth="1"/>
    <col min="10759" max="10759" width="32.75" style="417" customWidth="1"/>
    <col min="10760" max="10760" width="12.83203125" style="417" customWidth="1"/>
    <col min="10761" max="10761" width="5.9140625" style="417" customWidth="1"/>
    <col min="10762" max="10762" width="1.75" style="417" bestFit="1" customWidth="1"/>
    <col min="10763" max="10764" width="1.75" style="417" customWidth="1"/>
    <col min="10765" max="10765" width="1.9140625" style="417" bestFit="1" customWidth="1"/>
    <col min="10766" max="10766" width="1.75" style="417" bestFit="1" customWidth="1"/>
    <col min="10767" max="11009" width="6.83203125" style="417"/>
    <col min="11010" max="11010" width="13.58203125" style="417" customWidth="1"/>
    <col min="11011" max="11011" width="16.1640625" style="417" customWidth="1"/>
    <col min="11012" max="11012" width="16" style="417" bestFit="1" customWidth="1"/>
    <col min="11013" max="11013" width="5.1640625" style="417" bestFit="1" customWidth="1"/>
    <col min="11014" max="11014" width="22.4140625" style="417" customWidth="1"/>
    <col min="11015" max="11015" width="32.75" style="417" customWidth="1"/>
    <col min="11016" max="11016" width="12.83203125" style="417" customWidth="1"/>
    <col min="11017" max="11017" width="5.9140625" style="417" customWidth="1"/>
    <col min="11018" max="11018" width="1.75" style="417" bestFit="1" customWidth="1"/>
    <col min="11019" max="11020" width="1.75" style="417" customWidth="1"/>
    <col min="11021" max="11021" width="1.9140625" style="417" bestFit="1" customWidth="1"/>
    <col min="11022" max="11022" width="1.75" style="417" bestFit="1" customWidth="1"/>
    <col min="11023" max="11265" width="6.83203125" style="417"/>
    <col min="11266" max="11266" width="13.58203125" style="417" customWidth="1"/>
    <col min="11267" max="11267" width="16.1640625" style="417" customWidth="1"/>
    <col min="11268" max="11268" width="16" style="417" bestFit="1" customWidth="1"/>
    <col min="11269" max="11269" width="5.1640625" style="417" bestFit="1" customWidth="1"/>
    <col min="11270" max="11270" width="22.4140625" style="417" customWidth="1"/>
    <col min="11271" max="11271" width="32.75" style="417" customWidth="1"/>
    <col min="11272" max="11272" width="12.83203125" style="417" customWidth="1"/>
    <col min="11273" max="11273" width="5.9140625" style="417" customWidth="1"/>
    <col min="11274" max="11274" width="1.75" style="417" bestFit="1" customWidth="1"/>
    <col min="11275" max="11276" width="1.75" style="417" customWidth="1"/>
    <col min="11277" max="11277" width="1.9140625" style="417" bestFit="1" customWidth="1"/>
    <col min="11278" max="11278" width="1.75" style="417" bestFit="1" customWidth="1"/>
    <col min="11279" max="11521" width="6.83203125" style="417"/>
    <col min="11522" max="11522" width="13.58203125" style="417" customWidth="1"/>
    <col min="11523" max="11523" width="16.1640625" style="417" customWidth="1"/>
    <col min="11524" max="11524" width="16" style="417" bestFit="1" customWidth="1"/>
    <col min="11525" max="11525" width="5.1640625" style="417" bestFit="1" customWidth="1"/>
    <col min="11526" max="11526" width="22.4140625" style="417" customWidth="1"/>
    <col min="11527" max="11527" width="32.75" style="417" customWidth="1"/>
    <col min="11528" max="11528" width="12.83203125" style="417" customWidth="1"/>
    <col min="11529" max="11529" width="5.9140625" style="417" customWidth="1"/>
    <col min="11530" max="11530" width="1.75" style="417" bestFit="1" customWidth="1"/>
    <col min="11531" max="11532" width="1.75" style="417" customWidth="1"/>
    <col min="11533" max="11533" width="1.9140625" style="417" bestFit="1" customWidth="1"/>
    <col min="11534" max="11534" width="1.75" style="417" bestFit="1" customWidth="1"/>
    <col min="11535" max="11777" width="6.83203125" style="417"/>
    <col min="11778" max="11778" width="13.58203125" style="417" customWidth="1"/>
    <col min="11779" max="11779" width="16.1640625" style="417" customWidth="1"/>
    <col min="11780" max="11780" width="16" style="417" bestFit="1" customWidth="1"/>
    <col min="11781" max="11781" width="5.1640625" style="417" bestFit="1" customWidth="1"/>
    <col min="11782" max="11782" width="22.4140625" style="417" customWidth="1"/>
    <col min="11783" max="11783" width="32.75" style="417" customWidth="1"/>
    <col min="11784" max="11784" width="12.83203125" style="417" customWidth="1"/>
    <col min="11785" max="11785" width="5.9140625" style="417" customWidth="1"/>
    <col min="11786" max="11786" width="1.75" style="417" bestFit="1" customWidth="1"/>
    <col min="11787" max="11788" width="1.75" style="417" customWidth="1"/>
    <col min="11789" max="11789" width="1.9140625" style="417" bestFit="1" customWidth="1"/>
    <col min="11790" max="11790" width="1.75" style="417" bestFit="1" customWidth="1"/>
    <col min="11791" max="12033" width="6.83203125" style="417"/>
    <col min="12034" max="12034" width="13.58203125" style="417" customWidth="1"/>
    <col min="12035" max="12035" width="16.1640625" style="417" customWidth="1"/>
    <col min="12036" max="12036" width="16" style="417" bestFit="1" customWidth="1"/>
    <col min="12037" max="12037" width="5.1640625" style="417" bestFit="1" customWidth="1"/>
    <col min="12038" max="12038" width="22.4140625" style="417" customWidth="1"/>
    <col min="12039" max="12039" width="32.75" style="417" customWidth="1"/>
    <col min="12040" max="12040" width="12.83203125" style="417" customWidth="1"/>
    <col min="12041" max="12041" width="5.9140625" style="417" customWidth="1"/>
    <col min="12042" max="12042" width="1.75" style="417" bestFit="1" customWidth="1"/>
    <col min="12043" max="12044" width="1.75" style="417" customWidth="1"/>
    <col min="12045" max="12045" width="1.9140625" style="417" bestFit="1" customWidth="1"/>
    <col min="12046" max="12046" width="1.75" style="417" bestFit="1" customWidth="1"/>
    <col min="12047" max="12289" width="6.83203125" style="417"/>
    <col min="12290" max="12290" width="13.58203125" style="417" customWidth="1"/>
    <col min="12291" max="12291" width="16.1640625" style="417" customWidth="1"/>
    <col min="12292" max="12292" width="16" style="417" bestFit="1" customWidth="1"/>
    <col min="12293" max="12293" width="5.1640625" style="417" bestFit="1" customWidth="1"/>
    <col min="12294" max="12294" width="22.4140625" style="417" customWidth="1"/>
    <col min="12295" max="12295" width="32.75" style="417" customWidth="1"/>
    <col min="12296" max="12296" width="12.83203125" style="417" customWidth="1"/>
    <col min="12297" max="12297" width="5.9140625" style="417" customWidth="1"/>
    <col min="12298" max="12298" width="1.75" style="417" bestFit="1" customWidth="1"/>
    <col min="12299" max="12300" width="1.75" style="417" customWidth="1"/>
    <col min="12301" max="12301" width="1.9140625" style="417" bestFit="1" customWidth="1"/>
    <col min="12302" max="12302" width="1.75" style="417" bestFit="1" customWidth="1"/>
    <col min="12303" max="12545" width="6.83203125" style="417"/>
    <col min="12546" max="12546" width="13.58203125" style="417" customWidth="1"/>
    <col min="12547" max="12547" width="16.1640625" style="417" customWidth="1"/>
    <col min="12548" max="12548" width="16" style="417" bestFit="1" customWidth="1"/>
    <col min="12549" max="12549" width="5.1640625" style="417" bestFit="1" customWidth="1"/>
    <col min="12550" max="12550" width="22.4140625" style="417" customWidth="1"/>
    <col min="12551" max="12551" width="32.75" style="417" customWidth="1"/>
    <col min="12552" max="12552" width="12.83203125" style="417" customWidth="1"/>
    <col min="12553" max="12553" width="5.9140625" style="417" customWidth="1"/>
    <col min="12554" max="12554" width="1.75" style="417" bestFit="1" customWidth="1"/>
    <col min="12555" max="12556" width="1.75" style="417" customWidth="1"/>
    <col min="12557" max="12557" width="1.9140625" style="417" bestFit="1" customWidth="1"/>
    <col min="12558" max="12558" width="1.75" style="417" bestFit="1" customWidth="1"/>
    <col min="12559" max="12801" width="6.83203125" style="417"/>
    <col min="12802" max="12802" width="13.58203125" style="417" customWidth="1"/>
    <col min="12803" max="12803" width="16.1640625" style="417" customWidth="1"/>
    <col min="12804" max="12804" width="16" style="417" bestFit="1" customWidth="1"/>
    <col min="12805" max="12805" width="5.1640625" style="417" bestFit="1" customWidth="1"/>
    <col min="12806" max="12806" width="22.4140625" style="417" customWidth="1"/>
    <col min="12807" max="12807" width="32.75" style="417" customWidth="1"/>
    <col min="12808" max="12808" width="12.83203125" style="417" customWidth="1"/>
    <col min="12809" max="12809" width="5.9140625" style="417" customWidth="1"/>
    <col min="12810" max="12810" width="1.75" style="417" bestFit="1" customWidth="1"/>
    <col min="12811" max="12812" width="1.75" style="417" customWidth="1"/>
    <col min="12813" max="12813" width="1.9140625" style="417" bestFit="1" customWidth="1"/>
    <col min="12814" max="12814" width="1.75" style="417" bestFit="1" customWidth="1"/>
    <col min="12815" max="13057" width="6.83203125" style="417"/>
    <col min="13058" max="13058" width="13.58203125" style="417" customWidth="1"/>
    <col min="13059" max="13059" width="16.1640625" style="417" customWidth="1"/>
    <col min="13060" max="13060" width="16" style="417" bestFit="1" customWidth="1"/>
    <col min="13061" max="13061" width="5.1640625" style="417" bestFit="1" customWidth="1"/>
    <col min="13062" max="13062" width="22.4140625" style="417" customWidth="1"/>
    <col min="13063" max="13063" width="32.75" style="417" customWidth="1"/>
    <col min="13064" max="13064" width="12.83203125" style="417" customWidth="1"/>
    <col min="13065" max="13065" width="5.9140625" style="417" customWidth="1"/>
    <col min="13066" max="13066" width="1.75" style="417" bestFit="1" customWidth="1"/>
    <col min="13067" max="13068" width="1.75" style="417" customWidth="1"/>
    <col min="13069" max="13069" width="1.9140625" style="417" bestFit="1" customWidth="1"/>
    <col min="13070" max="13070" width="1.75" style="417" bestFit="1" customWidth="1"/>
    <col min="13071" max="13313" width="6.83203125" style="417"/>
    <col min="13314" max="13314" width="13.58203125" style="417" customWidth="1"/>
    <col min="13315" max="13315" width="16.1640625" style="417" customWidth="1"/>
    <col min="13316" max="13316" width="16" style="417" bestFit="1" customWidth="1"/>
    <col min="13317" max="13317" width="5.1640625" style="417" bestFit="1" customWidth="1"/>
    <col min="13318" max="13318" width="22.4140625" style="417" customWidth="1"/>
    <col min="13319" max="13319" width="32.75" style="417" customWidth="1"/>
    <col min="13320" max="13320" width="12.83203125" style="417" customWidth="1"/>
    <col min="13321" max="13321" width="5.9140625" style="417" customWidth="1"/>
    <col min="13322" max="13322" width="1.75" style="417" bestFit="1" customWidth="1"/>
    <col min="13323" max="13324" width="1.75" style="417" customWidth="1"/>
    <col min="13325" max="13325" width="1.9140625" style="417" bestFit="1" customWidth="1"/>
    <col min="13326" max="13326" width="1.75" style="417" bestFit="1" customWidth="1"/>
    <col min="13327" max="13569" width="6.83203125" style="417"/>
    <col min="13570" max="13570" width="13.58203125" style="417" customWidth="1"/>
    <col min="13571" max="13571" width="16.1640625" style="417" customWidth="1"/>
    <col min="13572" max="13572" width="16" style="417" bestFit="1" customWidth="1"/>
    <col min="13573" max="13573" width="5.1640625" style="417" bestFit="1" customWidth="1"/>
    <col min="13574" max="13574" width="22.4140625" style="417" customWidth="1"/>
    <col min="13575" max="13575" width="32.75" style="417" customWidth="1"/>
    <col min="13576" max="13576" width="12.83203125" style="417" customWidth="1"/>
    <col min="13577" max="13577" width="5.9140625" style="417" customWidth="1"/>
    <col min="13578" max="13578" width="1.75" style="417" bestFit="1" customWidth="1"/>
    <col min="13579" max="13580" width="1.75" style="417" customWidth="1"/>
    <col min="13581" max="13581" width="1.9140625" style="417" bestFit="1" customWidth="1"/>
    <col min="13582" max="13582" width="1.75" style="417" bestFit="1" customWidth="1"/>
    <col min="13583" max="13825" width="6.83203125" style="417"/>
    <col min="13826" max="13826" width="13.58203125" style="417" customWidth="1"/>
    <col min="13827" max="13827" width="16.1640625" style="417" customWidth="1"/>
    <col min="13828" max="13828" width="16" style="417" bestFit="1" customWidth="1"/>
    <col min="13829" max="13829" width="5.1640625" style="417" bestFit="1" customWidth="1"/>
    <col min="13830" max="13830" width="22.4140625" style="417" customWidth="1"/>
    <col min="13831" max="13831" width="32.75" style="417" customWidth="1"/>
    <col min="13832" max="13832" width="12.83203125" style="417" customWidth="1"/>
    <col min="13833" max="13833" width="5.9140625" style="417" customWidth="1"/>
    <col min="13834" max="13834" width="1.75" style="417" bestFit="1" customWidth="1"/>
    <col min="13835" max="13836" width="1.75" style="417" customWidth="1"/>
    <col min="13837" max="13837" width="1.9140625" style="417" bestFit="1" customWidth="1"/>
    <col min="13838" max="13838" width="1.75" style="417" bestFit="1" customWidth="1"/>
    <col min="13839" max="14081" width="6.83203125" style="417"/>
    <col min="14082" max="14082" width="13.58203125" style="417" customWidth="1"/>
    <col min="14083" max="14083" width="16.1640625" style="417" customWidth="1"/>
    <col min="14084" max="14084" width="16" style="417" bestFit="1" customWidth="1"/>
    <col min="14085" max="14085" width="5.1640625" style="417" bestFit="1" customWidth="1"/>
    <col min="14086" max="14086" width="22.4140625" style="417" customWidth="1"/>
    <col min="14087" max="14087" width="32.75" style="417" customWidth="1"/>
    <col min="14088" max="14088" width="12.83203125" style="417" customWidth="1"/>
    <col min="14089" max="14089" width="5.9140625" style="417" customWidth="1"/>
    <col min="14090" max="14090" width="1.75" style="417" bestFit="1" customWidth="1"/>
    <col min="14091" max="14092" width="1.75" style="417" customWidth="1"/>
    <col min="14093" max="14093" width="1.9140625" style="417" bestFit="1" customWidth="1"/>
    <col min="14094" max="14094" width="1.75" style="417" bestFit="1" customWidth="1"/>
    <col min="14095" max="14337" width="6.83203125" style="417"/>
    <col min="14338" max="14338" width="13.58203125" style="417" customWidth="1"/>
    <col min="14339" max="14339" width="16.1640625" style="417" customWidth="1"/>
    <col min="14340" max="14340" width="16" style="417" bestFit="1" customWidth="1"/>
    <col min="14341" max="14341" width="5.1640625" style="417" bestFit="1" customWidth="1"/>
    <col min="14342" max="14342" width="22.4140625" style="417" customWidth="1"/>
    <col min="14343" max="14343" width="32.75" style="417" customWidth="1"/>
    <col min="14344" max="14344" width="12.83203125" style="417" customWidth="1"/>
    <col min="14345" max="14345" width="5.9140625" style="417" customWidth="1"/>
    <col min="14346" max="14346" width="1.75" style="417" bestFit="1" customWidth="1"/>
    <col min="14347" max="14348" width="1.75" style="417" customWidth="1"/>
    <col min="14349" max="14349" width="1.9140625" style="417" bestFit="1" customWidth="1"/>
    <col min="14350" max="14350" width="1.75" style="417" bestFit="1" customWidth="1"/>
    <col min="14351" max="14593" width="6.83203125" style="417"/>
    <col min="14594" max="14594" width="13.58203125" style="417" customWidth="1"/>
    <col min="14595" max="14595" width="16.1640625" style="417" customWidth="1"/>
    <col min="14596" max="14596" width="16" style="417" bestFit="1" customWidth="1"/>
    <col min="14597" max="14597" width="5.1640625" style="417" bestFit="1" customWidth="1"/>
    <col min="14598" max="14598" width="22.4140625" style="417" customWidth="1"/>
    <col min="14599" max="14599" width="32.75" style="417" customWidth="1"/>
    <col min="14600" max="14600" width="12.83203125" style="417" customWidth="1"/>
    <col min="14601" max="14601" width="5.9140625" style="417" customWidth="1"/>
    <col min="14602" max="14602" width="1.75" style="417" bestFit="1" customWidth="1"/>
    <col min="14603" max="14604" width="1.75" style="417" customWidth="1"/>
    <col min="14605" max="14605" width="1.9140625" style="417" bestFit="1" customWidth="1"/>
    <col min="14606" max="14606" width="1.75" style="417" bestFit="1" customWidth="1"/>
    <col min="14607" max="14849" width="6.83203125" style="417"/>
    <col min="14850" max="14850" width="13.58203125" style="417" customWidth="1"/>
    <col min="14851" max="14851" width="16.1640625" style="417" customWidth="1"/>
    <col min="14852" max="14852" width="16" style="417" bestFit="1" customWidth="1"/>
    <col min="14853" max="14853" width="5.1640625" style="417" bestFit="1" customWidth="1"/>
    <col min="14854" max="14854" width="22.4140625" style="417" customWidth="1"/>
    <col min="14855" max="14855" width="32.75" style="417" customWidth="1"/>
    <col min="14856" max="14856" width="12.83203125" style="417" customWidth="1"/>
    <col min="14857" max="14857" width="5.9140625" style="417" customWidth="1"/>
    <col min="14858" max="14858" width="1.75" style="417" bestFit="1" customWidth="1"/>
    <col min="14859" max="14860" width="1.75" style="417" customWidth="1"/>
    <col min="14861" max="14861" width="1.9140625" style="417" bestFit="1" customWidth="1"/>
    <col min="14862" max="14862" width="1.75" style="417" bestFit="1" customWidth="1"/>
    <col min="14863" max="15105" width="6.83203125" style="417"/>
    <col min="15106" max="15106" width="13.58203125" style="417" customWidth="1"/>
    <col min="15107" max="15107" width="16.1640625" style="417" customWidth="1"/>
    <col min="15108" max="15108" width="16" style="417" bestFit="1" customWidth="1"/>
    <col min="15109" max="15109" width="5.1640625" style="417" bestFit="1" customWidth="1"/>
    <col min="15110" max="15110" width="22.4140625" style="417" customWidth="1"/>
    <col min="15111" max="15111" width="32.75" style="417" customWidth="1"/>
    <col min="15112" max="15112" width="12.83203125" style="417" customWidth="1"/>
    <col min="15113" max="15113" width="5.9140625" style="417" customWidth="1"/>
    <col min="15114" max="15114" width="1.75" style="417" bestFit="1" customWidth="1"/>
    <col min="15115" max="15116" width="1.75" style="417" customWidth="1"/>
    <col min="15117" max="15117" width="1.9140625" style="417" bestFit="1" customWidth="1"/>
    <col min="15118" max="15118" width="1.75" style="417" bestFit="1" customWidth="1"/>
    <col min="15119" max="15361" width="6.83203125" style="417"/>
    <col min="15362" max="15362" width="13.58203125" style="417" customWidth="1"/>
    <col min="15363" max="15363" width="16.1640625" style="417" customWidth="1"/>
    <col min="15364" max="15364" width="16" style="417" bestFit="1" customWidth="1"/>
    <col min="15365" max="15365" width="5.1640625" style="417" bestFit="1" customWidth="1"/>
    <col min="15366" max="15366" width="22.4140625" style="417" customWidth="1"/>
    <col min="15367" max="15367" width="32.75" style="417" customWidth="1"/>
    <col min="15368" max="15368" width="12.83203125" style="417" customWidth="1"/>
    <col min="15369" max="15369" width="5.9140625" style="417" customWidth="1"/>
    <col min="15370" max="15370" width="1.75" style="417" bestFit="1" customWidth="1"/>
    <col min="15371" max="15372" width="1.75" style="417" customWidth="1"/>
    <col min="15373" max="15373" width="1.9140625" style="417" bestFit="1" customWidth="1"/>
    <col min="15374" max="15374" width="1.75" style="417" bestFit="1" customWidth="1"/>
    <col min="15375" max="15617" width="6.83203125" style="417"/>
    <col min="15618" max="15618" width="13.58203125" style="417" customWidth="1"/>
    <col min="15619" max="15619" width="16.1640625" style="417" customWidth="1"/>
    <col min="15620" max="15620" width="16" style="417" bestFit="1" customWidth="1"/>
    <col min="15621" max="15621" width="5.1640625" style="417" bestFit="1" customWidth="1"/>
    <col min="15622" max="15622" width="22.4140625" style="417" customWidth="1"/>
    <col min="15623" max="15623" width="32.75" style="417" customWidth="1"/>
    <col min="15624" max="15624" width="12.83203125" style="417" customWidth="1"/>
    <col min="15625" max="15625" width="5.9140625" style="417" customWidth="1"/>
    <col min="15626" max="15626" width="1.75" style="417" bestFit="1" customWidth="1"/>
    <col min="15627" max="15628" width="1.75" style="417" customWidth="1"/>
    <col min="15629" max="15629" width="1.9140625" style="417" bestFit="1" customWidth="1"/>
    <col min="15630" max="15630" width="1.75" style="417" bestFit="1" customWidth="1"/>
    <col min="15631" max="15873" width="6.83203125" style="417"/>
    <col min="15874" max="15874" width="13.58203125" style="417" customWidth="1"/>
    <col min="15875" max="15875" width="16.1640625" style="417" customWidth="1"/>
    <col min="15876" max="15876" width="16" style="417" bestFit="1" customWidth="1"/>
    <col min="15877" max="15877" width="5.1640625" style="417" bestFit="1" customWidth="1"/>
    <col min="15878" max="15878" width="22.4140625" style="417" customWidth="1"/>
    <col min="15879" max="15879" width="32.75" style="417" customWidth="1"/>
    <col min="15880" max="15880" width="12.83203125" style="417" customWidth="1"/>
    <col min="15881" max="15881" width="5.9140625" style="417" customWidth="1"/>
    <col min="15882" max="15882" width="1.75" style="417" bestFit="1" customWidth="1"/>
    <col min="15883" max="15884" width="1.75" style="417" customWidth="1"/>
    <col min="15885" max="15885" width="1.9140625" style="417" bestFit="1" customWidth="1"/>
    <col min="15886" max="15886" width="1.75" style="417" bestFit="1" customWidth="1"/>
    <col min="15887" max="16129" width="6.83203125" style="417"/>
    <col min="16130" max="16130" width="13.58203125" style="417" customWidth="1"/>
    <col min="16131" max="16131" width="16.1640625" style="417" customWidth="1"/>
    <col min="16132" max="16132" width="16" style="417" bestFit="1" customWidth="1"/>
    <col min="16133" max="16133" width="5.1640625" style="417" bestFit="1" customWidth="1"/>
    <col min="16134" max="16134" width="22.4140625" style="417" customWidth="1"/>
    <col min="16135" max="16135" width="32.75" style="417" customWidth="1"/>
    <col min="16136" max="16136" width="12.83203125" style="417" customWidth="1"/>
    <col min="16137" max="16137" width="5.9140625" style="417" customWidth="1"/>
    <col min="16138" max="16138" width="1.75" style="417" bestFit="1" customWidth="1"/>
    <col min="16139" max="16140" width="1.75" style="417" customWidth="1"/>
    <col min="16141" max="16141" width="1.9140625" style="417" bestFit="1" customWidth="1"/>
    <col min="16142" max="16142" width="1.75" style="417" bestFit="1" customWidth="1"/>
    <col min="16143" max="16384" width="6.83203125" style="417"/>
  </cols>
  <sheetData>
    <row r="1" spans="2:14" ht="12.75" customHeight="1">
      <c r="B1" s="412"/>
      <c r="C1" s="413"/>
      <c r="D1" s="413"/>
      <c r="E1" s="413"/>
      <c r="F1" s="413"/>
      <c r="G1" s="413"/>
      <c r="H1" s="414"/>
      <c r="I1" s="415"/>
      <c r="J1" s="416" t="s">
        <v>431</v>
      </c>
      <c r="K1" s="416" t="s">
        <v>432</v>
      </c>
      <c r="L1" s="416" t="s">
        <v>433</v>
      </c>
      <c r="M1" s="416" t="s">
        <v>432</v>
      </c>
      <c r="N1" s="416"/>
    </row>
    <row r="2" spans="2:14" ht="12.75" customHeight="1">
      <c r="B2" s="855" t="s">
        <v>434</v>
      </c>
      <c r="C2" s="856"/>
      <c r="D2" s="856"/>
      <c r="E2" s="856"/>
      <c r="F2" s="856"/>
      <c r="G2" s="856"/>
      <c r="H2" s="420"/>
      <c r="I2" s="421"/>
      <c r="J2" s="422" t="s">
        <v>435</v>
      </c>
      <c r="K2" s="422" t="s">
        <v>436</v>
      </c>
      <c r="L2" s="422" t="s">
        <v>437</v>
      </c>
      <c r="M2" s="422" t="s">
        <v>438</v>
      </c>
      <c r="N2" s="422" t="s">
        <v>439</v>
      </c>
    </row>
    <row r="3" spans="2:14" ht="12.75" customHeight="1">
      <c r="B3" s="855"/>
      <c r="C3" s="856"/>
      <c r="D3" s="856"/>
      <c r="E3" s="856"/>
      <c r="F3" s="856"/>
      <c r="G3" s="856"/>
      <c r="H3" s="420"/>
      <c r="I3" s="421"/>
      <c r="J3" s="422" t="s">
        <v>440</v>
      </c>
      <c r="K3" s="422"/>
      <c r="L3" s="422" t="s">
        <v>441</v>
      </c>
      <c r="M3" s="422" t="s">
        <v>431</v>
      </c>
      <c r="N3" s="422"/>
    </row>
    <row r="4" spans="2:14" ht="12.75" customHeight="1">
      <c r="B4" s="855"/>
      <c r="C4" s="856"/>
      <c r="D4" s="856"/>
      <c r="E4" s="856"/>
      <c r="F4" s="856"/>
      <c r="G4" s="856"/>
      <c r="H4" s="420"/>
      <c r="I4" s="421"/>
      <c r="J4" s="422" t="s">
        <v>383</v>
      </c>
      <c r="K4" s="422"/>
      <c r="L4" s="422" t="s">
        <v>437</v>
      </c>
      <c r="M4" s="422" t="s">
        <v>435</v>
      </c>
      <c r="N4" s="422"/>
    </row>
    <row r="5" spans="2:14" ht="12.75" customHeight="1">
      <c r="B5" s="418"/>
      <c r="C5" s="419"/>
      <c r="D5" s="419"/>
      <c r="E5" s="419"/>
      <c r="F5" s="419"/>
      <c r="G5" s="419"/>
      <c r="H5" s="420"/>
      <c r="I5" s="421"/>
      <c r="J5" s="422"/>
      <c r="K5" s="422" t="s">
        <v>442</v>
      </c>
      <c r="L5" s="422" t="s">
        <v>432</v>
      </c>
      <c r="M5" s="422"/>
      <c r="N5" s="422" t="s">
        <v>437</v>
      </c>
    </row>
    <row r="6" spans="2:14" ht="12" customHeight="1">
      <c r="B6" s="423"/>
      <c r="C6" s="424"/>
      <c r="D6" s="424"/>
      <c r="F6" s="424"/>
      <c r="H6" s="425"/>
      <c r="I6" s="421"/>
      <c r="J6" s="422" t="s">
        <v>436</v>
      </c>
      <c r="K6" s="422" t="s">
        <v>443</v>
      </c>
      <c r="L6" s="422"/>
      <c r="M6" s="422" t="s">
        <v>432</v>
      </c>
      <c r="N6" s="422" t="s">
        <v>444</v>
      </c>
    </row>
    <row r="7" spans="2:14" ht="12.75" customHeight="1">
      <c r="B7" s="423"/>
      <c r="D7" s="426"/>
      <c r="H7" s="425"/>
      <c r="I7" s="421"/>
      <c r="J7" s="422" t="s">
        <v>445</v>
      </c>
      <c r="K7" s="422" t="s">
        <v>440</v>
      </c>
      <c r="L7" s="422" t="s">
        <v>440</v>
      </c>
      <c r="M7" s="422" t="s">
        <v>435</v>
      </c>
      <c r="N7" s="422" t="s">
        <v>446</v>
      </c>
    </row>
    <row r="8" spans="2:14" ht="12.75" customHeight="1">
      <c r="B8" s="423"/>
      <c r="G8" s="426"/>
      <c r="H8" s="427"/>
      <c r="I8" s="422" t="s">
        <v>446</v>
      </c>
      <c r="J8" s="422" t="s">
        <v>432</v>
      </c>
      <c r="K8" s="422" t="s">
        <v>447</v>
      </c>
      <c r="L8" s="422" t="s">
        <v>435</v>
      </c>
      <c r="M8" s="422" t="s">
        <v>446</v>
      </c>
      <c r="N8" s="422" t="s">
        <v>443</v>
      </c>
    </row>
    <row r="9" spans="2:14">
      <c r="B9" s="422" t="s">
        <v>448</v>
      </c>
      <c r="C9" s="427" t="s">
        <v>449</v>
      </c>
      <c r="D9" s="427" t="s">
        <v>450</v>
      </c>
      <c r="E9" s="427" t="s">
        <v>451</v>
      </c>
      <c r="F9" s="422" t="s">
        <v>452</v>
      </c>
      <c r="G9" s="422" t="s">
        <v>453</v>
      </c>
      <c r="H9" s="422" t="s">
        <v>454</v>
      </c>
      <c r="I9" s="422" t="s">
        <v>383</v>
      </c>
      <c r="J9" s="422" t="s">
        <v>445</v>
      </c>
      <c r="K9" s="422" t="s">
        <v>435</v>
      </c>
      <c r="L9" s="422" t="s">
        <v>447</v>
      </c>
      <c r="M9" s="422" t="s">
        <v>432</v>
      </c>
      <c r="N9" s="422" t="s">
        <v>433</v>
      </c>
    </row>
    <row r="10" spans="2:14" ht="15" customHeight="1">
      <c r="B10" s="428"/>
      <c r="C10" s="429"/>
      <c r="D10" s="429"/>
      <c r="E10" s="429"/>
      <c r="F10" s="430"/>
      <c r="G10" s="431"/>
      <c r="H10" s="431"/>
      <c r="I10" s="432"/>
      <c r="J10" s="433"/>
      <c r="K10" s="433"/>
      <c r="L10" s="433"/>
      <c r="M10" s="433"/>
      <c r="N10" s="434"/>
    </row>
    <row r="11" spans="2:14" ht="15" customHeight="1">
      <c r="B11" s="428"/>
      <c r="C11" s="430"/>
      <c r="D11" s="430"/>
      <c r="E11" s="430"/>
      <c r="F11" s="430"/>
      <c r="G11" s="430"/>
      <c r="H11" s="430"/>
      <c r="I11" s="435"/>
      <c r="J11" s="433"/>
      <c r="K11" s="433"/>
      <c r="L11" s="433"/>
      <c r="M11" s="433"/>
      <c r="N11" s="434"/>
    </row>
    <row r="12" spans="2:14" ht="15" customHeight="1">
      <c r="B12" s="428"/>
      <c r="C12" s="430"/>
      <c r="D12" s="430"/>
      <c r="E12" s="430"/>
      <c r="F12" s="430"/>
      <c r="G12" s="430"/>
      <c r="H12" s="430"/>
      <c r="I12" s="435"/>
      <c r="J12" s="436"/>
      <c r="K12" s="433"/>
      <c r="L12" s="433"/>
      <c r="M12" s="433"/>
      <c r="N12" s="434"/>
    </row>
    <row r="13" spans="2:14" ht="15" customHeight="1">
      <c r="B13" s="428"/>
      <c r="C13" s="430"/>
      <c r="D13" s="430"/>
      <c r="E13" s="430"/>
      <c r="F13" s="430"/>
      <c r="G13" s="430"/>
      <c r="H13" s="430"/>
      <c r="I13" s="435"/>
      <c r="J13" s="433"/>
      <c r="K13" s="433"/>
      <c r="L13" s="433"/>
      <c r="M13" s="433"/>
      <c r="N13" s="434"/>
    </row>
    <row r="14" spans="2:14" ht="15" customHeight="1">
      <c r="B14" s="428"/>
      <c r="C14" s="430"/>
      <c r="D14" s="430"/>
      <c r="E14" s="430"/>
      <c r="F14" s="430"/>
      <c r="G14" s="430"/>
      <c r="H14" s="430"/>
      <c r="I14" s="435"/>
      <c r="J14" s="433"/>
      <c r="K14" s="433"/>
      <c r="L14" s="433"/>
      <c r="M14" s="433"/>
      <c r="N14" s="434"/>
    </row>
    <row r="15" spans="2:14" ht="15" customHeight="1">
      <c r="B15" s="428"/>
      <c r="C15" s="430"/>
      <c r="D15" s="430"/>
      <c r="E15" s="430"/>
      <c r="F15" s="430"/>
      <c r="G15" s="430"/>
      <c r="H15" s="430"/>
      <c r="I15" s="435"/>
      <c r="J15" s="433"/>
      <c r="K15" s="433"/>
      <c r="L15" s="433"/>
      <c r="M15" s="433"/>
      <c r="N15" s="434"/>
    </row>
    <row r="16" spans="2:14" ht="15" customHeight="1">
      <c r="B16" s="428"/>
      <c r="C16" s="430"/>
      <c r="D16" s="430"/>
      <c r="E16" s="430"/>
      <c r="F16" s="430"/>
      <c r="G16" s="430"/>
      <c r="H16" s="430"/>
      <c r="I16" s="435"/>
      <c r="J16" s="433"/>
      <c r="K16" s="433"/>
      <c r="L16" s="433"/>
      <c r="M16" s="433"/>
      <c r="N16" s="434"/>
    </row>
    <row r="17" spans="2:14" ht="15" customHeight="1">
      <c r="B17" s="428"/>
      <c r="C17" s="430"/>
      <c r="D17" s="430"/>
      <c r="E17" s="430"/>
      <c r="F17" s="430"/>
      <c r="G17" s="430"/>
      <c r="H17" s="430"/>
      <c r="I17" s="435"/>
      <c r="J17" s="433"/>
      <c r="K17" s="433"/>
      <c r="L17" s="433"/>
      <c r="M17" s="433"/>
      <c r="N17" s="434"/>
    </row>
    <row r="18" spans="2:14" ht="15" customHeight="1">
      <c r="B18" s="428"/>
      <c r="C18" s="430"/>
      <c r="D18" s="430"/>
      <c r="E18" s="430"/>
      <c r="F18" s="430"/>
      <c r="G18" s="430"/>
      <c r="H18" s="430"/>
      <c r="I18" s="435"/>
      <c r="J18" s="433"/>
      <c r="K18" s="433"/>
      <c r="L18" s="433"/>
      <c r="M18" s="433"/>
      <c r="N18" s="434"/>
    </row>
    <row r="19" spans="2:14" ht="15" customHeight="1">
      <c r="B19" s="428"/>
      <c r="C19" s="430"/>
      <c r="D19" s="430"/>
      <c r="E19" s="430"/>
      <c r="F19" s="430"/>
      <c r="G19" s="430"/>
      <c r="H19" s="430"/>
      <c r="I19" s="435"/>
      <c r="J19" s="433"/>
      <c r="K19" s="433"/>
      <c r="L19" s="433"/>
      <c r="M19" s="433"/>
      <c r="N19" s="434"/>
    </row>
    <row r="20" spans="2:14" ht="15" customHeight="1">
      <c r="B20" s="428"/>
      <c r="C20" s="430"/>
      <c r="D20" s="430"/>
      <c r="E20" s="430"/>
      <c r="F20" s="430"/>
      <c r="G20" s="430"/>
      <c r="H20" s="430"/>
      <c r="I20" s="435"/>
      <c r="J20" s="433"/>
      <c r="K20" s="433"/>
      <c r="L20" s="433"/>
      <c r="M20" s="433"/>
      <c r="N20" s="434"/>
    </row>
    <row r="21" spans="2:14" ht="15" customHeight="1">
      <c r="B21" s="428"/>
      <c r="C21" s="430"/>
      <c r="D21" s="430"/>
      <c r="E21" s="430"/>
      <c r="F21" s="430"/>
      <c r="G21" s="430"/>
      <c r="H21" s="430"/>
      <c r="I21" s="435"/>
      <c r="J21" s="433"/>
      <c r="K21" s="433"/>
      <c r="L21" s="433"/>
      <c r="M21" s="433"/>
      <c r="N21" s="434"/>
    </row>
    <row r="22" spans="2:14" ht="15" customHeight="1">
      <c r="B22" s="428"/>
      <c r="C22" s="430"/>
      <c r="D22" s="430"/>
      <c r="E22" s="430"/>
      <c r="F22" s="430"/>
      <c r="G22" s="430"/>
      <c r="H22" s="430"/>
      <c r="I22" s="435"/>
      <c r="J22" s="433"/>
      <c r="K22" s="433"/>
      <c r="L22" s="433"/>
      <c r="M22" s="433"/>
      <c r="N22" s="434"/>
    </row>
    <row r="23" spans="2:14" ht="15" customHeight="1">
      <c r="B23" s="428"/>
      <c r="C23" s="430"/>
      <c r="D23" s="430"/>
      <c r="E23" s="430"/>
      <c r="F23" s="430"/>
      <c r="G23" s="430"/>
      <c r="H23" s="430"/>
      <c r="I23" s="435"/>
      <c r="J23" s="433"/>
      <c r="K23" s="433"/>
      <c r="L23" s="433"/>
      <c r="M23" s="433"/>
      <c r="N23" s="434"/>
    </row>
    <row r="24" spans="2:14" ht="15" customHeight="1">
      <c r="B24" s="428"/>
      <c r="C24" s="430"/>
      <c r="D24" s="430"/>
      <c r="E24" s="430"/>
      <c r="F24" s="430"/>
      <c r="G24" s="430"/>
      <c r="H24" s="430"/>
      <c r="I24" s="435"/>
      <c r="J24" s="433"/>
      <c r="K24" s="433"/>
      <c r="L24" s="433"/>
      <c r="M24" s="433"/>
      <c r="N24" s="434"/>
    </row>
    <row r="25" spans="2:14" ht="15" customHeight="1">
      <c r="B25" s="428"/>
      <c r="C25" s="430"/>
      <c r="D25" s="430"/>
      <c r="E25" s="430"/>
      <c r="F25" s="430"/>
      <c r="G25" s="430"/>
      <c r="H25" s="430"/>
      <c r="I25" s="435"/>
      <c r="J25" s="433"/>
      <c r="K25" s="433"/>
      <c r="L25" s="433"/>
      <c r="M25" s="433"/>
      <c r="N25" s="434"/>
    </row>
    <row r="26" spans="2:14" ht="15" customHeight="1">
      <c r="B26" s="428"/>
      <c r="C26" s="430"/>
      <c r="D26" s="430"/>
      <c r="E26" s="430"/>
      <c r="F26" s="430"/>
      <c r="G26" s="430"/>
      <c r="H26" s="430"/>
      <c r="I26" s="435"/>
      <c r="J26" s="433"/>
      <c r="K26" s="433"/>
      <c r="L26" s="433"/>
      <c r="M26" s="433"/>
      <c r="N26" s="434"/>
    </row>
    <row r="27" spans="2:14" ht="15" customHeight="1">
      <c r="B27" s="428"/>
      <c r="C27" s="430"/>
      <c r="D27" s="430"/>
      <c r="E27" s="430"/>
      <c r="F27" s="430"/>
      <c r="G27" s="430"/>
      <c r="H27" s="430"/>
      <c r="I27" s="435"/>
      <c r="J27" s="433"/>
      <c r="K27" s="433"/>
      <c r="L27" s="433"/>
      <c r="M27" s="433"/>
      <c r="N27" s="434"/>
    </row>
    <row r="28" spans="2:14" ht="15" customHeight="1">
      <c r="B28" s="428"/>
      <c r="C28" s="430"/>
      <c r="D28" s="430"/>
      <c r="E28" s="430"/>
      <c r="F28" s="430"/>
      <c r="G28" s="430"/>
      <c r="H28" s="430"/>
      <c r="I28" s="435"/>
      <c r="J28" s="433"/>
      <c r="K28" s="433"/>
      <c r="L28" s="433"/>
      <c r="M28" s="433"/>
      <c r="N28" s="434"/>
    </row>
    <row r="29" spans="2:14" ht="15" customHeight="1">
      <c r="B29" s="428"/>
      <c r="C29" s="430"/>
      <c r="D29" s="430"/>
      <c r="E29" s="430"/>
      <c r="F29" s="430"/>
      <c r="G29" s="430"/>
      <c r="H29" s="430"/>
      <c r="I29" s="435"/>
      <c r="J29" s="433"/>
      <c r="K29" s="433"/>
      <c r="L29" s="433"/>
      <c r="M29" s="433"/>
      <c r="N29" s="434"/>
    </row>
    <row r="30" spans="2:14" ht="15" customHeight="1">
      <c r="B30" s="428"/>
      <c r="C30" s="430"/>
      <c r="D30" s="430"/>
      <c r="E30" s="430"/>
      <c r="F30" s="430"/>
      <c r="G30" s="430"/>
      <c r="H30" s="430"/>
      <c r="I30" s="435"/>
      <c r="J30" s="433"/>
      <c r="K30" s="433"/>
      <c r="L30" s="433"/>
      <c r="M30" s="433"/>
      <c r="N30" s="434"/>
    </row>
    <row r="31" spans="2:14" ht="15" customHeight="1">
      <c r="B31" s="428"/>
      <c r="C31" s="430"/>
      <c r="D31" s="430"/>
      <c r="E31" s="430"/>
      <c r="F31" s="430"/>
      <c r="G31" s="430"/>
      <c r="H31" s="430"/>
      <c r="I31" s="435"/>
      <c r="J31" s="433"/>
      <c r="K31" s="433"/>
      <c r="L31" s="433"/>
      <c r="M31" s="433"/>
      <c r="N31" s="434"/>
    </row>
    <row r="32" spans="2:14" ht="15" customHeight="1">
      <c r="B32" s="428"/>
      <c r="C32" s="430"/>
      <c r="D32" s="430"/>
      <c r="E32" s="430"/>
      <c r="F32" s="430"/>
      <c r="G32" s="430"/>
      <c r="H32" s="430"/>
      <c r="I32" s="435"/>
      <c r="J32" s="433"/>
      <c r="K32" s="433"/>
      <c r="L32" s="433"/>
      <c r="M32" s="433"/>
      <c r="N32" s="434"/>
    </row>
    <row r="33" spans="2:14" ht="15" customHeight="1">
      <c r="B33" s="428"/>
      <c r="C33" s="430"/>
      <c r="D33" s="430"/>
      <c r="E33" s="430"/>
      <c r="F33" s="430"/>
      <c r="G33" s="430"/>
      <c r="H33" s="430"/>
      <c r="I33" s="435"/>
      <c r="J33" s="433"/>
      <c r="K33" s="433"/>
      <c r="L33" s="433"/>
      <c r="M33" s="433"/>
      <c r="N33" s="434"/>
    </row>
    <row r="34" spans="2:14" ht="15" customHeight="1">
      <c r="B34" s="428"/>
      <c r="C34" s="430"/>
      <c r="D34" s="430"/>
      <c r="E34" s="430"/>
      <c r="F34" s="430"/>
      <c r="G34" s="430"/>
      <c r="H34" s="430"/>
      <c r="I34" s="435"/>
      <c r="J34" s="433"/>
      <c r="K34" s="433"/>
      <c r="L34" s="433"/>
      <c r="M34" s="433"/>
      <c r="N34" s="434"/>
    </row>
    <row r="35" spans="2:14" ht="15" customHeight="1">
      <c r="B35" s="428"/>
      <c r="C35" s="430"/>
      <c r="D35" s="430"/>
      <c r="E35" s="430"/>
      <c r="F35" s="430"/>
      <c r="G35" s="430"/>
      <c r="H35" s="430"/>
      <c r="I35" s="435"/>
      <c r="J35" s="433"/>
      <c r="K35" s="433"/>
      <c r="L35" s="433"/>
      <c r="M35" s="433"/>
      <c r="N35" s="434"/>
    </row>
    <row r="36" spans="2:14" ht="15" customHeight="1">
      <c r="B36" s="428"/>
      <c r="C36" s="430"/>
      <c r="D36" s="430"/>
      <c r="E36" s="430"/>
      <c r="F36" s="430"/>
      <c r="G36" s="430"/>
      <c r="H36" s="430"/>
      <c r="I36" s="435"/>
      <c r="J36" s="433"/>
      <c r="K36" s="433"/>
      <c r="L36" s="433"/>
      <c r="M36" s="433"/>
      <c r="N36" s="434"/>
    </row>
    <row r="37" spans="2:14" ht="15" customHeight="1">
      <c r="B37" s="428"/>
      <c r="C37" s="430"/>
      <c r="D37" s="430"/>
      <c r="E37" s="430"/>
      <c r="F37" s="430"/>
      <c r="G37" s="430"/>
      <c r="H37" s="430"/>
      <c r="I37" s="435"/>
      <c r="J37" s="433"/>
      <c r="K37" s="433"/>
      <c r="L37" s="433"/>
      <c r="M37" s="433"/>
      <c r="N37" s="434"/>
    </row>
    <row r="38" spans="2:14" ht="15" customHeight="1">
      <c r="B38" s="428"/>
      <c r="C38" s="430"/>
      <c r="D38" s="430"/>
      <c r="E38" s="430"/>
      <c r="F38" s="430"/>
      <c r="G38" s="430"/>
      <c r="H38" s="430"/>
      <c r="I38" s="435"/>
      <c r="J38" s="433"/>
      <c r="K38" s="433"/>
      <c r="L38" s="433"/>
      <c r="M38" s="433"/>
      <c r="N38" s="434"/>
    </row>
    <row r="39" spans="2:14" ht="15" customHeight="1">
      <c r="B39" s="428"/>
      <c r="C39" s="430"/>
      <c r="D39" s="430"/>
      <c r="E39" s="430"/>
      <c r="F39" s="430"/>
      <c r="G39" s="430"/>
      <c r="H39" s="430"/>
      <c r="I39" s="435"/>
      <c r="J39" s="433"/>
      <c r="K39" s="433"/>
      <c r="L39" s="433"/>
      <c r="M39" s="433"/>
      <c r="N39" s="434"/>
    </row>
    <row r="40" spans="2:14" ht="15" customHeight="1">
      <c r="B40" s="428"/>
      <c r="C40" s="430"/>
      <c r="D40" s="430"/>
      <c r="E40" s="430"/>
      <c r="F40" s="430"/>
      <c r="G40" s="430"/>
      <c r="H40" s="430"/>
      <c r="I40" s="435"/>
      <c r="J40" s="433"/>
      <c r="K40" s="433"/>
      <c r="L40" s="433"/>
      <c r="M40" s="433"/>
      <c r="N40" s="434"/>
    </row>
    <row r="41" spans="2:14" ht="15" customHeight="1">
      <c r="B41" s="428"/>
      <c r="C41" s="430"/>
      <c r="D41" s="430"/>
      <c r="E41" s="430"/>
      <c r="F41" s="430"/>
      <c r="G41" s="430"/>
      <c r="H41" s="430"/>
      <c r="I41" s="435"/>
      <c r="J41" s="433"/>
      <c r="K41" s="433"/>
      <c r="L41" s="433"/>
      <c r="M41" s="433"/>
      <c r="N41" s="434"/>
    </row>
    <row r="42" spans="2:14" ht="15" customHeight="1">
      <c r="B42" s="428"/>
      <c r="C42" s="430"/>
      <c r="D42" s="430"/>
      <c r="E42" s="430"/>
      <c r="F42" s="430"/>
      <c r="G42" s="430"/>
      <c r="H42" s="430"/>
      <c r="I42" s="435"/>
      <c r="J42" s="433"/>
      <c r="K42" s="433"/>
      <c r="L42" s="433"/>
      <c r="M42" s="433"/>
      <c r="N42" s="434"/>
    </row>
    <row r="43" spans="2:14" ht="15" customHeight="1">
      <c r="B43" s="428"/>
      <c r="C43" s="430"/>
      <c r="D43" s="430"/>
      <c r="E43" s="430"/>
      <c r="F43" s="430"/>
      <c r="G43" s="430"/>
      <c r="H43" s="430"/>
      <c r="I43" s="435"/>
      <c r="J43" s="433"/>
      <c r="K43" s="433"/>
      <c r="L43" s="433"/>
      <c r="M43" s="433"/>
      <c r="N43" s="434"/>
    </row>
    <row r="44" spans="2:14" ht="15" customHeight="1">
      <c r="B44" s="428"/>
      <c r="C44" s="430"/>
      <c r="D44" s="430"/>
      <c r="E44" s="430"/>
      <c r="F44" s="430"/>
      <c r="G44" s="430"/>
      <c r="H44" s="430"/>
      <c r="I44" s="435"/>
      <c r="J44" s="433"/>
      <c r="K44" s="433"/>
      <c r="L44" s="433"/>
      <c r="M44" s="433"/>
      <c r="N44" s="434"/>
    </row>
    <row r="45" spans="2:14" ht="15" customHeight="1">
      <c r="B45" s="428"/>
      <c r="C45" s="430"/>
      <c r="D45" s="430"/>
      <c r="E45" s="430"/>
      <c r="F45" s="430"/>
      <c r="G45" s="430"/>
      <c r="H45" s="430"/>
      <c r="I45" s="435"/>
      <c r="J45" s="433"/>
      <c r="K45" s="433"/>
      <c r="L45" s="433"/>
      <c r="M45" s="433"/>
      <c r="N45" s="434"/>
    </row>
    <row r="46" spans="2:14" ht="15" customHeight="1">
      <c r="B46" s="428"/>
      <c r="C46" s="430"/>
      <c r="D46" s="430"/>
      <c r="E46" s="430"/>
      <c r="F46" s="430"/>
      <c r="G46" s="430"/>
      <c r="H46" s="430"/>
      <c r="I46" s="435"/>
      <c r="J46" s="433"/>
      <c r="K46" s="433"/>
      <c r="L46" s="433"/>
      <c r="M46" s="433"/>
      <c r="N46" s="434"/>
    </row>
    <row r="47" spans="2:14" ht="15" customHeight="1">
      <c r="B47" s="428"/>
      <c r="C47" s="430"/>
      <c r="D47" s="430"/>
      <c r="E47" s="430"/>
      <c r="F47" s="430"/>
      <c r="G47" s="430"/>
      <c r="H47" s="430"/>
      <c r="I47" s="435"/>
      <c r="J47" s="433"/>
      <c r="K47" s="433"/>
      <c r="L47" s="433"/>
      <c r="M47" s="433"/>
      <c r="N47" s="434"/>
    </row>
    <row r="48" spans="2:14" ht="15" customHeight="1">
      <c r="B48" s="428"/>
      <c r="C48" s="430"/>
      <c r="D48" s="430"/>
      <c r="E48" s="430"/>
      <c r="F48" s="430"/>
      <c r="G48" s="430"/>
      <c r="H48" s="430"/>
      <c r="I48" s="435"/>
      <c r="J48" s="433"/>
      <c r="K48" s="433"/>
      <c r="L48" s="433"/>
      <c r="M48" s="433"/>
      <c r="N48" s="434"/>
    </row>
    <row r="49" spans="2:14" ht="15" customHeight="1">
      <c r="B49" s="428"/>
      <c r="C49" s="430"/>
      <c r="D49" s="430"/>
      <c r="E49" s="430"/>
      <c r="F49" s="430"/>
      <c r="G49" s="430"/>
      <c r="H49" s="430"/>
      <c r="I49" s="435"/>
      <c r="J49" s="433"/>
      <c r="K49" s="433"/>
      <c r="L49" s="433"/>
      <c r="M49" s="433"/>
      <c r="N49" s="434"/>
    </row>
    <row r="50" spans="2:14" ht="15" customHeight="1">
      <c r="B50" s="428"/>
      <c r="C50" s="430"/>
      <c r="D50" s="430"/>
      <c r="E50" s="430"/>
      <c r="F50" s="430"/>
      <c r="G50" s="430"/>
      <c r="H50" s="430"/>
      <c r="I50" s="435"/>
      <c r="J50" s="433"/>
      <c r="K50" s="433"/>
      <c r="L50" s="433"/>
      <c r="M50" s="433"/>
      <c r="N50" s="434"/>
    </row>
    <row r="51" spans="2:14" ht="15" customHeight="1">
      <c r="B51" s="428"/>
      <c r="C51" s="430"/>
      <c r="D51" s="430"/>
      <c r="E51" s="430"/>
      <c r="F51" s="430"/>
      <c r="G51" s="430"/>
      <c r="H51" s="430"/>
      <c r="I51" s="435"/>
      <c r="J51" s="433"/>
      <c r="K51" s="433"/>
      <c r="L51" s="433"/>
      <c r="M51" s="433"/>
      <c r="N51" s="434"/>
    </row>
    <row r="52" spans="2:14" ht="15" customHeight="1" thickBot="1">
      <c r="B52" s="437"/>
      <c r="C52" s="438"/>
      <c r="D52" s="438"/>
      <c r="E52" s="438"/>
      <c r="F52" s="438"/>
      <c r="G52" s="438"/>
      <c r="H52" s="438"/>
      <c r="I52" s="439"/>
      <c r="J52" s="440"/>
      <c r="K52" s="440"/>
      <c r="L52" s="440"/>
      <c r="M52" s="440"/>
      <c r="N52" s="441"/>
    </row>
    <row r="53" spans="2:14" ht="20.25" customHeight="1" thickBot="1">
      <c r="B53" s="857" t="s">
        <v>455</v>
      </c>
      <c r="C53" s="857"/>
      <c r="D53" s="857"/>
      <c r="E53" s="857"/>
      <c r="F53" s="857"/>
      <c r="G53" s="857"/>
      <c r="H53" s="857"/>
      <c r="I53" s="857"/>
      <c r="J53" s="857"/>
      <c r="K53" s="857"/>
      <c r="L53" s="857"/>
      <c r="M53" s="857"/>
      <c r="N53" s="857"/>
    </row>
    <row r="54" spans="2:14" ht="15" customHeight="1" thickBot="1">
      <c r="B54" s="442" t="s">
        <v>456</v>
      </c>
      <c r="C54" s="858" t="s">
        <v>453</v>
      </c>
      <c r="D54" s="859"/>
      <c r="E54" s="859"/>
      <c r="F54" s="859"/>
      <c r="G54" s="859"/>
      <c r="H54" s="443"/>
      <c r="I54" s="858" t="s">
        <v>448</v>
      </c>
      <c r="J54" s="859"/>
      <c r="K54" s="860"/>
      <c r="L54" s="858" t="s">
        <v>457</v>
      </c>
      <c r="M54" s="859"/>
      <c r="N54" s="861"/>
    </row>
    <row r="55" spans="2:14" ht="15" customHeight="1">
      <c r="B55" s="444"/>
      <c r="C55" s="862"/>
      <c r="D55" s="863"/>
      <c r="E55" s="863"/>
      <c r="F55" s="863"/>
      <c r="G55" s="863"/>
      <c r="H55" s="445"/>
      <c r="I55" s="864"/>
      <c r="J55" s="865"/>
      <c r="K55" s="866"/>
      <c r="L55" s="867"/>
      <c r="M55" s="868"/>
      <c r="N55" s="869"/>
    </row>
    <row r="56" spans="2:14" ht="15" customHeight="1">
      <c r="B56" s="446"/>
      <c r="C56" s="839"/>
      <c r="D56" s="840"/>
      <c r="E56" s="840"/>
      <c r="F56" s="840"/>
      <c r="G56" s="840"/>
      <c r="H56" s="447"/>
      <c r="I56" s="841"/>
      <c r="J56" s="842"/>
      <c r="K56" s="843"/>
      <c r="L56" s="844"/>
      <c r="M56" s="845"/>
      <c r="N56" s="846"/>
    </row>
    <row r="57" spans="2:14" ht="15" customHeight="1">
      <c r="B57" s="446"/>
      <c r="C57" s="839"/>
      <c r="D57" s="840"/>
      <c r="E57" s="840"/>
      <c r="F57" s="840"/>
      <c r="G57" s="840"/>
      <c r="H57" s="447"/>
      <c r="I57" s="841"/>
      <c r="J57" s="842"/>
      <c r="K57" s="843"/>
      <c r="L57" s="844"/>
      <c r="M57" s="845"/>
      <c r="N57" s="846"/>
    </row>
    <row r="58" spans="2:14" ht="15" customHeight="1">
      <c r="B58" s="446"/>
      <c r="C58" s="839"/>
      <c r="D58" s="840"/>
      <c r="E58" s="840"/>
      <c r="F58" s="840"/>
      <c r="G58" s="840"/>
      <c r="H58" s="447"/>
      <c r="I58" s="841"/>
      <c r="J58" s="842"/>
      <c r="K58" s="843"/>
      <c r="L58" s="844"/>
      <c r="M58" s="845"/>
      <c r="N58" s="846"/>
    </row>
    <row r="59" spans="2:14" ht="15" customHeight="1">
      <c r="B59" s="446"/>
      <c r="C59" s="839"/>
      <c r="D59" s="840"/>
      <c r="E59" s="840"/>
      <c r="F59" s="840"/>
      <c r="G59" s="840"/>
      <c r="H59" s="447"/>
      <c r="I59" s="841"/>
      <c r="J59" s="842"/>
      <c r="K59" s="843"/>
      <c r="L59" s="844"/>
      <c r="M59" s="845"/>
      <c r="N59" s="846"/>
    </row>
    <row r="60" spans="2:14" ht="15" customHeight="1">
      <c r="B60" s="446"/>
      <c r="C60" s="839"/>
      <c r="D60" s="840"/>
      <c r="E60" s="840"/>
      <c r="F60" s="840"/>
      <c r="G60" s="840"/>
      <c r="H60" s="447"/>
      <c r="I60" s="841"/>
      <c r="J60" s="842"/>
      <c r="K60" s="843"/>
      <c r="L60" s="844"/>
      <c r="M60" s="845"/>
      <c r="N60" s="846"/>
    </row>
    <row r="61" spans="2:14" ht="15" customHeight="1">
      <c r="B61" s="446"/>
      <c r="C61" s="839"/>
      <c r="D61" s="840"/>
      <c r="E61" s="840"/>
      <c r="F61" s="840"/>
      <c r="G61" s="840"/>
      <c r="H61" s="447"/>
      <c r="I61" s="841"/>
      <c r="J61" s="842"/>
      <c r="K61" s="843"/>
      <c r="L61" s="844"/>
      <c r="M61" s="845"/>
      <c r="N61" s="846"/>
    </row>
    <row r="62" spans="2:14" ht="15" customHeight="1">
      <c r="B62" s="446"/>
      <c r="C62" s="839"/>
      <c r="D62" s="840"/>
      <c r="E62" s="840"/>
      <c r="F62" s="840"/>
      <c r="G62" s="840"/>
      <c r="H62" s="447"/>
      <c r="I62" s="841"/>
      <c r="J62" s="842"/>
      <c r="K62" s="843"/>
      <c r="L62" s="844"/>
      <c r="M62" s="845"/>
      <c r="N62" s="846"/>
    </row>
    <row r="63" spans="2:14" ht="15" customHeight="1">
      <c r="B63" s="446"/>
      <c r="C63" s="839"/>
      <c r="D63" s="840"/>
      <c r="E63" s="840"/>
      <c r="F63" s="840"/>
      <c r="G63" s="840"/>
      <c r="H63" s="447"/>
      <c r="I63" s="841"/>
      <c r="J63" s="842"/>
      <c r="K63" s="843"/>
      <c r="L63" s="844"/>
      <c r="M63" s="845"/>
      <c r="N63" s="846"/>
    </row>
    <row r="64" spans="2:14" ht="15" customHeight="1">
      <c r="B64" s="446"/>
      <c r="C64" s="839"/>
      <c r="D64" s="840"/>
      <c r="E64" s="840"/>
      <c r="F64" s="840"/>
      <c r="G64" s="840"/>
      <c r="H64" s="447"/>
      <c r="I64" s="841"/>
      <c r="J64" s="842"/>
      <c r="K64" s="843"/>
      <c r="L64" s="844"/>
      <c r="M64" s="845"/>
      <c r="N64" s="846"/>
    </row>
    <row r="65" spans="2:14" ht="15" customHeight="1">
      <c r="B65" s="446"/>
      <c r="C65" s="839"/>
      <c r="D65" s="840"/>
      <c r="E65" s="840"/>
      <c r="F65" s="840"/>
      <c r="G65" s="840"/>
      <c r="H65" s="447"/>
      <c r="I65" s="841"/>
      <c r="J65" s="842"/>
      <c r="K65" s="843"/>
      <c r="L65" s="844"/>
      <c r="M65" s="845"/>
      <c r="N65" s="846"/>
    </row>
    <row r="66" spans="2:14" ht="15" customHeight="1">
      <c r="B66" s="446"/>
      <c r="C66" s="839"/>
      <c r="D66" s="840"/>
      <c r="E66" s="840"/>
      <c r="F66" s="840"/>
      <c r="G66" s="840"/>
      <c r="H66" s="447"/>
      <c r="I66" s="841"/>
      <c r="J66" s="842"/>
      <c r="K66" s="843"/>
      <c r="L66" s="844"/>
      <c r="M66" s="845"/>
      <c r="N66" s="846"/>
    </row>
    <row r="67" spans="2:14" ht="15" customHeight="1">
      <c r="B67" s="446"/>
      <c r="C67" s="839"/>
      <c r="D67" s="840"/>
      <c r="E67" s="840"/>
      <c r="F67" s="840"/>
      <c r="G67" s="840"/>
      <c r="H67" s="447"/>
      <c r="I67" s="841"/>
      <c r="J67" s="842"/>
      <c r="K67" s="843"/>
      <c r="L67" s="844"/>
      <c r="M67" s="845"/>
      <c r="N67" s="846"/>
    </row>
    <row r="68" spans="2:14" ht="15" customHeight="1">
      <c r="B68" s="446"/>
      <c r="C68" s="839"/>
      <c r="D68" s="840"/>
      <c r="E68" s="840"/>
      <c r="F68" s="840"/>
      <c r="G68" s="840"/>
      <c r="H68" s="447"/>
      <c r="I68" s="841"/>
      <c r="J68" s="842"/>
      <c r="K68" s="843"/>
      <c r="L68" s="844"/>
      <c r="M68" s="845"/>
      <c r="N68" s="846"/>
    </row>
    <row r="69" spans="2:14" ht="15" customHeight="1">
      <c r="B69" s="446"/>
      <c r="C69" s="839"/>
      <c r="D69" s="840"/>
      <c r="E69" s="840"/>
      <c r="F69" s="840"/>
      <c r="G69" s="840"/>
      <c r="H69" s="447"/>
      <c r="I69" s="841"/>
      <c r="J69" s="842"/>
      <c r="K69" s="843"/>
      <c r="L69" s="844"/>
      <c r="M69" s="845"/>
      <c r="N69" s="846"/>
    </row>
    <row r="70" spans="2:14" ht="15" customHeight="1">
      <c r="B70" s="446"/>
      <c r="C70" s="839"/>
      <c r="D70" s="840"/>
      <c r="E70" s="840"/>
      <c r="F70" s="840"/>
      <c r="G70" s="840"/>
      <c r="H70" s="447"/>
      <c r="I70" s="841"/>
      <c r="J70" s="842"/>
      <c r="K70" s="843"/>
      <c r="L70" s="844"/>
      <c r="M70" s="845"/>
      <c r="N70" s="846"/>
    </row>
    <row r="71" spans="2:14" ht="15" customHeight="1">
      <c r="B71" s="446"/>
      <c r="C71" s="839"/>
      <c r="D71" s="840"/>
      <c r="E71" s="840"/>
      <c r="F71" s="840"/>
      <c r="G71" s="840"/>
      <c r="H71" s="447"/>
      <c r="I71" s="841"/>
      <c r="J71" s="842"/>
      <c r="K71" s="843"/>
      <c r="L71" s="844"/>
      <c r="M71" s="845"/>
      <c r="N71" s="846"/>
    </row>
    <row r="72" spans="2:14">
      <c r="B72" s="446"/>
      <c r="C72" s="839"/>
      <c r="D72" s="840"/>
      <c r="E72" s="840"/>
      <c r="F72" s="840"/>
      <c r="G72" s="840"/>
      <c r="H72" s="447"/>
      <c r="I72" s="841"/>
      <c r="J72" s="842"/>
      <c r="K72" s="843"/>
      <c r="L72" s="844"/>
      <c r="M72" s="845"/>
      <c r="N72" s="846"/>
    </row>
    <row r="73" spans="2:14">
      <c r="B73" s="446"/>
      <c r="C73" s="839"/>
      <c r="D73" s="840"/>
      <c r="E73" s="840"/>
      <c r="F73" s="840"/>
      <c r="G73" s="840"/>
      <c r="H73" s="447"/>
      <c r="I73" s="841"/>
      <c r="J73" s="842"/>
      <c r="K73" s="843"/>
      <c r="L73" s="844"/>
      <c r="M73" s="845"/>
      <c r="N73" s="846"/>
    </row>
    <row r="74" spans="2:14">
      <c r="B74" s="446"/>
      <c r="C74" s="839"/>
      <c r="D74" s="840"/>
      <c r="E74" s="840"/>
      <c r="F74" s="840"/>
      <c r="G74" s="840"/>
      <c r="H74" s="447"/>
      <c r="I74" s="841"/>
      <c r="J74" s="842"/>
      <c r="K74" s="843"/>
      <c r="L74" s="844"/>
      <c r="M74" s="845"/>
      <c r="N74" s="846"/>
    </row>
    <row r="75" spans="2:14">
      <c r="B75" s="446"/>
      <c r="C75" s="839"/>
      <c r="D75" s="840"/>
      <c r="E75" s="840"/>
      <c r="F75" s="840"/>
      <c r="G75" s="840"/>
      <c r="H75" s="447"/>
      <c r="I75" s="841"/>
      <c r="J75" s="842"/>
      <c r="K75" s="843"/>
      <c r="L75" s="844"/>
      <c r="M75" s="845"/>
      <c r="N75" s="846"/>
    </row>
    <row r="76" spans="2:14">
      <c r="B76" s="446"/>
      <c r="C76" s="839"/>
      <c r="D76" s="840"/>
      <c r="E76" s="840"/>
      <c r="F76" s="840"/>
      <c r="G76" s="840"/>
      <c r="H76" s="447"/>
      <c r="I76" s="841"/>
      <c r="J76" s="842"/>
      <c r="K76" s="843"/>
      <c r="L76" s="844"/>
      <c r="M76" s="845"/>
      <c r="N76" s="846"/>
    </row>
    <row r="77" spans="2:14">
      <c r="B77" s="446"/>
      <c r="C77" s="839"/>
      <c r="D77" s="840"/>
      <c r="E77" s="840"/>
      <c r="F77" s="840"/>
      <c r="G77" s="840"/>
      <c r="H77" s="447"/>
      <c r="I77" s="841"/>
      <c r="J77" s="842"/>
      <c r="K77" s="843"/>
      <c r="L77" s="844"/>
      <c r="M77" s="845"/>
      <c r="N77" s="846"/>
    </row>
    <row r="78" spans="2:14">
      <c r="B78" s="446"/>
      <c r="C78" s="839"/>
      <c r="D78" s="840"/>
      <c r="E78" s="840"/>
      <c r="F78" s="840"/>
      <c r="G78" s="840"/>
      <c r="H78" s="447"/>
      <c r="I78" s="841"/>
      <c r="J78" s="842"/>
      <c r="K78" s="843"/>
      <c r="L78" s="844"/>
      <c r="M78" s="845"/>
      <c r="N78" s="846"/>
    </row>
    <row r="79" spans="2:14" ht="13.8" thickBot="1">
      <c r="B79" s="448"/>
      <c r="C79" s="847"/>
      <c r="D79" s="848"/>
      <c r="E79" s="848"/>
      <c r="F79" s="848"/>
      <c r="G79" s="848"/>
      <c r="H79" s="449"/>
      <c r="I79" s="849"/>
      <c r="J79" s="850"/>
      <c r="K79" s="851"/>
      <c r="L79" s="852"/>
      <c r="M79" s="853"/>
      <c r="N79" s="854"/>
    </row>
  </sheetData>
  <mergeCells count="80">
    <mergeCell ref="C55:G55"/>
    <mergeCell ref="I55:K55"/>
    <mergeCell ref="L55:N55"/>
    <mergeCell ref="B2:G4"/>
    <mergeCell ref="B53:N53"/>
    <mergeCell ref="C54:G54"/>
    <mergeCell ref="I54:K54"/>
    <mergeCell ref="L54:N54"/>
    <mergeCell ref="C56:G56"/>
    <mergeCell ref="I56:K56"/>
    <mergeCell ref="L56:N56"/>
    <mergeCell ref="C57:G57"/>
    <mergeCell ref="I57:K57"/>
    <mergeCell ref="L57:N57"/>
    <mergeCell ref="C58:G58"/>
    <mergeCell ref="I58:K58"/>
    <mergeCell ref="L58:N58"/>
    <mergeCell ref="C59:G59"/>
    <mergeCell ref="I59:K59"/>
    <mergeCell ref="L59:N59"/>
    <mergeCell ref="C60:G60"/>
    <mergeCell ref="I60:K60"/>
    <mergeCell ref="L60:N60"/>
    <mergeCell ref="C61:G61"/>
    <mergeCell ref="I61:K61"/>
    <mergeCell ref="L61:N61"/>
    <mergeCell ref="C62:G62"/>
    <mergeCell ref="I62:K62"/>
    <mergeCell ref="L62:N62"/>
    <mergeCell ref="C63:G63"/>
    <mergeCell ref="I63:K63"/>
    <mergeCell ref="L63:N63"/>
    <mergeCell ref="C64:G64"/>
    <mergeCell ref="I64:K64"/>
    <mergeCell ref="L64:N64"/>
    <mergeCell ref="C65:G65"/>
    <mergeCell ref="I65:K65"/>
    <mergeCell ref="L65:N65"/>
    <mergeCell ref="C66:G66"/>
    <mergeCell ref="I66:K66"/>
    <mergeCell ref="L66:N66"/>
    <mergeCell ref="C67:G67"/>
    <mergeCell ref="I67:K67"/>
    <mergeCell ref="L67:N67"/>
    <mergeCell ref="C68:G68"/>
    <mergeCell ref="I68:K68"/>
    <mergeCell ref="L68:N68"/>
    <mergeCell ref="C69:G69"/>
    <mergeCell ref="I69:K69"/>
    <mergeCell ref="L69:N69"/>
    <mergeCell ref="C70:G70"/>
    <mergeCell ref="I70:K70"/>
    <mergeCell ref="L70:N70"/>
    <mergeCell ref="C71:G71"/>
    <mergeCell ref="I71:K71"/>
    <mergeCell ref="L71:N71"/>
    <mergeCell ref="C72:G72"/>
    <mergeCell ref="I72:K72"/>
    <mergeCell ref="L72:N72"/>
    <mergeCell ref="C73:G73"/>
    <mergeCell ref="I73:K73"/>
    <mergeCell ref="L73:N73"/>
    <mergeCell ref="C74:G74"/>
    <mergeCell ref="I74:K74"/>
    <mergeCell ref="L74:N74"/>
    <mergeCell ref="C75:G75"/>
    <mergeCell ref="I75:K75"/>
    <mergeCell ref="L75:N75"/>
    <mergeCell ref="C76:G76"/>
    <mergeCell ref="I76:K76"/>
    <mergeCell ref="L76:N76"/>
    <mergeCell ref="C77:G77"/>
    <mergeCell ref="I77:K77"/>
    <mergeCell ref="L77:N77"/>
    <mergeCell ref="C78:G78"/>
    <mergeCell ref="I78:K78"/>
    <mergeCell ref="L78:N78"/>
    <mergeCell ref="C79:G79"/>
    <mergeCell ref="I79:K79"/>
    <mergeCell ref="L79:N79"/>
  </mergeCells>
  <printOptions horizontalCentered="1"/>
  <pageMargins left="0" right="0" top="0.5" bottom="0.5" header="0.5" footer="0.5"/>
  <pageSetup scale="53"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A2521-26D4-44D1-B5A7-D0A4B0B484D8}">
  <sheetPr>
    <pageSetUpPr fitToPage="1"/>
  </sheetPr>
  <dimension ref="A1:G31"/>
  <sheetViews>
    <sheetView workbookViewId="0">
      <selection activeCell="C12" sqref="C12"/>
    </sheetView>
  </sheetViews>
  <sheetFormatPr defaultRowHeight="13.2"/>
  <cols>
    <col min="1" max="6" width="11" style="82" customWidth="1"/>
    <col min="7" max="256" width="8.6640625" style="82"/>
    <col min="257" max="262" width="11" style="82" customWidth="1"/>
    <col min="263" max="512" width="8.6640625" style="82"/>
    <col min="513" max="518" width="11" style="82" customWidth="1"/>
    <col min="519" max="768" width="8.6640625" style="82"/>
    <col min="769" max="774" width="11" style="82" customWidth="1"/>
    <col min="775" max="1024" width="8.6640625" style="82"/>
    <col min="1025" max="1030" width="11" style="82" customWidth="1"/>
    <col min="1031" max="1280" width="8.6640625" style="82"/>
    <col min="1281" max="1286" width="11" style="82" customWidth="1"/>
    <col min="1287" max="1536" width="8.6640625" style="82"/>
    <col min="1537" max="1542" width="11" style="82" customWidth="1"/>
    <col min="1543" max="1792" width="8.6640625" style="82"/>
    <col min="1793" max="1798" width="11" style="82" customWidth="1"/>
    <col min="1799" max="2048" width="8.6640625" style="82"/>
    <col min="2049" max="2054" width="11" style="82" customWidth="1"/>
    <col min="2055" max="2304" width="8.6640625" style="82"/>
    <col min="2305" max="2310" width="11" style="82" customWidth="1"/>
    <col min="2311" max="2560" width="8.6640625" style="82"/>
    <col min="2561" max="2566" width="11" style="82" customWidth="1"/>
    <col min="2567" max="2816" width="8.6640625" style="82"/>
    <col min="2817" max="2822" width="11" style="82" customWidth="1"/>
    <col min="2823" max="3072" width="8.6640625" style="82"/>
    <col min="3073" max="3078" width="11" style="82" customWidth="1"/>
    <col min="3079" max="3328" width="8.6640625" style="82"/>
    <col min="3329" max="3334" width="11" style="82" customWidth="1"/>
    <col min="3335" max="3584" width="8.6640625" style="82"/>
    <col min="3585" max="3590" width="11" style="82" customWidth="1"/>
    <col min="3591" max="3840" width="8.6640625" style="82"/>
    <col min="3841" max="3846" width="11" style="82" customWidth="1"/>
    <col min="3847" max="4096" width="8.6640625" style="82"/>
    <col min="4097" max="4102" width="11" style="82" customWidth="1"/>
    <col min="4103" max="4352" width="8.6640625" style="82"/>
    <col min="4353" max="4358" width="11" style="82" customWidth="1"/>
    <col min="4359" max="4608" width="8.6640625" style="82"/>
    <col min="4609" max="4614" width="11" style="82" customWidth="1"/>
    <col min="4615" max="4864" width="8.6640625" style="82"/>
    <col min="4865" max="4870" width="11" style="82" customWidth="1"/>
    <col min="4871" max="5120" width="8.6640625" style="82"/>
    <col min="5121" max="5126" width="11" style="82" customWidth="1"/>
    <col min="5127" max="5376" width="8.6640625" style="82"/>
    <col min="5377" max="5382" width="11" style="82" customWidth="1"/>
    <col min="5383" max="5632" width="8.6640625" style="82"/>
    <col min="5633" max="5638" width="11" style="82" customWidth="1"/>
    <col min="5639" max="5888" width="8.6640625" style="82"/>
    <col min="5889" max="5894" width="11" style="82" customWidth="1"/>
    <col min="5895" max="6144" width="8.6640625" style="82"/>
    <col min="6145" max="6150" width="11" style="82" customWidth="1"/>
    <col min="6151" max="6400" width="8.6640625" style="82"/>
    <col min="6401" max="6406" width="11" style="82" customWidth="1"/>
    <col min="6407" max="6656" width="8.6640625" style="82"/>
    <col min="6657" max="6662" width="11" style="82" customWidth="1"/>
    <col min="6663" max="6912" width="8.6640625" style="82"/>
    <col min="6913" max="6918" width="11" style="82" customWidth="1"/>
    <col min="6919" max="7168" width="8.6640625" style="82"/>
    <col min="7169" max="7174" width="11" style="82" customWidth="1"/>
    <col min="7175" max="7424" width="8.6640625" style="82"/>
    <col min="7425" max="7430" width="11" style="82" customWidth="1"/>
    <col min="7431" max="7680" width="8.6640625" style="82"/>
    <col min="7681" max="7686" width="11" style="82" customWidth="1"/>
    <col min="7687" max="7936" width="8.6640625" style="82"/>
    <col min="7937" max="7942" width="11" style="82" customWidth="1"/>
    <col min="7943" max="8192" width="8.6640625" style="82"/>
    <col min="8193" max="8198" width="11" style="82" customWidth="1"/>
    <col min="8199" max="8448" width="8.6640625" style="82"/>
    <col min="8449" max="8454" width="11" style="82" customWidth="1"/>
    <col min="8455" max="8704" width="8.6640625" style="82"/>
    <col min="8705" max="8710" width="11" style="82" customWidth="1"/>
    <col min="8711" max="8960" width="8.6640625" style="82"/>
    <col min="8961" max="8966" width="11" style="82" customWidth="1"/>
    <col min="8967" max="9216" width="8.6640625" style="82"/>
    <col min="9217" max="9222" width="11" style="82" customWidth="1"/>
    <col min="9223" max="9472" width="8.6640625" style="82"/>
    <col min="9473" max="9478" width="11" style="82" customWidth="1"/>
    <col min="9479" max="9728" width="8.6640625" style="82"/>
    <col min="9729" max="9734" width="11" style="82" customWidth="1"/>
    <col min="9735" max="9984" width="8.6640625" style="82"/>
    <col min="9985" max="9990" width="11" style="82" customWidth="1"/>
    <col min="9991" max="10240" width="8.6640625" style="82"/>
    <col min="10241" max="10246" width="11" style="82" customWidth="1"/>
    <col min="10247" max="10496" width="8.6640625" style="82"/>
    <col min="10497" max="10502" width="11" style="82" customWidth="1"/>
    <col min="10503" max="10752" width="8.6640625" style="82"/>
    <col min="10753" max="10758" width="11" style="82" customWidth="1"/>
    <col min="10759" max="11008" width="8.6640625" style="82"/>
    <col min="11009" max="11014" width="11" style="82" customWidth="1"/>
    <col min="11015" max="11264" width="8.6640625" style="82"/>
    <col min="11265" max="11270" width="11" style="82" customWidth="1"/>
    <col min="11271" max="11520" width="8.6640625" style="82"/>
    <col min="11521" max="11526" width="11" style="82" customWidth="1"/>
    <col min="11527" max="11776" width="8.6640625" style="82"/>
    <col min="11777" max="11782" width="11" style="82" customWidth="1"/>
    <col min="11783" max="12032" width="8.6640625" style="82"/>
    <col min="12033" max="12038" width="11" style="82" customWidth="1"/>
    <col min="12039" max="12288" width="8.6640625" style="82"/>
    <col min="12289" max="12294" width="11" style="82" customWidth="1"/>
    <col min="12295" max="12544" width="8.6640625" style="82"/>
    <col min="12545" max="12550" width="11" style="82" customWidth="1"/>
    <col min="12551" max="12800" width="8.6640625" style="82"/>
    <col min="12801" max="12806" width="11" style="82" customWidth="1"/>
    <col min="12807" max="13056" width="8.6640625" style="82"/>
    <col min="13057" max="13062" width="11" style="82" customWidth="1"/>
    <col min="13063" max="13312" width="8.6640625" style="82"/>
    <col min="13313" max="13318" width="11" style="82" customWidth="1"/>
    <col min="13319" max="13568" width="8.6640625" style="82"/>
    <col min="13569" max="13574" width="11" style="82" customWidth="1"/>
    <col min="13575" max="13824" width="8.6640625" style="82"/>
    <col min="13825" max="13830" width="11" style="82" customWidth="1"/>
    <col min="13831" max="14080" width="8.6640625" style="82"/>
    <col min="14081" max="14086" width="11" style="82" customWidth="1"/>
    <col min="14087" max="14336" width="8.6640625" style="82"/>
    <col min="14337" max="14342" width="11" style="82" customWidth="1"/>
    <col min="14343" max="14592" width="8.6640625" style="82"/>
    <col min="14593" max="14598" width="11" style="82" customWidth="1"/>
    <col min="14599" max="14848" width="8.6640625" style="82"/>
    <col min="14849" max="14854" width="11" style="82" customWidth="1"/>
    <col min="14855" max="15104" width="8.6640625" style="82"/>
    <col min="15105" max="15110" width="11" style="82" customWidth="1"/>
    <col min="15111" max="15360" width="8.6640625" style="82"/>
    <col min="15361" max="15366" width="11" style="82" customWidth="1"/>
    <col min="15367" max="15616" width="8.6640625" style="82"/>
    <col min="15617" max="15622" width="11" style="82" customWidth="1"/>
    <col min="15623" max="15872" width="8.6640625" style="82"/>
    <col min="15873" max="15878" width="11" style="82" customWidth="1"/>
    <col min="15879" max="16128" width="8.6640625" style="82"/>
    <col min="16129" max="16134" width="11" style="82" customWidth="1"/>
    <col min="16135" max="16384" width="8.6640625" style="82"/>
  </cols>
  <sheetData>
    <row r="1" spans="1:7" ht="20.399999999999999">
      <c r="A1" s="890" t="s">
        <v>458</v>
      </c>
      <c r="B1" s="890"/>
      <c r="C1" s="890"/>
      <c r="D1" s="890"/>
      <c r="E1" s="890"/>
      <c r="F1" s="890"/>
    </row>
    <row r="2" spans="1:7" ht="18" thickBot="1">
      <c r="A2" s="450"/>
      <c r="B2" s="450"/>
      <c r="C2" s="891" t="s">
        <v>459</v>
      </c>
      <c r="D2" s="891"/>
      <c r="E2" s="450"/>
      <c r="F2" s="450"/>
      <c r="G2" s="450"/>
    </row>
    <row r="3" spans="1:7" ht="18">
      <c r="A3" s="878" t="s">
        <v>460</v>
      </c>
      <c r="B3" s="879"/>
      <c r="C3" s="880"/>
      <c r="D3" s="878" t="s">
        <v>461</v>
      </c>
      <c r="E3" s="879"/>
      <c r="F3" s="880"/>
      <c r="G3" s="450"/>
    </row>
    <row r="4" spans="1:7" ht="16.2">
      <c r="A4" s="451" t="s">
        <v>462</v>
      </c>
      <c r="B4" s="892" t="s">
        <v>463</v>
      </c>
      <c r="C4" s="871"/>
      <c r="D4" s="893" t="s">
        <v>464</v>
      </c>
      <c r="E4" s="894"/>
      <c r="F4" s="895"/>
      <c r="G4" s="450"/>
    </row>
    <row r="5" spans="1:7" ht="16.8" thickBot="1">
      <c r="A5" s="454" t="s">
        <v>465</v>
      </c>
      <c r="B5" s="884" t="s">
        <v>466</v>
      </c>
      <c r="C5" s="885"/>
      <c r="D5" s="886" t="s">
        <v>467</v>
      </c>
      <c r="E5" s="874"/>
      <c r="F5" s="875"/>
      <c r="G5" s="450"/>
    </row>
    <row r="6" spans="1:7" ht="18">
      <c r="A6" s="878" t="s">
        <v>468</v>
      </c>
      <c r="B6" s="879"/>
      <c r="C6" s="879"/>
      <c r="D6" s="879"/>
      <c r="E6" s="879"/>
      <c r="F6" s="880"/>
      <c r="G6" s="450"/>
    </row>
    <row r="7" spans="1:7" ht="16.2">
      <c r="A7" s="453" t="s">
        <v>469</v>
      </c>
      <c r="B7" s="456" t="s">
        <v>470</v>
      </c>
      <c r="C7" s="457" t="s">
        <v>471</v>
      </c>
      <c r="D7" s="458" t="s">
        <v>472</v>
      </c>
      <c r="E7" s="887" t="s">
        <v>473</v>
      </c>
      <c r="F7" s="888"/>
      <c r="G7" s="450"/>
    </row>
    <row r="8" spans="1:7" ht="16.2" thickBot="1">
      <c r="A8" s="459"/>
      <c r="B8" s="460" t="s">
        <v>474</v>
      </c>
      <c r="C8" s="461"/>
      <c r="D8" s="462" t="s">
        <v>475</v>
      </c>
      <c r="E8" s="889" t="s">
        <v>476</v>
      </c>
      <c r="F8" s="875"/>
      <c r="G8" s="450"/>
    </row>
    <row r="9" spans="1:7" ht="18">
      <c r="A9" s="878" t="s">
        <v>477</v>
      </c>
      <c r="B9" s="879"/>
      <c r="C9" s="880"/>
      <c r="D9" s="878" t="s">
        <v>478</v>
      </c>
      <c r="E9" s="879"/>
      <c r="F9" s="880"/>
      <c r="G9" s="450"/>
    </row>
    <row r="10" spans="1:7" ht="16.2">
      <c r="A10" s="463" t="s">
        <v>479</v>
      </c>
      <c r="B10" s="870" t="s">
        <v>480</v>
      </c>
      <c r="C10" s="871"/>
      <c r="D10" s="872" t="s">
        <v>481</v>
      </c>
      <c r="E10" s="873"/>
      <c r="F10" s="452" t="s">
        <v>482</v>
      </c>
      <c r="G10" s="450"/>
    </row>
    <row r="11" spans="1:7" ht="16.8" thickBot="1">
      <c r="A11" s="464" t="s">
        <v>483</v>
      </c>
      <c r="B11" s="874" t="s">
        <v>484</v>
      </c>
      <c r="C11" s="875"/>
      <c r="D11" s="876"/>
      <c r="E11" s="877"/>
      <c r="F11" s="455" t="s">
        <v>485</v>
      </c>
      <c r="G11" s="450"/>
    </row>
    <row r="12" spans="1:7" ht="18">
      <c r="A12" s="878" t="s">
        <v>486</v>
      </c>
      <c r="B12" s="879"/>
      <c r="C12" s="879"/>
      <c r="D12" s="879"/>
      <c r="E12" s="879"/>
      <c r="F12" s="880"/>
      <c r="G12" s="450"/>
    </row>
    <row r="13" spans="1:7" ht="16.2" thickBot="1">
      <c r="A13" s="881" t="s">
        <v>487</v>
      </c>
      <c r="B13" s="882"/>
      <c r="C13" s="883" t="s">
        <v>488</v>
      </c>
      <c r="D13" s="883"/>
      <c r="E13" s="883"/>
      <c r="F13" s="465"/>
      <c r="G13" s="450"/>
    </row>
    <row r="14" spans="1:7" ht="18.899999999999999" customHeight="1">
      <c r="A14" s="466"/>
      <c r="B14" s="466"/>
      <c r="C14" s="466"/>
      <c r="D14" s="466"/>
      <c r="E14" s="466"/>
      <c r="F14" s="466"/>
      <c r="G14" s="450"/>
    </row>
    <row r="15" spans="1:7" ht="15.6">
      <c r="G15" s="450"/>
    </row>
    <row r="16" spans="1:7" ht="15.6">
      <c r="G16" s="450"/>
    </row>
    <row r="17" spans="7:7" ht="15.6">
      <c r="G17" s="450"/>
    </row>
    <row r="18" spans="7:7" ht="15.6">
      <c r="G18" s="450"/>
    </row>
    <row r="19" spans="7:7" ht="15.6">
      <c r="G19" s="450"/>
    </row>
    <row r="20" spans="7:7" ht="15.6">
      <c r="G20" s="450"/>
    </row>
    <row r="21" spans="7:7" ht="15.6">
      <c r="G21" s="450"/>
    </row>
    <row r="22" spans="7:7" ht="15.6">
      <c r="G22" s="450"/>
    </row>
    <row r="23" spans="7:7" ht="15.6">
      <c r="G23" s="450"/>
    </row>
    <row r="24" spans="7:7" ht="15.6">
      <c r="G24" s="450"/>
    </row>
    <row r="25" spans="7:7" ht="15.6">
      <c r="G25" s="450"/>
    </row>
    <row r="26" spans="7:7" ht="15.6">
      <c r="G26" s="450"/>
    </row>
    <row r="27" spans="7:7" ht="18.899999999999999" customHeight="1">
      <c r="G27" s="450"/>
    </row>
    <row r="28" spans="7:7" ht="15.6">
      <c r="G28" s="450"/>
    </row>
    <row r="29" spans="7:7" ht="15.6">
      <c r="G29" s="450"/>
    </row>
    <row r="30" spans="7:7" ht="15.6">
      <c r="G30" s="450"/>
    </row>
    <row r="31" spans="7:7" ht="15.6">
      <c r="G31" s="450"/>
    </row>
  </sheetData>
  <mergeCells count="20">
    <mergeCell ref="A1:F1"/>
    <mergeCell ref="C2:D2"/>
    <mergeCell ref="A3:C3"/>
    <mergeCell ref="D3:F3"/>
    <mergeCell ref="B4:C4"/>
    <mergeCell ref="D4:F4"/>
    <mergeCell ref="A13:B13"/>
    <mergeCell ref="C13:E13"/>
    <mergeCell ref="B5:C5"/>
    <mergeCell ref="D5:F5"/>
    <mergeCell ref="A6:F6"/>
    <mergeCell ref="E7:F7"/>
    <mergeCell ref="E8:F8"/>
    <mergeCell ref="A9:C9"/>
    <mergeCell ref="D9:F9"/>
    <mergeCell ref="B10:C10"/>
    <mergeCell ref="D10:E10"/>
    <mergeCell ref="B11:C11"/>
    <mergeCell ref="D11:E11"/>
    <mergeCell ref="A12:F12"/>
  </mergeCells>
  <printOptions horizontalCentered="1"/>
  <pageMargins left="0.75" right="0.75" top="1" bottom="1" header="0.5" footer="0.5"/>
  <pageSetup orientation="portrait"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A0A70-3AB4-44DF-8A2F-7EEBAD6B87BE}">
  <sheetPr>
    <pageSetUpPr fitToPage="1"/>
  </sheetPr>
  <dimension ref="A1:L61"/>
  <sheetViews>
    <sheetView workbookViewId="0">
      <selection activeCell="C12" sqref="C12"/>
    </sheetView>
  </sheetViews>
  <sheetFormatPr defaultRowHeight="13.2"/>
  <cols>
    <col min="1" max="1" width="14.75" style="82" customWidth="1"/>
    <col min="2" max="7" width="8" style="82" customWidth="1"/>
    <col min="8" max="256" width="8.6640625" style="82"/>
    <col min="257" max="257" width="14.75" style="82" customWidth="1"/>
    <col min="258" max="263" width="8" style="82" customWidth="1"/>
    <col min="264" max="512" width="8.6640625" style="82"/>
    <col min="513" max="513" width="14.75" style="82" customWidth="1"/>
    <col min="514" max="519" width="8" style="82" customWidth="1"/>
    <col min="520" max="768" width="8.6640625" style="82"/>
    <col min="769" max="769" width="14.75" style="82" customWidth="1"/>
    <col min="770" max="775" width="8" style="82" customWidth="1"/>
    <col min="776" max="1024" width="8.6640625" style="82"/>
    <col min="1025" max="1025" width="14.75" style="82" customWidth="1"/>
    <col min="1026" max="1031" width="8" style="82" customWidth="1"/>
    <col min="1032" max="1280" width="8.6640625" style="82"/>
    <col min="1281" max="1281" width="14.75" style="82" customWidth="1"/>
    <col min="1282" max="1287" width="8" style="82" customWidth="1"/>
    <col min="1288" max="1536" width="8.6640625" style="82"/>
    <col min="1537" max="1537" width="14.75" style="82" customWidth="1"/>
    <col min="1538" max="1543" width="8" style="82" customWidth="1"/>
    <col min="1544" max="1792" width="8.6640625" style="82"/>
    <col min="1793" max="1793" width="14.75" style="82" customWidth="1"/>
    <col min="1794" max="1799" width="8" style="82" customWidth="1"/>
    <col min="1800" max="2048" width="8.6640625" style="82"/>
    <col min="2049" max="2049" width="14.75" style="82" customWidth="1"/>
    <col min="2050" max="2055" width="8" style="82" customWidth="1"/>
    <col min="2056" max="2304" width="8.6640625" style="82"/>
    <col min="2305" max="2305" width="14.75" style="82" customWidth="1"/>
    <col min="2306" max="2311" width="8" style="82" customWidth="1"/>
    <col min="2312" max="2560" width="8.6640625" style="82"/>
    <col min="2561" max="2561" width="14.75" style="82" customWidth="1"/>
    <col min="2562" max="2567" width="8" style="82" customWidth="1"/>
    <col min="2568" max="2816" width="8.6640625" style="82"/>
    <col min="2817" max="2817" width="14.75" style="82" customWidth="1"/>
    <col min="2818" max="2823" width="8" style="82" customWidth="1"/>
    <col min="2824" max="3072" width="8.6640625" style="82"/>
    <col min="3073" max="3073" width="14.75" style="82" customWidth="1"/>
    <col min="3074" max="3079" width="8" style="82" customWidth="1"/>
    <col min="3080" max="3328" width="8.6640625" style="82"/>
    <col min="3329" max="3329" width="14.75" style="82" customWidth="1"/>
    <col min="3330" max="3335" width="8" style="82" customWidth="1"/>
    <col min="3336" max="3584" width="8.6640625" style="82"/>
    <col min="3585" max="3585" width="14.75" style="82" customWidth="1"/>
    <col min="3586" max="3591" width="8" style="82" customWidth="1"/>
    <col min="3592" max="3840" width="8.6640625" style="82"/>
    <col min="3841" max="3841" width="14.75" style="82" customWidth="1"/>
    <col min="3842" max="3847" width="8" style="82" customWidth="1"/>
    <col min="3848" max="4096" width="8.6640625" style="82"/>
    <col min="4097" max="4097" width="14.75" style="82" customWidth="1"/>
    <col min="4098" max="4103" width="8" style="82" customWidth="1"/>
    <col min="4104" max="4352" width="8.6640625" style="82"/>
    <col min="4353" max="4353" width="14.75" style="82" customWidth="1"/>
    <col min="4354" max="4359" width="8" style="82" customWidth="1"/>
    <col min="4360" max="4608" width="8.6640625" style="82"/>
    <col min="4609" max="4609" width="14.75" style="82" customWidth="1"/>
    <col min="4610" max="4615" width="8" style="82" customWidth="1"/>
    <col min="4616" max="4864" width="8.6640625" style="82"/>
    <col min="4865" max="4865" width="14.75" style="82" customWidth="1"/>
    <col min="4866" max="4871" width="8" style="82" customWidth="1"/>
    <col min="4872" max="5120" width="8.6640625" style="82"/>
    <col min="5121" max="5121" width="14.75" style="82" customWidth="1"/>
    <col min="5122" max="5127" width="8" style="82" customWidth="1"/>
    <col min="5128" max="5376" width="8.6640625" style="82"/>
    <col min="5377" max="5377" width="14.75" style="82" customWidth="1"/>
    <col min="5378" max="5383" width="8" style="82" customWidth="1"/>
    <col min="5384" max="5632" width="8.6640625" style="82"/>
    <col min="5633" max="5633" width="14.75" style="82" customWidth="1"/>
    <col min="5634" max="5639" width="8" style="82" customWidth="1"/>
    <col min="5640" max="5888" width="8.6640625" style="82"/>
    <col min="5889" max="5889" width="14.75" style="82" customWidth="1"/>
    <col min="5890" max="5895" width="8" style="82" customWidth="1"/>
    <col min="5896" max="6144" width="8.6640625" style="82"/>
    <col min="6145" max="6145" width="14.75" style="82" customWidth="1"/>
    <col min="6146" max="6151" width="8" style="82" customWidth="1"/>
    <col min="6152" max="6400" width="8.6640625" style="82"/>
    <col min="6401" max="6401" width="14.75" style="82" customWidth="1"/>
    <col min="6402" max="6407" width="8" style="82" customWidth="1"/>
    <col min="6408" max="6656" width="8.6640625" style="82"/>
    <col min="6657" max="6657" width="14.75" style="82" customWidth="1"/>
    <col min="6658" max="6663" width="8" style="82" customWidth="1"/>
    <col min="6664" max="6912" width="8.6640625" style="82"/>
    <col min="6913" max="6913" width="14.75" style="82" customWidth="1"/>
    <col min="6914" max="6919" width="8" style="82" customWidth="1"/>
    <col min="6920" max="7168" width="8.6640625" style="82"/>
    <col min="7169" max="7169" width="14.75" style="82" customWidth="1"/>
    <col min="7170" max="7175" width="8" style="82" customWidth="1"/>
    <col min="7176" max="7424" width="8.6640625" style="82"/>
    <col min="7425" max="7425" width="14.75" style="82" customWidth="1"/>
    <col min="7426" max="7431" width="8" style="82" customWidth="1"/>
    <col min="7432" max="7680" width="8.6640625" style="82"/>
    <col min="7681" max="7681" width="14.75" style="82" customWidth="1"/>
    <col min="7682" max="7687" width="8" style="82" customWidth="1"/>
    <col min="7688" max="7936" width="8.6640625" style="82"/>
    <col min="7937" max="7937" width="14.75" style="82" customWidth="1"/>
    <col min="7938" max="7943" width="8" style="82" customWidth="1"/>
    <col min="7944" max="8192" width="8.6640625" style="82"/>
    <col min="8193" max="8193" width="14.75" style="82" customWidth="1"/>
    <col min="8194" max="8199" width="8" style="82" customWidth="1"/>
    <col min="8200" max="8448" width="8.6640625" style="82"/>
    <col min="8449" max="8449" width="14.75" style="82" customWidth="1"/>
    <col min="8450" max="8455" width="8" style="82" customWidth="1"/>
    <col min="8456" max="8704" width="8.6640625" style="82"/>
    <col min="8705" max="8705" width="14.75" style="82" customWidth="1"/>
    <col min="8706" max="8711" width="8" style="82" customWidth="1"/>
    <col min="8712" max="8960" width="8.6640625" style="82"/>
    <col min="8961" max="8961" width="14.75" style="82" customWidth="1"/>
    <col min="8962" max="8967" width="8" style="82" customWidth="1"/>
    <col min="8968" max="9216" width="8.6640625" style="82"/>
    <col min="9217" max="9217" width="14.75" style="82" customWidth="1"/>
    <col min="9218" max="9223" width="8" style="82" customWidth="1"/>
    <col min="9224" max="9472" width="8.6640625" style="82"/>
    <col min="9473" max="9473" width="14.75" style="82" customWidth="1"/>
    <col min="9474" max="9479" width="8" style="82" customWidth="1"/>
    <col min="9480" max="9728" width="8.6640625" style="82"/>
    <col min="9729" max="9729" width="14.75" style="82" customWidth="1"/>
    <col min="9730" max="9735" width="8" style="82" customWidth="1"/>
    <col min="9736" max="9984" width="8.6640625" style="82"/>
    <col min="9985" max="9985" width="14.75" style="82" customWidth="1"/>
    <col min="9986" max="9991" width="8" style="82" customWidth="1"/>
    <col min="9992" max="10240" width="8.6640625" style="82"/>
    <col min="10241" max="10241" width="14.75" style="82" customWidth="1"/>
    <col min="10242" max="10247" width="8" style="82" customWidth="1"/>
    <col min="10248" max="10496" width="8.6640625" style="82"/>
    <col min="10497" max="10497" width="14.75" style="82" customWidth="1"/>
    <col min="10498" max="10503" width="8" style="82" customWidth="1"/>
    <col min="10504" max="10752" width="8.6640625" style="82"/>
    <col min="10753" max="10753" width="14.75" style="82" customWidth="1"/>
    <col min="10754" max="10759" width="8" style="82" customWidth="1"/>
    <col min="10760" max="11008" width="8.6640625" style="82"/>
    <col min="11009" max="11009" width="14.75" style="82" customWidth="1"/>
    <col min="11010" max="11015" width="8" style="82" customWidth="1"/>
    <col min="11016" max="11264" width="8.6640625" style="82"/>
    <col min="11265" max="11265" width="14.75" style="82" customWidth="1"/>
    <col min="11266" max="11271" width="8" style="82" customWidth="1"/>
    <col min="11272" max="11520" width="8.6640625" style="82"/>
    <col min="11521" max="11521" width="14.75" style="82" customWidth="1"/>
    <col min="11522" max="11527" width="8" style="82" customWidth="1"/>
    <col min="11528" max="11776" width="8.6640625" style="82"/>
    <col min="11777" max="11777" width="14.75" style="82" customWidth="1"/>
    <col min="11778" max="11783" width="8" style="82" customWidth="1"/>
    <col min="11784" max="12032" width="8.6640625" style="82"/>
    <col min="12033" max="12033" width="14.75" style="82" customWidth="1"/>
    <col min="12034" max="12039" width="8" style="82" customWidth="1"/>
    <col min="12040" max="12288" width="8.6640625" style="82"/>
    <col min="12289" max="12289" width="14.75" style="82" customWidth="1"/>
    <col min="12290" max="12295" width="8" style="82" customWidth="1"/>
    <col min="12296" max="12544" width="8.6640625" style="82"/>
    <col min="12545" max="12545" width="14.75" style="82" customWidth="1"/>
    <col min="12546" max="12551" width="8" style="82" customWidth="1"/>
    <col min="12552" max="12800" width="8.6640625" style="82"/>
    <col min="12801" max="12801" width="14.75" style="82" customWidth="1"/>
    <col min="12802" max="12807" width="8" style="82" customWidth="1"/>
    <col min="12808" max="13056" width="8.6640625" style="82"/>
    <col min="13057" max="13057" width="14.75" style="82" customWidth="1"/>
    <col min="13058" max="13063" width="8" style="82" customWidth="1"/>
    <col min="13064" max="13312" width="8.6640625" style="82"/>
    <col min="13313" max="13313" width="14.75" style="82" customWidth="1"/>
    <col min="13314" max="13319" width="8" style="82" customWidth="1"/>
    <col min="13320" max="13568" width="8.6640625" style="82"/>
    <col min="13569" max="13569" width="14.75" style="82" customWidth="1"/>
    <col min="13570" max="13575" width="8" style="82" customWidth="1"/>
    <col min="13576" max="13824" width="8.6640625" style="82"/>
    <col min="13825" max="13825" width="14.75" style="82" customWidth="1"/>
    <col min="13826" max="13831" width="8" style="82" customWidth="1"/>
    <col min="13832" max="14080" width="8.6640625" style="82"/>
    <col min="14081" max="14081" width="14.75" style="82" customWidth="1"/>
    <col min="14082" max="14087" width="8" style="82" customWidth="1"/>
    <col min="14088" max="14336" width="8.6640625" style="82"/>
    <col min="14337" max="14337" width="14.75" style="82" customWidth="1"/>
    <col min="14338" max="14343" width="8" style="82" customWidth="1"/>
    <col min="14344" max="14592" width="8.6640625" style="82"/>
    <col min="14593" max="14593" width="14.75" style="82" customWidth="1"/>
    <col min="14594" max="14599" width="8" style="82" customWidth="1"/>
    <col min="14600" max="14848" width="8.6640625" style="82"/>
    <col min="14849" max="14849" width="14.75" style="82" customWidth="1"/>
    <col min="14850" max="14855" width="8" style="82" customWidth="1"/>
    <col min="14856" max="15104" width="8.6640625" style="82"/>
    <col min="15105" max="15105" width="14.75" style="82" customWidth="1"/>
    <col min="15106" max="15111" width="8" style="82" customWidth="1"/>
    <col min="15112" max="15360" width="8.6640625" style="82"/>
    <col min="15361" max="15361" width="14.75" style="82" customWidth="1"/>
    <col min="15362" max="15367" width="8" style="82" customWidth="1"/>
    <col min="15368" max="15616" width="8.6640625" style="82"/>
    <col min="15617" max="15617" width="14.75" style="82" customWidth="1"/>
    <col min="15618" max="15623" width="8" style="82" customWidth="1"/>
    <col min="15624" max="15872" width="8.6640625" style="82"/>
    <col min="15873" max="15873" width="14.75" style="82" customWidth="1"/>
    <col min="15874" max="15879" width="8" style="82" customWidth="1"/>
    <col min="15880" max="16128" width="8.6640625" style="82"/>
    <col min="16129" max="16129" width="14.75" style="82" customWidth="1"/>
    <col min="16130" max="16135" width="8" style="82" customWidth="1"/>
    <col min="16136" max="16384" width="8.6640625" style="82"/>
  </cols>
  <sheetData>
    <row r="1" spans="1:12" ht="21" customHeight="1">
      <c r="A1" s="467" t="s">
        <v>489</v>
      </c>
      <c r="B1" s="891" t="s">
        <v>490</v>
      </c>
      <c r="C1" s="891"/>
      <c r="D1" s="891"/>
      <c r="E1" s="891"/>
      <c r="F1" s="891"/>
      <c r="G1" s="891"/>
    </row>
    <row r="2" spans="1:12" ht="15" customHeight="1"/>
    <row r="3" spans="1:12" ht="20.399999999999999">
      <c r="A3" s="468" t="s">
        <v>491</v>
      </c>
    </row>
    <row r="4" spans="1:12" ht="12" customHeight="1">
      <c r="A4" s="450"/>
      <c r="B4" s="450"/>
      <c r="C4" s="450"/>
      <c r="D4" s="450" t="s">
        <v>492</v>
      </c>
      <c r="E4" s="450"/>
      <c r="F4" s="450"/>
      <c r="G4" s="450"/>
      <c r="H4" s="450"/>
      <c r="I4" s="450"/>
      <c r="J4" s="450"/>
      <c r="K4" s="450"/>
      <c r="L4" s="450"/>
    </row>
    <row r="5" spans="1:12" ht="15.6" customHeight="1">
      <c r="A5" s="469" t="s">
        <v>78</v>
      </c>
      <c r="B5" s="469" t="s">
        <v>493</v>
      </c>
      <c r="C5" s="469" t="s">
        <v>494</v>
      </c>
      <c r="D5" s="469" t="s">
        <v>495</v>
      </c>
      <c r="E5" s="469" t="s">
        <v>496</v>
      </c>
      <c r="F5" s="469" t="s">
        <v>497</v>
      </c>
      <c r="G5" s="469" t="s">
        <v>498</v>
      </c>
      <c r="H5" s="450"/>
      <c r="I5" s="450"/>
      <c r="J5" s="450"/>
      <c r="K5" s="450"/>
      <c r="L5" s="450"/>
    </row>
    <row r="6" spans="1:12" ht="15.6" customHeight="1">
      <c r="A6" s="470" t="s">
        <v>499</v>
      </c>
      <c r="B6" s="470" t="s">
        <v>317</v>
      </c>
      <c r="C6" s="470" t="s">
        <v>317</v>
      </c>
      <c r="D6" s="470" t="s">
        <v>500</v>
      </c>
      <c r="E6" s="470" t="s">
        <v>277</v>
      </c>
      <c r="F6" s="470" t="s">
        <v>501</v>
      </c>
      <c r="G6" s="470" t="s">
        <v>501</v>
      </c>
      <c r="H6" s="450"/>
      <c r="I6" s="450"/>
      <c r="J6" s="450"/>
      <c r="K6" s="450"/>
      <c r="L6" s="450"/>
    </row>
    <row r="7" spans="1:12" ht="15.9" customHeight="1">
      <c r="A7" s="471" t="s">
        <v>502</v>
      </c>
      <c r="B7" s="471" t="s">
        <v>503</v>
      </c>
      <c r="C7" s="471" t="s">
        <v>504</v>
      </c>
      <c r="D7" s="471" t="s">
        <v>505</v>
      </c>
      <c r="E7" s="471" t="s">
        <v>506</v>
      </c>
      <c r="F7" s="471" t="s">
        <v>507</v>
      </c>
      <c r="G7" s="471" t="s">
        <v>508</v>
      </c>
      <c r="H7" s="450"/>
      <c r="I7" s="450"/>
      <c r="J7" s="450"/>
      <c r="K7" s="450"/>
      <c r="L7" s="450"/>
    </row>
    <row r="8" spans="1:12" ht="15.9" customHeight="1">
      <c r="A8" s="471" t="s">
        <v>509</v>
      </c>
      <c r="B8" s="471" t="s">
        <v>503</v>
      </c>
      <c r="C8" s="471" t="s">
        <v>510</v>
      </c>
      <c r="D8" s="471" t="s">
        <v>511</v>
      </c>
      <c r="E8" s="471" t="s">
        <v>512</v>
      </c>
      <c r="F8" s="471" t="s">
        <v>513</v>
      </c>
      <c r="G8" s="471" t="s">
        <v>514</v>
      </c>
      <c r="H8" s="450"/>
      <c r="I8" s="450"/>
      <c r="J8" s="450"/>
      <c r="K8" s="450"/>
      <c r="L8" s="450"/>
    </row>
    <row r="9" spans="1:12" ht="15.9" customHeight="1">
      <c r="A9" s="471" t="s">
        <v>515</v>
      </c>
      <c r="B9" s="471" t="s">
        <v>503</v>
      </c>
      <c r="C9" s="471" t="s">
        <v>516</v>
      </c>
      <c r="D9" s="471" t="s">
        <v>517</v>
      </c>
      <c r="E9" s="471" t="s">
        <v>518</v>
      </c>
      <c r="F9" s="471" t="s">
        <v>519</v>
      </c>
      <c r="G9" s="471" t="s">
        <v>520</v>
      </c>
      <c r="H9" s="450"/>
      <c r="I9" s="450"/>
      <c r="J9" s="450"/>
      <c r="K9" s="450"/>
      <c r="L9" s="450"/>
    </row>
    <row r="10" spans="1:12" ht="15.9" customHeight="1">
      <c r="A10" s="471" t="s">
        <v>521</v>
      </c>
      <c r="B10" s="471" t="s">
        <v>522</v>
      </c>
      <c r="C10" s="471" t="s">
        <v>516</v>
      </c>
      <c r="D10" s="471" t="s">
        <v>523</v>
      </c>
      <c r="E10" s="471" t="s">
        <v>524</v>
      </c>
      <c r="F10" s="471" t="s">
        <v>525</v>
      </c>
      <c r="G10" s="471" t="s">
        <v>526</v>
      </c>
      <c r="H10" s="450"/>
      <c r="I10" s="450"/>
      <c r="J10" s="450"/>
      <c r="K10" s="450"/>
      <c r="L10" s="450"/>
    </row>
    <row r="11" spans="1:12" ht="15.9" customHeight="1">
      <c r="A11" s="471" t="s">
        <v>527</v>
      </c>
      <c r="B11" s="471" t="s">
        <v>522</v>
      </c>
      <c r="C11" s="471" t="s">
        <v>528</v>
      </c>
      <c r="D11" s="471" t="s">
        <v>529</v>
      </c>
      <c r="E11" s="471" t="s">
        <v>530</v>
      </c>
      <c r="F11" s="471" t="s">
        <v>531</v>
      </c>
      <c r="G11" s="471" t="s">
        <v>532</v>
      </c>
      <c r="H11" s="450"/>
      <c r="I11" s="450"/>
      <c r="J11" s="450"/>
      <c r="K11" s="450"/>
      <c r="L11" s="450"/>
    </row>
    <row r="12" spans="1:12" ht="15.9" customHeight="1">
      <c r="A12" s="471" t="s">
        <v>533</v>
      </c>
      <c r="B12" s="471" t="s">
        <v>522</v>
      </c>
      <c r="C12" s="471" t="s">
        <v>534</v>
      </c>
      <c r="D12" s="471" t="s">
        <v>535</v>
      </c>
      <c r="E12" s="471" t="s">
        <v>536</v>
      </c>
      <c r="F12" s="471" t="s">
        <v>537</v>
      </c>
      <c r="G12" s="471" t="s">
        <v>538</v>
      </c>
      <c r="H12" s="450"/>
      <c r="I12" s="450"/>
      <c r="J12" s="450"/>
      <c r="K12" s="450"/>
      <c r="L12" s="450"/>
    </row>
    <row r="13" spans="1:12" ht="15.9" customHeight="1">
      <c r="A13" s="471" t="s">
        <v>539</v>
      </c>
      <c r="B13" s="471" t="s">
        <v>540</v>
      </c>
      <c r="C13" s="471" t="s">
        <v>541</v>
      </c>
      <c r="D13" s="471" t="s">
        <v>542</v>
      </c>
      <c r="E13" s="471" t="s">
        <v>543</v>
      </c>
      <c r="F13" s="471" t="s">
        <v>544</v>
      </c>
      <c r="G13" s="471" t="s">
        <v>545</v>
      </c>
      <c r="H13" s="450"/>
      <c r="I13" s="450"/>
      <c r="J13" s="450"/>
      <c r="K13" s="450"/>
      <c r="L13" s="450"/>
    </row>
    <row r="14" spans="1:12" ht="15.9" customHeight="1">
      <c r="A14" s="471" t="s">
        <v>546</v>
      </c>
      <c r="B14" s="471" t="s">
        <v>547</v>
      </c>
      <c r="C14" s="471" t="s">
        <v>548</v>
      </c>
      <c r="D14" s="471" t="s">
        <v>549</v>
      </c>
      <c r="E14" s="471" t="s">
        <v>550</v>
      </c>
      <c r="F14" s="471" t="s">
        <v>551</v>
      </c>
      <c r="G14" s="471" t="s">
        <v>552</v>
      </c>
      <c r="H14" s="450"/>
      <c r="I14" s="450"/>
      <c r="J14" s="450"/>
      <c r="K14" s="450"/>
      <c r="L14" s="450"/>
    </row>
    <row r="15" spans="1:12" ht="15.9" customHeight="1">
      <c r="A15" s="471" t="s">
        <v>553</v>
      </c>
      <c r="B15" s="471" t="s">
        <v>554</v>
      </c>
      <c r="C15" s="471" t="s">
        <v>555</v>
      </c>
      <c r="D15" s="471" t="s">
        <v>556</v>
      </c>
      <c r="E15" s="471" t="s">
        <v>557</v>
      </c>
      <c r="F15" s="471" t="s">
        <v>558</v>
      </c>
      <c r="G15" s="471" t="s">
        <v>559</v>
      </c>
      <c r="H15" s="450"/>
      <c r="I15" s="450"/>
      <c r="J15" s="450"/>
      <c r="K15" s="450"/>
      <c r="L15" s="450"/>
    </row>
    <row r="16" spans="1:12" ht="15.9" customHeight="1">
      <c r="A16" s="471" t="s">
        <v>560</v>
      </c>
      <c r="B16" s="471" t="s">
        <v>561</v>
      </c>
      <c r="C16" s="471" t="s">
        <v>562</v>
      </c>
      <c r="D16" s="471" t="s">
        <v>563</v>
      </c>
      <c r="E16" s="471" t="s">
        <v>564</v>
      </c>
      <c r="F16" s="471" t="s">
        <v>565</v>
      </c>
      <c r="G16" s="471" t="s">
        <v>566</v>
      </c>
      <c r="H16" s="450"/>
      <c r="I16" s="450"/>
      <c r="J16" s="450"/>
      <c r="K16" s="450"/>
      <c r="L16" s="450"/>
    </row>
    <row r="17" spans="1:12" ht="15.9" customHeight="1">
      <c r="A17" s="471" t="s">
        <v>567</v>
      </c>
      <c r="B17" s="471" t="s">
        <v>568</v>
      </c>
      <c r="C17" s="471" t="s">
        <v>569</v>
      </c>
      <c r="D17" s="471" t="s">
        <v>570</v>
      </c>
      <c r="E17" s="471" t="s">
        <v>571</v>
      </c>
      <c r="F17" s="471" t="s">
        <v>572</v>
      </c>
      <c r="G17" s="471" t="s">
        <v>573</v>
      </c>
      <c r="H17" s="450"/>
      <c r="I17" s="450"/>
      <c r="J17" s="450"/>
      <c r="K17" s="450"/>
      <c r="L17" s="450"/>
    </row>
    <row r="18" spans="1:12" ht="15.9" customHeight="1">
      <c r="A18" s="471" t="s">
        <v>574</v>
      </c>
      <c r="B18" s="471" t="s">
        <v>575</v>
      </c>
      <c r="C18" s="471" t="s">
        <v>576</v>
      </c>
      <c r="D18" s="471" t="s">
        <v>577</v>
      </c>
      <c r="E18" s="471" t="s">
        <v>578</v>
      </c>
      <c r="F18" s="471" t="s">
        <v>579</v>
      </c>
      <c r="G18" s="471" t="s">
        <v>580</v>
      </c>
      <c r="H18" s="450"/>
      <c r="I18" s="450"/>
      <c r="J18" s="450"/>
      <c r="K18" s="450"/>
      <c r="L18" s="450"/>
    </row>
    <row r="19" spans="1:12" ht="15.9" customHeight="1">
      <c r="A19" s="471" t="s">
        <v>581</v>
      </c>
      <c r="B19" s="471" t="s">
        <v>582</v>
      </c>
      <c r="C19" s="471" t="s">
        <v>583</v>
      </c>
      <c r="D19" s="471" t="s">
        <v>584</v>
      </c>
      <c r="E19" s="471" t="s">
        <v>585</v>
      </c>
      <c r="F19" s="471" t="s">
        <v>586</v>
      </c>
      <c r="G19" s="471" t="s">
        <v>587</v>
      </c>
      <c r="H19" s="450"/>
      <c r="I19" s="450"/>
      <c r="J19" s="450"/>
      <c r="K19" s="450"/>
      <c r="L19" s="450"/>
    </row>
    <row r="20" spans="1:12" ht="15.6">
      <c r="A20" s="450"/>
      <c r="B20" s="450"/>
      <c r="C20" s="450"/>
      <c r="D20" s="450"/>
      <c r="E20" s="450"/>
      <c r="F20" s="450"/>
      <c r="G20" s="450"/>
      <c r="H20" s="450"/>
      <c r="I20" s="450"/>
      <c r="J20" s="450"/>
      <c r="K20" s="450"/>
      <c r="L20" s="450"/>
    </row>
    <row r="21" spans="1:12" ht="16.2">
      <c r="A21" s="450"/>
      <c r="B21" s="450"/>
      <c r="C21" s="450"/>
      <c r="D21" s="905" t="s">
        <v>588</v>
      </c>
      <c r="E21" s="902"/>
      <c r="F21" s="902"/>
      <c r="G21" s="903"/>
      <c r="H21" s="450"/>
      <c r="I21" s="450"/>
      <c r="J21" s="450"/>
      <c r="K21" s="450"/>
      <c r="L21" s="450"/>
    </row>
    <row r="22" spans="1:12" ht="17.25" customHeight="1">
      <c r="A22" s="450"/>
      <c r="B22" s="904" t="s">
        <v>589</v>
      </c>
      <c r="C22" s="904"/>
      <c r="D22" s="904" t="s">
        <v>590</v>
      </c>
      <c r="E22" s="904"/>
      <c r="F22" s="904" t="s">
        <v>591</v>
      </c>
      <c r="G22" s="904"/>
      <c r="H22" s="450"/>
      <c r="I22" s="450"/>
      <c r="J22" s="450"/>
      <c r="K22" s="450"/>
      <c r="L22" s="450"/>
    </row>
    <row r="23" spans="1:12" ht="15.6">
      <c r="A23" s="473" t="s">
        <v>592</v>
      </c>
      <c r="B23" s="900" t="s">
        <v>593</v>
      </c>
      <c r="C23" s="900"/>
      <c r="D23" s="900" t="s">
        <v>594</v>
      </c>
      <c r="E23" s="900"/>
      <c r="F23" s="900" t="s">
        <v>595</v>
      </c>
      <c r="G23" s="900"/>
      <c r="H23" s="450"/>
      <c r="I23" s="450"/>
      <c r="J23" s="450"/>
      <c r="K23" s="450"/>
      <c r="L23" s="450"/>
    </row>
    <row r="24" spans="1:12" ht="18" customHeight="1">
      <c r="A24" s="473" t="s">
        <v>596</v>
      </c>
      <c r="B24" s="900" t="s">
        <v>597</v>
      </c>
      <c r="C24" s="900"/>
      <c r="D24" s="900" t="s">
        <v>598</v>
      </c>
      <c r="E24" s="900"/>
      <c r="F24" s="900" t="s">
        <v>599</v>
      </c>
      <c r="G24" s="900"/>
      <c r="H24" s="450"/>
      <c r="I24" s="450"/>
      <c r="J24" s="450"/>
      <c r="K24" s="450"/>
      <c r="L24" s="450"/>
    </row>
    <row r="25" spans="1:12" ht="15.6">
      <c r="A25" s="473" t="s">
        <v>600</v>
      </c>
      <c r="B25" s="900" t="s">
        <v>601</v>
      </c>
      <c r="C25" s="900"/>
      <c r="D25" s="900" t="s">
        <v>602</v>
      </c>
      <c r="E25" s="900"/>
      <c r="F25" s="900" t="s">
        <v>603</v>
      </c>
      <c r="G25" s="900"/>
      <c r="H25" s="450"/>
      <c r="I25" s="450"/>
      <c r="J25" s="450"/>
      <c r="K25" s="450"/>
      <c r="L25" s="450"/>
    </row>
    <row r="26" spans="1:12" ht="15.6">
      <c r="A26" s="450"/>
      <c r="B26" s="450"/>
      <c r="C26" s="450"/>
      <c r="D26" s="450"/>
      <c r="E26" s="450"/>
      <c r="F26" s="450"/>
      <c r="G26" s="450"/>
      <c r="H26" s="450"/>
      <c r="I26" s="450"/>
      <c r="J26" s="450"/>
      <c r="K26" s="450"/>
      <c r="L26" s="450"/>
    </row>
    <row r="27" spans="1:12" ht="20.399999999999999">
      <c r="A27" s="468" t="s">
        <v>604</v>
      </c>
      <c r="B27" s="450"/>
      <c r="C27" s="450"/>
      <c r="D27" s="450"/>
      <c r="E27" s="450"/>
      <c r="F27" s="450"/>
      <c r="G27" s="450"/>
      <c r="H27" s="450"/>
      <c r="I27" s="450"/>
      <c r="J27" s="450"/>
      <c r="K27" s="450"/>
      <c r="L27" s="450"/>
    </row>
    <row r="28" spans="1:12" ht="15.6">
      <c r="A28" s="450"/>
      <c r="B28" s="450"/>
      <c r="C28" s="450"/>
      <c r="D28" s="450"/>
      <c r="E28" s="901" t="s">
        <v>605</v>
      </c>
      <c r="F28" s="902"/>
      <c r="G28" s="903"/>
      <c r="H28" s="450"/>
      <c r="I28" s="450"/>
      <c r="J28" s="450"/>
      <c r="K28" s="450"/>
      <c r="L28" s="450"/>
    </row>
    <row r="29" spans="1:12" ht="15.6">
      <c r="A29" s="450"/>
      <c r="B29" s="904" t="s">
        <v>606</v>
      </c>
      <c r="C29" s="904"/>
      <c r="D29" s="472" t="s">
        <v>607</v>
      </c>
      <c r="E29" s="472" t="s">
        <v>608</v>
      </c>
      <c r="F29" s="904" t="s">
        <v>609</v>
      </c>
      <c r="G29" s="904"/>
      <c r="H29" s="450"/>
      <c r="I29" s="450"/>
      <c r="J29" s="450"/>
      <c r="K29" s="450"/>
      <c r="L29" s="450"/>
    </row>
    <row r="30" spans="1:12" ht="15.6">
      <c r="A30" s="473" t="s">
        <v>610</v>
      </c>
      <c r="B30" s="900" t="s">
        <v>611</v>
      </c>
      <c r="C30" s="900"/>
      <c r="D30" s="471" t="s">
        <v>612</v>
      </c>
      <c r="E30" s="471" t="s">
        <v>613</v>
      </c>
      <c r="F30" s="900" t="s">
        <v>614</v>
      </c>
      <c r="G30" s="900"/>
      <c r="H30" s="450"/>
      <c r="I30" s="450"/>
      <c r="J30" s="450"/>
      <c r="K30" s="450"/>
      <c r="L30" s="450"/>
    </row>
    <row r="31" spans="1:12" ht="15.6">
      <c r="A31" s="473" t="s">
        <v>615</v>
      </c>
      <c r="B31" s="900" t="s">
        <v>616</v>
      </c>
      <c r="C31" s="900"/>
      <c r="D31" s="471" t="s">
        <v>617</v>
      </c>
      <c r="E31" s="471" t="s">
        <v>618</v>
      </c>
      <c r="F31" s="900" t="s">
        <v>619</v>
      </c>
      <c r="G31" s="900"/>
      <c r="H31" s="450"/>
      <c r="I31" s="450"/>
      <c r="J31" s="450"/>
      <c r="K31" s="450"/>
      <c r="L31" s="450"/>
    </row>
    <row r="32" spans="1:12" ht="15.6">
      <c r="A32" s="473" t="s">
        <v>620</v>
      </c>
      <c r="B32" s="900" t="s">
        <v>621</v>
      </c>
      <c r="C32" s="900"/>
      <c r="D32" s="471" t="s">
        <v>622</v>
      </c>
      <c r="E32" s="471" t="s">
        <v>623</v>
      </c>
      <c r="F32" s="900" t="s">
        <v>624</v>
      </c>
      <c r="G32" s="900"/>
      <c r="H32" s="450"/>
      <c r="I32" s="450"/>
      <c r="J32" s="450"/>
      <c r="K32" s="450"/>
      <c r="L32" s="450"/>
    </row>
    <row r="33" spans="1:12" ht="15.6">
      <c r="A33" s="450"/>
      <c r="B33" s="450"/>
      <c r="C33" s="450"/>
      <c r="D33" s="450"/>
      <c r="E33" s="450"/>
      <c r="F33" s="450"/>
      <c r="G33" s="450"/>
      <c r="H33" s="450"/>
      <c r="I33" s="450"/>
      <c r="J33" s="450"/>
      <c r="K33" s="450"/>
      <c r="L33" s="450"/>
    </row>
    <row r="34" spans="1:12" ht="15.6">
      <c r="A34" s="450"/>
      <c r="B34" s="450"/>
      <c r="C34" s="450"/>
      <c r="D34" s="450"/>
      <c r="E34" s="901" t="s">
        <v>625</v>
      </c>
      <c r="F34" s="902"/>
      <c r="G34" s="903"/>
      <c r="H34" s="450"/>
      <c r="I34" s="450"/>
      <c r="J34" s="450"/>
      <c r="K34" s="450"/>
      <c r="L34" s="450"/>
    </row>
    <row r="35" spans="1:12" ht="15.6">
      <c r="A35" s="450"/>
      <c r="B35" s="904" t="s">
        <v>626</v>
      </c>
      <c r="C35" s="904"/>
      <c r="D35" s="472" t="s">
        <v>608</v>
      </c>
      <c r="E35" s="472" t="s">
        <v>30</v>
      </c>
      <c r="F35" s="472" t="s">
        <v>200</v>
      </c>
      <c r="G35" s="472" t="s">
        <v>627</v>
      </c>
      <c r="H35" s="450"/>
      <c r="I35" s="450"/>
      <c r="J35" s="450"/>
      <c r="K35" s="450"/>
      <c r="L35" s="450"/>
    </row>
    <row r="36" spans="1:12" ht="15.6">
      <c r="A36" s="473" t="s">
        <v>610</v>
      </c>
      <c r="B36" s="896" t="s">
        <v>628</v>
      </c>
      <c r="C36" s="897"/>
      <c r="D36" s="474" t="s">
        <v>629</v>
      </c>
      <c r="E36" s="474" t="s">
        <v>630</v>
      </c>
      <c r="F36" s="475" t="s">
        <v>631</v>
      </c>
      <c r="G36" s="471" t="s">
        <v>632</v>
      </c>
      <c r="H36" s="450"/>
      <c r="I36" s="450"/>
      <c r="J36" s="450"/>
      <c r="K36" s="450"/>
      <c r="L36" s="450"/>
    </row>
    <row r="37" spans="1:12" ht="15.6">
      <c r="A37" s="473" t="s">
        <v>615</v>
      </c>
      <c r="B37" s="896" t="s">
        <v>633</v>
      </c>
      <c r="C37" s="897"/>
      <c r="D37" s="474" t="s">
        <v>634</v>
      </c>
      <c r="E37" s="474" t="s">
        <v>630</v>
      </c>
      <c r="F37" s="475" t="s">
        <v>635</v>
      </c>
      <c r="G37" s="476" t="s">
        <v>636</v>
      </c>
      <c r="H37" s="450"/>
      <c r="I37" s="450"/>
      <c r="J37" s="450"/>
      <c r="K37" s="450"/>
      <c r="L37" s="450"/>
    </row>
    <row r="38" spans="1:12" ht="15.6">
      <c r="A38" s="473" t="s">
        <v>620</v>
      </c>
      <c r="B38" s="896" t="s">
        <v>633</v>
      </c>
      <c r="C38" s="897"/>
      <c r="D38" s="474" t="s">
        <v>637</v>
      </c>
      <c r="E38" s="474" t="s">
        <v>630</v>
      </c>
      <c r="F38" s="475" t="s">
        <v>638</v>
      </c>
      <c r="G38" s="471" t="s">
        <v>639</v>
      </c>
      <c r="H38" s="450"/>
      <c r="I38" s="450"/>
      <c r="J38" s="450"/>
      <c r="K38" s="450"/>
      <c r="L38" s="450"/>
    </row>
    <row r="39" spans="1:12" ht="15.6">
      <c r="A39" s="450"/>
      <c r="B39" s="450"/>
      <c r="C39" s="450"/>
      <c r="D39" s="450"/>
      <c r="E39" s="450"/>
      <c r="F39" s="450"/>
      <c r="G39" s="450"/>
      <c r="H39" s="450"/>
      <c r="I39" s="450"/>
      <c r="J39" s="450"/>
      <c r="K39" s="450"/>
      <c r="L39" s="450"/>
    </row>
    <row r="40" spans="1:12" ht="15.6">
      <c r="A40" s="477" t="s">
        <v>640</v>
      </c>
      <c r="B40" s="898" t="s">
        <v>641</v>
      </c>
      <c r="C40" s="898"/>
      <c r="D40" s="899" t="s">
        <v>642</v>
      </c>
      <c r="E40" s="899"/>
      <c r="F40" s="898" t="s">
        <v>643</v>
      </c>
      <c r="G40" s="898"/>
      <c r="H40" s="450"/>
      <c r="I40" s="450"/>
      <c r="J40" s="450"/>
      <c r="K40" s="450"/>
      <c r="L40" s="450"/>
    </row>
    <row r="41" spans="1:12" ht="15.6">
      <c r="A41" s="450"/>
      <c r="B41" s="450"/>
      <c r="C41" s="450"/>
      <c r="D41" s="450"/>
      <c r="E41" s="450"/>
      <c r="F41" s="450"/>
      <c r="G41" s="450"/>
      <c r="H41" s="450"/>
      <c r="I41" s="450"/>
      <c r="J41" s="450"/>
      <c r="K41" s="450"/>
      <c r="L41" s="450"/>
    </row>
    <row r="42" spans="1:12" ht="15.6">
      <c r="A42" s="450"/>
      <c r="B42" s="450"/>
      <c r="C42" s="450"/>
      <c r="D42" s="450"/>
      <c r="E42" s="450"/>
      <c r="F42" s="450"/>
      <c r="G42" s="450"/>
      <c r="H42" s="450"/>
      <c r="I42" s="450"/>
      <c r="J42" s="450"/>
      <c r="K42" s="450"/>
      <c r="L42" s="450"/>
    </row>
    <row r="43" spans="1:12" ht="15.6">
      <c r="A43" s="450"/>
      <c r="B43" s="450"/>
      <c r="C43" s="450"/>
      <c r="D43" s="450"/>
      <c r="E43" s="450"/>
      <c r="F43" s="450"/>
      <c r="G43" s="450"/>
      <c r="H43" s="450"/>
      <c r="I43" s="450"/>
      <c r="J43" s="450"/>
      <c r="K43" s="450"/>
      <c r="L43" s="450"/>
    </row>
    <row r="44" spans="1:12" ht="15.6">
      <c r="A44" s="450"/>
      <c r="B44" s="450"/>
      <c r="C44" s="450"/>
      <c r="D44" s="450"/>
      <c r="E44" s="450"/>
      <c r="F44" s="450"/>
      <c r="G44" s="450"/>
      <c r="H44" s="450"/>
      <c r="I44" s="450"/>
      <c r="J44" s="450"/>
      <c r="K44" s="450"/>
      <c r="L44" s="450"/>
    </row>
    <row r="45" spans="1:12" ht="15.6">
      <c r="A45" s="450"/>
      <c r="B45" s="450"/>
      <c r="C45" s="450"/>
      <c r="D45" s="450"/>
      <c r="E45" s="450"/>
      <c r="F45" s="450"/>
      <c r="G45" s="450"/>
      <c r="H45" s="450"/>
      <c r="I45" s="450"/>
      <c r="J45" s="450"/>
      <c r="K45" s="450"/>
      <c r="L45" s="450"/>
    </row>
    <row r="46" spans="1:12" ht="15.6">
      <c r="A46" s="450"/>
      <c r="B46" s="450"/>
      <c r="C46" s="450"/>
      <c r="D46" s="450"/>
      <c r="E46" s="450"/>
      <c r="F46" s="450"/>
      <c r="G46" s="450"/>
      <c r="H46" s="450"/>
      <c r="I46" s="450"/>
      <c r="J46" s="450"/>
      <c r="K46" s="450"/>
      <c r="L46" s="450"/>
    </row>
    <row r="47" spans="1:12" ht="15.6">
      <c r="A47" s="450"/>
      <c r="B47" s="450"/>
      <c r="C47" s="450"/>
      <c r="D47" s="450"/>
      <c r="E47" s="450"/>
      <c r="F47" s="450"/>
      <c r="G47" s="450"/>
      <c r="H47" s="450"/>
      <c r="I47" s="450"/>
      <c r="J47" s="450"/>
      <c r="K47" s="450"/>
      <c r="L47" s="450"/>
    </row>
    <row r="48" spans="1:12" ht="15.6">
      <c r="A48" s="450"/>
      <c r="B48" s="450"/>
      <c r="C48" s="450"/>
      <c r="D48" s="450"/>
      <c r="E48" s="450"/>
      <c r="F48" s="450"/>
      <c r="G48" s="450"/>
      <c r="H48" s="450"/>
      <c r="I48" s="450"/>
      <c r="J48" s="450"/>
      <c r="K48" s="450"/>
      <c r="L48" s="450"/>
    </row>
    <row r="49" spans="1:12" ht="15.6">
      <c r="A49" s="450"/>
      <c r="B49" s="450"/>
      <c r="C49" s="450"/>
      <c r="D49" s="450"/>
      <c r="E49" s="450"/>
      <c r="F49" s="450"/>
      <c r="G49" s="450"/>
      <c r="H49" s="450"/>
      <c r="I49" s="450"/>
      <c r="J49" s="450"/>
      <c r="K49" s="450"/>
      <c r="L49" s="450"/>
    </row>
    <row r="50" spans="1:12" ht="15.6">
      <c r="A50" s="450"/>
      <c r="B50" s="450"/>
      <c r="C50" s="450"/>
      <c r="D50" s="450"/>
      <c r="E50" s="450"/>
      <c r="F50" s="450"/>
      <c r="G50" s="450"/>
      <c r="H50" s="450"/>
      <c r="I50" s="450"/>
      <c r="J50" s="450"/>
      <c r="K50" s="450"/>
      <c r="L50" s="450"/>
    </row>
    <row r="51" spans="1:12" ht="15.6">
      <c r="A51" s="450"/>
      <c r="B51" s="450"/>
      <c r="C51" s="450"/>
      <c r="D51" s="450"/>
      <c r="E51" s="450"/>
      <c r="F51" s="450"/>
      <c r="G51" s="450"/>
      <c r="H51" s="450"/>
      <c r="I51" s="450"/>
      <c r="J51" s="450"/>
      <c r="K51" s="450"/>
      <c r="L51" s="450"/>
    </row>
    <row r="52" spans="1:12" ht="15.6">
      <c r="A52" s="450"/>
      <c r="B52" s="450"/>
      <c r="C52" s="450"/>
      <c r="D52" s="450"/>
      <c r="E52" s="450"/>
      <c r="F52" s="450"/>
      <c r="G52" s="450"/>
      <c r="H52" s="450"/>
      <c r="I52" s="450"/>
      <c r="J52" s="450"/>
      <c r="K52" s="450"/>
      <c r="L52" s="450"/>
    </row>
    <row r="53" spans="1:12" ht="15.6">
      <c r="A53" s="450"/>
      <c r="B53" s="450"/>
      <c r="C53" s="450"/>
      <c r="D53" s="450"/>
      <c r="E53" s="450"/>
      <c r="F53" s="450"/>
      <c r="G53" s="450"/>
      <c r="H53" s="450"/>
      <c r="I53" s="450"/>
      <c r="J53" s="450"/>
      <c r="K53" s="450"/>
      <c r="L53" s="450"/>
    </row>
    <row r="54" spans="1:12" ht="15.6">
      <c r="A54" s="450"/>
      <c r="B54" s="450"/>
      <c r="C54" s="450"/>
      <c r="D54" s="450"/>
      <c r="E54" s="450"/>
      <c r="F54" s="450"/>
      <c r="G54" s="450"/>
      <c r="H54" s="450"/>
      <c r="I54" s="450"/>
      <c r="J54" s="450"/>
      <c r="K54" s="450"/>
      <c r="L54" s="450"/>
    </row>
    <row r="55" spans="1:12" ht="15.6">
      <c r="A55" s="450"/>
      <c r="B55" s="450"/>
      <c r="C55" s="450"/>
      <c r="D55" s="450"/>
      <c r="E55" s="450"/>
      <c r="F55" s="450"/>
      <c r="G55" s="450"/>
      <c r="H55" s="450"/>
      <c r="I55" s="450"/>
      <c r="J55" s="450"/>
      <c r="K55" s="450"/>
      <c r="L55" s="450"/>
    </row>
    <row r="56" spans="1:12" ht="15.6">
      <c r="A56" s="450"/>
      <c r="B56" s="450"/>
      <c r="C56" s="450"/>
      <c r="D56" s="450"/>
      <c r="E56" s="450"/>
      <c r="F56" s="450"/>
      <c r="G56" s="450"/>
      <c r="H56" s="450"/>
      <c r="I56" s="450"/>
      <c r="J56" s="450"/>
      <c r="K56" s="450"/>
      <c r="L56" s="450"/>
    </row>
    <row r="57" spans="1:12" ht="15.6">
      <c r="A57" s="450"/>
      <c r="B57" s="450"/>
      <c r="C57" s="450"/>
      <c r="D57" s="450"/>
      <c r="E57" s="450"/>
      <c r="F57" s="450"/>
      <c r="G57" s="450"/>
      <c r="H57" s="450"/>
      <c r="I57" s="450"/>
      <c r="J57" s="450"/>
      <c r="K57" s="450"/>
      <c r="L57" s="450"/>
    </row>
    <row r="58" spans="1:12" ht="15.6">
      <c r="A58" s="450"/>
      <c r="B58" s="450"/>
      <c r="C58" s="450"/>
      <c r="D58" s="450"/>
      <c r="E58" s="450"/>
      <c r="F58" s="450"/>
      <c r="G58" s="450"/>
      <c r="H58" s="450"/>
      <c r="I58" s="450"/>
      <c r="J58" s="450"/>
      <c r="K58" s="450"/>
      <c r="L58" s="450"/>
    </row>
    <row r="59" spans="1:12" ht="15.6">
      <c r="A59" s="450"/>
      <c r="B59" s="450"/>
      <c r="C59" s="450"/>
      <c r="D59" s="450"/>
      <c r="E59" s="450"/>
      <c r="F59" s="450"/>
      <c r="G59" s="450"/>
      <c r="H59" s="450"/>
      <c r="I59" s="450"/>
      <c r="J59" s="450"/>
      <c r="K59" s="450"/>
      <c r="L59" s="450"/>
    </row>
    <row r="60" spans="1:12" ht="15.6">
      <c r="A60" s="450"/>
      <c r="B60" s="450"/>
      <c r="C60" s="450"/>
      <c r="D60" s="450"/>
      <c r="E60" s="450"/>
      <c r="F60" s="450"/>
      <c r="G60" s="450"/>
      <c r="H60" s="450"/>
      <c r="I60" s="450"/>
      <c r="J60" s="450"/>
      <c r="K60" s="450"/>
      <c r="L60" s="450"/>
    </row>
    <row r="61" spans="1:12" ht="15.6">
      <c r="A61" s="450"/>
      <c r="B61" s="450"/>
      <c r="C61" s="450"/>
      <c r="D61" s="450"/>
      <c r="E61" s="450"/>
      <c r="F61" s="450"/>
      <c r="G61" s="450"/>
      <c r="H61" s="450"/>
      <c r="I61" s="450"/>
      <c r="J61" s="450"/>
      <c r="K61" s="450"/>
      <c r="L61" s="450"/>
    </row>
  </sheetData>
  <mergeCells count="31">
    <mergeCell ref="B23:C23"/>
    <mergeCell ref="D23:E23"/>
    <mergeCell ref="F23:G23"/>
    <mergeCell ref="B1:G1"/>
    <mergeCell ref="D21:G21"/>
    <mergeCell ref="B22:C22"/>
    <mergeCell ref="D22:E22"/>
    <mergeCell ref="F22:G22"/>
    <mergeCell ref="B31:C31"/>
    <mergeCell ref="F31:G31"/>
    <mergeCell ref="B24:C24"/>
    <mergeCell ref="D24:E24"/>
    <mergeCell ref="F24:G24"/>
    <mergeCell ref="B25:C25"/>
    <mergeCell ref="D25:E25"/>
    <mergeCell ref="F25:G25"/>
    <mergeCell ref="E28:G28"/>
    <mergeCell ref="B29:C29"/>
    <mergeCell ref="F29:G29"/>
    <mergeCell ref="B30:C30"/>
    <mergeCell ref="F30:G30"/>
    <mergeCell ref="B38:C38"/>
    <mergeCell ref="B40:C40"/>
    <mergeCell ref="D40:E40"/>
    <mergeCell ref="F40:G40"/>
    <mergeCell ref="B32:C32"/>
    <mergeCell ref="F32:G32"/>
    <mergeCell ref="E34:G34"/>
    <mergeCell ref="B35:C35"/>
    <mergeCell ref="B36:C36"/>
    <mergeCell ref="B37:C37"/>
  </mergeCells>
  <printOptions horizontalCentered="1"/>
  <pageMargins left="0.75" right="0.75" top="1" bottom="1" header="0.5" footer="0.5"/>
  <pageSetup orientation="portrait" verticalDpi="3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2B5B8-4D12-48BF-BC95-A4FDDC64117A}">
  <dimension ref="A1:L33"/>
  <sheetViews>
    <sheetView workbookViewId="0">
      <selection activeCell="C12" sqref="C12"/>
    </sheetView>
  </sheetViews>
  <sheetFormatPr defaultRowHeight="13.2"/>
  <cols>
    <col min="1" max="1" width="7.1640625" style="82" customWidth="1"/>
    <col min="2" max="11" width="5.75" style="82" customWidth="1"/>
    <col min="12" max="256" width="8.6640625" style="82"/>
    <col min="257" max="257" width="7.1640625" style="82" customWidth="1"/>
    <col min="258" max="267" width="5.75" style="82" customWidth="1"/>
    <col min="268" max="512" width="8.6640625" style="82"/>
    <col min="513" max="513" width="7.1640625" style="82" customWidth="1"/>
    <col min="514" max="523" width="5.75" style="82" customWidth="1"/>
    <col min="524" max="768" width="8.6640625" style="82"/>
    <col min="769" max="769" width="7.1640625" style="82" customWidth="1"/>
    <col min="770" max="779" width="5.75" style="82" customWidth="1"/>
    <col min="780" max="1024" width="8.6640625" style="82"/>
    <col min="1025" max="1025" width="7.1640625" style="82" customWidth="1"/>
    <col min="1026" max="1035" width="5.75" style="82" customWidth="1"/>
    <col min="1036" max="1280" width="8.6640625" style="82"/>
    <col min="1281" max="1281" width="7.1640625" style="82" customWidth="1"/>
    <col min="1282" max="1291" width="5.75" style="82" customWidth="1"/>
    <col min="1292" max="1536" width="8.6640625" style="82"/>
    <col min="1537" max="1537" width="7.1640625" style="82" customWidth="1"/>
    <col min="1538" max="1547" width="5.75" style="82" customWidth="1"/>
    <col min="1548" max="1792" width="8.6640625" style="82"/>
    <col min="1793" max="1793" width="7.1640625" style="82" customWidth="1"/>
    <col min="1794" max="1803" width="5.75" style="82" customWidth="1"/>
    <col min="1804" max="2048" width="8.6640625" style="82"/>
    <col min="2049" max="2049" width="7.1640625" style="82" customWidth="1"/>
    <col min="2050" max="2059" width="5.75" style="82" customWidth="1"/>
    <col min="2060" max="2304" width="8.6640625" style="82"/>
    <col min="2305" max="2305" width="7.1640625" style="82" customWidth="1"/>
    <col min="2306" max="2315" width="5.75" style="82" customWidth="1"/>
    <col min="2316" max="2560" width="8.6640625" style="82"/>
    <col min="2561" max="2561" width="7.1640625" style="82" customWidth="1"/>
    <col min="2562" max="2571" width="5.75" style="82" customWidth="1"/>
    <col min="2572" max="2816" width="8.6640625" style="82"/>
    <col min="2817" max="2817" width="7.1640625" style="82" customWidth="1"/>
    <col min="2818" max="2827" width="5.75" style="82" customWidth="1"/>
    <col min="2828" max="3072" width="8.6640625" style="82"/>
    <col min="3073" max="3073" width="7.1640625" style="82" customWidth="1"/>
    <col min="3074" max="3083" width="5.75" style="82" customWidth="1"/>
    <col min="3084" max="3328" width="8.6640625" style="82"/>
    <col min="3329" max="3329" width="7.1640625" style="82" customWidth="1"/>
    <col min="3330" max="3339" width="5.75" style="82" customWidth="1"/>
    <col min="3340" max="3584" width="8.6640625" style="82"/>
    <col min="3585" max="3585" width="7.1640625" style="82" customWidth="1"/>
    <col min="3586" max="3595" width="5.75" style="82" customWidth="1"/>
    <col min="3596" max="3840" width="8.6640625" style="82"/>
    <col min="3841" max="3841" width="7.1640625" style="82" customWidth="1"/>
    <col min="3842" max="3851" width="5.75" style="82" customWidth="1"/>
    <col min="3852" max="4096" width="8.6640625" style="82"/>
    <col min="4097" max="4097" width="7.1640625" style="82" customWidth="1"/>
    <col min="4098" max="4107" width="5.75" style="82" customWidth="1"/>
    <col min="4108" max="4352" width="8.6640625" style="82"/>
    <col min="4353" max="4353" width="7.1640625" style="82" customWidth="1"/>
    <col min="4354" max="4363" width="5.75" style="82" customWidth="1"/>
    <col min="4364" max="4608" width="8.6640625" style="82"/>
    <col min="4609" max="4609" width="7.1640625" style="82" customWidth="1"/>
    <col min="4610" max="4619" width="5.75" style="82" customWidth="1"/>
    <col min="4620" max="4864" width="8.6640625" style="82"/>
    <col min="4865" max="4865" width="7.1640625" style="82" customWidth="1"/>
    <col min="4866" max="4875" width="5.75" style="82" customWidth="1"/>
    <col min="4876" max="5120" width="8.6640625" style="82"/>
    <col min="5121" max="5121" width="7.1640625" style="82" customWidth="1"/>
    <col min="5122" max="5131" width="5.75" style="82" customWidth="1"/>
    <col min="5132" max="5376" width="8.6640625" style="82"/>
    <col min="5377" max="5377" width="7.1640625" style="82" customWidth="1"/>
    <col min="5378" max="5387" width="5.75" style="82" customWidth="1"/>
    <col min="5388" max="5632" width="8.6640625" style="82"/>
    <col min="5633" max="5633" width="7.1640625" style="82" customWidth="1"/>
    <col min="5634" max="5643" width="5.75" style="82" customWidth="1"/>
    <col min="5644" max="5888" width="8.6640625" style="82"/>
    <col min="5889" max="5889" width="7.1640625" style="82" customWidth="1"/>
    <col min="5890" max="5899" width="5.75" style="82" customWidth="1"/>
    <col min="5900" max="6144" width="8.6640625" style="82"/>
    <col min="6145" max="6145" width="7.1640625" style="82" customWidth="1"/>
    <col min="6146" max="6155" width="5.75" style="82" customWidth="1"/>
    <col min="6156" max="6400" width="8.6640625" style="82"/>
    <col min="6401" max="6401" width="7.1640625" style="82" customWidth="1"/>
    <col min="6402" max="6411" width="5.75" style="82" customWidth="1"/>
    <col min="6412" max="6656" width="8.6640625" style="82"/>
    <col min="6657" max="6657" width="7.1640625" style="82" customWidth="1"/>
    <col min="6658" max="6667" width="5.75" style="82" customWidth="1"/>
    <col min="6668" max="6912" width="8.6640625" style="82"/>
    <col min="6913" max="6913" width="7.1640625" style="82" customWidth="1"/>
    <col min="6914" max="6923" width="5.75" style="82" customWidth="1"/>
    <col min="6924" max="7168" width="8.6640625" style="82"/>
    <col min="7169" max="7169" width="7.1640625" style="82" customWidth="1"/>
    <col min="7170" max="7179" width="5.75" style="82" customWidth="1"/>
    <col min="7180" max="7424" width="8.6640625" style="82"/>
    <col min="7425" max="7425" width="7.1640625" style="82" customWidth="1"/>
    <col min="7426" max="7435" width="5.75" style="82" customWidth="1"/>
    <col min="7436" max="7680" width="8.6640625" style="82"/>
    <col min="7681" max="7681" width="7.1640625" style="82" customWidth="1"/>
    <col min="7682" max="7691" width="5.75" style="82" customWidth="1"/>
    <col min="7692" max="7936" width="8.6640625" style="82"/>
    <col min="7937" max="7937" width="7.1640625" style="82" customWidth="1"/>
    <col min="7938" max="7947" width="5.75" style="82" customWidth="1"/>
    <col min="7948" max="8192" width="8.6640625" style="82"/>
    <col min="8193" max="8193" width="7.1640625" style="82" customWidth="1"/>
    <col min="8194" max="8203" width="5.75" style="82" customWidth="1"/>
    <col min="8204" max="8448" width="8.6640625" style="82"/>
    <col min="8449" max="8449" width="7.1640625" style="82" customWidth="1"/>
    <col min="8450" max="8459" width="5.75" style="82" customWidth="1"/>
    <col min="8460" max="8704" width="8.6640625" style="82"/>
    <col min="8705" max="8705" width="7.1640625" style="82" customWidth="1"/>
    <col min="8706" max="8715" width="5.75" style="82" customWidth="1"/>
    <col min="8716" max="8960" width="8.6640625" style="82"/>
    <col min="8961" max="8961" width="7.1640625" style="82" customWidth="1"/>
    <col min="8962" max="8971" width="5.75" style="82" customWidth="1"/>
    <col min="8972" max="9216" width="8.6640625" style="82"/>
    <col min="9217" max="9217" width="7.1640625" style="82" customWidth="1"/>
    <col min="9218" max="9227" width="5.75" style="82" customWidth="1"/>
    <col min="9228" max="9472" width="8.6640625" style="82"/>
    <col min="9473" max="9473" width="7.1640625" style="82" customWidth="1"/>
    <col min="9474" max="9483" width="5.75" style="82" customWidth="1"/>
    <col min="9484" max="9728" width="8.6640625" style="82"/>
    <col min="9729" max="9729" width="7.1640625" style="82" customWidth="1"/>
    <col min="9730" max="9739" width="5.75" style="82" customWidth="1"/>
    <col min="9740" max="9984" width="8.6640625" style="82"/>
    <col min="9985" max="9985" width="7.1640625" style="82" customWidth="1"/>
    <col min="9986" max="9995" width="5.75" style="82" customWidth="1"/>
    <col min="9996" max="10240" width="8.6640625" style="82"/>
    <col min="10241" max="10241" width="7.1640625" style="82" customWidth="1"/>
    <col min="10242" max="10251" width="5.75" style="82" customWidth="1"/>
    <col min="10252" max="10496" width="8.6640625" style="82"/>
    <col min="10497" max="10497" width="7.1640625" style="82" customWidth="1"/>
    <col min="10498" max="10507" width="5.75" style="82" customWidth="1"/>
    <col min="10508" max="10752" width="8.6640625" style="82"/>
    <col min="10753" max="10753" width="7.1640625" style="82" customWidth="1"/>
    <col min="10754" max="10763" width="5.75" style="82" customWidth="1"/>
    <col min="10764" max="11008" width="8.6640625" style="82"/>
    <col min="11009" max="11009" width="7.1640625" style="82" customWidth="1"/>
    <col min="11010" max="11019" width="5.75" style="82" customWidth="1"/>
    <col min="11020" max="11264" width="8.6640625" style="82"/>
    <col min="11265" max="11265" width="7.1640625" style="82" customWidth="1"/>
    <col min="11266" max="11275" width="5.75" style="82" customWidth="1"/>
    <col min="11276" max="11520" width="8.6640625" style="82"/>
    <col min="11521" max="11521" width="7.1640625" style="82" customWidth="1"/>
    <col min="11522" max="11531" width="5.75" style="82" customWidth="1"/>
    <col min="11532" max="11776" width="8.6640625" style="82"/>
    <col min="11777" max="11777" width="7.1640625" style="82" customWidth="1"/>
    <col min="11778" max="11787" width="5.75" style="82" customWidth="1"/>
    <col min="11788" max="12032" width="8.6640625" style="82"/>
    <col min="12033" max="12033" width="7.1640625" style="82" customWidth="1"/>
    <col min="12034" max="12043" width="5.75" style="82" customWidth="1"/>
    <col min="12044" max="12288" width="8.6640625" style="82"/>
    <col min="12289" max="12289" width="7.1640625" style="82" customWidth="1"/>
    <col min="12290" max="12299" width="5.75" style="82" customWidth="1"/>
    <col min="12300" max="12544" width="8.6640625" style="82"/>
    <col min="12545" max="12545" width="7.1640625" style="82" customWidth="1"/>
    <col min="12546" max="12555" width="5.75" style="82" customWidth="1"/>
    <col min="12556" max="12800" width="8.6640625" style="82"/>
    <col min="12801" max="12801" width="7.1640625" style="82" customWidth="1"/>
    <col min="12802" max="12811" width="5.75" style="82" customWidth="1"/>
    <col min="12812" max="13056" width="8.6640625" style="82"/>
    <col min="13057" max="13057" width="7.1640625" style="82" customWidth="1"/>
    <col min="13058" max="13067" width="5.75" style="82" customWidth="1"/>
    <col min="13068" max="13312" width="8.6640625" style="82"/>
    <col min="13313" max="13313" width="7.1640625" style="82" customWidth="1"/>
    <col min="13314" max="13323" width="5.75" style="82" customWidth="1"/>
    <col min="13324" max="13568" width="8.6640625" style="82"/>
    <col min="13569" max="13569" width="7.1640625" style="82" customWidth="1"/>
    <col min="13570" max="13579" width="5.75" style="82" customWidth="1"/>
    <col min="13580" max="13824" width="8.6640625" style="82"/>
    <col min="13825" max="13825" width="7.1640625" style="82" customWidth="1"/>
    <col min="13826" max="13835" width="5.75" style="82" customWidth="1"/>
    <col min="13836" max="14080" width="8.6640625" style="82"/>
    <col min="14081" max="14081" width="7.1640625" style="82" customWidth="1"/>
    <col min="14082" max="14091" width="5.75" style="82" customWidth="1"/>
    <col min="14092" max="14336" width="8.6640625" style="82"/>
    <col min="14337" max="14337" width="7.1640625" style="82" customWidth="1"/>
    <col min="14338" max="14347" width="5.75" style="82" customWidth="1"/>
    <col min="14348" max="14592" width="8.6640625" style="82"/>
    <col min="14593" max="14593" width="7.1640625" style="82" customWidth="1"/>
    <col min="14594" max="14603" width="5.75" style="82" customWidth="1"/>
    <col min="14604" max="14848" width="8.6640625" style="82"/>
    <col min="14849" max="14849" width="7.1640625" style="82" customWidth="1"/>
    <col min="14850" max="14859" width="5.75" style="82" customWidth="1"/>
    <col min="14860" max="15104" width="8.6640625" style="82"/>
    <col min="15105" max="15105" width="7.1640625" style="82" customWidth="1"/>
    <col min="15106" max="15115" width="5.75" style="82" customWidth="1"/>
    <col min="15116" max="15360" width="8.6640625" style="82"/>
    <col min="15361" max="15361" width="7.1640625" style="82" customWidth="1"/>
    <col min="15362" max="15371" width="5.75" style="82" customWidth="1"/>
    <col min="15372" max="15616" width="8.6640625" style="82"/>
    <col min="15617" max="15617" width="7.1640625" style="82" customWidth="1"/>
    <col min="15618" max="15627" width="5.75" style="82" customWidth="1"/>
    <col min="15628" max="15872" width="8.6640625" style="82"/>
    <col min="15873" max="15873" width="7.1640625" style="82" customWidth="1"/>
    <col min="15874" max="15883" width="5.75" style="82" customWidth="1"/>
    <col min="15884" max="16128" width="8.6640625" style="82"/>
    <col min="16129" max="16129" width="7.1640625" style="82" customWidth="1"/>
    <col min="16130" max="16139" width="5.75" style="82" customWidth="1"/>
    <col min="16140" max="16384" width="8.6640625" style="82"/>
  </cols>
  <sheetData>
    <row r="1" spans="1:12" ht="20.399999999999999">
      <c r="A1" s="908" t="s">
        <v>644</v>
      </c>
      <c r="B1" s="908"/>
      <c r="C1" s="908"/>
      <c r="D1" s="908"/>
      <c r="E1" s="908"/>
      <c r="F1" s="908"/>
      <c r="G1" s="908"/>
      <c r="H1" s="908"/>
      <c r="I1" s="908"/>
      <c r="J1" s="908"/>
      <c r="K1" s="908"/>
      <c r="L1" s="450"/>
    </row>
    <row r="2" spans="1:12" ht="30" customHeight="1">
      <c r="A2" s="450"/>
      <c r="B2" s="450"/>
      <c r="C2" s="450"/>
      <c r="D2" s="450"/>
      <c r="E2" s="450"/>
      <c r="F2" s="450"/>
      <c r="G2" s="450"/>
      <c r="H2" s="450"/>
      <c r="I2" s="450"/>
      <c r="J2" s="450"/>
      <c r="K2" s="450"/>
      <c r="L2" s="450"/>
    </row>
    <row r="3" spans="1:12" ht="18">
      <c r="A3" s="478" t="s">
        <v>489</v>
      </c>
      <c r="B3" s="479" t="s">
        <v>490</v>
      </c>
      <c r="C3" s="450"/>
      <c r="D3" s="450"/>
      <c r="E3" s="450"/>
      <c r="F3" s="450"/>
      <c r="G3" s="450"/>
      <c r="H3" s="450"/>
      <c r="I3" s="450"/>
      <c r="J3" s="450"/>
      <c r="K3" s="450"/>
      <c r="L3" s="450"/>
    </row>
    <row r="4" spans="1:12" ht="12" customHeight="1">
      <c r="A4" s="450"/>
      <c r="B4" s="450"/>
      <c r="C4" s="450"/>
      <c r="D4" s="450"/>
      <c r="E4" s="450"/>
      <c r="F4" s="450"/>
      <c r="G4" s="450"/>
      <c r="H4" s="450"/>
      <c r="I4" s="450"/>
      <c r="J4" s="450"/>
      <c r="K4" s="450"/>
      <c r="L4" s="450"/>
    </row>
    <row r="5" spans="1:12" ht="18">
      <c r="A5" s="480" t="s">
        <v>645</v>
      </c>
      <c r="B5" s="481"/>
      <c r="C5" s="481"/>
      <c r="D5" s="481"/>
      <c r="E5" s="481"/>
      <c r="F5" s="450"/>
      <c r="G5" s="450"/>
      <c r="H5" s="450"/>
      <c r="I5" s="450"/>
      <c r="J5" s="450"/>
      <c r="K5" s="450"/>
      <c r="L5" s="450"/>
    </row>
    <row r="6" spans="1:12" ht="17.25" customHeight="1">
      <c r="A6" s="450"/>
      <c r="B6" s="450"/>
      <c r="C6" s="450"/>
      <c r="D6" s="450"/>
      <c r="E6" s="450"/>
      <c r="F6" s="450"/>
      <c r="G6" s="450"/>
      <c r="H6" s="450"/>
      <c r="I6" s="450"/>
      <c r="J6" s="450"/>
      <c r="K6" s="450"/>
      <c r="L6" s="450"/>
    </row>
    <row r="7" spans="1:12" ht="15.6">
      <c r="A7" s="450"/>
      <c r="B7" s="482" t="s">
        <v>646</v>
      </c>
      <c r="C7" s="483">
        <v>0</v>
      </c>
      <c r="D7" s="482" t="s">
        <v>646</v>
      </c>
      <c r="E7" s="484" t="s">
        <v>647</v>
      </c>
      <c r="F7" s="482" t="s">
        <v>646</v>
      </c>
      <c r="G7" s="484" t="s">
        <v>648</v>
      </c>
      <c r="H7" s="482" t="s">
        <v>649</v>
      </c>
      <c r="I7" s="484">
        <v>0</v>
      </c>
      <c r="J7" s="482" t="s">
        <v>649</v>
      </c>
      <c r="K7" s="484">
        <v>0.01</v>
      </c>
      <c r="L7" s="450"/>
    </row>
    <row r="8" spans="1:12" ht="15.6">
      <c r="A8" s="471" t="s">
        <v>650</v>
      </c>
      <c r="B8" s="900">
        <v>6</v>
      </c>
      <c r="C8" s="900"/>
      <c r="D8" s="900">
        <v>18</v>
      </c>
      <c r="E8" s="900"/>
      <c r="F8" s="900">
        <v>6</v>
      </c>
      <c r="G8" s="900"/>
      <c r="H8" s="900" t="s">
        <v>651</v>
      </c>
      <c r="I8" s="900"/>
      <c r="J8" s="900" t="s">
        <v>652</v>
      </c>
      <c r="K8" s="900"/>
      <c r="L8" s="450"/>
    </row>
    <row r="9" spans="1:12" ht="15.6">
      <c r="A9" s="471" t="s">
        <v>653</v>
      </c>
      <c r="B9" s="900">
        <v>14</v>
      </c>
      <c r="C9" s="900"/>
      <c r="D9" s="900">
        <v>26</v>
      </c>
      <c r="E9" s="900"/>
      <c r="F9" s="900">
        <v>2</v>
      </c>
      <c r="G9" s="900"/>
      <c r="H9" s="900" t="s">
        <v>654</v>
      </c>
      <c r="I9" s="900"/>
      <c r="J9" s="900" t="s">
        <v>655</v>
      </c>
      <c r="K9" s="900"/>
      <c r="L9" s="450"/>
    </row>
    <row r="10" spans="1:12" ht="15.6">
      <c r="A10" s="471" t="s">
        <v>656</v>
      </c>
      <c r="B10" s="900">
        <v>10</v>
      </c>
      <c r="C10" s="900"/>
      <c r="D10" s="900">
        <v>22</v>
      </c>
      <c r="E10" s="900"/>
      <c r="F10" s="900">
        <v>2</v>
      </c>
      <c r="G10" s="900"/>
      <c r="H10" s="900" t="s">
        <v>657</v>
      </c>
      <c r="I10" s="900"/>
      <c r="J10" s="900" t="s">
        <v>658</v>
      </c>
      <c r="K10" s="900"/>
      <c r="L10" s="450"/>
    </row>
    <row r="11" spans="1:12" ht="26.25" customHeight="1">
      <c r="A11" s="450"/>
      <c r="B11" s="450"/>
      <c r="C11" s="450"/>
      <c r="D11" s="450"/>
      <c r="E11" s="450"/>
      <c r="F11" s="450"/>
      <c r="G11" s="450"/>
      <c r="H11" s="450"/>
      <c r="I11" s="450"/>
      <c r="J11" s="450"/>
      <c r="K11" s="450"/>
      <c r="L11" s="450"/>
    </row>
    <row r="12" spans="1:12" ht="18">
      <c r="A12" s="480" t="s">
        <v>659</v>
      </c>
      <c r="B12" s="450"/>
      <c r="C12" s="450"/>
      <c r="D12" s="450"/>
      <c r="E12" s="450"/>
      <c r="F12" s="450"/>
      <c r="G12" s="450"/>
      <c r="H12" s="450"/>
      <c r="I12" s="450"/>
      <c r="J12" s="450"/>
      <c r="K12" s="450"/>
      <c r="L12" s="450"/>
    </row>
    <row r="13" spans="1:12" ht="15.6">
      <c r="A13" s="450"/>
      <c r="B13" s="450"/>
      <c r="C13" s="450"/>
      <c r="D13" s="450"/>
      <c r="E13" s="450"/>
      <c r="F13" s="450"/>
      <c r="G13" s="450"/>
      <c r="H13" s="450"/>
      <c r="I13" s="450"/>
      <c r="J13" s="450"/>
      <c r="K13" s="450"/>
      <c r="L13" s="450"/>
    </row>
    <row r="14" spans="1:12" ht="15.6">
      <c r="A14" s="450"/>
      <c r="B14" s="906" t="s">
        <v>660</v>
      </c>
      <c r="C14" s="896"/>
      <c r="D14" s="907" t="s">
        <v>661</v>
      </c>
      <c r="E14" s="900"/>
      <c r="F14" s="906" t="s">
        <v>662</v>
      </c>
      <c r="G14" s="896"/>
      <c r="H14" s="907" t="s">
        <v>663</v>
      </c>
      <c r="I14" s="900"/>
      <c r="J14" s="450"/>
      <c r="K14" s="450"/>
      <c r="L14" s="450"/>
    </row>
    <row r="15" spans="1:12" ht="15.6">
      <c r="A15" s="450"/>
      <c r="B15" s="906" t="s">
        <v>664</v>
      </c>
      <c r="C15" s="896"/>
      <c r="D15" s="907" t="s">
        <v>665</v>
      </c>
      <c r="E15" s="900"/>
      <c r="F15" s="906" t="s">
        <v>666</v>
      </c>
      <c r="G15" s="896"/>
      <c r="H15" s="907" t="s">
        <v>667</v>
      </c>
      <c r="I15" s="900"/>
      <c r="J15" s="450"/>
      <c r="K15" s="450"/>
      <c r="L15" s="450"/>
    </row>
    <row r="16" spans="1:12" ht="15.6">
      <c r="A16" s="450"/>
      <c r="B16" s="906" t="s">
        <v>668</v>
      </c>
      <c r="C16" s="896"/>
      <c r="D16" s="907" t="s">
        <v>669</v>
      </c>
      <c r="E16" s="900"/>
      <c r="F16" s="906" t="s">
        <v>670</v>
      </c>
      <c r="G16" s="896"/>
      <c r="H16" s="907" t="s">
        <v>671</v>
      </c>
      <c r="I16" s="900"/>
      <c r="J16" s="450"/>
      <c r="K16" s="450"/>
      <c r="L16" s="450"/>
    </row>
    <row r="17" spans="1:12" ht="15.6">
      <c r="A17" s="450"/>
      <c r="B17" s="906" t="s">
        <v>672</v>
      </c>
      <c r="C17" s="896"/>
      <c r="D17" s="907" t="s">
        <v>673</v>
      </c>
      <c r="E17" s="900"/>
      <c r="F17" s="906" t="s">
        <v>674</v>
      </c>
      <c r="G17" s="896"/>
      <c r="H17" s="907" t="s">
        <v>675</v>
      </c>
      <c r="I17" s="900"/>
      <c r="J17" s="450"/>
      <c r="K17" s="450"/>
      <c r="L17" s="450"/>
    </row>
    <row r="18" spans="1:12" ht="15.6">
      <c r="A18" s="450"/>
      <c r="B18" s="906" t="s">
        <v>676</v>
      </c>
      <c r="C18" s="896"/>
      <c r="D18" s="907" t="s">
        <v>677</v>
      </c>
      <c r="E18" s="900"/>
      <c r="F18" s="906" t="s">
        <v>678</v>
      </c>
      <c r="G18" s="896"/>
      <c r="H18" s="907" t="s">
        <v>679</v>
      </c>
      <c r="I18" s="900"/>
      <c r="J18" s="450"/>
      <c r="K18" s="450"/>
      <c r="L18" s="450"/>
    </row>
    <row r="19" spans="1:12" ht="27" customHeight="1">
      <c r="A19" s="450"/>
      <c r="B19" s="450"/>
      <c r="C19" s="450"/>
      <c r="D19" s="450"/>
      <c r="E19" s="450"/>
      <c r="F19" s="450"/>
      <c r="G19" s="450"/>
      <c r="H19" s="450"/>
      <c r="I19" s="450"/>
      <c r="J19" s="450"/>
      <c r="K19" s="450"/>
      <c r="L19" s="450"/>
    </row>
    <row r="20" spans="1:12" ht="18">
      <c r="A20" s="480" t="s">
        <v>680</v>
      </c>
      <c r="B20" s="450"/>
      <c r="C20" s="450"/>
      <c r="D20" s="450"/>
      <c r="E20" s="450"/>
      <c r="F20" s="450"/>
      <c r="G20" s="450"/>
      <c r="H20" s="450"/>
      <c r="I20" s="450"/>
      <c r="J20" s="450"/>
      <c r="K20" s="450"/>
      <c r="L20" s="450"/>
    </row>
    <row r="21" spans="1:12" ht="15.6">
      <c r="A21" s="450"/>
      <c r="B21" s="450"/>
      <c r="C21" s="450"/>
      <c r="D21" s="450"/>
      <c r="E21" s="450"/>
      <c r="F21" s="450"/>
      <c r="G21" s="450"/>
      <c r="H21" s="450"/>
      <c r="I21" s="450"/>
      <c r="J21" s="450"/>
      <c r="K21" s="450"/>
      <c r="L21" s="450"/>
    </row>
    <row r="22" spans="1:12" ht="18">
      <c r="A22" s="450"/>
      <c r="B22" s="480" t="s">
        <v>681</v>
      </c>
      <c r="C22" s="450"/>
      <c r="D22" s="450"/>
      <c r="E22" s="450"/>
      <c r="F22" s="450"/>
      <c r="G22" s="450"/>
      <c r="H22" s="450"/>
      <c r="I22" s="450"/>
      <c r="J22" s="450"/>
      <c r="K22" s="450"/>
      <c r="L22" s="450"/>
    </row>
    <row r="23" spans="1:12" ht="15.6">
      <c r="A23" s="450"/>
      <c r="B23" s="450"/>
      <c r="C23" s="450"/>
      <c r="D23" s="450"/>
      <c r="E23" s="450"/>
      <c r="F23" s="450"/>
      <c r="G23" s="450"/>
      <c r="H23" s="450"/>
      <c r="I23" s="450"/>
      <c r="J23" s="450"/>
      <c r="K23" s="450"/>
      <c r="L23" s="450"/>
    </row>
    <row r="24" spans="1:12" ht="15.6">
      <c r="A24" s="450"/>
      <c r="B24" s="450"/>
      <c r="C24" s="450"/>
      <c r="D24" s="450"/>
      <c r="E24" s="450"/>
      <c r="F24" s="450"/>
      <c r="G24" s="450"/>
      <c r="H24" s="450"/>
      <c r="I24" s="450"/>
      <c r="J24" s="450"/>
      <c r="K24" s="450"/>
      <c r="L24" s="450"/>
    </row>
    <row r="25" spans="1:12" ht="15.6">
      <c r="A25" s="450"/>
      <c r="B25" s="450"/>
      <c r="C25" s="450"/>
      <c r="D25" s="450"/>
      <c r="E25" s="450"/>
      <c r="F25" s="450"/>
      <c r="G25" s="450"/>
      <c r="H25" s="450"/>
      <c r="I25" s="450"/>
      <c r="J25" s="450"/>
      <c r="K25" s="450"/>
      <c r="L25" s="450"/>
    </row>
    <row r="26" spans="1:12" ht="15.6">
      <c r="A26" s="450"/>
      <c r="B26" s="450"/>
      <c r="C26" s="450"/>
      <c r="D26" s="450"/>
      <c r="E26" s="450"/>
      <c r="F26" s="450"/>
      <c r="G26" s="450"/>
      <c r="H26" s="450"/>
      <c r="I26" s="450"/>
      <c r="J26" s="450"/>
      <c r="K26" s="450"/>
      <c r="L26" s="450"/>
    </row>
    <row r="27" spans="1:12" ht="15.6">
      <c r="A27" s="450"/>
      <c r="B27" s="450"/>
      <c r="C27" s="450"/>
      <c r="D27" s="450"/>
      <c r="E27" s="450"/>
      <c r="F27" s="450"/>
      <c r="G27" s="450"/>
      <c r="H27" s="450"/>
      <c r="I27" s="450"/>
      <c r="J27" s="450"/>
      <c r="K27" s="450"/>
      <c r="L27" s="450"/>
    </row>
    <row r="28" spans="1:12" ht="15.6">
      <c r="A28" s="450"/>
      <c r="B28" s="450"/>
      <c r="C28" s="450"/>
      <c r="D28" s="450"/>
      <c r="E28" s="450"/>
      <c r="F28" s="450"/>
      <c r="G28" s="450"/>
      <c r="H28" s="450"/>
      <c r="I28" s="450"/>
      <c r="J28" s="450"/>
      <c r="K28" s="450"/>
      <c r="L28" s="450"/>
    </row>
    <row r="29" spans="1:12" ht="15.6">
      <c r="A29" s="450"/>
      <c r="B29" s="450"/>
      <c r="C29" s="450"/>
      <c r="D29" s="450"/>
      <c r="E29" s="450"/>
      <c r="F29" s="450"/>
      <c r="G29" s="450"/>
      <c r="H29" s="450"/>
      <c r="I29" s="450"/>
      <c r="J29" s="450"/>
      <c r="K29" s="450"/>
      <c r="L29" s="450"/>
    </row>
    <row r="30" spans="1:12" ht="15.6">
      <c r="A30" s="450"/>
      <c r="B30" s="450"/>
      <c r="C30" s="450"/>
      <c r="D30" s="450"/>
      <c r="E30" s="450"/>
      <c r="F30" s="450"/>
      <c r="G30" s="450"/>
      <c r="H30" s="450"/>
      <c r="I30" s="450"/>
      <c r="J30" s="450"/>
      <c r="K30" s="450"/>
      <c r="L30" s="450"/>
    </row>
    <row r="31" spans="1:12" ht="15.6">
      <c r="A31" s="450"/>
      <c r="B31" s="450"/>
      <c r="C31" s="450"/>
      <c r="D31" s="450"/>
      <c r="E31" s="450"/>
      <c r="F31" s="450"/>
      <c r="G31" s="450"/>
      <c r="H31" s="450"/>
      <c r="I31" s="450"/>
      <c r="J31" s="450"/>
      <c r="K31" s="450"/>
      <c r="L31" s="450"/>
    </row>
    <row r="32" spans="1:12" ht="15.6">
      <c r="A32" s="450"/>
      <c r="B32" s="450"/>
      <c r="C32" s="450"/>
      <c r="D32" s="450"/>
      <c r="E32" s="450"/>
      <c r="F32" s="450"/>
      <c r="G32" s="450"/>
      <c r="H32" s="450"/>
      <c r="I32" s="450"/>
      <c r="J32" s="450"/>
      <c r="K32" s="450"/>
      <c r="L32" s="450"/>
    </row>
    <row r="33" spans="1:12" ht="15.6">
      <c r="A33" s="450"/>
      <c r="B33" s="450"/>
      <c r="C33" s="450"/>
      <c r="D33" s="450"/>
      <c r="E33" s="450"/>
      <c r="F33" s="450"/>
      <c r="G33" s="450"/>
      <c r="H33" s="450"/>
      <c r="I33" s="450"/>
      <c r="J33" s="450"/>
      <c r="K33" s="450"/>
      <c r="L33" s="450"/>
    </row>
  </sheetData>
  <mergeCells count="36">
    <mergeCell ref="A1:K1"/>
    <mergeCell ref="B8:C8"/>
    <mergeCell ref="D8:E8"/>
    <mergeCell ref="F8:G8"/>
    <mergeCell ref="H8:I8"/>
    <mergeCell ref="J8:K8"/>
    <mergeCell ref="B10:C10"/>
    <mergeCell ref="D10:E10"/>
    <mergeCell ref="F10:G10"/>
    <mergeCell ref="H10:I10"/>
    <mergeCell ref="J10:K10"/>
    <mergeCell ref="B9:C9"/>
    <mergeCell ref="D9:E9"/>
    <mergeCell ref="F9:G9"/>
    <mergeCell ref="H9:I9"/>
    <mergeCell ref="J9:K9"/>
    <mergeCell ref="B14:C14"/>
    <mergeCell ref="D14:E14"/>
    <mergeCell ref="F14:G14"/>
    <mergeCell ref="H14:I14"/>
    <mergeCell ref="B15:C15"/>
    <mergeCell ref="D15:E15"/>
    <mergeCell ref="F15:G15"/>
    <mergeCell ref="H15:I15"/>
    <mergeCell ref="B18:C18"/>
    <mergeCell ref="D18:E18"/>
    <mergeCell ref="F18:G18"/>
    <mergeCell ref="H18:I18"/>
    <mergeCell ref="B16:C16"/>
    <mergeCell ref="D16:E16"/>
    <mergeCell ref="F16:G16"/>
    <mergeCell ref="H16:I16"/>
    <mergeCell ref="B17:C17"/>
    <mergeCell ref="D17:E17"/>
    <mergeCell ref="F17:G17"/>
    <mergeCell ref="H17:I17"/>
  </mergeCells>
  <printOptions horizontalCentered="1"/>
  <pageMargins left="0.75" right="0.75" top="1" bottom="1" header="0.5" footer="0.5"/>
  <pageSetup orientation="portrait" verticalDpi="300" r:id="rId1"/>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E5C91-77C9-45A5-8BA5-05B62974FC63}">
  <sheetPr syncVertical="1" syncRef="A1" transitionEvaluation="1"/>
  <dimension ref="A1:N120"/>
  <sheetViews>
    <sheetView showGridLines="0" zoomScale="90" workbookViewId="0">
      <selection activeCell="C12" sqref="C12"/>
    </sheetView>
  </sheetViews>
  <sheetFormatPr defaultColWidth="9" defaultRowHeight="15.6"/>
  <cols>
    <col min="1" max="14" width="5" style="492" customWidth="1"/>
    <col min="15" max="256" width="9" style="492"/>
    <col min="257" max="270" width="5" style="492" customWidth="1"/>
    <col min="271" max="512" width="9" style="492"/>
    <col min="513" max="526" width="5" style="492" customWidth="1"/>
    <col min="527" max="768" width="9" style="492"/>
    <col min="769" max="782" width="5" style="492" customWidth="1"/>
    <col min="783" max="1024" width="9" style="492"/>
    <col min="1025" max="1038" width="5" style="492" customWidth="1"/>
    <col min="1039" max="1280" width="9" style="492"/>
    <col min="1281" max="1294" width="5" style="492" customWidth="1"/>
    <col min="1295" max="1536" width="9" style="492"/>
    <col min="1537" max="1550" width="5" style="492" customWidth="1"/>
    <col min="1551" max="1792" width="9" style="492"/>
    <col min="1793" max="1806" width="5" style="492" customWidth="1"/>
    <col min="1807" max="2048" width="9" style="492"/>
    <col min="2049" max="2062" width="5" style="492" customWidth="1"/>
    <col min="2063" max="2304" width="9" style="492"/>
    <col min="2305" max="2318" width="5" style="492" customWidth="1"/>
    <col min="2319" max="2560" width="9" style="492"/>
    <col min="2561" max="2574" width="5" style="492" customWidth="1"/>
    <col min="2575" max="2816" width="9" style="492"/>
    <col min="2817" max="2830" width="5" style="492" customWidth="1"/>
    <col min="2831" max="3072" width="9" style="492"/>
    <col min="3073" max="3086" width="5" style="492" customWidth="1"/>
    <col min="3087" max="3328" width="9" style="492"/>
    <col min="3329" max="3342" width="5" style="492" customWidth="1"/>
    <col min="3343" max="3584" width="9" style="492"/>
    <col min="3585" max="3598" width="5" style="492" customWidth="1"/>
    <col min="3599" max="3840" width="9" style="492"/>
    <col min="3841" max="3854" width="5" style="492" customWidth="1"/>
    <col min="3855" max="4096" width="9" style="492"/>
    <col min="4097" max="4110" width="5" style="492" customWidth="1"/>
    <col min="4111" max="4352" width="9" style="492"/>
    <col min="4353" max="4366" width="5" style="492" customWidth="1"/>
    <col min="4367" max="4608" width="9" style="492"/>
    <col min="4609" max="4622" width="5" style="492" customWidth="1"/>
    <col min="4623" max="4864" width="9" style="492"/>
    <col min="4865" max="4878" width="5" style="492" customWidth="1"/>
    <col min="4879" max="5120" width="9" style="492"/>
    <col min="5121" max="5134" width="5" style="492" customWidth="1"/>
    <col min="5135" max="5376" width="9" style="492"/>
    <col min="5377" max="5390" width="5" style="492" customWidth="1"/>
    <col min="5391" max="5632" width="9" style="492"/>
    <col min="5633" max="5646" width="5" style="492" customWidth="1"/>
    <col min="5647" max="5888" width="9" style="492"/>
    <col min="5889" max="5902" width="5" style="492" customWidth="1"/>
    <col min="5903" max="6144" width="9" style="492"/>
    <col min="6145" max="6158" width="5" style="492" customWidth="1"/>
    <col min="6159" max="6400" width="9" style="492"/>
    <col min="6401" max="6414" width="5" style="492" customWidth="1"/>
    <col min="6415" max="6656" width="9" style="492"/>
    <col min="6657" max="6670" width="5" style="492" customWidth="1"/>
    <col min="6671" max="6912" width="9" style="492"/>
    <col min="6913" max="6926" width="5" style="492" customWidth="1"/>
    <col min="6927" max="7168" width="9" style="492"/>
    <col min="7169" max="7182" width="5" style="492" customWidth="1"/>
    <col min="7183" max="7424" width="9" style="492"/>
    <col min="7425" max="7438" width="5" style="492" customWidth="1"/>
    <col min="7439" max="7680" width="9" style="492"/>
    <col min="7681" max="7694" width="5" style="492" customWidth="1"/>
    <col min="7695" max="7936" width="9" style="492"/>
    <col min="7937" max="7950" width="5" style="492" customWidth="1"/>
    <col min="7951" max="8192" width="9" style="492"/>
    <col min="8193" max="8206" width="5" style="492" customWidth="1"/>
    <col min="8207" max="8448" width="9" style="492"/>
    <col min="8449" max="8462" width="5" style="492" customWidth="1"/>
    <col min="8463" max="8704" width="9" style="492"/>
    <col min="8705" max="8718" width="5" style="492" customWidth="1"/>
    <col min="8719" max="8960" width="9" style="492"/>
    <col min="8961" max="8974" width="5" style="492" customWidth="1"/>
    <col min="8975" max="9216" width="9" style="492"/>
    <col min="9217" max="9230" width="5" style="492" customWidth="1"/>
    <col min="9231" max="9472" width="9" style="492"/>
    <col min="9473" max="9486" width="5" style="492" customWidth="1"/>
    <col min="9487" max="9728" width="9" style="492"/>
    <col min="9729" max="9742" width="5" style="492" customWidth="1"/>
    <col min="9743" max="9984" width="9" style="492"/>
    <col min="9985" max="9998" width="5" style="492" customWidth="1"/>
    <col min="9999" max="10240" width="9" style="492"/>
    <col min="10241" max="10254" width="5" style="492" customWidth="1"/>
    <col min="10255" max="10496" width="9" style="492"/>
    <col min="10497" max="10510" width="5" style="492" customWidth="1"/>
    <col min="10511" max="10752" width="9" style="492"/>
    <col min="10753" max="10766" width="5" style="492" customWidth="1"/>
    <col min="10767" max="11008" width="9" style="492"/>
    <col min="11009" max="11022" width="5" style="492" customWidth="1"/>
    <col min="11023" max="11264" width="9" style="492"/>
    <col min="11265" max="11278" width="5" style="492" customWidth="1"/>
    <col min="11279" max="11520" width="9" style="492"/>
    <col min="11521" max="11534" width="5" style="492" customWidth="1"/>
    <col min="11535" max="11776" width="9" style="492"/>
    <col min="11777" max="11790" width="5" style="492" customWidth="1"/>
    <col min="11791" max="12032" width="9" style="492"/>
    <col min="12033" max="12046" width="5" style="492" customWidth="1"/>
    <col min="12047" max="12288" width="9" style="492"/>
    <col min="12289" max="12302" width="5" style="492" customWidth="1"/>
    <col min="12303" max="12544" width="9" style="492"/>
    <col min="12545" max="12558" width="5" style="492" customWidth="1"/>
    <col min="12559" max="12800" width="9" style="492"/>
    <col min="12801" max="12814" width="5" style="492" customWidth="1"/>
    <col min="12815" max="13056" width="9" style="492"/>
    <col min="13057" max="13070" width="5" style="492" customWidth="1"/>
    <col min="13071" max="13312" width="9" style="492"/>
    <col min="13313" max="13326" width="5" style="492" customWidth="1"/>
    <col min="13327" max="13568" width="9" style="492"/>
    <col min="13569" max="13582" width="5" style="492" customWidth="1"/>
    <col min="13583" max="13824" width="9" style="492"/>
    <col min="13825" max="13838" width="5" style="492" customWidth="1"/>
    <col min="13839" max="14080" width="9" style="492"/>
    <col min="14081" max="14094" width="5" style="492" customWidth="1"/>
    <col min="14095" max="14336" width="9" style="492"/>
    <col min="14337" max="14350" width="5" style="492" customWidth="1"/>
    <col min="14351" max="14592" width="9" style="492"/>
    <col min="14593" max="14606" width="5" style="492" customWidth="1"/>
    <col min="14607" max="14848" width="9" style="492"/>
    <col min="14849" max="14862" width="5" style="492" customWidth="1"/>
    <col min="14863" max="15104" width="9" style="492"/>
    <col min="15105" max="15118" width="5" style="492" customWidth="1"/>
    <col min="15119" max="15360" width="9" style="492"/>
    <col min="15361" max="15374" width="5" style="492" customWidth="1"/>
    <col min="15375" max="15616" width="9" style="492"/>
    <col min="15617" max="15630" width="5" style="492" customWidth="1"/>
    <col min="15631" max="15872" width="9" style="492"/>
    <col min="15873" max="15886" width="5" style="492" customWidth="1"/>
    <col min="15887" max="16128" width="9" style="492"/>
    <col min="16129" max="16142" width="5" style="492" customWidth="1"/>
    <col min="16143" max="16384" width="9" style="492"/>
  </cols>
  <sheetData>
    <row r="1" spans="1:14" ht="17.100000000000001" customHeight="1">
      <c r="A1" s="485" t="s">
        <v>0</v>
      </c>
      <c r="B1" s="486"/>
      <c r="C1" s="486"/>
      <c r="D1" s="486"/>
      <c r="E1" s="486"/>
      <c r="F1" s="486"/>
      <c r="G1" s="486"/>
      <c r="H1" s="486"/>
      <c r="I1" s="486"/>
      <c r="J1" s="487" t="s">
        <v>1</v>
      </c>
      <c r="K1" s="488"/>
      <c r="L1" s="489" t="s">
        <v>682</v>
      </c>
      <c r="M1" s="490"/>
      <c r="N1" s="491"/>
    </row>
    <row r="2" spans="1:14" ht="17.100000000000001" customHeight="1">
      <c r="A2" s="493" t="s">
        <v>3</v>
      </c>
      <c r="B2" s="494"/>
      <c r="C2" s="494"/>
      <c r="D2" s="494"/>
      <c r="E2" s="494"/>
      <c r="F2" s="494"/>
      <c r="G2" s="494"/>
      <c r="H2" s="494"/>
      <c r="I2" s="494"/>
      <c r="J2" s="495" t="s">
        <v>4</v>
      </c>
      <c r="K2" s="496"/>
      <c r="L2" s="497" t="s">
        <v>5</v>
      </c>
      <c r="M2" s="498"/>
      <c r="N2" s="491"/>
    </row>
    <row r="3" spans="1:14" ht="15.9" customHeight="1">
      <c r="A3" s="499"/>
      <c r="B3" s="500"/>
      <c r="C3" s="500"/>
      <c r="D3" s="500"/>
      <c r="E3" s="500"/>
      <c r="F3" s="500"/>
      <c r="G3" s="500"/>
      <c r="H3" s="500"/>
      <c r="I3" s="500"/>
      <c r="J3" s="495" t="s">
        <v>6</v>
      </c>
      <c r="K3" s="496"/>
      <c r="L3" s="501" t="s">
        <v>683</v>
      </c>
      <c r="M3" s="498"/>
      <c r="N3" s="491"/>
    </row>
    <row r="4" spans="1:14" ht="15.9" customHeight="1">
      <c r="A4" s="502"/>
      <c r="B4" s="500"/>
      <c r="C4" s="500"/>
      <c r="D4" s="500"/>
      <c r="E4" s="500"/>
      <c r="F4" s="500"/>
      <c r="G4" s="500"/>
      <c r="H4" s="500"/>
      <c r="I4" s="500"/>
      <c r="J4" s="495" t="s">
        <v>7</v>
      </c>
      <c r="K4" s="496"/>
      <c r="L4" s="501" t="s">
        <v>684</v>
      </c>
      <c r="M4" s="498"/>
      <c r="N4" s="491"/>
    </row>
    <row r="5" spans="1:14" ht="15.9" customHeight="1">
      <c r="A5" s="499"/>
      <c r="B5" s="500"/>
      <c r="C5" s="500"/>
      <c r="D5" s="500"/>
      <c r="E5" s="500"/>
      <c r="F5" s="500"/>
      <c r="G5" s="500"/>
      <c r="H5" s="500"/>
      <c r="I5" s="500"/>
      <c r="J5" s="495" t="s">
        <v>9</v>
      </c>
      <c r="K5" s="496"/>
      <c r="L5" s="497">
        <v>2</v>
      </c>
      <c r="M5" s="498"/>
      <c r="N5" s="491"/>
    </row>
    <row r="6" spans="1:14" ht="15.9" customHeight="1">
      <c r="A6" s="503" t="s">
        <v>685</v>
      </c>
      <c r="B6" s="500"/>
      <c r="C6" s="500"/>
      <c r="D6" s="500"/>
      <c r="E6" s="500"/>
      <c r="F6" s="500"/>
      <c r="G6" s="500"/>
      <c r="H6" s="500"/>
      <c r="I6" s="500"/>
      <c r="J6" s="495" t="s">
        <v>11</v>
      </c>
      <c r="K6" s="496"/>
      <c r="L6" s="497" t="s">
        <v>12</v>
      </c>
      <c r="M6" s="498"/>
      <c r="N6" s="491"/>
    </row>
    <row r="7" spans="1:14" ht="15.9" customHeight="1" thickBot="1">
      <c r="A7" s="504" t="s">
        <v>686</v>
      </c>
      <c r="B7" s="505"/>
      <c r="C7" s="505"/>
      <c r="D7" s="505"/>
      <c r="E7" s="505"/>
      <c r="F7" s="505"/>
      <c r="G7" s="505"/>
      <c r="H7" s="505"/>
      <c r="I7" s="505"/>
      <c r="J7" s="506" t="s">
        <v>14</v>
      </c>
      <c r="K7" s="507"/>
      <c r="L7" s="508" t="s">
        <v>687</v>
      </c>
      <c r="M7" s="509"/>
      <c r="N7" s="491"/>
    </row>
    <row r="8" spans="1:14" ht="15.9" customHeight="1">
      <c r="A8" s="510"/>
      <c r="B8" s="500"/>
      <c r="C8" s="500"/>
      <c r="D8" s="500"/>
      <c r="E8" s="500"/>
      <c r="F8" s="500"/>
      <c r="G8" s="500"/>
      <c r="H8" s="500"/>
      <c r="I8" s="500"/>
      <c r="J8" s="500"/>
      <c r="K8" s="511"/>
      <c r="L8" s="512"/>
      <c r="M8" s="513"/>
      <c r="N8" s="500"/>
    </row>
    <row r="9" spans="1:14" ht="12" customHeight="1">
      <c r="A9" s="514"/>
      <c r="B9" s="515" t="s">
        <v>688</v>
      </c>
      <c r="C9" s="516" t="s">
        <v>689</v>
      </c>
      <c r="D9" s="517"/>
      <c r="E9" s="517"/>
      <c r="F9" s="517"/>
      <c r="G9" s="517"/>
      <c r="H9" s="517"/>
      <c r="I9" s="517"/>
      <c r="J9" s="517"/>
      <c r="K9" s="518"/>
      <c r="L9" s="514"/>
      <c r="M9" s="517"/>
      <c r="N9" s="500"/>
    </row>
    <row r="10" spans="1:14" ht="12" customHeight="1">
      <c r="A10" s="514"/>
      <c r="B10" s="515" t="s">
        <v>19</v>
      </c>
      <c r="C10" s="519" t="s">
        <v>690</v>
      </c>
      <c r="D10" s="514"/>
      <c r="E10" s="514"/>
      <c r="F10" s="514"/>
      <c r="G10" s="514"/>
      <c r="H10" s="514"/>
      <c r="I10" s="514"/>
      <c r="J10" s="514"/>
      <c r="K10" s="514"/>
      <c r="L10" s="514"/>
      <c r="M10" s="514"/>
      <c r="N10" s="512"/>
    </row>
    <row r="11" spans="1:14" ht="16.2" thickBot="1">
      <c r="A11" s="512"/>
      <c r="B11" s="512"/>
      <c r="C11" s="512"/>
      <c r="D11" s="512"/>
      <c r="E11" s="512"/>
      <c r="F11" s="512"/>
      <c r="G11" s="512"/>
      <c r="H11" s="512"/>
      <c r="I11" s="512"/>
      <c r="J11" s="512"/>
      <c r="K11" s="512"/>
      <c r="L11" s="512"/>
      <c r="M11" s="512"/>
      <c r="N11" s="512"/>
    </row>
    <row r="12" spans="1:14" ht="20.100000000000001" customHeight="1" thickBot="1">
      <c r="A12" s="520" t="s">
        <v>691</v>
      </c>
      <c r="B12" s="521"/>
      <c r="C12" s="521"/>
      <c r="D12" s="521"/>
      <c r="E12" s="521"/>
      <c r="F12" s="521"/>
      <c r="G12" s="521"/>
      <c r="H12" s="521"/>
      <c r="I12" s="521"/>
      <c r="J12" s="521"/>
      <c r="K12" s="521"/>
      <c r="L12" s="521"/>
      <c r="M12" s="522"/>
      <c r="N12" s="491"/>
    </row>
    <row r="13" spans="1:14" ht="12.9" customHeight="1" thickTop="1">
      <c r="A13" s="523"/>
      <c r="B13" s="515" t="s">
        <v>692</v>
      </c>
      <c r="C13" s="524">
        <v>350</v>
      </c>
      <c r="D13" s="514"/>
      <c r="E13" s="515" t="s">
        <v>693</v>
      </c>
      <c r="F13" s="524">
        <v>4000</v>
      </c>
      <c r="G13" s="514"/>
      <c r="H13" s="515" t="s">
        <v>694</v>
      </c>
      <c r="I13" s="524" t="s">
        <v>695</v>
      </c>
      <c r="J13" s="514"/>
      <c r="K13" s="514"/>
      <c r="L13" s="515" t="s">
        <v>696</v>
      </c>
      <c r="M13" s="525">
        <v>1800</v>
      </c>
      <c r="N13" s="491"/>
    </row>
    <row r="14" spans="1:14" ht="12.9" customHeight="1">
      <c r="A14" s="523"/>
      <c r="B14" s="515" t="s">
        <v>697</v>
      </c>
      <c r="C14" s="524" t="s">
        <v>89</v>
      </c>
      <c r="D14" s="514"/>
      <c r="E14" s="515" t="s">
        <v>698</v>
      </c>
      <c r="F14" s="524" t="s">
        <v>57</v>
      </c>
      <c r="G14" s="514"/>
      <c r="H14" s="515" t="s">
        <v>699</v>
      </c>
      <c r="I14" s="524">
        <v>44</v>
      </c>
      <c r="J14" s="514"/>
      <c r="K14" s="514"/>
      <c r="L14" s="515" t="s">
        <v>700</v>
      </c>
      <c r="M14" s="525">
        <v>1780</v>
      </c>
      <c r="N14" s="491"/>
    </row>
    <row r="15" spans="1:14" ht="12.9" customHeight="1">
      <c r="A15" s="523"/>
      <c r="B15" s="515" t="s">
        <v>701</v>
      </c>
      <c r="C15" s="524" t="s">
        <v>86</v>
      </c>
      <c r="D15" s="514"/>
      <c r="E15" s="515" t="s">
        <v>702</v>
      </c>
      <c r="F15" s="526" t="s">
        <v>703</v>
      </c>
      <c r="G15" s="514"/>
      <c r="H15" s="527" t="s">
        <v>704</v>
      </c>
      <c r="I15" s="524" t="s">
        <v>388</v>
      </c>
      <c r="J15" s="514"/>
      <c r="K15" s="514"/>
      <c r="L15" s="515" t="s">
        <v>705</v>
      </c>
      <c r="M15" s="525" t="s">
        <v>383</v>
      </c>
      <c r="N15" s="491"/>
    </row>
    <row r="16" spans="1:14" ht="12.9" customHeight="1">
      <c r="A16" s="523"/>
      <c r="B16" s="515" t="s">
        <v>706</v>
      </c>
      <c r="C16" s="524" t="s">
        <v>707</v>
      </c>
      <c r="D16" s="514"/>
      <c r="E16" s="515" t="s">
        <v>708</v>
      </c>
      <c r="F16" s="524" t="s">
        <v>630</v>
      </c>
      <c r="G16" s="514"/>
      <c r="H16" s="528" t="s">
        <v>709</v>
      </c>
      <c r="I16" s="526" t="s">
        <v>383</v>
      </c>
      <c r="J16" s="514"/>
      <c r="K16" s="514"/>
      <c r="L16" s="515" t="s">
        <v>710</v>
      </c>
      <c r="M16" s="525" t="s">
        <v>711</v>
      </c>
      <c r="N16" s="491"/>
    </row>
    <row r="17" spans="1:14" ht="12.9" customHeight="1">
      <c r="A17" s="523"/>
      <c r="B17" s="515" t="s">
        <v>712</v>
      </c>
      <c r="C17" s="516" t="s">
        <v>713</v>
      </c>
      <c r="D17" s="514"/>
      <c r="E17" s="515"/>
      <c r="F17" s="529"/>
      <c r="G17" s="514"/>
      <c r="H17" s="515" t="s">
        <v>714</v>
      </c>
      <c r="I17" s="526" t="s">
        <v>37</v>
      </c>
      <c r="J17" s="514"/>
      <c r="K17" s="514"/>
      <c r="L17" s="515"/>
      <c r="M17" s="530"/>
      <c r="N17" s="491"/>
    </row>
    <row r="18" spans="1:14" ht="12.9" customHeight="1" thickBot="1">
      <c r="A18" s="531"/>
      <c r="B18" s="532" t="s">
        <v>715</v>
      </c>
      <c r="C18" s="533" t="s">
        <v>37</v>
      </c>
      <c r="D18" s="534"/>
      <c r="E18" s="532" t="s">
        <v>716</v>
      </c>
      <c r="F18" s="533" t="s">
        <v>37</v>
      </c>
      <c r="G18" s="535"/>
      <c r="H18" s="532" t="s">
        <v>717</v>
      </c>
      <c r="I18" s="533" t="s">
        <v>37</v>
      </c>
      <c r="J18" s="534"/>
      <c r="K18" s="534"/>
      <c r="L18" s="534"/>
      <c r="M18" s="536"/>
      <c r="N18" s="491"/>
    </row>
    <row r="19" spans="1:14" ht="16.2" thickBot="1">
      <c r="A19" s="491"/>
      <c r="B19" s="491"/>
      <c r="C19" s="491"/>
      <c r="D19" s="491"/>
      <c r="E19" s="491"/>
      <c r="F19" s="491"/>
      <c r="G19" s="491"/>
      <c r="H19" s="491"/>
      <c r="I19" s="491"/>
      <c r="J19" s="491"/>
      <c r="K19" s="491"/>
      <c r="L19" s="491"/>
      <c r="M19" s="491"/>
      <c r="N19" s="491"/>
    </row>
    <row r="20" spans="1:14" ht="20.100000000000001" customHeight="1" thickBot="1">
      <c r="A20" s="520"/>
      <c r="B20" s="521"/>
      <c r="C20" s="521"/>
      <c r="D20" s="521"/>
      <c r="E20" s="521"/>
      <c r="F20" s="521"/>
      <c r="G20" s="521"/>
      <c r="H20" s="521"/>
      <c r="I20" s="521"/>
      <c r="J20" s="521"/>
      <c r="K20" s="521"/>
      <c r="L20" s="521"/>
      <c r="M20" s="522"/>
    </row>
    <row r="21" spans="1:14" ht="15.9" customHeight="1" thickTop="1">
      <c r="A21" s="537" t="s">
        <v>718</v>
      </c>
      <c r="B21" s="538"/>
      <c r="C21" s="512"/>
      <c r="D21" s="539"/>
      <c r="E21" s="540" t="s">
        <v>719</v>
      </c>
      <c r="F21" s="541"/>
      <c r="G21" s="541"/>
      <c r="H21" s="542"/>
      <c r="I21" s="543" t="s">
        <v>720</v>
      </c>
      <c r="J21" s="541"/>
      <c r="K21" s="541"/>
      <c r="L21" s="512"/>
      <c r="M21" s="544"/>
    </row>
    <row r="22" spans="1:14" ht="15.9" customHeight="1">
      <c r="A22" s="545" t="s">
        <v>721</v>
      </c>
      <c r="B22" s="514"/>
      <c r="C22" s="515"/>
      <c r="D22" s="546">
        <v>278</v>
      </c>
      <c r="E22" s="515"/>
      <c r="G22" s="528" t="s">
        <v>722</v>
      </c>
      <c r="H22" s="547">
        <v>1033</v>
      </c>
      <c r="I22" s="515"/>
      <c r="J22" s="514"/>
      <c r="K22" s="515" t="s">
        <v>723</v>
      </c>
      <c r="L22" s="909"/>
      <c r="M22" s="910"/>
    </row>
    <row r="23" spans="1:14" ht="15.9" customHeight="1">
      <c r="A23" s="545"/>
      <c r="B23" s="515"/>
      <c r="C23" s="518"/>
      <c r="D23" s="548"/>
      <c r="E23" s="515"/>
      <c r="G23" s="515" t="s">
        <v>724</v>
      </c>
      <c r="H23" s="546">
        <v>170</v>
      </c>
      <c r="I23" s="514"/>
      <c r="J23" s="514"/>
      <c r="K23" s="515" t="s">
        <v>725</v>
      </c>
      <c r="L23" s="909"/>
      <c r="M23" s="910"/>
    </row>
    <row r="24" spans="1:14" ht="15.9" customHeight="1">
      <c r="A24" s="523"/>
      <c r="B24" s="515"/>
      <c r="C24" s="514"/>
      <c r="D24" s="548"/>
      <c r="E24" s="515"/>
      <c r="G24" s="528" t="s">
        <v>726</v>
      </c>
      <c r="H24" s="546">
        <v>270</v>
      </c>
      <c r="I24" s="514"/>
      <c r="J24" s="515"/>
      <c r="K24" s="514"/>
      <c r="L24" s="514"/>
      <c r="M24" s="530"/>
    </row>
    <row r="25" spans="1:14" ht="15.9" customHeight="1" thickBot="1">
      <c r="A25" s="531"/>
      <c r="B25" s="532"/>
      <c r="C25" s="534"/>
      <c r="D25" s="549"/>
      <c r="E25" s="532"/>
      <c r="F25" s="532"/>
      <c r="G25" s="532"/>
      <c r="H25" s="550"/>
      <c r="I25" s="534"/>
      <c r="J25" s="532"/>
      <c r="K25" s="534"/>
      <c r="L25" s="534"/>
      <c r="M25" s="536"/>
    </row>
    <row r="26" spans="1:14" ht="18.899999999999999" customHeight="1" thickBot="1">
      <c r="A26" s="510"/>
      <c r="B26" s="510"/>
      <c r="C26" s="510"/>
      <c r="D26" s="491"/>
      <c r="E26" s="491"/>
      <c r="F26" s="491"/>
      <c r="G26" s="491"/>
      <c r="H26" s="491"/>
      <c r="I26" s="491"/>
      <c r="J26" s="491"/>
      <c r="K26" s="491"/>
      <c r="L26" s="491"/>
      <c r="M26" s="491"/>
      <c r="N26" s="491"/>
    </row>
    <row r="27" spans="1:14" ht="20.100000000000001" customHeight="1" thickBot="1">
      <c r="A27" s="551"/>
      <c r="B27" s="552"/>
      <c r="C27" s="552"/>
      <c r="D27" s="552"/>
      <c r="E27" s="552"/>
      <c r="F27" s="552"/>
      <c r="G27" s="553"/>
      <c r="H27" s="552"/>
      <c r="I27" s="552"/>
      <c r="J27" s="552"/>
      <c r="K27" s="552"/>
      <c r="L27" s="552"/>
      <c r="M27" s="554"/>
    </row>
    <row r="28" spans="1:14" ht="15.9" customHeight="1" thickTop="1">
      <c r="A28" s="555" t="s">
        <v>727</v>
      </c>
      <c r="B28" s="538"/>
      <c r="C28" s="512"/>
      <c r="D28" s="512"/>
      <c r="E28" s="541"/>
      <c r="F28" s="541"/>
      <c r="G28" s="556"/>
      <c r="H28" s="540" t="s">
        <v>728</v>
      </c>
      <c r="I28" s="541"/>
      <c r="J28" s="541"/>
      <c r="K28" s="540"/>
      <c r="L28" s="541"/>
      <c r="M28" s="544"/>
    </row>
    <row r="29" spans="1:14" ht="15.9" customHeight="1">
      <c r="A29" s="523"/>
      <c r="B29" s="515"/>
      <c r="C29" s="515" t="s">
        <v>729</v>
      </c>
      <c r="D29" s="557">
        <v>93.5</v>
      </c>
      <c r="E29" s="515"/>
      <c r="F29" s="515"/>
      <c r="G29" s="556"/>
      <c r="H29" s="528"/>
      <c r="I29" s="515"/>
      <c r="J29" s="515" t="s">
        <v>729</v>
      </c>
      <c r="K29" s="557">
        <v>92.4</v>
      </c>
      <c r="L29" s="514"/>
      <c r="M29" s="530"/>
    </row>
    <row r="30" spans="1:14" ht="15.9" customHeight="1">
      <c r="A30" s="558"/>
      <c r="B30" s="514"/>
      <c r="C30" s="515" t="s">
        <v>730</v>
      </c>
      <c r="D30" s="557">
        <v>93.3</v>
      </c>
      <c r="E30" s="515"/>
      <c r="F30" s="515"/>
      <c r="G30" s="556"/>
      <c r="H30" s="515"/>
      <c r="I30" s="514"/>
      <c r="J30" s="515" t="s">
        <v>730</v>
      </c>
      <c r="K30" s="557">
        <v>92.1</v>
      </c>
      <c r="L30" s="514"/>
      <c r="M30" s="530"/>
    </row>
    <row r="31" spans="1:14" ht="15.9" customHeight="1">
      <c r="A31" s="523"/>
      <c r="B31" s="515"/>
      <c r="C31" s="515" t="s">
        <v>731</v>
      </c>
      <c r="D31" s="557">
        <v>92.3</v>
      </c>
      <c r="E31" s="515"/>
      <c r="F31" s="515"/>
      <c r="G31" s="556"/>
      <c r="H31" s="515"/>
      <c r="I31" s="514"/>
      <c r="J31" s="515" t="s">
        <v>731</v>
      </c>
      <c r="K31" s="557">
        <v>89.3</v>
      </c>
      <c r="L31" s="515"/>
      <c r="M31" s="530"/>
    </row>
    <row r="32" spans="1:14" ht="15.9" customHeight="1" thickBot="1">
      <c r="A32" s="531"/>
      <c r="B32" s="532"/>
      <c r="C32" s="534"/>
      <c r="D32" s="534"/>
      <c r="E32" s="532"/>
      <c r="F32" s="532"/>
      <c r="G32" s="559"/>
      <c r="H32" s="532"/>
      <c r="I32" s="534"/>
      <c r="J32" s="532"/>
      <c r="K32" s="534"/>
      <c r="L32" s="532"/>
      <c r="M32" s="536"/>
    </row>
    <row r="33" spans="1:14" ht="20.100000000000001" customHeight="1" thickBot="1">
      <c r="A33" s="560"/>
      <c r="B33" s="560"/>
      <c r="C33" s="560"/>
      <c r="D33" s="560"/>
      <c r="E33" s="560"/>
      <c r="F33" s="560"/>
      <c r="G33" s="560"/>
      <c r="H33" s="560"/>
      <c r="I33" s="560"/>
      <c r="J33" s="560"/>
      <c r="K33" s="560"/>
      <c r="L33" s="560"/>
      <c r="M33" s="560"/>
      <c r="N33" s="560"/>
    </row>
    <row r="34" spans="1:14" ht="8.25" customHeight="1" thickBot="1">
      <c r="A34" s="561"/>
      <c r="B34" s="562"/>
      <c r="C34" s="562"/>
      <c r="D34" s="562"/>
      <c r="E34" s="562"/>
      <c r="F34" s="562"/>
      <c r="G34" s="562"/>
      <c r="H34" s="562"/>
      <c r="I34" s="562"/>
      <c r="J34" s="562"/>
      <c r="K34" s="562"/>
      <c r="L34" s="562"/>
      <c r="M34" s="563"/>
    </row>
    <row r="35" spans="1:14" ht="15.9" customHeight="1" thickTop="1">
      <c r="A35" s="564" t="s">
        <v>732</v>
      </c>
      <c r="B35" s="518"/>
      <c r="C35" s="518"/>
      <c r="D35" s="518"/>
      <c r="E35" s="518"/>
      <c r="F35" s="518"/>
      <c r="G35" s="518"/>
      <c r="H35" s="518"/>
      <c r="I35" s="518"/>
      <c r="J35" s="518"/>
      <c r="K35" s="518"/>
      <c r="L35" s="518"/>
      <c r="M35" s="565"/>
    </row>
    <row r="36" spans="1:14" ht="15.9" customHeight="1">
      <c r="A36" s="566" t="s">
        <v>733</v>
      </c>
      <c r="B36" s="567"/>
      <c r="C36" s="567"/>
      <c r="D36" s="567"/>
      <c r="E36" s="567"/>
      <c r="F36" s="567"/>
      <c r="G36" s="567"/>
      <c r="H36" s="567"/>
      <c r="I36" s="567"/>
      <c r="J36" s="567"/>
      <c r="K36" s="567"/>
      <c r="L36" s="567"/>
      <c r="M36" s="568"/>
    </row>
    <row r="37" spans="1:14" ht="15.9" customHeight="1">
      <c r="A37" s="569" t="s">
        <v>734</v>
      </c>
      <c r="B37" s="570"/>
      <c r="C37" s="570"/>
      <c r="D37" s="570"/>
      <c r="E37" s="570"/>
      <c r="F37" s="570"/>
      <c r="G37" s="570"/>
      <c r="H37" s="570"/>
      <c r="I37" s="570"/>
      <c r="J37" s="570"/>
      <c r="K37" s="570"/>
      <c r="L37" s="570"/>
      <c r="M37" s="571"/>
    </row>
    <row r="38" spans="1:14" ht="15.9" customHeight="1">
      <c r="A38" s="564" t="s">
        <v>735</v>
      </c>
      <c r="B38" s="518"/>
      <c r="C38" s="518"/>
      <c r="D38" s="518"/>
      <c r="E38" s="572"/>
      <c r="F38" s="518"/>
      <c r="G38" s="518"/>
      <c r="H38" s="518"/>
      <c r="I38" s="518"/>
      <c r="J38" s="518"/>
      <c r="K38" s="518"/>
      <c r="L38" s="518"/>
      <c r="M38" s="565"/>
    </row>
    <row r="39" spans="1:14" ht="15.9" customHeight="1">
      <c r="A39" s="558" t="s">
        <v>736</v>
      </c>
      <c r="B39" s="518"/>
      <c r="C39" s="518"/>
      <c r="D39" s="518"/>
      <c r="E39" s="518"/>
      <c r="F39" s="518"/>
      <c r="G39" s="518"/>
      <c r="H39" s="518"/>
      <c r="I39" s="518"/>
      <c r="J39" s="518"/>
      <c r="K39" s="518"/>
      <c r="L39" s="518"/>
      <c r="M39" s="565"/>
    </row>
    <row r="40" spans="1:14" ht="15.9" customHeight="1" thickBot="1">
      <c r="A40" s="573" t="s">
        <v>737</v>
      </c>
      <c r="B40" s="574"/>
      <c r="C40" s="574"/>
      <c r="D40" s="574"/>
      <c r="E40" s="574"/>
      <c r="F40" s="574"/>
      <c r="G40" s="574"/>
      <c r="H40" s="574"/>
      <c r="I40" s="574"/>
      <c r="J40" s="574"/>
      <c r="K40" s="574"/>
      <c r="L40" s="574"/>
      <c r="M40" s="575"/>
    </row>
    <row r="41" spans="1:14" ht="15.9" customHeight="1"/>
    <row r="42" spans="1:14" ht="19.8">
      <c r="A42" s="576"/>
      <c r="B42" s="576"/>
      <c r="C42" s="576"/>
      <c r="D42" s="576"/>
      <c r="E42" s="576"/>
      <c r="F42" s="576"/>
      <c r="G42" s="576"/>
      <c r="H42" s="491"/>
      <c r="I42" s="491"/>
      <c r="J42" s="577" t="s">
        <v>64</v>
      </c>
      <c r="K42" s="911" t="s">
        <v>65</v>
      </c>
      <c r="L42" s="911"/>
      <c r="M42" s="911"/>
      <c r="N42" s="576"/>
    </row>
    <row r="43" spans="1:14" ht="7.5" customHeight="1">
      <c r="H43" s="491"/>
      <c r="I43" s="491"/>
      <c r="J43" s="491"/>
      <c r="K43" s="491"/>
      <c r="L43" s="491"/>
      <c r="M43" s="491"/>
    </row>
    <row r="44" spans="1:14" ht="16.8">
      <c r="H44" s="491"/>
      <c r="I44" s="491"/>
      <c r="J44" s="577" t="s">
        <v>66</v>
      </c>
      <c r="K44" s="912">
        <v>43977</v>
      </c>
      <c r="L44" s="912"/>
      <c r="M44" s="912"/>
    </row>
    <row r="59" spans="1:5">
      <c r="A59" s="492" t="s">
        <v>37</v>
      </c>
      <c r="B59" s="492" t="s">
        <v>738</v>
      </c>
      <c r="D59" s="492">
        <v>1</v>
      </c>
      <c r="E59" s="578" t="s">
        <v>37</v>
      </c>
    </row>
    <row r="60" spans="1:5">
      <c r="A60" s="492" t="s">
        <v>57</v>
      </c>
      <c r="B60" s="492" t="s">
        <v>739</v>
      </c>
      <c r="D60" s="492">
        <v>1.1499999999999999</v>
      </c>
      <c r="E60" s="578" t="s">
        <v>445</v>
      </c>
    </row>
    <row r="61" spans="1:5">
      <c r="A61" s="492" t="s">
        <v>740</v>
      </c>
      <c r="B61" s="492" t="s">
        <v>741</v>
      </c>
      <c r="E61" s="578" t="s">
        <v>388</v>
      </c>
    </row>
    <row r="62" spans="1:5">
      <c r="B62" s="492" t="s">
        <v>742</v>
      </c>
    </row>
    <row r="63" spans="1:5">
      <c r="B63" s="492" t="s">
        <v>743</v>
      </c>
    </row>
    <row r="64" spans="1:5">
      <c r="B64" s="492" t="s">
        <v>744</v>
      </c>
    </row>
    <row r="65" spans="2:2">
      <c r="B65" s="492" t="s">
        <v>745</v>
      </c>
    </row>
    <row r="66" spans="2:2">
      <c r="B66" s="492" t="s">
        <v>746</v>
      </c>
    </row>
    <row r="67" spans="2:2">
      <c r="B67" s="492" t="s">
        <v>747</v>
      </c>
    </row>
    <row r="68" spans="2:2">
      <c r="B68" s="492" t="s">
        <v>748</v>
      </c>
    </row>
    <row r="69" spans="2:2">
      <c r="B69" s="492" t="s">
        <v>749</v>
      </c>
    </row>
    <row r="70" spans="2:2">
      <c r="B70" s="492" t="s">
        <v>750</v>
      </c>
    </row>
    <row r="71" spans="2:2">
      <c r="B71" s="492" t="s">
        <v>751</v>
      </c>
    </row>
    <row r="72" spans="2:2">
      <c r="B72" s="492" t="s">
        <v>752</v>
      </c>
    </row>
    <row r="73" spans="2:2">
      <c r="B73" s="492" t="s">
        <v>753</v>
      </c>
    </row>
    <row r="74" spans="2:2">
      <c r="B74" s="492" t="s">
        <v>754</v>
      </c>
    </row>
    <row r="75" spans="2:2">
      <c r="B75" s="492" t="s">
        <v>755</v>
      </c>
    </row>
    <row r="76" spans="2:2">
      <c r="B76" s="492" t="s">
        <v>756</v>
      </c>
    </row>
    <row r="77" spans="2:2">
      <c r="B77" s="492" t="s">
        <v>757</v>
      </c>
    </row>
    <row r="78" spans="2:2">
      <c r="B78" s="492" t="s">
        <v>758</v>
      </c>
    </row>
    <row r="79" spans="2:2">
      <c r="B79" s="492" t="s">
        <v>759</v>
      </c>
    </row>
    <row r="80" spans="2:2">
      <c r="B80" s="492">
        <v>6312</v>
      </c>
    </row>
    <row r="81" spans="2:2">
      <c r="B81" s="492" t="s">
        <v>760</v>
      </c>
    </row>
    <row r="82" spans="2:2">
      <c r="B82" s="492" t="s">
        <v>761</v>
      </c>
    </row>
    <row r="83" spans="2:2">
      <c r="B83" s="492" t="s">
        <v>762</v>
      </c>
    </row>
    <row r="84" spans="2:2">
      <c r="B84" s="492" t="s">
        <v>763</v>
      </c>
    </row>
    <row r="85" spans="2:2">
      <c r="B85" s="492">
        <v>6313</v>
      </c>
    </row>
    <row r="86" spans="2:2">
      <c r="B86" s="492" t="s">
        <v>764</v>
      </c>
    </row>
    <row r="87" spans="2:2">
      <c r="B87" s="492" t="s">
        <v>765</v>
      </c>
    </row>
    <row r="88" spans="2:2">
      <c r="B88" s="492" t="s">
        <v>766</v>
      </c>
    </row>
    <row r="89" spans="2:2">
      <c r="B89" s="492">
        <v>6314</v>
      </c>
    </row>
    <row r="90" spans="2:2">
      <c r="B90" s="492" t="s">
        <v>767</v>
      </c>
    </row>
    <row r="91" spans="2:2">
      <c r="B91" s="492">
        <v>6317</v>
      </c>
    </row>
    <row r="92" spans="2:2">
      <c r="B92" s="492" t="s">
        <v>768</v>
      </c>
    </row>
    <row r="93" spans="2:2">
      <c r="B93" s="492">
        <v>6318</v>
      </c>
    </row>
    <row r="94" spans="2:2">
      <c r="B94" s="492" t="s">
        <v>769</v>
      </c>
    </row>
    <row r="95" spans="2:2">
      <c r="B95" s="492" t="s">
        <v>770</v>
      </c>
    </row>
    <row r="96" spans="2:2">
      <c r="B96" s="492" t="s">
        <v>771</v>
      </c>
    </row>
    <row r="97" spans="2:2">
      <c r="B97" s="492">
        <v>6320</v>
      </c>
    </row>
    <row r="98" spans="2:2">
      <c r="B98" s="492" t="s">
        <v>772</v>
      </c>
    </row>
    <row r="99" spans="2:2">
      <c r="B99" s="492" t="s">
        <v>773</v>
      </c>
    </row>
    <row r="100" spans="2:2">
      <c r="B100" s="492" t="s">
        <v>774</v>
      </c>
    </row>
    <row r="101" spans="2:2">
      <c r="B101" s="492" t="s">
        <v>775</v>
      </c>
    </row>
    <row r="102" spans="2:2">
      <c r="B102" s="492" t="s">
        <v>775</v>
      </c>
    </row>
    <row r="118" spans="2:2">
      <c r="B118" s="492" t="s">
        <v>776</v>
      </c>
    </row>
    <row r="120" spans="2:2">
      <c r="B120" s="492" t="s">
        <v>777</v>
      </c>
    </row>
  </sheetData>
  <mergeCells count="4">
    <mergeCell ref="L22:M22"/>
    <mergeCell ref="L23:M23"/>
    <mergeCell ref="K42:M42"/>
    <mergeCell ref="K44:M44"/>
  </mergeCells>
  <dataValidations count="1">
    <dataValidation type="list" allowBlank="1" showInputMessage="1" showErrorMessage="1" prompt="Choose from list" sqref="L22:L23 JH22:JH23 TD22:TD23 ACZ22:ACZ23 AMV22:AMV23 AWR22:AWR23 BGN22:BGN23 BQJ22:BQJ23 CAF22:CAF23 CKB22:CKB23 CTX22:CTX23 DDT22:DDT23 DNP22:DNP23 DXL22:DXL23 EHH22:EHH23 ERD22:ERD23 FAZ22:FAZ23 FKV22:FKV23 FUR22:FUR23 GEN22:GEN23 GOJ22:GOJ23 GYF22:GYF23 HIB22:HIB23 HRX22:HRX23 IBT22:IBT23 ILP22:ILP23 IVL22:IVL23 JFH22:JFH23 JPD22:JPD23 JYZ22:JYZ23 KIV22:KIV23 KSR22:KSR23 LCN22:LCN23 LMJ22:LMJ23 LWF22:LWF23 MGB22:MGB23 MPX22:MPX23 MZT22:MZT23 NJP22:NJP23 NTL22:NTL23 ODH22:ODH23 OND22:OND23 OWZ22:OWZ23 PGV22:PGV23 PQR22:PQR23 QAN22:QAN23 QKJ22:QKJ23 QUF22:QUF23 REB22:REB23 RNX22:RNX23 RXT22:RXT23 SHP22:SHP23 SRL22:SRL23 TBH22:TBH23 TLD22:TLD23 TUZ22:TUZ23 UEV22:UEV23 UOR22:UOR23 UYN22:UYN23 VIJ22:VIJ23 VSF22:VSF23 WCB22:WCB23 WLX22:WLX23 WVT22:WVT23 L65558:L65559 JH65558:JH65559 TD65558:TD65559 ACZ65558:ACZ65559 AMV65558:AMV65559 AWR65558:AWR65559 BGN65558:BGN65559 BQJ65558:BQJ65559 CAF65558:CAF65559 CKB65558:CKB65559 CTX65558:CTX65559 DDT65558:DDT65559 DNP65558:DNP65559 DXL65558:DXL65559 EHH65558:EHH65559 ERD65558:ERD65559 FAZ65558:FAZ65559 FKV65558:FKV65559 FUR65558:FUR65559 GEN65558:GEN65559 GOJ65558:GOJ65559 GYF65558:GYF65559 HIB65558:HIB65559 HRX65558:HRX65559 IBT65558:IBT65559 ILP65558:ILP65559 IVL65558:IVL65559 JFH65558:JFH65559 JPD65558:JPD65559 JYZ65558:JYZ65559 KIV65558:KIV65559 KSR65558:KSR65559 LCN65558:LCN65559 LMJ65558:LMJ65559 LWF65558:LWF65559 MGB65558:MGB65559 MPX65558:MPX65559 MZT65558:MZT65559 NJP65558:NJP65559 NTL65558:NTL65559 ODH65558:ODH65559 OND65558:OND65559 OWZ65558:OWZ65559 PGV65558:PGV65559 PQR65558:PQR65559 QAN65558:QAN65559 QKJ65558:QKJ65559 QUF65558:QUF65559 REB65558:REB65559 RNX65558:RNX65559 RXT65558:RXT65559 SHP65558:SHP65559 SRL65558:SRL65559 TBH65558:TBH65559 TLD65558:TLD65559 TUZ65558:TUZ65559 UEV65558:UEV65559 UOR65558:UOR65559 UYN65558:UYN65559 VIJ65558:VIJ65559 VSF65558:VSF65559 WCB65558:WCB65559 WLX65558:WLX65559 WVT65558:WVT65559 L131094:L131095 JH131094:JH131095 TD131094:TD131095 ACZ131094:ACZ131095 AMV131094:AMV131095 AWR131094:AWR131095 BGN131094:BGN131095 BQJ131094:BQJ131095 CAF131094:CAF131095 CKB131094:CKB131095 CTX131094:CTX131095 DDT131094:DDT131095 DNP131094:DNP131095 DXL131094:DXL131095 EHH131094:EHH131095 ERD131094:ERD131095 FAZ131094:FAZ131095 FKV131094:FKV131095 FUR131094:FUR131095 GEN131094:GEN131095 GOJ131094:GOJ131095 GYF131094:GYF131095 HIB131094:HIB131095 HRX131094:HRX131095 IBT131094:IBT131095 ILP131094:ILP131095 IVL131094:IVL131095 JFH131094:JFH131095 JPD131094:JPD131095 JYZ131094:JYZ131095 KIV131094:KIV131095 KSR131094:KSR131095 LCN131094:LCN131095 LMJ131094:LMJ131095 LWF131094:LWF131095 MGB131094:MGB131095 MPX131094:MPX131095 MZT131094:MZT131095 NJP131094:NJP131095 NTL131094:NTL131095 ODH131094:ODH131095 OND131094:OND131095 OWZ131094:OWZ131095 PGV131094:PGV131095 PQR131094:PQR131095 QAN131094:QAN131095 QKJ131094:QKJ131095 QUF131094:QUF131095 REB131094:REB131095 RNX131094:RNX131095 RXT131094:RXT131095 SHP131094:SHP131095 SRL131094:SRL131095 TBH131094:TBH131095 TLD131094:TLD131095 TUZ131094:TUZ131095 UEV131094:UEV131095 UOR131094:UOR131095 UYN131094:UYN131095 VIJ131094:VIJ131095 VSF131094:VSF131095 WCB131094:WCB131095 WLX131094:WLX131095 WVT131094:WVT131095 L196630:L196631 JH196630:JH196631 TD196630:TD196631 ACZ196630:ACZ196631 AMV196630:AMV196631 AWR196630:AWR196631 BGN196630:BGN196631 BQJ196630:BQJ196631 CAF196630:CAF196631 CKB196630:CKB196631 CTX196630:CTX196631 DDT196630:DDT196631 DNP196630:DNP196631 DXL196630:DXL196631 EHH196630:EHH196631 ERD196630:ERD196631 FAZ196630:FAZ196631 FKV196630:FKV196631 FUR196630:FUR196631 GEN196630:GEN196631 GOJ196630:GOJ196631 GYF196630:GYF196631 HIB196630:HIB196631 HRX196630:HRX196631 IBT196630:IBT196631 ILP196630:ILP196631 IVL196630:IVL196631 JFH196630:JFH196631 JPD196630:JPD196631 JYZ196630:JYZ196631 KIV196630:KIV196631 KSR196630:KSR196631 LCN196630:LCN196631 LMJ196630:LMJ196631 LWF196630:LWF196631 MGB196630:MGB196631 MPX196630:MPX196631 MZT196630:MZT196631 NJP196630:NJP196631 NTL196630:NTL196631 ODH196630:ODH196631 OND196630:OND196631 OWZ196630:OWZ196631 PGV196630:PGV196631 PQR196630:PQR196631 QAN196630:QAN196631 QKJ196630:QKJ196631 QUF196630:QUF196631 REB196630:REB196631 RNX196630:RNX196631 RXT196630:RXT196631 SHP196630:SHP196631 SRL196630:SRL196631 TBH196630:TBH196631 TLD196630:TLD196631 TUZ196630:TUZ196631 UEV196630:UEV196631 UOR196630:UOR196631 UYN196630:UYN196631 VIJ196630:VIJ196631 VSF196630:VSF196631 WCB196630:WCB196631 WLX196630:WLX196631 WVT196630:WVT196631 L262166:L262167 JH262166:JH262167 TD262166:TD262167 ACZ262166:ACZ262167 AMV262166:AMV262167 AWR262166:AWR262167 BGN262166:BGN262167 BQJ262166:BQJ262167 CAF262166:CAF262167 CKB262166:CKB262167 CTX262166:CTX262167 DDT262166:DDT262167 DNP262166:DNP262167 DXL262166:DXL262167 EHH262166:EHH262167 ERD262166:ERD262167 FAZ262166:FAZ262167 FKV262166:FKV262167 FUR262166:FUR262167 GEN262166:GEN262167 GOJ262166:GOJ262167 GYF262166:GYF262167 HIB262166:HIB262167 HRX262166:HRX262167 IBT262166:IBT262167 ILP262166:ILP262167 IVL262166:IVL262167 JFH262166:JFH262167 JPD262166:JPD262167 JYZ262166:JYZ262167 KIV262166:KIV262167 KSR262166:KSR262167 LCN262166:LCN262167 LMJ262166:LMJ262167 LWF262166:LWF262167 MGB262166:MGB262167 MPX262166:MPX262167 MZT262166:MZT262167 NJP262166:NJP262167 NTL262166:NTL262167 ODH262166:ODH262167 OND262166:OND262167 OWZ262166:OWZ262167 PGV262166:PGV262167 PQR262166:PQR262167 QAN262166:QAN262167 QKJ262166:QKJ262167 QUF262166:QUF262167 REB262166:REB262167 RNX262166:RNX262167 RXT262166:RXT262167 SHP262166:SHP262167 SRL262166:SRL262167 TBH262166:TBH262167 TLD262166:TLD262167 TUZ262166:TUZ262167 UEV262166:UEV262167 UOR262166:UOR262167 UYN262166:UYN262167 VIJ262166:VIJ262167 VSF262166:VSF262167 WCB262166:WCB262167 WLX262166:WLX262167 WVT262166:WVT262167 L327702:L327703 JH327702:JH327703 TD327702:TD327703 ACZ327702:ACZ327703 AMV327702:AMV327703 AWR327702:AWR327703 BGN327702:BGN327703 BQJ327702:BQJ327703 CAF327702:CAF327703 CKB327702:CKB327703 CTX327702:CTX327703 DDT327702:DDT327703 DNP327702:DNP327703 DXL327702:DXL327703 EHH327702:EHH327703 ERD327702:ERD327703 FAZ327702:FAZ327703 FKV327702:FKV327703 FUR327702:FUR327703 GEN327702:GEN327703 GOJ327702:GOJ327703 GYF327702:GYF327703 HIB327702:HIB327703 HRX327702:HRX327703 IBT327702:IBT327703 ILP327702:ILP327703 IVL327702:IVL327703 JFH327702:JFH327703 JPD327702:JPD327703 JYZ327702:JYZ327703 KIV327702:KIV327703 KSR327702:KSR327703 LCN327702:LCN327703 LMJ327702:LMJ327703 LWF327702:LWF327703 MGB327702:MGB327703 MPX327702:MPX327703 MZT327702:MZT327703 NJP327702:NJP327703 NTL327702:NTL327703 ODH327702:ODH327703 OND327702:OND327703 OWZ327702:OWZ327703 PGV327702:PGV327703 PQR327702:PQR327703 QAN327702:QAN327703 QKJ327702:QKJ327703 QUF327702:QUF327703 REB327702:REB327703 RNX327702:RNX327703 RXT327702:RXT327703 SHP327702:SHP327703 SRL327702:SRL327703 TBH327702:TBH327703 TLD327702:TLD327703 TUZ327702:TUZ327703 UEV327702:UEV327703 UOR327702:UOR327703 UYN327702:UYN327703 VIJ327702:VIJ327703 VSF327702:VSF327703 WCB327702:WCB327703 WLX327702:WLX327703 WVT327702:WVT327703 L393238:L393239 JH393238:JH393239 TD393238:TD393239 ACZ393238:ACZ393239 AMV393238:AMV393239 AWR393238:AWR393239 BGN393238:BGN393239 BQJ393238:BQJ393239 CAF393238:CAF393239 CKB393238:CKB393239 CTX393238:CTX393239 DDT393238:DDT393239 DNP393238:DNP393239 DXL393238:DXL393239 EHH393238:EHH393239 ERD393238:ERD393239 FAZ393238:FAZ393239 FKV393238:FKV393239 FUR393238:FUR393239 GEN393238:GEN393239 GOJ393238:GOJ393239 GYF393238:GYF393239 HIB393238:HIB393239 HRX393238:HRX393239 IBT393238:IBT393239 ILP393238:ILP393239 IVL393238:IVL393239 JFH393238:JFH393239 JPD393238:JPD393239 JYZ393238:JYZ393239 KIV393238:KIV393239 KSR393238:KSR393239 LCN393238:LCN393239 LMJ393238:LMJ393239 LWF393238:LWF393239 MGB393238:MGB393239 MPX393238:MPX393239 MZT393238:MZT393239 NJP393238:NJP393239 NTL393238:NTL393239 ODH393238:ODH393239 OND393238:OND393239 OWZ393238:OWZ393239 PGV393238:PGV393239 PQR393238:PQR393239 QAN393238:QAN393239 QKJ393238:QKJ393239 QUF393238:QUF393239 REB393238:REB393239 RNX393238:RNX393239 RXT393238:RXT393239 SHP393238:SHP393239 SRL393238:SRL393239 TBH393238:TBH393239 TLD393238:TLD393239 TUZ393238:TUZ393239 UEV393238:UEV393239 UOR393238:UOR393239 UYN393238:UYN393239 VIJ393238:VIJ393239 VSF393238:VSF393239 WCB393238:WCB393239 WLX393238:WLX393239 WVT393238:WVT393239 L458774:L458775 JH458774:JH458775 TD458774:TD458775 ACZ458774:ACZ458775 AMV458774:AMV458775 AWR458774:AWR458775 BGN458774:BGN458775 BQJ458774:BQJ458775 CAF458774:CAF458775 CKB458774:CKB458775 CTX458774:CTX458775 DDT458774:DDT458775 DNP458774:DNP458775 DXL458774:DXL458775 EHH458774:EHH458775 ERD458774:ERD458775 FAZ458774:FAZ458775 FKV458774:FKV458775 FUR458774:FUR458775 GEN458774:GEN458775 GOJ458774:GOJ458775 GYF458774:GYF458775 HIB458774:HIB458775 HRX458774:HRX458775 IBT458774:IBT458775 ILP458774:ILP458775 IVL458774:IVL458775 JFH458774:JFH458775 JPD458774:JPD458775 JYZ458774:JYZ458775 KIV458774:KIV458775 KSR458774:KSR458775 LCN458774:LCN458775 LMJ458774:LMJ458775 LWF458774:LWF458775 MGB458774:MGB458775 MPX458774:MPX458775 MZT458774:MZT458775 NJP458774:NJP458775 NTL458774:NTL458775 ODH458774:ODH458775 OND458774:OND458775 OWZ458774:OWZ458775 PGV458774:PGV458775 PQR458774:PQR458775 QAN458774:QAN458775 QKJ458774:QKJ458775 QUF458774:QUF458775 REB458774:REB458775 RNX458774:RNX458775 RXT458774:RXT458775 SHP458774:SHP458775 SRL458774:SRL458775 TBH458774:TBH458775 TLD458774:TLD458775 TUZ458774:TUZ458775 UEV458774:UEV458775 UOR458774:UOR458775 UYN458774:UYN458775 VIJ458774:VIJ458775 VSF458774:VSF458775 WCB458774:WCB458775 WLX458774:WLX458775 WVT458774:WVT458775 L524310:L524311 JH524310:JH524311 TD524310:TD524311 ACZ524310:ACZ524311 AMV524310:AMV524311 AWR524310:AWR524311 BGN524310:BGN524311 BQJ524310:BQJ524311 CAF524310:CAF524311 CKB524310:CKB524311 CTX524310:CTX524311 DDT524310:DDT524311 DNP524310:DNP524311 DXL524310:DXL524311 EHH524310:EHH524311 ERD524310:ERD524311 FAZ524310:FAZ524311 FKV524310:FKV524311 FUR524310:FUR524311 GEN524310:GEN524311 GOJ524310:GOJ524311 GYF524310:GYF524311 HIB524310:HIB524311 HRX524310:HRX524311 IBT524310:IBT524311 ILP524310:ILP524311 IVL524310:IVL524311 JFH524310:JFH524311 JPD524310:JPD524311 JYZ524310:JYZ524311 KIV524310:KIV524311 KSR524310:KSR524311 LCN524310:LCN524311 LMJ524310:LMJ524311 LWF524310:LWF524311 MGB524310:MGB524311 MPX524310:MPX524311 MZT524310:MZT524311 NJP524310:NJP524311 NTL524310:NTL524311 ODH524310:ODH524311 OND524310:OND524311 OWZ524310:OWZ524311 PGV524310:PGV524311 PQR524310:PQR524311 QAN524310:QAN524311 QKJ524310:QKJ524311 QUF524310:QUF524311 REB524310:REB524311 RNX524310:RNX524311 RXT524310:RXT524311 SHP524310:SHP524311 SRL524310:SRL524311 TBH524310:TBH524311 TLD524310:TLD524311 TUZ524310:TUZ524311 UEV524310:UEV524311 UOR524310:UOR524311 UYN524310:UYN524311 VIJ524310:VIJ524311 VSF524310:VSF524311 WCB524310:WCB524311 WLX524310:WLX524311 WVT524310:WVT524311 L589846:L589847 JH589846:JH589847 TD589846:TD589847 ACZ589846:ACZ589847 AMV589846:AMV589847 AWR589846:AWR589847 BGN589846:BGN589847 BQJ589846:BQJ589847 CAF589846:CAF589847 CKB589846:CKB589847 CTX589846:CTX589847 DDT589846:DDT589847 DNP589846:DNP589847 DXL589846:DXL589847 EHH589846:EHH589847 ERD589846:ERD589847 FAZ589846:FAZ589847 FKV589846:FKV589847 FUR589846:FUR589847 GEN589846:GEN589847 GOJ589846:GOJ589847 GYF589846:GYF589847 HIB589846:HIB589847 HRX589846:HRX589847 IBT589846:IBT589847 ILP589846:ILP589847 IVL589846:IVL589847 JFH589846:JFH589847 JPD589846:JPD589847 JYZ589846:JYZ589847 KIV589846:KIV589847 KSR589846:KSR589847 LCN589846:LCN589847 LMJ589846:LMJ589847 LWF589846:LWF589847 MGB589846:MGB589847 MPX589846:MPX589847 MZT589846:MZT589847 NJP589846:NJP589847 NTL589846:NTL589847 ODH589846:ODH589847 OND589846:OND589847 OWZ589846:OWZ589847 PGV589846:PGV589847 PQR589846:PQR589847 QAN589846:QAN589847 QKJ589846:QKJ589847 QUF589846:QUF589847 REB589846:REB589847 RNX589846:RNX589847 RXT589846:RXT589847 SHP589846:SHP589847 SRL589846:SRL589847 TBH589846:TBH589847 TLD589846:TLD589847 TUZ589846:TUZ589847 UEV589846:UEV589847 UOR589846:UOR589847 UYN589846:UYN589847 VIJ589846:VIJ589847 VSF589846:VSF589847 WCB589846:WCB589847 WLX589846:WLX589847 WVT589846:WVT589847 L655382:L655383 JH655382:JH655383 TD655382:TD655383 ACZ655382:ACZ655383 AMV655382:AMV655383 AWR655382:AWR655383 BGN655382:BGN655383 BQJ655382:BQJ655383 CAF655382:CAF655383 CKB655382:CKB655383 CTX655382:CTX655383 DDT655382:DDT655383 DNP655382:DNP655383 DXL655382:DXL655383 EHH655382:EHH655383 ERD655382:ERD655383 FAZ655382:FAZ655383 FKV655382:FKV655383 FUR655382:FUR655383 GEN655382:GEN655383 GOJ655382:GOJ655383 GYF655382:GYF655383 HIB655382:HIB655383 HRX655382:HRX655383 IBT655382:IBT655383 ILP655382:ILP655383 IVL655382:IVL655383 JFH655382:JFH655383 JPD655382:JPD655383 JYZ655382:JYZ655383 KIV655382:KIV655383 KSR655382:KSR655383 LCN655382:LCN655383 LMJ655382:LMJ655383 LWF655382:LWF655383 MGB655382:MGB655383 MPX655382:MPX655383 MZT655382:MZT655383 NJP655382:NJP655383 NTL655382:NTL655383 ODH655382:ODH655383 OND655382:OND655383 OWZ655382:OWZ655383 PGV655382:PGV655383 PQR655382:PQR655383 QAN655382:QAN655383 QKJ655382:QKJ655383 QUF655382:QUF655383 REB655382:REB655383 RNX655382:RNX655383 RXT655382:RXT655383 SHP655382:SHP655383 SRL655382:SRL655383 TBH655382:TBH655383 TLD655382:TLD655383 TUZ655382:TUZ655383 UEV655382:UEV655383 UOR655382:UOR655383 UYN655382:UYN655383 VIJ655382:VIJ655383 VSF655382:VSF655383 WCB655382:WCB655383 WLX655382:WLX655383 WVT655382:WVT655383 L720918:L720919 JH720918:JH720919 TD720918:TD720919 ACZ720918:ACZ720919 AMV720918:AMV720919 AWR720918:AWR720919 BGN720918:BGN720919 BQJ720918:BQJ720919 CAF720918:CAF720919 CKB720918:CKB720919 CTX720918:CTX720919 DDT720918:DDT720919 DNP720918:DNP720919 DXL720918:DXL720919 EHH720918:EHH720919 ERD720918:ERD720919 FAZ720918:FAZ720919 FKV720918:FKV720919 FUR720918:FUR720919 GEN720918:GEN720919 GOJ720918:GOJ720919 GYF720918:GYF720919 HIB720918:HIB720919 HRX720918:HRX720919 IBT720918:IBT720919 ILP720918:ILP720919 IVL720918:IVL720919 JFH720918:JFH720919 JPD720918:JPD720919 JYZ720918:JYZ720919 KIV720918:KIV720919 KSR720918:KSR720919 LCN720918:LCN720919 LMJ720918:LMJ720919 LWF720918:LWF720919 MGB720918:MGB720919 MPX720918:MPX720919 MZT720918:MZT720919 NJP720918:NJP720919 NTL720918:NTL720919 ODH720918:ODH720919 OND720918:OND720919 OWZ720918:OWZ720919 PGV720918:PGV720919 PQR720918:PQR720919 QAN720918:QAN720919 QKJ720918:QKJ720919 QUF720918:QUF720919 REB720918:REB720919 RNX720918:RNX720919 RXT720918:RXT720919 SHP720918:SHP720919 SRL720918:SRL720919 TBH720918:TBH720919 TLD720918:TLD720919 TUZ720918:TUZ720919 UEV720918:UEV720919 UOR720918:UOR720919 UYN720918:UYN720919 VIJ720918:VIJ720919 VSF720918:VSF720919 WCB720918:WCB720919 WLX720918:WLX720919 WVT720918:WVT720919 L786454:L786455 JH786454:JH786455 TD786454:TD786455 ACZ786454:ACZ786455 AMV786454:AMV786455 AWR786454:AWR786455 BGN786454:BGN786455 BQJ786454:BQJ786455 CAF786454:CAF786455 CKB786454:CKB786455 CTX786454:CTX786455 DDT786454:DDT786455 DNP786454:DNP786455 DXL786454:DXL786455 EHH786454:EHH786455 ERD786454:ERD786455 FAZ786454:FAZ786455 FKV786454:FKV786455 FUR786454:FUR786455 GEN786454:GEN786455 GOJ786454:GOJ786455 GYF786454:GYF786455 HIB786454:HIB786455 HRX786454:HRX786455 IBT786454:IBT786455 ILP786454:ILP786455 IVL786454:IVL786455 JFH786454:JFH786455 JPD786454:JPD786455 JYZ786454:JYZ786455 KIV786454:KIV786455 KSR786454:KSR786455 LCN786454:LCN786455 LMJ786454:LMJ786455 LWF786454:LWF786455 MGB786454:MGB786455 MPX786454:MPX786455 MZT786454:MZT786455 NJP786454:NJP786455 NTL786454:NTL786455 ODH786454:ODH786455 OND786454:OND786455 OWZ786454:OWZ786455 PGV786454:PGV786455 PQR786454:PQR786455 QAN786454:QAN786455 QKJ786454:QKJ786455 QUF786454:QUF786455 REB786454:REB786455 RNX786454:RNX786455 RXT786454:RXT786455 SHP786454:SHP786455 SRL786454:SRL786455 TBH786454:TBH786455 TLD786454:TLD786455 TUZ786454:TUZ786455 UEV786454:UEV786455 UOR786454:UOR786455 UYN786454:UYN786455 VIJ786454:VIJ786455 VSF786454:VSF786455 WCB786454:WCB786455 WLX786454:WLX786455 WVT786454:WVT786455 L851990:L851991 JH851990:JH851991 TD851990:TD851991 ACZ851990:ACZ851991 AMV851990:AMV851991 AWR851990:AWR851991 BGN851990:BGN851991 BQJ851990:BQJ851991 CAF851990:CAF851991 CKB851990:CKB851991 CTX851990:CTX851991 DDT851990:DDT851991 DNP851990:DNP851991 DXL851990:DXL851991 EHH851990:EHH851991 ERD851990:ERD851991 FAZ851990:FAZ851991 FKV851990:FKV851991 FUR851990:FUR851991 GEN851990:GEN851991 GOJ851990:GOJ851991 GYF851990:GYF851991 HIB851990:HIB851991 HRX851990:HRX851991 IBT851990:IBT851991 ILP851990:ILP851991 IVL851990:IVL851991 JFH851990:JFH851991 JPD851990:JPD851991 JYZ851990:JYZ851991 KIV851990:KIV851991 KSR851990:KSR851991 LCN851990:LCN851991 LMJ851990:LMJ851991 LWF851990:LWF851991 MGB851990:MGB851991 MPX851990:MPX851991 MZT851990:MZT851991 NJP851990:NJP851991 NTL851990:NTL851991 ODH851990:ODH851991 OND851990:OND851991 OWZ851990:OWZ851991 PGV851990:PGV851991 PQR851990:PQR851991 QAN851990:QAN851991 QKJ851990:QKJ851991 QUF851990:QUF851991 REB851990:REB851991 RNX851990:RNX851991 RXT851990:RXT851991 SHP851990:SHP851991 SRL851990:SRL851991 TBH851990:TBH851991 TLD851990:TLD851991 TUZ851990:TUZ851991 UEV851990:UEV851991 UOR851990:UOR851991 UYN851990:UYN851991 VIJ851990:VIJ851991 VSF851990:VSF851991 WCB851990:WCB851991 WLX851990:WLX851991 WVT851990:WVT851991 L917526:L917527 JH917526:JH917527 TD917526:TD917527 ACZ917526:ACZ917527 AMV917526:AMV917527 AWR917526:AWR917527 BGN917526:BGN917527 BQJ917526:BQJ917527 CAF917526:CAF917527 CKB917526:CKB917527 CTX917526:CTX917527 DDT917526:DDT917527 DNP917526:DNP917527 DXL917526:DXL917527 EHH917526:EHH917527 ERD917526:ERD917527 FAZ917526:FAZ917527 FKV917526:FKV917527 FUR917526:FUR917527 GEN917526:GEN917527 GOJ917526:GOJ917527 GYF917526:GYF917527 HIB917526:HIB917527 HRX917526:HRX917527 IBT917526:IBT917527 ILP917526:ILP917527 IVL917526:IVL917527 JFH917526:JFH917527 JPD917526:JPD917527 JYZ917526:JYZ917527 KIV917526:KIV917527 KSR917526:KSR917527 LCN917526:LCN917527 LMJ917526:LMJ917527 LWF917526:LWF917527 MGB917526:MGB917527 MPX917526:MPX917527 MZT917526:MZT917527 NJP917526:NJP917527 NTL917526:NTL917527 ODH917526:ODH917527 OND917526:OND917527 OWZ917526:OWZ917527 PGV917526:PGV917527 PQR917526:PQR917527 QAN917526:QAN917527 QKJ917526:QKJ917527 QUF917526:QUF917527 REB917526:REB917527 RNX917526:RNX917527 RXT917526:RXT917527 SHP917526:SHP917527 SRL917526:SRL917527 TBH917526:TBH917527 TLD917526:TLD917527 TUZ917526:TUZ917527 UEV917526:UEV917527 UOR917526:UOR917527 UYN917526:UYN917527 VIJ917526:VIJ917527 VSF917526:VSF917527 WCB917526:WCB917527 WLX917526:WLX917527 WVT917526:WVT917527 L983062:L983063 JH983062:JH983063 TD983062:TD983063 ACZ983062:ACZ983063 AMV983062:AMV983063 AWR983062:AWR983063 BGN983062:BGN983063 BQJ983062:BQJ983063 CAF983062:CAF983063 CKB983062:CKB983063 CTX983062:CTX983063 DDT983062:DDT983063 DNP983062:DNP983063 DXL983062:DXL983063 EHH983062:EHH983063 ERD983062:ERD983063 FAZ983062:FAZ983063 FKV983062:FKV983063 FUR983062:FUR983063 GEN983062:GEN983063 GOJ983062:GOJ983063 GYF983062:GYF983063 HIB983062:HIB983063 HRX983062:HRX983063 IBT983062:IBT983063 ILP983062:ILP983063 IVL983062:IVL983063 JFH983062:JFH983063 JPD983062:JPD983063 JYZ983062:JYZ983063 KIV983062:KIV983063 KSR983062:KSR983063 LCN983062:LCN983063 LMJ983062:LMJ983063 LWF983062:LWF983063 MGB983062:MGB983063 MPX983062:MPX983063 MZT983062:MZT983063 NJP983062:NJP983063 NTL983062:NTL983063 ODH983062:ODH983063 OND983062:OND983063 OWZ983062:OWZ983063 PGV983062:PGV983063 PQR983062:PQR983063 QAN983062:QAN983063 QKJ983062:QKJ983063 QUF983062:QUF983063 REB983062:REB983063 RNX983062:RNX983063 RXT983062:RXT983063 SHP983062:SHP983063 SRL983062:SRL983063 TBH983062:TBH983063 TLD983062:TLD983063 TUZ983062:TUZ983063 UEV983062:UEV983063 UOR983062:UOR983063 UYN983062:UYN983063 VIJ983062:VIJ983063 VSF983062:VSF983063 WCB983062:WCB983063 WLX983062:WLX983063 WVT983062:WVT983063" xr:uid="{72744C01-2CCB-47E4-8B1B-F3473B9A6272}">
      <formula1>$B$59:$B$102</formula1>
    </dataValidation>
  </dataValidations>
  <printOptions horizontalCentered="1" gridLinesSet="0"/>
  <pageMargins left="0.5" right="0.5" top="0.5" bottom="0.5" header="0.5" footer="0.5"/>
  <pageSetup orientation="portrait" horizontalDpi="4294967292" r:id="rId1"/>
  <headerFooter alignWithMargins="0">
    <oddFooter>&amp;L&amp;"Univers (WN),Regular"&amp;7N:\ELECTRIC\PERFORMA&amp;C&amp;"Univers (WN),Regular"&amp;7&amp;F</oddFooter>
  </headerFooter>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87F8D-D4CE-46F8-82ED-0CDECCD41BB9}">
  <sheetPr>
    <pageSetUpPr fitToPage="1"/>
  </sheetPr>
  <dimension ref="A1:L67"/>
  <sheetViews>
    <sheetView workbookViewId="0">
      <selection activeCell="C12" sqref="C12"/>
    </sheetView>
  </sheetViews>
  <sheetFormatPr defaultRowHeight="13.2"/>
  <cols>
    <col min="1" max="6" width="12.5" style="582" customWidth="1"/>
    <col min="7" max="256" width="8.6640625" style="582"/>
    <col min="257" max="262" width="12.5" style="582" customWidth="1"/>
    <col min="263" max="512" width="8.6640625" style="582"/>
    <col min="513" max="518" width="12.5" style="582" customWidth="1"/>
    <col min="519" max="768" width="8.6640625" style="582"/>
    <col min="769" max="774" width="12.5" style="582" customWidth="1"/>
    <col min="775" max="1024" width="8.6640625" style="582"/>
    <col min="1025" max="1030" width="12.5" style="582" customWidth="1"/>
    <col min="1031" max="1280" width="8.6640625" style="582"/>
    <col min="1281" max="1286" width="12.5" style="582" customWidth="1"/>
    <col min="1287" max="1536" width="8.6640625" style="582"/>
    <col min="1537" max="1542" width="12.5" style="582" customWidth="1"/>
    <col min="1543" max="1792" width="8.6640625" style="582"/>
    <col min="1793" max="1798" width="12.5" style="582" customWidth="1"/>
    <col min="1799" max="2048" width="8.6640625" style="582"/>
    <col min="2049" max="2054" width="12.5" style="582" customWidth="1"/>
    <col min="2055" max="2304" width="8.6640625" style="582"/>
    <col min="2305" max="2310" width="12.5" style="582" customWidth="1"/>
    <col min="2311" max="2560" width="8.6640625" style="582"/>
    <col min="2561" max="2566" width="12.5" style="582" customWidth="1"/>
    <col min="2567" max="2816" width="8.6640625" style="582"/>
    <col min="2817" max="2822" width="12.5" style="582" customWidth="1"/>
    <col min="2823" max="3072" width="8.6640625" style="582"/>
    <col min="3073" max="3078" width="12.5" style="582" customWidth="1"/>
    <col min="3079" max="3328" width="8.6640625" style="582"/>
    <col min="3329" max="3334" width="12.5" style="582" customWidth="1"/>
    <col min="3335" max="3584" width="8.6640625" style="582"/>
    <col min="3585" max="3590" width="12.5" style="582" customWidth="1"/>
    <col min="3591" max="3840" width="8.6640625" style="582"/>
    <col min="3841" max="3846" width="12.5" style="582" customWidth="1"/>
    <col min="3847" max="4096" width="8.6640625" style="582"/>
    <col min="4097" max="4102" width="12.5" style="582" customWidth="1"/>
    <col min="4103" max="4352" width="8.6640625" style="582"/>
    <col min="4353" max="4358" width="12.5" style="582" customWidth="1"/>
    <col min="4359" max="4608" width="8.6640625" style="582"/>
    <col min="4609" max="4614" width="12.5" style="582" customWidth="1"/>
    <col min="4615" max="4864" width="8.6640625" style="582"/>
    <col min="4865" max="4870" width="12.5" style="582" customWidth="1"/>
    <col min="4871" max="5120" width="8.6640625" style="582"/>
    <col min="5121" max="5126" width="12.5" style="582" customWidth="1"/>
    <col min="5127" max="5376" width="8.6640625" style="582"/>
    <col min="5377" max="5382" width="12.5" style="582" customWidth="1"/>
    <col min="5383" max="5632" width="8.6640625" style="582"/>
    <col min="5633" max="5638" width="12.5" style="582" customWidth="1"/>
    <col min="5639" max="5888" width="8.6640625" style="582"/>
    <col min="5889" max="5894" width="12.5" style="582" customWidth="1"/>
    <col min="5895" max="6144" width="8.6640625" style="582"/>
    <col min="6145" max="6150" width="12.5" style="582" customWidth="1"/>
    <col min="6151" max="6400" width="8.6640625" style="582"/>
    <col min="6401" max="6406" width="12.5" style="582" customWidth="1"/>
    <col min="6407" max="6656" width="8.6640625" style="582"/>
    <col min="6657" max="6662" width="12.5" style="582" customWidth="1"/>
    <col min="6663" max="6912" width="8.6640625" style="582"/>
    <col min="6913" max="6918" width="12.5" style="582" customWidth="1"/>
    <col min="6919" max="7168" width="8.6640625" style="582"/>
    <col min="7169" max="7174" width="12.5" style="582" customWidth="1"/>
    <col min="7175" max="7424" width="8.6640625" style="582"/>
    <col min="7425" max="7430" width="12.5" style="582" customWidth="1"/>
    <col min="7431" max="7680" width="8.6640625" style="582"/>
    <col min="7681" max="7686" width="12.5" style="582" customWidth="1"/>
    <col min="7687" max="7936" width="8.6640625" style="582"/>
    <col min="7937" max="7942" width="12.5" style="582" customWidth="1"/>
    <col min="7943" max="8192" width="8.6640625" style="582"/>
    <col min="8193" max="8198" width="12.5" style="582" customWidth="1"/>
    <col min="8199" max="8448" width="8.6640625" style="582"/>
    <col min="8449" max="8454" width="12.5" style="582" customWidth="1"/>
    <col min="8455" max="8704" width="8.6640625" style="582"/>
    <col min="8705" max="8710" width="12.5" style="582" customWidth="1"/>
    <col min="8711" max="8960" width="8.6640625" style="582"/>
    <col min="8961" max="8966" width="12.5" style="582" customWidth="1"/>
    <col min="8967" max="9216" width="8.6640625" style="582"/>
    <col min="9217" max="9222" width="12.5" style="582" customWidth="1"/>
    <col min="9223" max="9472" width="8.6640625" style="582"/>
    <col min="9473" max="9478" width="12.5" style="582" customWidth="1"/>
    <col min="9479" max="9728" width="8.6640625" style="582"/>
    <col min="9729" max="9734" width="12.5" style="582" customWidth="1"/>
    <col min="9735" max="9984" width="8.6640625" style="582"/>
    <col min="9985" max="9990" width="12.5" style="582" customWidth="1"/>
    <col min="9991" max="10240" width="8.6640625" style="582"/>
    <col min="10241" max="10246" width="12.5" style="582" customWidth="1"/>
    <col min="10247" max="10496" width="8.6640625" style="582"/>
    <col min="10497" max="10502" width="12.5" style="582" customWidth="1"/>
    <col min="10503" max="10752" width="8.6640625" style="582"/>
    <col min="10753" max="10758" width="12.5" style="582" customWidth="1"/>
    <col min="10759" max="11008" width="8.6640625" style="582"/>
    <col min="11009" max="11014" width="12.5" style="582" customWidth="1"/>
    <col min="11015" max="11264" width="8.6640625" style="582"/>
    <col min="11265" max="11270" width="12.5" style="582" customWidth="1"/>
    <col min="11271" max="11520" width="8.6640625" style="582"/>
    <col min="11521" max="11526" width="12.5" style="582" customWidth="1"/>
    <col min="11527" max="11776" width="8.6640625" style="582"/>
    <col min="11777" max="11782" width="12.5" style="582" customWidth="1"/>
    <col min="11783" max="12032" width="8.6640625" style="582"/>
    <col min="12033" max="12038" width="12.5" style="582" customWidth="1"/>
    <col min="12039" max="12288" width="8.6640625" style="582"/>
    <col min="12289" max="12294" width="12.5" style="582" customWidth="1"/>
    <col min="12295" max="12544" width="8.6640625" style="582"/>
    <col min="12545" max="12550" width="12.5" style="582" customWidth="1"/>
    <col min="12551" max="12800" width="8.6640625" style="582"/>
    <col min="12801" max="12806" width="12.5" style="582" customWidth="1"/>
    <col min="12807" max="13056" width="8.6640625" style="582"/>
    <col min="13057" max="13062" width="12.5" style="582" customWidth="1"/>
    <col min="13063" max="13312" width="8.6640625" style="582"/>
    <col min="13313" max="13318" width="12.5" style="582" customWidth="1"/>
    <col min="13319" max="13568" width="8.6640625" style="582"/>
    <col min="13569" max="13574" width="12.5" style="582" customWidth="1"/>
    <col min="13575" max="13824" width="8.6640625" style="582"/>
    <col min="13825" max="13830" width="12.5" style="582" customWidth="1"/>
    <col min="13831" max="14080" width="8.6640625" style="582"/>
    <col min="14081" max="14086" width="12.5" style="582" customWidth="1"/>
    <col min="14087" max="14336" width="8.6640625" style="582"/>
    <col min="14337" max="14342" width="12.5" style="582" customWidth="1"/>
    <col min="14343" max="14592" width="8.6640625" style="582"/>
    <col min="14593" max="14598" width="12.5" style="582" customWidth="1"/>
    <col min="14599" max="14848" width="8.6640625" style="582"/>
    <col min="14849" max="14854" width="12.5" style="582" customWidth="1"/>
    <col min="14855" max="15104" width="8.6640625" style="582"/>
    <col min="15105" max="15110" width="12.5" style="582" customWidth="1"/>
    <col min="15111" max="15360" width="8.6640625" style="582"/>
    <col min="15361" max="15366" width="12.5" style="582" customWidth="1"/>
    <col min="15367" max="15616" width="8.6640625" style="582"/>
    <col min="15617" max="15622" width="12.5" style="582" customWidth="1"/>
    <col min="15623" max="15872" width="8.6640625" style="582"/>
    <col min="15873" max="15878" width="12.5" style="582" customWidth="1"/>
    <col min="15879" max="16128" width="8.6640625" style="582"/>
    <col min="16129" max="16134" width="12.5" style="582" customWidth="1"/>
    <col min="16135" max="16384" width="8.6640625" style="582"/>
  </cols>
  <sheetData>
    <row r="1" spans="1:6" ht="18.899999999999999" customHeight="1">
      <c r="A1" s="579"/>
      <c r="B1" s="580"/>
      <c r="C1" s="580"/>
      <c r="D1" s="580"/>
      <c r="E1" s="580"/>
      <c r="F1" s="581"/>
    </row>
    <row r="2" spans="1:6" ht="26.1" customHeight="1">
      <c r="A2" s="583" t="s">
        <v>0</v>
      </c>
      <c r="B2" s="584"/>
      <c r="C2" s="584"/>
      <c r="D2" s="584"/>
      <c r="E2" s="584"/>
      <c r="F2" s="585"/>
    </row>
    <row r="3" spans="1:6" ht="18.899999999999999" customHeight="1">
      <c r="A3" s="586" t="s">
        <v>778</v>
      </c>
      <c r="B3" s="584"/>
      <c r="C3" s="584"/>
      <c r="D3" s="584"/>
      <c r="E3" s="584"/>
      <c r="F3" s="585"/>
    </row>
    <row r="4" spans="1:6" ht="18.899999999999999" customHeight="1">
      <c r="A4" s="587"/>
      <c r="B4" s="588"/>
      <c r="C4" s="588"/>
      <c r="D4" s="588"/>
      <c r="E4" s="588"/>
      <c r="F4" s="589"/>
    </row>
    <row r="5" spans="1:6" ht="18.899999999999999" customHeight="1">
      <c r="A5" s="587"/>
      <c r="B5" s="588"/>
      <c r="C5" s="588"/>
      <c r="D5" s="588"/>
      <c r="E5" s="588"/>
      <c r="F5" s="589"/>
    </row>
    <row r="6" spans="1:6" ht="18.899999999999999" customHeight="1">
      <c r="A6" s="590" t="s">
        <v>779</v>
      </c>
      <c r="B6" s="913" t="str">
        <f>'Performance Data Sheet'!C17</f>
        <v>A1-10032388</v>
      </c>
      <c r="C6" s="914"/>
      <c r="D6" s="915"/>
      <c r="E6" s="590" t="s">
        <v>780</v>
      </c>
      <c r="F6" s="591" t="str">
        <f>'Performance Data Sheet'!I14 &amp; " A"</f>
        <v>44 A</v>
      </c>
    </row>
    <row r="7" spans="1:6" ht="18.899999999999999" customHeight="1">
      <c r="A7" s="590" t="s">
        <v>781</v>
      </c>
      <c r="B7" s="591" t="str">
        <f>'Performance Data Sheet'!F14</f>
        <v>TEFC</v>
      </c>
      <c r="C7" s="590" t="s">
        <v>782</v>
      </c>
      <c r="D7" s="591" t="str">
        <f>'Performance Data Sheet'!F13 &amp; " V"</f>
        <v>4000 V</v>
      </c>
      <c r="E7" s="590" t="s">
        <v>783</v>
      </c>
      <c r="F7" s="591" t="str">
        <f>'Performance Data Sheet'!C14</f>
        <v>5011US</v>
      </c>
    </row>
    <row r="8" spans="1:6" ht="18.899999999999999" customHeight="1">
      <c r="A8" s="590" t="s">
        <v>784</v>
      </c>
      <c r="B8" s="591">
        <v>4</v>
      </c>
      <c r="C8" s="590" t="s">
        <v>785</v>
      </c>
      <c r="D8" s="591" t="s">
        <v>786</v>
      </c>
      <c r="E8" s="590" t="s">
        <v>787</v>
      </c>
      <c r="F8" s="591" t="s">
        <v>383</v>
      </c>
    </row>
    <row r="9" spans="1:6" ht="18.899999999999999" customHeight="1">
      <c r="A9" s="590" t="s">
        <v>788</v>
      </c>
      <c r="B9" s="591">
        <v>350</v>
      </c>
      <c r="C9" s="590" t="s">
        <v>789</v>
      </c>
      <c r="D9" s="591" t="s">
        <v>790</v>
      </c>
      <c r="E9" s="590" t="s">
        <v>74</v>
      </c>
      <c r="F9" s="592">
        <f>'Performance Data Sheet'!K44</f>
        <v>43977</v>
      </c>
    </row>
    <row r="10" spans="1:6" ht="18.899999999999999" customHeight="1">
      <c r="A10" s="590" t="s">
        <v>700</v>
      </c>
      <c r="B10" s="591">
        <v>1780</v>
      </c>
      <c r="C10" s="590" t="s">
        <v>323</v>
      </c>
      <c r="D10" s="591" t="s">
        <v>791</v>
      </c>
      <c r="E10" s="590" t="s">
        <v>72</v>
      </c>
      <c r="F10" s="591" t="s">
        <v>331</v>
      </c>
    </row>
    <row r="11" spans="1:6" ht="18.899999999999999" customHeight="1">
      <c r="A11" s="587"/>
      <c r="B11" s="588"/>
      <c r="C11" s="588"/>
      <c r="D11" s="588"/>
      <c r="E11" s="588"/>
      <c r="F11" s="589"/>
    </row>
    <row r="12" spans="1:6" ht="18.899999999999999" customHeight="1">
      <c r="A12" s="587"/>
      <c r="B12" s="593" t="s">
        <v>792</v>
      </c>
      <c r="C12" s="594" t="str">
        <f>'Performance Data Sheet'!D22 &amp; "A"</f>
        <v>278A</v>
      </c>
      <c r="D12" s="593" t="s">
        <v>321</v>
      </c>
      <c r="E12" s="594" t="s">
        <v>322</v>
      </c>
      <c r="F12" s="589"/>
    </row>
    <row r="13" spans="1:6" ht="18.899999999999999" customHeight="1">
      <c r="A13" s="587"/>
      <c r="B13" s="593" t="s">
        <v>793</v>
      </c>
      <c r="C13" s="595">
        <v>1.7</v>
      </c>
      <c r="D13" s="593" t="s">
        <v>794</v>
      </c>
      <c r="E13" s="594" t="s">
        <v>795</v>
      </c>
      <c r="F13" s="589"/>
    </row>
    <row r="14" spans="1:6" ht="18.899999999999999" customHeight="1">
      <c r="A14" s="587"/>
      <c r="B14" s="593" t="s">
        <v>796</v>
      </c>
      <c r="C14" s="595">
        <v>2.7</v>
      </c>
      <c r="D14" s="593" t="s">
        <v>325</v>
      </c>
      <c r="E14" s="594" t="s">
        <v>797</v>
      </c>
      <c r="F14" s="589"/>
    </row>
    <row r="15" spans="1:6" ht="18.899999999999999" customHeight="1">
      <c r="A15" s="587"/>
      <c r="B15" s="593" t="s">
        <v>327</v>
      </c>
      <c r="C15" s="594" t="s">
        <v>798</v>
      </c>
      <c r="D15" s="588"/>
      <c r="E15" s="588"/>
      <c r="F15" s="589"/>
    </row>
    <row r="16" spans="1:6" ht="18.899999999999999" customHeight="1">
      <c r="A16" s="587"/>
      <c r="B16" s="588"/>
      <c r="C16" s="588"/>
      <c r="D16" s="588"/>
      <c r="E16" s="588"/>
      <c r="F16" s="589"/>
    </row>
    <row r="17" spans="1:6" ht="18.899999999999999" customHeight="1">
      <c r="A17" s="587"/>
      <c r="B17" s="588"/>
      <c r="C17" s="588"/>
      <c r="D17" s="588"/>
      <c r="E17" s="588"/>
      <c r="F17" s="589"/>
    </row>
    <row r="18" spans="1:6" ht="18.899999999999999" customHeight="1">
      <c r="A18" s="587"/>
      <c r="B18" s="588"/>
      <c r="C18" s="588"/>
      <c r="D18" s="588"/>
      <c r="E18" s="588"/>
      <c r="F18" s="589"/>
    </row>
    <row r="19" spans="1:6" ht="18.899999999999999" customHeight="1">
      <c r="A19" s="587"/>
      <c r="B19" s="588"/>
      <c r="C19" s="588"/>
      <c r="D19" s="588"/>
      <c r="E19" s="588"/>
      <c r="F19" s="589"/>
    </row>
    <row r="20" spans="1:6" ht="18.899999999999999" customHeight="1">
      <c r="A20" s="587"/>
      <c r="B20" s="588"/>
      <c r="C20" s="588"/>
      <c r="D20" s="588"/>
      <c r="E20" s="588"/>
      <c r="F20" s="589"/>
    </row>
    <row r="21" spans="1:6" ht="18.899999999999999" customHeight="1">
      <c r="A21" s="587"/>
      <c r="B21" s="588"/>
      <c r="C21" s="588"/>
      <c r="D21" s="588"/>
      <c r="E21" s="588"/>
      <c r="F21" s="589"/>
    </row>
    <row r="22" spans="1:6" ht="18.899999999999999" customHeight="1">
      <c r="A22" s="587"/>
      <c r="B22" s="588"/>
      <c r="C22" s="588"/>
      <c r="D22" s="588"/>
      <c r="E22" s="588"/>
      <c r="F22" s="589"/>
    </row>
    <row r="23" spans="1:6" ht="18.899999999999999" customHeight="1">
      <c r="A23" s="587"/>
      <c r="B23" s="588"/>
      <c r="C23" s="588"/>
      <c r="D23" s="588"/>
      <c r="E23" s="588"/>
      <c r="F23" s="589"/>
    </row>
    <row r="24" spans="1:6" ht="18.899999999999999" customHeight="1">
      <c r="A24" s="587"/>
      <c r="B24" s="588"/>
      <c r="C24" s="588"/>
      <c r="D24" s="588"/>
      <c r="E24" s="588"/>
      <c r="F24" s="589"/>
    </row>
    <row r="25" spans="1:6" ht="18.899999999999999" customHeight="1">
      <c r="A25" s="587"/>
      <c r="B25" s="588"/>
      <c r="C25" s="588"/>
      <c r="D25" s="588"/>
      <c r="E25" s="588"/>
      <c r="F25" s="589"/>
    </row>
    <row r="26" spans="1:6" ht="18.899999999999999" customHeight="1">
      <c r="A26" s="587"/>
      <c r="B26" s="588"/>
      <c r="C26" s="588"/>
      <c r="D26" s="588"/>
      <c r="E26" s="588"/>
      <c r="F26" s="589"/>
    </row>
    <row r="27" spans="1:6" ht="18.899999999999999" customHeight="1">
      <c r="A27" s="587"/>
      <c r="B27" s="588"/>
      <c r="C27" s="588"/>
      <c r="D27" s="588"/>
      <c r="E27" s="588"/>
      <c r="F27" s="589"/>
    </row>
    <row r="28" spans="1:6" ht="18.899999999999999" customHeight="1">
      <c r="A28" s="587"/>
      <c r="B28" s="588"/>
      <c r="C28" s="588"/>
      <c r="D28" s="588"/>
      <c r="E28" s="588"/>
      <c r="F28" s="589"/>
    </row>
    <row r="29" spans="1:6" ht="18.899999999999999" customHeight="1">
      <c r="A29" s="587"/>
      <c r="B29" s="588"/>
      <c r="C29" s="588"/>
      <c r="D29" s="588"/>
      <c r="E29" s="588"/>
      <c r="F29" s="589"/>
    </row>
    <row r="30" spans="1:6" ht="18.899999999999999" customHeight="1">
      <c r="A30" s="587"/>
      <c r="B30" s="588"/>
      <c r="C30" s="588"/>
      <c r="D30" s="588"/>
      <c r="E30" s="588"/>
      <c r="F30" s="589"/>
    </row>
    <row r="31" spans="1:6" ht="18.899999999999999" customHeight="1">
      <c r="A31" s="587"/>
      <c r="B31" s="588"/>
      <c r="C31" s="588"/>
      <c r="D31" s="588"/>
      <c r="E31" s="588"/>
      <c r="F31" s="589"/>
    </row>
    <row r="32" spans="1:6" ht="18.899999999999999" customHeight="1">
      <c r="A32" s="587"/>
      <c r="B32" s="588"/>
      <c r="C32" s="588"/>
      <c r="D32" s="588"/>
      <c r="E32" s="588"/>
      <c r="F32" s="589"/>
    </row>
    <row r="33" spans="1:6" ht="18.899999999999999" customHeight="1">
      <c r="A33" s="587"/>
      <c r="B33" s="588"/>
      <c r="C33" s="588"/>
      <c r="D33" s="588"/>
      <c r="E33" s="588"/>
      <c r="F33" s="589"/>
    </row>
    <row r="34" spans="1:6" ht="18.899999999999999" customHeight="1">
      <c r="A34" s="587"/>
      <c r="B34" s="588"/>
      <c r="C34" s="588"/>
      <c r="D34" s="588"/>
      <c r="E34" s="588"/>
      <c r="F34" s="589"/>
    </row>
    <row r="35" spans="1:6" ht="18.899999999999999" customHeight="1">
      <c r="A35" s="587"/>
      <c r="B35" s="588"/>
      <c r="C35" s="588"/>
      <c r="D35" s="588"/>
      <c r="E35" s="588"/>
      <c r="F35" s="589"/>
    </row>
    <row r="36" spans="1:6" ht="18.899999999999999" customHeight="1">
      <c r="A36" s="587"/>
      <c r="B36" s="588"/>
      <c r="C36" s="588"/>
      <c r="D36" s="588"/>
      <c r="E36" s="588"/>
      <c r="F36" s="589"/>
    </row>
    <row r="37" spans="1:6" ht="18.899999999999999" customHeight="1">
      <c r="A37" s="587"/>
      <c r="B37" s="588"/>
      <c r="C37" s="588"/>
      <c r="D37" s="588"/>
      <c r="E37" s="588"/>
      <c r="F37" s="589"/>
    </row>
    <row r="38" spans="1:6" ht="18.899999999999999" customHeight="1">
      <c r="A38" s="587"/>
      <c r="B38" s="588"/>
      <c r="C38" s="588"/>
      <c r="D38" s="588"/>
      <c r="E38" s="588"/>
      <c r="F38" s="589"/>
    </row>
    <row r="39" spans="1:6" ht="18.899999999999999" customHeight="1">
      <c r="A39" s="596" t="s">
        <v>799</v>
      </c>
      <c r="B39" s="597" t="s">
        <v>449</v>
      </c>
      <c r="C39" s="597" t="str">
        <f>'Performance Data Sheet'!C10</f>
        <v>2174794.1</v>
      </c>
      <c r="D39" s="588"/>
      <c r="E39" s="593" t="s">
        <v>800</v>
      </c>
      <c r="F39" s="598" t="str">
        <f>F10</f>
        <v>CS4350</v>
      </c>
    </row>
    <row r="40" spans="1:6" ht="18.899999999999999" customHeight="1">
      <c r="A40" s="587"/>
      <c r="B40" s="597"/>
      <c r="C40" s="597"/>
      <c r="D40" s="588"/>
      <c r="E40" s="588"/>
      <c r="F40" s="589"/>
    </row>
    <row r="41" spans="1:6" ht="18.899999999999999" customHeight="1">
      <c r="A41" s="587"/>
      <c r="B41" s="597"/>
      <c r="C41" s="597"/>
      <c r="D41" s="588"/>
      <c r="E41" s="588"/>
      <c r="F41" s="589"/>
    </row>
    <row r="42" spans="1:6" ht="18.899999999999999" customHeight="1">
      <c r="A42" s="587"/>
      <c r="B42" s="588"/>
      <c r="C42" s="588"/>
      <c r="D42" s="588"/>
      <c r="E42" s="588"/>
      <c r="F42" s="589"/>
    </row>
    <row r="43" spans="1:6" ht="18.899999999999999" customHeight="1">
      <c r="A43" s="599"/>
      <c r="B43" s="597"/>
      <c r="C43" s="600" t="s">
        <v>801</v>
      </c>
      <c r="D43" s="601" t="str">
        <f>'Performance Data Sheet'!K42</f>
        <v>JERRY R</v>
      </c>
      <c r="E43" s="600" t="s">
        <v>802</v>
      </c>
      <c r="F43" s="601"/>
    </row>
    <row r="44" spans="1:6" ht="15" customHeight="1"/>
    <row r="45" spans="1:6" ht="15" customHeight="1"/>
    <row r="46" spans="1:6" ht="15" customHeight="1"/>
    <row r="47" spans="1:6" ht="15" customHeight="1"/>
    <row r="48" spans="1:6" ht="15" customHeight="1"/>
    <row r="49" spans="1:12" ht="15" customHeight="1"/>
    <row r="50" spans="1:12" ht="15" customHeight="1"/>
    <row r="51" spans="1:12" ht="15" customHeight="1"/>
    <row r="52" spans="1:12" ht="15" customHeight="1"/>
    <row r="53" spans="1:12" ht="15" customHeight="1">
      <c r="D53" s="602" t="s">
        <v>329</v>
      </c>
      <c r="E53" s="602" t="s">
        <v>803</v>
      </c>
      <c r="F53" s="602" t="s">
        <v>804</v>
      </c>
      <c r="G53" s="602"/>
      <c r="H53" s="602"/>
      <c r="I53" s="602"/>
      <c r="J53" s="602"/>
      <c r="K53" s="602"/>
      <c r="L53" s="602"/>
    </row>
    <row r="54" spans="1:12" ht="15" customHeight="1">
      <c r="A54" s="603">
        <v>100</v>
      </c>
      <c r="B54" s="602">
        <v>0</v>
      </c>
      <c r="C54" s="602">
        <v>0.18077993392944336</v>
      </c>
      <c r="D54" s="602">
        <v>100</v>
      </c>
      <c r="E54" s="602">
        <v>0</v>
      </c>
      <c r="F54" s="602">
        <v>6.3634543418884277</v>
      </c>
      <c r="G54" s="602"/>
      <c r="H54" s="602"/>
      <c r="I54" s="602"/>
      <c r="J54" s="602"/>
      <c r="K54" s="602"/>
      <c r="L54" s="602"/>
    </row>
    <row r="55" spans="1:12" ht="15" customHeight="1">
      <c r="A55" s="603">
        <v>99.200000055134296</v>
      </c>
      <c r="B55" s="602">
        <v>104.13111118997179</v>
      </c>
      <c r="C55" s="602">
        <v>110.78910827636719</v>
      </c>
      <c r="D55" s="602">
        <v>98.400001525878906</v>
      </c>
      <c r="E55" s="602">
        <v>66.643913118955837</v>
      </c>
      <c r="F55" s="602">
        <v>88.63128662109375</v>
      </c>
      <c r="G55" s="602"/>
      <c r="H55" s="602"/>
      <c r="I55" s="602"/>
      <c r="J55" s="602"/>
      <c r="K55" s="602"/>
      <c r="L55" s="602"/>
    </row>
    <row r="56" spans="1:12" ht="15" customHeight="1">
      <c r="A56" s="603">
        <v>96.000000089406967</v>
      </c>
      <c r="B56" s="602">
        <v>270</v>
      </c>
      <c r="C56" s="602">
        <v>384.92623901367188</v>
      </c>
      <c r="D56" s="602">
        <v>89.75</v>
      </c>
      <c r="E56" s="602">
        <v>172.80000514984135</v>
      </c>
      <c r="F56" s="602">
        <v>307.94100952148438</v>
      </c>
      <c r="G56" s="602"/>
      <c r="H56" s="602"/>
      <c r="I56" s="602"/>
      <c r="J56" s="602"/>
      <c r="K56" s="602"/>
      <c r="L56" s="602"/>
    </row>
    <row r="57" spans="1:12">
      <c r="A57" s="603">
        <v>90.857142955064774</v>
      </c>
      <c r="B57" s="602">
        <v>229.86391631621464</v>
      </c>
      <c r="C57" s="602">
        <v>493.72348022460938</v>
      </c>
      <c r="D57" s="602">
        <v>76.228569030761719</v>
      </c>
      <c r="E57" s="602">
        <v>147.1129145405564</v>
      </c>
      <c r="F57" s="602">
        <v>394.97879028320313</v>
      </c>
      <c r="G57" s="602"/>
      <c r="H57" s="602"/>
      <c r="I57" s="602"/>
      <c r="J57" s="602"/>
      <c r="K57" s="602"/>
      <c r="L57" s="602"/>
    </row>
    <row r="58" spans="1:12">
      <c r="A58" s="603">
        <v>85.71428507566452</v>
      </c>
      <c r="B58" s="602">
        <v>194.24652409094722</v>
      </c>
      <c r="C58" s="602">
        <v>530.29669189453125</v>
      </c>
      <c r="D58" s="602">
        <v>62.857139587402344</v>
      </c>
      <c r="E58" s="602">
        <v>124.3177771424584</v>
      </c>
      <c r="F58" s="602">
        <v>424.23736572265625</v>
      </c>
      <c r="G58" s="602"/>
      <c r="H58" s="602"/>
      <c r="I58" s="602"/>
      <c r="J58" s="602"/>
      <c r="K58" s="602"/>
      <c r="L58" s="602"/>
    </row>
    <row r="59" spans="1:12">
      <c r="A59" s="603">
        <v>80.571427941322327</v>
      </c>
      <c r="B59" s="602">
        <v>179.10742640934922</v>
      </c>
      <c r="C59" s="602">
        <v>548.1092529296875</v>
      </c>
      <c r="D59" s="602">
        <v>51.25714111328125</v>
      </c>
      <c r="E59" s="602">
        <v>114.62875341620298</v>
      </c>
      <c r="F59" s="602">
        <v>438.48739624023438</v>
      </c>
      <c r="G59" s="602"/>
      <c r="H59" s="602"/>
      <c r="I59" s="602"/>
      <c r="J59" s="602"/>
      <c r="K59" s="602"/>
      <c r="L59" s="602"/>
    </row>
    <row r="60" spans="1:12">
      <c r="A60" s="603">
        <v>70.285713672637939</v>
      </c>
      <c r="B60" s="602">
        <v>171.23513279965809</v>
      </c>
      <c r="C60" s="602">
        <v>568.4287109375</v>
      </c>
      <c r="D60" s="602">
        <v>33.485713958740234</v>
      </c>
      <c r="E60" s="602">
        <v>109.59049154730108</v>
      </c>
      <c r="F60" s="602">
        <v>454.74298095703125</v>
      </c>
      <c r="G60" s="602"/>
      <c r="H60" s="602"/>
      <c r="I60" s="602"/>
      <c r="J60" s="602"/>
      <c r="K60" s="602"/>
      <c r="L60" s="602"/>
    </row>
    <row r="61" spans="1:12">
      <c r="A61" s="603">
        <v>59.999999403953552</v>
      </c>
      <c r="B61" s="602">
        <v>170</v>
      </c>
      <c r="C61" s="602">
        <v>582.61724853515625</v>
      </c>
      <c r="D61" s="602">
        <v>22</v>
      </c>
      <c r="E61" s="602">
        <v>108.80000324249269</v>
      </c>
      <c r="F61" s="602">
        <v>466.09381103515625</v>
      </c>
      <c r="G61" s="602"/>
      <c r="H61" s="602"/>
      <c r="I61" s="602"/>
      <c r="J61" s="602"/>
      <c r="K61" s="602"/>
      <c r="L61" s="602"/>
    </row>
    <row r="62" spans="1:12">
      <c r="A62" s="603">
        <v>50</v>
      </c>
      <c r="B62" s="602">
        <v>170.00001114767471</v>
      </c>
      <c r="C62" s="602">
        <v>594.48126220703125</v>
      </c>
      <c r="D62" s="602">
        <v>14</v>
      </c>
      <c r="E62" s="602">
        <v>108.80001300811799</v>
      </c>
      <c r="F62" s="602">
        <v>475.58502197265625</v>
      </c>
      <c r="G62" s="602"/>
      <c r="H62" s="602"/>
      <c r="I62" s="602"/>
      <c r="J62" s="602"/>
      <c r="K62" s="602"/>
      <c r="L62" s="602"/>
    </row>
    <row r="63" spans="1:12">
      <c r="A63" s="603">
        <v>39.999997615814209</v>
      </c>
      <c r="B63" s="602">
        <v>170.00005421880923</v>
      </c>
      <c r="C63" s="602">
        <v>604.55157470703125</v>
      </c>
      <c r="D63" s="602">
        <v>7.9999995231628418</v>
      </c>
      <c r="E63" s="602">
        <v>108.80004230499387</v>
      </c>
      <c r="F63" s="602">
        <v>483.64126586914063</v>
      </c>
      <c r="G63" s="602"/>
      <c r="H63" s="602"/>
      <c r="I63" s="602"/>
      <c r="J63" s="602"/>
      <c r="K63" s="602"/>
      <c r="L63" s="602"/>
    </row>
    <row r="64" spans="1:12">
      <c r="A64" s="603">
        <v>30.000001192092896</v>
      </c>
      <c r="B64" s="602">
        <v>170.04346773103447</v>
      </c>
      <c r="C64" s="602">
        <v>613.13995361328125</v>
      </c>
      <c r="D64" s="602">
        <v>5.9999995231628418</v>
      </c>
      <c r="E64" s="602">
        <v>108.82782550894687</v>
      </c>
      <c r="F64" s="602">
        <v>490.511962890625</v>
      </c>
      <c r="G64" s="602"/>
      <c r="H64" s="602"/>
      <c r="I64" s="602"/>
      <c r="J64" s="602"/>
      <c r="K64" s="602"/>
      <c r="L64" s="602"/>
    </row>
    <row r="65" spans="1:12">
      <c r="A65" s="603">
        <v>19.999998807907104</v>
      </c>
      <c r="B65" s="602">
        <v>170.05945133062588</v>
      </c>
      <c r="C65" s="602">
        <v>620.36669921875</v>
      </c>
      <c r="D65" s="602">
        <v>8.0000009536743164</v>
      </c>
      <c r="E65" s="602">
        <v>108.83805011862658</v>
      </c>
      <c r="F65" s="602">
        <v>496.29336547851563</v>
      </c>
      <c r="G65" s="602"/>
      <c r="H65" s="602"/>
      <c r="I65" s="602"/>
      <c r="J65" s="602"/>
      <c r="K65" s="602"/>
      <c r="L65" s="602"/>
    </row>
    <row r="66" spans="1:12">
      <c r="A66" s="603">
        <v>10.000002384185791</v>
      </c>
      <c r="B66" s="602">
        <v>170.07960633545824</v>
      </c>
      <c r="C66" s="602">
        <v>626.53021240234375</v>
      </c>
      <c r="D66" s="602">
        <v>14.999996185302734</v>
      </c>
      <c r="E66" s="602">
        <v>108.85095050963605</v>
      </c>
      <c r="F66" s="602">
        <v>501.22418212890625</v>
      </c>
      <c r="G66" s="602"/>
      <c r="H66" s="602"/>
      <c r="I66" s="602"/>
      <c r="J66" s="602"/>
      <c r="K66" s="602"/>
      <c r="L66" s="602"/>
    </row>
    <row r="67" spans="1:12">
      <c r="A67" s="604">
        <v>0</v>
      </c>
      <c r="B67" s="602">
        <v>170</v>
      </c>
      <c r="C67" s="602">
        <v>631.81817626953125</v>
      </c>
      <c r="D67" s="602">
        <v>30</v>
      </c>
      <c r="E67" s="602">
        <v>108.80000324249269</v>
      </c>
      <c r="F67" s="602">
        <v>505.45455932617188</v>
      </c>
      <c r="G67" s="602"/>
      <c r="H67" s="602"/>
      <c r="I67" s="602"/>
      <c r="J67" s="602"/>
      <c r="K67" s="602"/>
      <c r="L67" s="602"/>
    </row>
  </sheetData>
  <mergeCells count="1">
    <mergeCell ref="B6:D6"/>
  </mergeCells>
  <printOptions horizontalCentered="1" verticalCentered="1"/>
  <pageMargins left="0.59055118110236204" right="0.59055118110236204" top="0.59055118110236204" bottom="0.59055118110236204" header="0" footer="0"/>
  <pageSetup scale="87" orientation="portrait" horizontalDpi="0" verticalDpi="300"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137DB-1E7C-4337-9AC5-721938E26C10}">
  <sheetPr>
    <pageSetUpPr fitToPage="1"/>
  </sheetPr>
  <dimension ref="A1:I81"/>
  <sheetViews>
    <sheetView workbookViewId="0">
      <selection activeCell="C12" sqref="C12"/>
    </sheetView>
  </sheetViews>
  <sheetFormatPr defaultRowHeight="13.2"/>
  <cols>
    <col min="1" max="6" width="12.5" style="582" customWidth="1"/>
    <col min="7" max="256" width="8.6640625" style="582"/>
    <col min="257" max="262" width="12.5" style="582" customWidth="1"/>
    <col min="263" max="512" width="8.6640625" style="582"/>
    <col min="513" max="518" width="12.5" style="582" customWidth="1"/>
    <col min="519" max="768" width="8.6640625" style="582"/>
    <col min="769" max="774" width="12.5" style="582" customWidth="1"/>
    <col min="775" max="1024" width="8.6640625" style="582"/>
    <col min="1025" max="1030" width="12.5" style="582" customWidth="1"/>
    <col min="1031" max="1280" width="8.6640625" style="582"/>
    <col min="1281" max="1286" width="12.5" style="582" customWidth="1"/>
    <col min="1287" max="1536" width="8.6640625" style="582"/>
    <col min="1537" max="1542" width="12.5" style="582" customWidth="1"/>
    <col min="1543" max="1792" width="8.6640625" style="582"/>
    <col min="1793" max="1798" width="12.5" style="582" customWidth="1"/>
    <col min="1799" max="2048" width="8.6640625" style="582"/>
    <col min="2049" max="2054" width="12.5" style="582" customWidth="1"/>
    <col min="2055" max="2304" width="8.6640625" style="582"/>
    <col min="2305" max="2310" width="12.5" style="582" customWidth="1"/>
    <col min="2311" max="2560" width="8.6640625" style="582"/>
    <col min="2561" max="2566" width="12.5" style="582" customWidth="1"/>
    <col min="2567" max="2816" width="8.6640625" style="582"/>
    <col min="2817" max="2822" width="12.5" style="582" customWidth="1"/>
    <col min="2823" max="3072" width="8.6640625" style="582"/>
    <col min="3073" max="3078" width="12.5" style="582" customWidth="1"/>
    <col min="3079" max="3328" width="8.6640625" style="582"/>
    <col min="3329" max="3334" width="12.5" style="582" customWidth="1"/>
    <col min="3335" max="3584" width="8.6640625" style="582"/>
    <col min="3585" max="3590" width="12.5" style="582" customWidth="1"/>
    <col min="3591" max="3840" width="8.6640625" style="582"/>
    <col min="3841" max="3846" width="12.5" style="582" customWidth="1"/>
    <col min="3847" max="4096" width="8.6640625" style="582"/>
    <col min="4097" max="4102" width="12.5" style="582" customWidth="1"/>
    <col min="4103" max="4352" width="8.6640625" style="582"/>
    <col min="4353" max="4358" width="12.5" style="582" customWidth="1"/>
    <col min="4359" max="4608" width="8.6640625" style="582"/>
    <col min="4609" max="4614" width="12.5" style="582" customWidth="1"/>
    <col min="4615" max="4864" width="8.6640625" style="582"/>
    <col min="4865" max="4870" width="12.5" style="582" customWidth="1"/>
    <col min="4871" max="5120" width="8.6640625" style="582"/>
    <col min="5121" max="5126" width="12.5" style="582" customWidth="1"/>
    <col min="5127" max="5376" width="8.6640625" style="582"/>
    <col min="5377" max="5382" width="12.5" style="582" customWidth="1"/>
    <col min="5383" max="5632" width="8.6640625" style="582"/>
    <col min="5633" max="5638" width="12.5" style="582" customWidth="1"/>
    <col min="5639" max="5888" width="8.6640625" style="582"/>
    <col min="5889" max="5894" width="12.5" style="582" customWidth="1"/>
    <col min="5895" max="6144" width="8.6640625" style="582"/>
    <col min="6145" max="6150" width="12.5" style="582" customWidth="1"/>
    <col min="6151" max="6400" width="8.6640625" style="582"/>
    <col min="6401" max="6406" width="12.5" style="582" customWidth="1"/>
    <col min="6407" max="6656" width="8.6640625" style="582"/>
    <col min="6657" max="6662" width="12.5" style="582" customWidth="1"/>
    <col min="6663" max="6912" width="8.6640625" style="582"/>
    <col min="6913" max="6918" width="12.5" style="582" customWidth="1"/>
    <col min="6919" max="7168" width="8.6640625" style="582"/>
    <col min="7169" max="7174" width="12.5" style="582" customWidth="1"/>
    <col min="7175" max="7424" width="8.6640625" style="582"/>
    <col min="7425" max="7430" width="12.5" style="582" customWidth="1"/>
    <col min="7431" max="7680" width="8.6640625" style="582"/>
    <col min="7681" max="7686" width="12.5" style="582" customWidth="1"/>
    <col min="7687" max="7936" width="8.6640625" style="582"/>
    <col min="7937" max="7942" width="12.5" style="582" customWidth="1"/>
    <col min="7943" max="8192" width="8.6640625" style="582"/>
    <col min="8193" max="8198" width="12.5" style="582" customWidth="1"/>
    <col min="8199" max="8448" width="8.6640625" style="582"/>
    <col min="8449" max="8454" width="12.5" style="582" customWidth="1"/>
    <col min="8455" max="8704" width="8.6640625" style="582"/>
    <col min="8705" max="8710" width="12.5" style="582" customWidth="1"/>
    <col min="8711" max="8960" width="8.6640625" style="582"/>
    <col min="8961" max="8966" width="12.5" style="582" customWidth="1"/>
    <col min="8967" max="9216" width="8.6640625" style="582"/>
    <col min="9217" max="9222" width="12.5" style="582" customWidth="1"/>
    <col min="9223" max="9472" width="8.6640625" style="582"/>
    <col min="9473" max="9478" width="12.5" style="582" customWidth="1"/>
    <col min="9479" max="9728" width="8.6640625" style="582"/>
    <col min="9729" max="9734" width="12.5" style="582" customWidth="1"/>
    <col min="9735" max="9984" width="8.6640625" style="582"/>
    <col min="9985" max="9990" width="12.5" style="582" customWidth="1"/>
    <col min="9991" max="10240" width="8.6640625" style="582"/>
    <col min="10241" max="10246" width="12.5" style="582" customWidth="1"/>
    <col min="10247" max="10496" width="8.6640625" style="582"/>
    <col min="10497" max="10502" width="12.5" style="582" customWidth="1"/>
    <col min="10503" max="10752" width="8.6640625" style="582"/>
    <col min="10753" max="10758" width="12.5" style="582" customWidth="1"/>
    <col min="10759" max="11008" width="8.6640625" style="582"/>
    <col min="11009" max="11014" width="12.5" style="582" customWidth="1"/>
    <col min="11015" max="11264" width="8.6640625" style="582"/>
    <col min="11265" max="11270" width="12.5" style="582" customWidth="1"/>
    <col min="11271" max="11520" width="8.6640625" style="582"/>
    <col min="11521" max="11526" width="12.5" style="582" customWidth="1"/>
    <col min="11527" max="11776" width="8.6640625" style="582"/>
    <col min="11777" max="11782" width="12.5" style="582" customWidth="1"/>
    <col min="11783" max="12032" width="8.6640625" style="582"/>
    <col min="12033" max="12038" width="12.5" style="582" customWidth="1"/>
    <col min="12039" max="12288" width="8.6640625" style="582"/>
    <col min="12289" max="12294" width="12.5" style="582" customWidth="1"/>
    <col min="12295" max="12544" width="8.6640625" style="582"/>
    <col min="12545" max="12550" width="12.5" style="582" customWidth="1"/>
    <col min="12551" max="12800" width="8.6640625" style="582"/>
    <col min="12801" max="12806" width="12.5" style="582" customWidth="1"/>
    <col min="12807" max="13056" width="8.6640625" style="582"/>
    <col min="13057" max="13062" width="12.5" style="582" customWidth="1"/>
    <col min="13063" max="13312" width="8.6640625" style="582"/>
    <col min="13313" max="13318" width="12.5" style="582" customWidth="1"/>
    <col min="13319" max="13568" width="8.6640625" style="582"/>
    <col min="13569" max="13574" width="12.5" style="582" customWidth="1"/>
    <col min="13575" max="13824" width="8.6640625" style="582"/>
    <col min="13825" max="13830" width="12.5" style="582" customWidth="1"/>
    <col min="13831" max="14080" width="8.6640625" style="582"/>
    <col min="14081" max="14086" width="12.5" style="582" customWidth="1"/>
    <col min="14087" max="14336" width="8.6640625" style="582"/>
    <col min="14337" max="14342" width="12.5" style="582" customWidth="1"/>
    <col min="14343" max="14592" width="8.6640625" style="582"/>
    <col min="14593" max="14598" width="12.5" style="582" customWidth="1"/>
    <col min="14599" max="14848" width="8.6640625" style="582"/>
    <col min="14849" max="14854" width="12.5" style="582" customWidth="1"/>
    <col min="14855" max="15104" width="8.6640625" style="582"/>
    <col min="15105" max="15110" width="12.5" style="582" customWidth="1"/>
    <col min="15111" max="15360" width="8.6640625" style="582"/>
    <col min="15361" max="15366" width="12.5" style="582" customWidth="1"/>
    <col min="15367" max="15616" width="8.6640625" style="582"/>
    <col min="15617" max="15622" width="12.5" style="582" customWidth="1"/>
    <col min="15623" max="15872" width="8.6640625" style="582"/>
    <col min="15873" max="15878" width="12.5" style="582" customWidth="1"/>
    <col min="15879" max="16128" width="8.6640625" style="582"/>
    <col min="16129" max="16134" width="12.5" style="582" customWidth="1"/>
    <col min="16135" max="16384" width="8.6640625" style="582"/>
  </cols>
  <sheetData>
    <row r="1" spans="1:6" ht="18.899999999999999" customHeight="1">
      <c r="A1" s="579"/>
      <c r="B1" s="580"/>
      <c r="C1" s="580"/>
      <c r="D1" s="580"/>
      <c r="E1" s="580"/>
      <c r="F1" s="581"/>
    </row>
    <row r="2" spans="1:6" ht="26.1" customHeight="1">
      <c r="A2" s="583" t="s">
        <v>0</v>
      </c>
      <c r="B2" s="584"/>
      <c r="C2" s="584"/>
      <c r="D2" s="584"/>
      <c r="E2" s="584"/>
      <c r="F2" s="585"/>
    </row>
    <row r="3" spans="1:6" ht="18.899999999999999" customHeight="1">
      <c r="A3" s="916" t="s">
        <v>805</v>
      </c>
      <c r="B3" s="917"/>
      <c r="C3" s="917"/>
      <c r="D3" s="917"/>
      <c r="E3" s="917"/>
      <c r="F3" s="918"/>
    </row>
    <row r="4" spans="1:6" ht="18.899999999999999" customHeight="1">
      <c r="A4" s="919" t="s">
        <v>806</v>
      </c>
      <c r="B4" s="920"/>
      <c r="C4" s="920"/>
      <c r="D4" s="920"/>
      <c r="E4" s="920"/>
      <c r="F4" s="921"/>
    </row>
    <row r="5" spans="1:6" ht="18.899999999999999" customHeight="1">
      <c r="A5" s="587"/>
      <c r="B5" s="588"/>
      <c r="C5" s="588"/>
      <c r="D5" s="588"/>
      <c r="E5" s="588"/>
      <c r="F5" s="589"/>
    </row>
    <row r="6" spans="1:6" ht="18.899999999999999" customHeight="1">
      <c r="A6" s="590" t="s">
        <v>779</v>
      </c>
      <c r="B6" s="913" t="str">
        <f>'Performance Data Sheet'!C17</f>
        <v>A1-10032388</v>
      </c>
      <c r="C6" s="914"/>
      <c r="D6" s="915"/>
      <c r="E6" s="590" t="s">
        <v>780</v>
      </c>
      <c r="F6" s="591" t="str">
        <f>'Performance Data Sheet'!I14 &amp; " A"</f>
        <v>44 A</v>
      </c>
    </row>
    <row r="7" spans="1:6" ht="18.899999999999999" customHeight="1">
      <c r="A7" s="590" t="s">
        <v>781</v>
      </c>
      <c r="B7" s="591" t="str">
        <f>'Performance Data Sheet'!F14</f>
        <v>TEFC</v>
      </c>
      <c r="C7" s="590" t="s">
        <v>782</v>
      </c>
      <c r="D7" s="591" t="str">
        <f>'Performance Data Sheet'!F13 &amp; " V"</f>
        <v>4000 V</v>
      </c>
      <c r="E7" s="590" t="s">
        <v>783</v>
      </c>
      <c r="F7" s="591" t="str">
        <f>'Performance Data Sheet'!C14</f>
        <v>5011US</v>
      </c>
    </row>
    <row r="8" spans="1:6" ht="18.899999999999999" customHeight="1">
      <c r="A8" s="590" t="s">
        <v>784</v>
      </c>
      <c r="B8" s="591">
        <v>4</v>
      </c>
      <c r="C8" s="590" t="s">
        <v>785</v>
      </c>
      <c r="D8" s="591" t="s">
        <v>786</v>
      </c>
      <c r="E8" s="590" t="s">
        <v>787</v>
      </c>
      <c r="F8" s="591" t="s">
        <v>383</v>
      </c>
    </row>
    <row r="9" spans="1:6" ht="18.899999999999999" customHeight="1">
      <c r="A9" s="590" t="s">
        <v>788</v>
      </c>
      <c r="B9" s="591">
        <v>350</v>
      </c>
      <c r="C9" s="590" t="s">
        <v>789</v>
      </c>
      <c r="D9" s="591" t="s">
        <v>790</v>
      </c>
      <c r="E9" s="590" t="s">
        <v>74</v>
      </c>
      <c r="F9" s="592">
        <f>'Performance Data Sheet'!K44</f>
        <v>43977</v>
      </c>
    </row>
    <row r="10" spans="1:6" ht="18.899999999999999" customHeight="1">
      <c r="A10" s="590" t="s">
        <v>700</v>
      </c>
      <c r="B10" s="591">
        <v>1780</v>
      </c>
      <c r="C10" s="590" t="s">
        <v>323</v>
      </c>
      <c r="D10" s="591" t="s">
        <v>791</v>
      </c>
      <c r="E10" s="590" t="s">
        <v>72</v>
      </c>
      <c r="F10" s="591" t="s">
        <v>331</v>
      </c>
    </row>
    <row r="11" spans="1:6" ht="18.899999999999999" customHeight="1">
      <c r="A11" s="587"/>
      <c r="B11" s="588"/>
      <c r="C11" s="588"/>
      <c r="D11" s="588"/>
      <c r="E11" s="588"/>
      <c r="F11" s="589"/>
    </row>
    <row r="12" spans="1:6" ht="18.899999999999999" customHeight="1">
      <c r="A12" s="587"/>
      <c r="B12" s="593"/>
      <c r="C12" s="594"/>
      <c r="D12" s="593"/>
      <c r="E12" s="594"/>
      <c r="F12" s="589"/>
    </row>
    <row r="13" spans="1:6" ht="18.899999999999999" customHeight="1">
      <c r="A13" s="587"/>
      <c r="B13" s="593"/>
      <c r="C13" s="595"/>
      <c r="D13" s="593"/>
      <c r="E13" s="594"/>
      <c r="F13" s="589"/>
    </row>
    <row r="14" spans="1:6" ht="18.899999999999999" customHeight="1">
      <c r="A14" s="587"/>
      <c r="B14" s="593"/>
      <c r="C14" s="595"/>
      <c r="D14" s="593"/>
      <c r="E14" s="594"/>
      <c r="F14" s="589"/>
    </row>
    <row r="15" spans="1:6" ht="18.899999999999999" customHeight="1">
      <c r="A15" s="587"/>
      <c r="B15" s="593"/>
      <c r="C15" s="594"/>
      <c r="D15" s="588"/>
      <c r="E15" s="588"/>
      <c r="F15" s="589"/>
    </row>
    <row r="16" spans="1:6" ht="18.899999999999999" customHeight="1">
      <c r="A16" s="587"/>
      <c r="B16" s="588"/>
      <c r="C16" s="588"/>
      <c r="D16" s="588"/>
      <c r="E16" s="588"/>
      <c r="F16" s="589"/>
    </row>
    <row r="17" spans="1:6" ht="18.899999999999999" customHeight="1">
      <c r="A17" s="587"/>
      <c r="B17" s="588"/>
      <c r="C17" s="588"/>
      <c r="D17" s="588"/>
      <c r="E17" s="588"/>
      <c r="F17" s="589"/>
    </row>
    <row r="18" spans="1:6" ht="18.899999999999999" customHeight="1">
      <c r="A18" s="587"/>
      <c r="B18" s="588"/>
      <c r="C18" s="588"/>
      <c r="D18" s="588"/>
      <c r="E18" s="588"/>
      <c r="F18" s="589"/>
    </row>
    <row r="19" spans="1:6" ht="18.899999999999999" customHeight="1">
      <c r="A19" s="587"/>
      <c r="B19" s="588"/>
      <c r="C19" s="588"/>
      <c r="D19" s="588"/>
      <c r="E19" s="588"/>
      <c r="F19" s="589"/>
    </row>
    <row r="20" spans="1:6" ht="18.899999999999999" customHeight="1">
      <c r="A20" s="587"/>
      <c r="B20" s="588"/>
      <c r="C20" s="588"/>
      <c r="D20" s="588"/>
      <c r="E20" s="588"/>
      <c r="F20" s="589"/>
    </row>
    <row r="21" spans="1:6" ht="18.899999999999999" customHeight="1">
      <c r="A21" s="587"/>
      <c r="B21" s="588"/>
      <c r="C21" s="588"/>
      <c r="D21" s="588"/>
      <c r="E21" s="588"/>
      <c r="F21" s="589"/>
    </row>
    <row r="22" spans="1:6" ht="18.899999999999999" customHeight="1">
      <c r="A22" s="587"/>
      <c r="B22" s="588"/>
      <c r="C22" s="588"/>
      <c r="D22" s="588"/>
      <c r="E22" s="588"/>
      <c r="F22" s="589"/>
    </row>
    <row r="23" spans="1:6" ht="18.899999999999999" customHeight="1">
      <c r="A23" s="587"/>
      <c r="B23" s="588"/>
      <c r="C23" s="588"/>
      <c r="D23" s="588"/>
      <c r="E23" s="588"/>
      <c r="F23" s="589"/>
    </row>
    <row r="24" spans="1:6" ht="18.899999999999999" customHeight="1">
      <c r="A24" s="587"/>
      <c r="B24" s="588"/>
      <c r="C24" s="588"/>
      <c r="D24" s="588"/>
      <c r="E24" s="588"/>
      <c r="F24" s="589"/>
    </row>
    <row r="25" spans="1:6" ht="18.899999999999999" customHeight="1">
      <c r="A25" s="587"/>
      <c r="B25" s="588"/>
      <c r="C25" s="588"/>
      <c r="D25" s="588"/>
      <c r="E25" s="588"/>
      <c r="F25" s="589"/>
    </row>
    <row r="26" spans="1:6" ht="18.899999999999999" customHeight="1">
      <c r="A26" s="587"/>
      <c r="B26" s="588"/>
      <c r="C26" s="588"/>
      <c r="D26" s="588"/>
      <c r="E26" s="588"/>
      <c r="F26" s="589"/>
    </row>
    <row r="27" spans="1:6" ht="18.899999999999999" customHeight="1">
      <c r="A27" s="587"/>
      <c r="B27" s="588"/>
      <c r="C27" s="588"/>
      <c r="D27" s="588"/>
      <c r="E27" s="588"/>
      <c r="F27" s="589"/>
    </row>
    <row r="28" spans="1:6" ht="18.899999999999999" customHeight="1">
      <c r="A28" s="587"/>
      <c r="B28" s="588"/>
      <c r="C28" s="588"/>
      <c r="D28" s="588"/>
      <c r="E28" s="588"/>
      <c r="F28" s="589"/>
    </row>
    <row r="29" spans="1:6" ht="18.899999999999999" customHeight="1">
      <c r="A29" s="587"/>
      <c r="B29" s="588"/>
      <c r="C29" s="588"/>
      <c r="D29" s="588"/>
      <c r="E29" s="588"/>
      <c r="F29" s="589"/>
    </row>
    <row r="30" spans="1:6" ht="18.899999999999999" customHeight="1">
      <c r="A30" s="587"/>
      <c r="B30" s="588"/>
      <c r="C30" s="588"/>
      <c r="D30" s="588"/>
      <c r="E30" s="588"/>
      <c r="F30" s="589"/>
    </row>
    <row r="31" spans="1:6" ht="18.899999999999999" customHeight="1">
      <c r="A31" s="587"/>
      <c r="B31" s="588"/>
      <c r="C31" s="588"/>
      <c r="D31" s="588"/>
      <c r="E31" s="588"/>
      <c r="F31" s="589"/>
    </row>
    <row r="32" spans="1:6" ht="18.899999999999999" customHeight="1">
      <c r="A32" s="587"/>
      <c r="B32" s="588"/>
      <c r="C32" s="588"/>
      <c r="D32" s="588"/>
      <c r="E32" s="588"/>
      <c r="F32" s="589"/>
    </row>
    <row r="33" spans="1:6" ht="18.899999999999999" customHeight="1">
      <c r="A33" s="587"/>
      <c r="B33" s="588"/>
      <c r="C33" s="588"/>
      <c r="D33" s="588"/>
      <c r="E33" s="588"/>
      <c r="F33" s="589"/>
    </row>
    <row r="34" spans="1:6" ht="18.899999999999999" customHeight="1">
      <c r="A34" s="587"/>
      <c r="B34" s="588"/>
      <c r="C34" s="588"/>
      <c r="D34" s="588"/>
      <c r="E34" s="588"/>
      <c r="F34" s="589"/>
    </row>
    <row r="35" spans="1:6" ht="18.899999999999999" customHeight="1">
      <c r="A35" s="587"/>
      <c r="B35" s="588"/>
      <c r="C35" s="588"/>
      <c r="D35" s="588"/>
      <c r="E35" s="588"/>
      <c r="F35" s="589"/>
    </row>
    <row r="36" spans="1:6" ht="18.899999999999999" customHeight="1">
      <c r="A36" s="587"/>
      <c r="B36" s="588"/>
      <c r="C36" s="588"/>
      <c r="D36" s="588"/>
      <c r="E36" s="588"/>
      <c r="F36" s="589"/>
    </row>
    <row r="37" spans="1:6" ht="18.899999999999999" customHeight="1">
      <c r="A37" s="587"/>
      <c r="B37" s="588"/>
      <c r="C37" s="588"/>
      <c r="D37" s="588"/>
      <c r="E37" s="588"/>
      <c r="F37" s="589"/>
    </row>
    <row r="38" spans="1:6" ht="18.899999999999999" customHeight="1">
      <c r="A38" s="587"/>
      <c r="B38" s="588"/>
      <c r="C38" s="588"/>
      <c r="D38" s="588"/>
      <c r="E38" s="588"/>
      <c r="F38" s="589"/>
    </row>
    <row r="39" spans="1:6" ht="18.899999999999999" customHeight="1">
      <c r="A39" s="596" t="s">
        <v>799</v>
      </c>
      <c r="B39" s="597" t="s">
        <v>449</v>
      </c>
      <c r="C39" s="597" t="str">
        <f>'Performance Data Sheet'!C10</f>
        <v>2174794.1</v>
      </c>
      <c r="D39" s="588"/>
      <c r="E39" s="593" t="s">
        <v>800</v>
      </c>
      <c r="F39" s="598" t="str">
        <f>F10</f>
        <v>CS4350</v>
      </c>
    </row>
    <row r="40" spans="1:6" ht="18.899999999999999" customHeight="1">
      <c r="A40" s="587"/>
      <c r="B40" s="597"/>
      <c r="C40" s="597"/>
      <c r="D40" s="588"/>
      <c r="E40" s="588"/>
      <c r="F40" s="589"/>
    </row>
    <row r="41" spans="1:6" ht="18.899999999999999" customHeight="1">
      <c r="A41" s="587"/>
      <c r="B41" s="597"/>
      <c r="C41" s="597"/>
      <c r="D41" s="588"/>
      <c r="E41" s="588"/>
      <c r="F41" s="589"/>
    </row>
    <row r="42" spans="1:6" ht="18.899999999999999" customHeight="1">
      <c r="A42" s="587"/>
      <c r="B42" s="588"/>
      <c r="C42" s="588"/>
      <c r="D42" s="588"/>
      <c r="E42" s="588"/>
      <c r="F42" s="589"/>
    </row>
    <row r="43" spans="1:6" ht="18.899999999999999" customHeight="1">
      <c r="A43" s="599"/>
      <c r="B43" s="597"/>
      <c r="C43" s="600" t="s">
        <v>801</v>
      </c>
      <c r="D43" s="601" t="str">
        <f>'Performance Data Sheet'!K42</f>
        <v>JERRY R</v>
      </c>
      <c r="E43" s="600" t="s">
        <v>802</v>
      </c>
      <c r="F43" s="601"/>
    </row>
    <row r="44" spans="1:6" ht="15" customHeight="1"/>
    <row r="45" spans="1:6" ht="15" customHeight="1"/>
    <row r="46" spans="1:6" ht="15" customHeight="1"/>
    <row r="47" spans="1:6" ht="15" customHeight="1"/>
    <row r="48" spans="1:6" ht="15" customHeight="1"/>
    <row r="49" spans="6:9" ht="15" customHeight="1"/>
    <row r="50" spans="6:9" ht="15" customHeight="1">
      <c r="F50" s="605" t="e">
        <f>5252.1*B50/D53</f>
        <v>#DIV/0!</v>
      </c>
      <c r="G50" s="605"/>
    </row>
    <row r="51" spans="6:9" ht="15" customHeight="1"/>
    <row r="52" spans="6:9" ht="15" customHeight="1"/>
    <row r="53" spans="6:9" ht="15" customHeight="1"/>
    <row r="54" spans="6:9" ht="15" customHeight="1"/>
    <row r="55" spans="6:9" ht="15" customHeight="1"/>
    <row r="56" spans="6:9" ht="15" customHeight="1"/>
    <row r="62" spans="6:9">
      <c r="I62" s="606"/>
    </row>
    <row r="63" spans="6:9">
      <c r="I63" s="582" t="s">
        <v>807</v>
      </c>
    </row>
    <row r="66" spans="1:8">
      <c r="D66" s="605" t="e">
        <f>D65/D64</f>
        <v>#DIV/0!</v>
      </c>
    </row>
    <row r="67" spans="1:8">
      <c r="A67" s="607" t="s">
        <v>318</v>
      </c>
      <c r="B67" s="607" t="s">
        <v>808</v>
      </c>
      <c r="C67" s="607" t="s">
        <v>809</v>
      </c>
      <c r="E67" s="607" t="s">
        <v>810</v>
      </c>
      <c r="F67" s="607" t="s">
        <v>811</v>
      </c>
    </row>
    <row r="68" spans="1:8">
      <c r="A68" s="608">
        <v>631.81818181818187</v>
      </c>
      <c r="B68" s="609">
        <v>35</v>
      </c>
      <c r="C68" s="609">
        <v>15</v>
      </c>
      <c r="E68" s="608">
        <f>A68</f>
        <v>631.81818181818187</v>
      </c>
      <c r="F68" s="609">
        <v>1E-4</v>
      </c>
      <c r="G68" s="582">
        <f>0.8*E68</f>
        <v>505.4545454545455</v>
      </c>
      <c r="H68" s="610">
        <f>F68</f>
        <v>1E-4</v>
      </c>
    </row>
    <row r="69" spans="1:8">
      <c r="A69" s="608">
        <v>559.21938181818177</v>
      </c>
      <c r="B69" s="609">
        <f>((A68/A69)^2)*B68</f>
        <v>44.677396052381482</v>
      </c>
      <c r="C69" s="609">
        <f>((A68/A69)^2)*C68</f>
        <v>19.147455451020633</v>
      </c>
      <c r="E69" s="608">
        <v>629.09090909090912</v>
      </c>
      <c r="F69" s="609">
        <v>0.91699999570846558</v>
      </c>
      <c r="G69" s="582">
        <f t="shared" ref="G69:G80" si="0">0.8*E69</f>
        <v>503.27272727272731</v>
      </c>
      <c r="H69" s="582">
        <f t="shared" ref="H69:H81" si="1">1.23*F69</f>
        <v>1.1279099947214126</v>
      </c>
    </row>
    <row r="70" spans="1:8">
      <c r="A70" s="608">
        <v>486.59879999999998</v>
      </c>
      <c r="B70" s="609">
        <f>((A68/A70)^2)*B68</f>
        <v>59.007907744955553</v>
      </c>
      <c r="C70" s="609">
        <f>((A68/A70)^2)*C68</f>
        <v>25.289103319266665</v>
      </c>
      <c r="E70" s="608">
        <v>623.40909090909088</v>
      </c>
      <c r="F70" s="609">
        <v>1.7699999809265137</v>
      </c>
      <c r="G70" s="582">
        <f t="shared" si="0"/>
        <v>498.72727272727275</v>
      </c>
      <c r="H70" s="582">
        <f t="shared" si="1"/>
        <v>2.177099976539612</v>
      </c>
    </row>
    <row r="71" spans="1:8">
      <c r="A71" s="608">
        <v>414</v>
      </c>
      <c r="B71" s="609">
        <f>((A68/A71)^2)*B68</f>
        <v>81.517640555562309</v>
      </c>
      <c r="C71" s="609">
        <f>((A68/A71)^2)*C68</f>
        <v>34.93613166666956</v>
      </c>
      <c r="E71" s="608">
        <v>616.81818181818176</v>
      </c>
      <c r="F71" s="609">
        <v>2.5999999046325684</v>
      </c>
      <c r="G71" s="582">
        <f t="shared" si="0"/>
        <v>493.45454545454544</v>
      </c>
      <c r="H71" s="582">
        <f t="shared" si="1"/>
        <v>3.1979998826980589</v>
      </c>
    </row>
    <row r="72" spans="1:8">
      <c r="A72" s="608">
        <f>A71-100</f>
        <v>314</v>
      </c>
      <c r="B72" s="609">
        <f>((A68/A72)^2)*B68</f>
        <v>141.70754919734225</v>
      </c>
      <c r="C72" s="609"/>
      <c r="E72" s="608">
        <v>608.86363636363626</v>
      </c>
      <c r="F72" s="609">
        <v>3.429999828338623</v>
      </c>
      <c r="G72" s="582">
        <f t="shared" si="0"/>
        <v>487.09090909090901</v>
      </c>
      <c r="H72" s="582">
        <f t="shared" si="1"/>
        <v>4.2188997888565059</v>
      </c>
    </row>
    <row r="73" spans="1:8">
      <c r="A73" s="608">
        <f>A72-100</f>
        <v>214</v>
      </c>
      <c r="B73" s="609">
        <f>((A68/A73)^2)*B68</f>
        <v>305.08772645342731</v>
      </c>
      <c r="C73" s="609"/>
      <c r="E73" s="608">
        <v>599.5454545454545</v>
      </c>
      <c r="F73" s="609">
        <v>4.2809996604919434</v>
      </c>
      <c r="G73" s="582">
        <f t="shared" si="0"/>
        <v>479.63636363636363</v>
      </c>
      <c r="H73" s="582">
        <f t="shared" si="1"/>
        <v>5.26562958240509</v>
      </c>
    </row>
    <row r="74" spans="1:8">
      <c r="A74" s="608">
        <v>270</v>
      </c>
      <c r="B74" s="609">
        <f>((A68/A74)^2)*B68</f>
        <v>191.65703046174431</v>
      </c>
      <c r="C74" s="609">
        <f>((A68/A74)^2)*C68</f>
        <v>82.138727340747565</v>
      </c>
      <c r="E74" s="608">
        <v>588.63636363636363</v>
      </c>
      <c r="F74" s="609">
        <v>5.5</v>
      </c>
      <c r="G74" s="582">
        <f t="shared" si="0"/>
        <v>470.90909090909093</v>
      </c>
      <c r="H74" s="582">
        <f t="shared" si="1"/>
        <v>6.7649999999999997</v>
      </c>
    </row>
    <row r="75" spans="1:8">
      <c r="A75" s="611">
        <v>180</v>
      </c>
      <c r="B75" s="609">
        <f>((A68/A75)^2)*B69</f>
        <v>550.46166789617303</v>
      </c>
      <c r="C75" s="609">
        <f>((A68/A75)^2)*C68</f>
        <v>184.81213651668199</v>
      </c>
      <c r="E75" s="608">
        <v>575.4545454545455</v>
      </c>
      <c r="F75" s="609">
        <v>7.2</v>
      </c>
      <c r="G75" s="582">
        <f t="shared" si="0"/>
        <v>460.36363636363643</v>
      </c>
      <c r="H75" s="582">
        <f t="shared" si="1"/>
        <v>8.8559999999999999</v>
      </c>
    </row>
    <row r="76" spans="1:8">
      <c r="A76" s="611">
        <v>145</v>
      </c>
      <c r="B76" s="609">
        <f>((A68/A76)^2)*B68</f>
        <v>664.53258124428839</v>
      </c>
      <c r="C76" s="609">
        <f>((A68/A76)^2)*C68</f>
        <v>284.79967767612357</v>
      </c>
      <c r="E76" s="608">
        <v>558.18181818181813</v>
      </c>
      <c r="F76" s="609">
        <v>8.6999999999999993</v>
      </c>
      <c r="G76" s="582">
        <f t="shared" si="0"/>
        <v>446.5454545454545</v>
      </c>
      <c r="H76" s="582">
        <f t="shared" si="1"/>
        <v>10.700999999999999</v>
      </c>
    </row>
    <row r="77" spans="1:8">
      <c r="A77" s="611">
        <v>125</v>
      </c>
      <c r="B77" s="609"/>
      <c r="C77" s="608">
        <f>CEILING(C76*2,100)</f>
        <v>600</v>
      </c>
      <c r="E77" s="608">
        <v>539.09090909090912</v>
      </c>
      <c r="F77" s="609">
        <v>10</v>
      </c>
      <c r="G77" s="582">
        <f t="shared" si="0"/>
        <v>431.27272727272731</v>
      </c>
      <c r="H77" s="582">
        <f t="shared" si="1"/>
        <v>12.3</v>
      </c>
    </row>
    <row r="78" spans="1:8">
      <c r="A78" s="611">
        <v>125</v>
      </c>
      <c r="B78" s="609"/>
      <c r="C78" s="608">
        <f>2*C77</f>
        <v>1200</v>
      </c>
      <c r="E78" s="608">
        <v>512.0454545454545</v>
      </c>
      <c r="F78" s="609">
        <v>10.8</v>
      </c>
      <c r="G78" s="582">
        <f t="shared" si="0"/>
        <v>409.63636363636363</v>
      </c>
      <c r="H78" s="582">
        <f t="shared" si="1"/>
        <v>13.284000000000001</v>
      </c>
    </row>
    <row r="79" spans="1:8">
      <c r="A79" s="611">
        <v>125</v>
      </c>
      <c r="B79" s="611"/>
      <c r="C79" s="611">
        <v>10000</v>
      </c>
      <c r="E79" s="608">
        <v>439.31818181818181</v>
      </c>
      <c r="F79" s="609">
        <v>11.5</v>
      </c>
      <c r="G79" s="582">
        <f t="shared" si="0"/>
        <v>351.4545454545455</v>
      </c>
      <c r="H79" s="582">
        <f t="shared" si="1"/>
        <v>14.145</v>
      </c>
    </row>
    <row r="80" spans="1:8">
      <c r="E80" s="608">
        <v>247.95454545454547</v>
      </c>
      <c r="F80" s="609">
        <v>12</v>
      </c>
      <c r="G80" s="582">
        <f t="shared" si="0"/>
        <v>198.36363636363637</v>
      </c>
      <c r="H80" s="582">
        <f t="shared" si="1"/>
        <v>14.76</v>
      </c>
    </row>
    <row r="81" spans="5:8">
      <c r="E81" s="608">
        <v>120</v>
      </c>
      <c r="F81" s="609">
        <v>13</v>
      </c>
      <c r="G81" s="582">
        <v>120</v>
      </c>
      <c r="H81" s="582">
        <f t="shared" si="1"/>
        <v>15.99</v>
      </c>
    </row>
  </sheetData>
  <mergeCells count="3">
    <mergeCell ref="A3:F3"/>
    <mergeCell ref="A4:F4"/>
    <mergeCell ref="B6:D6"/>
  </mergeCells>
  <printOptions horizontalCentered="1" verticalCentered="1"/>
  <pageMargins left="0.59055118110236204" right="0.59055118110236204" top="0.59055118110236204" bottom="0.59055118110236204" header="0" footer="0"/>
  <pageSetup scale="87" orientation="portrait" horizontalDpi="0" verticalDpi="300"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67E41-FA81-4BDE-80FA-F729940D8946}">
  <sheetPr>
    <pageSetUpPr fitToPage="1"/>
  </sheetPr>
  <dimension ref="A1:H67"/>
  <sheetViews>
    <sheetView workbookViewId="0">
      <selection activeCell="C12" sqref="C12"/>
    </sheetView>
  </sheetViews>
  <sheetFormatPr defaultRowHeight="13.2"/>
  <cols>
    <col min="1" max="6" width="12.5" style="582" customWidth="1"/>
    <col min="7" max="256" width="8.6640625" style="582"/>
    <col min="257" max="262" width="12.5" style="582" customWidth="1"/>
    <col min="263" max="512" width="8.6640625" style="582"/>
    <col min="513" max="518" width="12.5" style="582" customWidth="1"/>
    <col min="519" max="768" width="8.6640625" style="582"/>
    <col min="769" max="774" width="12.5" style="582" customWidth="1"/>
    <col min="775" max="1024" width="8.6640625" style="582"/>
    <col min="1025" max="1030" width="12.5" style="582" customWidth="1"/>
    <col min="1031" max="1280" width="8.6640625" style="582"/>
    <col min="1281" max="1286" width="12.5" style="582" customWidth="1"/>
    <col min="1287" max="1536" width="8.6640625" style="582"/>
    <col min="1537" max="1542" width="12.5" style="582" customWidth="1"/>
    <col min="1543" max="1792" width="8.6640625" style="582"/>
    <col min="1793" max="1798" width="12.5" style="582" customWidth="1"/>
    <col min="1799" max="2048" width="8.6640625" style="582"/>
    <col min="2049" max="2054" width="12.5" style="582" customWidth="1"/>
    <col min="2055" max="2304" width="8.6640625" style="582"/>
    <col min="2305" max="2310" width="12.5" style="582" customWidth="1"/>
    <col min="2311" max="2560" width="8.6640625" style="582"/>
    <col min="2561" max="2566" width="12.5" style="582" customWidth="1"/>
    <col min="2567" max="2816" width="8.6640625" style="582"/>
    <col min="2817" max="2822" width="12.5" style="582" customWidth="1"/>
    <col min="2823" max="3072" width="8.6640625" style="582"/>
    <col min="3073" max="3078" width="12.5" style="582" customWidth="1"/>
    <col min="3079" max="3328" width="8.6640625" style="582"/>
    <col min="3329" max="3334" width="12.5" style="582" customWidth="1"/>
    <col min="3335" max="3584" width="8.6640625" style="582"/>
    <col min="3585" max="3590" width="12.5" style="582" customWidth="1"/>
    <col min="3591" max="3840" width="8.6640625" style="582"/>
    <col min="3841" max="3846" width="12.5" style="582" customWidth="1"/>
    <col min="3847" max="4096" width="8.6640625" style="582"/>
    <col min="4097" max="4102" width="12.5" style="582" customWidth="1"/>
    <col min="4103" max="4352" width="8.6640625" style="582"/>
    <col min="4353" max="4358" width="12.5" style="582" customWidth="1"/>
    <col min="4359" max="4608" width="8.6640625" style="582"/>
    <col min="4609" max="4614" width="12.5" style="582" customWidth="1"/>
    <col min="4615" max="4864" width="8.6640625" style="582"/>
    <col min="4865" max="4870" width="12.5" style="582" customWidth="1"/>
    <col min="4871" max="5120" width="8.6640625" style="582"/>
    <col min="5121" max="5126" width="12.5" style="582" customWidth="1"/>
    <col min="5127" max="5376" width="8.6640625" style="582"/>
    <col min="5377" max="5382" width="12.5" style="582" customWidth="1"/>
    <col min="5383" max="5632" width="8.6640625" style="582"/>
    <col min="5633" max="5638" width="12.5" style="582" customWidth="1"/>
    <col min="5639" max="5888" width="8.6640625" style="582"/>
    <col min="5889" max="5894" width="12.5" style="582" customWidth="1"/>
    <col min="5895" max="6144" width="8.6640625" style="582"/>
    <col min="6145" max="6150" width="12.5" style="582" customWidth="1"/>
    <col min="6151" max="6400" width="8.6640625" style="582"/>
    <col min="6401" max="6406" width="12.5" style="582" customWidth="1"/>
    <col min="6407" max="6656" width="8.6640625" style="582"/>
    <col min="6657" max="6662" width="12.5" style="582" customWidth="1"/>
    <col min="6663" max="6912" width="8.6640625" style="582"/>
    <col min="6913" max="6918" width="12.5" style="582" customWidth="1"/>
    <col min="6919" max="7168" width="8.6640625" style="582"/>
    <col min="7169" max="7174" width="12.5" style="582" customWidth="1"/>
    <col min="7175" max="7424" width="8.6640625" style="582"/>
    <col min="7425" max="7430" width="12.5" style="582" customWidth="1"/>
    <col min="7431" max="7680" width="8.6640625" style="582"/>
    <col min="7681" max="7686" width="12.5" style="582" customWidth="1"/>
    <col min="7687" max="7936" width="8.6640625" style="582"/>
    <col min="7937" max="7942" width="12.5" style="582" customWidth="1"/>
    <col min="7943" max="8192" width="8.6640625" style="582"/>
    <col min="8193" max="8198" width="12.5" style="582" customWidth="1"/>
    <col min="8199" max="8448" width="8.6640625" style="582"/>
    <col min="8449" max="8454" width="12.5" style="582" customWidth="1"/>
    <col min="8455" max="8704" width="8.6640625" style="582"/>
    <col min="8705" max="8710" width="12.5" style="582" customWidth="1"/>
    <col min="8711" max="8960" width="8.6640625" style="582"/>
    <col min="8961" max="8966" width="12.5" style="582" customWidth="1"/>
    <col min="8967" max="9216" width="8.6640625" style="582"/>
    <col min="9217" max="9222" width="12.5" style="582" customWidth="1"/>
    <col min="9223" max="9472" width="8.6640625" style="582"/>
    <col min="9473" max="9478" width="12.5" style="582" customWidth="1"/>
    <col min="9479" max="9728" width="8.6640625" style="582"/>
    <col min="9729" max="9734" width="12.5" style="582" customWidth="1"/>
    <col min="9735" max="9984" width="8.6640625" style="582"/>
    <col min="9985" max="9990" width="12.5" style="582" customWidth="1"/>
    <col min="9991" max="10240" width="8.6640625" style="582"/>
    <col min="10241" max="10246" width="12.5" style="582" customWidth="1"/>
    <col min="10247" max="10496" width="8.6640625" style="582"/>
    <col min="10497" max="10502" width="12.5" style="582" customWidth="1"/>
    <col min="10503" max="10752" width="8.6640625" style="582"/>
    <col min="10753" max="10758" width="12.5" style="582" customWidth="1"/>
    <col min="10759" max="11008" width="8.6640625" style="582"/>
    <col min="11009" max="11014" width="12.5" style="582" customWidth="1"/>
    <col min="11015" max="11264" width="8.6640625" style="582"/>
    <col min="11265" max="11270" width="12.5" style="582" customWidth="1"/>
    <col min="11271" max="11520" width="8.6640625" style="582"/>
    <col min="11521" max="11526" width="12.5" style="582" customWidth="1"/>
    <col min="11527" max="11776" width="8.6640625" style="582"/>
    <col min="11777" max="11782" width="12.5" style="582" customWidth="1"/>
    <col min="11783" max="12032" width="8.6640625" style="582"/>
    <col min="12033" max="12038" width="12.5" style="582" customWidth="1"/>
    <col min="12039" max="12288" width="8.6640625" style="582"/>
    <col min="12289" max="12294" width="12.5" style="582" customWidth="1"/>
    <col min="12295" max="12544" width="8.6640625" style="582"/>
    <col min="12545" max="12550" width="12.5" style="582" customWidth="1"/>
    <col min="12551" max="12800" width="8.6640625" style="582"/>
    <col min="12801" max="12806" width="12.5" style="582" customWidth="1"/>
    <col min="12807" max="13056" width="8.6640625" style="582"/>
    <col min="13057" max="13062" width="12.5" style="582" customWidth="1"/>
    <col min="13063" max="13312" width="8.6640625" style="582"/>
    <col min="13313" max="13318" width="12.5" style="582" customWidth="1"/>
    <col min="13319" max="13568" width="8.6640625" style="582"/>
    <col min="13569" max="13574" width="12.5" style="582" customWidth="1"/>
    <col min="13575" max="13824" width="8.6640625" style="582"/>
    <col min="13825" max="13830" width="12.5" style="582" customWidth="1"/>
    <col min="13831" max="14080" width="8.6640625" style="582"/>
    <col min="14081" max="14086" width="12.5" style="582" customWidth="1"/>
    <col min="14087" max="14336" width="8.6640625" style="582"/>
    <col min="14337" max="14342" width="12.5" style="582" customWidth="1"/>
    <col min="14343" max="14592" width="8.6640625" style="582"/>
    <col min="14593" max="14598" width="12.5" style="582" customWidth="1"/>
    <col min="14599" max="14848" width="8.6640625" style="582"/>
    <col min="14849" max="14854" width="12.5" style="582" customWidth="1"/>
    <col min="14855" max="15104" width="8.6640625" style="582"/>
    <col min="15105" max="15110" width="12.5" style="582" customWidth="1"/>
    <col min="15111" max="15360" width="8.6640625" style="582"/>
    <col min="15361" max="15366" width="12.5" style="582" customWidth="1"/>
    <col min="15367" max="15616" width="8.6640625" style="582"/>
    <col min="15617" max="15622" width="12.5" style="582" customWidth="1"/>
    <col min="15623" max="15872" width="8.6640625" style="582"/>
    <col min="15873" max="15878" width="12.5" style="582" customWidth="1"/>
    <col min="15879" max="16128" width="8.6640625" style="582"/>
    <col min="16129" max="16134" width="12.5" style="582" customWidth="1"/>
    <col min="16135" max="16384" width="8.6640625" style="582"/>
  </cols>
  <sheetData>
    <row r="1" spans="1:6" ht="18.899999999999999" customHeight="1">
      <c r="A1" s="579"/>
      <c r="B1" s="580"/>
      <c r="C1" s="580"/>
      <c r="D1" s="580"/>
      <c r="E1" s="580"/>
      <c r="F1" s="581"/>
    </row>
    <row r="2" spans="1:6" ht="26.1" customHeight="1">
      <c r="A2" s="583" t="s">
        <v>0</v>
      </c>
      <c r="B2" s="584"/>
      <c r="C2" s="584"/>
      <c r="D2" s="584"/>
      <c r="E2" s="584"/>
      <c r="F2" s="585"/>
    </row>
    <row r="3" spans="1:6" ht="18.899999999999999" customHeight="1">
      <c r="A3" s="586" t="s">
        <v>812</v>
      </c>
      <c r="B3" s="584"/>
      <c r="C3" s="584"/>
      <c r="D3" s="584"/>
      <c r="E3" s="584"/>
      <c r="F3" s="585"/>
    </row>
    <row r="4" spans="1:6" ht="18.899999999999999" customHeight="1">
      <c r="A4" s="919" t="s">
        <v>806</v>
      </c>
      <c r="B4" s="920"/>
      <c r="C4" s="920"/>
      <c r="D4" s="920"/>
      <c r="E4" s="920"/>
      <c r="F4" s="921"/>
    </row>
    <row r="5" spans="1:6" ht="18.899999999999999" customHeight="1">
      <c r="A5" s="587"/>
      <c r="B5" s="588"/>
      <c r="C5" s="588"/>
      <c r="D5" s="588"/>
      <c r="E5" s="588"/>
      <c r="F5" s="589"/>
    </row>
    <row r="6" spans="1:6" ht="18.899999999999999" customHeight="1">
      <c r="A6" s="590" t="s">
        <v>779</v>
      </c>
      <c r="B6" s="913" t="str">
        <f>'Performance Data Sheet'!C17</f>
        <v>A1-10032388</v>
      </c>
      <c r="C6" s="914"/>
      <c r="D6" s="915"/>
      <c r="E6" s="590" t="s">
        <v>780</v>
      </c>
      <c r="F6" s="591" t="str">
        <f>'Performance Data Sheet'!I14 &amp; " A"</f>
        <v>44 A</v>
      </c>
    </row>
    <row r="7" spans="1:6" ht="18.899999999999999" customHeight="1">
      <c r="A7" s="590" t="s">
        <v>781</v>
      </c>
      <c r="B7" s="591" t="str">
        <f>'Performance Data Sheet'!F14</f>
        <v>TEFC</v>
      </c>
      <c r="C7" s="590" t="s">
        <v>782</v>
      </c>
      <c r="D7" s="591" t="str">
        <f>'Performance Data Sheet'!F13 &amp; " V"</f>
        <v>4000 V</v>
      </c>
      <c r="E7" s="590" t="s">
        <v>783</v>
      </c>
      <c r="F7" s="591" t="str">
        <f>'Performance Data Sheet'!C14</f>
        <v>5011US</v>
      </c>
    </row>
    <row r="8" spans="1:6" ht="18.899999999999999" customHeight="1">
      <c r="A8" s="590" t="s">
        <v>784</v>
      </c>
      <c r="B8" s="591">
        <v>4</v>
      </c>
      <c r="C8" s="590" t="s">
        <v>785</v>
      </c>
      <c r="D8" s="591" t="s">
        <v>786</v>
      </c>
      <c r="E8" s="590" t="s">
        <v>787</v>
      </c>
      <c r="F8" s="591" t="s">
        <v>383</v>
      </c>
    </row>
    <row r="9" spans="1:6" ht="18.899999999999999" customHeight="1">
      <c r="A9" s="590" t="s">
        <v>788</v>
      </c>
      <c r="B9" s="591">
        <v>350</v>
      </c>
      <c r="C9" s="590" t="s">
        <v>789</v>
      </c>
      <c r="D9" s="591" t="s">
        <v>790</v>
      </c>
      <c r="E9" s="590" t="s">
        <v>74</v>
      </c>
      <c r="F9" s="592">
        <f>'Performance Data Sheet'!K44</f>
        <v>43977</v>
      </c>
    </row>
    <row r="10" spans="1:6" ht="18.899999999999999" customHeight="1">
      <c r="A10" s="590" t="s">
        <v>700</v>
      </c>
      <c r="B10" s="591">
        <v>1780</v>
      </c>
      <c r="C10" s="590" t="s">
        <v>323</v>
      </c>
      <c r="D10" s="591" t="s">
        <v>791</v>
      </c>
      <c r="E10" s="590" t="s">
        <v>72</v>
      </c>
      <c r="F10" s="591" t="s">
        <v>331</v>
      </c>
    </row>
    <row r="11" spans="1:6" ht="18.899999999999999" customHeight="1">
      <c r="A11" s="587"/>
      <c r="B11" s="588"/>
      <c r="C11" s="588"/>
      <c r="D11" s="588"/>
      <c r="E11" s="588"/>
      <c r="F11" s="589"/>
    </row>
    <row r="12" spans="1:6" ht="18.899999999999999" customHeight="1">
      <c r="A12" s="587"/>
      <c r="B12" s="593" t="s">
        <v>792</v>
      </c>
      <c r="C12" s="594" t="str">
        <f>'Performance Data Sheet'!D22 &amp; "A"</f>
        <v>278A</v>
      </c>
      <c r="D12" s="593" t="s">
        <v>321</v>
      </c>
      <c r="E12" s="594" t="s">
        <v>322</v>
      </c>
      <c r="F12" s="589"/>
    </row>
    <row r="13" spans="1:6" ht="18.899999999999999" customHeight="1">
      <c r="A13" s="587"/>
      <c r="B13" s="593" t="s">
        <v>793</v>
      </c>
      <c r="C13" s="595">
        <v>1.7</v>
      </c>
      <c r="D13" s="593" t="s">
        <v>794</v>
      </c>
      <c r="E13" s="594" t="s">
        <v>795</v>
      </c>
      <c r="F13" s="589"/>
    </row>
    <row r="14" spans="1:6" ht="18.899999999999999" customHeight="1">
      <c r="A14" s="587"/>
      <c r="B14" s="593" t="s">
        <v>796</v>
      </c>
      <c r="C14" s="595">
        <v>2.7</v>
      </c>
      <c r="D14" s="593" t="s">
        <v>325</v>
      </c>
      <c r="E14" s="594" t="s">
        <v>797</v>
      </c>
      <c r="F14" s="589"/>
    </row>
    <row r="15" spans="1:6" ht="18.899999999999999" customHeight="1">
      <c r="A15" s="587"/>
      <c r="B15" s="593" t="s">
        <v>327</v>
      </c>
      <c r="C15" s="594" t="s">
        <v>798</v>
      </c>
      <c r="D15" s="588"/>
      <c r="E15" s="588"/>
      <c r="F15" s="589"/>
    </row>
    <row r="16" spans="1:6" ht="18.899999999999999" customHeight="1">
      <c r="A16" s="587"/>
      <c r="B16" s="588"/>
      <c r="C16" s="588"/>
      <c r="D16" s="588"/>
      <c r="E16" s="588"/>
      <c r="F16" s="589"/>
    </row>
    <row r="17" spans="1:8" ht="18.899999999999999" customHeight="1">
      <c r="A17" s="587"/>
      <c r="B17" s="588"/>
      <c r="C17" s="588"/>
      <c r="D17" s="588"/>
      <c r="E17" s="588"/>
      <c r="F17" s="589"/>
    </row>
    <row r="18" spans="1:8" ht="18.899999999999999" customHeight="1">
      <c r="A18" s="587"/>
      <c r="B18" s="588"/>
      <c r="C18" s="588"/>
      <c r="D18" s="588"/>
      <c r="E18" s="588"/>
      <c r="F18" s="589"/>
    </row>
    <row r="19" spans="1:8" ht="18.899999999999999" customHeight="1">
      <c r="A19" s="587"/>
      <c r="B19" s="588"/>
      <c r="C19" s="588"/>
      <c r="D19" s="588"/>
      <c r="E19" s="588"/>
      <c r="F19" s="589"/>
    </row>
    <row r="20" spans="1:8" ht="18.899999999999999" customHeight="1">
      <c r="A20" s="587"/>
      <c r="B20" s="588"/>
      <c r="C20" s="588"/>
      <c r="D20" s="588"/>
      <c r="E20" s="588"/>
      <c r="F20" s="589"/>
    </row>
    <row r="21" spans="1:8" ht="18.899999999999999" customHeight="1">
      <c r="A21" s="587"/>
      <c r="B21" s="588"/>
      <c r="C21" s="588"/>
      <c r="D21" s="588"/>
      <c r="E21" s="588"/>
      <c r="F21" s="589"/>
    </row>
    <row r="22" spans="1:8" ht="18.899999999999999" customHeight="1">
      <c r="A22" s="587"/>
      <c r="B22" s="588"/>
      <c r="C22" s="588"/>
      <c r="D22" s="588"/>
      <c r="E22" s="588"/>
      <c r="F22" s="589"/>
    </row>
    <row r="23" spans="1:8" ht="18.899999999999999" customHeight="1">
      <c r="A23" s="587"/>
      <c r="B23" s="588"/>
      <c r="C23" s="588"/>
      <c r="D23" s="588"/>
      <c r="E23" s="588"/>
      <c r="F23" s="589"/>
    </row>
    <row r="24" spans="1:8" ht="18.899999999999999" customHeight="1">
      <c r="A24" s="587"/>
      <c r="B24" s="588"/>
      <c r="C24" s="588"/>
      <c r="D24" s="588"/>
      <c r="E24" s="588"/>
      <c r="F24" s="589"/>
      <c r="H24" s="612"/>
    </row>
    <row r="25" spans="1:8" ht="18.899999999999999" customHeight="1">
      <c r="A25" s="587"/>
      <c r="B25" s="588"/>
      <c r="C25" s="588"/>
      <c r="D25" s="588"/>
      <c r="E25" s="588"/>
      <c r="F25" s="589"/>
    </row>
    <row r="26" spans="1:8" ht="18.899999999999999" customHeight="1">
      <c r="A26" s="587"/>
      <c r="B26" s="588"/>
      <c r="C26" s="588"/>
      <c r="D26" s="588"/>
      <c r="E26" s="588"/>
      <c r="F26" s="589"/>
    </row>
    <row r="27" spans="1:8" ht="18.899999999999999" customHeight="1">
      <c r="A27" s="587"/>
      <c r="B27" s="588"/>
      <c r="C27" s="588"/>
      <c r="D27" s="588"/>
      <c r="E27" s="588"/>
      <c r="F27" s="589"/>
    </row>
    <row r="28" spans="1:8" ht="18.899999999999999" customHeight="1">
      <c r="A28" s="587"/>
      <c r="B28" s="588"/>
      <c r="C28" s="588"/>
      <c r="D28" s="588"/>
      <c r="E28" s="588"/>
      <c r="F28" s="589"/>
    </row>
    <row r="29" spans="1:8" ht="18.899999999999999" customHeight="1">
      <c r="A29" s="587"/>
      <c r="B29" s="588"/>
      <c r="C29" s="588"/>
      <c r="D29" s="588"/>
      <c r="E29" s="588"/>
      <c r="F29" s="589"/>
    </row>
    <row r="30" spans="1:8" ht="18.899999999999999" customHeight="1">
      <c r="A30" s="587"/>
      <c r="B30" s="588"/>
      <c r="C30" s="588"/>
      <c r="D30" s="588"/>
      <c r="E30" s="588"/>
      <c r="F30" s="589"/>
    </row>
    <row r="31" spans="1:8" ht="18.899999999999999" customHeight="1">
      <c r="A31" s="587"/>
      <c r="B31" s="588"/>
      <c r="C31" s="588"/>
      <c r="D31" s="588"/>
      <c r="E31" s="588"/>
      <c r="F31" s="589"/>
    </row>
    <row r="32" spans="1:8" ht="18.899999999999999" customHeight="1">
      <c r="A32" s="587"/>
      <c r="B32" s="588"/>
      <c r="C32" s="588"/>
      <c r="D32" s="588"/>
      <c r="E32" s="588"/>
      <c r="F32" s="589"/>
    </row>
    <row r="33" spans="1:6" ht="18.899999999999999" customHeight="1">
      <c r="A33" s="587"/>
      <c r="B33" s="588"/>
      <c r="C33" s="588"/>
      <c r="D33" s="588"/>
      <c r="E33" s="588"/>
      <c r="F33" s="589"/>
    </row>
    <row r="34" spans="1:6" ht="18.899999999999999" customHeight="1">
      <c r="A34" s="587"/>
      <c r="B34" s="588"/>
      <c r="C34" s="588"/>
      <c r="D34" s="588"/>
      <c r="E34" s="588"/>
      <c r="F34" s="589"/>
    </row>
    <row r="35" spans="1:6" ht="18.899999999999999" customHeight="1">
      <c r="A35" s="587"/>
      <c r="B35" s="588"/>
      <c r="C35" s="588"/>
      <c r="D35" s="588"/>
      <c r="E35" s="588"/>
      <c r="F35" s="589"/>
    </row>
    <row r="36" spans="1:6" ht="18.899999999999999" customHeight="1">
      <c r="A36" s="587"/>
      <c r="B36" s="588"/>
      <c r="C36" s="588"/>
      <c r="D36" s="588"/>
      <c r="E36" s="588"/>
      <c r="F36" s="589"/>
    </row>
    <row r="37" spans="1:6" ht="18.899999999999999" customHeight="1">
      <c r="A37" s="587"/>
      <c r="B37" s="588"/>
      <c r="C37" s="588"/>
      <c r="D37" s="588"/>
      <c r="E37" s="588"/>
      <c r="F37" s="589"/>
    </row>
    <row r="38" spans="1:6" ht="18.899999999999999" customHeight="1">
      <c r="A38" s="587"/>
      <c r="B38" s="588"/>
      <c r="C38" s="588"/>
      <c r="D38" s="588"/>
      <c r="E38" s="588"/>
      <c r="F38" s="589"/>
    </row>
    <row r="39" spans="1:6" ht="18.899999999999999" customHeight="1">
      <c r="A39" s="596" t="s">
        <v>799</v>
      </c>
      <c r="B39" s="597" t="s">
        <v>449</v>
      </c>
      <c r="C39" s="597" t="str">
        <f>'Performance Data Sheet'!C10</f>
        <v>2174794.1</v>
      </c>
      <c r="D39" s="588"/>
      <c r="E39" s="593" t="s">
        <v>800</v>
      </c>
      <c r="F39" s="598" t="str">
        <f>F10</f>
        <v>CS4350</v>
      </c>
    </row>
    <row r="40" spans="1:6" ht="18.899999999999999" customHeight="1">
      <c r="A40" s="587"/>
      <c r="B40" s="597"/>
      <c r="C40" s="597"/>
      <c r="D40" s="588"/>
      <c r="E40" s="588"/>
      <c r="F40" s="589"/>
    </row>
    <row r="41" spans="1:6" ht="18.899999999999999" customHeight="1">
      <c r="A41" s="587"/>
      <c r="B41" s="597"/>
      <c r="C41" s="597"/>
      <c r="D41" s="588"/>
      <c r="E41" s="588"/>
      <c r="F41" s="589"/>
    </row>
    <row r="42" spans="1:6" ht="18.899999999999999" customHeight="1">
      <c r="A42" s="587"/>
      <c r="B42" s="588"/>
      <c r="C42" s="588"/>
      <c r="D42" s="588"/>
      <c r="E42" s="588"/>
      <c r="F42" s="589"/>
    </row>
    <row r="43" spans="1:6" ht="18.899999999999999" customHeight="1">
      <c r="A43" s="599"/>
      <c r="B43" s="597"/>
      <c r="C43" s="600" t="s">
        <v>801</v>
      </c>
      <c r="D43" s="601" t="str">
        <f>'Performance Data Sheet'!K42</f>
        <v>JERRY R</v>
      </c>
      <c r="E43" s="600" t="s">
        <v>802</v>
      </c>
      <c r="F43" s="601"/>
    </row>
    <row r="44" spans="1:6" ht="15" customHeight="1"/>
    <row r="45" spans="1:6" ht="15" customHeight="1"/>
    <row r="46" spans="1:6" ht="15" customHeight="1"/>
    <row r="47" spans="1:6" ht="15" customHeight="1"/>
    <row r="48" spans="1:6" ht="15" customHeight="1"/>
    <row r="49" spans="1:6" ht="15" customHeight="1"/>
    <row r="50" spans="1:6" ht="15" customHeight="1"/>
    <row r="51" spans="1:6" ht="15" customHeight="1"/>
    <row r="52" spans="1:6" ht="15" customHeight="1" thickBot="1"/>
    <row r="53" spans="1:6" ht="15" customHeight="1" thickBot="1">
      <c r="A53" s="613" t="s">
        <v>329</v>
      </c>
      <c r="B53" s="613" t="s">
        <v>284</v>
      </c>
      <c r="C53" s="613" t="s">
        <v>248</v>
      </c>
      <c r="D53" s="613" t="s">
        <v>277</v>
      </c>
      <c r="E53" s="613" t="s">
        <v>78</v>
      </c>
      <c r="F53" s="614" t="s">
        <v>813</v>
      </c>
    </row>
    <row r="54" spans="1:6" ht="15" customHeight="1">
      <c r="A54" s="615">
        <v>0</v>
      </c>
      <c r="B54" s="616"/>
      <c r="C54" s="617"/>
      <c r="D54" s="617">
        <v>8.1277218040434711</v>
      </c>
      <c r="E54" s="617">
        <v>100</v>
      </c>
      <c r="F54" s="618">
        <v>7.108217401773655</v>
      </c>
    </row>
    <row r="55" spans="1:6" ht="15" customHeight="1">
      <c r="A55" s="619">
        <v>25</v>
      </c>
      <c r="B55" s="620">
        <v>88.418853759765625</v>
      </c>
      <c r="C55" s="621">
        <v>76.590118408203125</v>
      </c>
      <c r="D55" s="621">
        <v>14.035774230957031</v>
      </c>
      <c r="E55" s="621">
        <v>78.890041177077009</v>
      </c>
      <c r="F55" s="622">
        <v>9.3095134975336116</v>
      </c>
    </row>
    <row r="56" spans="1:6" ht="15" customHeight="1">
      <c r="A56" s="619">
        <v>50</v>
      </c>
      <c r="B56" s="620">
        <v>92.347732543945313</v>
      </c>
      <c r="C56" s="621">
        <v>89.274543762207031</v>
      </c>
      <c r="D56" s="621">
        <v>23.058450698852539</v>
      </c>
      <c r="E56" s="621">
        <v>64.438925877155356</v>
      </c>
      <c r="F56" s="622">
        <v>17.826892438442112</v>
      </c>
    </row>
    <row r="57" spans="1:6">
      <c r="A57" s="619">
        <v>75</v>
      </c>
      <c r="B57" s="620">
        <v>93.339019775390625</v>
      </c>
      <c r="C57" s="621">
        <v>92.07757568359375</v>
      </c>
      <c r="D57" s="621">
        <v>33.178600311279297</v>
      </c>
      <c r="E57" s="621">
        <v>49.582286519327965</v>
      </c>
      <c r="F57" s="622">
        <v>26.456345253965722</v>
      </c>
    </row>
    <row r="58" spans="1:6">
      <c r="A58" s="619">
        <v>100</v>
      </c>
      <c r="B58" s="620">
        <v>93.491844177246094</v>
      </c>
      <c r="C58" s="621">
        <v>92.427459716796875</v>
      </c>
      <c r="D58" s="621">
        <v>43.998630523681641</v>
      </c>
      <c r="E58" s="621">
        <v>33.255477310555136</v>
      </c>
      <c r="F58" s="622">
        <v>35.217463329482186</v>
      </c>
    </row>
    <row r="59" spans="1:6" ht="13.8" thickBot="1">
      <c r="A59" s="623">
        <v>125</v>
      </c>
      <c r="B59" s="624">
        <v>93.315025329589844</v>
      </c>
      <c r="C59" s="625">
        <v>91.718742370605469</v>
      </c>
      <c r="D59" s="625">
        <v>55.528278350830078</v>
      </c>
      <c r="E59" s="625">
        <v>17.568488870143973</v>
      </c>
      <c r="F59" s="626">
        <v>44.105241810128</v>
      </c>
    </row>
    <row r="60" spans="1:6">
      <c r="A60" s="603"/>
      <c r="B60" s="602"/>
      <c r="C60" s="602"/>
    </row>
    <row r="61" spans="1:6">
      <c r="A61" s="603"/>
      <c r="B61" s="602"/>
      <c r="C61" s="602"/>
    </row>
    <row r="62" spans="1:6">
      <c r="A62" s="603"/>
      <c r="B62" s="602"/>
      <c r="C62" s="602"/>
    </row>
    <row r="63" spans="1:6">
      <c r="A63" s="603"/>
      <c r="B63" s="602"/>
      <c r="C63" s="602"/>
    </row>
    <row r="64" spans="1:6">
      <c r="A64" s="603"/>
      <c r="B64" s="602"/>
      <c r="C64" s="602"/>
    </row>
    <row r="65" spans="1:3">
      <c r="A65" s="603"/>
      <c r="B65" s="602"/>
      <c r="C65" s="602"/>
    </row>
    <row r="66" spans="1:3">
      <c r="A66" s="603"/>
      <c r="B66" s="602"/>
      <c r="C66" s="602"/>
    </row>
    <row r="67" spans="1:3">
      <c r="A67" s="604"/>
      <c r="B67" s="602"/>
      <c r="C67" s="602"/>
    </row>
  </sheetData>
  <mergeCells count="2">
    <mergeCell ref="A4:F4"/>
    <mergeCell ref="B6:D6"/>
  </mergeCells>
  <printOptions horizontalCentered="1" verticalCentered="1"/>
  <pageMargins left="0.59055118110236204" right="0.59055118110236204" top="0.59055118110236204" bottom="0.59055118110236204" header="0" footer="0"/>
  <pageSetup scale="87" orientation="portrait" horizontalDpi="0" verticalDpi="300"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C965C-57DE-4ABF-8E3A-B861135B7286}">
  <sheetPr syncVertical="1" syncRef="A1" transitionEvaluation="1"/>
  <dimension ref="A1:AB43"/>
  <sheetViews>
    <sheetView showGridLines="0" zoomScale="75" zoomScaleNormal="75" workbookViewId="0">
      <selection activeCell="C12" sqref="C12"/>
    </sheetView>
  </sheetViews>
  <sheetFormatPr defaultColWidth="7.25" defaultRowHeight="12.6"/>
  <cols>
    <col min="1" max="2" width="4.9140625" style="633" customWidth="1"/>
    <col min="3" max="3" width="6.25" style="633" customWidth="1"/>
    <col min="4" max="13" width="4.9140625" style="633" customWidth="1"/>
    <col min="14" max="14" width="4.83203125" style="633" customWidth="1"/>
    <col min="15" max="256" width="7.25" style="633"/>
    <col min="257" max="258" width="4.9140625" style="633" customWidth="1"/>
    <col min="259" max="259" width="6.25" style="633" customWidth="1"/>
    <col min="260" max="269" width="4.9140625" style="633" customWidth="1"/>
    <col min="270" max="270" width="4.83203125" style="633" customWidth="1"/>
    <col min="271" max="512" width="7.25" style="633"/>
    <col min="513" max="514" width="4.9140625" style="633" customWidth="1"/>
    <col min="515" max="515" width="6.25" style="633" customWidth="1"/>
    <col min="516" max="525" width="4.9140625" style="633" customWidth="1"/>
    <col min="526" max="526" width="4.83203125" style="633" customWidth="1"/>
    <col min="527" max="768" width="7.25" style="633"/>
    <col min="769" max="770" width="4.9140625" style="633" customWidth="1"/>
    <col min="771" max="771" width="6.25" style="633" customWidth="1"/>
    <col min="772" max="781" width="4.9140625" style="633" customWidth="1"/>
    <col min="782" max="782" width="4.83203125" style="633" customWidth="1"/>
    <col min="783" max="1024" width="7.25" style="633"/>
    <col min="1025" max="1026" width="4.9140625" style="633" customWidth="1"/>
    <col min="1027" max="1027" width="6.25" style="633" customWidth="1"/>
    <col min="1028" max="1037" width="4.9140625" style="633" customWidth="1"/>
    <col min="1038" max="1038" width="4.83203125" style="633" customWidth="1"/>
    <col min="1039" max="1280" width="7.25" style="633"/>
    <col min="1281" max="1282" width="4.9140625" style="633" customWidth="1"/>
    <col min="1283" max="1283" width="6.25" style="633" customWidth="1"/>
    <col min="1284" max="1293" width="4.9140625" style="633" customWidth="1"/>
    <col min="1294" max="1294" width="4.83203125" style="633" customWidth="1"/>
    <col min="1295" max="1536" width="7.25" style="633"/>
    <col min="1537" max="1538" width="4.9140625" style="633" customWidth="1"/>
    <col min="1539" max="1539" width="6.25" style="633" customWidth="1"/>
    <col min="1540" max="1549" width="4.9140625" style="633" customWidth="1"/>
    <col min="1550" max="1550" width="4.83203125" style="633" customWidth="1"/>
    <col min="1551" max="1792" width="7.25" style="633"/>
    <col min="1793" max="1794" width="4.9140625" style="633" customWidth="1"/>
    <col min="1795" max="1795" width="6.25" style="633" customWidth="1"/>
    <col min="1796" max="1805" width="4.9140625" style="633" customWidth="1"/>
    <col min="1806" max="1806" width="4.83203125" style="633" customWidth="1"/>
    <col min="1807" max="2048" width="7.25" style="633"/>
    <col min="2049" max="2050" width="4.9140625" style="633" customWidth="1"/>
    <col min="2051" max="2051" width="6.25" style="633" customWidth="1"/>
    <col min="2052" max="2061" width="4.9140625" style="633" customWidth="1"/>
    <col min="2062" max="2062" width="4.83203125" style="633" customWidth="1"/>
    <col min="2063" max="2304" width="7.25" style="633"/>
    <col min="2305" max="2306" width="4.9140625" style="633" customWidth="1"/>
    <col min="2307" max="2307" width="6.25" style="633" customWidth="1"/>
    <col min="2308" max="2317" width="4.9140625" style="633" customWidth="1"/>
    <col min="2318" max="2318" width="4.83203125" style="633" customWidth="1"/>
    <col min="2319" max="2560" width="7.25" style="633"/>
    <col min="2561" max="2562" width="4.9140625" style="633" customWidth="1"/>
    <col min="2563" max="2563" width="6.25" style="633" customWidth="1"/>
    <col min="2564" max="2573" width="4.9140625" style="633" customWidth="1"/>
    <col min="2574" max="2574" width="4.83203125" style="633" customWidth="1"/>
    <col min="2575" max="2816" width="7.25" style="633"/>
    <col min="2817" max="2818" width="4.9140625" style="633" customWidth="1"/>
    <col min="2819" max="2819" width="6.25" style="633" customWidth="1"/>
    <col min="2820" max="2829" width="4.9140625" style="633" customWidth="1"/>
    <col min="2830" max="2830" width="4.83203125" style="633" customWidth="1"/>
    <col min="2831" max="3072" width="7.25" style="633"/>
    <col min="3073" max="3074" width="4.9140625" style="633" customWidth="1"/>
    <col min="3075" max="3075" width="6.25" style="633" customWidth="1"/>
    <col min="3076" max="3085" width="4.9140625" style="633" customWidth="1"/>
    <col min="3086" max="3086" width="4.83203125" style="633" customWidth="1"/>
    <col min="3087" max="3328" width="7.25" style="633"/>
    <col min="3329" max="3330" width="4.9140625" style="633" customWidth="1"/>
    <col min="3331" max="3331" width="6.25" style="633" customWidth="1"/>
    <col min="3332" max="3341" width="4.9140625" style="633" customWidth="1"/>
    <col min="3342" max="3342" width="4.83203125" style="633" customWidth="1"/>
    <col min="3343" max="3584" width="7.25" style="633"/>
    <col min="3585" max="3586" width="4.9140625" style="633" customWidth="1"/>
    <col min="3587" max="3587" width="6.25" style="633" customWidth="1"/>
    <col min="3588" max="3597" width="4.9140625" style="633" customWidth="1"/>
    <col min="3598" max="3598" width="4.83203125" style="633" customWidth="1"/>
    <col min="3599" max="3840" width="7.25" style="633"/>
    <col min="3841" max="3842" width="4.9140625" style="633" customWidth="1"/>
    <col min="3843" max="3843" width="6.25" style="633" customWidth="1"/>
    <col min="3844" max="3853" width="4.9140625" style="633" customWidth="1"/>
    <col min="3854" max="3854" width="4.83203125" style="633" customWidth="1"/>
    <col min="3855" max="4096" width="7.25" style="633"/>
    <col min="4097" max="4098" width="4.9140625" style="633" customWidth="1"/>
    <col min="4099" max="4099" width="6.25" style="633" customWidth="1"/>
    <col min="4100" max="4109" width="4.9140625" style="633" customWidth="1"/>
    <col min="4110" max="4110" width="4.83203125" style="633" customWidth="1"/>
    <col min="4111" max="4352" width="7.25" style="633"/>
    <col min="4353" max="4354" width="4.9140625" style="633" customWidth="1"/>
    <col min="4355" max="4355" width="6.25" style="633" customWidth="1"/>
    <col min="4356" max="4365" width="4.9140625" style="633" customWidth="1"/>
    <col min="4366" max="4366" width="4.83203125" style="633" customWidth="1"/>
    <col min="4367" max="4608" width="7.25" style="633"/>
    <col min="4609" max="4610" width="4.9140625" style="633" customWidth="1"/>
    <col min="4611" max="4611" width="6.25" style="633" customWidth="1"/>
    <col min="4612" max="4621" width="4.9140625" style="633" customWidth="1"/>
    <col min="4622" max="4622" width="4.83203125" style="633" customWidth="1"/>
    <col min="4623" max="4864" width="7.25" style="633"/>
    <col min="4865" max="4866" width="4.9140625" style="633" customWidth="1"/>
    <col min="4867" max="4867" width="6.25" style="633" customWidth="1"/>
    <col min="4868" max="4877" width="4.9140625" style="633" customWidth="1"/>
    <col min="4878" max="4878" width="4.83203125" style="633" customWidth="1"/>
    <col min="4879" max="5120" width="7.25" style="633"/>
    <col min="5121" max="5122" width="4.9140625" style="633" customWidth="1"/>
    <col min="5123" max="5123" width="6.25" style="633" customWidth="1"/>
    <col min="5124" max="5133" width="4.9140625" style="633" customWidth="1"/>
    <col min="5134" max="5134" width="4.83203125" style="633" customWidth="1"/>
    <col min="5135" max="5376" width="7.25" style="633"/>
    <col min="5377" max="5378" width="4.9140625" style="633" customWidth="1"/>
    <col min="5379" max="5379" width="6.25" style="633" customWidth="1"/>
    <col min="5380" max="5389" width="4.9140625" style="633" customWidth="1"/>
    <col min="5390" max="5390" width="4.83203125" style="633" customWidth="1"/>
    <col min="5391" max="5632" width="7.25" style="633"/>
    <col min="5633" max="5634" width="4.9140625" style="633" customWidth="1"/>
    <col min="5635" max="5635" width="6.25" style="633" customWidth="1"/>
    <col min="5636" max="5645" width="4.9140625" style="633" customWidth="1"/>
    <col min="5646" max="5646" width="4.83203125" style="633" customWidth="1"/>
    <col min="5647" max="5888" width="7.25" style="633"/>
    <col min="5889" max="5890" width="4.9140625" style="633" customWidth="1"/>
    <col min="5891" max="5891" width="6.25" style="633" customWidth="1"/>
    <col min="5892" max="5901" width="4.9140625" style="633" customWidth="1"/>
    <col min="5902" max="5902" width="4.83203125" style="633" customWidth="1"/>
    <col min="5903" max="6144" width="7.25" style="633"/>
    <col min="6145" max="6146" width="4.9140625" style="633" customWidth="1"/>
    <col min="6147" max="6147" width="6.25" style="633" customWidth="1"/>
    <col min="6148" max="6157" width="4.9140625" style="633" customWidth="1"/>
    <col min="6158" max="6158" width="4.83203125" style="633" customWidth="1"/>
    <col min="6159" max="6400" width="7.25" style="633"/>
    <col min="6401" max="6402" width="4.9140625" style="633" customWidth="1"/>
    <col min="6403" max="6403" width="6.25" style="633" customWidth="1"/>
    <col min="6404" max="6413" width="4.9140625" style="633" customWidth="1"/>
    <col min="6414" max="6414" width="4.83203125" style="633" customWidth="1"/>
    <col min="6415" max="6656" width="7.25" style="633"/>
    <col min="6657" max="6658" width="4.9140625" style="633" customWidth="1"/>
    <col min="6659" max="6659" width="6.25" style="633" customWidth="1"/>
    <col min="6660" max="6669" width="4.9140625" style="633" customWidth="1"/>
    <col min="6670" max="6670" width="4.83203125" style="633" customWidth="1"/>
    <col min="6671" max="6912" width="7.25" style="633"/>
    <col min="6913" max="6914" width="4.9140625" style="633" customWidth="1"/>
    <col min="6915" max="6915" width="6.25" style="633" customWidth="1"/>
    <col min="6916" max="6925" width="4.9140625" style="633" customWidth="1"/>
    <col min="6926" max="6926" width="4.83203125" style="633" customWidth="1"/>
    <col min="6927" max="7168" width="7.25" style="633"/>
    <col min="7169" max="7170" width="4.9140625" style="633" customWidth="1"/>
    <col min="7171" max="7171" width="6.25" style="633" customWidth="1"/>
    <col min="7172" max="7181" width="4.9140625" style="633" customWidth="1"/>
    <col min="7182" max="7182" width="4.83203125" style="633" customWidth="1"/>
    <col min="7183" max="7424" width="7.25" style="633"/>
    <col min="7425" max="7426" width="4.9140625" style="633" customWidth="1"/>
    <col min="7427" max="7427" width="6.25" style="633" customWidth="1"/>
    <col min="7428" max="7437" width="4.9140625" style="633" customWidth="1"/>
    <col min="7438" max="7438" width="4.83203125" style="633" customWidth="1"/>
    <col min="7439" max="7680" width="7.25" style="633"/>
    <col min="7681" max="7682" width="4.9140625" style="633" customWidth="1"/>
    <col min="7683" max="7683" width="6.25" style="633" customWidth="1"/>
    <col min="7684" max="7693" width="4.9140625" style="633" customWidth="1"/>
    <col min="7694" max="7694" width="4.83203125" style="633" customWidth="1"/>
    <col min="7695" max="7936" width="7.25" style="633"/>
    <col min="7937" max="7938" width="4.9140625" style="633" customWidth="1"/>
    <col min="7939" max="7939" width="6.25" style="633" customWidth="1"/>
    <col min="7940" max="7949" width="4.9140625" style="633" customWidth="1"/>
    <col min="7950" max="7950" width="4.83203125" style="633" customWidth="1"/>
    <col min="7951" max="8192" width="7.25" style="633"/>
    <col min="8193" max="8194" width="4.9140625" style="633" customWidth="1"/>
    <col min="8195" max="8195" width="6.25" style="633" customWidth="1"/>
    <col min="8196" max="8205" width="4.9140625" style="633" customWidth="1"/>
    <col min="8206" max="8206" width="4.83203125" style="633" customWidth="1"/>
    <col min="8207" max="8448" width="7.25" style="633"/>
    <col min="8449" max="8450" width="4.9140625" style="633" customWidth="1"/>
    <col min="8451" max="8451" width="6.25" style="633" customWidth="1"/>
    <col min="8452" max="8461" width="4.9140625" style="633" customWidth="1"/>
    <col min="8462" max="8462" width="4.83203125" style="633" customWidth="1"/>
    <col min="8463" max="8704" width="7.25" style="633"/>
    <col min="8705" max="8706" width="4.9140625" style="633" customWidth="1"/>
    <col min="8707" max="8707" width="6.25" style="633" customWidth="1"/>
    <col min="8708" max="8717" width="4.9140625" style="633" customWidth="1"/>
    <col min="8718" max="8718" width="4.83203125" style="633" customWidth="1"/>
    <col min="8719" max="8960" width="7.25" style="633"/>
    <col min="8961" max="8962" width="4.9140625" style="633" customWidth="1"/>
    <col min="8963" max="8963" width="6.25" style="633" customWidth="1"/>
    <col min="8964" max="8973" width="4.9140625" style="633" customWidth="1"/>
    <col min="8974" max="8974" width="4.83203125" style="633" customWidth="1"/>
    <col min="8975" max="9216" width="7.25" style="633"/>
    <col min="9217" max="9218" width="4.9140625" style="633" customWidth="1"/>
    <col min="9219" max="9219" width="6.25" style="633" customWidth="1"/>
    <col min="9220" max="9229" width="4.9140625" style="633" customWidth="1"/>
    <col min="9230" max="9230" width="4.83203125" style="633" customWidth="1"/>
    <col min="9231" max="9472" width="7.25" style="633"/>
    <col min="9473" max="9474" width="4.9140625" style="633" customWidth="1"/>
    <col min="9475" max="9475" width="6.25" style="633" customWidth="1"/>
    <col min="9476" max="9485" width="4.9140625" style="633" customWidth="1"/>
    <col min="9486" max="9486" width="4.83203125" style="633" customWidth="1"/>
    <col min="9487" max="9728" width="7.25" style="633"/>
    <col min="9729" max="9730" width="4.9140625" style="633" customWidth="1"/>
    <col min="9731" max="9731" width="6.25" style="633" customWidth="1"/>
    <col min="9732" max="9741" width="4.9140625" style="633" customWidth="1"/>
    <col min="9742" max="9742" width="4.83203125" style="633" customWidth="1"/>
    <col min="9743" max="9984" width="7.25" style="633"/>
    <col min="9985" max="9986" width="4.9140625" style="633" customWidth="1"/>
    <col min="9987" max="9987" width="6.25" style="633" customWidth="1"/>
    <col min="9988" max="9997" width="4.9140625" style="633" customWidth="1"/>
    <col min="9998" max="9998" width="4.83203125" style="633" customWidth="1"/>
    <col min="9999" max="10240" width="7.25" style="633"/>
    <col min="10241" max="10242" width="4.9140625" style="633" customWidth="1"/>
    <col min="10243" max="10243" width="6.25" style="633" customWidth="1"/>
    <col min="10244" max="10253" width="4.9140625" style="633" customWidth="1"/>
    <col min="10254" max="10254" width="4.83203125" style="633" customWidth="1"/>
    <col min="10255" max="10496" width="7.25" style="633"/>
    <col min="10497" max="10498" width="4.9140625" style="633" customWidth="1"/>
    <col min="10499" max="10499" width="6.25" style="633" customWidth="1"/>
    <col min="10500" max="10509" width="4.9140625" style="633" customWidth="1"/>
    <col min="10510" max="10510" width="4.83203125" style="633" customWidth="1"/>
    <col min="10511" max="10752" width="7.25" style="633"/>
    <col min="10753" max="10754" width="4.9140625" style="633" customWidth="1"/>
    <col min="10755" max="10755" width="6.25" style="633" customWidth="1"/>
    <col min="10756" max="10765" width="4.9140625" style="633" customWidth="1"/>
    <col min="10766" max="10766" width="4.83203125" style="633" customWidth="1"/>
    <col min="10767" max="11008" width="7.25" style="633"/>
    <col min="11009" max="11010" width="4.9140625" style="633" customWidth="1"/>
    <col min="11011" max="11011" width="6.25" style="633" customWidth="1"/>
    <col min="11012" max="11021" width="4.9140625" style="633" customWidth="1"/>
    <col min="11022" max="11022" width="4.83203125" style="633" customWidth="1"/>
    <col min="11023" max="11264" width="7.25" style="633"/>
    <col min="11265" max="11266" width="4.9140625" style="633" customWidth="1"/>
    <col min="11267" max="11267" width="6.25" style="633" customWidth="1"/>
    <col min="11268" max="11277" width="4.9140625" style="633" customWidth="1"/>
    <col min="11278" max="11278" width="4.83203125" style="633" customWidth="1"/>
    <col min="11279" max="11520" width="7.25" style="633"/>
    <col min="11521" max="11522" width="4.9140625" style="633" customWidth="1"/>
    <col min="11523" max="11523" width="6.25" style="633" customWidth="1"/>
    <col min="11524" max="11533" width="4.9140625" style="633" customWidth="1"/>
    <col min="11534" max="11534" width="4.83203125" style="633" customWidth="1"/>
    <col min="11535" max="11776" width="7.25" style="633"/>
    <col min="11777" max="11778" width="4.9140625" style="633" customWidth="1"/>
    <col min="11779" max="11779" width="6.25" style="633" customWidth="1"/>
    <col min="11780" max="11789" width="4.9140625" style="633" customWidth="1"/>
    <col min="11790" max="11790" width="4.83203125" style="633" customWidth="1"/>
    <col min="11791" max="12032" width="7.25" style="633"/>
    <col min="12033" max="12034" width="4.9140625" style="633" customWidth="1"/>
    <col min="12035" max="12035" width="6.25" style="633" customWidth="1"/>
    <col min="12036" max="12045" width="4.9140625" style="633" customWidth="1"/>
    <col min="12046" max="12046" width="4.83203125" style="633" customWidth="1"/>
    <col min="12047" max="12288" width="7.25" style="633"/>
    <col min="12289" max="12290" width="4.9140625" style="633" customWidth="1"/>
    <col min="12291" max="12291" width="6.25" style="633" customWidth="1"/>
    <col min="12292" max="12301" width="4.9140625" style="633" customWidth="1"/>
    <col min="12302" max="12302" width="4.83203125" style="633" customWidth="1"/>
    <col min="12303" max="12544" width="7.25" style="633"/>
    <col min="12545" max="12546" width="4.9140625" style="633" customWidth="1"/>
    <col min="12547" max="12547" width="6.25" style="633" customWidth="1"/>
    <col min="12548" max="12557" width="4.9140625" style="633" customWidth="1"/>
    <col min="12558" max="12558" width="4.83203125" style="633" customWidth="1"/>
    <col min="12559" max="12800" width="7.25" style="633"/>
    <col min="12801" max="12802" width="4.9140625" style="633" customWidth="1"/>
    <col min="12803" max="12803" width="6.25" style="633" customWidth="1"/>
    <col min="12804" max="12813" width="4.9140625" style="633" customWidth="1"/>
    <col min="12814" max="12814" width="4.83203125" style="633" customWidth="1"/>
    <col min="12815" max="13056" width="7.25" style="633"/>
    <col min="13057" max="13058" width="4.9140625" style="633" customWidth="1"/>
    <col min="13059" max="13059" width="6.25" style="633" customWidth="1"/>
    <col min="13060" max="13069" width="4.9140625" style="633" customWidth="1"/>
    <col min="13070" max="13070" width="4.83203125" style="633" customWidth="1"/>
    <col min="13071" max="13312" width="7.25" style="633"/>
    <col min="13313" max="13314" width="4.9140625" style="633" customWidth="1"/>
    <col min="13315" max="13315" width="6.25" style="633" customWidth="1"/>
    <col min="13316" max="13325" width="4.9140625" style="633" customWidth="1"/>
    <col min="13326" max="13326" width="4.83203125" style="633" customWidth="1"/>
    <col min="13327" max="13568" width="7.25" style="633"/>
    <col min="13569" max="13570" width="4.9140625" style="633" customWidth="1"/>
    <col min="13571" max="13571" width="6.25" style="633" customWidth="1"/>
    <col min="13572" max="13581" width="4.9140625" style="633" customWidth="1"/>
    <col min="13582" max="13582" width="4.83203125" style="633" customWidth="1"/>
    <col min="13583" max="13824" width="7.25" style="633"/>
    <col min="13825" max="13826" width="4.9140625" style="633" customWidth="1"/>
    <col min="13827" max="13827" width="6.25" style="633" customWidth="1"/>
    <col min="13828" max="13837" width="4.9140625" style="633" customWidth="1"/>
    <col min="13838" max="13838" width="4.83203125" style="633" customWidth="1"/>
    <col min="13839" max="14080" width="7.25" style="633"/>
    <col min="14081" max="14082" width="4.9140625" style="633" customWidth="1"/>
    <col min="14083" max="14083" width="6.25" style="633" customWidth="1"/>
    <col min="14084" max="14093" width="4.9140625" style="633" customWidth="1"/>
    <col min="14094" max="14094" width="4.83203125" style="633" customWidth="1"/>
    <col min="14095" max="14336" width="7.25" style="633"/>
    <col min="14337" max="14338" width="4.9140625" style="633" customWidth="1"/>
    <col min="14339" max="14339" width="6.25" style="633" customWidth="1"/>
    <col min="14340" max="14349" width="4.9140625" style="633" customWidth="1"/>
    <col min="14350" max="14350" width="4.83203125" style="633" customWidth="1"/>
    <col min="14351" max="14592" width="7.25" style="633"/>
    <col min="14593" max="14594" width="4.9140625" style="633" customWidth="1"/>
    <col min="14595" max="14595" width="6.25" style="633" customWidth="1"/>
    <col min="14596" max="14605" width="4.9140625" style="633" customWidth="1"/>
    <col min="14606" max="14606" width="4.83203125" style="633" customWidth="1"/>
    <col min="14607" max="14848" width="7.25" style="633"/>
    <col min="14849" max="14850" width="4.9140625" style="633" customWidth="1"/>
    <col min="14851" max="14851" width="6.25" style="633" customWidth="1"/>
    <col min="14852" max="14861" width="4.9140625" style="633" customWidth="1"/>
    <col min="14862" max="14862" width="4.83203125" style="633" customWidth="1"/>
    <col min="14863" max="15104" width="7.25" style="633"/>
    <col min="15105" max="15106" width="4.9140625" style="633" customWidth="1"/>
    <col min="15107" max="15107" width="6.25" style="633" customWidth="1"/>
    <col min="15108" max="15117" width="4.9140625" style="633" customWidth="1"/>
    <col min="15118" max="15118" width="4.83203125" style="633" customWidth="1"/>
    <col min="15119" max="15360" width="7.25" style="633"/>
    <col min="15361" max="15362" width="4.9140625" style="633" customWidth="1"/>
    <col min="15363" max="15363" width="6.25" style="633" customWidth="1"/>
    <col min="15364" max="15373" width="4.9140625" style="633" customWidth="1"/>
    <col min="15374" max="15374" width="4.83203125" style="633" customWidth="1"/>
    <col min="15375" max="15616" width="7.25" style="633"/>
    <col min="15617" max="15618" width="4.9140625" style="633" customWidth="1"/>
    <col min="15619" max="15619" width="6.25" style="633" customWidth="1"/>
    <col min="15620" max="15629" width="4.9140625" style="633" customWidth="1"/>
    <col min="15630" max="15630" width="4.83203125" style="633" customWidth="1"/>
    <col min="15631" max="15872" width="7.25" style="633"/>
    <col min="15873" max="15874" width="4.9140625" style="633" customWidth="1"/>
    <col min="15875" max="15875" width="6.25" style="633" customWidth="1"/>
    <col min="15876" max="15885" width="4.9140625" style="633" customWidth="1"/>
    <col min="15886" max="15886" width="4.83203125" style="633" customWidth="1"/>
    <col min="15887" max="16128" width="7.25" style="633"/>
    <col min="16129" max="16130" width="4.9140625" style="633" customWidth="1"/>
    <col min="16131" max="16131" width="6.25" style="633" customWidth="1"/>
    <col min="16132" max="16141" width="4.9140625" style="633" customWidth="1"/>
    <col min="16142" max="16142" width="4.83203125" style="633" customWidth="1"/>
    <col min="16143" max="16384" width="7.25" style="633"/>
  </cols>
  <sheetData>
    <row r="1" spans="1:14" ht="15.75" customHeight="1">
      <c r="A1" s="627" t="s">
        <v>0</v>
      </c>
      <c r="B1" s="628"/>
      <c r="C1" s="628"/>
      <c r="D1" s="628"/>
      <c r="E1" s="628"/>
      <c r="F1" s="628"/>
      <c r="G1" s="628"/>
      <c r="H1" s="628"/>
      <c r="I1" s="628"/>
      <c r="J1" s="629" t="s">
        <v>1</v>
      </c>
      <c r="K1" s="630"/>
      <c r="L1" s="631" t="s">
        <v>814</v>
      </c>
      <c r="M1" s="632"/>
    </row>
    <row r="2" spans="1:14" ht="15.75" customHeight="1">
      <c r="A2" s="634" t="s">
        <v>3</v>
      </c>
      <c r="B2" s="635"/>
      <c r="C2" s="635"/>
      <c r="D2" s="635"/>
      <c r="E2" s="635"/>
      <c r="F2" s="635"/>
      <c r="G2" s="635"/>
      <c r="H2" s="635"/>
      <c r="I2" s="635"/>
      <c r="J2" s="636" t="s">
        <v>4</v>
      </c>
      <c r="K2" s="637"/>
      <c r="L2" s="638" t="s">
        <v>5</v>
      </c>
      <c r="M2" s="639"/>
    </row>
    <row r="3" spans="1:14" ht="15.75" customHeight="1">
      <c r="A3" s="640"/>
      <c r="B3" s="641"/>
      <c r="C3" s="641"/>
      <c r="D3" s="641"/>
      <c r="E3" s="641"/>
      <c r="F3" s="641"/>
      <c r="G3" s="641"/>
      <c r="H3" s="641"/>
      <c r="I3" s="641"/>
      <c r="J3" s="636" t="s">
        <v>6</v>
      </c>
      <c r="K3" s="637"/>
      <c r="L3" s="940">
        <v>38309</v>
      </c>
      <c r="M3" s="941"/>
    </row>
    <row r="4" spans="1:14" ht="15.75" customHeight="1">
      <c r="A4" s="942" t="s">
        <v>815</v>
      </c>
      <c r="B4" s="943"/>
      <c r="C4" s="943"/>
      <c r="D4" s="943"/>
      <c r="E4" s="943"/>
      <c r="F4" s="943"/>
      <c r="G4" s="943"/>
      <c r="H4" s="943"/>
      <c r="I4" s="944"/>
      <c r="J4" s="636" t="s">
        <v>7</v>
      </c>
      <c r="K4" s="637"/>
      <c r="L4" s="638" t="s">
        <v>8</v>
      </c>
      <c r="M4" s="639"/>
    </row>
    <row r="5" spans="1:14" ht="15.75" customHeight="1">
      <c r="A5" s="942"/>
      <c r="B5" s="945"/>
      <c r="C5" s="945"/>
      <c r="D5" s="945"/>
      <c r="E5" s="945"/>
      <c r="F5" s="945"/>
      <c r="G5" s="945"/>
      <c r="H5" s="945"/>
      <c r="I5" s="946"/>
      <c r="J5" s="636" t="s">
        <v>9</v>
      </c>
      <c r="K5" s="637"/>
      <c r="L5" s="638" t="s">
        <v>816</v>
      </c>
      <c r="M5" s="639"/>
    </row>
    <row r="6" spans="1:14" ht="15.75" customHeight="1">
      <c r="A6" s="642"/>
      <c r="B6" s="641"/>
      <c r="C6" s="641"/>
      <c r="D6" s="641"/>
      <c r="E6" s="641"/>
      <c r="F6" s="641"/>
      <c r="G6" s="641"/>
      <c r="H6" s="641"/>
      <c r="I6" s="641"/>
      <c r="J6" s="636" t="s">
        <v>11</v>
      </c>
      <c r="K6" s="637"/>
      <c r="L6" s="638" t="s">
        <v>12</v>
      </c>
      <c r="M6" s="639"/>
    </row>
    <row r="7" spans="1:14" ht="15.75" customHeight="1" thickBot="1">
      <c r="A7" s="643" t="s">
        <v>817</v>
      </c>
      <c r="B7" s="644"/>
      <c r="C7" s="644"/>
      <c r="D7" s="644"/>
      <c r="E7" s="644"/>
      <c r="F7" s="644"/>
      <c r="G7" s="644"/>
      <c r="H7" s="644"/>
      <c r="I7" s="644"/>
      <c r="J7" s="645" t="s">
        <v>14</v>
      </c>
      <c r="K7" s="646"/>
      <c r="L7" s="647" t="s">
        <v>15</v>
      </c>
      <c r="M7" s="648"/>
    </row>
    <row r="8" spans="1:14" ht="15.75" customHeight="1">
      <c r="A8" s="649"/>
      <c r="B8" s="650"/>
      <c r="C8" s="650"/>
      <c r="D8" s="650"/>
      <c r="E8" s="650"/>
      <c r="F8" s="650"/>
      <c r="G8" s="650"/>
      <c r="H8" s="650"/>
      <c r="I8" s="650"/>
      <c r="J8" s="650"/>
      <c r="K8" s="651"/>
      <c r="L8" s="652"/>
      <c r="M8" s="653"/>
      <c r="N8" s="654"/>
    </row>
    <row r="9" spans="1:14" ht="15.75" customHeight="1">
      <c r="A9" s="514"/>
      <c r="B9" s="515" t="s">
        <v>688</v>
      </c>
      <c r="C9" s="516" t="s">
        <v>689</v>
      </c>
      <c r="D9" s="517"/>
      <c r="E9" s="517"/>
      <c r="F9" s="517"/>
      <c r="G9" s="517"/>
      <c r="H9" s="517"/>
      <c r="I9" s="517"/>
      <c r="J9" s="517"/>
      <c r="K9" s="518"/>
      <c r="L9" s="514"/>
      <c r="M9" s="517"/>
      <c r="N9" s="654"/>
    </row>
    <row r="10" spans="1:14" ht="15.75" customHeight="1">
      <c r="A10" s="514"/>
      <c r="B10" s="515" t="s">
        <v>19</v>
      </c>
      <c r="C10" s="519" t="s">
        <v>690</v>
      </c>
      <c r="D10" s="514"/>
      <c r="E10" s="514"/>
      <c r="F10" s="514"/>
      <c r="G10" s="514"/>
      <c r="H10" s="514"/>
      <c r="I10" s="514"/>
      <c r="J10" s="514"/>
      <c r="K10" s="514"/>
      <c r="L10" s="514"/>
      <c r="M10" s="514"/>
      <c r="N10" s="654"/>
    </row>
    <row r="11" spans="1:14" ht="15.75" customHeight="1" thickBot="1">
      <c r="A11" s="512"/>
      <c r="B11" s="512"/>
      <c r="C11" s="512"/>
      <c r="D11" s="512"/>
      <c r="E11" s="512"/>
      <c r="F11" s="512"/>
      <c r="G11" s="512"/>
      <c r="H11" s="512"/>
      <c r="I11" s="512"/>
      <c r="J11" s="512"/>
      <c r="K11" s="512"/>
      <c r="L11" s="512"/>
      <c r="M11" s="512"/>
      <c r="N11" s="654"/>
    </row>
    <row r="12" spans="1:14" ht="15.75" customHeight="1" thickBot="1">
      <c r="A12" s="520" t="s">
        <v>691</v>
      </c>
      <c r="B12" s="521"/>
      <c r="C12" s="521"/>
      <c r="D12" s="521"/>
      <c r="E12" s="521"/>
      <c r="F12" s="521"/>
      <c r="G12" s="521"/>
      <c r="H12" s="521"/>
      <c r="I12" s="521"/>
      <c r="J12" s="521"/>
      <c r="K12" s="521"/>
      <c r="L12" s="521"/>
      <c r="M12" s="522"/>
    </row>
    <row r="13" spans="1:14" ht="14.1" customHeight="1" thickTop="1">
      <c r="A13" s="523"/>
      <c r="B13" s="515" t="s">
        <v>692</v>
      </c>
      <c r="C13" s="524">
        <v>350</v>
      </c>
      <c r="D13" s="514"/>
      <c r="E13" s="515" t="s">
        <v>693</v>
      </c>
      <c r="F13" s="524">
        <v>4000</v>
      </c>
      <c r="G13" s="514"/>
      <c r="H13" s="515" t="s">
        <v>694</v>
      </c>
      <c r="I13" s="524" t="s">
        <v>695</v>
      </c>
      <c r="J13" s="514"/>
      <c r="K13" s="514"/>
      <c r="L13" s="515" t="s">
        <v>696</v>
      </c>
      <c r="M13" s="525">
        <v>1800</v>
      </c>
    </row>
    <row r="14" spans="1:14" ht="14.1" customHeight="1">
      <c r="A14" s="523"/>
      <c r="B14" s="515" t="s">
        <v>697</v>
      </c>
      <c r="C14" s="524" t="s">
        <v>89</v>
      </c>
      <c r="D14" s="514"/>
      <c r="E14" s="515" t="s">
        <v>698</v>
      </c>
      <c r="F14" s="524" t="s">
        <v>57</v>
      </c>
      <c r="G14" s="514"/>
      <c r="H14" s="515" t="s">
        <v>699</v>
      </c>
      <c r="I14" s="524">
        <v>44</v>
      </c>
      <c r="J14" s="514"/>
      <c r="K14" s="514"/>
      <c r="L14" s="515" t="s">
        <v>700</v>
      </c>
      <c r="M14" s="525">
        <v>1780</v>
      </c>
    </row>
    <row r="15" spans="1:14" ht="14.1" customHeight="1">
      <c r="A15" s="523"/>
      <c r="B15" s="515" t="s">
        <v>701</v>
      </c>
      <c r="C15" s="524" t="s">
        <v>86</v>
      </c>
      <c r="D15" s="514"/>
      <c r="E15" s="515" t="s">
        <v>702</v>
      </c>
      <c r="F15" s="526" t="s">
        <v>703</v>
      </c>
      <c r="G15" s="514"/>
      <c r="H15" s="527" t="s">
        <v>704</v>
      </c>
      <c r="I15" s="524" t="s">
        <v>388</v>
      </c>
      <c r="J15" s="514"/>
      <c r="K15" s="514"/>
      <c r="L15" s="515" t="s">
        <v>705</v>
      </c>
      <c r="M15" s="525" t="s">
        <v>383</v>
      </c>
    </row>
    <row r="16" spans="1:14" ht="14.1" customHeight="1">
      <c r="A16" s="523"/>
      <c r="B16" s="515" t="s">
        <v>706</v>
      </c>
      <c r="C16" s="524" t="s">
        <v>707</v>
      </c>
      <c r="D16" s="514"/>
      <c r="E16" s="515" t="s">
        <v>708</v>
      </c>
      <c r="F16" s="524" t="s">
        <v>630</v>
      </c>
      <c r="G16" s="514"/>
      <c r="H16" s="528" t="s">
        <v>709</v>
      </c>
      <c r="I16" s="526" t="s">
        <v>383</v>
      </c>
      <c r="J16" s="514"/>
      <c r="K16" s="514"/>
      <c r="L16" s="515" t="s">
        <v>710</v>
      </c>
      <c r="M16" s="525" t="s">
        <v>711</v>
      </c>
    </row>
    <row r="17" spans="1:22" ht="14.1" customHeight="1">
      <c r="A17" s="523"/>
      <c r="B17" s="515" t="s">
        <v>712</v>
      </c>
      <c r="C17" s="516" t="s">
        <v>713</v>
      </c>
      <c r="D17" s="514"/>
      <c r="E17" s="515"/>
      <c r="F17" s="529"/>
      <c r="G17" s="514"/>
      <c r="H17" s="515" t="s">
        <v>714</v>
      </c>
      <c r="I17" s="526" t="s">
        <v>37</v>
      </c>
      <c r="J17" s="514"/>
      <c r="K17" s="514"/>
      <c r="L17" s="515"/>
      <c r="M17" s="530"/>
    </row>
    <row r="18" spans="1:22" ht="14.1" customHeight="1" thickBot="1">
      <c r="A18" s="531"/>
      <c r="B18" s="532" t="s">
        <v>715</v>
      </c>
      <c r="C18" s="533" t="s">
        <v>37</v>
      </c>
      <c r="D18" s="534"/>
      <c r="E18" s="532" t="s">
        <v>716</v>
      </c>
      <c r="F18" s="533" t="s">
        <v>37</v>
      </c>
      <c r="G18" s="535"/>
      <c r="H18" s="532" t="s">
        <v>717</v>
      </c>
      <c r="I18" s="533" t="s">
        <v>37</v>
      </c>
      <c r="J18" s="534"/>
      <c r="K18" s="534"/>
      <c r="L18" s="534"/>
      <c r="M18" s="536"/>
    </row>
    <row r="19" spans="1:22" ht="15.75" customHeight="1">
      <c r="A19" s="654"/>
      <c r="B19" s="654"/>
      <c r="C19" s="641"/>
      <c r="D19" s="641"/>
      <c r="E19" s="641"/>
      <c r="F19" s="641"/>
      <c r="G19" s="641"/>
      <c r="H19" s="641"/>
      <c r="I19" s="641"/>
      <c r="J19" s="641"/>
      <c r="K19" s="641"/>
      <c r="L19" s="641"/>
      <c r="M19" s="641"/>
      <c r="N19" s="654"/>
    </row>
    <row r="20" spans="1:22" ht="15.75" customHeight="1" thickBot="1">
      <c r="A20" s="655"/>
      <c r="B20" s="655"/>
      <c r="C20" s="655"/>
      <c r="D20" s="655"/>
      <c r="E20" s="655"/>
      <c r="F20" s="655"/>
      <c r="G20" s="655"/>
      <c r="H20" s="655"/>
      <c r="I20" s="655"/>
      <c r="J20" s="655"/>
      <c r="K20" s="655"/>
      <c r="L20" s="655"/>
      <c r="M20" s="655"/>
    </row>
    <row r="21" spans="1:22" ht="15.75" customHeight="1">
      <c r="A21" s="947" t="s">
        <v>818</v>
      </c>
      <c r="B21" s="948"/>
      <c r="C21" s="948"/>
      <c r="D21" s="948"/>
      <c r="E21" s="948"/>
      <c r="F21" s="949" t="s">
        <v>819</v>
      </c>
      <c r="G21" s="949"/>
      <c r="H21" s="949"/>
      <c r="I21" s="950"/>
      <c r="J21" s="656"/>
      <c r="K21" s="656"/>
      <c r="L21" s="656"/>
      <c r="M21" s="656"/>
    </row>
    <row r="22" spans="1:22" ht="15.75" customHeight="1">
      <c r="A22" s="929" t="s">
        <v>820</v>
      </c>
      <c r="B22" s="930"/>
      <c r="C22" s="930"/>
      <c r="D22" s="930"/>
      <c r="E22" s="930"/>
      <c r="F22" s="931" t="s">
        <v>821</v>
      </c>
      <c r="G22" s="931"/>
      <c r="H22" s="931"/>
      <c r="I22" s="932"/>
      <c r="J22" s="658"/>
      <c r="K22" s="659"/>
      <c r="L22" s="659"/>
      <c r="M22" s="659"/>
    </row>
    <row r="23" spans="1:22" ht="15.75" customHeight="1">
      <c r="A23" s="929" t="s">
        <v>822</v>
      </c>
      <c r="B23" s="930"/>
      <c r="C23" s="930"/>
      <c r="D23" s="930"/>
      <c r="E23" s="930"/>
      <c r="F23" s="931" t="s">
        <v>823</v>
      </c>
      <c r="G23" s="931"/>
      <c r="H23" s="931"/>
      <c r="I23" s="932"/>
      <c r="J23" s="660"/>
      <c r="K23" s="661"/>
      <c r="L23" s="661"/>
      <c r="M23" s="661"/>
    </row>
    <row r="24" spans="1:22" ht="15.75" customHeight="1">
      <c r="A24" s="662"/>
      <c r="B24" s="657"/>
      <c r="C24" s="657"/>
      <c r="D24" s="663"/>
      <c r="E24" s="663"/>
      <c r="F24" s="664"/>
      <c r="G24" s="665"/>
      <c r="H24" s="665"/>
      <c r="I24" s="666"/>
      <c r="J24" s="667"/>
      <c r="K24" s="668"/>
      <c r="L24" s="668"/>
      <c r="M24" s="667"/>
      <c r="N24" s="654"/>
    </row>
    <row r="25" spans="1:22" ht="15.75" customHeight="1">
      <c r="A25" s="937" t="s">
        <v>824</v>
      </c>
      <c r="B25" s="938"/>
      <c r="C25" s="938"/>
      <c r="D25" s="938"/>
      <c r="E25" s="938"/>
      <c r="F25" s="931" t="s">
        <v>825</v>
      </c>
      <c r="G25" s="931"/>
      <c r="H25" s="931"/>
      <c r="I25" s="932"/>
      <c r="J25" s="669"/>
      <c r="K25" s="669"/>
      <c r="L25" s="669"/>
      <c r="M25" s="656"/>
      <c r="N25" s="654"/>
      <c r="Q25" s="939"/>
      <c r="R25" s="939"/>
      <c r="S25" s="939"/>
      <c r="T25" s="939"/>
      <c r="U25" s="939"/>
      <c r="V25" s="939"/>
    </row>
    <row r="26" spans="1:22" ht="15.75" customHeight="1">
      <c r="A26" s="935" t="s">
        <v>826</v>
      </c>
      <c r="B26" s="936"/>
      <c r="C26" s="936"/>
      <c r="D26" s="936"/>
      <c r="E26" s="936"/>
      <c r="F26" s="931" t="s">
        <v>827</v>
      </c>
      <c r="G26" s="931"/>
      <c r="H26" s="931"/>
      <c r="I26" s="932"/>
      <c r="J26" s="670"/>
      <c r="K26" s="670"/>
      <c r="L26" s="670"/>
      <c r="M26" s="656"/>
      <c r="N26" s="654"/>
      <c r="Q26" s="671"/>
      <c r="R26" s="671"/>
      <c r="S26" s="671"/>
      <c r="T26" s="671"/>
      <c r="U26" s="672"/>
      <c r="V26" s="671"/>
    </row>
    <row r="27" spans="1:22" ht="15.75" customHeight="1">
      <c r="A27" s="935" t="s">
        <v>828</v>
      </c>
      <c r="B27" s="936"/>
      <c r="C27" s="936"/>
      <c r="D27" s="936"/>
      <c r="E27" s="936"/>
      <c r="F27" s="931" t="s">
        <v>829</v>
      </c>
      <c r="G27" s="931"/>
      <c r="H27" s="931"/>
      <c r="I27" s="932"/>
      <c r="J27" s="670"/>
      <c r="K27" s="673"/>
      <c r="L27" s="673"/>
      <c r="M27" s="656"/>
      <c r="N27" s="654"/>
      <c r="Q27" s="671"/>
      <c r="R27" s="671"/>
      <c r="S27" s="671"/>
      <c r="T27" s="671"/>
      <c r="U27" s="671"/>
      <c r="V27" s="671"/>
    </row>
    <row r="28" spans="1:22" ht="15.75" customHeight="1">
      <c r="A28" s="662"/>
      <c r="B28" s="657"/>
      <c r="C28" s="657"/>
      <c r="D28" s="674"/>
      <c r="E28" s="674"/>
      <c r="F28" s="675"/>
      <c r="G28" s="676"/>
      <c r="H28" s="676"/>
      <c r="I28" s="666"/>
      <c r="J28" s="673"/>
      <c r="K28" s="673"/>
      <c r="L28" s="656"/>
      <c r="M28" s="656"/>
      <c r="N28" s="654"/>
      <c r="Q28" s="677"/>
      <c r="R28" s="677"/>
      <c r="S28" s="677"/>
      <c r="T28" s="677"/>
      <c r="U28" s="677"/>
      <c r="V28" s="677"/>
    </row>
    <row r="29" spans="1:22" ht="15.75" customHeight="1">
      <c r="A29" s="929" t="s">
        <v>830</v>
      </c>
      <c r="B29" s="930"/>
      <c r="C29" s="930"/>
      <c r="D29" s="930"/>
      <c r="E29" s="930"/>
      <c r="F29" s="931" t="s">
        <v>831</v>
      </c>
      <c r="G29" s="931"/>
      <c r="H29" s="931"/>
      <c r="I29" s="932"/>
      <c r="J29" s="656"/>
      <c r="K29" s="656"/>
      <c r="L29" s="656"/>
      <c r="M29" s="660"/>
      <c r="N29" s="654"/>
      <c r="Q29" s="678"/>
      <c r="R29" s="678"/>
      <c r="S29" s="678"/>
      <c r="T29" s="678"/>
      <c r="U29" s="678"/>
      <c r="V29" s="679"/>
    </row>
    <row r="30" spans="1:22" ht="15.75" customHeight="1">
      <c r="A30" s="662"/>
      <c r="B30" s="657"/>
      <c r="C30" s="657"/>
      <c r="D30" s="657"/>
      <c r="E30" s="657"/>
      <c r="F30" s="680"/>
      <c r="G30" s="681"/>
      <c r="H30" s="681"/>
      <c r="I30" s="682"/>
      <c r="J30" s="669"/>
      <c r="K30" s="669"/>
      <c r="L30" s="669"/>
      <c r="M30" s="667"/>
      <c r="N30" s="654"/>
    </row>
    <row r="31" spans="1:22" ht="15.75" customHeight="1">
      <c r="A31" s="929" t="s">
        <v>832</v>
      </c>
      <c r="B31" s="930"/>
      <c r="C31" s="930"/>
      <c r="D31" s="930"/>
      <c r="E31" s="930"/>
      <c r="F31" s="931" t="s">
        <v>833</v>
      </c>
      <c r="G31" s="931"/>
      <c r="H31" s="931"/>
      <c r="I31" s="932"/>
      <c r="J31" s="656"/>
      <c r="K31" s="656"/>
      <c r="L31" s="656"/>
      <c r="M31" s="667"/>
      <c r="N31" s="654"/>
    </row>
    <row r="32" spans="1:22" ht="15.75" customHeight="1">
      <c r="A32" s="929" t="s">
        <v>834</v>
      </c>
      <c r="B32" s="930"/>
      <c r="C32" s="930"/>
      <c r="D32" s="930"/>
      <c r="E32" s="930"/>
      <c r="F32" s="931" t="s">
        <v>835</v>
      </c>
      <c r="G32" s="931"/>
      <c r="H32" s="931"/>
      <c r="I32" s="932"/>
      <c r="J32" s="656"/>
      <c r="K32" s="656"/>
      <c r="L32" s="656"/>
      <c r="M32" s="667"/>
      <c r="N32" s="654"/>
    </row>
    <row r="33" spans="1:28" ht="15.75" customHeight="1">
      <c r="A33" s="929" t="s">
        <v>836</v>
      </c>
      <c r="B33" s="930"/>
      <c r="C33" s="930"/>
      <c r="D33" s="930"/>
      <c r="E33" s="930"/>
      <c r="F33" s="933">
        <v>4.41</v>
      </c>
      <c r="G33" s="933"/>
      <c r="H33" s="933"/>
      <c r="I33" s="934"/>
      <c r="J33" s="667"/>
      <c r="K33" s="667"/>
      <c r="L33" s="667"/>
      <c r="M33" s="667"/>
      <c r="N33" s="654"/>
    </row>
    <row r="34" spans="1:28" ht="15.75" customHeight="1">
      <c r="A34" s="929" t="s">
        <v>837</v>
      </c>
      <c r="B34" s="930"/>
      <c r="C34" s="930"/>
      <c r="D34" s="930"/>
      <c r="E34" s="930"/>
      <c r="F34" s="933">
        <v>1.0500000000000001E-2</v>
      </c>
      <c r="G34" s="933"/>
      <c r="H34" s="933"/>
      <c r="I34" s="934"/>
      <c r="M34" s="667"/>
      <c r="N34" s="654"/>
    </row>
    <row r="35" spans="1:28" ht="15.75" customHeight="1" thickBot="1">
      <c r="A35" s="922" t="s">
        <v>838</v>
      </c>
      <c r="B35" s="923"/>
      <c r="C35" s="923"/>
      <c r="D35" s="923"/>
      <c r="E35" s="923"/>
      <c r="F35" s="924">
        <v>1.27</v>
      </c>
      <c r="G35" s="924"/>
      <c r="H35" s="924"/>
      <c r="I35" s="925"/>
      <c r="M35" s="667"/>
      <c r="N35" s="654"/>
      <c r="T35" s="683"/>
      <c r="U35" s="671"/>
      <c r="V35" s="671"/>
      <c r="W35" s="671"/>
      <c r="X35" s="671"/>
      <c r="Y35" s="671"/>
      <c r="Z35" s="684"/>
      <c r="AA35" s="685"/>
      <c r="AB35" s="672"/>
    </row>
    <row r="36" spans="1:28" ht="15.75" customHeight="1">
      <c r="A36" s="686"/>
      <c r="E36" s="673"/>
      <c r="F36" s="673"/>
      <c r="G36" s="673"/>
      <c r="H36" s="656"/>
      <c r="I36" s="656"/>
      <c r="M36" s="667"/>
      <c r="N36" s="654"/>
      <c r="T36" s="671"/>
      <c r="U36" s="671"/>
      <c r="V36" s="671"/>
      <c r="W36" s="671"/>
      <c r="X36" s="672"/>
      <c r="Y36" s="671"/>
      <c r="Z36" s="926"/>
      <c r="AA36" s="926"/>
      <c r="AB36" s="927"/>
    </row>
    <row r="37" spans="1:28" ht="15.75" customHeight="1">
      <c r="A37" s="686"/>
      <c r="E37" s="687"/>
      <c r="F37" s="687"/>
      <c r="G37" s="687"/>
      <c r="H37" s="660"/>
      <c r="I37" s="660"/>
      <c r="M37" s="667"/>
      <c r="N37" s="654"/>
      <c r="T37" s="671"/>
      <c r="U37" s="671"/>
      <c r="V37" s="671"/>
      <c r="W37" s="671"/>
      <c r="X37" s="671"/>
      <c r="Y37" s="671"/>
      <c r="Z37" s="926"/>
      <c r="AA37" s="926"/>
      <c r="AB37" s="927"/>
    </row>
    <row r="38" spans="1:28" ht="15.75" customHeight="1">
      <c r="A38" s="686"/>
      <c r="B38" s="667"/>
      <c r="C38" s="667"/>
      <c r="D38" s="688"/>
      <c r="E38" s="687"/>
      <c r="F38" s="687"/>
      <c r="G38" s="687"/>
      <c r="H38" s="660"/>
      <c r="I38" s="660"/>
      <c r="J38" s="667"/>
      <c r="K38" s="667"/>
      <c r="L38" s="667"/>
      <c r="M38" s="667"/>
      <c r="N38" s="654"/>
      <c r="T38" s="677"/>
      <c r="U38" s="677"/>
      <c r="V38" s="677"/>
      <c r="W38" s="677"/>
      <c r="X38" s="677"/>
      <c r="Y38" s="677"/>
      <c r="Z38" s="928"/>
      <c r="AA38" s="928"/>
      <c r="AB38" s="689"/>
    </row>
    <row r="39" spans="1:28" ht="15.75" customHeight="1">
      <c r="A39" s="654"/>
      <c r="B39" s="654"/>
      <c r="C39" s="654"/>
      <c r="D39" s="654"/>
      <c r="E39" s="654"/>
      <c r="F39" s="654"/>
      <c r="G39" s="654"/>
      <c r="H39" s="654"/>
      <c r="I39" s="654"/>
      <c r="J39" s="654"/>
      <c r="K39" s="654"/>
      <c r="L39" s="654"/>
      <c r="M39" s="654"/>
      <c r="N39" s="641"/>
    </row>
    <row r="40" spans="1:28" ht="15.75" customHeight="1">
      <c r="A40" s="690"/>
      <c r="B40" s="654"/>
      <c r="C40" s="691"/>
      <c r="D40" s="692"/>
      <c r="E40" s="654"/>
      <c r="F40" s="654"/>
      <c r="G40" s="654"/>
      <c r="H40" s="641"/>
      <c r="I40" s="693" t="s">
        <v>64</v>
      </c>
      <c r="J40" s="694" t="str">
        <f>[11]PerfData!K43</f>
        <v>JERRY R</v>
      </c>
      <c r="K40" s="694"/>
      <c r="L40" s="694"/>
      <c r="M40" s="694"/>
      <c r="N40" s="654"/>
    </row>
    <row r="41" spans="1:28" ht="15.75" customHeight="1">
      <c r="A41" s="654"/>
      <c r="B41" s="654"/>
      <c r="C41" s="654"/>
      <c r="D41" s="654"/>
      <c r="E41" s="654"/>
      <c r="F41" s="654"/>
      <c r="G41" s="654"/>
      <c r="H41" s="654"/>
      <c r="I41" s="654"/>
      <c r="J41" s="641"/>
      <c r="K41" s="641"/>
      <c r="L41" s="641"/>
      <c r="M41" s="641"/>
    </row>
    <row r="42" spans="1:28" ht="15.75" customHeight="1">
      <c r="A42" s="654"/>
      <c r="B42" s="654"/>
      <c r="C42" s="654"/>
      <c r="D42" s="654"/>
      <c r="E42" s="654"/>
      <c r="F42" s="654"/>
      <c r="G42" s="654"/>
      <c r="H42" s="641"/>
      <c r="I42" s="693" t="s">
        <v>66</v>
      </c>
      <c r="J42" s="695">
        <v>43977</v>
      </c>
      <c r="K42" s="695"/>
      <c r="L42" s="695"/>
      <c r="M42" s="695"/>
    </row>
    <row r="43" spans="1:28" ht="15.9" customHeight="1"/>
  </sheetData>
  <mergeCells count="32">
    <mergeCell ref="A26:E26"/>
    <mergeCell ref="F26:I26"/>
    <mergeCell ref="L3:M3"/>
    <mergeCell ref="A4:I4"/>
    <mergeCell ref="A5:I5"/>
    <mergeCell ref="A21:E21"/>
    <mergeCell ref="F21:I21"/>
    <mergeCell ref="A22:E22"/>
    <mergeCell ref="F22:I22"/>
    <mergeCell ref="A23:E23"/>
    <mergeCell ref="F23:I23"/>
    <mergeCell ref="A25:E25"/>
    <mergeCell ref="F25:I25"/>
    <mergeCell ref="Q25:V25"/>
    <mergeCell ref="A27:E27"/>
    <mergeCell ref="F27:I27"/>
    <mergeCell ref="A29:E29"/>
    <mergeCell ref="F29:I29"/>
    <mergeCell ref="A31:E31"/>
    <mergeCell ref="F31:I31"/>
    <mergeCell ref="Z38:AA38"/>
    <mergeCell ref="A32:E32"/>
    <mergeCell ref="F32:I32"/>
    <mergeCell ref="A33:E33"/>
    <mergeCell ref="F33:I33"/>
    <mergeCell ref="A34:E34"/>
    <mergeCell ref="F34:I34"/>
    <mergeCell ref="A35:E35"/>
    <mergeCell ref="F35:I35"/>
    <mergeCell ref="Z36:AA36"/>
    <mergeCell ref="AB36:AB37"/>
    <mergeCell ref="Z37:AA37"/>
  </mergeCells>
  <printOptions horizontalCentered="1" gridLinesSet="0"/>
  <pageMargins left="0.5" right="0.5" top="0.5" bottom="0.5" header="0.5" footer="0.5"/>
  <pageSetup scale="94" orientation="portrait" horizontalDpi="4294967292"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3C6DC-6A09-441B-B8B7-014C911B23AD}">
  <sheetPr syncVertical="1" syncRef="A1" transitionEvaluation="1"/>
  <dimension ref="A1:W54"/>
  <sheetViews>
    <sheetView showGridLines="0" zoomScale="75" zoomScaleNormal="75" workbookViewId="0">
      <selection activeCell="C12" sqref="C12"/>
    </sheetView>
  </sheetViews>
  <sheetFormatPr defaultColWidth="9.4140625" defaultRowHeight="15.6"/>
  <cols>
    <col min="1" max="3" width="5.25" style="701" customWidth="1"/>
    <col min="4" max="4" width="6.25" style="701" customWidth="1"/>
    <col min="5" max="5" width="5.25" style="701" customWidth="1"/>
    <col min="6" max="6" width="6.6640625" style="701" customWidth="1"/>
    <col min="7" max="13" width="5.25" style="701" customWidth="1"/>
    <col min="14" max="14" width="5.33203125" style="701" customWidth="1"/>
    <col min="15" max="256" width="9.4140625" style="701"/>
    <col min="257" max="259" width="5.25" style="701" customWidth="1"/>
    <col min="260" max="260" width="6.25" style="701" customWidth="1"/>
    <col min="261" max="261" width="5.25" style="701" customWidth="1"/>
    <col min="262" max="262" width="6.6640625" style="701" customWidth="1"/>
    <col min="263" max="269" width="5.25" style="701" customWidth="1"/>
    <col min="270" max="270" width="5.33203125" style="701" customWidth="1"/>
    <col min="271" max="512" width="9.4140625" style="701"/>
    <col min="513" max="515" width="5.25" style="701" customWidth="1"/>
    <col min="516" max="516" width="6.25" style="701" customWidth="1"/>
    <col min="517" max="517" width="5.25" style="701" customWidth="1"/>
    <col min="518" max="518" width="6.6640625" style="701" customWidth="1"/>
    <col min="519" max="525" width="5.25" style="701" customWidth="1"/>
    <col min="526" max="526" width="5.33203125" style="701" customWidth="1"/>
    <col min="527" max="768" width="9.4140625" style="701"/>
    <col min="769" max="771" width="5.25" style="701" customWidth="1"/>
    <col min="772" max="772" width="6.25" style="701" customWidth="1"/>
    <col min="773" max="773" width="5.25" style="701" customWidth="1"/>
    <col min="774" max="774" width="6.6640625" style="701" customWidth="1"/>
    <col min="775" max="781" width="5.25" style="701" customWidth="1"/>
    <col min="782" max="782" width="5.33203125" style="701" customWidth="1"/>
    <col min="783" max="1024" width="9.4140625" style="701"/>
    <col min="1025" max="1027" width="5.25" style="701" customWidth="1"/>
    <col min="1028" max="1028" width="6.25" style="701" customWidth="1"/>
    <col min="1029" max="1029" width="5.25" style="701" customWidth="1"/>
    <col min="1030" max="1030" width="6.6640625" style="701" customWidth="1"/>
    <col min="1031" max="1037" width="5.25" style="701" customWidth="1"/>
    <col min="1038" max="1038" width="5.33203125" style="701" customWidth="1"/>
    <col min="1039" max="1280" width="9.4140625" style="701"/>
    <col min="1281" max="1283" width="5.25" style="701" customWidth="1"/>
    <col min="1284" max="1284" width="6.25" style="701" customWidth="1"/>
    <col min="1285" max="1285" width="5.25" style="701" customWidth="1"/>
    <col min="1286" max="1286" width="6.6640625" style="701" customWidth="1"/>
    <col min="1287" max="1293" width="5.25" style="701" customWidth="1"/>
    <col min="1294" max="1294" width="5.33203125" style="701" customWidth="1"/>
    <col min="1295" max="1536" width="9.4140625" style="701"/>
    <col min="1537" max="1539" width="5.25" style="701" customWidth="1"/>
    <col min="1540" max="1540" width="6.25" style="701" customWidth="1"/>
    <col min="1541" max="1541" width="5.25" style="701" customWidth="1"/>
    <col min="1542" max="1542" width="6.6640625" style="701" customWidth="1"/>
    <col min="1543" max="1549" width="5.25" style="701" customWidth="1"/>
    <col min="1550" max="1550" width="5.33203125" style="701" customWidth="1"/>
    <col min="1551" max="1792" width="9.4140625" style="701"/>
    <col min="1793" max="1795" width="5.25" style="701" customWidth="1"/>
    <col min="1796" max="1796" width="6.25" style="701" customWidth="1"/>
    <col min="1797" max="1797" width="5.25" style="701" customWidth="1"/>
    <col min="1798" max="1798" width="6.6640625" style="701" customWidth="1"/>
    <col min="1799" max="1805" width="5.25" style="701" customWidth="1"/>
    <col min="1806" max="1806" width="5.33203125" style="701" customWidth="1"/>
    <col min="1807" max="2048" width="9.4140625" style="701"/>
    <col min="2049" max="2051" width="5.25" style="701" customWidth="1"/>
    <col min="2052" max="2052" width="6.25" style="701" customWidth="1"/>
    <col min="2053" max="2053" width="5.25" style="701" customWidth="1"/>
    <col min="2054" max="2054" width="6.6640625" style="701" customWidth="1"/>
    <col min="2055" max="2061" width="5.25" style="701" customWidth="1"/>
    <col min="2062" max="2062" width="5.33203125" style="701" customWidth="1"/>
    <col min="2063" max="2304" width="9.4140625" style="701"/>
    <col min="2305" max="2307" width="5.25" style="701" customWidth="1"/>
    <col min="2308" max="2308" width="6.25" style="701" customWidth="1"/>
    <col min="2309" max="2309" width="5.25" style="701" customWidth="1"/>
    <col min="2310" max="2310" width="6.6640625" style="701" customWidth="1"/>
    <col min="2311" max="2317" width="5.25" style="701" customWidth="1"/>
    <col min="2318" max="2318" width="5.33203125" style="701" customWidth="1"/>
    <col min="2319" max="2560" width="9.4140625" style="701"/>
    <col min="2561" max="2563" width="5.25" style="701" customWidth="1"/>
    <col min="2564" max="2564" width="6.25" style="701" customWidth="1"/>
    <col min="2565" max="2565" width="5.25" style="701" customWidth="1"/>
    <col min="2566" max="2566" width="6.6640625" style="701" customWidth="1"/>
    <col min="2567" max="2573" width="5.25" style="701" customWidth="1"/>
    <col min="2574" max="2574" width="5.33203125" style="701" customWidth="1"/>
    <col min="2575" max="2816" width="9.4140625" style="701"/>
    <col min="2817" max="2819" width="5.25" style="701" customWidth="1"/>
    <col min="2820" max="2820" width="6.25" style="701" customWidth="1"/>
    <col min="2821" max="2821" width="5.25" style="701" customWidth="1"/>
    <col min="2822" max="2822" width="6.6640625" style="701" customWidth="1"/>
    <col min="2823" max="2829" width="5.25" style="701" customWidth="1"/>
    <col min="2830" max="2830" width="5.33203125" style="701" customWidth="1"/>
    <col min="2831" max="3072" width="9.4140625" style="701"/>
    <col min="3073" max="3075" width="5.25" style="701" customWidth="1"/>
    <col min="3076" max="3076" width="6.25" style="701" customWidth="1"/>
    <col min="3077" max="3077" width="5.25" style="701" customWidth="1"/>
    <col min="3078" max="3078" width="6.6640625" style="701" customWidth="1"/>
    <col min="3079" max="3085" width="5.25" style="701" customWidth="1"/>
    <col min="3086" max="3086" width="5.33203125" style="701" customWidth="1"/>
    <col min="3087" max="3328" width="9.4140625" style="701"/>
    <col min="3329" max="3331" width="5.25" style="701" customWidth="1"/>
    <col min="3332" max="3332" width="6.25" style="701" customWidth="1"/>
    <col min="3333" max="3333" width="5.25" style="701" customWidth="1"/>
    <col min="3334" max="3334" width="6.6640625" style="701" customWidth="1"/>
    <col min="3335" max="3341" width="5.25" style="701" customWidth="1"/>
    <col min="3342" max="3342" width="5.33203125" style="701" customWidth="1"/>
    <col min="3343" max="3584" width="9.4140625" style="701"/>
    <col min="3585" max="3587" width="5.25" style="701" customWidth="1"/>
    <col min="3588" max="3588" width="6.25" style="701" customWidth="1"/>
    <col min="3589" max="3589" width="5.25" style="701" customWidth="1"/>
    <col min="3590" max="3590" width="6.6640625" style="701" customWidth="1"/>
    <col min="3591" max="3597" width="5.25" style="701" customWidth="1"/>
    <col min="3598" max="3598" width="5.33203125" style="701" customWidth="1"/>
    <col min="3599" max="3840" width="9.4140625" style="701"/>
    <col min="3841" max="3843" width="5.25" style="701" customWidth="1"/>
    <col min="3844" max="3844" width="6.25" style="701" customWidth="1"/>
    <col min="3845" max="3845" width="5.25" style="701" customWidth="1"/>
    <col min="3846" max="3846" width="6.6640625" style="701" customWidth="1"/>
    <col min="3847" max="3853" width="5.25" style="701" customWidth="1"/>
    <col min="3854" max="3854" width="5.33203125" style="701" customWidth="1"/>
    <col min="3855" max="4096" width="9.4140625" style="701"/>
    <col min="4097" max="4099" width="5.25" style="701" customWidth="1"/>
    <col min="4100" max="4100" width="6.25" style="701" customWidth="1"/>
    <col min="4101" max="4101" width="5.25" style="701" customWidth="1"/>
    <col min="4102" max="4102" width="6.6640625" style="701" customWidth="1"/>
    <col min="4103" max="4109" width="5.25" style="701" customWidth="1"/>
    <col min="4110" max="4110" width="5.33203125" style="701" customWidth="1"/>
    <col min="4111" max="4352" width="9.4140625" style="701"/>
    <col min="4353" max="4355" width="5.25" style="701" customWidth="1"/>
    <col min="4356" max="4356" width="6.25" style="701" customWidth="1"/>
    <col min="4357" max="4357" width="5.25" style="701" customWidth="1"/>
    <col min="4358" max="4358" width="6.6640625" style="701" customWidth="1"/>
    <col min="4359" max="4365" width="5.25" style="701" customWidth="1"/>
    <col min="4366" max="4366" width="5.33203125" style="701" customWidth="1"/>
    <col min="4367" max="4608" width="9.4140625" style="701"/>
    <col min="4609" max="4611" width="5.25" style="701" customWidth="1"/>
    <col min="4612" max="4612" width="6.25" style="701" customWidth="1"/>
    <col min="4613" max="4613" width="5.25" style="701" customWidth="1"/>
    <col min="4614" max="4614" width="6.6640625" style="701" customWidth="1"/>
    <col min="4615" max="4621" width="5.25" style="701" customWidth="1"/>
    <col min="4622" max="4622" width="5.33203125" style="701" customWidth="1"/>
    <col min="4623" max="4864" width="9.4140625" style="701"/>
    <col min="4865" max="4867" width="5.25" style="701" customWidth="1"/>
    <col min="4868" max="4868" width="6.25" style="701" customWidth="1"/>
    <col min="4869" max="4869" width="5.25" style="701" customWidth="1"/>
    <col min="4870" max="4870" width="6.6640625" style="701" customWidth="1"/>
    <col min="4871" max="4877" width="5.25" style="701" customWidth="1"/>
    <col min="4878" max="4878" width="5.33203125" style="701" customWidth="1"/>
    <col min="4879" max="5120" width="9.4140625" style="701"/>
    <col min="5121" max="5123" width="5.25" style="701" customWidth="1"/>
    <col min="5124" max="5124" width="6.25" style="701" customWidth="1"/>
    <col min="5125" max="5125" width="5.25" style="701" customWidth="1"/>
    <col min="5126" max="5126" width="6.6640625" style="701" customWidth="1"/>
    <col min="5127" max="5133" width="5.25" style="701" customWidth="1"/>
    <col min="5134" max="5134" width="5.33203125" style="701" customWidth="1"/>
    <col min="5135" max="5376" width="9.4140625" style="701"/>
    <col min="5377" max="5379" width="5.25" style="701" customWidth="1"/>
    <col min="5380" max="5380" width="6.25" style="701" customWidth="1"/>
    <col min="5381" max="5381" width="5.25" style="701" customWidth="1"/>
    <col min="5382" max="5382" width="6.6640625" style="701" customWidth="1"/>
    <col min="5383" max="5389" width="5.25" style="701" customWidth="1"/>
    <col min="5390" max="5390" width="5.33203125" style="701" customWidth="1"/>
    <col min="5391" max="5632" width="9.4140625" style="701"/>
    <col min="5633" max="5635" width="5.25" style="701" customWidth="1"/>
    <col min="5636" max="5636" width="6.25" style="701" customWidth="1"/>
    <col min="5637" max="5637" width="5.25" style="701" customWidth="1"/>
    <col min="5638" max="5638" width="6.6640625" style="701" customWidth="1"/>
    <col min="5639" max="5645" width="5.25" style="701" customWidth="1"/>
    <col min="5646" max="5646" width="5.33203125" style="701" customWidth="1"/>
    <col min="5647" max="5888" width="9.4140625" style="701"/>
    <col min="5889" max="5891" width="5.25" style="701" customWidth="1"/>
    <col min="5892" max="5892" width="6.25" style="701" customWidth="1"/>
    <col min="5893" max="5893" width="5.25" style="701" customWidth="1"/>
    <col min="5894" max="5894" width="6.6640625" style="701" customWidth="1"/>
    <col min="5895" max="5901" width="5.25" style="701" customWidth="1"/>
    <col min="5902" max="5902" width="5.33203125" style="701" customWidth="1"/>
    <col min="5903" max="6144" width="9.4140625" style="701"/>
    <col min="6145" max="6147" width="5.25" style="701" customWidth="1"/>
    <col min="6148" max="6148" width="6.25" style="701" customWidth="1"/>
    <col min="6149" max="6149" width="5.25" style="701" customWidth="1"/>
    <col min="6150" max="6150" width="6.6640625" style="701" customWidth="1"/>
    <col min="6151" max="6157" width="5.25" style="701" customWidth="1"/>
    <col min="6158" max="6158" width="5.33203125" style="701" customWidth="1"/>
    <col min="6159" max="6400" width="9.4140625" style="701"/>
    <col min="6401" max="6403" width="5.25" style="701" customWidth="1"/>
    <col min="6404" max="6404" width="6.25" style="701" customWidth="1"/>
    <col min="6405" max="6405" width="5.25" style="701" customWidth="1"/>
    <col min="6406" max="6406" width="6.6640625" style="701" customWidth="1"/>
    <col min="6407" max="6413" width="5.25" style="701" customWidth="1"/>
    <col min="6414" max="6414" width="5.33203125" style="701" customWidth="1"/>
    <col min="6415" max="6656" width="9.4140625" style="701"/>
    <col min="6657" max="6659" width="5.25" style="701" customWidth="1"/>
    <col min="6660" max="6660" width="6.25" style="701" customWidth="1"/>
    <col min="6661" max="6661" width="5.25" style="701" customWidth="1"/>
    <col min="6662" max="6662" width="6.6640625" style="701" customWidth="1"/>
    <col min="6663" max="6669" width="5.25" style="701" customWidth="1"/>
    <col min="6670" max="6670" width="5.33203125" style="701" customWidth="1"/>
    <col min="6671" max="6912" width="9.4140625" style="701"/>
    <col min="6913" max="6915" width="5.25" style="701" customWidth="1"/>
    <col min="6916" max="6916" width="6.25" style="701" customWidth="1"/>
    <col min="6917" max="6917" width="5.25" style="701" customWidth="1"/>
    <col min="6918" max="6918" width="6.6640625" style="701" customWidth="1"/>
    <col min="6919" max="6925" width="5.25" style="701" customWidth="1"/>
    <col min="6926" max="6926" width="5.33203125" style="701" customWidth="1"/>
    <col min="6927" max="7168" width="9.4140625" style="701"/>
    <col min="7169" max="7171" width="5.25" style="701" customWidth="1"/>
    <col min="7172" max="7172" width="6.25" style="701" customWidth="1"/>
    <col min="7173" max="7173" width="5.25" style="701" customWidth="1"/>
    <col min="7174" max="7174" width="6.6640625" style="701" customWidth="1"/>
    <col min="7175" max="7181" width="5.25" style="701" customWidth="1"/>
    <col min="7182" max="7182" width="5.33203125" style="701" customWidth="1"/>
    <col min="7183" max="7424" width="9.4140625" style="701"/>
    <col min="7425" max="7427" width="5.25" style="701" customWidth="1"/>
    <col min="7428" max="7428" width="6.25" style="701" customWidth="1"/>
    <col min="7429" max="7429" width="5.25" style="701" customWidth="1"/>
    <col min="7430" max="7430" width="6.6640625" style="701" customWidth="1"/>
    <col min="7431" max="7437" width="5.25" style="701" customWidth="1"/>
    <col min="7438" max="7438" width="5.33203125" style="701" customWidth="1"/>
    <col min="7439" max="7680" width="9.4140625" style="701"/>
    <col min="7681" max="7683" width="5.25" style="701" customWidth="1"/>
    <col min="7684" max="7684" width="6.25" style="701" customWidth="1"/>
    <col min="7685" max="7685" width="5.25" style="701" customWidth="1"/>
    <col min="7686" max="7686" width="6.6640625" style="701" customWidth="1"/>
    <col min="7687" max="7693" width="5.25" style="701" customWidth="1"/>
    <col min="7694" max="7694" width="5.33203125" style="701" customWidth="1"/>
    <col min="7695" max="7936" width="9.4140625" style="701"/>
    <col min="7937" max="7939" width="5.25" style="701" customWidth="1"/>
    <col min="7940" max="7940" width="6.25" style="701" customWidth="1"/>
    <col min="7941" max="7941" width="5.25" style="701" customWidth="1"/>
    <col min="7942" max="7942" width="6.6640625" style="701" customWidth="1"/>
    <col min="7943" max="7949" width="5.25" style="701" customWidth="1"/>
    <col min="7950" max="7950" width="5.33203125" style="701" customWidth="1"/>
    <col min="7951" max="8192" width="9.4140625" style="701"/>
    <col min="8193" max="8195" width="5.25" style="701" customWidth="1"/>
    <col min="8196" max="8196" width="6.25" style="701" customWidth="1"/>
    <col min="8197" max="8197" width="5.25" style="701" customWidth="1"/>
    <col min="8198" max="8198" width="6.6640625" style="701" customWidth="1"/>
    <col min="8199" max="8205" width="5.25" style="701" customWidth="1"/>
    <col min="8206" max="8206" width="5.33203125" style="701" customWidth="1"/>
    <col min="8207" max="8448" width="9.4140625" style="701"/>
    <col min="8449" max="8451" width="5.25" style="701" customWidth="1"/>
    <col min="8452" max="8452" width="6.25" style="701" customWidth="1"/>
    <col min="8453" max="8453" width="5.25" style="701" customWidth="1"/>
    <col min="8454" max="8454" width="6.6640625" style="701" customWidth="1"/>
    <col min="8455" max="8461" width="5.25" style="701" customWidth="1"/>
    <col min="8462" max="8462" width="5.33203125" style="701" customWidth="1"/>
    <col min="8463" max="8704" width="9.4140625" style="701"/>
    <col min="8705" max="8707" width="5.25" style="701" customWidth="1"/>
    <col min="8708" max="8708" width="6.25" style="701" customWidth="1"/>
    <col min="8709" max="8709" width="5.25" style="701" customWidth="1"/>
    <col min="8710" max="8710" width="6.6640625" style="701" customWidth="1"/>
    <col min="8711" max="8717" width="5.25" style="701" customWidth="1"/>
    <col min="8718" max="8718" width="5.33203125" style="701" customWidth="1"/>
    <col min="8719" max="8960" width="9.4140625" style="701"/>
    <col min="8961" max="8963" width="5.25" style="701" customWidth="1"/>
    <col min="8964" max="8964" width="6.25" style="701" customWidth="1"/>
    <col min="8965" max="8965" width="5.25" style="701" customWidth="1"/>
    <col min="8966" max="8966" width="6.6640625" style="701" customWidth="1"/>
    <col min="8967" max="8973" width="5.25" style="701" customWidth="1"/>
    <col min="8974" max="8974" width="5.33203125" style="701" customWidth="1"/>
    <col min="8975" max="9216" width="9.4140625" style="701"/>
    <col min="9217" max="9219" width="5.25" style="701" customWidth="1"/>
    <col min="9220" max="9220" width="6.25" style="701" customWidth="1"/>
    <col min="9221" max="9221" width="5.25" style="701" customWidth="1"/>
    <col min="9222" max="9222" width="6.6640625" style="701" customWidth="1"/>
    <col min="9223" max="9229" width="5.25" style="701" customWidth="1"/>
    <col min="9230" max="9230" width="5.33203125" style="701" customWidth="1"/>
    <col min="9231" max="9472" width="9.4140625" style="701"/>
    <col min="9473" max="9475" width="5.25" style="701" customWidth="1"/>
    <col min="9476" max="9476" width="6.25" style="701" customWidth="1"/>
    <col min="9477" max="9477" width="5.25" style="701" customWidth="1"/>
    <col min="9478" max="9478" width="6.6640625" style="701" customWidth="1"/>
    <col min="9479" max="9485" width="5.25" style="701" customWidth="1"/>
    <col min="9486" max="9486" width="5.33203125" style="701" customWidth="1"/>
    <col min="9487" max="9728" width="9.4140625" style="701"/>
    <col min="9729" max="9731" width="5.25" style="701" customWidth="1"/>
    <col min="9732" max="9732" width="6.25" style="701" customWidth="1"/>
    <col min="9733" max="9733" width="5.25" style="701" customWidth="1"/>
    <col min="9734" max="9734" width="6.6640625" style="701" customWidth="1"/>
    <col min="9735" max="9741" width="5.25" style="701" customWidth="1"/>
    <col min="9742" max="9742" width="5.33203125" style="701" customWidth="1"/>
    <col min="9743" max="9984" width="9.4140625" style="701"/>
    <col min="9985" max="9987" width="5.25" style="701" customWidth="1"/>
    <col min="9988" max="9988" width="6.25" style="701" customWidth="1"/>
    <col min="9989" max="9989" width="5.25" style="701" customWidth="1"/>
    <col min="9990" max="9990" width="6.6640625" style="701" customWidth="1"/>
    <col min="9991" max="9997" width="5.25" style="701" customWidth="1"/>
    <col min="9998" max="9998" width="5.33203125" style="701" customWidth="1"/>
    <col min="9999" max="10240" width="9.4140625" style="701"/>
    <col min="10241" max="10243" width="5.25" style="701" customWidth="1"/>
    <col min="10244" max="10244" width="6.25" style="701" customWidth="1"/>
    <col min="10245" max="10245" width="5.25" style="701" customWidth="1"/>
    <col min="10246" max="10246" width="6.6640625" style="701" customWidth="1"/>
    <col min="10247" max="10253" width="5.25" style="701" customWidth="1"/>
    <col min="10254" max="10254" width="5.33203125" style="701" customWidth="1"/>
    <col min="10255" max="10496" width="9.4140625" style="701"/>
    <col min="10497" max="10499" width="5.25" style="701" customWidth="1"/>
    <col min="10500" max="10500" width="6.25" style="701" customWidth="1"/>
    <col min="10501" max="10501" width="5.25" style="701" customWidth="1"/>
    <col min="10502" max="10502" width="6.6640625" style="701" customWidth="1"/>
    <col min="10503" max="10509" width="5.25" style="701" customWidth="1"/>
    <col min="10510" max="10510" width="5.33203125" style="701" customWidth="1"/>
    <col min="10511" max="10752" width="9.4140625" style="701"/>
    <col min="10753" max="10755" width="5.25" style="701" customWidth="1"/>
    <col min="10756" max="10756" width="6.25" style="701" customWidth="1"/>
    <col min="10757" max="10757" width="5.25" style="701" customWidth="1"/>
    <col min="10758" max="10758" width="6.6640625" style="701" customWidth="1"/>
    <col min="10759" max="10765" width="5.25" style="701" customWidth="1"/>
    <col min="10766" max="10766" width="5.33203125" style="701" customWidth="1"/>
    <col min="10767" max="11008" width="9.4140625" style="701"/>
    <col min="11009" max="11011" width="5.25" style="701" customWidth="1"/>
    <col min="11012" max="11012" width="6.25" style="701" customWidth="1"/>
    <col min="11013" max="11013" width="5.25" style="701" customWidth="1"/>
    <col min="11014" max="11014" width="6.6640625" style="701" customWidth="1"/>
    <col min="11015" max="11021" width="5.25" style="701" customWidth="1"/>
    <col min="11022" max="11022" width="5.33203125" style="701" customWidth="1"/>
    <col min="11023" max="11264" width="9.4140625" style="701"/>
    <col min="11265" max="11267" width="5.25" style="701" customWidth="1"/>
    <col min="11268" max="11268" width="6.25" style="701" customWidth="1"/>
    <col min="11269" max="11269" width="5.25" style="701" customWidth="1"/>
    <col min="11270" max="11270" width="6.6640625" style="701" customWidth="1"/>
    <col min="11271" max="11277" width="5.25" style="701" customWidth="1"/>
    <col min="11278" max="11278" width="5.33203125" style="701" customWidth="1"/>
    <col min="11279" max="11520" width="9.4140625" style="701"/>
    <col min="11521" max="11523" width="5.25" style="701" customWidth="1"/>
    <col min="11524" max="11524" width="6.25" style="701" customWidth="1"/>
    <col min="11525" max="11525" width="5.25" style="701" customWidth="1"/>
    <col min="11526" max="11526" width="6.6640625" style="701" customWidth="1"/>
    <col min="11527" max="11533" width="5.25" style="701" customWidth="1"/>
    <col min="11534" max="11534" width="5.33203125" style="701" customWidth="1"/>
    <col min="11535" max="11776" width="9.4140625" style="701"/>
    <col min="11777" max="11779" width="5.25" style="701" customWidth="1"/>
    <col min="11780" max="11780" width="6.25" style="701" customWidth="1"/>
    <col min="11781" max="11781" width="5.25" style="701" customWidth="1"/>
    <col min="11782" max="11782" width="6.6640625" style="701" customWidth="1"/>
    <col min="11783" max="11789" width="5.25" style="701" customWidth="1"/>
    <col min="11790" max="11790" width="5.33203125" style="701" customWidth="1"/>
    <col min="11791" max="12032" width="9.4140625" style="701"/>
    <col min="12033" max="12035" width="5.25" style="701" customWidth="1"/>
    <col min="12036" max="12036" width="6.25" style="701" customWidth="1"/>
    <col min="12037" max="12037" width="5.25" style="701" customWidth="1"/>
    <col min="12038" max="12038" width="6.6640625" style="701" customWidth="1"/>
    <col min="12039" max="12045" width="5.25" style="701" customWidth="1"/>
    <col min="12046" max="12046" width="5.33203125" style="701" customWidth="1"/>
    <col min="12047" max="12288" width="9.4140625" style="701"/>
    <col min="12289" max="12291" width="5.25" style="701" customWidth="1"/>
    <col min="12292" max="12292" width="6.25" style="701" customWidth="1"/>
    <col min="12293" max="12293" width="5.25" style="701" customWidth="1"/>
    <col min="12294" max="12294" width="6.6640625" style="701" customWidth="1"/>
    <col min="12295" max="12301" width="5.25" style="701" customWidth="1"/>
    <col min="12302" max="12302" width="5.33203125" style="701" customWidth="1"/>
    <col min="12303" max="12544" width="9.4140625" style="701"/>
    <col min="12545" max="12547" width="5.25" style="701" customWidth="1"/>
    <col min="12548" max="12548" width="6.25" style="701" customWidth="1"/>
    <col min="12549" max="12549" width="5.25" style="701" customWidth="1"/>
    <col min="12550" max="12550" width="6.6640625" style="701" customWidth="1"/>
    <col min="12551" max="12557" width="5.25" style="701" customWidth="1"/>
    <col min="12558" max="12558" width="5.33203125" style="701" customWidth="1"/>
    <col min="12559" max="12800" width="9.4140625" style="701"/>
    <col min="12801" max="12803" width="5.25" style="701" customWidth="1"/>
    <col min="12804" max="12804" width="6.25" style="701" customWidth="1"/>
    <col min="12805" max="12805" width="5.25" style="701" customWidth="1"/>
    <col min="12806" max="12806" width="6.6640625" style="701" customWidth="1"/>
    <col min="12807" max="12813" width="5.25" style="701" customWidth="1"/>
    <col min="12814" max="12814" width="5.33203125" style="701" customWidth="1"/>
    <col min="12815" max="13056" width="9.4140625" style="701"/>
    <col min="13057" max="13059" width="5.25" style="701" customWidth="1"/>
    <col min="13060" max="13060" width="6.25" style="701" customWidth="1"/>
    <col min="13061" max="13061" width="5.25" style="701" customWidth="1"/>
    <col min="13062" max="13062" width="6.6640625" style="701" customWidth="1"/>
    <col min="13063" max="13069" width="5.25" style="701" customWidth="1"/>
    <col min="13070" max="13070" width="5.33203125" style="701" customWidth="1"/>
    <col min="13071" max="13312" width="9.4140625" style="701"/>
    <col min="13313" max="13315" width="5.25" style="701" customWidth="1"/>
    <col min="13316" max="13316" width="6.25" style="701" customWidth="1"/>
    <col min="13317" max="13317" width="5.25" style="701" customWidth="1"/>
    <col min="13318" max="13318" width="6.6640625" style="701" customWidth="1"/>
    <col min="13319" max="13325" width="5.25" style="701" customWidth="1"/>
    <col min="13326" max="13326" width="5.33203125" style="701" customWidth="1"/>
    <col min="13327" max="13568" width="9.4140625" style="701"/>
    <col min="13569" max="13571" width="5.25" style="701" customWidth="1"/>
    <col min="13572" max="13572" width="6.25" style="701" customWidth="1"/>
    <col min="13573" max="13573" width="5.25" style="701" customWidth="1"/>
    <col min="13574" max="13574" width="6.6640625" style="701" customWidth="1"/>
    <col min="13575" max="13581" width="5.25" style="701" customWidth="1"/>
    <col min="13582" max="13582" width="5.33203125" style="701" customWidth="1"/>
    <col min="13583" max="13824" width="9.4140625" style="701"/>
    <col min="13825" max="13827" width="5.25" style="701" customWidth="1"/>
    <col min="13828" max="13828" width="6.25" style="701" customWidth="1"/>
    <col min="13829" max="13829" width="5.25" style="701" customWidth="1"/>
    <col min="13830" max="13830" width="6.6640625" style="701" customWidth="1"/>
    <col min="13831" max="13837" width="5.25" style="701" customWidth="1"/>
    <col min="13838" max="13838" width="5.33203125" style="701" customWidth="1"/>
    <col min="13839" max="14080" width="9.4140625" style="701"/>
    <col min="14081" max="14083" width="5.25" style="701" customWidth="1"/>
    <col min="14084" max="14084" width="6.25" style="701" customWidth="1"/>
    <col min="14085" max="14085" width="5.25" style="701" customWidth="1"/>
    <col min="14086" max="14086" width="6.6640625" style="701" customWidth="1"/>
    <col min="14087" max="14093" width="5.25" style="701" customWidth="1"/>
    <col min="14094" max="14094" width="5.33203125" style="701" customWidth="1"/>
    <col min="14095" max="14336" width="9.4140625" style="701"/>
    <col min="14337" max="14339" width="5.25" style="701" customWidth="1"/>
    <col min="14340" max="14340" width="6.25" style="701" customWidth="1"/>
    <col min="14341" max="14341" width="5.25" style="701" customWidth="1"/>
    <col min="14342" max="14342" width="6.6640625" style="701" customWidth="1"/>
    <col min="14343" max="14349" width="5.25" style="701" customWidth="1"/>
    <col min="14350" max="14350" width="5.33203125" style="701" customWidth="1"/>
    <col min="14351" max="14592" width="9.4140625" style="701"/>
    <col min="14593" max="14595" width="5.25" style="701" customWidth="1"/>
    <col min="14596" max="14596" width="6.25" style="701" customWidth="1"/>
    <col min="14597" max="14597" width="5.25" style="701" customWidth="1"/>
    <col min="14598" max="14598" width="6.6640625" style="701" customWidth="1"/>
    <col min="14599" max="14605" width="5.25" style="701" customWidth="1"/>
    <col min="14606" max="14606" width="5.33203125" style="701" customWidth="1"/>
    <col min="14607" max="14848" width="9.4140625" style="701"/>
    <col min="14849" max="14851" width="5.25" style="701" customWidth="1"/>
    <col min="14852" max="14852" width="6.25" style="701" customWidth="1"/>
    <col min="14853" max="14853" width="5.25" style="701" customWidth="1"/>
    <col min="14854" max="14854" width="6.6640625" style="701" customWidth="1"/>
    <col min="14855" max="14861" width="5.25" style="701" customWidth="1"/>
    <col min="14862" max="14862" width="5.33203125" style="701" customWidth="1"/>
    <col min="14863" max="15104" width="9.4140625" style="701"/>
    <col min="15105" max="15107" width="5.25" style="701" customWidth="1"/>
    <col min="15108" max="15108" width="6.25" style="701" customWidth="1"/>
    <col min="15109" max="15109" width="5.25" style="701" customWidth="1"/>
    <col min="15110" max="15110" width="6.6640625" style="701" customWidth="1"/>
    <col min="15111" max="15117" width="5.25" style="701" customWidth="1"/>
    <col min="15118" max="15118" width="5.33203125" style="701" customWidth="1"/>
    <col min="15119" max="15360" width="9.4140625" style="701"/>
    <col min="15361" max="15363" width="5.25" style="701" customWidth="1"/>
    <col min="15364" max="15364" width="6.25" style="701" customWidth="1"/>
    <col min="15365" max="15365" width="5.25" style="701" customWidth="1"/>
    <col min="15366" max="15366" width="6.6640625" style="701" customWidth="1"/>
    <col min="15367" max="15373" width="5.25" style="701" customWidth="1"/>
    <col min="15374" max="15374" width="5.33203125" style="701" customWidth="1"/>
    <col min="15375" max="15616" width="9.4140625" style="701"/>
    <col min="15617" max="15619" width="5.25" style="701" customWidth="1"/>
    <col min="15620" max="15620" width="6.25" style="701" customWidth="1"/>
    <col min="15621" max="15621" width="5.25" style="701" customWidth="1"/>
    <col min="15622" max="15622" width="6.6640625" style="701" customWidth="1"/>
    <col min="15623" max="15629" width="5.25" style="701" customWidth="1"/>
    <col min="15630" max="15630" width="5.33203125" style="701" customWidth="1"/>
    <col min="15631" max="15872" width="9.4140625" style="701"/>
    <col min="15873" max="15875" width="5.25" style="701" customWidth="1"/>
    <col min="15876" max="15876" width="6.25" style="701" customWidth="1"/>
    <col min="15877" max="15877" width="5.25" style="701" customWidth="1"/>
    <col min="15878" max="15878" width="6.6640625" style="701" customWidth="1"/>
    <col min="15879" max="15885" width="5.25" style="701" customWidth="1"/>
    <col min="15886" max="15886" width="5.33203125" style="701" customWidth="1"/>
    <col min="15887" max="16128" width="9.4140625" style="701"/>
    <col min="16129" max="16131" width="5.25" style="701" customWidth="1"/>
    <col min="16132" max="16132" width="6.25" style="701" customWidth="1"/>
    <col min="16133" max="16133" width="5.25" style="701" customWidth="1"/>
    <col min="16134" max="16134" width="6.6640625" style="701" customWidth="1"/>
    <col min="16135" max="16141" width="5.25" style="701" customWidth="1"/>
    <col min="16142" max="16142" width="5.33203125" style="701" customWidth="1"/>
    <col min="16143" max="16384" width="9.4140625" style="701"/>
  </cols>
  <sheetData>
    <row r="1" spans="1:14" ht="17.100000000000001" customHeight="1">
      <c r="A1" s="696" t="s">
        <v>0</v>
      </c>
      <c r="B1" s="697"/>
      <c r="C1" s="697"/>
      <c r="D1" s="697"/>
      <c r="E1" s="697"/>
      <c r="F1" s="697"/>
      <c r="G1" s="697"/>
      <c r="H1" s="697"/>
      <c r="I1" s="697"/>
      <c r="J1" s="698" t="s">
        <v>1</v>
      </c>
      <c r="K1" s="699"/>
      <c r="L1" s="997" t="s">
        <v>839</v>
      </c>
      <c r="M1" s="998"/>
      <c r="N1" s="700"/>
    </row>
    <row r="2" spans="1:14" ht="17.100000000000001" customHeight="1">
      <c r="A2" s="702" t="s">
        <v>3</v>
      </c>
      <c r="B2" s="703"/>
      <c r="C2" s="703"/>
      <c r="D2" s="703"/>
      <c r="E2" s="703"/>
      <c r="F2" s="703"/>
      <c r="G2" s="703"/>
      <c r="H2" s="703"/>
      <c r="I2" s="703"/>
      <c r="J2" s="704" t="s">
        <v>4</v>
      </c>
      <c r="K2" s="705"/>
      <c r="L2" s="706" t="s">
        <v>5</v>
      </c>
      <c r="M2" s="707"/>
      <c r="N2" s="700"/>
    </row>
    <row r="3" spans="1:14" ht="15.9" customHeight="1">
      <c r="A3" s="708"/>
      <c r="B3" s="709"/>
      <c r="C3" s="709"/>
      <c r="D3" s="709"/>
      <c r="E3" s="709"/>
      <c r="F3" s="709"/>
      <c r="G3" s="709"/>
      <c r="H3" s="709"/>
      <c r="I3" s="709"/>
      <c r="J3" s="704" t="s">
        <v>6</v>
      </c>
      <c r="K3" s="705"/>
      <c r="L3" s="999" t="s">
        <v>840</v>
      </c>
      <c r="M3" s="1000"/>
      <c r="N3" s="700"/>
    </row>
    <row r="4" spans="1:14" ht="15.9" customHeight="1">
      <c r="A4" s="710"/>
      <c r="B4" s="709"/>
      <c r="C4" s="709"/>
      <c r="D4" s="709"/>
      <c r="E4" s="709"/>
      <c r="F4" s="709"/>
      <c r="G4" s="709"/>
      <c r="H4" s="709"/>
      <c r="I4" s="709"/>
      <c r="J4" s="704" t="s">
        <v>7</v>
      </c>
      <c r="K4" s="705"/>
      <c r="L4" s="1001" t="s">
        <v>8</v>
      </c>
      <c r="M4" s="1002"/>
      <c r="N4" s="700"/>
    </row>
    <row r="5" spans="1:14" ht="15.9" customHeight="1">
      <c r="A5" s="708"/>
      <c r="B5" s="709"/>
      <c r="C5" s="709"/>
      <c r="D5" s="709"/>
      <c r="E5" s="709"/>
      <c r="F5" s="709"/>
      <c r="G5" s="709"/>
      <c r="H5" s="709"/>
      <c r="I5" s="709"/>
      <c r="J5" s="704" t="s">
        <v>9</v>
      </c>
      <c r="K5" s="705"/>
      <c r="L5" s="1001">
        <v>0</v>
      </c>
      <c r="M5" s="1003"/>
      <c r="N5" s="700"/>
    </row>
    <row r="6" spans="1:14" ht="15.9" customHeight="1">
      <c r="A6" s="711" t="s">
        <v>685</v>
      </c>
      <c r="B6" s="709"/>
      <c r="C6" s="709"/>
      <c r="D6" s="709"/>
      <c r="E6" s="709"/>
      <c r="F6" s="709"/>
      <c r="G6" s="709"/>
      <c r="H6" s="709"/>
      <c r="I6" s="709"/>
      <c r="J6" s="704" t="s">
        <v>11</v>
      </c>
      <c r="K6" s="705"/>
      <c r="L6" s="1001" t="s">
        <v>841</v>
      </c>
      <c r="M6" s="1003"/>
      <c r="N6" s="700"/>
    </row>
    <row r="7" spans="1:14" ht="15.9" customHeight="1" thickBot="1">
      <c r="A7" s="712" t="s">
        <v>842</v>
      </c>
      <c r="B7" s="713"/>
      <c r="C7" s="713"/>
      <c r="D7" s="713"/>
      <c r="E7" s="713"/>
      <c r="F7" s="713"/>
      <c r="G7" s="713"/>
      <c r="H7" s="713"/>
      <c r="I7" s="713"/>
      <c r="J7" s="714" t="s">
        <v>14</v>
      </c>
      <c r="K7" s="715"/>
      <c r="L7" s="1004" t="s">
        <v>843</v>
      </c>
      <c r="M7" s="1005"/>
      <c r="N7" s="700"/>
    </row>
    <row r="8" spans="1:14" ht="6.75" customHeight="1">
      <c r="A8" s="649"/>
      <c r="B8" s="650"/>
      <c r="C8" s="650"/>
      <c r="D8" s="650"/>
      <c r="E8" s="650"/>
      <c r="F8" s="650"/>
      <c r="G8" s="650"/>
      <c r="H8" s="650"/>
      <c r="I8" s="650"/>
      <c r="J8" s="650"/>
      <c r="K8" s="651"/>
      <c r="L8" s="652"/>
      <c r="M8" s="653"/>
      <c r="N8" s="709"/>
    </row>
    <row r="9" spans="1:14" ht="12" customHeight="1">
      <c r="A9" s="514"/>
      <c r="B9" s="515" t="s">
        <v>688</v>
      </c>
      <c r="C9" s="516" t="s">
        <v>689</v>
      </c>
      <c r="D9" s="517"/>
      <c r="E9" s="517"/>
      <c r="F9" s="517"/>
      <c r="G9" s="517"/>
      <c r="H9" s="517"/>
      <c r="I9" s="517"/>
      <c r="J9" s="517"/>
      <c r="K9" s="518"/>
      <c r="L9" s="514"/>
      <c r="M9" s="517"/>
      <c r="N9" s="709"/>
    </row>
    <row r="10" spans="1:14" ht="12" customHeight="1">
      <c r="A10" s="514"/>
      <c r="B10" s="515" t="s">
        <v>19</v>
      </c>
      <c r="C10" s="519" t="s">
        <v>690</v>
      </c>
      <c r="D10" s="514"/>
      <c r="E10" s="514"/>
      <c r="F10" s="514"/>
      <c r="G10" s="514"/>
      <c r="H10" s="514"/>
      <c r="I10" s="514"/>
      <c r="J10" s="514"/>
      <c r="K10" s="514"/>
      <c r="L10" s="514"/>
      <c r="M10" s="514"/>
      <c r="N10" s="716"/>
    </row>
    <row r="11" spans="1:14" ht="6.75" customHeight="1" thickBot="1">
      <c r="A11" s="512"/>
      <c r="B11" s="512"/>
      <c r="C11" s="512"/>
      <c r="D11" s="512"/>
      <c r="E11" s="512"/>
      <c r="F11" s="512"/>
      <c r="G11" s="512"/>
      <c r="H11" s="512"/>
      <c r="I11" s="512"/>
      <c r="J11" s="512"/>
      <c r="K11" s="512"/>
      <c r="L11" s="512"/>
      <c r="M11" s="512"/>
      <c r="N11" s="716"/>
    </row>
    <row r="12" spans="1:14" ht="20.100000000000001" customHeight="1" thickBot="1">
      <c r="A12" s="520" t="s">
        <v>691</v>
      </c>
      <c r="B12" s="521"/>
      <c r="C12" s="521"/>
      <c r="D12" s="521"/>
      <c r="E12" s="521"/>
      <c r="F12" s="521"/>
      <c r="G12" s="521"/>
      <c r="H12" s="521"/>
      <c r="I12" s="521"/>
      <c r="J12" s="521"/>
      <c r="K12" s="521"/>
      <c r="L12" s="521"/>
      <c r="M12" s="522"/>
      <c r="N12" s="700"/>
    </row>
    <row r="13" spans="1:14" ht="12.9" customHeight="1" thickTop="1">
      <c r="A13" s="523"/>
      <c r="B13" s="515" t="s">
        <v>692</v>
      </c>
      <c r="C13" s="524">
        <v>350</v>
      </c>
      <c r="D13" s="514"/>
      <c r="E13" s="515" t="s">
        <v>693</v>
      </c>
      <c r="F13" s="524">
        <v>4000</v>
      </c>
      <c r="G13" s="514"/>
      <c r="H13" s="515" t="s">
        <v>694</v>
      </c>
      <c r="I13" s="524" t="s">
        <v>695</v>
      </c>
      <c r="J13" s="514"/>
      <c r="K13" s="514"/>
      <c r="L13" s="515" t="s">
        <v>696</v>
      </c>
      <c r="M13" s="525">
        <v>1800</v>
      </c>
      <c r="N13" s="700"/>
    </row>
    <row r="14" spans="1:14" ht="12.9" customHeight="1">
      <c r="A14" s="523"/>
      <c r="B14" s="515" t="s">
        <v>697</v>
      </c>
      <c r="C14" s="524" t="s">
        <v>89</v>
      </c>
      <c r="D14" s="514"/>
      <c r="E14" s="515" t="s">
        <v>698</v>
      </c>
      <c r="F14" s="524" t="s">
        <v>57</v>
      </c>
      <c r="G14" s="514"/>
      <c r="H14" s="515" t="s">
        <v>699</v>
      </c>
      <c r="I14" s="524">
        <v>44</v>
      </c>
      <c r="J14" s="514"/>
      <c r="K14" s="514"/>
      <c r="L14" s="515" t="s">
        <v>700</v>
      </c>
      <c r="M14" s="525">
        <v>1780</v>
      </c>
      <c r="N14" s="700"/>
    </row>
    <row r="15" spans="1:14" ht="12.9" customHeight="1">
      <c r="A15" s="523"/>
      <c r="B15" s="515" t="s">
        <v>701</v>
      </c>
      <c r="C15" s="524" t="s">
        <v>86</v>
      </c>
      <c r="D15" s="514"/>
      <c r="E15" s="515" t="s">
        <v>702</v>
      </c>
      <c r="F15" s="526" t="s">
        <v>703</v>
      </c>
      <c r="G15" s="514"/>
      <c r="H15" s="527" t="s">
        <v>704</v>
      </c>
      <c r="I15" s="524" t="s">
        <v>388</v>
      </c>
      <c r="J15" s="514"/>
      <c r="K15" s="514"/>
      <c r="L15" s="515" t="s">
        <v>705</v>
      </c>
      <c r="M15" s="525" t="s">
        <v>383</v>
      </c>
      <c r="N15" s="700"/>
    </row>
    <row r="16" spans="1:14" ht="12.9" customHeight="1">
      <c r="A16" s="523"/>
      <c r="B16" s="515" t="s">
        <v>706</v>
      </c>
      <c r="C16" s="524" t="s">
        <v>707</v>
      </c>
      <c r="D16" s="514"/>
      <c r="E16" s="515" t="s">
        <v>708</v>
      </c>
      <c r="F16" s="524" t="s">
        <v>630</v>
      </c>
      <c r="G16" s="514"/>
      <c r="H16" s="528" t="s">
        <v>709</v>
      </c>
      <c r="I16" s="526" t="s">
        <v>383</v>
      </c>
      <c r="J16" s="514"/>
      <c r="K16" s="514"/>
      <c r="L16" s="515" t="s">
        <v>710</v>
      </c>
      <c r="M16" s="525" t="s">
        <v>711</v>
      </c>
      <c r="N16" s="700"/>
    </row>
    <row r="17" spans="1:14" ht="12.9" customHeight="1">
      <c r="A17" s="523"/>
      <c r="B17" s="515" t="s">
        <v>712</v>
      </c>
      <c r="C17" s="516" t="s">
        <v>713</v>
      </c>
      <c r="D17" s="514"/>
      <c r="E17" s="515"/>
      <c r="F17" s="529"/>
      <c r="G17" s="514"/>
      <c r="H17" s="515" t="s">
        <v>714</v>
      </c>
      <c r="I17" s="526" t="s">
        <v>37</v>
      </c>
      <c r="J17" s="514"/>
      <c r="K17" s="514"/>
      <c r="L17" s="515"/>
      <c r="M17" s="530"/>
      <c r="N17" s="700"/>
    </row>
    <row r="18" spans="1:14" ht="12.9" customHeight="1" thickBot="1">
      <c r="A18" s="531"/>
      <c r="B18" s="532" t="s">
        <v>715</v>
      </c>
      <c r="C18" s="533" t="s">
        <v>37</v>
      </c>
      <c r="D18" s="534"/>
      <c r="E18" s="532" t="s">
        <v>716</v>
      </c>
      <c r="F18" s="533" t="s">
        <v>37</v>
      </c>
      <c r="G18" s="535"/>
      <c r="H18" s="532" t="s">
        <v>717</v>
      </c>
      <c r="I18" s="533" t="s">
        <v>37</v>
      </c>
      <c r="J18" s="534"/>
      <c r="K18" s="534"/>
      <c r="L18" s="534"/>
      <c r="M18" s="536"/>
      <c r="N18" s="700"/>
    </row>
    <row r="19" spans="1:14" ht="16.2" thickBot="1"/>
    <row r="20" spans="1:14" ht="16.2" thickBot="1">
      <c r="A20" s="991" t="s">
        <v>844</v>
      </c>
      <c r="B20" s="992"/>
      <c r="C20" s="992"/>
      <c r="D20" s="992"/>
      <c r="E20" s="992"/>
      <c r="F20" s="992"/>
      <c r="G20" s="992"/>
      <c r="H20" s="992"/>
      <c r="I20" s="992"/>
      <c r="J20" s="992"/>
      <c r="K20" s="992"/>
      <c r="L20" s="992"/>
      <c r="M20" s="993"/>
    </row>
    <row r="21" spans="1:14" ht="16.2" thickTop="1">
      <c r="A21" s="717"/>
      <c r="B21" s="718"/>
      <c r="C21" s="719"/>
      <c r="D21" s="720" t="s">
        <v>845</v>
      </c>
      <c r="E21" s="721" t="s">
        <v>846</v>
      </c>
      <c r="F21" s="722"/>
      <c r="G21" s="719"/>
      <c r="H21" s="719"/>
      <c r="I21" s="723" t="s">
        <v>847</v>
      </c>
      <c r="J21" s="724">
        <v>30.7</v>
      </c>
      <c r="K21" s="722"/>
      <c r="L21" s="722"/>
      <c r="M21" s="725"/>
    </row>
    <row r="22" spans="1:14" ht="16.2" thickBot="1">
      <c r="A22" s="726"/>
      <c r="B22" s="727"/>
      <c r="C22" s="727"/>
      <c r="D22" s="728" t="s">
        <v>848</v>
      </c>
      <c r="E22" s="729" t="s">
        <v>849</v>
      </c>
      <c r="F22" s="730"/>
      <c r="G22" s="727"/>
      <c r="H22" s="727"/>
      <c r="I22" s="727"/>
      <c r="J22" s="727"/>
      <c r="K22" s="727"/>
      <c r="L22" s="727"/>
      <c r="M22" s="731"/>
    </row>
    <row r="23" spans="1:14" ht="16.2" thickBot="1"/>
    <row r="24" spans="1:14" ht="16.2" thickBot="1">
      <c r="A24" s="991" t="s">
        <v>850</v>
      </c>
      <c r="B24" s="992"/>
      <c r="C24" s="992"/>
      <c r="D24" s="992"/>
      <c r="E24" s="992"/>
      <c r="F24" s="993"/>
      <c r="G24" s="732"/>
      <c r="H24" s="991" t="s">
        <v>851</v>
      </c>
      <c r="I24" s="992"/>
      <c r="J24" s="992"/>
      <c r="K24" s="992"/>
      <c r="L24" s="992"/>
      <c r="M24" s="993"/>
    </row>
    <row r="25" spans="1:14" ht="16.8" thickTop="1" thickBot="1">
      <c r="A25" s="733"/>
      <c r="B25" s="719"/>
      <c r="C25" s="723"/>
      <c r="D25" s="723"/>
      <c r="E25" s="723" t="s">
        <v>852</v>
      </c>
      <c r="F25" s="734">
        <v>1033</v>
      </c>
      <c r="G25" s="735"/>
      <c r="H25" s="719"/>
      <c r="I25" s="719"/>
      <c r="J25" s="736" t="s">
        <v>853</v>
      </c>
      <c r="K25" s="994" t="s">
        <v>331</v>
      </c>
      <c r="L25" s="995"/>
      <c r="M25" s="996"/>
    </row>
    <row r="26" spans="1:14" ht="16.8" thickTop="1" thickBot="1">
      <c r="A26" s="737"/>
      <c r="D26" s="738"/>
      <c r="E26" s="738" t="s">
        <v>854</v>
      </c>
      <c r="F26" s="739">
        <v>170</v>
      </c>
      <c r="G26" s="740"/>
      <c r="J26" s="741" t="s">
        <v>855</v>
      </c>
      <c r="K26" s="994" t="s">
        <v>331</v>
      </c>
      <c r="L26" s="995"/>
      <c r="M26" s="996"/>
    </row>
    <row r="27" spans="1:14" ht="16.2" thickTop="1">
      <c r="A27" s="737"/>
      <c r="D27" s="738"/>
      <c r="E27" s="738" t="s">
        <v>856</v>
      </c>
      <c r="F27" s="739">
        <v>170</v>
      </c>
      <c r="G27" s="740"/>
      <c r="J27" s="741" t="s">
        <v>857</v>
      </c>
      <c r="K27" s="994" t="s">
        <v>331</v>
      </c>
      <c r="L27" s="995"/>
      <c r="M27" s="996"/>
    </row>
    <row r="28" spans="1:14" ht="16.2" thickBot="1">
      <c r="A28" s="726"/>
      <c r="B28" s="727"/>
      <c r="C28" s="727"/>
      <c r="D28" s="728"/>
      <c r="E28" s="728" t="s">
        <v>858</v>
      </c>
      <c r="F28" s="742">
        <v>270</v>
      </c>
      <c r="G28" s="740"/>
      <c r="H28" s="727"/>
      <c r="I28" s="727"/>
      <c r="J28" s="743"/>
      <c r="K28" s="981"/>
      <c r="L28" s="981"/>
      <c r="M28" s="982"/>
    </row>
    <row r="29" spans="1:14" ht="16.2" thickBot="1"/>
    <row r="30" spans="1:14" ht="16.2" thickBot="1">
      <c r="A30" s="963" t="s">
        <v>859</v>
      </c>
      <c r="B30" s="964"/>
      <c r="C30" s="964"/>
      <c r="D30" s="964"/>
      <c r="E30" s="964"/>
      <c r="F30" s="964"/>
      <c r="G30" s="964"/>
      <c r="H30" s="964"/>
      <c r="I30" s="964"/>
      <c r="J30" s="964"/>
      <c r="K30" s="964"/>
      <c r="L30" s="964"/>
      <c r="M30" s="965"/>
    </row>
    <row r="31" spans="1:14" ht="16.2" thickTop="1">
      <c r="A31" s="983" t="s">
        <v>860</v>
      </c>
      <c r="B31" s="984"/>
      <c r="C31" s="984"/>
      <c r="D31" s="984"/>
      <c r="E31" s="984"/>
      <c r="F31" s="985"/>
      <c r="G31" s="744"/>
      <c r="H31" s="986" t="s">
        <v>861</v>
      </c>
      <c r="I31" s="984"/>
      <c r="J31" s="984"/>
      <c r="K31" s="984"/>
      <c r="L31" s="984"/>
      <c r="M31" s="987"/>
    </row>
    <row r="32" spans="1:14">
      <c r="A32" s="737"/>
      <c r="B32" s="745"/>
      <c r="C32" s="738" t="s">
        <v>862</v>
      </c>
      <c r="D32" s="988" t="s">
        <v>863</v>
      </c>
      <c r="E32" s="988"/>
      <c r="F32" s="989"/>
      <c r="G32" s="746"/>
      <c r="J32" s="738" t="s">
        <v>862</v>
      </c>
      <c r="K32" s="988" t="s">
        <v>864</v>
      </c>
      <c r="L32" s="988"/>
      <c r="M32" s="990"/>
    </row>
    <row r="33" spans="1:23">
      <c r="A33" s="737"/>
      <c r="B33" s="745"/>
      <c r="C33" s="738" t="s">
        <v>865</v>
      </c>
      <c r="D33" s="975" t="s">
        <v>866</v>
      </c>
      <c r="E33" s="975"/>
      <c r="F33" s="976"/>
      <c r="G33" s="746"/>
      <c r="J33" s="738" t="s">
        <v>865</v>
      </c>
      <c r="K33" s="975" t="s">
        <v>867</v>
      </c>
      <c r="L33" s="975"/>
      <c r="M33" s="977"/>
    </row>
    <row r="34" spans="1:23">
      <c r="A34" s="737"/>
      <c r="B34" s="745"/>
      <c r="C34" s="738" t="s">
        <v>868</v>
      </c>
      <c r="D34" s="975" t="s">
        <v>869</v>
      </c>
      <c r="E34" s="975"/>
      <c r="F34" s="976"/>
      <c r="G34" s="746"/>
      <c r="J34" s="738" t="s">
        <v>868</v>
      </c>
      <c r="K34" s="975" t="s">
        <v>870</v>
      </c>
      <c r="L34" s="975"/>
      <c r="M34" s="977"/>
    </row>
    <row r="35" spans="1:23" ht="16.2" thickBot="1">
      <c r="A35" s="726"/>
      <c r="B35" s="747"/>
      <c r="C35" s="728" t="s">
        <v>871</v>
      </c>
      <c r="D35" s="978" t="s">
        <v>872</v>
      </c>
      <c r="E35" s="978"/>
      <c r="F35" s="979"/>
      <c r="G35" s="746"/>
      <c r="H35" s="727"/>
      <c r="I35" s="727"/>
      <c r="J35" s="728" t="s">
        <v>871</v>
      </c>
      <c r="K35" s="978" t="s">
        <v>873</v>
      </c>
      <c r="L35" s="978"/>
      <c r="M35" s="980"/>
    </row>
    <row r="36" spans="1:23" ht="16.2" thickBot="1">
      <c r="P36" s="582"/>
      <c r="Q36" s="582"/>
      <c r="R36" s="748"/>
      <c r="S36" s="748"/>
      <c r="T36" s="748"/>
    </row>
    <row r="37" spans="1:23" ht="16.2" thickBot="1">
      <c r="A37" s="963" t="s">
        <v>874</v>
      </c>
      <c r="B37" s="964"/>
      <c r="C37" s="964"/>
      <c r="D37" s="964"/>
      <c r="E37" s="964"/>
      <c r="F37" s="964"/>
      <c r="G37" s="964"/>
      <c r="H37" s="964"/>
      <c r="I37" s="964"/>
      <c r="J37" s="964"/>
      <c r="K37" s="964"/>
      <c r="L37" s="964"/>
      <c r="M37" s="965"/>
      <c r="P37" s="582"/>
      <c r="Q37" s="582"/>
      <c r="R37" s="582"/>
      <c r="S37" s="582"/>
      <c r="T37" s="582"/>
      <c r="U37" s="748"/>
    </row>
    <row r="38" spans="1:23" ht="16.2" thickTop="1">
      <c r="A38" s="733"/>
      <c r="B38" s="734"/>
      <c r="C38" s="736" t="s">
        <v>875</v>
      </c>
      <c r="D38" s="966" t="s">
        <v>876</v>
      </c>
      <c r="E38" s="966"/>
      <c r="F38" s="966"/>
      <c r="G38" s="966"/>
      <c r="H38" s="719"/>
      <c r="I38" s="719"/>
      <c r="J38" s="723" t="s">
        <v>877</v>
      </c>
      <c r="K38" s="967" t="s">
        <v>878</v>
      </c>
      <c r="L38" s="967"/>
      <c r="M38" s="968"/>
      <c r="O38" s="749"/>
      <c r="P38" s="582"/>
      <c r="Q38" s="582"/>
      <c r="R38" s="582"/>
      <c r="S38" s="582"/>
      <c r="T38" s="582"/>
      <c r="U38" s="748"/>
    </row>
    <row r="39" spans="1:23" ht="16.2" thickBot="1">
      <c r="A39" s="726"/>
      <c r="B39" s="727"/>
      <c r="C39" s="742" t="s">
        <v>879</v>
      </c>
      <c r="D39" s="969" t="s">
        <v>880</v>
      </c>
      <c r="E39" s="969"/>
      <c r="F39" s="969"/>
      <c r="G39" s="969"/>
      <c r="H39" s="727"/>
      <c r="I39" s="727"/>
      <c r="J39" s="728" t="s">
        <v>881</v>
      </c>
      <c r="K39" s="970" t="s">
        <v>882</v>
      </c>
      <c r="L39" s="970"/>
      <c r="M39" s="971"/>
      <c r="O39" s="749"/>
      <c r="P39" s="582"/>
      <c r="Q39" s="582"/>
      <c r="R39" s="582"/>
      <c r="S39" s="582"/>
      <c r="T39" s="582"/>
      <c r="U39" s="582"/>
      <c r="V39" s="582"/>
      <c r="W39" s="582"/>
    </row>
    <row r="40" spans="1:23" ht="16.2" thickBot="1">
      <c r="A40" s="750"/>
      <c r="B40" s="750"/>
      <c r="C40" s="750"/>
      <c r="D40" s="972" t="s">
        <v>883</v>
      </c>
      <c r="E40" s="973"/>
      <c r="F40" s="973"/>
      <c r="G40" s="973"/>
      <c r="H40" s="973"/>
      <c r="I40" s="973"/>
      <c r="J40" s="974"/>
      <c r="K40" s="750"/>
      <c r="L40" s="750"/>
      <c r="M40" s="750"/>
      <c r="O40" s="582"/>
      <c r="P40" s="582"/>
      <c r="Q40" s="582"/>
      <c r="R40" s="582"/>
      <c r="S40" s="582"/>
      <c r="T40" s="582"/>
      <c r="U40" s="582"/>
      <c r="V40" s="582"/>
      <c r="W40" s="582"/>
    </row>
    <row r="41" spans="1:23">
      <c r="D41" s="953" t="s">
        <v>884</v>
      </c>
      <c r="E41" s="954"/>
      <c r="F41" s="955"/>
      <c r="G41" s="751" t="s">
        <v>885</v>
      </c>
      <c r="H41" s="752" t="s">
        <v>886</v>
      </c>
      <c r="I41" s="753" t="s">
        <v>887</v>
      </c>
      <c r="J41" s="754" t="s">
        <v>888</v>
      </c>
      <c r="M41" s="582"/>
      <c r="N41" s="582"/>
      <c r="O41" s="582"/>
      <c r="P41" s="582"/>
      <c r="Q41" s="582"/>
      <c r="R41" s="582"/>
      <c r="S41" s="582"/>
      <c r="T41" s="582"/>
      <c r="U41" s="582"/>
      <c r="V41" s="582"/>
      <c r="W41" s="582"/>
    </row>
    <row r="42" spans="1:23">
      <c r="D42" s="956" t="s">
        <v>889</v>
      </c>
      <c r="E42" s="957"/>
      <c r="F42" s="958"/>
      <c r="G42" s="755">
        <v>22.8</v>
      </c>
      <c r="H42" s="756">
        <v>33</v>
      </c>
      <c r="I42" s="756">
        <v>44</v>
      </c>
      <c r="J42" s="757" t="s">
        <v>37</v>
      </c>
      <c r="M42" s="582"/>
      <c r="N42" s="582"/>
      <c r="O42" s="582"/>
      <c r="P42" s="582"/>
      <c r="Q42" s="582"/>
      <c r="R42" s="582"/>
      <c r="S42" s="582"/>
      <c r="T42" s="582"/>
      <c r="U42" s="582"/>
      <c r="V42" s="582"/>
      <c r="W42" s="582"/>
    </row>
    <row r="43" spans="1:23">
      <c r="D43" s="956" t="s">
        <v>890</v>
      </c>
      <c r="E43" s="957"/>
      <c r="F43" s="958"/>
      <c r="G43" s="755">
        <v>92.4</v>
      </c>
      <c r="H43" s="756">
        <v>93.4</v>
      </c>
      <c r="I43" s="756">
        <v>93.5</v>
      </c>
      <c r="J43" s="757" t="s">
        <v>37</v>
      </c>
      <c r="M43" s="582"/>
      <c r="N43" s="582"/>
      <c r="O43" s="582"/>
      <c r="P43" s="582"/>
      <c r="Q43" s="582"/>
      <c r="R43" s="582"/>
      <c r="S43" s="582"/>
      <c r="T43" s="582"/>
      <c r="U43" s="582"/>
      <c r="V43" s="582"/>
      <c r="W43" s="582"/>
    </row>
    <row r="44" spans="1:23">
      <c r="D44" s="956" t="s">
        <v>891</v>
      </c>
      <c r="E44" s="957"/>
      <c r="F44" s="958"/>
      <c r="G44" s="755">
        <v>89.2</v>
      </c>
      <c r="H44" s="756">
        <v>92</v>
      </c>
      <c r="I44" s="756">
        <v>92.4</v>
      </c>
      <c r="J44" s="757" t="s">
        <v>37</v>
      </c>
      <c r="M44" s="582"/>
      <c r="N44" s="582"/>
      <c r="O44" s="582"/>
      <c r="P44" s="582"/>
      <c r="Q44" s="582"/>
      <c r="R44" s="582"/>
      <c r="S44" s="582"/>
      <c r="T44" s="582"/>
      <c r="U44" s="582"/>
      <c r="V44" s="582"/>
      <c r="W44" s="582"/>
    </row>
    <row r="45" spans="1:23" ht="16.2" thickBot="1">
      <c r="D45" s="959" t="s">
        <v>892</v>
      </c>
      <c r="E45" s="960"/>
      <c r="F45" s="961"/>
      <c r="G45" s="758" t="s">
        <v>37</v>
      </c>
      <c r="H45" s="759" t="s">
        <v>37</v>
      </c>
      <c r="I45" s="759" t="s">
        <v>37</v>
      </c>
      <c r="J45" s="760" t="s">
        <v>37</v>
      </c>
      <c r="M45" s="582"/>
      <c r="N45" s="582"/>
      <c r="O45" s="582"/>
      <c r="P45" s="582"/>
      <c r="Q45" s="582"/>
      <c r="R45" s="582"/>
      <c r="S45" s="582"/>
      <c r="T45" s="582"/>
      <c r="U45" s="582"/>
      <c r="V45" s="582"/>
      <c r="W45" s="582"/>
    </row>
    <row r="46" spans="1:23">
      <c r="A46" s="962" t="s">
        <v>893</v>
      </c>
      <c r="B46" s="962"/>
      <c r="C46" s="962"/>
      <c r="D46" s="962"/>
      <c r="E46" s="962"/>
      <c r="F46" s="962"/>
      <c r="G46" s="962"/>
      <c r="H46" s="962"/>
      <c r="I46" s="962"/>
      <c r="J46" s="962"/>
      <c r="K46" s="962"/>
      <c r="L46" s="962"/>
      <c r="M46" s="962"/>
      <c r="O46" s="582"/>
      <c r="P46" s="582"/>
      <c r="Q46" s="582"/>
      <c r="R46" s="582"/>
      <c r="S46" s="582"/>
      <c r="T46" s="582"/>
      <c r="U46" s="582"/>
      <c r="V46" s="582"/>
      <c r="W46" s="582"/>
    </row>
    <row r="47" spans="1:23">
      <c r="O47" s="582"/>
      <c r="P47" s="582"/>
      <c r="Q47" s="582"/>
      <c r="R47" s="582"/>
      <c r="S47" s="582"/>
      <c r="T47" s="582"/>
      <c r="U47" s="582"/>
      <c r="V47" s="582"/>
      <c r="W47" s="582"/>
    </row>
    <row r="48" spans="1:23">
      <c r="J48" s="761" t="s">
        <v>64</v>
      </c>
      <c r="K48" s="951" t="s">
        <v>65</v>
      </c>
      <c r="L48" s="951"/>
      <c r="M48" s="951"/>
      <c r="O48" s="582"/>
      <c r="P48" s="582"/>
      <c r="Q48" s="582"/>
      <c r="R48" s="582"/>
      <c r="S48" s="582"/>
      <c r="T48" s="582"/>
      <c r="U48" s="582"/>
      <c r="V48" s="582"/>
      <c r="W48" s="582"/>
    </row>
    <row r="49" spans="1:13">
      <c r="K49" s="762"/>
      <c r="L49" s="762"/>
      <c r="M49" s="762"/>
    </row>
    <row r="50" spans="1:13">
      <c r="J50" s="761" t="s">
        <v>66</v>
      </c>
      <c r="K50" s="952">
        <v>43977</v>
      </c>
      <c r="L50" s="952"/>
      <c r="M50" s="952"/>
    </row>
    <row r="52" spans="1:13">
      <c r="A52" s="763"/>
    </row>
    <row r="53" spans="1:13">
      <c r="A53" s="764" t="s">
        <v>894</v>
      </c>
    </row>
    <row r="54" spans="1:13">
      <c r="A54" s="765"/>
    </row>
  </sheetData>
  <mergeCells count="38">
    <mergeCell ref="K27:M27"/>
    <mergeCell ref="L1:M1"/>
    <mergeCell ref="L3:M3"/>
    <mergeCell ref="L4:M4"/>
    <mergeCell ref="L5:M5"/>
    <mergeCell ref="L6:M6"/>
    <mergeCell ref="L7:M7"/>
    <mergeCell ref="A20:M20"/>
    <mergeCell ref="A24:F24"/>
    <mergeCell ref="H24:M24"/>
    <mergeCell ref="K25:M25"/>
    <mergeCell ref="K26:M26"/>
    <mergeCell ref="K28:M28"/>
    <mergeCell ref="A30:M30"/>
    <mergeCell ref="A31:F31"/>
    <mergeCell ref="H31:M31"/>
    <mergeCell ref="D32:F32"/>
    <mergeCell ref="K32:M32"/>
    <mergeCell ref="D40:J40"/>
    <mergeCell ref="D33:F33"/>
    <mergeCell ref="K33:M33"/>
    <mergeCell ref="D34:F34"/>
    <mergeCell ref="K34:M34"/>
    <mergeCell ref="D35:F35"/>
    <mergeCell ref="K35:M35"/>
    <mergeCell ref="A37:M37"/>
    <mergeCell ref="D38:G38"/>
    <mergeCell ref="K38:M38"/>
    <mergeCell ref="D39:G39"/>
    <mergeCell ref="K39:M39"/>
    <mergeCell ref="K48:M48"/>
    <mergeCell ref="K50:M50"/>
    <mergeCell ref="D41:F41"/>
    <mergeCell ref="D42:F42"/>
    <mergeCell ref="D43:F43"/>
    <mergeCell ref="D44:F44"/>
    <mergeCell ref="D45:F45"/>
    <mergeCell ref="A46:M46"/>
  </mergeCells>
  <printOptions horizontalCentered="1" gridLinesSet="0"/>
  <pageMargins left="0.5" right="0.5" top="0.5" bottom="0.5" header="0.5" footer="0.5"/>
  <pageSetup scale="89" orientation="portrait" horizontalDpi="4294967292"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89B7C-6ACE-45C6-ACE3-1E3900F46634}">
  <sheetPr syncVertical="1" syncRef="A1" transitionEvaluation="1">
    <pageSetUpPr fitToPage="1"/>
  </sheetPr>
  <dimension ref="A1:Z67"/>
  <sheetViews>
    <sheetView showGridLines="0" zoomScaleNormal="100" workbookViewId="0">
      <selection activeCell="K16" sqref="K16"/>
    </sheetView>
  </sheetViews>
  <sheetFormatPr defaultColWidth="7.25" defaultRowHeight="12.6"/>
  <cols>
    <col min="1" max="1" width="5.9140625" style="7" customWidth="1"/>
    <col min="2" max="2" width="4.4140625" style="7" customWidth="1"/>
    <col min="3" max="3" width="5.6640625" style="7" customWidth="1"/>
    <col min="4" max="12" width="4.9140625" style="7" customWidth="1"/>
    <col min="13" max="13" width="11.75" style="7" customWidth="1"/>
    <col min="14" max="14" width="4.83203125" style="7" customWidth="1"/>
    <col min="15" max="15" width="6.25" style="7" customWidth="1"/>
    <col min="16" max="16" width="5.9140625" style="7" hidden="1" customWidth="1"/>
    <col min="17" max="17" width="3.75" style="7" hidden="1" customWidth="1"/>
    <col min="18" max="18" width="3.83203125" style="7" hidden="1" customWidth="1"/>
    <col min="19" max="19" width="3.25" style="7" hidden="1" customWidth="1"/>
    <col min="20" max="20" width="3" style="7" hidden="1" customWidth="1"/>
    <col min="21" max="21" width="4.58203125" style="7" hidden="1" customWidth="1"/>
    <col min="22" max="256" width="7.25" style="7"/>
    <col min="257" max="257" width="5.9140625" style="7" customWidth="1"/>
    <col min="258" max="258" width="4.4140625" style="7" customWidth="1"/>
    <col min="259" max="259" width="5.6640625" style="7" customWidth="1"/>
    <col min="260" max="268" width="4.9140625" style="7" customWidth="1"/>
    <col min="269" max="269" width="11.75" style="7" customWidth="1"/>
    <col min="270" max="270" width="4.83203125" style="7" customWidth="1"/>
    <col min="271" max="271" width="6.25" style="7" customWidth="1"/>
    <col min="272" max="277" width="0" style="7" hidden="1" customWidth="1"/>
    <col min="278" max="512" width="7.25" style="7"/>
    <col min="513" max="513" width="5.9140625" style="7" customWidth="1"/>
    <col min="514" max="514" width="4.4140625" style="7" customWidth="1"/>
    <col min="515" max="515" width="5.6640625" style="7" customWidth="1"/>
    <col min="516" max="524" width="4.9140625" style="7" customWidth="1"/>
    <col min="525" max="525" width="11.75" style="7" customWidth="1"/>
    <col min="526" max="526" width="4.83203125" style="7" customWidth="1"/>
    <col min="527" max="527" width="6.25" style="7" customWidth="1"/>
    <col min="528" max="533" width="0" style="7" hidden="1" customWidth="1"/>
    <col min="534" max="768" width="7.25" style="7"/>
    <col min="769" max="769" width="5.9140625" style="7" customWidth="1"/>
    <col min="770" max="770" width="4.4140625" style="7" customWidth="1"/>
    <col min="771" max="771" width="5.6640625" style="7" customWidth="1"/>
    <col min="772" max="780" width="4.9140625" style="7" customWidth="1"/>
    <col min="781" max="781" width="11.75" style="7" customWidth="1"/>
    <col min="782" max="782" width="4.83203125" style="7" customWidth="1"/>
    <col min="783" max="783" width="6.25" style="7" customWidth="1"/>
    <col min="784" max="789" width="0" style="7" hidden="1" customWidth="1"/>
    <col min="790" max="1024" width="7.25" style="7"/>
    <col min="1025" max="1025" width="5.9140625" style="7" customWidth="1"/>
    <col min="1026" max="1026" width="4.4140625" style="7" customWidth="1"/>
    <col min="1027" max="1027" width="5.6640625" style="7" customWidth="1"/>
    <col min="1028" max="1036" width="4.9140625" style="7" customWidth="1"/>
    <col min="1037" max="1037" width="11.75" style="7" customWidth="1"/>
    <col min="1038" max="1038" width="4.83203125" style="7" customWidth="1"/>
    <col min="1039" max="1039" width="6.25" style="7" customWidth="1"/>
    <col min="1040" max="1045" width="0" style="7" hidden="1" customWidth="1"/>
    <col min="1046" max="1280" width="7.25" style="7"/>
    <col min="1281" max="1281" width="5.9140625" style="7" customWidth="1"/>
    <col min="1282" max="1282" width="4.4140625" style="7" customWidth="1"/>
    <col min="1283" max="1283" width="5.6640625" style="7" customWidth="1"/>
    <col min="1284" max="1292" width="4.9140625" style="7" customWidth="1"/>
    <col min="1293" max="1293" width="11.75" style="7" customWidth="1"/>
    <col min="1294" max="1294" width="4.83203125" style="7" customWidth="1"/>
    <col min="1295" max="1295" width="6.25" style="7" customWidth="1"/>
    <col min="1296" max="1301" width="0" style="7" hidden="1" customWidth="1"/>
    <col min="1302" max="1536" width="7.25" style="7"/>
    <col min="1537" max="1537" width="5.9140625" style="7" customWidth="1"/>
    <col min="1538" max="1538" width="4.4140625" style="7" customWidth="1"/>
    <col min="1539" max="1539" width="5.6640625" style="7" customWidth="1"/>
    <col min="1540" max="1548" width="4.9140625" style="7" customWidth="1"/>
    <col min="1549" max="1549" width="11.75" style="7" customWidth="1"/>
    <col min="1550" max="1550" width="4.83203125" style="7" customWidth="1"/>
    <col min="1551" max="1551" width="6.25" style="7" customWidth="1"/>
    <col min="1552" max="1557" width="0" style="7" hidden="1" customWidth="1"/>
    <col min="1558" max="1792" width="7.25" style="7"/>
    <col min="1793" max="1793" width="5.9140625" style="7" customWidth="1"/>
    <col min="1794" max="1794" width="4.4140625" style="7" customWidth="1"/>
    <col min="1795" max="1795" width="5.6640625" style="7" customWidth="1"/>
    <col min="1796" max="1804" width="4.9140625" style="7" customWidth="1"/>
    <col min="1805" max="1805" width="11.75" style="7" customWidth="1"/>
    <col min="1806" max="1806" width="4.83203125" style="7" customWidth="1"/>
    <col min="1807" max="1807" width="6.25" style="7" customWidth="1"/>
    <col min="1808" max="1813" width="0" style="7" hidden="1" customWidth="1"/>
    <col min="1814" max="2048" width="7.25" style="7"/>
    <col min="2049" max="2049" width="5.9140625" style="7" customWidth="1"/>
    <col min="2050" max="2050" width="4.4140625" style="7" customWidth="1"/>
    <col min="2051" max="2051" width="5.6640625" style="7" customWidth="1"/>
    <col min="2052" max="2060" width="4.9140625" style="7" customWidth="1"/>
    <col min="2061" max="2061" width="11.75" style="7" customWidth="1"/>
    <col min="2062" max="2062" width="4.83203125" style="7" customWidth="1"/>
    <col min="2063" max="2063" width="6.25" style="7" customWidth="1"/>
    <col min="2064" max="2069" width="0" style="7" hidden="1" customWidth="1"/>
    <col min="2070" max="2304" width="7.25" style="7"/>
    <col min="2305" max="2305" width="5.9140625" style="7" customWidth="1"/>
    <col min="2306" max="2306" width="4.4140625" style="7" customWidth="1"/>
    <col min="2307" max="2307" width="5.6640625" style="7" customWidth="1"/>
    <col min="2308" max="2316" width="4.9140625" style="7" customWidth="1"/>
    <col min="2317" max="2317" width="11.75" style="7" customWidth="1"/>
    <col min="2318" max="2318" width="4.83203125" style="7" customWidth="1"/>
    <col min="2319" max="2319" width="6.25" style="7" customWidth="1"/>
    <col min="2320" max="2325" width="0" style="7" hidden="1" customWidth="1"/>
    <col min="2326" max="2560" width="7.25" style="7"/>
    <col min="2561" max="2561" width="5.9140625" style="7" customWidth="1"/>
    <col min="2562" max="2562" width="4.4140625" style="7" customWidth="1"/>
    <col min="2563" max="2563" width="5.6640625" style="7" customWidth="1"/>
    <col min="2564" max="2572" width="4.9140625" style="7" customWidth="1"/>
    <col min="2573" max="2573" width="11.75" style="7" customWidth="1"/>
    <col min="2574" max="2574" width="4.83203125" style="7" customWidth="1"/>
    <col min="2575" max="2575" width="6.25" style="7" customWidth="1"/>
    <col min="2576" max="2581" width="0" style="7" hidden="1" customWidth="1"/>
    <col min="2582" max="2816" width="7.25" style="7"/>
    <col min="2817" max="2817" width="5.9140625" style="7" customWidth="1"/>
    <col min="2818" max="2818" width="4.4140625" style="7" customWidth="1"/>
    <col min="2819" max="2819" width="5.6640625" style="7" customWidth="1"/>
    <col min="2820" max="2828" width="4.9140625" style="7" customWidth="1"/>
    <col min="2829" max="2829" width="11.75" style="7" customWidth="1"/>
    <col min="2830" max="2830" width="4.83203125" style="7" customWidth="1"/>
    <col min="2831" max="2831" width="6.25" style="7" customWidth="1"/>
    <col min="2832" max="2837" width="0" style="7" hidden="1" customWidth="1"/>
    <col min="2838" max="3072" width="7.25" style="7"/>
    <col min="3073" max="3073" width="5.9140625" style="7" customWidth="1"/>
    <col min="3074" max="3074" width="4.4140625" style="7" customWidth="1"/>
    <col min="3075" max="3075" width="5.6640625" style="7" customWidth="1"/>
    <col min="3076" max="3084" width="4.9140625" style="7" customWidth="1"/>
    <col min="3085" max="3085" width="11.75" style="7" customWidth="1"/>
    <col min="3086" max="3086" width="4.83203125" style="7" customWidth="1"/>
    <col min="3087" max="3087" width="6.25" style="7" customWidth="1"/>
    <col min="3088" max="3093" width="0" style="7" hidden="1" customWidth="1"/>
    <col min="3094" max="3328" width="7.25" style="7"/>
    <col min="3329" max="3329" width="5.9140625" style="7" customWidth="1"/>
    <col min="3330" max="3330" width="4.4140625" style="7" customWidth="1"/>
    <col min="3331" max="3331" width="5.6640625" style="7" customWidth="1"/>
    <col min="3332" max="3340" width="4.9140625" style="7" customWidth="1"/>
    <col min="3341" max="3341" width="11.75" style="7" customWidth="1"/>
    <col min="3342" max="3342" width="4.83203125" style="7" customWidth="1"/>
    <col min="3343" max="3343" width="6.25" style="7" customWidth="1"/>
    <col min="3344" max="3349" width="0" style="7" hidden="1" customWidth="1"/>
    <col min="3350" max="3584" width="7.25" style="7"/>
    <col min="3585" max="3585" width="5.9140625" style="7" customWidth="1"/>
    <col min="3586" max="3586" width="4.4140625" style="7" customWidth="1"/>
    <col min="3587" max="3587" width="5.6640625" style="7" customWidth="1"/>
    <col min="3588" max="3596" width="4.9140625" style="7" customWidth="1"/>
    <col min="3597" max="3597" width="11.75" style="7" customWidth="1"/>
    <col min="3598" max="3598" width="4.83203125" style="7" customWidth="1"/>
    <col min="3599" max="3599" width="6.25" style="7" customWidth="1"/>
    <col min="3600" max="3605" width="0" style="7" hidden="1" customWidth="1"/>
    <col min="3606" max="3840" width="7.25" style="7"/>
    <col min="3841" max="3841" width="5.9140625" style="7" customWidth="1"/>
    <col min="3842" max="3842" width="4.4140625" style="7" customWidth="1"/>
    <col min="3843" max="3843" width="5.6640625" style="7" customWidth="1"/>
    <col min="3844" max="3852" width="4.9140625" style="7" customWidth="1"/>
    <col min="3853" max="3853" width="11.75" style="7" customWidth="1"/>
    <col min="3854" max="3854" width="4.83203125" style="7" customWidth="1"/>
    <col min="3855" max="3855" width="6.25" style="7" customWidth="1"/>
    <col min="3856" max="3861" width="0" style="7" hidden="1" customWidth="1"/>
    <col min="3862" max="4096" width="7.25" style="7"/>
    <col min="4097" max="4097" width="5.9140625" style="7" customWidth="1"/>
    <col min="4098" max="4098" width="4.4140625" style="7" customWidth="1"/>
    <col min="4099" max="4099" width="5.6640625" style="7" customWidth="1"/>
    <col min="4100" max="4108" width="4.9140625" style="7" customWidth="1"/>
    <col min="4109" max="4109" width="11.75" style="7" customWidth="1"/>
    <col min="4110" max="4110" width="4.83203125" style="7" customWidth="1"/>
    <col min="4111" max="4111" width="6.25" style="7" customWidth="1"/>
    <col min="4112" max="4117" width="0" style="7" hidden="1" customWidth="1"/>
    <col min="4118" max="4352" width="7.25" style="7"/>
    <col min="4353" max="4353" width="5.9140625" style="7" customWidth="1"/>
    <col min="4354" max="4354" width="4.4140625" style="7" customWidth="1"/>
    <col min="4355" max="4355" width="5.6640625" style="7" customWidth="1"/>
    <col min="4356" max="4364" width="4.9140625" style="7" customWidth="1"/>
    <col min="4365" max="4365" width="11.75" style="7" customWidth="1"/>
    <col min="4366" max="4366" width="4.83203125" style="7" customWidth="1"/>
    <col min="4367" max="4367" width="6.25" style="7" customWidth="1"/>
    <col min="4368" max="4373" width="0" style="7" hidden="1" customWidth="1"/>
    <col min="4374" max="4608" width="7.25" style="7"/>
    <col min="4609" max="4609" width="5.9140625" style="7" customWidth="1"/>
    <col min="4610" max="4610" width="4.4140625" style="7" customWidth="1"/>
    <col min="4611" max="4611" width="5.6640625" style="7" customWidth="1"/>
    <col min="4612" max="4620" width="4.9140625" style="7" customWidth="1"/>
    <col min="4621" max="4621" width="11.75" style="7" customWidth="1"/>
    <col min="4622" max="4622" width="4.83203125" style="7" customWidth="1"/>
    <col min="4623" max="4623" width="6.25" style="7" customWidth="1"/>
    <col min="4624" max="4629" width="0" style="7" hidden="1" customWidth="1"/>
    <col min="4630" max="4864" width="7.25" style="7"/>
    <col min="4865" max="4865" width="5.9140625" style="7" customWidth="1"/>
    <col min="4866" max="4866" width="4.4140625" style="7" customWidth="1"/>
    <col min="4867" max="4867" width="5.6640625" style="7" customWidth="1"/>
    <col min="4868" max="4876" width="4.9140625" style="7" customWidth="1"/>
    <col min="4877" max="4877" width="11.75" style="7" customWidth="1"/>
    <col min="4878" max="4878" width="4.83203125" style="7" customWidth="1"/>
    <col min="4879" max="4879" width="6.25" style="7" customWidth="1"/>
    <col min="4880" max="4885" width="0" style="7" hidden="1" customWidth="1"/>
    <col min="4886" max="5120" width="7.25" style="7"/>
    <col min="5121" max="5121" width="5.9140625" style="7" customWidth="1"/>
    <col min="5122" max="5122" width="4.4140625" style="7" customWidth="1"/>
    <col min="5123" max="5123" width="5.6640625" style="7" customWidth="1"/>
    <col min="5124" max="5132" width="4.9140625" style="7" customWidth="1"/>
    <col min="5133" max="5133" width="11.75" style="7" customWidth="1"/>
    <col min="5134" max="5134" width="4.83203125" style="7" customWidth="1"/>
    <col min="5135" max="5135" width="6.25" style="7" customWidth="1"/>
    <col min="5136" max="5141" width="0" style="7" hidden="1" customWidth="1"/>
    <col min="5142" max="5376" width="7.25" style="7"/>
    <col min="5377" max="5377" width="5.9140625" style="7" customWidth="1"/>
    <col min="5378" max="5378" width="4.4140625" style="7" customWidth="1"/>
    <col min="5379" max="5379" width="5.6640625" style="7" customWidth="1"/>
    <col min="5380" max="5388" width="4.9140625" style="7" customWidth="1"/>
    <col min="5389" max="5389" width="11.75" style="7" customWidth="1"/>
    <col min="5390" max="5390" width="4.83203125" style="7" customWidth="1"/>
    <col min="5391" max="5391" width="6.25" style="7" customWidth="1"/>
    <col min="5392" max="5397" width="0" style="7" hidden="1" customWidth="1"/>
    <col min="5398" max="5632" width="7.25" style="7"/>
    <col min="5633" max="5633" width="5.9140625" style="7" customWidth="1"/>
    <col min="5634" max="5634" width="4.4140625" style="7" customWidth="1"/>
    <col min="5635" max="5635" width="5.6640625" style="7" customWidth="1"/>
    <col min="5636" max="5644" width="4.9140625" style="7" customWidth="1"/>
    <col min="5645" max="5645" width="11.75" style="7" customWidth="1"/>
    <col min="5646" max="5646" width="4.83203125" style="7" customWidth="1"/>
    <col min="5647" max="5647" width="6.25" style="7" customWidth="1"/>
    <col min="5648" max="5653" width="0" style="7" hidden="1" customWidth="1"/>
    <col min="5654" max="5888" width="7.25" style="7"/>
    <col min="5889" max="5889" width="5.9140625" style="7" customWidth="1"/>
    <col min="5890" max="5890" width="4.4140625" style="7" customWidth="1"/>
    <col min="5891" max="5891" width="5.6640625" style="7" customWidth="1"/>
    <col min="5892" max="5900" width="4.9140625" style="7" customWidth="1"/>
    <col min="5901" max="5901" width="11.75" style="7" customWidth="1"/>
    <col min="5902" max="5902" width="4.83203125" style="7" customWidth="1"/>
    <col min="5903" max="5903" width="6.25" style="7" customWidth="1"/>
    <col min="5904" max="5909" width="0" style="7" hidden="1" customWidth="1"/>
    <col min="5910" max="6144" width="7.25" style="7"/>
    <col min="6145" max="6145" width="5.9140625" style="7" customWidth="1"/>
    <col min="6146" max="6146" width="4.4140625" style="7" customWidth="1"/>
    <col min="6147" max="6147" width="5.6640625" style="7" customWidth="1"/>
    <col min="6148" max="6156" width="4.9140625" style="7" customWidth="1"/>
    <col min="6157" max="6157" width="11.75" style="7" customWidth="1"/>
    <col min="6158" max="6158" width="4.83203125" style="7" customWidth="1"/>
    <col min="6159" max="6159" width="6.25" style="7" customWidth="1"/>
    <col min="6160" max="6165" width="0" style="7" hidden="1" customWidth="1"/>
    <col min="6166" max="6400" width="7.25" style="7"/>
    <col min="6401" max="6401" width="5.9140625" style="7" customWidth="1"/>
    <col min="6402" max="6402" width="4.4140625" style="7" customWidth="1"/>
    <col min="6403" max="6403" width="5.6640625" style="7" customWidth="1"/>
    <col min="6404" max="6412" width="4.9140625" style="7" customWidth="1"/>
    <col min="6413" max="6413" width="11.75" style="7" customWidth="1"/>
    <col min="6414" max="6414" width="4.83203125" style="7" customWidth="1"/>
    <col min="6415" max="6415" width="6.25" style="7" customWidth="1"/>
    <col min="6416" max="6421" width="0" style="7" hidden="1" customWidth="1"/>
    <col min="6422" max="6656" width="7.25" style="7"/>
    <col min="6657" max="6657" width="5.9140625" style="7" customWidth="1"/>
    <col min="6658" max="6658" width="4.4140625" style="7" customWidth="1"/>
    <col min="6659" max="6659" width="5.6640625" style="7" customWidth="1"/>
    <col min="6660" max="6668" width="4.9140625" style="7" customWidth="1"/>
    <col min="6669" max="6669" width="11.75" style="7" customWidth="1"/>
    <col min="6670" max="6670" width="4.83203125" style="7" customWidth="1"/>
    <col min="6671" max="6671" width="6.25" style="7" customWidth="1"/>
    <col min="6672" max="6677" width="0" style="7" hidden="1" customWidth="1"/>
    <col min="6678" max="6912" width="7.25" style="7"/>
    <col min="6913" max="6913" width="5.9140625" style="7" customWidth="1"/>
    <col min="6914" max="6914" width="4.4140625" style="7" customWidth="1"/>
    <col min="6915" max="6915" width="5.6640625" style="7" customWidth="1"/>
    <col min="6916" max="6924" width="4.9140625" style="7" customWidth="1"/>
    <col min="6925" max="6925" width="11.75" style="7" customWidth="1"/>
    <col min="6926" max="6926" width="4.83203125" style="7" customWidth="1"/>
    <col min="6927" max="6927" width="6.25" style="7" customWidth="1"/>
    <col min="6928" max="6933" width="0" style="7" hidden="1" customWidth="1"/>
    <col min="6934" max="7168" width="7.25" style="7"/>
    <col min="7169" max="7169" width="5.9140625" style="7" customWidth="1"/>
    <col min="7170" max="7170" width="4.4140625" style="7" customWidth="1"/>
    <col min="7171" max="7171" width="5.6640625" style="7" customWidth="1"/>
    <col min="7172" max="7180" width="4.9140625" style="7" customWidth="1"/>
    <col min="7181" max="7181" width="11.75" style="7" customWidth="1"/>
    <col min="7182" max="7182" width="4.83203125" style="7" customWidth="1"/>
    <col min="7183" max="7183" width="6.25" style="7" customWidth="1"/>
    <col min="7184" max="7189" width="0" style="7" hidden="1" customWidth="1"/>
    <col min="7190" max="7424" width="7.25" style="7"/>
    <col min="7425" max="7425" width="5.9140625" style="7" customWidth="1"/>
    <col min="7426" max="7426" width="4.4140625" style="7" customWidth="1"/>
    <col min="7427" max="7427" width="5.6640625" style="7" customWidth="1"/>
    <col min="7428" max="7436" width="4.9140625" style="7" customWidth="1"/>
    <col min="7437" max="7437" width="11.75" style="7" customWidth="1"/>
    <col min="7438" max="7438" width="4.83203125" style="7" customWidth="1"/>
    <col min="7439" max="7439" width="6.25" style="7" customWidth="1"/>
    <col min="7440" max="7445" width="0" style="7" hidden="1" customWidth="1"/>
    <col min="7446" max="7680" width="7.25" style="7"/>
    <col min="7681" max="7681" width="5.9140625" style="7" customWidth="1"/>
    <col min="7682" max="7682" width="4.4140625" style="7" customWidth="1"/>
    <col min="7683" max="7683" width="5.6640625" style="7" customWidth="1"/>
    <col min="7684" max="7692" width="4.9140625" style="7" customWidth="1"/>
    <col min="7693" max="7693" width="11.75" style="7" customWidth="1"/>
    <col min="7694" max="7694" width="4.83203125" style="7" customWidth="1"/>
    <col min="7695" max="7695" width="6.25" style="7" customWidth="1"/>
    <col min="7696" max="7701" width="0" style="7" hidden="1" customWidth="1"/>
    <col min="7702" max="7936" width="7.25" style="7"/>
    <col min="7937" max="7937" width="5.9140625" style="7" customWidth="1"/>
    <col min="7938" max="7938" width="4.4140625" style="7" customWidth="1"/>
    <col min="7939" max="7939" width="5.6640625" style="7" customWidth="1"/>
    <col min="7940" max="7948" width="4.9140625" style="7" customWidth="1"/>
    <col min="7949" max="7949" width="11.75" style="7" customWidth="1"/>
    <col min="7950" max="7950" width="4.83203125" style="7" customWidth="1"/>
    <col min="7951" max="7951" width="6.25" style="7" customWidth="1"/>
    <col min="7952" max="7957" width="0" style="7" hidden="1" customWidth="1"/>
    <col min="7958" max="8192" width="7.25" style="7"/>
    <col min="8193" max="8193" width="5.9140625" style="7" customWidth="1"/>
    <col min="8194" max="8194" width="4.4140625" style="7" customWidth="1"/>
    <col min="8195" max="8195" width="5.6640625" style="7" customWidth="1"/>
    <col min="8196" max="8204" width="4.9140625" style="7" customWidth="1"/>
    <col min="8205" max="8205" width="11.75" style="7" customWidth="1"/>
    <col min="8206" max="8206" width="4.83203125" style="7" customWidth="1"/>
    <col min="8207" max="8207" width="6.25" style="7" customWidth="1"/>
    <col min="8208" max="8213" width="0" style="7" hidden="1" customWidth="1"/>
    <col min="8214" max="8448" width="7.25" style="7"/>
    <col min="8449" max="8449" width="5.9140625" style="7" customWidth="1"/>
    <col min="8450" max="8450" width="4.4140625" style="7" customWidth="1"/>
    <col min="8451" max="8451" width="5.6640625" style="7" customWidth="1"/>
    <col min="8452" max="8460" width="4.9140625" style="7" customWidth="1"/>
    <col min="8461" max="8461" width="11.75" style="7" customWidth="1"/>
    <col min="8462" max="8462" width="4.83203125" style="7" customWidth="1"/>
    <col min="8463" max="8463" width="6.25" style="7" customWidth="1"/>
    <col min="8464" max="8469" width="0" style="7" hidden="1" customWidth="1"/>
    <col min="8470" max="8704" width="7.25" style="7"/>
    <col min="8705" max="8705" width="5.9140625" style="7" customWidth="1"/>
    <col min="8706" max="8706" width="4.4140625" style="7" customWidth="1"/>
    <col min="8707" max="8707" width="5.6640625" style="7" customWidth="1"/>
    <col min="8708" max="8716" width="4.9140625" style="7" customWidth="1"/>
    <col min="8717" max="8717" width="11.75" style="7" customWidth="1"/>
    <col min="8718" max="8718" width="4.83203125" style="7" customWidth="1"/>
    <col min="8719" max="8719" width="6.25" style="7" customWidth="1"/>
    <col min="8720" max="8725" width="0" style="7" hidden="1" customWidth="1"/>
    <col min="8726" max="8960" width="7.25" style="7"/>
    <col min="8961" max="8961" width="5.9140625" style="7" customWidth="1"/>
    <col min="8962" max="8962" width="4.4140625" style="7" customWidth="1"/>
    <col min="8963" max="8963" width="5.6640625" style="7" customWidth="1"/>
    <col min="8964" max="8972" width="4.9140625" style="7" customWidth="1"/>
    <col min="8973" max="8973" width="11.75" style="7" customWidth="1"/>
    <col min="8974" max="8974" width="4.83203125" style="7" customWidth="1"/>
    <col min="8975" max="8975" width="6.25" style="7" customWidth="1"/>
    <col min="8976" max="8981" width="0" style="7" hidden="1" customWidth="1"/>
    <col min="8982" max="9216" width="7.25" style="7"/>
    <col min="9217" max="9217" width="5.9140625" style="7" customWidth="1"/>
    <col min="9218" max="9218" width="4.4140625" style="7" customWidth="1"/>
    <col min="9219" max="9219" width="5.6640625" style="7" customWidth="1"/>
    <col min="9220" max="9228" width="4.9140625" style="7" customWidth="1"/>
    <col min="9229" max="9229" width="11.75" style="7" customWidth="1"/>
    <col min="9230" max="9230" width="4.83203125" style="7" customWidth="1"/>
    <col min="9231" max="9231" width="6.25" style="7" customWidth="1"/>
    <col min="9232" max="9237" width="0" style="7" hidden="1" customWidth="1"/>
    <col min="9238" max="9472" width="7.25" style="7"/>
    <col min="9473" max="9473" width="5.9140625" style="7" customWidth="1"/>
    <col min="9474" max="9474" width="4.4140625" style="7" customWidth="1"/>
    <col min="9475" max="9475" width="5.6640625" style="7" customWidth="1"/>
    <col min="9476" max="9484" width="4.9140625" style="7" customWidth="1"/>
    <col min="9485" max="9485" width="11.75" style="7" customWidth="1"/>
    <col min="9486" max="9486" width="4.83203125" style="7" customWidth="1"/>
    <col min="9487" max="9487" width="6.25" style="7" customWidth="1"/>
    <col min="9488" max="9493" width="0" style="7" hidden="1" customWidth="1"/>
    <col min="9494" max="9728" width="7.25" style="7"/>
    <col min="9729" max="9729" width="5.9140625" style="7" customWidth="1"/>
    <col min="9730" max="9730" width="4.4140625" style="7" customWidth="1"/>
    <col min="9731" max="9731" width="5.6640625" style="7" customWidth="1"/>
    <col min="9732" max="9740" width="4.9140625" style="7" customWidth="1"/>
    <col min="9741" max="9741" width="11.75" style="7" customWidth="1"/>
    <col min="9742" max="9742" width="4.83203125" style="7" customWidth="1"/>
    <col min="9743" max="9743" width="6.25" style="7" customWidth="1"/>
    <col min="9744" max="9749" width="0" style="7" hidden="1" customWidth="1"/>
    <col min="9750" max="9984" width="7.25" style="7"/>
    <col min="9985" max="9985" width="5.9140625" style="7" customWidth="1"/>
    <col min="9986" max="9986" width="4.4140625" style="7" customWidth="1"/>
    <col min="9987" max="9987" width="5.6640625" style="7" customWidth="1"/>
    <col min="9988" max="9996" width="4.9140625" style="7" customWidth="1"/>
    <col min="9997" max="9997" width="11.75" style="7" customWidth="1"/>
    <col min="9998" max="9998" width="4.83203125" style="7" customWidth="1"/>
    <col min="9999" max="9999" width="6.25" style="7" customWidth="1"/>
    <col min="10000" max="10005" width="0" style="7" hidden="1" customWidth="1"/>
    <col min="10006" max="10240" width="7.25" style="7"/>
    <col min="10241" max="10241" width="5.9140625" style="7" customWidth="1"/>
    <col min="10242" max="10242" width="4.4140625" style="7" customWidth="1"/>
    <col min="10243" max="10243" width="5.6640625" style="7" customWidth="1"/>
    <col min="10244" max="10252" width="4.9140625" style="7" customWidth="1"/>
    <col min="10253" max="10253" width="11.75" style="7" customWidth="1"/>
    <col min="10254" max="10254" width="4.83203125" style="7" customWidth="1"/>
    <col min="10255" max="10255" width="6.25" style="7" customWidth="1"/>
    <col min="10256" max="10261" width="0" style="7" hidden="1" customWidth="1"/>
    <col min="10262" max="10496" width="7.25" style="7"/>
    <col min="10497" max="10497" width="5.9140625" style="7" customWidth="1"/>
    <col min="10498" max="10498" width="4.4140625" style="7" customWidth="1"/>
    <col min="10499" max="10499" width="5.6640625" style="7" customWidth="1"/>
    <col min="10500" max="10508" width="4.9140625" style="7" customWidth="1"/>
    <col min="10509" max="10509" width="11.75" style="7" customWidth="1"/>
    <col min="10510" max="10510" width="4.83203125" style="7" customWidth="1"/>
    <col min="10511" max="10511" width="6.25" style="7" customWidth="1"/>
    <col min="10512" max="10517" width="0" style="7" hidden="1" customWidth="1"/>
    <col min="10518" max="10752" width="7.25" style="7"/>
    <col min="10753" max="10753" width="5.9140625" style="7" customWidth="1"/>
    <col min="10754" max="10754" width="4.4140625" style="7" customWidth="1"/>
    <col min="10755" max="10755" width="5.6640625" style="7" customWidth="1"/>
    <col min="10756" max="10764" width="4.9140625" style="7" customWidth="1"/>
    <col min="10765" max="10765" width="11.75" style="7" customWidth="1"/>
    <col min="10766" max="10766" width="4.83203125" style="7" customWidth="1"/>
    <col min="10767" max="10767" width="6.25" style="7" customWidth="1"/>
    <col min="10768" max="10773" width="0" style="7" hidden="1" customWidth="1"/>
    <col min="10774" max="11008" width="7.25" style="7"/>
    <col min="11009" max="11009" width="5.9140625" style="7" customWidth="1"/>
    <col min="11010" max="11010" width="4.4140625" style="7" customWidth="1"/>
    <col min="11011" max="11011" width="5.6640625" style="7" customWidth="1"/>
    <col min="11012" max="11020" width="4.9140625" style="7" customWidth="1"/>
    <col min="11021" max="11021" width="11.75" style="7" customWidth="1"/>
    <col min="11022" max="11022" width="4.83203125" style="7" customWidth="1"/>
    <col min="11023" max="11023" width="6.25" style="7" customWidth="1"/>
    <col min="11024" max="11029" width="0" style="7" hidden="1" customWidth="1"/>
    <col min="11030" max="11264" width="7.25" style="7"/>
    <col min="11265" max="11265" width="5.9140625" style="7" customWidth="1"/>
    <col min="11266" max="11266" width="4.4140625" style="7" customWidth="1"/>
    <col min="11267" max="11267" width="5.6640625" style="7" customWidth="1"/>
    <col min="11268" max="11276" width="4.9140625" style="7" customWidth="1"/>
    <col min="11277" max="11277" width="11.75" style="7" customWidth="1"/>
    <col min="11278" max="11278" width="4.83203125" style="7" customWidth="1"/>
    <col min="11279" max="11279" width="6.25" style="7" customWidth="1"/>
    <col min="11280" max="11285" width="0" style="7" hidden="1" customWidth="1"/>
    <col min="11286" max="11520" width="7.25" style="7"/>
    <col min="11521" max="11521" width="5.9140625" style="7" customWidth="1"/>
    <col min="11522" max="11522" width="4.4140625" style="7" customWidth="1"/>
    <col min="11523" max="11523" width="5.6640625" style="7" customWidth="1"/>
    <col min="11524" max="11532" width="4.9140625" style="7" customWidth="1"/>
    <col min="11533" max="11533" width="11.75" style="7" customWidth="1"/>
    <col min="11534" max="11534" width="4.83203125" style="7" customWidth="1"/>
    <col min="11535" max="11535" width="6.25" style="7" customWidth="1"/>
    <col min="11536" max="11541" width="0" style="7" hidden="1" customWidth="1"/>
    <col min="11542" max="11776" width="7.25" style="7"/>
    <col min="11777" max="11777" width="5.9140625" style="7" customWidth="1"/>
    <col min="11778" max="11778" width="4.4140625" style="7" customWidth="1"/>
    <col min="11779" max="11779" width="5.6640625" style="7" customWidth="1"/>
    <col min="11780" max="11788" width="4.9140625" style="7" customWidth="1"/>
    <col min="11789" max="11789" width="11.75" style="7" customWidth="1"/>
    <col min="11790" max="11790" width="4.83203125" style="7" customWidth="1"/>
    <col min="11791" max="11791" width="6.25" style="7" customWidth="1"/>
    <col min="11792" max="11797" width="0" style="7" hidden="1" customWidth="1"/>
    <col min="11798" max="12032" width="7.25" style="7"/>
    <col min="12033" max="12033" width="5.9140625" style="7" customWidth="1"/>
    <col min="12034" max="12034" width="4.4140625" style="7" customWidth="1"/>
    <col min="12035" max="12035" width="5.6640625" style="7" customWidth="1"/>
    <col min="12036" max="12044" width="4.9140625" style="7" customWidth="1"/>
    <col min="12045" max="12045" width="11.75" style="7" customWidth="1"/>
    <col min="12046" max="12046" width="4.83203125" style="7" customWidth="1"/>
    <col min="12047" max="12047" width="6.25" style="7" customWidth="1"/>
    <col min="12048" max="12053" width="0" style="7" hidden="1" customWidth="1"/>
    <col min="12054" max="12288" width="7.25" style="7"/>
    <col min="12289" max="12289" width="5.9140625" style="7" customWidth="1"/>
    <col min="12290" max="12290" width="4.4140625" style="7" customWidth="1"/>
    <col min="12291" max="12291" width="5.6640625" style="7" customWidth="1"/>
    <col min="12292" max="12300" width="4.9140625" style="7" customWidth="1"/>
    <col min="12301" max="12301" width="11.75" style="7" customWidth="1"/>
    <col min="12302" max="12302" width="4.83203125" style="7" customWidth="1"/>
    <col min="12303" max="12303" width="6.25" style="7" customWidth="1"/>
    <col min="12304" max="12309" width="0" style="7" hidden="1" customWidth="1"/>
    <col min="12310" max="12544" width="7.25" style="7"/>
    <col min="12545" max="12545" width="5.9140625" style="7" customWidth="1"/>
    <col min="12546" max="12546" width="4.4140625" style="7" customWidth="1"/>
    <col min="12547" max="12547" width="5.6640625" style="7" customWidth="1"/>
    <col min="12548" max="12556" width="4.9140625" style="7" customWidth="1"/>
    <col min="12557" max="12557" width="11.75" style="7" customWidth="1"/>
    <col min="12558" max="12558" width="4.83203125" style="7" customWidth="1"/>
    <col min="12559" max="12559" width="6.25" style="7" customWidth="1"/>
    <col min="12560" max="12565" width="0" style="7" hidden="1" customWidth="1"/>
    <col min="12566" max="12800" width="7.25" style="7"/>
    <col min="12801" max="12801" width="5.9140625" style="7" customWidth="1"/>
    <col min="12802" max="12802" width="4.4140625" style="7" customWidth="1"/>
    <col min="12803" max="12803" width="5.6640625" style="7" customWidth="1"/>
    <col min="12804" max="12812" width="4.9140625" style="7" customWidth="1"/>
    <col min="12813" max="12813" width="11.75" style="7" customWidth="1"/>
    <col min="12814" max="12814" width="4.83203125" style="7" customWidth="1"/>
    <col min="12815" max="12815" width="6.25" style="7" customWidth="1"/>
    <col min="12816" max="12821" width="0" style="7" hidden="1" customWidth="1"/>
    <col min="12822" max="13056" width="7.25" style="7"/>
    <col min="13057" max="13057" width="5.9140625" style="7" customWidth="1"/>
    <col min="13058" max="13058" width="4.4140625" style="7" customWidth="1"/>
    <col min="13059" max="13059" width="5.6640625" style="7" customWidth="1"/>
    <col min="13060" max="13068" width="4.9140625" style="7" customWidth="1"/>
    <col min="13069" max="13069" width="11.75" style="7" customWidth="1"/>
    <col min="13070" max="13070" width="4.83203125" style="7" customWidth="1"/>
    <col min="13071" max="13071" width="6.25" style="7" customWidth="1"/>
    <col min="13072" max="13077" width="0" style="7" hidden="1" customWidth="1"/>
    <col min="13078" max="13312" width="7.25" style="7"/>
    <col min="13313" max="13313" width="5.9140625" style="7" customWidth="1"/>
    <col min="13314" max="13314" width="4.4140625" style="7" customWidth="1"/>
    <col min="13315" max="13315" width="5.6640625" style="7" customWidth="1"/>
    <col min="13316" max="13324" width="4.9140625" style="7" customWidth="1"/>
    <col min="13325" max="13325" width="11.75" style="7" customWidth="1"/>
    <col min="13326" max="13326" width="4.83203125" style="7" customWidth="1"/>
    <col min="13327" max="13327" width="6.25" style="7" customWidth="1"/>
    <col min="13328" max="13333" width="0" style="7" hidden="1" customWidth="1"/>
    <col min="13334" max="13568" width="7.25" style="7"/>
    <col min="13569" max="13569" width="5.9140625" style="7" customWidth="1"/>
    <col min="13570" max="13570" width="4.4140625" style="7" customWidth="1"/>
    <col min="13571" max="13571" width="5.6640625" style="7" customWidth="1"/>
    <col min="13572" max="13580" width="4.9140625" style="7" customWidth="1"/>
    <col min="13581" max="13581" width="11.75" style="7" customWidth="1"/>
    <col min="13582" max="13582" width="4.83203125" style="7" customWidth="1"/>
    <col min="13583" max="13583" width="6.25" style="7" customWidth="1"/>
    <col min="13584" max="13589" width="0" style="7" hidden="1" customWidth="1"/>
    <col min="13590" max="13824" width="7.25" style="7"/>
    <col min="13825" max="13825" width="5.9140625" style="7" customWidth="1"/>
    <col min="13826" max="13826" width="4.4140625" style="7" customWidth="1"/>
    <col min="13827" max="13827" width="5.6640625" style="7" customWidth="1"/>
    <col min="13828" max="13836" width="4.9140625" style="7" customWidth="1"/>
    <col min="13837" max="13837" width="11.75" style="7" customWidth="1"/>
    <col min="13838" max="13838" width="4.83203125" style="7" customWidth="1"/>
    <col min="13839" max="13839" width="6.25" style="7" customWidth="1"/>
    <col min="13840" max="13845" width="0" style="7" hidden="1" customWidth="1"/>
    <col min="13846" max="14080" width="7.25" style="7"/>
    <col min="14081" max="14081" width="5.9140625" style="7" customWidth="1"/>
    <col min="14082" max="14082" width="4.4140625" style="7" customWidth="1"/>
    <col min="14083" max="14083" width="5.6640625" style="7" customWidth="1"/>
    <col min="14084" max="14092" width="4.9140625" style="7" customWidth="1"/>
    <col min="14093" max="14093" width="11.75" style="7" customWidth="1"/>
    <col min="14094" max="14094" width="4.83203125" style="7" customWidth="1"/>
    <col min="14095" max="14095" width="6.25" style="7" customWidth="1"/>
    <col min="14096" max="14101" width="0" style="7" hidden="1" customWidth="1"/>
    <col min="14102" max="14336" width="7.25" style="7"/>
    <col min="14337" max="14337" width="5.9140625" style="7" customWidth="1"/>
    <col min="14338" max="14338" width="4.4140625" style="7" customWidth="1"/>
    <col min="14339" max="14339" width="5.6640625" style="7" customWidth="1"/>
    <col min="14340" max="14348" width="4.9140625" style="7" customWidth="1"/>
    <col min="14349" max="14349" width="11.75" style="7" customWidth="1"/>
    <col min="14350" max="14350" width="4.83203125" style="7" customWidth="1"/>
    <col min="14351" max="14351" width="6.25" style="7" customWidth="1"/>
    <col min="14352" max="14357" width="0" style="7" hidden="1" customWidth="1"/>
    <col min="14358" max="14592" width="7.25" style="7"/>
    <col min="14593" max="14593" width="5.9140625" style="7" customWidth="1"/>
    <col min="14594" max="14594" width="4.4140625" style="7" customWidth="1"/>
    <col min="14595" max="14595" width="5.6640625" style="7" customWidth="1"/>
    <col min="14596" max="14604" width="4.9140625" style="7" customWidth="1"/>
    <col min="14605" max="14605" width="11.75" style="7" customWidth="1"/>
    <col min="14606" max="14606" width="4.83203125" style="7" customWidth="1"/>
    <col min="14607" max="14607" width="6.25" style="7" customWidth="1"/>
    <col min="14608" max="14613" width="0" style="7" hidden="1" customWidth="1"/>
    <col min="14614" max="14848" width="7.25" style="7"/>
    <col min="14849" max="14849" width="5.9140625" style="7" customWidth="1"/>
    <col min="14850" max="14850" width="4.4140625" style="7" customWidth="1"/>
    <col min="14851" max="14851" width="5.6640625" style="7" customWidth="1"/>
    <col min="14852" max="14860" width="4.9140625" style="7" customWidth="1"/>
    <col min="14861" max="14861" width="11.75" style="7" customWidth="1"/>
    <col min="14862" max="14862" width="4.83203125" style="7" customWidth="1"/>
    <col min="14863" max="14863" width="6.25" style="7" customWidth="1"/>
    <col min="14864" max="14869" width="0" style="7" hidden="1" customWidth="1"/>
    <col min="14870" max="15104" width="7.25" style="7"/>
    <col min="15105" max="15105" width="5.9140625" style="7" customWidth="1"/>
    <col min="15106" max="15106" width="4.4140625" style="7" customWidth="1"/>
    <col min="15107" max="15107" width="5.6640625" style="7" customWidth="1"/>
    <col min="15108" max="15116" width="4.9140625" style="7" customWidth="1"/>
    <col min="15117" max="15117" width="11.75" style="7" customWidth="1"/>
    <col min="15118" max="15118" width="4.83203125" style="7" customWidth="1"/>
    <col min="15119" max="15119" width="6.25" style="7" customWidth="1"/>
    <col min="15120" max="15125" width="0" style="7" hidden="1" customWidth="1"/>
    <col min="15126" max="15360" width="7.25" style="7"/>
    <col min="15361" max="15361" width="5.9140625" style="7" customWidth="1"/>
    <col min="15362" max="15362" width="4.4140625" style="7" customWidth="1"/>
    <col min="15363" max="15363" width="5.6640625" style="7" customWidth="1"/>
    <col min="15364" max="15372" width="4.9140625" style="7" customWidth="1"/>
    <col min="15373" max="15373" width="11.75" style="7" customWidth="1"/>
    <col min="15374" max="15374" width="4.83203125" style="7" customWidth="1"/>
    <col min="15375" max="15375" width="6.25" style="7" customWidth="1"/>
    <col min="15376" max="15381" width="0" style="7" hidden="1" customWidth="1"/>
    <col min="15382" max="15616" width="7.25" style="7"/>
    <col min="15617" max="15617" width="5.9140625" style="7" customWidth="1"/>
    <col min="15618" max="15618" width="4.4140625" style="7" customWidth="1"/>
    <col min="15619" max="15619" width="5.6640625" style="7" customWidth="1"/>
    <col min="15620" max="15628" width="4.9140625" style="7" customWidth="1"/>
    <col min="15629" max="15629" width="11.75" style="7" customWidth="1"/>
    <col min="15630" max="15630" width="4.83203125" style="7" customWidth="1"/>
    <col min="15631" max="15631" width="6.25" style="7" customWidth="1"/>
    <col min="15632" max="15637" width="0" style="7" hidden="1" customWidth="1"/>
    <col min="15638" max="15872" width="7.25" style="7"/>
    <col min="15873" max="15873" width="5.9140625" style="7" customWidth="1"/>
    <col min="15874" max="15874" width="4.4140625" style="7" customWidth="1"/>
    <col min="15875" max="15875" width="5.6640625" style="7" customWidth="1"/>
    <col min="15876" max="15884" width="4.9140625" style="7" customWidth="1"/>
    <col min="15885" max="15885" width="11.75" style="7" customWidth="1"/>
    <col min="15886" max="15886" width="4.83203125" style="7" customWidth="1"/>
    <col min="15887" max="15887" width="6.25" style="7" customWidth="1"/>
    <col min="15888" max="15893" width="0" style="7" hidden="1" customWidth="1"/>
    <col min="15894" max="16128" width="7.25" style="7"/>
    <col min="16129" max="16129" width="5.9140625" style="7" customWidth="1"/>
    <col min="16130" max="16130" width="4.4140625" style="7" customWidth="1"/>
    <col min="16131" max="16131" width="5.6640625" style="7" customWidth="1"/>
    <col min="16132" max="16140" width="4.9140625" style="7" customWidth="1"/>
    <col min="16141" max="16141" width="11.75" style="7" customWidth="1"/>
    <col min="16142" max="16142" width="4.83203125" style="7" customWidth="1"/>
    <col min="16143" max="16143" width="6.25" style="7" customWidth="1"/>
    <col min="16144" max="16149" width="0" style="7" hidden="1" customWidth="1"/>
    <col min="16150" max="16384" width="7.25" style="7"/>
  </cols>
  <sheetData>
    <row r="1" spans="1:26" ht="17.100000000000001" customHeight="1">
      <c r="A1" s="1" t="s">
        <v>0</v>
      </c>
      <c r="B1" s="2"/>
      <c r="C1" s="2"/>
      <c r="D1" s="2"/>
      <c r="E1" s="2"/>
      <c r="F1" s="2"/>
      <c r="G1" s="2"/>
      <c r="H1" s="2"/>
      <c r="I1" s="2"/>
      <c r="J1" s="3" t="s">
        <v>1</v>
      </c>
      <c r="K1" s="4"/>
      <c r="L1" s="5" t="s">
        <v>2</v>
      </c>
      <c r="M1" s="6"/>
    </row>
    <row r="2" spans="1:26" ht="17.100000000000001" customHeight="1">
      <c r="A2" s="8" t="s">
        <v>3</v>
      </c>
      <c r="B2" s="9"/>
      <c r="C2" s="9"/>
      <c r="D2" s="9"/>
      <c r="E2" s="9"/>
      <c r="F2" s="9"/>
      <c r="G2" s="9"/>
      <c r="H2" s="9"/>
      <c r="I2" s="9"/>
      <c r="J2" s="10" t="s">
        <v>4</v>
      </c>
      <c r="K2" s="11"/>
      <c r="L2" s="12" t="s">
        <v>5</v>
      </c>
      <c r="M2" s="13"/>
    </row>
    <row r="3" spans="1:26" ht="15.9" customHeight="1">
      <c r="A3" s="14"/>
      <c r="B3" s="15"/>
      <c r="C3" s="15"/>
      <c r="D3" s="15"/>
      <c r="E3" s="15"/>
      <c r="F3" s="15"/>
      <c r="G3" s="15"/>
      <c r="H3" s="15"/>
      <c r="I3" s="15"/>
      <c r="J3" s="10" t="s">
        <v>6</v>
      </c>
      <c r="K3" s="11"/>
      <c r="L3" s="16">
        <v>37432</v>
      </c>
      <c r="M3" s="13"/>
    </row>
    <row r="4" spans="1:26" ht="15.9" customHeight="1">
      <c r="A4" s="17"/>
      <c r="B4" s="15"/>
      <c r="C4" s="15"/>
      <c r="D4" s="15"/>
      <c r="E4" s="15"/>
      <c r="F4" s="15"/>
      <c r="G4" s="15"/>
      <c r="H4" s="15"/>
      <c r="I4" s="15"/>
      <c r="J4" s="10" t="s">
        <v>7</v>
      </c>
      <c r="K4" s="11"/>
      <c r="L4" s="12" t="s">
        <v>8</v>
      </c>
      <c r="M4" s="13"/>
    </row>
    <row r="5" spans="1:26" ht="15.9" customHeight="1">
      <c r="A5" s="14"/>
      <c r="B5" s="15"/>
      <c r="C5" s="15"/>
      <c r="D5" s="15"/>
      <c r="E5" s="15"/>
      <c r="F5" s="15"/>
      <c r="G5" s="15"/>
      <c r="H5" s="15"/>
      <c r="I5" s="15"/>
      <c r="J5" s="10" t="s">
        <v>9</v>
      </c>
      <c r="K5" s="11"/>
      <c r="L5" s="12">
        <v>0</v>
      </c>
      <c r="M5" s="13"/>
    </row>
    <row r="6" spans="1:26" ht="15.9" customHeight="1">
      <c r="A6" s="18" t="s">
        <v>10</v>
      </c>
      <c r="B6" s="15"/>
      <c r="C6" s="15"/>
      <c r="D6" s="15"/>
      <c r="E6" s="15"/>
      <c r="F6" s="15"/>
      <c r="G6" s="15"/>
      <c r="H6" s="15"/>
      <c r="I6" s="15"/>
      <c r="J6" s="10" t="s">
        <v>11</v>
      </c>
      <c r="K6" s="11"/>
      <c r="L6" s="12" t="s">
        <v>12</v>
      </c>
      <c r="M6" s="13"/>
    </row>
    <row r="7" spans="1:26" ht="15.9" customHeight="1" thickBot="1">
      <c r="A7" s="19" t="s">
        <v>13</v>
      </c>
      <c r="B7" s="20"/>
      <c r="C7" s="20"/>
      <c r="D7" s="20"/>
      <c r="E7" s="20"/>
      <c r="F7" s="20"/>
      <c r="G7" s="20"/>
      <c r="H7" s="20"/>
      <c r="I7" s="20"/>
      <c r="J7" s="21" t="s">
        <v>14</v>
      </c>
      <c r="K7" s="22"/>
      <c r="L7" s="23" t="s">
        <v>15</v>
      </c>
      <c r="M7" s="24"/>
    </row>
    <row r="8" spans="1:26" ht="12" customHeight="1">
      <c r="A8" s="15"/>
      <c r="B8" s="15"/>
      <c r="C8" s="15"/>
      <c r="D8" s="15"/>
      <c r="E8" s="15"/>
      <c r="F8" s="15"/>
      <c r="G8" s="15"/>
      <c r="H8" s="15"/>
      <c r="I8" s="25"/>
      <c r="J8" s="26"/>
      <c r="K8" s="27"/>
      <c r="L8" s="28"/>
      <c r="M8" s="28"/>
      <c r="N8" s="28"/>
      <c r="O8" s="28"/>
      <c r="P8" s="29"/>
      <c r="Q8" s="28"/>
    </row>
    <row r="9" spans="1:26" ht="12.75" customHeight="1">
      <c r="A9" s="30"/>
      <c r="B9" s="31" t="s">
        <v>16</v>
      </c>
      <c r="C9" s="32"/>
      <c r="D9" s="33"/>
      <c r="E9" s="34"/>
      <c r="F9" s="35"/>
      <c r="G9" s="35"/>
      <c r="H9" s="35"/>
      <c r="I9" s="35"/>
      <c r="J9" s="35"/>
      <c r="K9" s="36"/>
      <c r="L9" s="1018"/>
      <c r="M9" s="1018"/>
    </row>
    <row r="10" spans="1:26" ht="12.75" customHeight="1">
      <c r="A10" s="30"/>
      <c r="B10" s="31" t="s">
        <v>17</v>
      </c>
      <c r="C10" s="32" t="s">
        <v>18</v>
      </c>
      <c r="D10" s="33"/>
      <c r="E10" s="34"/>
      <c r="F10" s="35"/>
      <c r="G10" s="35"/>
      <c r="H10" s="35"/>
      <c r="I10" s="35"/>
      <c r="J10" s="35"/>
      <c r="K10" s="35"/>
      <c r="L10" s="36"/>
      <c r="M10" s="37"/>
    </row>
    <row r="11" spans="1:26" ht="11.25" customHeight="1">
      <c r="A11" s="33"/>
      <c r="B11" s="38" t="s">
        <v>19</v>
      </c>
      <c r="C11" s="1019"/>
      <c r="D11" s="1020"/>
      <c r="E11" s="39"/>
      <c r="F11" s="39"/>
      <c r="G11" s="1021" t="s">
        <v>20</v>
      </c>
      <c r="H11" s="1021"/>
      <c r="I11" s="1021"/>
      <c r="J11" s="1021"/>
      <c r="K11" s="1021"/>
      <c r="L11" s="36" t="s">
        <v>21</v>
      </c>
      <c r="M11" s="39"/>
      <c r="N11" s="40"/>
      <c r="Z11" s="7" t="s">
        <v>22</v>
      </c>
    </row>
    <row r="12" spans="1:26" ht="12.75" customHeight="1">
      <c r="A12" s="33"/>
      <c r="B12" s="38" t="s">
        <v>23</v>
      </c>
      <c r="C12" s="1018">
        <v>39961</v>
      </c>
      <c r="D12" s="1018"/>
      <c r="E12" s="31"/>
      <c r="F12" s="39"/>
      <c r="G12" s="31"/>
      <c r="H12" s="31"/>
      <c r="I12" s="31"/>
      <c r="J12" s="31"/>
      <c r="K12" s="31" t="s">
        <v>24</v>
      </c>
      <c r="L12" s="41" t="s">
        <v>25</v>
      </c>
      <c r="M12" s="31"/>
      <c r="N12" s="29"/>
      <c r="Z12" s="7" t="s">
        <v>26</v>
      </c>
    </row>
    <row r="13" spans="1:26" ht="13.8" thickBot="1">
      <c r="A13" s="1022" t="s">
        <v>27</v>
      </c>
      <c r="B13" s="1022"/>
      <c r="C13" s="1022"/>
      <c r="D13" s="1022"/>
      <c r="E13" s="1022"/>
      <c r="F13" s="1022"/>
      <c r="G13" s="1022"/>
      <c r="H13" s="1022"/>
      <c r="I13" s="1022"/>
      <c r="J13" s="1022"/>
      <c r="K13" s="1022"/>
      <c r="L13" s="1022"/>
      <c r="M13" s="1022"/>
      <c r="N13" s="27"/>
      <c r="Z13" s="7" t="s">
        <v>18</v>
      </c>
    </row>
    <row r="14" spans="1:26" ht="16.2" thickTop="1" thickBot="1">
      <c r="A14" s="42"/>
      <c r="B14" s="35"/>
      <c r="C14" s="43"/>
      <c r="D14" s="35"/>
      <c r="E14" s="33"/>
      <c r="F14" s="33"/>
      <c r="G14" s="33"/>
      <c r="H14" s="33"/>
      <c r="I14" s="33"/>
      <c r="J14" s="33"/>
      <c r="K14" s="33"/>
      <c r="L14" s="33"/>
      <c r="M14" s="33"/>
      <c r="N14" s="27"/>
      <c r="R14" s="7">
        <f>SUMIF(P20:P36,"&gt;1",P20:P36)</f>
        <v>1673884207.413672</v>
      </c>
      <c r="S14" s="7">
        <f>COUNTIF(P20:P36,"&gt;1")</f>
        <v>12</v>
      </c>
      <c r="T14" s="7">
        <f>R14/S14</f>
        <v>139490350.61780599</v>
      </c>
      <c r="Z14" s="7" t="s">
        <v>28</v>
      </c>
    </row>
    <row r="15" spans="1:26" ht="12.75" customHeight="1">
      <c r="A15" s="1023" t="s">
        <v>29</v>
      </c>
      <c r="B15" s="1024"/>
      <c r="C15" s="1024"/>
      <c r="D15" s="1024"/>
      <c r="E15" s="1024"/>
      <c r="F15" s="1025"/>
      <c r="G15" s="33"/>
      <c r="H15" s="33"/>
      <c r="I15" s="33"/>
      <c r="J15" s="33"/>
      <c r="K15" s="33"/>
      <c r="L15" s="33"/>
      <c r="M15" s="33"/>
      <c r="N15" s="27"/>
    </row>
    <row r="16" spans="1:26" ht="13.5" customHeight="1" thickBot="1">
      <c r="A16" s="1026"/>
      <c r="B16" s="1027"/>
      <c r="C16" s="1027"/>
      <c r="D16" s="1027"/>
      <c r="E16" s="1027"/>
      <c r="F16" s="1028"/>
      <c r="G16" s="34"/>
      <c r="H16" s="34"/>
      <c r="I16" s="34"/>
      <c r="J16" s="34"/>
      <c r="K16" s="34"/>
      <c r="L16" s="34"/>
      <c r="M16" s="34"/>
    </row>
    <row r="17" spans="1:21" ht="12.9" customHeight="1">
      <c r="A17" s="44" t="s">
        <v>30</v>
      </c>
      <c r="B17" s="45">
        <v>58.5</v>
      </c>
      <c r="C17" s="46" t="s">
        <v>31</v>
      </c>
      <c r="D17" s="47"/>
      <c r="E17" s="39"/>
      <c r="F17" s="48"/>
      <c r="G17" s="49"/>
      <c r="H17" s="50"/>
      <c r="I17" s="51"/>
      <c r="J17" s="49"/>
      <c r="K17" s="49"/>
      <c r="L17" s="50"/>
      <c r="M17" s="48"/>
    </row>
    <row r="18" spans="1:21" ht="12.9" customHeight="1">
      <c r="A18" s="31"/>
      <c r="B18" s="45"/>
      <c r="C18" s="46"/>
      <c r="D18" s="52"/>
      <c r="E18" s="53"/>
      <c r="F18" s="48"/>
      <c r="G18" s="49"/>
      <c r="H18" s="50"/>
      <c r="I18" s="48"/>
      <c r="J18" s="49"/>
      <c r="K18" s="49"/>
      <c r="L18" s="50"/>
      <c r="M18" s="48"/>
      <c r="P18" s="7" t="s">
        <v>32</v>
      </c>
      <c r="R18" s="7" t="s">
        <v>33</v>
      </c>
    </row>
    <row r="19" spans="1:21" ht="12.9" customHeight="1" thickBot="1">
      <c r="A19" s="54" t="s">
        <v>34</v>
      </c>
      <c r="B19" s="39"/>
      <c r="C19" s="47"/>
      <c r="D19" s="52"/>
      <c r="E19" s="53"/>
      <c r="F19" s="55"/>
      <c r="G19" s="56"/>
      <c r="H19" s="57"/>
      <c r="I19" s="48"/>
      <c r="J19" s="49"/>
      <c r="K19" s="49"/>
      <c r="L19" s="50"/>
      <c r="M19" s="48"/>
    </row>
    <row r="20" spans="1:21" ht="12.9" customHeight="1">
      <c r="A20" s="31" t="s">
        <v>35</v>
      </c>
      <c r="B20" s="58">
        <v>85.7</v>
      </c>
      <c r="C20" s="46" t="s">
        <v>31</v>
      </c>
      <c r="D20" s="52"/>
      <c r="E20" s="30"/>
      <c r="F20" s="59"/>
      <c r="G20" s="49"/>
      <c r="H20" s="60"/>
      <c r="I20" s="48"/>
      <c r="J20" s="49"/>
      <c r="K20" s="49"/>
      <c r="L20" s="50"/>
      <c r="M20" s="48"/>
      <c r="P20" s="7">
        <f t="shared" ref="P20:P36" si="0">10^(B20/10)</f>
        <v>371535229.09717381</v>
      </c>
      <c r="R20" s="7">
        <f>R14/S14</f>
        <v>139490350.61780599</v>
      </c>
    </row>
    <row r="21" spans="1:21" ht="12.9" customHeight="1">
      <c r="A21" s="31" t="s">
        <v>36</v>
      </c>
      <c r="B21" s="58" t="s">
        <v>37</v>
      </c>
      <c r="C21" s="46" t="s">
        <v>31</v>
      </c>
      <c r="D21" s="52"/>
      <c r="E21" s="31"/>
      <c r="F21" s="48"/>
      <c r="G21" s="49"/>
      <c r="H21" s="50"/>
      <c r="I21" s="1009"/>
      <c r="J21" s="1009"/>
      <c r="K21" s="1009"/>
      <c r="L21" s="50"/>
      <c r="M21" s="48"/>
      <c r="P21" s="7">
        <f t="shared" si="0"/>
        <v>1</v>
      </c>
    </row>
    <row r="22" spans="1:21" ht="12.9" customHeight="1">
      <c r="A22" s="31" t="s">
        <v>38</v>
      </c>
      <c r="B22" s="58">
        <v>81.8</v>
      </c>
      <c r="C22" s="46" t="s">
        <v>31</v>
      </c>
      <c r="D22" s="52"/>
      <c r="E22" s="31"/>
      <c r="F22" s="61"/>
      <c r="G22" s="49"/>
      <c r="H22" s="60"/>
      <c r="I22" s="62"/>
      <c r="J22" s="49"/>
      <c r="K22" s="63"/>
      <c r="L22" s="63"/>
      <c r="M22" s="48"/>
      <c r="P22" s="7">
        <f t="shared" si="0"/>
        <v>151356124.84362081</v>
      </c>
    </row>
    <row r="23" spans="1:21" ht="13.2">
      <c r="A23" s="31" t="s">
        <v>39</v>
      </c>
      <c r="B23" s="58" t="s">
        <v>37</v>
      </c>
      <c r="C23" s="46" t="s">
        <v>31</v>
      </c>
      <c r="D23" s="52"/>
      <c r="E23" s="31"/>
      <c r="F23" s="33"/>
      <c r="G23" s="34"/>
      <c r="H23" s="34"/>
      <c r="I23" s="33"/>
      <c r="J23" s="33"/>
      <c r="K23" s="34"/>
      <c r="L23" s="34"/>
      <c r="M23" s="33"/>
      <c r="N23" s="27"/>
      <c r="P23" s="7">
        <f t="shared" si="0"/>
        <v>1</v>
      </c>
    </row>
    <row r="24" spans="1:21" ht="13.2">
      <c r="A24" s="31" t="s">
        <v>40</v>
      </c>
      <c r="B24" s="58" t="s">
        <v>37</v>
      </c>
      <c r="C24" s="46" t="s">
        <v>31</v>
      </c>
      <c r="D24" s="52"/>
      <c r="E24" s="31"/>
      <c r="F24" s="34"/>
      <c r="G24" s="34"/>
      <c r="H24" s="34"/>
      <c r="I24" s="34"/>
      <c r="J24" s="34"/>
      <c r="K24" s="34"/>
      <c r="L24" s="34"/>
      <c r="M24" s="34"/>
      <c r="N24" s="27"/>
      <c r="P24" s="7">
        <f t="shared" si="0"/>
        <v>1</v>
      </c>
    </row>
    <row r="25" spans="1:21" ht="16.8">
      <c r="A25" s="31" t="s">
        <v>41</v>
      </c>
      <c r="B25" s="58" t="s">
        <v>37</v>
      </c>
      <c r="C25" s="46" t="s">
        <v>31</v>
      </c>
      <c r="D25" s="52"/>
      <c r="E25" s="53"/>
      <c r="F25" s="34"/>
      <c r="G25" s="34"/>
      <c r="H25" s="34"/>
      <c r="I25" s="33"/>
      <c r="J25" s="64"/>
      <c r="K25" s="34"/>
      <c r="L25" s="34"/>
      <c r="M25" s="34"/>
      <c r="P25" s="7">
        <f t="shared" si="0"/>
        <v>1</v>
      </c>
      <c r="U25" s="7">
        <f>IF(R37=56,R35+9.2,IF(AND(OR(R37=143,R37=145),R38="TEFC"),R35+9.1,IF(AND(OR(R37=182,R37=184),R38="TEFC"),R35+9.3,IF(AND(OR(R37=213,R37=215),R38="TEFC"),R35+9.6,IF(AND(OR(R37=254,R37=256),R38="TEFC"),R35+9.9,IF(AND(OR(R37=284,R37=286),R38="TEFC"),R35+10.1,U26))))))</f>
        <v>92.745441659007682</v>
      </c>
    </row>
    <row r="26" spans="1:21" ht="12.9" customHeight="1">
      <c r="A26" s="31" t="s">
        <v>42</v>
      </c>
      <c r="B26" s="58">
        <v>81.3</v>
      </c>
      <c r="C26" s="46" t="s">
        <v>31</v>
      </c>
      <c r="D26" s="52"/>
      <c r="E26" s="65"/>
      <c r="F26" s="66"/>
      <c r="G26" s="66"/>
      <c r="H26" s="66"/>
      <c r="I26" s="33"/>
      <c r="J26" s="34"/>
      <c r="K26" s="34"/>
      <c r="L26" s="34"/>
      <c r="M26" s="34"/>
      <c r="P26" s="7">
        <f t="shared" si="0"/>
        <v>134896288.25916544</v>
      </c>
      <c r="U26" s="7">
        <f>IF(AND(OR(R37=324,R37=326),R38="TEFC"),R35+10.3,IF(AND(OR(R37=364,R37=365),R38="TEFC"),R35+10.6,IF(AND(OR(R37=404,R37=405),R38="TEFC"),R35+10.9,IF(AND(OR(R37=444,R37=445),R38="TEFC"),R35+11.3,IF(AND(R37=447,R38="TEFC"),R35+11.4,IF(AND(R37=449,R38="TEFC"),R35+11.7,U27))))))</f>
        <v>92.745441659007682</v>
      </c>
    </row>
    <row r="27" spans="1:21" ht="12.9" customHeight="1">
      <c r="A27" s="31" t="s">
        <v>43</v>
      </c>
      <c r="B27" s="58" t="s">
        <v>37</v>
      </c>
      <c r="C27" s="46" t="s">
        <v>31</v>
      </c>
      <c r="D27" s="52"/>
      <c r="E27" s="53"/>
      <c r="F27" s="67"/>
      <c r="G27" s="67"/>
      <c r="H27" s="67"/>
      <c r="I27" s="33"/>
      <c r="J27" s="1010"/>
      <c r="K27" s="1011"/>
      <c r="L27" s="1011"/>
      <c r="M27" s="1011"/>
      <c r="P27" s="7">
        <f t="shared" si="0"/>
        <v>1</v>
      </c>
      <c r="U27" s="7" t="str">
        <f>IF(AND(R37="N449",R38="TEFC"),R35+11.9,IF(AND(R37=505,R38="TEFC"),R35+11.6,IF(AND(R37="N587",R38="TEFC"),R35+12,IF(AND(R37=5010,R38="TEFC"),R35+12.1,IF(AND(R37=5810,R38="TEFC"),R35+12.7,IF(AND(OR(R37=143,R37=145),R38="ODP"),R35+9,U28))))))</f>
        <v>ERROR</v>
      </c>
    </row>
    <row r="28" spans="1:21" ht="12.9" customHeight="1">
      <c r="A28" s="31" t="s">
        <v>44</v>
      </c>
      <c r="B28" s="58">
        <v>82.4</v>
      </c>
      <c r="C28" s="46" t="s">
        <v>31</v>
      </c>
      <c r="D28" s="52"/>
      <c r="E28" s="30"/>
      <c r="F28" s="67"/>
      <c r="G28" s="67"/>
      <c r="H28" s="67"/>
      <c r="I28" s="33"/>
      <c r="J28" s="33"/>
      <c r="K28" s="34"/>
      <c r="L28" s="34"/>
      <c r="M28" s="33"/>
      <c r="N28" s="27"/>
      <c r="P28" s="7">
        <f t="shared" si="0"/>
        <v>173780082.87493807</v>
      </c>
      <c r="U28" s="7" t="str">
        <f>IF(AND(OR(R37=182,R37=184),R38="ODP"),R35+9.2,IF(AND(OR(R37=213,R37=215),R38="ODP"),R35+9.5,IF(AND(OR(R37=254,R37=256),R38="ODP"),R35+9.9,IF(AND(OR(R37=284,R37=286),R38="ODP"),R35+10,IF(AND(OR(R37=324,R37=326),R38="ODP"),R35+10.2,U29)))))</f>
        <v>ERROR</v>
      </c>
    </row>
    <row r="29" spans="1:21" ht="12.9" customHeight="1">
      <c r="A29" s="31" t="s">
        <v>45</v>
      </c>
      <c r="B29" s="58">
        <v>79.900000000000006</v>
      </c>
      <c r="C29" s="46" t="s">
        <v>31</v>
      </c>
      <c r="D29" s="52"/>
      <c r="E29" s="30"/>
      <c r="F29" s="67"/>
      <c r="G29" s="67"/>
      <c r="H29" s="67"/>
      <c r="I29" s="33"/>
      <c r="J29" s="33"/>
      <c r="K29" s="34"/>
      <c r="L29" s="34"/>
      <c r="M29" s="33"/>
      <c r="N29" s="27"/>
      <c r="P29" s="7">
        <f t="shared" si="0"/>
        <v>97723722.095581248</v>
      </c>
      <c r="U29" s="7" t="str">
        <f>IF(AND(OR(R37=364,R37=365),R38="ODP"),R35+10.4,IF(AND(R37=404,R38="ODP"),R35+10.6,IF(AND(R37=405,R38="ODP"),R35+10.7,IF(AND(R37=444,R38="ODP"),R35+10.9,IF(AND(R37=445,R38="ODP"),R35+11,U30)))))</f>
        <v>ERROR</v>
      </c>
    </row>
    <row r="30" spans="1:21" ht="15.75" customHeight="1">
      <c r="A30" s="31" t="s">
        <v>46</v>
      </c>
      <c r="B30" s="58">
        <v>77.099999999999994</v>
      </c>
      <c r="C30" s="46" t="s">
        <v>31</v>
      </c>
      <c r="D30" s="52"/>
      <c r="E30" s="39"/>
      <c r="F30" s="69"/>
      <c r="G30" s="69"/>
      <c r="H30" s="69"/>
      <c r="I30" s="33"/>
      <c r="J30" s="70"/>
      <c r="K30" s="34"/>
      <c r="L30" s="34"/>
      <c r="M30" s="34"/>
      <c r="N30" s="27"/>
      <c r="P30" s="7">
        <f t="shared" si="0"/>
        <v>51286138.399136536</v>
      </c>
      <c r="U30" s="7" t="str">
        <f>IF(AND(R37=447,R38="ODP"),R35+11.1,IF(AND(OR(R37=449,R37=505),R38="ODP"),R35+11.3,IF(AND(R37=507,R38="ODP"),R35+11.4,IF(AND(R37=509,R38="ODP"),R35+11.8,"ERROR"))))</f>
        <v>ERROR</v>
      </c>
    </row>
    <row r="31" spans="1:21" ht="15" customHeight="1">
      <c r="A31" s="31" t="s">
        <v>47</v>
      </c>
      <c r="B31" s="58">
        <v>81.599999999999994</v>
      </c>
      <c r="C31" s="46" t="s">
        <v>31</v>
      </c>
      <c r="D31" s="52"/>
      <c r="E31" s="58"/>
      <c r="F31" s="68"/>
      <c r="G31" s="68"/>
      <c r="H31" s="68"/>
      <c r="I31" s="33"/>
      <c r="J31" s="32"/>
      <c r="K31" s="34"/>
      <c r="L31" s="34"/>
      <c r="M31" s="34"/>
      <c r="N31" s="27"/>
      <c r="P31" s="7">
        <f t="shared" si="0"/>
        <v>144543977.07459331</v>
      </c>
      <c r="R31" s="7" t="s">
        <v>48</v>
      </c>
    </row>
    <row r="32" spans="1:21" ht="15" customHeight="1">
      <c r="A32" s="31" t="s">
        <v>49</v>
      </c>
      <c r="B32" s="58">
        <v>80.599999999999994</v>
      </c>
      <c r="C32" s="46" t="s">
        <v>31</v>
      </c>
      <c r="D32" s="52"/>
      <c r="E32" s="58"/>
      <c r="F32" s="67"/>
      <c r="G32" s="67"/>
      <c r="H32" s="67"/>
      <c r="I32" s="33"/>
      <c r="J32" s="71"/>
      <c r="K32" s="68"/>
      <c r="L32" s="68"/>
      <c r="M32" s="68"/>
      <c r="N32" s="27"/>
      <c r="P32" s="7">
        <f t="shared" si="0"/>
        <v>114815362.14968801</v>
      </c>
    </row>
    <row r="33" spans="1:18" ht="13.2">
      <c r="A33" s="31" t="s">
        <v>50</v>
      </c>
      <c r="B33" s="58">
        <v>80.5</v>
      </c>
      <c r="C33" s="46" t="s">
        <v>31</v>
      </c>
      <c r="D33" s="52"/>
      <c r="E33" s="58"/>
      <c r="F33" s="72"/>
      <c r="G33" s="72"/>
      <c r="H33" s="72"/>
      <c r="I33" s="33"/>
      <c r="J33" s="33"/>
      <c r="K33" s="33"/>
      <c r="L33" s="33"/>
      <c r="M33" s="33"/>
      <c r="N33" s="27"/>
      <c r="P33" s="7">
        <f t="shared" si="0"/>
        <v>112201845.43019688</v>
      </c>
      <c r="R33" s="7">
        <f>LOG10(R20)</f>
        <v>8.1445441659007685</v>
      </c>
    </row>
    <row r="34" spans="1:18" ht="13.2">
      <c r="A34" s="31" t="s">
        <v>51</v>
      </c>
      <c r="B34" s="58">
        <v>78.7</v>
      </c>
      <c r="C34" s="46" t="s">
        <v>31</v>
      </c>
      <c r="D34" s="52"/>
      <c r="E34" s="73"/>
      <c r="F34" s="33"/>
      <c r="G34" s="33"/>
      <c r="H34" s="33"/>
      <c r="I34" s="33"/>
      <c r="J34" s="33"/>
      <c r="K34" s="33"/>
      <c r="L34" s="33"/>
      <c r="M34" s="33"/>
      <c r="N34" s="27"/>
      <c r="P34" s="7">
        <f t="shared" si="0"/>
        <v>74131024.130091965</v>
      </c>
    </row>
    <row r="35" spans="1:18" ht="13.2">
      <c r="A35" s="31" t="s">
        <v>52</v>
      </c>
      <c r="B35" s="58">
        <v>82</v>
      </c>
      <c r="C35" s="46" t="s">
        <v>31</v>
      </c>
      <c r="D35" s="52"/>
      <c r="E35" s="74"/>
      <c r="F35" s="34"/>
      <c r="G35" s="34"/>
      <c r="H35" s="34"/>
      <c r="I35" s="34"/>
      <c r="J35" s="34"/>
      <c r="K35" s="34"/>
      <c r="L35" s="34"/>
      <c r="M35" s="34"/>
      <c r="P35" s="7">
        <f t="shared" si="0"/>
        <v>158489319.24611133</v>
      </c>
      <c r="R35" s="7">
        <f>R33*10</f>
        <v>81.445441659007685</v>
      </c>
    </row>
    <row r="36" spans="1:18" ht="12.9" customHeight="1">
      <c r="A36" s="31" t="s">
        <v>53</v>
      </c>
      <c r="B36" s="58">
        <v>79.5</v>
      </c>
      <c r="C36" s="46" t="s">
        <v>31</v>
      </c>
      <c r="D36" s="58"/>
      <c r="E36" s="58"/>
      <c r="F36" s="75"/>
      <c r="G36" s="75"/>
      <c r="H36" s="75"/>
      <c r="I36" s="75"/>
      <c r="J36" s="75"/>
      <c r="K36" s="75"/>
      <c r="L36" s="75"/>
      <c r="M36" s="75"/>
      <c r="P36" s="7">
        <f t="shared" si="0"/>
        <v>89125093.813374758</v>
      </c>
    </row>
    <row r="37" spans="1:18" ht="12.9" customHeight="1">
      <c r="A37" s="31"/>
      <c r="B37" s="45"/>
      <c r="C37" s="46"/>
      <c r="D37" s="53"/>
      <c r="E37" s="53"/>
      <c r="F37" s="76"/>
      <c r="G37" s="77"/>
      <c r="H37" s="77"/>
      <c r="I37" s="78"/>
      <c r="J37" s="78"/>
      <c r="K37" s="77"/>
      <c r="L37" s="78"/>
      <c r="M37" s="78"/>
      <c r="P37" s="79" t="s">
        <v>54</v>
      </c>
      <c r="R37" s="7">
        <v>445</v>
      </c>
    </row>
    <row r="38" spans="1:18" ht="13.8" thickBot="1">
      <c r="A38" s="1012" t="s">
        <v>55</v>
      </c>
      <c r="B38" s="1012"/>
      <c r="C38" s="1013">
        <f>R35</f>
        <v>81.445441659007685</v>
      </c>
      <c r="D38" s="1013"/>
      <c r="E38" s="53"/>
      <c r="F38" s="76"/>
      <c r="G38" s="33"/>
      <c r="H38" s="33"/>
      <c r="I38" s="33"/>
      <c r="J38" s="33"/>
      <c r="K38" s="33"/>
      <c r="L38" s="33"/>
      <c r="M38" s="33"/>
      <c r="N38" s="27"/>
      <c r="P38" s="79" t="s">
        <v>56</v>
      </c>
      <c r="R38" s="7" t="s">
        <v>57</v>
      </c>
    </row>
    <row r="39" spans="1:18" ht="14.25" customHeight="1">
      <c r="A39" s="80"/>
      <c r="B39" s="81"/>
      <c r="C39" s="81"/>
      <c r="D39" s="81"/>
      <c r="E39" s="81"/>
      <c r="F39" s="27"/>
      <c r="G39" s="27"/>
      <c r="H39" s="27"/>
      <c r="I39" s="27"/>
      <c r="J39" s="27"/>
      <c r="K39" s="27"/>
      <c r="L39" s="27"/>
      <c r="M39" s="27"/>
      <c r="N39" s="27"/>
      <c r="P39" s="79" t="s">
        <v>58</v>
      </c>
      <c r="R39" s="7">
        <f>ROUNDUP(U25,0)</f>
        <v>93</v>
      </c>
    </row>
    <row r="40" spans="1:18" ht="16.5" customHeight="1">
      <c r="A40" s="82"/>
      <c r="B40" s="82"/>
      <c r="C40" s="82"/>
      <c r="D40" s="82"/>
      <c r="E40" s="82"/>
      <c r="F40" s="82"/>
      <c r="G40" s="82"/>
      <c r="H40" s="82"/>
      <c r="I40" s="82"/>
      <c r="J40" s="82"/>
      <c r="K40" s="82"/>
      <c r="L40" s="82"/>
      <c r="M40" s="82"/>
    </row>
    <row r="41" spans="1:18" ht="12.9" customHeight="1">
      <c r="A41" s="82"/>
      <c r="B41" s="82"/>
      <c r="C41" s="82"/>
      <c r="D41" s="82"/>
      <c r="E41" s="82"/>
      <c r="F41" s="82"/>
      <c r="G41" s="82"/>
      <c r="H41" s="82"/>
      <c r="I41" s="82"/>
      <c r="J41" s="82"/>
      <c r="K41" s="82"/>
      <c r="L41" s="82"/>
      <c r="M41" s="82"/>
    </row>
    <row r="42" spans="1:18" ht="12.9" customHeight="1">
      <c r="A42" s="82"/>
      <c r="B42" s="82"/>
      <c r="C42" s="82"/>
      <c r="D42" s="82"/>
      <c r="E42" s="82"/>
      <c r="F42" s="82"/>
      <c r="G42" s="82"/>
      <c r="H42" s="82"/>
      <c r="I42" s="82"/>
      <c r="J42" s="82"/>
      <c r="K42" s="82"/>
      <c r="L42" s="82"/>
      <c r="M42" s="82"/>
    </row>
    <row r="43" spans="1:18" ht="12.9" customHeight="1">
      <c r="A43" s="82"/>
      <c r="B43" s="82"/>
      <c r="C43" s="82"/>
      <c r="D43" s="82"/>
      <c r="E43" s="82"/>
      <c r="F43" s="82"/>
      <c r="G43" s="82"/>
      <c r="H43" s="82"/>
      <c r="I43" s="82"/>
      <c r="J43" s="82"/>
      <c r="K43" s="82"/>
      <c r="L43" s="82"/>
      <c r="M43" s="82"/>
    </row>
    <row r="44" spans="1:18" ht="12.9" customHeight="1">
      <c r="A44" s="82"/>
      <c r="B44" s="82"/>
      <c r="C44" s="82"/>
      <c r="D44" s="82"/>
      <c r="E44" s="82"/>
      <c r="F44" s="82"/>
      <c r="G44" s="82"/>
      <c r="H44" s="82"/>
      <c r="I44" s="82"/>
      <c r="J44" s="82"/>
      <c r="K44" s="82"/>
      <c r="L44" s="82"/>
      <c r="M44" s="82"/>
    </row>
    <row r="45" spans="1:18" ht="12.9" customHeight="1">
      <c r="A45" s="82"/>
      <c r="B45" s="82"/>
      <c r="C45" s="82"/>
      <c r="D45" s="82"/>
      <c r="E45" s="82"/>
      <c r="F45" s="82"/>
      <c r="G45" s="82"/>
      <c r="H45" s="82"/>
      <c r="I45" s="82"/>
      <c r="J45" s="82"/>
      <c r="K45" s="82"/>
      <c r="L45" s="82"/>
      <c r="M45" s="82"/>
    </row>
    <row r="46" spans="1:18" ht="12.9" customHeight="1">
      <c r="A46" s="82"/>
      <c r="B46" s="82"/>
      <c r="C46" s="82"/>
      <c r="D46" s="82"/>
      <c r="E46" s="82"/>
      <c r="F46" s="82"/>
      <c r="G46" s="82"/>
      <c r="H46" s="82"/>
      <c r="I46" s="82"/>
      <c r="J46" s="82"/>
      <c r="K46" s="82"/>
      <c r="L46" s="82"/>
      <c r="M46" s="82"/>
    </row>
    <row r="47" spans="1:18" ht="12.9" customHeight="1">
      <c r="A47" s="82"/>
      <c r="B47" s="82"/>
      <c r="C47" s="82"/>
      <c r="D47" s="82"/>
      <c r="E47" s="82"/>
      <c r="F47" s="82"/>
      <c r="G47" s="82"/>
      <c r="H47" s="82"/>
      <c r="I47" s="82"/>
      <c r="J47" s="82"/>
      <c r="K47" s="82"/>
      <c r="L47" s="82"/>
      <c r="M47" s="82"/>
    </row>
    <row r="48" spans="1:18" ht="12.9" customHeight="1">
      <c r="A48" s="82"/>
      <c r="B48" s="82"/>
      <c r="C48" s="82"/>
      <c r="D48" s="82"/>
      <c r="E48" s="82"/>
      <c r="F48" s="82"/>
      <c r="G48" s="82"/>
      <c r="H48" s="82"/>
      <c r="I48" s="82"/>
      <c r="J48" s="82"/>
      <c r="K48" s="82"/>
      <c r="L48" s="82"/>
      <c r="M48" s="82"/>
    </row>
    <row r="49" spans="1:24" ht="12.9" customHeight="1">
      <c r="A49" s="82"/>
      <c r="B49" s="82"/>
      <c r="C49" s="82"/>
      <c r="D49" s="82"/>
      <c r="E49" s="82"/>
      <c r="F49" s="82"/>
      <c r="G49" s="82"/>
      <c r="H49" s="82"/>
      <c r="I49" s="82"/>
      <c r="J49" s="82"/>
      <c r="K49" s="82"/>
      <c r="L49" s="82"/>
      <c r="M49" s="82"/>
    </row>
    <row r="50" spans="1:24" ht="12.9" customHeight="1">
      <c r="A50" s="82"/>
      <c r="B50" s="82"/>
      <c r="C50" s="82"/>
      <c r="D50" s="82"/>
      <c r="E50" s="82"/>
      <c r="F50" s="82"/>
      <c r="G50" s="82"/>
      <c r="H50" s="82"/>
      <c r="I50" s="82"/>
      <c r="J50" s="82"/>
      <c r="K50" s="82"/>
      <c r="L50" s="82"/>
      <c r="M50" s="82"/>
    </row>
    <row r="51" spans="1:24" ht="12.9" customHeight="1">
      <c r="A51" s="82"/>
      <c r="B51" s="82"/>
      <c r="C51" s="82"/>
      <c r="D51" s="82"/>
      <c r="E51" s="82"/>
      <c r="F51" s="82"/>
      <c r="G51" s="82"/>
      <c r="H51" s="82"/>
      <c r="I51" s="82"/>
      <c r="J51" s="82"/>
      <c r="K51" s="82"/>
      <c r="L51" s="82"/>
      <c r="M51" s="82"/>
    </row>
    <row r="52" spans="1:24" ht="15.9" customHeight="1">
      <c r="A52" s="82"/>
      <c r="B52" s="82"/>
      <c r="C52" s="82"/>
      <c r="D52" s="82"/>
      <c r="E52" s="82"/>
      <c r="F52" s="82"/>
      <c r="G52" s="82"/>
      <c r="H52" s="82"/>
      <c r="I52" s="82"/>
      <c r="J52" s="82"/>
      <c r="K52" s="82"/>
      <c r="L52" s="82"/>
      <c r="M52" s="82"/>
      <c r="N52" s="15"/>
    </row>
    <row r="53" spans="1:24" ht="15.9" customHeight="1">
      <c r="A53" s="1014" t="s">
        <v>59</v>
      </c>
      <c r="B53" s="1015"/>
      <c r="C53" s="1015"/>
      <c r="D53" s="1015"/>
      <c r="E53" s="1015"/>
      <c r="F53" s="1016" t="s">
        <v>60</v>
      </c>
      <c r="G53" s="1017"/>
      <c r="H53" s="83" t="s">
        <v>61</v>
      </c>
      <c r="I53" s="84"/>
      <c r="J53" s="85"/>
      <c r="K53" s="85"/>
      <c r="L53" s="85"/>
      <c r="M53" s="86"/>
      <c r="N53" s="15"/>
    </row>
    <row r="54" spans="1:24" ht="15.9" customHeight="1">
      <c r="A54" s="85"/>
      <c r="B54" s="85"/>
      <c r="C54" s="85"/>
      <c r="D54" s="85"/>
      <c r="E54" s="1006" t="s">
        <v>62</v>
      </c>
      <c r="F54" s="1006"/>
      <c r="G54" s="1006"/>
      <c r="H54" s="1006"/>
      <c r="I54" s="87"/>
      <c r="J54" s="85"/>
      <c r="K54" s="85"/>
      <c r="L54" s="85"/>
      <c r="M54" s="86"/>
      <c r="N54" s="15"/>
    </row>
    <row r="55" spans="1:24" ht="15.9" customHeight="1">
      <c r="A55" s="88"/>
      <c r="B55" s="89"/>
      <c r="C55" s="89"/>
      <c r="D55" s="89"/>
      <c r="E55" s="89"/>
      <c r="F55" s="89"/>
      <c r="G55" s="89"/>
      <c r="H55" s="85"/>
      <c r="I55" s="85"/>
      <c r="J55" s="85"/>
      <c r="K55" s="85"/>
      <c r="L55" s="85"/>
      <c r="M55" s="85"/>
      <c r="N55" s="15"/>
      <c r="P55" s="90"/>
      <c r="Q55" s="90"/>
      <c r="R55" s="40"/>
      <c r="S55" s="40"/>
      <c r="T55" s="40"/>
      <c r="U55" s="40"/>
      <c r="V55" s="40"/>
      <c r="W55" s="40"/>
      <c r="X55" s="40"/>
    </row>
    <row r="56" spans="1:24" ht="15.9" customHeight="1">
      <c r="A56" s="91" t="s">
        <v>63</v>
      </c>
      <c r="B56" s="85"/>
      <c r="C56" s="92"/>
      <c r="D56" s="93">
        <v>9896</v>
      </c>
      <c r="E56" s="85"/>
      <c r="F56" s="85"/>
      <c r="N56" s="82"/>
      <c r="O56" s="82"/>
      <c r="P56" s="90"/>
      <c r="Q56" s="90"/>
      <c r="R56" s="40"/>
      <c r="S56" s="40"/>
      <c r="T56" s="40"/>
      <c r="U56" s="40"/>
      <c r="V56" s="40"/>
      <c r="W56" s="40"/>
      <c r="X56" s="40"/>
    </row>
    <row r="57" spans="1:24" ht="15.9" customHeight="1">
      <c r="A57" s="85"/>
      <c r="B57" s="85"/>
      <c r="C57" s="85"/>
      <c r="D57" s="85"/>
      <c r="E57" s="85"/>
      <c r="F57" s="85"/>
      <c r="N57" s="82"/>
      <c r="O57" s="82"/>
      <c r="P57" s="90"/>
      <c r="Q57" s="90"/>
      <c r="R57" s="40"/>
      <c r="S57" s="40"/>
      <c r="T57" s="40"/>
      <c r="U57" s="40"/>
      <c r="V57" s="40"/>
      <c r="W57" s="40"/>
      <c r="X57" s="40"/>
    </row>
    <row r="58" spans="1:24" ht="15.9" customHeight="1">
      <c r="A58" s="85"/>
      <c r="B58" s="85"/>
      <c r="C58" s="85"/>
      <c r="D58" s="85"/>
      <c r="E58" s="85"/>
      <c r="F58" s="85"/>
      <c r="N58" s="82"/>
      <c r="O58" s="82"/>
      <c r="P58" s="90"/>
      <c r="Q58" s="90"/>
      <c r="R58" s="40"/>
      <c r="S58" s="40"/>
      <c r="T58" s="40"/>
      <c r="U58" s="40"/>
      <c r="V58" s="40"/>
      <c r="W58" s="40"/>
      <c r="X58" s="40"/>
    </row>
    <row r="59" spans="1:24" ht="15.9" customHeight="1">
      <c r="A59" s="82"/>
      <c r="B59" s="82"/>
      <c r="C59" s="82"/>
      <c r="D59" s="82"/>
      <c r="E59" s="82"/>
      <c r="F59" s="82"/>
      <c r="G59" s="85"/>
      <c r="H59" s="86"/>
      <c r="I59" s="94" t="s">
        <v>64</v>
      </c>
      <c r="J59" s="1007" t="s">
        <v>65</v>
      </c>
      <c r="K59" s="1007"/>
      <c r="L59" s="1007"/>
      <c r="M59" s="1007"/>
      <c r="N59" s="82"/>
      <c r="O59" s="82"/>
      <c r="P59" s="90"/>
      <c r="Q59" s="90"/>
      <c r="R59" s="40"/>
      <c r="S59" s="40"/>
      <c r="T59" s="40"/>
      <c r="U59" s="40"/>
      <c r="V59" s="40"/>
      <c r="W59" s="40"/>
      <c r="X59" s="40"/>
    </row>
    <row r="60" spans="1:24" ht="15.9" customHeight="1">
      <c r="A60" s="82"/>
      <c r="B60" s="82"/>
      <c r="C60" s="82"/>
      <c r="D60" s="82"/>
      <c r="E60" s="82"/>
      <c r="F60" s="82"/>
      <c r="G60" s="85"/>
      <c r="H60" s="85"/>
      <c r="I60" s="85"/>
      <c r="J60" s="86"/>
      <c r="K60" s="86"/>
      <c r="L60" s="86"/>
      <c r="M60" s="86"/>
      <c r="N60" s="82"/>
      <c r="O60" s="82"/>
      <c r="P60" s="90"/>
      <c r="Q60" s="90"/>
      <c r="R60" s="40"/>
      <c r="S60" s="40"/>
      <c r="T60" s="40"/>
      <c r="U60" s="40"/>
      <c r="V60" s="40"/>
      <c r="W60" s="40"/>
      <c r="X60" s="40"/>
    </row>
    <row r="61" spans="1:24" ht="16.8">
      <c r="A61" s="82"/>
      <c r="B61" s="82"/>
      <c r="C61" s="82"/>
      <c r="D61" s="82"/>
      <c r="E61" s="82"/>
      <c r="F61" s="82"/>
      <c r="G61" s="85"/>
      <c r="H61" s="86"/>
      <c r="I61" s="94" t="s">
        <v>66</v>
      </c>
      <c r="J61" s="1008">
        <v>45219</v>
      </c>
      <c r="K61" s="1008"/>
      <c r="L61" s="1008"/>
      <c r="M61" s="1008"/>
      <c r="N61" s="82"/>
      <c r="O61" s="82"/>
      <c r="P61" s="95"/>
      <c r="Q61" s="95"/>
      <c r="R61" s="40"/>
      <c r="S61" s="40"/>
      <c r="T61" s="40"/>
      <c r="U61" s="40"/>
      <c r="V61" s="40"/>
      <c r="W61" s="40"/>
      <c r="X61" s="40"/>
    </row>
    <row r="62" spans="1:24" ht="13.2">
      <c r="A62" s="82"/>
      <c r="B62" s="82"/>
      <c r="C62" s="82"/>
      <c r="D62" s="82"/>
      <c r="E62" s="82"/>
      <c r="F62" s="82"/>
      <c r="G62" s="82"/>
      <c r="H62" s="82"/>
      <c r="I62" s="82"/>
      <c r="J62" s="82"/>
      <c r="K62" s="82"/>
      <c r="L62" s="82"/>
      <c r="M62" s="82"/>
      <c r="N62" s="82"/>
      <c r="O62" s="82"/>
      <c r="P62" s="95"/>
      <c r="Q62" s="95"/>
      <c r="R62" s="40"/>
      <c r="S62" s="40"/>
      <c r="T62" s="40"/>
      <c r="U62" s="40"/>
      <c r="V62" s="40"/>
      <c r="W62" s="40"/>
      <c r="X62" s="40"/>
    </row>
    <row r="63" spans="1:24" ht="13.2">
      <c r="P63" s="95"/>
      <c r="Q63" s="95"/>
      <c r="R63" s="40"/>
      <c r="S63" s="40"/>
      <c r="T63" s="40"/>
      <c r="U63" s="40"/>
      <c r="V63" s="40"/>
      <c r="W63" s="40"/>
      <c r="X63" s="40"/>
    </row>
    <row r="64" spans="1:24" ht="13.2">
      <c r="P64" s="95"/>
      <c r="Q64" s="95"/>
      <c r="R64" s="40"/>
      <c r="S64" s="40"/>
      <c r="T64" s="40"/>
      <c r="U64" s="40"/>
      <c r="V64" s="40"/>
      <c r="W64" s="40"/>
      <c r="X64" s="40"/>
    </row>
    <row r="65" spans="16:24" ht="13.2">
      <c r="P65" s="96"/>
      <c r="Q65" s="96"/>
      <c r="R65" s="40"/>
      <c r="S65" s="40"/>
      <c r="T65" s="40"/>
      <c r="U65" s="40"/>
      <c r="V65" s="40"/>
      <c r="W65" s="40"/>
      <c r="X65" s="40"/>
    </row>
    <row r="66" spans="16:24" ht="13.2">
      <c r="P66" s="97"/>
      <c r="Q66" s="98"/>
      <c r="R66" s="98"/>
      <c r="S66" s="98"/>
      <c r="T66" s="98"/>
      <c r="U66" s="99"/>
      <c r="V66" s="100"/>
      <c r="W66" s="101"/>
      <c r="X66" s="27"/>
    </row>
    <row r="67" spans="16:24" ht="13.2">
      <c r="P67" s="102"/>
      <c r="Q67" s="102"/>
      <c r="R67" s="103"/>
      <c r="S67" s="103"/>
      <c r="T67" s="103"/>
      <c r="U67" s="104"/>
      <c r="V67" s="104"/>
      <c r="W67" s="104"/>
      <c r="X67" s="104"/>
    </row>
  </sheetData>
  <sheetProtection selectLockedCells="1"/>
  <mergeCells count="16">
    <mergeCell ref="A38:B38"/>
    <mergeCell ref="C38:D38"/>
    <mergeCell ref="A53:E53"/>
    <mergeCell ref="F53:G53"/>
    <mergeCell ref="L9:M9"/>
    <mergeCell ref="C11:D11"/>
    <mergeCell ref="G11:K11"/>
    <mergeCell ref="C12:D12"/>
    <mergeCell ref="A13:M13"/>
    <mergeCell ref="A15:F16"/>
    <mergeCell ref="E54:H54"/>
    <mergeCell ref="J59:M59"/>
    <mergeCell ref="J61:M61"/>
    <mergeCell ref="I21:K21"/>
    <mergeCell ref="J27:K27"/>
    <mergeCell ref="L27:M27"/>
  </mergeCells>
  <conditionalFormatting sqref="L51:M51">
    <cfRule type="cellIs" dxfId="1" priority="1" operator="equal">
      <formula>"Acceptable"</formula>
    </cfRule>
    <cfRule type="cellIs" dxfId="0" priority="2" operator="equal">
      <formula>"Unacceptable"</formula>
    </cfRule>
  </conditionalFormatting>
  <dataValidations count="2">
    <dataValidation type="list" allowBlank="1" showInputMessage="1" showErrorMessage="1" sqref="F53:G53 JB53:JC53 SX53:SY53 ACT53:ACU53 AMP53:AMQ53 AWL53:AWM53 BGH53:BGI53 BQD53:BQE53 BZZ53:CAA53 CJV53:CJW53 CTR53:CTS53 DDN53:DDO53 DNJ53:DNK53 DXF53:DXG53 EHB53:EHC53 EQX53:EQY53 FAT53:FAU53 FKP53:FKQ53 FUL53:FUM53 GEH53:GEI53 GOD53:GOE53 GXZ53:GYA53 HHV53:HHW53 HRR53:HRS53 IBN53:IBO53 ILJ53:ILK53 IVF53:IVG53 JFB53:JFC53 JOX53:JOY53 JYT53:JYU53 KIP53:KIQ53 KSL53:KSM53 LCH53:LCI53 LMD53:LME53 LVZ53:LWA53 MFV53:MFW53 MPR53:MPS53 MZN53:MZO53 NJJ53:NJK53 NTF53:NTG53 ODB53:ODC53 OMX53:OMY53 OWT53:OWU53 PGP53:PGQ53 PQL53:PQM53 QAH53:QAI53 QKD53:QKE53 QTZ53:QUA53 RDV53:RDW53 RNR53:RNS53 RXN53:RXO53 SHJ53:SHK53 SRF53:SRG53 TBB53:TBC53 TKX53:TKY53 TUT53:TUU53 UEP53:UEQ53 UOL53:UOM53 UYH53:UYI53 VID53:VIE53 VRZ53:VSA53 WBV53:WBW53 WLR53:WLS53 WVN53:WVO53 F65589:G65589 JB65589:JC65589 SX65589:SY65589 ACT65589:ACU65589 AMP65589:AMQ65589 AWL65589:AWM65589 BGH65589:BGI65589 BQD65589:BQE65589 BZZ65589:CAA65589 CJV65589:CJW65589 CTR65589:CTS65589 DDN65589:DDO65589 DNJ65589:DNK65589 DXF65589:DXG65589 EHB65589:EHC65589 EQX65589:EQY65589 FAT65589:FAU65589 FKP65589:FKQ65589 FUL65589:FUM65589 GEH65589:GEI65589 GOD65589:GOE65589 GXZ65589:GYA65589 HHV65589:HHW65589 HRR65589:HRS65589 IBN65589:IBO65589 ILJ65589:ILK65589 IVF65589:IVG65589 JFB65589:JFC65589 JOX65589:JOY65589 JYT65589:JYU65589 KIP65589:KIQ65589 KSL65589:KSM65589 LCH65589:LCI65589 LMD65589:LME65589 LVZ65589:LWA65589 MFV65589:MFW65589 MPR65589:MPS65589 MZN65589:MZO65589 NJJ65589:NJK65589 NTF65589:NTG65589 ODB65589:ODC65589 OMX65589:OMY65589 OWT65589:OWU65589 PGP65589:PGQ65589 PQL65589:PQM65589 QAH65589:QAI65589 QKD65589:QKE65589 QTZ65589:QUA65589 RDV65589:RDW65589 RNR65589:RNS65589 RXN65589:RXO65589 SHJ65589:SHK65589 SRF65589:SRG65589 TBB65589:TBC65589 TKX65589:TKY65589 TUT65589:TUU65589 UEP65589:UEQ65589 UOL65589:UOM65589 UYH65589:UYI65589 VID65589:VIE65589 VRZ65589:VSA65589 WBV65589:WBW65589 WLR65589:WLS65589 WVN65589:WVO65589 F131125:G131125 JB131125:JC131125 SX131125:SY131125 ACT131125:ACU131125 AMP131125:AMQ131125 AWL131125:AWM131125 BGH131125:BGI131125 BQD131125:BQE131125 BZZ131125:CAA131125 CJV131125:CJW131125 CTR131125:CTS131125 DDN131125:DDO131125 DNJ131125:DNK131125 DXF131125:DXG131125 EHB131125:EHC131125 EQX131125:EQY131125 FAT131125:FAU131125 FKP131125:FKQ131125 FUL131125:FUM131125 GEH131125:GEI131125 GOD131125:GOE131125 GXZ131125:GYA131125 HHV131125:HHW131125 HRR131125:HRS131125 IBN131125:IBO131125 ILJ131125:ILK131125 IVF131125:IVG131125 JFB131125:JFC131125 JOX131125:JOY131125 JYT131125:JYU131125 KIP131125:KIQ131125 KSL131125:KSM131125 LCH131125:LCI131125 LMD131125:LME131125 LVZ131125:LWA131125 MFV131125:MFW131125 MPR131125:MPS131125 MZN131125:MZO131125 NJJ131125:NJK131125 NTF131125:NTG131125 ODB131125:ODC131125 OMX131125:OMY131125 OWT131125:OWU131125 PGP131125:PGQ131125 PQL131125:PQM131125 QAH131125:QAI131125 QKD131125:QKE131125 QTZ131125:QUA131125 RDV131125:RDW131125 RNR131125:RNS131125 RXN131125:RXO131125 SHJ131125:SHK131125 SRF131125:SRG131125 TBB131125:TBC131125 TKX131125:TKY131125 TUT131125:TUU131125 UEP131125:UEQ131125 UOL131125:UOM131125 UYH131125:UYI131125 VID131125:VIE131125 VRZ131125:VSA131125 WBV131125:WBW131125 WLR131125:WLS131125 WVN131125:WVO131125 F196661:G196661 JB196661:JC196661 SX196661:SY196661 ACT196661:ACU196661 AMP196661:AMQ196661 AWL196661:AWM196661 BGH196661:BGI196661 BQD196661:BQE196661 BZZ196661:CAA196661 CJV196661:CJW196661 CTR196661:CTS196661 DDN196661:DDO196661 DNJ196661:DNK196661 DXF196661:DXG196661 EHB196661:EHC196661 EQX196661:EQY196661 FAT196661:FAU196661 FKP196661:FKQ196661 FUL196661:FUM196661 GEH196661:GEI196661 GOD196661:GOE196661 GXZ196661:GYA196661 HHV196661:HHW196661 HRR196661:HRS196661 IBN196661:IBO196661 ILJ196661:ILK196661 IVF196661:IVG196661 JFB196661:JFC196661 JOX196661:JOY196661 JYT196661:JYU196661 KIP196661:KIQ196661 KSL196661:KSM196661 LCH196661:LCI196661 LMD196661:LME196661 LVZ196661:LWA196661 MFV196661:MFW196661 MPR196661:MPS196661 MZN196661:MZO196661 NJJ196661:NJK196661 NTF196661:NTG196661 ODB196661:ODC196661 OMX196661:OMY196661 OWT196661:OWU196661 PGP196661:PGQ196661 PQL196661:PQM196661 QAH196661:QAI196661 QKD196661:QKE196661 QTZ196661:QUA196661 RDV196661:RDW196661 RNR196661:RNS196661 RXN196661:RXO196661 SHJ196661:SHK196661 SRF196661:SRG196661 TBB196661:TBC196661 TKX196661:TKY196661 TUT196661:TUU196661 UEP196661:UEQ196661 UOL196661:UOM196661 UYH196661:UYI196661 VID196661:VIE196661 VRZ196661:VSA196661 WBV196661:WBW196661 WLR196661:WLS196661 WVN196661:WVO196661 F262197:G262197 JB262197:JC262197 SX262197:SY262197 ACT262197:ACU262197 AMP262197:AMQ262197 AWL262197:AWM262197 BGH262197:BGI262197 BQD262197:BQE262197 BZZ262197:CAA262197 CJV262197:CJW262197 CTR262197:CTS262197 DDN262197:DDO262197 DNJ262197:DNK262197 DXF262197:DXG262197 EHB262197:EHC262197 EQX262197:EQY262197 FAT262197:FAU262197 FKP262197:FKQ262197 FUL262197:FUM262197 GEH262197:GEI262197 GOD262197:GOE262197 GXZ262197:GYA262197 HHV262197:HHW262197 HRR262197:HRS262197 IBN262197:IBO262197 ILJ262197:ILK262197 IVF262197:IVG262197 JFB262197:JFC262197 JOX262197:JOY262197 JYT262197:JYU262197 KIP262197:KIQ262197 KSL262197:KSM262197 LCH262197:LCI262197 LMD262197:LME262197 LVZ262197:LWA262197 MFV262197:MFW262197 MPR262197:MPS262197 MZN262197:MZO262197 NJJ262197:NJK262197 NTF262197:NTG262197 ODB262197:ODC262197 OMX262197:OMY262197 OWT262197:OWU262197 PGP262197:PGQ262197 PQL262197:PQM262197 QAH262197:QAI262197 QKD262197:QKE262197 QTZ262197:QUA262197 RDV262197:RDW262197 RNR262197:RNS262197 RXN262197:RXO262197 SHJ262197:SHK262197 SRF262197:SRG262197 TBB262197:TBC262197 TKX262197:TKY262197 TUT262197:TUU262197 UEP262197:UEQ262197 UOL262197:UOM262197 UYH262197:UYI262197 VID262197:VIE262197 VRZ262197:VSA262197 WBV262197:WBW262197 WLR262197:WLS262197 WVN262197:WVO262197 F327733:G327733 JB327733:JC327733 SX327733:SY327733 ACT327733:ACU327733 AMP327733:AMQ327733 AWL327733:AWM327733 BGH327733:BGI327733 BQD327733:BQE327733 BZZ327733:CAA327733 CJV327733:CJW327733 CTR327733:CTS327733 DDN327733:DDO327733 DNJ327733:DNK327733 DXF327733:DXG327733 EHB327733:EHC327733 EQX327733:EQY327733 FAT327733:FAU327733 FKP327733:FKQ327733 FUL327733:FUM327733 GEH327733:GEI327733 GOD327733:GOE327733 GXZ327733:GYA327733 HHV327733:HHW327733 HRR327733:HRS327733 IBN327733:IBO327733 ILJ327733:ILK327733 IVF327733:IVG327733 JFB327733:JFC327733 JOX327733:JOY327733 JYT327733:JYU327733 KIP327733:KIQ327733 KSL327733:KSM327733 LCH327733:LCI327733 LMD327733:LME327733 LVZ327733:LWA327733 MFV327733:MFW327733 MPR327733:MPS327733 MZN327733:MZO327733 NJJ327733:NJK327733 NTF327733:NTG327733 ODB327733:ODC327733 OMX327733:OMY327733 OWT327733:OWU327733 PGP327733:PGQ327733 PQL327733:PQM327733 QAH327733:QAI327733 QKD327733:QKE327733 QTZ327733:QUA327733 RDV327733:RDW327733 RNR327733:RNS327733 RXN327733:RXO327733 SHJ327733:SHK327733 SRF327733:SRG327733 TBB327733:TBC327733 TKX327733:TKY327733 TUT327733:TUU327733 UEP327733:UEQ327733 UOL327733:UOM327733 UYH327733:UYI327733 VID327733:VIE327733 VRZ327733:VSA327733 WBV327733:WBW327733 WLR327733:WLS327733 WVN327733:WVO327733 F393269:G393269 JB393269:JC393269 SX393269:SY393269 ACT393269:ACU393269 AMP393269:AMQ393269 AWL393269:AWM393269 BGH393269:BGI393269 BQD393269:BQE393269 BZZ393269:CAA393269 CJV393269:CJW393269 CTR393269:CTS393269 DDN393269:DDO393269 DNJ393269:DNK393269 DXF393269:DXG393269 EHB393269:EHC393269 EQX393269:EQY393269 FAT393269:FAU393269 FKP393269:FKQ393269 FUL393269:FUM393269 GEH393269:GEI393269 GOD393269:GOE393269 GXZ393269:GYA393269 HHV393269:HHW393269 HRR393269:HRS393269 IBN393269:IBO393269 ILJ393269:ILK393269 IVF393269:IVG393269 JFB393269:JFC393269 JOX393269:JOY393269 JYT393269:JYU393269 KIP393269:KIQ393269 KSL393269:KSM393269 LCH393269:LCI393269 LMD393269:LME393269 LVZ393269:LWA393269 MFV393269:MFW393269 MPR393269:MPS393269 MZN393269:MZO393269 NJJ393269:NJK393269 NTF393269:NTG393269 ODB393269:ODC393269 OMX393269:OMY393269 OWT393269:OWU393269 PGP393269:PGQ393269 PQL393269:PQM393269 QAH393269:QAI393269 QKD393269:QKE393269 QTZ393269:QUA393269 RDV393269:RDW393269 RNR393269:RNS393269 RXN393269:RXO393269 SHJ393269:SHK393269 SRF393269:SRG393269 TBB393269:TBC393269 TKX393269:TKY393269 TUT393269:TUU393269 UEP393269:UEQ393269 UOL393269:UOM393269 UYH393269:UYI393269 VID393269:VIE393269 VRZ393269:VSA393269 WBV393269:WBW393269 WLR393269:WLS393269 WVN393269:WVO393269 F458805:G458805 JB458805:JC458805 SX458805:SY458805 ACT458805:ACU458805 AMP458805:AMQ458805 AWL458805:AWM458805 BGH458805:BGI458805 BQD458805:BQE458805 BZZ458805:CAA458805 CJV458805:CJW458805 CTR458805:CTS458805 DDN458805:DDO458805 DNJ458805:DNK458805 DXF458805:DXG458805 EHB458805:EHC458805 EQX458805:EQY458805 FAT458805:FAU458805 FKP458805:FKQ458805 FUL458805:FUM458805 GEH458805:GEI458805 GOD458805:GOE458805 GXZ458805:GYA458805 HHV458805:HHW458805 HRR458805:HRS458805 IBN458805:IBO458805 ILJ458805:ILK458805 IVF458805:IVG458805 JFB458805:JFC458805 JOX458805:JOY458805 JYT458805:JYU458805 KIP458805:KIQ458805 KSL458805:KSM458805 LCH458805:LCI458805 LMD458805:LME458805 LVZ458805:LWA458805 MFV458805:MFW458805 MPR458805:MPS458805 MZN458805:MZO458805 NJJ458805:NJK458805 NTF458805:NTG458805 ODB458805:ODC458805 OMX458805:OMY458805 OWT458805:OWU458805 PGP458805:PGQ458805 PQL458805:PQM458805 QAH458805:QAI458805 QKD458805:QKE458805 QTZ458805:QUA458805 RDV458805:RDW458805 RNR458805:RNS458805 RXN458805:RXO458805 SHJ458805:SHK458805 SRF458805:SRG458805 TBB458805:TBC458805 TKX458805:TKY458805 TUT458805:TUU458805 UEP458805:UEQ458805 UOL458805:UOM458805 UYH458805:UYI458805 VID458805:VIE458805 VRZ458805:VSA458805 WBV458805:WBW458805 WLR458805:WLS458805 WVN458805:WVO458805 F524341:G524341 JB524341:JC524341 SX524341:SY524341 ACT524341:ACU524341 AMP524341:AMQ524341 AWL524341:AWM524341 BGH524341:BGI524341 BQD524341:BQE524341 BZZ524341:CAA524341 CJV524341:CJW524341 CTR524341:CTS524341 DDN524341:DDO524341 DNJ524341:DNK524341 DXF524341:DXG524341 EHB524341:EHC524341 EQX524341:EQY524341 FAT524341:FAU524341 FKP524341:FKQ524341 FUL524341:FUM524341 GEH524341:GEI524341 GOD524341:GOE524341 GXZ524341:GYA524341 HHV524341:HHW524341 HRR524341:HRS524341 IBN524341:IBO524341 ILJ524341:ILK524341 IVF524341:IVG524341 JFB524341:JFC524341 JOX524341:JOY524341 JYT524341:JYU524341 KIP524341:KIQ524341 KSL524341:KSM524341 LCH524341:LCI524341 LMD524341:LME524341 LVZ524341:LWA524341 MFV524341:MFW524341 MPR524341:MPS524341 MZN524341:MZO524341 NJJ524341:NJK524341 NTF524341:NTG524341 ODB524341:ODC524341 OMX524341:OMY524341 OWT524341:OWU524341 PGP524341:PGQ524341 PQL524341:PQM524341 QAH524341:QAI524341 QKD524341:QKE524341 QTZ524341:QUA524341 RDV524341:RDW524341 RNR524341:RNS524341 RXN524341:RXO524341 SHJ524341:SHK524341 SRF524341:SRG524341 TBB524341:TBC524341 TKX524341:TKY524341 TUT524341:TUU524341 UEP524341:UEQ524341 UOL524341:UOM524341 UYH524341:UYI524341 VID524341:VIE524341 VRZ524341:VSA524341 WBV524341:WBW524341 WLR524341:WLS524341 WVN524341:WVO524341 F589877:G589877 JB589877:JC589877 SX589877:SY589877 ACT589877:ACU589877 AMP589877:AMQ589877 AWL589877:AWM589877 BGH589877:BGI589877 BQD589877:BQE589877 BZZ589877:CAA589877 CJV589877:CJW589877 CTR589877:CTS589877 DDN589877:DDO589877 DNJ589877:DNK589877 DXF589877:DXG589877 EHB589877:EHC589877 EQX589877:EQY589877 FAT589877:FAU589877 FKP589877:FKQ589877 FUL589877:FUM589877 GEH589877:GEI589877 GOD589877:GOE589877 GXZ589877:GYA589877 HHV589877:HHW589877 HRR589877:HRS589877 IBN589877:IBO589877 ILJ589877:ILK589877 IVF589877:IVG589877 JFB589877:JFC589877 JOX589877:JOY589877 JYT589877:JYU589877 KIP589877:KIQ589877 KSL589877:KSM589877 LCH589877:LCI589877 LMD589877:LME589877 LVZ589877:LWA589877 MFV589877:MFW589877 MPR589877:MPS589877 MZN589877:MZO589877 NJJ589877:NJK589877 NTF589877:NTG589877 ODB589877:ODC589877 OMX589877:OMY589877 OWT589877:OWU589877 PGP589877:PGQ589877 PQL589877:PQM589877 QAH589877:QAI589877 QKD589877:QKE589877 QTZ589877:QUA589877 RDV589877:RDW589877 RNR589877:RNS589877 RXN589877:RXO589877 SHJ589877:SHK589877 SRF589877:SRG589877 TBB589877:TBC589877 TKX589877:TKY589877 TUT589877:TUU589877 UEP589877:UEQ589877 UOL589877:UOM589877 UYH589877:UYI589877 VID589877:VIE589877 VRZ589877:VSA589877 WBV589877:WBW589877 WLR589877:WLS589877 WVN589877:WVO589877 F655413:G655413 JB655413:JC655413 SX655413:SY655413 ACT655413:ACU655413 AMP655413:AMQ655413 AWL655413:AWM655413 BGH655413:BGI655413 BQD655413:BQE655413 BZZ655413:CAA655413 CJV655413:CJW655413 CTR655413:CTS655413 DDN655413:DDO655413 DNJ655413:DNK655413 DXF655413:DXG655413 EHB655413:EHC655413 EQX655413:EQY655413 FAT655413:FAU655413 FKP655413:FKQ655413 FUL655413:FUM655413 GEH655413:GEI655413 GOD655413:GOE655413 GXZ655413:GYA655413 HHV655413:HHW655413 HRR655413:HRS655413 IBN655413:IBO655413 ILJ655413:ILK655413 IVF655413:IVG655413 JFB655413:JFC655413 JOX655413:JOY655413 JYT655413:JYU655413 KIP655413:KIQ655413 KSL655413:KSM655413 LCH655413:LCI655413 LMD655413:LME655413 LVZ655413:LWA655413 MFV655413:MFW655413 MPR655413:MPS655413 MZN655413:MZO655413 NJJ655413:NJK655413 NTF655413:NTG655413 ODB655413:ODC655413 OMX655413:OMY655413 OWT655413:OWU655413 PGP655413:PGQ655413 PQL655413:PQM655413 QAH655413:QAI655413 QKD655413:QKE655413 QTZ655413:QUA655413 RDV655413:RDW655413 RNR655413:RNS655413 RXN655413:RXO655413 SHJ655413:SHK655413 SRF655413:SRG655413 TBB655413:TBC655413 TKX655413:TKY655413 TUT655413:TUU655413 UEP655413:UEQ655413 UOL655413:UOM655413 UYH655413:UYI655413 VID655413:VIE655413 VRZ655413:VSA655413 WBV655413:WBW655413 WLR655413:WLS655413 WVN655413:WVO655413 F720949:G720949 JB720949:JC720949 SX720949:SY720949 ACT720949:ACU720949 AMP720949:AMQ720949 AWL720949:AWM720949 BGH720949:BGI720949 BQD720949:BQE720949 BZZ720949:CAA720949 CJV720949:CJW720949 CTR720949:CTS720949 DDN720949:DDO720949 DNJ720949:DNK720949 DXF720949:DXG720949 EHB720949:EHC720949 EQX720949:EQY720949 FAT720949:FAU720949 FKP720949:FKQ720949 FUL720949:FUM720949 GEH720949:GEI720949 GOD720949:GOE720949 GXZ720949:GYA720949 HHV720949:HHW720949 HRR720949:HRS720949 IBN720949:IBO720949 ILJ720949:ILK720949 IVF720949:IVG720949 JFB720949:JFC720949 JOX720949:JOY720949 JYT720949:JYU720949 KIP720949:KIQ720949 KSL720949:KSM720949 LCH720949:LCI720949 LMD720949:LME720949 LVZ720949:LWA720949 MFV720949:MFW720949 MPR720949:MPS720949 MZN720949:MZO720949 NJJ720949:NJK720949 NTF720949:NTG720949 ODB720949:ODC720949 OMX720949:OMY720949 OWT720949:OWU720949 PGP720949:PGQ720949 PQL720949:PQM720949 QAH720949:QAI720949 QKD720949:QKE720949 QTZ720949:QUA720949 RDV720949:RDW720949 RNR720949:RNS720949 RXN720949:RXO720949 SHJ720949:SHK720949 SRF720949:SRG720949 TBB720949:TBC720949 TKX720949:TKY720949 TUT720949:TUU720949 UEP720949:UEQ720949 UOL720949:UOM720949 UYH720949:UYI720949 VID720949:VIE720949 VRZ720949:VSA720949 WBV720949:WBW720949 WLR720949:WLS720949 WVN720949:WVO720949 F786485:G786485 JB786485:JC786485 SX786485:SY786485 ACT786485:ACU786485 AMP786485:AMQ786485 AWL786485:AWM786485 BGH786485:BGI786485 BQD786485:BQE786485 BZZ786485:CAA786485 CJV786485:CJW786485 CTR786485:CTS786485 DDN786485:DDO786485 DNJ786485:DNK786485 DXF786485:DXG786485 EHB786485:EHC786485 EQX786485:EQY786485 FAT786485:FAU786485 FKP786485:FKQ786485 FUL786485:FUM786485 GEH786485:GEI786485 GOD786485:GOE786485 GXZ786485:GYA786485 HHV786485:HHW786485 HRR786485:HRS786485 IBN786485:IBO786485 ILJ786485:ILK786485 IVF786485:IVG786485 JFB786485:JFC786485 JOX786485:JOY786485 JYT786485:JYU786485 KIP786485:KIQ786485 KSL786485:KSM786485 LCH786485:LCI786485 LMD786485:LME786485 LVZ786485:LWA786485 MFV786485:MFW786485 MPR786485:MPS786485 MZN786485:MZO786485 NJJ786485:NJK786485 NTF786485:NTG786485 ODB786485:ODC786485 OMX786485:OMY786485 OWT786485:OWU786485 PGP786485:PGQ786485 PQL786485:PQM786485 QAH786485:QAI786485 QKD786485:QKE786485 QTZ786485:QUA786485 RDV786485:RDW786485 RNR786485:RNS786485 RXN786485:RXO786485 SHJ786485:SHK786485 SRF786485:SRG786485 TBB786485:TBC786485 TKX786485:TKY786485 TUT786485:TUU786485 UEP786485:UEQ786485 UOL786485:UOM786485 UYH786485:UYI786485 VID786485:VIE786485 VRZ786485:VSA786485 WBV786485:WBW786485 WLR786485:WLS786485 WVN786485:WVO786485 F852021:G852021 JB852021:JC852021 SX852021:SY852021 ACT852021:ACU852021 AMP852021:AMQ852021 AWL852021:AWM852021 BGH852021:BGI852021 BQD852021:BQE852021 BZZ852021:CAA852021 CJV852021:CJW852021 CTR852021:CTS852021 DDN852021:DDO852021 DNJ852021:DNK852021 DXF852021:DXG852021 EHB852021:EHC852021 EQX852021:EQY852021 FAT852021:FAU852021 FKP852021:FKQ852021 FUL852021:FUM852021 GEH852021:GEI852021 GOD852021:GOE852021 GXZ852021:GYA852021 HHV852021:HHW852021 HRR852021:HRS852021 IBN852021:IBO852021 ILJ852021:ILK852021 IVF852021:IVG852021 JFB852021:JFC852021 JOX852021:JOY852021 JYT852021:JYU852021 KIP852021:KIQ852021 KSL852021:KSM852021 LCH852021:LCI852021 LMD852021:LME852021 LVZ852021:LWA852021 MFV852021:MFW852021 MPR852021:MPS852021 MZN852021:MZO852021 NJJ852021:NJK852021 NTF852021:NTG852021 ODB852021:ODC852021 OMX852021:OMY852021 OWT852021:OWU852021 PGP852021:PGQ852021 PQL852021:PQM852021 QAH852021:QAI852021 QKD852021:QKE852021 QTZ852021:QUA852021 RDV852021:RDW852021 RNR852021:RNS852021 RXN852021:RXO852021 SHJ852021:SHK852021 SRF852021:SRG852021 TBB852021:TBC852021 TKX852021:TKY852021 TUT852021:TUU852021 UEP852021:UEQ852021 UOL852021:UOM852021 UYH852021:UYI852021 VID852021:VIE852021 VRZ852021:VSA852021 WBV852021:WBW852021 WLR852021:WLS852021 WVN852021:WVO852021 F917557:G917557 JB917557:JC917557 SX917557:SY917557 ACT917557:ACU917557 AMP917557:AMQ917557 AWL917557:AWM917557 BGH917557:BGI917557 BQD917557:BQE917557 BZZ917557:CAA917557 CJV917557:CJW917557 CTR917557:CTS917557 DDN917557:DDO917557 DNJ917557:DNK917557 DXF917557:DXG917557 EHB917557:EHC917557 EQX917557:EQY917557 FAT917557:FAU917557 FKP917557:FKQ917557 FUL917557:FUM917557 GEH917557:GEI917557 GOD917557:GOE917557 GXZ917557:GYA917557 HHV917557:HHW917557 HRR917557:HRS917557 IBN917557:IBO917557 ILJ917557:ILK917557 IVF917557:IVG917557 JFB917557:JFC917557 JOX917557:JOY917557 JYT917557:JYU917557 KIP917557:KIQ917557 KSL917557:KSM917557 LCH917557:LCI917557 LMD917557:LME917557 LVZ917557:LWA917557 MFV917557:MFW917557 MPR917557:MPS917557 MZN917557:MZO917557 NJJ917557:NJK917557 NTF917557:NTG917557 ODB917557:ODC917557 OMX917557:OMY917557 OWT917557:OWU917557 PGP917557:PGQ917557 PQL917557:PQM917557 QAH917557:QAI917557 QKD917557:QKE917557 QTZ917557:QUA917557 RDV917557:RDW917557 RNR917557:RNS917557 RXN917557:RXO917557 SHJ917557:SHK917557 SRF917557:SRG917557 TBB917557:TBC917557 TKX917557:TKY917557 TUT917557:TUU917557 UEP917557:UEQ917557 UOL917557:UOM917557 UYH917557:UYI917557 VID917557:VIE917557 VRZ917557:VSA917557 WBV917557:WBW917557 WLR917557:WLS917557 WVN917557:WVO917557 F983093:G983093 JB983093:JC983093 SX983093:SY983093 ACT983093:ACU983093 AMP983093:AMQ983093 AWL983093:AWM983093 BGH983093:BGI983093 BQD983093:BQE983093 BZZ983093:CAA983093 CJV983093:CJW983093 CTR983093:CTS983093 DDN983093:DDO983093 DNJ983093:DNK983093 DXF983093:DXG983093 EHB983093:EHC983093 EQX983093:EQY983093 FAT983093:FAU983093 FKP983093:FKQ983093 FUL983093:FUM983093 GEH983093:GEI983093 GOD983093:GOE983093 GXZ983093:GYA983093 HHV983093:HHW983093 HRR983093:HRS983093 IBN983093:IBO983093 ILJ983093:ILK983093 IVF983093:IVG983093 JFB983093:JFC983093 JOX983093:JOY983093 JYT983093:JYU983093 KIP983093:KIQ983093 KSL983093:KSM983093 LCH983093:LCI983093 LMD983093:LME983093 LVZ983093:LWA983093 MFV983093:MFW983093 MPR983093:MPS983093 MZN983093:MZO983093 NJJ983093:NJK983093 NTF983093:NTG983093 ODB983093:ODC983093 OMX983093:OMY983093 OWT983093:OWU983093 PGP983093:PGQ983093 PQL983093:PQM983093 QAH983093:QAI983093 QKD983093:QKE983093 QTZ983093:QUA983093 RDV983093:RDW983093 RNR983093:RNS983093 RXN983093:RXO983093 SHJ983093:SHK983093 SRF983093:SRG983093 TBB983093:TBC983093 TKX983093:TKY983093 TUT983093:TUU983093 UEP983093:UEQ983093 UOL983093:UOM983093 UYH983093:UYI983093 VID983093:VIE983093 VRZ983093:VSA983093 WBV983093:WBW983093 WLR983093:WLS983093 WVN983093:WVO983093" xr:uid="{20782CF6-4FF2-4B43-AD74-47193494F046}">
      <formula1>"This, Duplicate"</formula1>
    </dataValidation>
    <dataValidation type="list" showInputMessage="1" showErrorMessage="1" sqref="R38 JN38 TJ38 ADF38 ANB38 AWX38 BGT38 BQP38 CAL38 CKH38 CUD38 DDZ38 DNV38 DXR38 EHN38 ERJ38 FBF38 FLB38 FUX38 GET38 GOP38 GYL38 HIH38 HSD38 IBZ38 ILV38 IVR38 JFN38 JPJ38 JZF38 KJB38 KSX38 LCT38 LMP38 LWL38 MGH38 MQD38 MZZ38 NJV38 NTR38 ODN38 ONJ38 OXF38 PHB38 PQX38 QAT38 QKP38 QUL38 REH38 ROD38 RXZ38 SHV38 SRR38 TBN38 TLJ38 TVF38 UFB38 UOX38 UYT38 VIP38 VSL38 WCH38 WMD38 WVZ38 R65574 JN65574 TJ65574 ADF65574 ANB65574 AWX65574 BGT65574 BQP65574 CAL65574 CKH65574 CUD65574 DDZ65574 DNV65574 DXR65574 EHN65574 ERJ65574 FBF65574 FLB65574 FUX65574 GET65574 GOP65574 GYL65574 HIH65574 HSD65574 IBZ65574 ILV65574 IVR65574 JFN65574 JPJ65574 JZF65574 KJB65574 KSX65574 LCT65574 LMP65574 LWL65574 MGH65574 MQD65574 MZZ65574 NJV65574 NTR65574 ODN65574 ONJ65574 OXF65574 PHB65574 PQX65574 QAT65574 QKP65574 QUL65574 REH65574 ROD65574 RXZ65574 SHV65574 SRR65574 TBN65574 TLJ65574 TVF65574 UFB65574 UOX65574 UYT65574 VIP65574 VSL65574 WCH65574 WMD65574 WVZ65574 R131110 JN131110 TJ131110 ADF131110 ANB131110 AWX131110 BGT131110 BQP131110 CAL131110 CKH131110 CUD131110 DDZ131110 DNV131110 DXR131110 EHN131110 ERJ131110 FBF131110 FLB131110 FUX131110 GET131110 GOP131110 GYL131110 HIH131110 HSD131110 IBZ131110 ILV131110 IVR131110 JFN131110 JPJ131110 JZF131110 KJB131110 KSX131110 LCT131110 LMP131110 LWL131110 MGH131110 MQD131110 MZZ131110 NJV131110 NTR131110 ODN131110 ONJ131110 OXF131110 PHB131110 PQX131110 QAT131110 QKP131110 QUL131110 REH131110 ROD131110 RXZ131110 SHV131110 SRR131110 TBN131110 TLJ131110 TVF131110 UFB131110 UOX131110 UYT131110 VIP131110 VSL131110 WCH131110 WMD131110 WVZ131110 R196646 JN196646 TJ196646 ADF196646 ANB196646 AWX196646 BGT196646 BQP196646 CAL196646 CKH196646 CUD196646 DDZ196646 DNV196646 DXR196646 EHN196646 ERJ196646 FBF196646 FLB196646 FUX196646 GET196646 GOP196646 GYL196646 HIH196646 HSD196646 IBZ196646 ILV196646 IVR196646 JFN196646 JPJ196646 JZF196646 KJB196646 KSX196646 LCT196646 LMP196646 LWL196646 MGH196646 MQD196646 MZZ196646 NJV196646 NTR196646 ODN196646 ONJ196646 OXF196646 PHB196646 PQX196646 QAT196646 QKP196646 QUL196646 REH196646 ROD196646 RXZ196646 SHV196646 SRR196646 TBN196646 TLJ196646 TVF196646 UFB196646 UOX196646 UYT196646 VIP196646 VSL196646 WCH196646 WMD196646 WVZ196646 R262182 JN262182 TJ262182 ADF262182 ANB262182 AWX262182 BGT262182 BQP262182 CAL262182 CKH262182 CUD262182 DDZ262182 DNV262182 DXR262182 EHN262182 ERJ262182 FBF262182 FLB262182 FUX262182 GET262182 GOP262182 GYL262182 HIH262182 HSD262182 IBZ262182 ILV262182 IVR262182 JFN262182 JPJ262182 JZF262182 KJB262182 KSX262182 LCT262182 LMP262182 LWL262182 MGH262182 MQD262182 MZZ262182 NJV262182 NTR262182 ODN262182 ONJ262182 OXF262182 PHB262182 PQX262182 QAT262182 QKP262182 QUL262182 REH262182 ROD262182 RXZ262182 SHV262182 SRR262182 TBN262182 TLJ262182 TVF262182 UFB262182 UOX262182 UYT262182 VIP262182 VSL262182 WCH262182 WMD262182 WVZ262182 R327718 JN327718 TJ327718 ADF327718 ANB327718 AWX327718 BGT327718 BQP327718 CAL327718 CKH327718 CUD327718 DDZ327718 DNV327718 DXR327718 EHN327718 ERJ327718 FBF327718 FLB327718 FUX327718 GET327718 GOP327718 GYL327718 HIH327718 HSD327718 IBZ327718 ILV327718 IVR327718 JFN327718 JPJ327718 JZF327718 KJB327718 KSX327718 LCT327718 LMP327718 LWL327718 MGH327718 MQD327718 MZZ327718 NJV327718 NTR327718 ODN327718 ONJ327718 OXF327718 PHB327718 PQX327718 QAT327718 QKP327718 QUL327718 REH327718 ROD327718 RXZ327718 SHV327718 SRR327718 TBN327718 TLJ327718 TVF327718 UFB327718 UOX327718 UYT327718 VIP327718 VSL327718 WCH327718 WMD327718 WVZ327718 R393254 JN393254 TJ393254 ADF393254 ANB393254 AWX393254 BGT393254 BQP393254 CAL393254 CKH393254 CUD393254 DDZ393254 DNV393254 DXR393254 EHN393254 ERJ393254 FBF393254 FLB393254 FUX393254 GET393254 GOP393254 GYL393254 HIH393254 HSD393254 IBZ393254 ILV393254 IVR393254 JFN393254 JPJ393254 JZF393254 KJB393254 KSX393254 LCT393254 LMP393254 LWL393254 MGH393254 MQD393254 MZZ393254 NJV393254 NTR393254 ODN393254 ONJ393254 OXF393254 PHB393254 PQX393254 QAT393254 QKP393254 QUL393254 REH393254 ROD393254 RXZ393254 SHV393254 SRR393254 TBN393254 TLJ393254 TVF393254 UFB393254 UOX393254 UYT393254 VIP393254 VSL393254 WCH393254 WMD393254 WVZ393254 R458790 JN458790 TJ458790 ADF458790 ANB458790 AWX458790 BGT458790 BQP458790 CAL458790 CKH458790 CUD458790 DDZ458790 DNV458790 DXR458790 EHN458790 ERJ458790 FBF458790 FLB458790 FUX458790 GET458790 GOP458790 GYL458790 HIH458790 HSD458790 IBZ458790 ILV458790 IVR458790 JFN458790 JPJ458790 JZF458790 KJB458790 KSX458790 LCT458790 LMP458790 LWL458790 MGH458790 MQD458790 MZZ458790 NJV458790 NTR458790 ODN458790 ONJ458790 OXF458790 PHB458790 PQX458790 QAT458790 QKP458790 QUL458790 REH458790 ROD458790 RXZ458790 SHV458790 SRR458790 TBN458790 TLJ458790 TVF458790 UFB458790 UOX458790 UYT458790 VIP458790 VSL458790 WCH458790 WMD458790 WVZ458790 R524326 JN524326 TJ524326 ADF524326 ANB524326 AWX524326 BGT524326 BQP524326 CAL524326 CKH524326 CUD524326 DDZ524326 DNV524326 DXR524326 EHN524326 ERJ524326 FBF524326 FLB524326 FUX524326 GET524326 GOP524326 GYL524326 HIH524326 HSD524326 IBZ524326 ILV524326 IVR524326 JFN524326 JPJ524326 JZF524326 KJB524326 KSX524326 LCT524326 LMP524326 LWL524326 MGH524326 MQD524326 MZZ524326 NJV524326 NTR524326 ODN524326 ONJ524326 OXF524326 PHB524326 PQX524326 QAT524326 QKP524326 QUL524326 REH524326 ROD524326 RXZ524326 SHV524326 SRR524326 TBN524326 TLJ524326 TVF524326 UFB524326 UOX524326 UYT524326 VIP524326 VSL524326 WCH524326 WMD524326 WVZ524326 R589862 JN589862 TJ589862 ADF589862 ANB589862 AWX589862 BGT589862 BQP589862 CAL589862 CKH589862 CUD589862 DDZ589862 DNV589862 DXR589862 EHN589862 ERJ589862 FBF589862 FLB589862 FUX589862 GET589862 GOP589862 GYL589862 HIH589862 HSD589862 IBZ589862 ILV589862 IVR589862 JFN589862 JPJ589862 JZF589862 KJB589862 KSX589862 LCT589862 LMP589862 LWL589862 MGH589862 MQD589862 MZZ589862 NJV589862 NTR589862 ODN589862 ONJ589862 OXF589862 PHB589862 PQX589862 QAT589862 QKP589862 QUL589862 REH589862 ROD589862 RXZ589862 SHV589862 SRR589862 TBN589862 TLJ589862 TVF589862 UFB589862 UOX589862 UYT589862 VIP589862 VSL589862 WCH589862 WMD589862 WVZ589862 R655398 JN655398 TJ655398 ADF655398 ANB655398 AWX655398 BGT655398 BQP655398 CAL655398 CKH655398 CUD655398 DDZ655398 DNV655398 DXR655398 EHN655398 ERJ655398 FBF655398 FLB655398 FUX655398 GET655398 GOP655398 GYL655398 HIH655398 HSD655398 IBZ655398 ILV655398 IVR655398 JFN655398 JPJ655398 JZF655398 KJB655398 KSX655398 LCT655398 LMP655398 LWL655398 MGH655398 MQD655398 MZZ655398 NJV655398 NTR655398 ODN655398 ONJ655398 OXF655398 PHB655398 PQX655398 QAT655398 QKP655398 QUL655398 REH655398 ROD655398 RXZ655398 SHV655398 SRR655398 TBN655398 TLJ655398 TVF655398 UFB655398 UOX655398 UYT655398 VIP655398 VSL655398 WCH655398 WMD655398 WVZ655398 R720934 JN720934 TJ720934 ADF720934 ANB720934 AWX720934 BGT720934 BQP720934 CAL720934 CKH720934 CUD720934 DDZ720934 DNV720934 DXR720934 EHN720934 ERJ720934 FBF720934 FLB720934 FUX720934 GET720934 GOP720934 GYL720934 HIH720934 HSD720934 IBZ720934 ILV720934 IVR720934 JFN720934 JPJ720934 JZF720934 KJB720934 KSX720934 LCT720934 LMP720934 LWL720934 MGH720934 MQD720934 MZZ720934 NJV720934 NTR720934 ODN720934 ONJ720934 OXF720934 PHB720934 PQX720934 QAT720934 QKP720934 QUL720934 REH720934 ROD720934 RXZ720934 SHV720934 SRR720934 TBN720934 TLJ720934 TVF720934 UFB720934 UOX720934 UYT720934 VIP720934 VSL720934 WCH720934 WMD720934 WVZ720934 R786470 JN786470 TJ786470 ADF786470 ANB786470 AWX786470 BGT786470 BQP786470 CAL786470 CKH786470 CUD786470 DDZ786470 DNV786470 DXR786470 EHN786470 ERJ786470 FBF786470 FLB786470 FUX786470 GET786470 GOP786470 GYL786470 HIH786470 HSD786470 IBZ786470 ILV786470 IVR786470 JFN786470 JPJ786470 JZF786470 KJB786470 KSX786470 LCT786470 LMP786470 LWL786470 MGH786470 MQD786470 MZZ786470 NJV786470 NTR786470 ODN786470 ONJ786470 OXF786470 PHB786470 PQX786470 QAT786470 QKP786470 QUL786470 REH786470 ROD786470 RXZ786470 SHV786470 SRR786470 TBN786470 TLJ786470 TVF786470 UFB786470 UOX786470 UYT786470 VIP786470 VSL786470 WCH786470 WMD786470 WVZ786470 R852006 JN852006 TJ852006 ADF852006 ANB852006 AWX852006 BGT852006 BQP852006 CAL852006 CKH852006 CUD852006 DDZ852006 DNV852006 DXR852006 EHN852006 ERJ852006 FBF852006 FLB852006 FUX852006 GET852006 GOP852006 GYL852006 HIH852006 HSD852006 IBZ852006 ILV852006 IVR852006 JFN852006 JPJ852006 JZF852006 KJB852006 KSX852006 LCT852006 LMP852006 LWL852006 MGH852006 MQD852006 MZZ852006 NJV852006 NTR852006 ODN852006 ONJ852006 OXF852006 PHB852006 PQX852006 QAT852006 QKP852006 QUL852006 REH852006 ROD852006 RXZ852006 SHV852006 SRR852006 TBN852006 TLJ852006 TVF852006 UFB852006 UOX852006 UYT852006 VIP852006 VSL852006 WCH852006 WMD852006 WVZ852006 R917542 JN917542 TJ917542 ADF917542 ANB917542 AWX917542 BGT917542 BQP917542 CAL917542 CKH917542 CUD917542 DDZ917542 DNV917542 DXR917542 EHN917542 ERJ917542 FBF917542 FLB917542 FUX917542 GET917542 GOP917542 GYL917542 HIH917542 HSD917542 IBZ917542 ILV917542 IVR917542 JFN917542 JPJ917542 JZF917542 KJB917542 KSX917542 LCT917542 LMP917542 LWL917542 MGH917542 MQD917542 MZZ917542 NJV917542 NTR917542 ODN917542 ONJ917542 OXF917542 PHB917542 PQX917542 QAT917542 QKP917542 QUL917542 REH917542 ROD917542 RXZ917542 SHV917542 SRR917542 TBN917542 TLJ917542 TVF917542 UFB917542 UOX917542 UYT917542 VIP917542 VSL917542 WCH917542 WMD917542 WVZ917542 R983078 JN983078 TJ983078 ADF983078 ANB983078 AWX983078 BGT983078 BQP983078 CAL983078 CKH983078 CUD983078 DDZ983078 DNV983078 DXR983078 EHN983078 ERJ983078 FBF983078 FLB983078 FUX983078 GET983078 GOP983078 GYL983078 HIH983078 HSD983078 IBZ983078 ILV983078 IVR983078 JFN983078 JPJ983078 JZF983078 KJB983078 KSX983078 LCT983078 LMP983078 LWL983078 MGH983078 MQD983078 MZZ983078 NJV983078 NTR983078 ODN983078 ONJ983078 OXF983078 PHB983078 PQX983078 QAT983078 QKP983078 QUL983078 REH983078 ROD983078 RXZ983078 SHV983078 SRR983078 TBN983078 TLJ983078 TVF983078 UFB983078 UOX983078 UYT983078 VIP983078 VSL983078 WCH983078 WMD983078 WVZ983078" xr:uid="{2CCE1F82-AC1B-4019-9E52-F7AD796A2952}">
      <formula1>"TEFC,ODP"</formula1>
    </dataValidation>
  </dataValidations>
  <printOptions horizontalCentered="1" gridLinesSet="0"/>
  <pageMargins left="0.5" right="0.5" top="0.5" bottom="0.5" header="0.5" footer="0.5"/>
  <pageSetup scale="85"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15</vt:i4>
      </vt:variant>
    </vt:vector>
  </HeadingPairs>
  <TitlesOfParts>
    <vt:vector size="28" baseType="lpstr">
      <vt:lpstr>DesignSheet</vt:lpstr>
      <vt:lpstr>Data Sheet</vt:lpstr>
      <vt:lpstr>LoginSheet</vt:lpstr>
      <vt:lpstr>Form</vt:lpstr>
      <vt:lpstr>StallTime</vt:lpstr>
      <vt:lpstr>MagNoise</vt:lpstr>
      <vt:lpstr>Performance Data Sheet</vt:lpstr>
      <vt:lpstr>STCurve</vt:lpstr>
      <vt:lpstr>Thermdam</vt:lpstr>
      <vt:lpstr>Performance</vt:lpstr>
      <vt:lpstr>Circuit Param.</vt:lpstr>
      <vt:lpstr>PERFORMANCE data</vt:lpstr>
      <vt:lpstr>MPCF-1202 SOUND</vt:lpstr>
      <vt:lpstr>'Circuit Param.'!Print_Area</vt:lpstr>
      <vt:lpstr>'Data Sheet'!Print_Area</vt:lpstr>
      <vt:lpstr>DesignSheet!Print_Area</vt:lpstr>
      <vt:lpstr>Form!Print_Area</vt:lpstr>
      <vt:lpstr>LoginSheet!Print_Area</vt:lpstr>
      <vt:lpstr>'MPCF-1202 SOUND'!Print_Area</vt:lpstr>
      <vt:lpstr>Performance!Print_Area</vt:lpstr>
      <vt:lpstr>'PERFORMANCE data'!Print_Area</vt:lpstr>
      <vt:lpstr>'Performance Data Sheet'!Print_Area</vt:lpstr>
      <vt:lpstr>StallTime!Print_Area</vt:lpstr>
      <vt:lpstr>STCurve!Print_Area</vt:lpstr>
      <vt:lpstr>Thermdam!Print_Area</vt:lpstr>
      <vt:lpstr>'Circuit Param.'!Print_Area_MI</vt:lpstr>
      <vt:lpstr>'MPCF-1202 SOUND'!Print_Area_MI</vt:lpstr>
      <vt:lpstr>'PERFORMANCE data'!Print_Area_MI</vt:lpstr>
    </vt:vector>
  </TitlesOfParts>
  <Company>Toshiba International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Rodriguez, Jerry (TIC)</dc:creator>
  <cp:lastModifiedBy>Rodriguez, Jerry (TIC)</cp:lastModifiedBy>
  <dcterms:created xsi:type="dcterms:W3CDTF">2023-10-20T13:56:05Z</dcterms:created>
  <dcterms:modified xsi:type="dcterms:W3CDTF">2024-01-17T18:44:07Z</dcterms:modified>
</cp:coreProperties>
</file>