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 TEFC\4P\Cu_SERIES\"/>
    </mc:Choice>
  </mc:AlternateContent>
  <xr:revisionPtr revIDLastSave="0" documentId="13_ncr:1_{245A6FA2-92B5-4016-AFD2-82D3602710AA}" xr6:coauthVersionLast="47" xr6:coauthVersionMax="47" xr10:uidLastSave="{00000000-0000-0000-0000-000000000000}"/>
  <bookViews>
    <workbookView xWindow="-120" yWindow="-120" windowWidth="29040" windowHeight="17520" tabRatio="851" firstSheet="1" activeTab="1" xr2:uid="{00000000-000D-0000-FFFF-FFFF00000000}"/>
  </bookViews>
  <sheets>
    <sheet name="DesignSheet" sheetId="2" r:id="rId1"/>
    <sheet name="Data Sheet" sheetId="3" r:id="rId2"/>
    <sheet name="LoginSheet" sheetId="4" r:id="rId3"/>
    <sheet name="Performance Data Sheet" sheetId="11" r:id="rId4"/>
    <sheet name="STCurve" sheetId="5" r:id="rId5"/>
    <sheet name="Thermdam" sheetId="8" r:id="rId6"/>
    <sheet name="Performance 4000V" sheetId="12" r:id="rId7"/>
    <sheet name="Performance 2300V" sheetId="13" r:id="rId8"/>
    <sheet name="Form" sheetId="10" r:id="rId9"/>
    <sheet name="StallTime" sheetId="7" r:id="rId10"/>
    <sheet name="MagNoise" sheetId="9" r:id="rId11"/>
  </sheets>
  <definedNames>
    <definedName name="_Regression_Int" localSheetId="3" hidden="1">1</definedName>
    <definedName name="_xlnm.Print_Area" localSheetId="1">'Data Sheet'!$A$1:$K$46</definedName>
    <definedName name="_xlnm.Print_Area" localSheetId="0">DesignSheet!$A$1:$J$68</definedName>
    <definedName name="_xlnm.Print_Area" localSheetId="8">Form!$A$1:$F$39</definedName>
    <definedName name="_xlnm.Print_Area" localSheetId="2">LoginSheet!$A$1:$N$79</definedName>
    <definedName name="_xlnm.Print_Area" localSheetId="7">'Performance 2300V'!$A$1:$F$43</definedName>
    <definedName name="_xlnm.Print_Area" localSheetId="6">'Performance 4000V'!$A$1:$F$43</definedName>
    <definedName name="_xlnm.Print_Area" localSheetId="3">'Performance Data Sheet'!$A$1:$M$44</definedName>
    <definedName name="_xlnm.Print_Area" localSheetId="9">StallTime!$A$1:$G$40</definedName>
    <definedName name="_xlnm.Print_Area" localSheetId="4">STCurve!$A$1:$F$43</definedName>
    <definedName name="_xlnm.Print_Area" localSheetId="5">Thermdam!$A$1:$F$43</definedName>
    <definedName name="Print_Area_MI">'Performance Data Sheet'!$A$10:$N$42</definedName>
    <definedName name="Z_852987ED_B4F5_11D1_ABEC_0000832EB49E_.wvu.PrintArea" localSheetId="7" hidden="1">'Performance 2300V'!$A$1:$F$43</definedName>
    <definedName name="Z_852987ED_B4F5_11D1_ABEC_0000832EB49E_.wvu.PrintArea" localSheetId="6" hidden="1">'Performance 4000V'!$A$1:$F$43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3" l="1"/>
  <c r="F39" i="13"/>
  <c r="C39" i="13"/>
  <c r="F9" i="13"/>
  <c r="F7" i="13"/>
  <c r="B7" i="13"/>
  <c r="B6" i="13"/>
  <c r="F9" i="8"/>
  <c r="F7" i="8"/>
  <c r="D7" i="8"/>
  <c r="B7" i="8"/>
  <c r="F6" i="8"/>
  <c r="B6" i="8"/>
  <c r="F9" i="12"/>
  <c r="F7" i="12"/>
  <c r="B7" i="12"/>
  <c r="B6" i="12"/>
  <c r="D43" i="12"/>
  <c r="F39" i="12"/>
  <c r="C39" i="12"/>
  <c r="D43" i="8"/>
  <c r="F39" i="8"/>
  <c r="C39" i="8"/>
  <c r="F39" i="5"/>
  <c r="D43" i="5"/>
  <c r="C39" i="5"/>
  <c r="C12" i="5"/>
  <c r="F6" i="5"/>
  <c r="D7" i="5"/>
  <c r="F9" i="5"/>
  <c r="F7" i="5"/>
  <c r="B7" i="5"/>
  <c r="B6" i="5"/>
  <c r="M33" i="3"/>
  <c r="C76" i="8"/>
  <c r="C77" i="8" s="1"/>
  <c r="C78" i="8" s="1"/>
  <c r="B76" i="8"/>
  <c r="C75" i="8"/>
  <c r="C74" i="8"/>
  <c r="B74" i="8"/>
  <c r="A69" i="8"/>
  <c r="C69" i="8" s="1"/>
  <c r="E68" i="8"/>
  <c r="D66" i="8"/>
  <c r="F50" i="8"/>
  <c r="B69" i="8" l="1"/>
  <c r="B75" i="8" s="1"/>
  <c r="A70" i="8"/>
  <c r="A71" i="8" l="1"/>
  <c r="C70" i="8"/>
  <c r="B70" i="8"/>
  <c r="C71" i="8" l="1"/>
  <c r="B71" i="8"/>
  <c r="A72" i="8"/>
  <c r="A73" i="8" l="1"/>
  <c r="B73" i="8" s="1"/>
  <c r="B72" i="8"/>
  <c r="M28" i="3" l="1"/>
  <c r="M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<sst xmlns="http://schemas.openxmlformats.org/spreadsheetml/2006/main" count="1049" uniqueCount="765">
  <si>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</si>
  <si>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</si>
  <si>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</si>
  <si>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</si>
  <si>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</si>
  <si>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</si>
  <si>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</si>
  <si>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</si>
  <si>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</si>
  <si>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</si>
  <si>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</si>
  <si>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</si>
  <si>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</si>
  <si>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</si>
  <si>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</si>
  <si>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</si>
  <si>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</si>
  <si>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</si>
  <si>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</si>
  <si>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</si>
  <si>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</si>
  <si>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</si>
  <si>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</si>
  <si>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</si>
  <si>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</si>
  <si>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</si>
  <si>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</si>
  <si>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</si>
  <si>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</si>
  <si>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</si>
  <si>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</si>
  <si>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</si>
  <si>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</si>
  <si>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</si>
  <si>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</si>
  <si>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</si>
  <si>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</si>
  <si>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</si>
  <si>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</si>
  <si>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</si>
  <si>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</si>
  <si>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</si>
  <si>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</si>
  <si>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</si>
  <si>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</si>
  <si>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</si>
  <si>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</si>
  <si>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</si>
  <si>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</si>
  <si>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</si>
  <si>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</si>
  <si>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</si>
  <si>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</si>
  <si>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</si>
  <si>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</si>
  <si>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</si>
  <si>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</si>
  <si>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</si>
  <si>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</si>
  <si>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</si>
  <si>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</si>
  <si>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</si>
  <si>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</si>
  <si>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</si>
  <si>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</si>
  <si>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</si>
  <si>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</si>
  <si>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</si>
  <si>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</si>
  <si>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</si>
  <si>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</si>
  <si>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</si>
  <si>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</si>
  <si>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</si>
  <si>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</si>
  <si>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</si>
  <si>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</si>
  <si>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</si>
  <si>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</si>
  <si>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</si>
  <si>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</si>
  <si>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</si>
  <si>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</si>
  <si>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</si>
  <si>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</si>
  <si>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</si>
  <si>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</si>
  <si>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</si>
  <si>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</si>
  <si>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</si>
  <si>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</si>
  <si>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</si>
  <si>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</si>
  <si>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</si>
  <si>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</si>
  <si>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</si>
  <si>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</si>
  <si>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</si>
  <si>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</si>
  <si>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</si>
  <si>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</si>
  <si>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</si>
  <si>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</si>
  <si>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</si>
  <si>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</si>
  <si>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</si>
  <si>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</si>
  <si>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</si>
  <si>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</si>
  <si>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</si>
  <si>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</si>
  <si>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</si>
  <si>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</si>
  <si>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</si>
  <si>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</si>
  <si>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</si>
  <si>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</si>
  <si>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</si>
  <si>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</si>
  <si>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</si>
  <si>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</si>
  <si>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</si>
  <si>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</si>
  <si>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</si>
  <si>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</si>
  <si>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</si>
  <si>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</si>
  <si>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</si>
  <si>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</si>
  <si>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</si>
  <si>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</si>
  <si>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</si>
  <si>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</si>
  <si>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</si>
  <si>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</si>
  <si>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</si>
  <si>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</si>
  <si>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</si>
  <si>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</si>
  <si>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</si>
  <si>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</si>
  <si>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</si>
  <si>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</si>
  <si>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</si>
  <si>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</si>
  <si>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</si>
  <si>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</si>
  <si>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</si>
  <si>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</si>
  <si>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</si>
  <si>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</si>
  <si>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</si>
  <si>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</si>
  <si>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</si>
  <si>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</si>
  <si>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</si>
  <si>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</si>
  <si>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</si>
  <si>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</si>
  <si>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</si>
  <si>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</si>
  <si>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</si>
  <si>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</si>
  <si>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</si>
  <si>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</si>
  <si>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</si>
  <si>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</si>
  <si>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>(115°C)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</si>
  <si>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</si>
  <si>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</si>
  <si>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</si>
  <si>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</si>
  <si>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</si>
  <si>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</si>
  <si>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</si>
  <si>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</si>
  <si>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</si>
  <si>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</si>
  <si>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</t>
  </si>
  <si>
    <t>Open</t>
  </si>
  <si>
    <t>Rectang</t>
  </si>
  <si>
    <t>11.58 - 11.58</t>
  </si>
  <si>
    <t>3.65 - 2.00</t>
  </si>
  <si>
    <t>Magnetic</t>
  </si>
  <si>
    <t>1 ~ 14</t>
  </si>
  <si>
    <t>(.091"x.258")x2</t>
  </si>
  <si>
    <t>Wye</t>
  </si>
  <si>
    <t>CU</t>
  </si>
  <si>
    <t>ERD1: 416.0</t>
  </si>
  <si>
    <t>EBL: 50.5</t>
  </si>
  <si>
    <t>ERT: 46.00</t>
  </si>
  <si>
    <t>ERH: 43.00</t>
  </si>
  <si>
    <t>(12 x 35)</t>
  </si>
  <si>
    <t>LB:  -</t>
  </si>
  <si>
    <t>LER:  -</t>
  </si>
  <si>
    <t>Single Cage Data</t>
  </si>
  <si>
    <t>UB: 420.0</t>
  </si>
  <si>
    <t>UER: 1978.0</t>
  </si>
  <si>
    <t>(Coeff.: 0.0702)</t>
  </si>
  <si>
    <t>Skew R.: 0.00</t>
  </si>
  <si>
    <t>K:\Active Projects\6800 Frame TEFC\Electrical Design\4P\Cu_SERIES\CS4M20U.rat</t>
  </si>
  <si>
    <t>2-2-2-0-1-2</t>
  </si>
  <si>
    <t>B.L.-1  P.F.-1</t>
  </si>
  <si>
    <t>5026.3 / 4948.3</t>
  </si>
  <si>
    <t>4640.5 / 4810.6</t>
  </si>
  <si>
    <t>19170.6 / 14202.1</t>
  </si>
  <si>
    <t>9300.0 / 10813.0</t>
  </si>
  <si>
    <t>9711.3 / 4037.2</t>
  </si>
  <si>
    <t>1007.6 / 418.9</t>
  </si>
  <si>
    <t>8703.7 / 3618.3</t>
  </si>
  <si>
    <t>1.75 / 0.73</t>
  </si>
  <si>
    <t>65 / 63</t>
  </si>
  <si>
    <t>Temp. Rise @ 100%:</t>
  </si>
  <si>
    <t>Stray Loss</t>
  </si>
  <si>
    <t>0.904 / 0.890</t>
  </si>
  <si>
    <t>0.946 / 0.931</t>
  </si>
  <si>
    <t>0.959 / 0.944</t>
  </si>
  <si>
    <t>0.964 / 0.949</t>
  </si>
  <si>
    <t>0.965 / 0.951</t>
  </si>
  <si>
    <t>0.721 / 0.713</t>
  </si>
  <si>
    <t>0.866 / 0.857</t>
  </si>
  <si>
    <t>0.901 / 0.891</t>
  </si>
  <si>
    <t>0.906 / 0.896</t>
  </si>
  <si>
    <t>0.898 / 0.888</t>
  </si>
  <si>
    <t>41.30 / 42.42</t>
  </si>
  <si>
    <t>65.73 / 67.50</t>
  </si>
  <si>
    <t>93.56 / 96.09</t>
  </si>
  <si>
    <t>123.35 / 126.69</t>
  </si>
  <si>
    <t>155.20 / 159.40</t>
  </si>
  <si>
    <t>2.08 / 2.13</t>
  </si>
  <si>
    <t>UB: 3.04 / 3.12</t>
  </si>
  <si>
    <t>UER: 2.58 / 2.64</t>
  </si>
  <si>
    <t>1797.3 / 1796.9</t>
  </si>
  <si>
    <t>1794.8 / 1794.4</t>
  </si>
  <si>
    <t>1792.2 / 1791.8</t>
  </si>
  <si>
    <t>1789.4 / 1789.0</t>
  </si>
  <si>
    <t>1786.6 / 1786.2</t>
  </si>
  <si>
    <t>0.0015 / 0.0017</t>
  </si>
  <si>
    <t>0.0029 / 0.0031</t>
  </si>
  <si>
    <t>0.0043 / 0.0046</t>
  </si>
  <si>
    <t>0.0059 / 0.0061</t>
  </si>
  <si>
    <t>0.0074 / 0.0077</t>
  </si>
  <si>
    <t>25.731 / 28.639</t>
  </si>
  <si>
    <t>1.400 / 1.559</t>
  </si>
  <si>
    <t>25.77 / 28.68</t>
  </si>
  <si>
    <t>537.3 / 820.5</t>
  </si>
  <si>
    <t>435.6 / 665.2</t>
  </si>
  <si>
    <t>168.7 / 461.7</t>
  </si>
  <si>
    <t>41.5 / 113.7</t>
  </si>
  <si>
    <t>212.4 / 221.2</t>
  </si>
  <si>
    <t>Correlated to: TestData_H402126_fan550_lab1473.dat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</si>
  <si>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</si>
  <si>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</si>
  <si>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</si>
  <si>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</si>
  <si>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</si>
  <si>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</si>
  <si>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</si>
  <si>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</si>
  <si>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</si>
  <si>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</si>
  <si>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</si>
  <si>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</si>
  <si>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</si>
  <si>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</si>
  <si>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</si>
  <si>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</si>
  <si>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</si>
  <si>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</si>
  <si>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</si>
  <si>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</si>
  <si>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</si>
  <si>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</si>
  <si>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</si>
  <si>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</si>
  <si>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</si>
  <si>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</si>
  <si>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</si>
  <si>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</si>
  <si>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</si>
  <si>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</si>
  <si>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</si>
  <si>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</si>
  <si>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</si>
  <si>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</si>
  <si>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</si>
  <si>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</si>
  <si>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</si>
  <si>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</si>
  <si>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</si>
  <si>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</si>
  <si>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</si>
  <si>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</si>
  <si>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</si>
  <si>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</si>
  <si>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</si>
  <si>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</si>
  <si>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</si>
  <si>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</si>
  <si>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</si>
  <si>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</si>
  <si>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</si>
  <si>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</si>
  <si>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</si>
  <si>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</si>
  <si>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</si>
  <si>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</si>
  <si>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</si>
  <si>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</si>
  <si>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</si>
  <si>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</si>
  <si>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</si>
  <si>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</si>
  <si>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</si>
  <si>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</si>
  <si>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</si>
  <si>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</si>
  <si>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</si>
  <si>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</si>
  <si>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</si>
  <si>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</si>
  <si>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</si>
  <si>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</si>
  <si>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</si>
  <si>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</si>
  <si>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</si>
  <si>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</si>
  <si>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</si>
  <si>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</si>
  <si>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</si>
  <si>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</si>
  <si>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</si>
  <si>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</si>
  <si>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</si>
  <si>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</si>
  <si>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</si>
  <si>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</si>
  <si>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</si>
  <si>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</si>
  <si>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</si>
  <si>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</si>
  <si>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</si>
  <si>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</si>
  <si>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</si>
  <si>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</si>
  <si>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</si>
  <si>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</si>
  <si>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</si>
  <si>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</si>
  <si>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</si>
  <si>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</si>
  <si>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</si>
  <si>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</si>
  <si>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</si>
  <si>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</si>
  <si>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</si>
  <si>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</si>
  <si>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</si>
  <si>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</si>
  <si>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</si>
  <si>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CS4M20U</t>
  </si>
  <si>
    <t>20 x 2</t>
  </si>
  <si>
    <t xml:space="preserve"> - </t>
  </si>
  <si>
    <t>65 / 86</t>
  </si>
  <si>
    <t>213 / 1377</t>
  </si>
  <si>
    <t>G</t>
  </si>
  <si>
    <t>312 / 264</t>
  </si>
  <si>
    <t>SHernandez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</si>
  <si>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</si>
  <si>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</si>
  <si>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</si>
  <si>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</si>
  <si>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</si>
  <si>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</si>
  <si>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</si>
  <si>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</si>
  <si>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</si>
  <si>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571.9 kg.m²</t>
  </si>
  <si>
    <t>Acceleration Data (FV V)</t>
  </si>
  <si>
    <t>10.0 (s)</t>
  </si>
  <si>
    <t>406.1 kg.m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</si>
  <si>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</si>
  <si>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</si>
  <si>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</si>
  <si>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</si>
  <si>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</si>
  <si>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</si>
  <si>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</si>
  <si>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</si>
  <si>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</si>
  <si>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</si>
  <si>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</si>
  <si>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</si>
  <si>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</si>
  <si>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</si>
  <si>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</si>
  <si>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</si>
  <si>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</si>
  <si>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</si>
  <si>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</si>
  <si>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</si>
  <si>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</si>
  <si>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</si>
  <si>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</si>
  <si>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968.2 lb-ft²</t>
  </si>
  <si>
    <t>2942 lb-ft</t>
  </si>
  <si>
    <t>821 A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</si>
  <si>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</si>
  <si>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</si>
  <si>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</si>
  <si>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</si>
  <si>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</si>
  <si>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</si>
  <si>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</si>
  <si>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</si>
  <si>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</si>
  <si>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</si>
  <si>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</si>
  <si>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</si>
  <si>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1366.0</t>
  </si>
  <si>
    <t xml:space="preserve">10T: </t>
  </si>
  <si>
    <t/>
  </si>
  <si>
    <t>0.0165 ~ 0.0158</t>
  </si>
  <si>
    <t>AWG. 02 x 3</t>
  </si>
  <si>
    <t>10T: 25.11</t>
  </si>
  <si>
    <t>10T: 13.51</t>
  </si>
  <si>
    <t>17.10 ~ 16.70</t>
  </si>
  <si>
    <t>11.12</t>
  </si>
  <si>
    <t>3.49</t>
  </si>
  <si>
    <t xml:space="preserve"> (.091"x.258")x 2: </t>
  </si>
  <si>
    <t>973 lbs.</t>
  </si>
  <si>
    <t xml:space="preserve">1-2, 2-3, 3-1: 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</si>
  <si>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</si>
  <si>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</si>
  <si>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</si>
  <si>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</si>
  <si>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</si>
  <si>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</si>
  <si>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</si>
  <si>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</si>
  <si>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</si>
  <si>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</si>
  <si>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</si>
  <si>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</si>
  <si>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</si>
  <si>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</si>
  <si>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</si>
  <si>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</si>
  <si>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</si>
  <si>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</si>
  <si>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</si>
  <si>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</si>
  <si>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</si>
  <si>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</si>
  <si>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</si>
  <si>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</si>
  <si>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</si>
  <si>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</si>
  <si>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</si>
  <si>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</si>
  <si>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</si>
  <si>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</si>
  <si>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</si>
  <si>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</si>
  <si>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</si>
  <si>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</si>
  <si>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</si>
  <si>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</si>
  <si>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</si>
  <si>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</si>
  <si>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</si>
  <si>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- 1000.0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</si>
  <si>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</si>
  <si>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</si>
  <si>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</si>
  <si>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</si>
  <si>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</si>
  <si>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</si>
  <si>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</si>
  <si>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</si>
  <si>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</si>
  <si>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</si>
  <si>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</si>
  <si>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</si>
  <si>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</si>
  <si>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- 3393.0 lb-ft²</t>
  </si>
  <si>
    <t>115.0</t>
  </si>
  <si>
    <t>115.1</t>
  </si>
  <si>
    <t>115.2</t>
  </si>
  <si>
    <t>116.3</t>
  </si>
  <si>
    <t>120.4</t>
  </si>
  <si>
    <t>132.9</t>
  </si>
  <si>
    <t>181.2</t>
  </si>
  <si>
    <t>192.3</t>
  </si>
  <si>
    <t>132.3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</si>
  <si>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</si>
  <si>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</si>
  <si>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</si>
  <si>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</si>
  <si>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</si>
  <si>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</si>
  <si>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</si>
  <si>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</si>
  <si>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</si>
  <si>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</si>
  <si>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</si>
  <si>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</si>
  <si>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</si>
  <si>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0.978</t>
  </si>
  <si>
    <t>0.873</t>
  </si>
  <si>
    <t>0.839</t>
  </si>
  <si>
    <t>0.843</t>
  </si>
  <si>
    <t>0.882</t>
  </si>
  <si>
    <t>0.954</t>
  </si>
  <si>
    <t>1.081</t>
  </si>
  <si>
    <t>1.320</t>
  </si>
  <si>
    <t>0.800</t>
  </si>
  <si>
    <t>0.811</t>
  </si>
  <si>
    <t>0.501</t>
  </si>
  <si>
    <t>0.074</t>
  </si>
  <si>
    <t>0.053</t>
  </si>
  <si>
    <t>819.2</t>
  </si>
  <si>
    <t>815.4</t>
  </si>
  <si>
    <t>810.7</t>
  </si>
  <si>
    <t>805.0</t>
  </si>
  <si>
    <t>797.8</t>
  </si>
  <si>
    <t>788.8</t>
  </si>
  <si>
    <t>777.4</t>
  </si>
  <si>
    <t>763.3</t>
  </si>
  <si>
    <t>749.9</t>
  </si>
  <si>
    <t>734.5</t>
  </si>
  <si>
    <t>689.7</t>
  </si>
  <si>
    <t>457.4</t>
  </si>
  <si>
    <t>146.4</t>
  </si>
  <si>
    <t>217.8</t>
  </si>
  <si>
    <t>192.8</t>
  </si>
  <si>
    <t>183.2</t>
  </si>
  <si>
    <t>181.9</t>
  </si>
  <si>
    <t>187.3</t>
  </si>
  <si>
    <t>198.6</t>
  </si>
  <si>
    <t>219.3</t>
  </si>
  <si>
    <t>259.3</t>
  </si>
  <si>
    <t>150.8</t>
  </si>
  <si>
    <t>148.5</t>
  </si>
  <si>
    <t>87.0</t>
  </si>
  <si>
    <t>10.5</t>
  </si>
  <si>
    <t>0.3</t>
  </si>
  <si>
    <t>838.6</t>
  </si>
  <si>
    <t>670.8</t>
  </si>
  <si>
    <t>569.3</t>
  </si>
  <si>
    <t>497.2</t>
  </si>
  <si>
    <t>441.2</t>
  </si>
  <si>
    <t>392.3</t>
  </si>
  <si>
    <t>347.7</t>
  </si>
  <si>
    <t>306.8</t>
  </si>
  <si>
    <t>233.0</t>
  </si>
  <si>
    <t>170.5</t>
  </si>
  <si>
    <t>66.2</t>
  </si>
  <si>
    <t>15.9</t>
  </si>
  <si>
    <t>20.1</t>
  </si>
  <si>
    <t>2037 kW / s</t>
  </si>
  <si>
    <t>3707 kW / s</t>
  </si>
  <si>
    <t>862 kW / s</t>
  </si>
  <si>
    <t>12°C</t>
  </si>
  <si>
    <t>61°C</t>
  </si>
  <si>
    <t>44°C</t>
  </si>
  <si>
    <t>24°C</t>
  </si>
  <si>
    <t>122°C</t>
  </si>
  <si>
    <t>88°C</t>
  </si>
  <si>
    <t>Acceleration Time:  10.0 s</t>
  </si>
  <si>
    <t>1.5°C / s</t>
  </si>
  <si>
    <t>11.5°C / s</t>
  </si>
  <si>
    <t>8.3°C / s</t>
  </si>
  <si>
    <t>255.3 kW</t>
  </si>
  <si>
    <t>696.0 kW</t>
  </si>
  <si>
    <t>161.9 kW</t>
  </si>
  <si>
    <t>104.4 s</t>
  </si>
  <si>
    <t>22.6 s</t>
  </si>
  <si>
    <t>21.8 s</t>
  </si>
  <si>
    <t>63°C    +</t>
  </si>
  <si>
    <t>83°C    +</t>
  </si>
  <si>
    <t>97°C    +</t>
  </si>
  <si>
    <t>177°C   +</t>
  </si>
  <si>
    <t>97°C   +</t>
  </si>
  <si>
    <t>63.3 s</t>
  </si>
  <si>
    <t>15.4 s</t>
  </si>
  <si>
    <t>11.7 s</t>
  </si>
  <si>
    <t>53.2 s</t>
  </si>
  <si>
    <t>28.7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</si>
  <si>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</si>
  <si>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</si>
  <si>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</si>
  <si>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</si>
  <si>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</si>
  <si>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</si>
  <si>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</si>
  <si>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</si>
  <si>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</si>
  <si>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</si>
  <si>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</si>
  <si>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</si>
  <si>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</si>
  <si>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</si>
  <si>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</si>
  <si>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</si>
  <si>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</si>
  <si>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</si>
  <si>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</si>
  <si>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</si>
  <si>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</si>
  <si>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</si>
  <si>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</si>
  <si>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</si>
  <si>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</si>
  <si>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</si>
  <si>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</si>
  <si>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1620.0 Hz</t>
  </si>
  <si>
    <t>1611.2 Hz</t>
  </si>
  <si>
    <t>1380.0 Hz</t>
  </si>
  <si>
    <t>1371.2 Hz</t>
  </si>
  <si>
    <t>1500.0 Hz</t>
  </si>
  <si>
    <t>1491.2 Hz</t>
  </si>
  <si>
    <t>1384.7 Hz</t>
  </si>
  <si>
    <t>191.4 Hz</t>
  </si>
  <si>
    <t>541.4 Hz</t>
  </si>
  <si>
    <t>1038.0 Hz</t>
  </si>
  <si>
    <t>1678.7 Hz</t>
  </si>
  <si>
    <t>2462.6 Hz</t>
  </si>
  <si>
    <t>3389.4 Hz</t>
  </si>
  <si>
    <t>4459.0 Hz</t>
  </si>
  <si>
    <t>5671.4 Hz</t>
  </si>
  <si>
    <t>7026.5 Hz</t>
  </si>
  <si>
    <t>No matching frequencies detected.</t>
  </si>
  <si>
    <t>M204FTQL11E-C</t>
  </si>
  <si>
    <t>QC Limits: CS4M20U</t>
  </si>
  <si>
    <t>0.00200</t>
  </si>
  <si>
    <t>0.170 ~ 0.160</t>
  </si>
  <si>
    <t>A. Gracia</t>
  </si>
  <si>
    <t>AG</t>
  </si>
  <si>
    <t xml:space="preserve">NL &amp; Impedance Test                                </t>
  </si>
  <si>
    <t>QC# 180102584</t>
  </si>
  <si>
    <t>220 / 127</t>
  </si>
  <si>
    <t>1422 / 821</t>
  </si>
  <si>
    <t>link: H402126_rev1.rat &amp; TestData_H402126_fan550_lab1473.dat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</si>
  <si>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</si>
  <si>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</si>
  <si>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</si>
  <si>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</si>
  <si>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</si>
  <si>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</si>
  <si>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</si>
  <si>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</si>
  <si>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</si>
  <si>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</si>
  <si>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</si>
  <si>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</si>
  <si>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</si>
  <si>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</si>
  <si>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</si>
  <si>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</si>
  <si>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</si>
  <si>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</si>
  <si>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</si>
  <si>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</si>
  <si>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</si>
  <si>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</si>
  <si>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60 Hz</t>
  </si>
  <si>
    <t>S. RPM:</t>
  </si>
  <si>
    <t>FRAME:</t>
  </si>
  <si>
    <t>ENCL:</t>
  </si>
  <si>
    <t>TEFC</t>
  </si>
  <si>
    <t>FLAMPS:</t>
  </si>
  <si>
    <t>FORM:</t>
  </si>
  <si>
    <t>S.F.:</t>
  </si>
  <si>
    <t>1.15</t>
  </si>
  <si>
    <t>NEMA DESIGN:</t>
  </si>
  <si>
    <t>INSUL CLASS:</t>
  </si>
  <si>
    <t>TYPE:</t>
  </si>
  <si>
    <t>TIKE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</si>
  <si>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</si>
  <si>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</si>
  <si>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</si>
  <si>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</si>
  <si>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</si>
  <si>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</si>
  <si>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</si>
  <si>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</si>
  <si>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</si>
  <si>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</si>
  <si>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</si>
  <si>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</si>
  <si>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</si>
  <si>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</si>
  <si>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</si>
  <si>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</si>
  <si>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</si>
  <si>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</si>
  <si>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</si>
  <si>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</si>
  <si>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</si>
  <si>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</si>
  <si>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</si>
  <si>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</si>
  <si>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</si>
  <si>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</si>
  <si>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</si>
  <si>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</si>
  <si>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</si>
  <si>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</si>
  <si>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Jerry R</t>
  </si>
  <si>
    <t>DATE:</t>
  </si>
  <si>
    <t>6205ZZ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</si>
  <si>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</si>
  <si>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</si>
  <si>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</si>
  <si>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</si>
  <si>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</si>
  <si>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</si>
  <si>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</si>
  <si>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</si>
  <si>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</si>
  <si>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</si>
  <si>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</si>
  <si>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</si>
  <si>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</si>
  <si>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</si>
  <si>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</si>
  <si>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</si>
  <si>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</si>
  <si>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</si>
  <si>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</si>
  <si>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</si>
  <si>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</si>
  <si>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</si>
  <si>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</si>
  <si>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</si>
  <si>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</si>
  <si>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</si>
  <si>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</si>
  <si>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</si>
  <si>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</si>
  <si>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</si>
  <si>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</si>
  <si>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</si>
  <si>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</si>
  <si>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</si>
  <si>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</si>
  <si>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</si>
  <si>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</si>
  <si>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</si>
  <si>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</si>
  <si>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</si>
  <si>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Performance Curve</t>
  </si>
  <si>
    <t>Input Watts</t>
  </si>
  <si>
    <t>127 A</t>
  </si>
  <si>
    <t>220 A</t>
  </si>
  <si>
    <t>2300 V</t>
  </si>
  <si>
    <t>1422 A</t>
  </si>
  <si>
    <t>2300/4000</t>
  </si>
  <si>
    <t>220/127</t>
  </si>
  <si>
    <t>1422/821</t>
  </si>
  <si>
    <t>REV1. ADDED 2300V DATA. JROD 01/15/2024</t>
  </si>
  <si>
    <t>2D / 2Y</t>
  </si>
  <si>
    <t>Type: TIKE - Form: FCW4 - 4 Pole - 1000 HP -2300/4000 V - 60 Hz - 6811US - Class F</t>
  </si>
  <si>
    <t>2300V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</si>
</sst>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  <numFmt numFmtId="172" formatCode="General&quot;°C&quot;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15" fillId="0" borderId="0"/>
    <xf numFmtId="0" fontId="1" fillId="0" borderId="0"/>
    <xf numFmtId="0" fontId="49" fillId="0" borderId="0"/>
    <xf numFmtId="171" fontId="61" fillId="0" borderId="0"/>
    <xf numFmtId="171" fontId="61" fillId="0" borderId="0"/>
  </cellStyleXfs>
  <cellXfs count="69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/>
    <xf numFmtId="0" fontId="25" fillId="0" borderId="51" xfId="1" applyFont="1" applyBorder="1"/>
    <xf numFmtId="0" fontId="24" fillId="0" borderId="53" xfId="1" applyFont="1" applyBorder="1"/>
    <xf numFmtId="0" fontId="25" fillId="0" borderId="53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Border="1"/>
    <xf numFmtId="0" fontId="31" fillId="0" borderId="95" xfId="1" applyFont="1" applyBorder="1" applyAlignment="1">
      <alignment horizontal="center"/>
    </xf>
    <xf numFmtId="0" fontId="31" fillId="0" borderId="96" xfId="1" applyFont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31" fillId="0" borderId="73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1" xfId="1" applyFont="1" applyBorder="1" applyAlignment="1">
      <alignment horizontal="left"/>
    </xf>
    <xf numFmtId="0" fontId="20" fillId="0" borderId="61" xfId="1" applyFont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Border="1"/>
    <xf numFmtId="0" fontId="26" fillId="0" borderId="78" xfId="1" applyFont="1" applyBorder="1"/>
    <xf numFmtId="0" fontId="26" fillId="0" borderId="86" xfId="1" applyFont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1" fontId="31" fillId="2" borderId="69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9" xfId="1" quotePrefix="1" applyNumberFormat="1" applyFont="1" applyFill="1" applyBorder="1" applyAlignment="1">
      <alignment horizontal="center"/>
    </xf>
    <xf numFmtId="0" fontId="31" fillId="2" borderId="69" xfId="1" quotePrefix="1" applyFont="1" applyFill="1" applyBorder="1" applyAlignment="1">
      <alignment horizontal="center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/>
    <xf numFmtId="0" fontId="29" fillId="2" borderId="109" xfId="1" applyFont="1" applyFill="1" applyBorder="1"/>
    <xf numFmtId="0" fontId="29" fillId="2" borderId="110" xfId="1" applyFont="1" applyFill="1" applyBorder="1"/>
    <xf numFmtId="0" fontId="29" fillId="2" borderId="111" xfId="1" applyFont="1" applyFill="1" applyBorder="1"/>
    <xf numFmtId="0" fontId="36" fillId="2" borderId="111" xfId="1" applyFont="1" applyFill="1" applyBorder="1"/>
    <xf numFmtId="166" fontId="31" fillId="2" borderId="111" xfId="1" applyNumberFormat="1" applyFont="1" applyFill="1" applyBorder="1" applyAlignment="1">
      <alignment horizontal="center"/>
    </xf>
    <xf numFmtId="0" fontId="31" fillId="2" borderId="112" xfId="1" quotePrefix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31" fillId="2" borderId="113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/>
    <xf numFmtId="0" fontId="29" fillId="0" borderId="115" xfId="1" applyFont="1" applyBorder="1"/>
    <xf numFmtId="0" fontId="29" fillId="2" borderId="118" xfId="1" applyFont="1" applyFill="1" applyBorder="1"/>
    <xf numFmtId="0" fontId="43" fillId="2" borderId="119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20" xfId="1" applyFont="1" applyFill="1" applyBorder="1"/>
    <xf numFmtId="0" fontId="29" fillId="2" borderId="23" xfId="1" applyFont="1" applyFill="1" applyBorder="1"/>
    <xf numFmtId="14" fontId="24" fillId="2" borderId="123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4" xfId="1" applyFont="1" applyFill="1" applyBorder="1" applyAlignment="1">
      <alignment horizontal="left"/>
    </xf>
    <xf numFmtId="0" fontId="22" fillId="2" borderId="125" xfId="1" applyFont="1" applyFill="1" applyBorder="1" applyAlignment="1">
      <alignment horizontal="left"/>
    </xf>
    <xf numFmtId="0" fontId="22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6" fillId="0" borderId="126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6" xfId="3" applyBorder="1"/>
    <xf numFmtId="0" fontId="46" fillId="0" borderId="0" xfId="3" applyFont="1"/>
    <xf numFmtId="0" fontId="46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6" fillId="0" borderId="128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31" fillId="2" borderId="63" xfId="1" quotePrefix="1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134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50" fillId="0" borderId="60" xfId="4" applyFont="1" applyBorder="1"/>
    <xf numFmtId="0" fontId="50" fillId="0" borderId="61" xfId="4" applyFont="1" applyBorder="1"/>
    <xf numFmtId="0" fontId="50" fillId="0" borderId="38" xfId="4" applyFont="1" applyBorder="1"/>
    <xf numFmtId="0" fontId="49" fillId="0" borderId="0" xfId="4"/>
    <xf numFmtId="0" fontId="51" fillId="0" borderId="82" xfId="4" applyFont="1" applyBorder="1" applyAlignment="1">
      <alignment horizontal="centerContinuous"/>
    </xf>
    <xf numFmtId="0" fontId="50" fillId="0" borderId="0" xfId="4" applyFont="1" applyAlignment="1">
      <alignment horizontal="centerContinuous"/>
    </xf>
    <xf numFmtId="0" fontId="50" fillId="0" borderId="107" xfId="4" applyFont="1" applyBorder="1" applyAlignment="1">
      <alignment horizontal="centerContinuous"/>
    </xf>
    <xf numFmtId="0" fontId="52" fillId="0" borderId="82" xfId="4" applyFont="1" applyBorder="1" applyAlignment="1">
      <alignment horizontal="centerContinuous"/>
    </xf>
    <xf numFmtId="0" fontId="50" fillId="0" borderId="82" xfId="4" applyFont="1" applyBorder="1"/>
    <xf numFmtId="0" fontId="50" fillId="0" borderId="0" xfId="4" applyFont="1"/>
    <xf numFmtId="0" fontId="50" fillId="0" borderId="107" xfId="4" applyFont="1" applyBorder="1"/>
    <xf numFmtId="0" fontId="53" fillId="0" borderId="1" xfId="4" applyFont="1" applyBorder="1" applyAlignment="1">
      <alignment horizontal="right"/>
    </xf>
    <xf numFmtId="0" fontId="50" fillId="0" borderId="1" xfId="4" applyFont="1" applyBorder="1" applyAlignment="1">
      <alignment horizontal="center"/>
    </xf>
    <xf numFmtId="14" fontId="50" fillId="0" borderId="1" xfId="4" applyNumberFormat="1" applyFont="1" applyBorder="1" applyAlignment="1">
      <alignment horizontal="center"/>
    </xf>
    <xf numFmtId="0" fontId="53" fillId="0" borderId="0" xfId="4" applyFont="1" applyAlignment="1">
      <alignment horizontal="right"/>
    </xf>
    <xf numFmtId="0" fontId="50" fillId="0" borderId="0" xfId="4" applyFont="1" applyAlignment="1">
      <alignment horizontal="center"/>
    </xf>
    <xf numFmtId="9" fontId="50" fillId="0" borderId="0" xfId="4" applyNumberFormat="1" applyFont="1" applyAlignment="1">
      <alignment horizontal="center"/>
    </xf>
    <xf numFmtId="0" fontId="53" fillId="0" borderId="82" xfId="4" applyFont="1" applyBorder="1" applyAlignment="1">
      <alignment horizontal="right"/>
    </xf>
    <xf numFmtId="0" fontId="50" fillId="0" borderId="40" xfId="4" applyFont="1" applyBorder="1"/>
    <xf numFmtId="0" fontId="50" fillId="0" borderId="39" xfId="4" applyFont="1" applyBorder="1" applyAlignment="1">
      <alignment horizontal="center"/>
    </xf>
    <xf numFmtId="0" fontId="50" fillId="0" borderId="84" xfId="4" applyFont="1" applyBorder="1"/>
    <xf numFmtId="0" fontId="53" fillId="0" borderId="17" xfId="4" applyFont="1" applyBorder="1" applyAlignment="1">
      <alignment horizontal="right"/>
    </xf>
    <xf numFmtId="0" fontId="50" fillId="0" borderId="131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54" fillId="0" borderId="0" xfId="4" applyFont="1"/>
    <xf numFmtId="0" fontId="6" fillId="0" borderId="0" xfId="4" applyFont="1" applyAlignment="1">
      <alignment horizontal="right"/>
    </xf>
    <xf numFmtId="0" fontId="16" fillId="0" borderId="0" xfId="4" applyFont="1"/>
    <xf numFmtId="0" fontId="57" fillId="0" borderId="26" xfId="4" applyFont="1" applyBorder="1" applyAlignment="1">
      <alignment horizontal="center"/>
    </xf>
    <xf numFmtId="0" fontId="57" fillId="0" borderId="28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7" fillId="0" borderId="1" xfId="4" applyFont="1" applyBorder="1" applyAlignment="1">
      <alignment horizontal="right"/>
    </xf>
    <xf numFmtId="0" fontId="57" fillId="0" borderId="1" xfId="4" applyFont="1" applyBorder="1" applyAlignment="1">
      <alignment horizontal="center"/>
    </xf>
    <xf numFmtId="0" fontId="54" fillId="0" borderId="130" xfId="4" applyFont="1" applyBorder="1" applyAlignment="1">
      <alignment horizontal="center"/>
    </xf>
    <xf numFmtId="0" fontId="54" fillId="0" borderId="131" xfId="4" quotePrefix="1" applyFont="1" applyBorder="1" applyAlignment="1">
      <alignment horizontal="center"/>
    </xf>
    <xf numFmtId="0" fontId="54" fillId="0" borderId="131" xfId="4" applyFont="1" applyBorder="1" applyAlignment="1">
      <alignment horizontal="center"/>
    </xf>
    <xf numFmtId="0" fontId="57" fillId="0" borderId="0" xfId="4" applyFont="1" applyAlignment="1">
      <alignment horizontal="right"/>
    </xf>
    <xf numFmtId="0" fontId="59" fillId="0" borderId="0" xfId="4" applyFont="1"/>
    <xf numFmtId="0" fontId="55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3" fillId="0" borderId="0" xfId="4" applyFont="1"/>
    <xf numFmtId="0" fontId="23" fillId="0" borderId="17" xfId="4" applyFont="1" applyBorder="1" applyAlignment="1">
      <alignment horizontal="right"/>
    </xf>
    <xf numFmtId="0" fontId="23" fillId="0" borderId="131" xfId="4" applyFont="1" applyBorder="1" applyAlignment="1">
      <alignment horizontal="left"/>
    </xf>
    <xf numFmtId="0" fontId="23" fillId="0" borderId="131" xfId="4" quotePrefix="1" applyFont="1" applyBorder="1" applyAlignment="1">
      <alignment horizontal="left"/>
    </xf>
    <xf numFmtId="0" fontId="54" fillId="0" borderId="0" xfId="0" applyFont="1"/>
    <xf numFmtId="0" fontId="56" fillId="0" borderId="20" xfId="0" applyFont="1" applyBorder="1" applyAlignment="1">
      <alignment horizontal="right"/>
    </xf>
    <xf numFmtId="0" fontId="56" fillId="0" borderId="47" xfId="0" applyFont="1" applyBorder="1" applyAlignment="1">
      <alignment horizontal="right"/>
    </xf>
    <xf numFmtId="0" fontId="56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6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54" fillId="0" borderId="134" xfId="0" applyFont="1" applyBorder="1" applyAlignment="1">
      <alignment horizontal="center"/>
    </xf>
    <xf numFmtId="0" fontId="23" fillId="0" borderId="48" xfId="0" applyFont="1" applyBorder="1"/>
    <xf numFmtId="0" fontId="56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6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20" fillId="2" borderId="79" xfId="1" applyFont="1" applyFill="1" applyBorder="1"/>
    <xf numFmtId="0" fontId="20" fillId="2" borderId="80" xfId="1" applyFont="1" applyFill="1" applyBorder="1"/>
    <xf numFmtId="0" fontId="20" fillId="2" borderId="81" xfId="1" applyFont="1" applyFill="1" applyBorder="1" applyAlignment="1">
      <alignment horizontal="right"/>
    </xf>
    <xf numFmtId="171" fontId="62" fillId="0" borderId="6" xfId="5" applyFont="1" applyBorder="1" applyAlignment="1">
      <alignment horizontal="centerContinuous"/>
    </xf>
    <xf numFmtId="171" fontId="62" fillId="0" borderId="7" xfId="5" applyFont="1" applyBorder="1" applyAlignment="1">
      <alignment horizontal="centerContinuous"/>
    </xf>
    <xf numFmtId="171" fontId="63" fillId="0" borderId="12" xfId="5" applyFont="1" applyBorder="1" applyAlignment="1">
      <alignment horizontal="left"/>
    </xf>
    <xf numFmtId="171" fontId="64" fillId="0" borderId="54" xfId="5" applyFont="1" applyBorder="1"/>
    <xf numFmtId="171" fontId="63" fillId="0" borderId="13" xfId="5" applyFont="1" applyBorder="1" applyAlignment="1">
      <alignment horizontal="centerContinuous"/>
    </xf>
    <xf numFmtId="171" fontId="64" fillId="0" borderId="14" xfId="5" applyFont="1" applyBorder="1" applyAlignment="1">
      <alignment horizontal="centerContinuous"/>
    </xf>
    <xf numFmtId="171" fontId="65" fillId="0" borderId="0" xfId="5" applyFont="1"/>
    <xf numFmtId="171" fontId="61" fillId="0" borderId="0" xfId="5"/>
    <xf numFmtId="171" fontId="62" fillId="0" borderId="45" xfId="5" applyFont="1" applyBorder="1" applyAlignment="1">
      <alignment horizontal="centerContinuous"/>
    </xf>
    <xf numFmtId="171" fontId="62" fillId="0" borderId="0" xfId="5" applyFont="1" applyAlignment="1">
      <alignment horizontal="centerContinuous"/>
    </xf>
    <xf numFmtId="171" fontId="63" fillId="0" borderId="108" xfId="5" applyFont="1" applyBorder="1" applyAlignment="1">
      <alignment horizontal="left"/>
    </xf>
    <xf numFmtId="171" fontId="64" fillId="0" borderId="39" xfId="5" applyFont="1" applyBorder="1"/>
    <xf numFmtId="171" fontId="63" fillId="0" borderId="40" xfId="5" applyFont="1" applyBorder="1" applyAlignment="1">
      <alignment horizontal="centerContinuous"/>
    </xf>
    <xf numFmtId="171" fontId="64" fillId="0" borderId="29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3" fillId="0" borderId="40" xfId="5" quotePrefix="1" applyFont="1" applyBorder="1" applyAlignment="1">
      <alignment horizontal="centerContinuous"/>
    </xf>
    <xf numFmtId="171" fontId="66" fillId="0" borderId="45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46" xfId="5" applyFont="1" applyBorder="1" applyAlignment="1">
      <alignment horizontal="centerContinuous"/>
    </xf>
    <xf numFmtId="171" fontId="64" fillId="0" borderId="23" xfId="5" applyFont="1" applyBorder="1" applyAlignment="1">
      <alignment horizontal="centerContinuous"/>
    </xf>
    <xf numFmtId="171" fontId="63" fillId="0" borderId="46" xfId="5" applyFont="1" applyBorder="1" applyAlignment="1">
      <alignment horizontal="left"/>
    </xf>
    <xf numFmtId="171" fontId="64" fillId="0" borderId="48" xfId="5" applyFont="1" applyBorder="1"/>
    <xf numFmtId="171" fontId="67" fillId="0" borderId="23" xfId="5" applyFont="1" applyBorder="1" applyAlignment="1">
      <alignment horizontal="centerContinuous"/>
    </xf>
    <xf numFmtId="171" fontId="64" fillId="0" borderId="24" xfId="5" applyFont="1" applyBorder="1" applyAlignment="1">
      <alignment horizontal="centerContinuous"/>
    </xf>
    <xf numFmtId="171" fontId="65" fillId="0" borderId="0" xfId="5" applyFont="1" applyAlignment="1">
      <alignment horizontal="centerContinuous"/>
    </xf>
    <xf numFmtId="171" fontId="63" fillId="0" borderId="0" xfId="5" applyFont="1" applyAlignment="1">
      <alignment horizontal="left"/>
    </xf>
    <xf numFmtId="171" fontId="64" fillId="0" borderId="0" xfId="5" applyFont="1"/>
    <xf numFmtId="171" fontId="63" fillId="0" borderId="0" xfId="5" applyFont="1" applyAlignment="1">
      <alignment horizontal="centerContinuous"/>
    </xf>
    <xf numFmtId="171" fontId="68" fillId="0" borderId="0" xfId="5" applyFont="1"/>
    <xf numFmtId="171" fontId="68" fillId="0" borderId="0" xfId="5" applyFont="1" applyAlignment="1">
      <alignment horizontal="right"/>
    </xf>
    <xf numFmtId="171" fontId="68" fillId="0" borderId="0" xfId="5" applyFont="1" applyAlignment="1" applyProtection="1">
      <alignment horizontal="left"/>
      <protection locked="0"/>
    </xf>
    <xf numFmtId="171" fontId="68" fillId="0" borderId="0" xfId="5" applyFont="1" applyAlignment="1">
      <alignment horizontal="centerContinuous"/>
    </xf>
    <xf numFmtId="171" fontId="68" fillId="0" borderId="0" xfId="5" applyFont="1" applyAlignment="1">
      <alignment horizontal="left"/>
    </xf>
    <xf numFmtId="49" fontId="68" fillId="0" borderId="0" xfId="5" quotePrefix="1" applyNumberFormat="1" applyFont="1" applyAlignment="1" applyProtection="1">
      <alignment horizontal="left"/>
      <protection locked="0"/>
    </xf>
    <xf numFmtId="171" fontId="69" fillId="0" borderId="136" xfId="5" applyFont="1" applyBorder="1" applyAlignment="1">
      <alignment horizontal="centerContinuous"/>
    </xf>
    <xf numFmtId="171" fontId="65" fillId="0" borderId="137" xfId="5" applyFont="1" applyBorder="1" applyAlignment="1">
      <alignment horizontal="centerContinuous"/>
    </xf>
    <xf numFmtId="171" fontId="65" fillId="0" borderId="138" xfId="5" applyFont="1" applyBorder="1" applyAlignment="1">
      <alignment horizontal="centerContinuous"/>
    </xf>
    <xf numFmtId="171" fontId="68" fillId="0" borderId="45" xfId="5" applyFont="1" applyBorder="1"/>
    <xf numFmtId="171" fontId="68" fillId="0" borderId="0" xfId="5" applyFont="1" applyAlignment="1" applyProtection="1">
      <alignment horizontal="center"/>
      <protection locked="0"/>
    </xf>
    <xf numFmtId="171" fontId="68" fillId="0" borderId="21" xfId="5" applyFont="1" applyBorder="1" applyAlignment="1" applyProtection="1">
      <alignment horizontal="center"/>
      <protection locked="0"/>
    </xf>
    <xf numFmtId="171" fontId="68" fillId="0" borderId="0" xfId="5" applyFont="1" applyAlignment="1">
      <alignment horizontal="center"/>
    </xf>
    <xf numFmtId="49" fontId="68" fillId="0" borderId="0" xfId="5" applyNumberFormat="1" applyFont="1" applyAlignment="1">
      <alignment horizontal="center"/>
    </xf>
    <xf numFmtId="172" fontId="68" fillId="0" borderId="0" xfId="5" applyNumberFormat="1" applyFont="1" applyAlignment="1" applyProtection="1">
      <alignment horizontal="center"/>
      <protection locked="0"/>
    </xf>
    <xf numFmtId="171" fontId="68" fillId="0" borderId="0" xfId="5" quotePrefix="1" applyFont="1" applyAlignment="1">
      <alignment horizontal="right"/>
    </xf>
    <xf numFmtId="171" fontId="68" fillId="0" borderId="0" xfId="5" quotePrefix="1" applyFont="1" applyAlignment="1" applyProtection="1">
      <alignment horizontal="center"/>
      <protection locked="0"/>
    </xf>
    <xf numFmtId="171" fontId="68" fillId="0" borderId="21" xfId="5" applyFont="1" applyBorder="1"/>
    <xf numFmtId="171" fontId="68" fillId="0" borderId="46" xfId="5" applyFont="1" applyBorder="1"/>
    <xf numFmtId="171" fontId="68" fillId="0" borderId="23" xfId="5" applyFont="1" applyBorder="1" applyAlignment="1">
      <alignment horizontal="right"/>
    </xf>
    <xf numFmtId="166" fontId="68" fillId="0" borderId="23" xfId="5" quotePrefix="1" applyNumberFormat="1" applyFont="1" applyBorder="1" applyAlignment="1" applyProtection="1">
      <alignment horizontal="center"/>
      <protection locked="0"/>
    </xf>
    <xf numFmtId="171" fontId="68" fillId="0" borderId="23" xfId="5" applyFont="1" applyBorder="1"/>
    <xf numFmtId="166" fontId="68" fillId="0" borderId="23" xfId="5" applyNumberFormat="1" applyFont="1" applyBorder="1"/>
    <xf numFmtId="171" fontId="68" fillId="0" borderId="24" xfId="5" applyFont="1" applyBorder="1"/>
    <xf numFmtId="171" fontId="70" fillId="0" borderId="45" xfId="5" quotePrefix="1" applyFont="1" applyBorder="1" applyAlignment="1">
      <alignment horizontal="left"/>
    </xf>
    <xf numFmtId="171" fontId="64" fillId="0" borderId="0" xfId="5" quotePrefix="1" applyFont="1" applyAlignment="1">
      <alignment horizontal="right"/>
    </xf>
    <xf numFmtId="171" fontId="64" fillId="0" borderId="107" xfId="5" applyFont="1" applyBorder="1"/>
    <xf numFmtId="171" fontId="70" fillId="0" borderId="0" xfId="5" applyFont="1" applyAlignment="1">
      <alignment horizontal="left"/>
    </xf>
    <xf numFmtId="171" fontId="64" fillId="0" borderId="0" xfId="5" applyFont="1" applyAlignment="1">
      <alignment horizontal="right"/>
    </xf>
    <xf numFmtId="171" fontId="64" fillId="0" borderId="107" xfId="5" applyFont="1" applyBorder="1" applyAlignment="1">
      <alignment horizontal="right"/>
    </xf>
    <xf numFmtId="171" fontId="70" fillId="0" borderId="0" xfId="5" quotePrefix="1" applyFont="1" applyAlignment="1">
      <alignment horizontal="left"/>
    </xf>
    <xf numFmtId="171" fontId="64" fillId="0" borderId="21" xfId="5" applyFont="1" applyBorder="1"/>
    <xf numFmtId="171" fontId="61" fillId="0" borderId="45" xfId="5" applyBorder="1"/>
    <xf numFmtId="171" fontId="68" fillId="0" borderId="107" xfId="5" applyFont="1" applyBorder="1" applyAlignment="1" applyProtection="1">
      <alignment horizontal="center"/>
      <protection locked="0"/>
    </xf>
    <xf numFmtId="1" fontId="68" fillId="0" borderId="107" xfId="5" applyNumberFormat="1" applyFont="1" applyBorder="1" applyAlignment="1">
      <alignment horizontal="center"/>
    </xf>
    <xf numFmtId="171" fontId="68" fillId="0" borderId="107" xfId="5" applyFont="1" applyBorder="1"/>
    <xf numFmtId="171" fontId="68" fillId="0" borderId="48" xfId="5" applyFont="1" applyBorder="1"/>
    <xf numFmtId="171" fontId="68" fillId="0" borderId="48" xfId="5" applyFont="1" applyBorder="1" applyAlignment="1">
      <alignment horizontal="left"/>
    </xf>
    <xf numFmtId="171" fontId="69" fillId="0" borderId="139" xfId="5" applyFont="1" applyBorder="1" applyAlignment="1">
      <alignment horizontal="centerContinuous"/>
    </xf>
    <xf numFmtId="171" fontId="65" fillId="0" borderId="140" xfId="5" applyFont="1" applyBorder="1" applyAlignment="1">
      <alignment horizontal="centerContinuous"/>
    </xf>
    <xf numFmtId="171" fontId="61" fillId="0" borderId="141" xfId="5" applyBorder="1"/>
    <xf numFmtId="171" fontId="65" fillId="0" borderId="142" xfId="5" applyFont="1" applyBorder="1" applyAlignment="1">
      <alignment horizontal="centerContinuous"/>
    </xf>
    <xf numFmtId="171" fontId="70" fillId="0" borderId="45" xfId="5" applyFont="1" applyBorder="1" applyAlignment="1">
      <alignment horizontal="left"/>
    </xf>
    <xf numFmtId="171" fontId="61" fillId="0" borderId="107" xfId="5" applyBorder="1"/>
    <xf numFmtId="166" fontId="68" fillId="0" borderId="0" xfId="5" applyNumberFormat="1" applyFont="1" applyAlignment="1" applyProtection="1">
      <alignment horizontal="center"/>
      <protection locked="0"/>
    </xf>
    <xf numFmtId="171" fontId="68" fillId="0" borderId="45" xfId="5" applyFont="1" applyBorder="1" applyAlignment="1">
      <alignment horizontal="left"/>
    </xf>
    <xf numFmtId="171" fontId="61" fillId="0" borderId="48" xfId="5" applyBorder="1"/>
    <xf numFmtId="171" fontId="65" fillId="0" borderId="0" xfId="5" applyFont="1" applyAlignment="1">
      <alignment horizontal="left"/>
    </xf>
    <xf numFmtId="171" fontId="65" fillId="0" borderId="139" xfId="5" applyFont="1" applyBorder="1"/>
    <xf numFmtId="171" fontId="64" fillId="0" borderId="140" xfId="5" applyFont="1" applyBorder="1" applyAlignment="1">
      <alignment horizontal="left"/>
    </xf>
    <xf numFmtId="171" fontId="64" fillId="0" borderId="142" xfId="5" applyFont="1" applyBorder="1" applyAlignment="1">
      <alignment horizontal="left"/>
    </xf>
    <xf numFmtId="171" fontId="68" fillId="0" borderId="45" xfId="6" quotePrefix="1" applyFont="1" applyBorder="1" applyAlignment="1">
      <alignment horizontal="left"/>
    </xf>
    <xf numFmtId="171" fontId="68" fillId="0" borderId="21" xfId="5" applyFont="1" applyBorder="1" applyAlignment="1">
      <alignment horizontal="left"/>
    </xf>
    <xf numFmtId="171" fontId="68" fillId="0" borderId="45" xfId="6" applyFont="1" applyBorder="1" applyAlignment="1">
      <alignment horizontal="left"/>
    </xf>
    <xf numFmtId="171" fontId="71" fillId="0" borderId="143" xfId="6" applyFont="1" applyBorder="1"/>
    <xf numFmtId="171" fontId="68" fillId="0" borderId="0" xfId="5" quotePrefix="1" applyFont="1" applyAlignment="1">
      <alignment horizontal="left"/>
    </xf>
    <xf numFmtId="171" fontId="68" fillId="0" borderId="144" xfId="6" quotePrefix="1" applyFont="1" applyBorder="1" applyAlignment="1">
      <alignment horizontal="left"/>
    </xf>
    <xf numFmtId="171" fontId="68" fillId="0" borderId="145" xfId="6" quotePrefix="1" applyFont="1" applyBorder="1" applyAlignment="1">
      <alignment horizontal="left"/>
    </xf>
    <xf numFmtId="171" fontId="68" fillId="0" borderId="46" xfId="6" applyFont="1" applyBorder="1" applyAlignment="1">
      <alignment horizontal="left"/>
    </xf>
    <xf numFmtId="171" fontId="68" fillId="0" borderId="23" xfId="5" applyFont="1" applyBorder="1" applyAlignment="1">
      <alignment horizontal="left"/>
    </xf>
    <xf numFmtId="171" fontId="68" fillId="0" borderId="24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72" fillId="0" borderId="0" xfId="5" applyFont="1" applyAlignment="1">
      <alignment horizontal="right"/>
    </xf>
    <xf numFmtId="171" fontId="61" fillId="0" borderId="0" xfId="5" applyAlignment="1">
      <alignment horizontal="right"/>
    </xf>
    <xf numFmtId="0" fontId="50" fillId="0" borderId="60" xfId="0" applyFont="1" applyBorder="1"/>
    <xf numFmtId="0" fontId="50" fillId="0" borderId="61" xfId="0" applyFont="1" applyBorder="1"/>
    <xf numFmtId="0" fontId="50" fillId="0" borderId="38" xfId="0" applyFont="1" applyBorder="1"/>
    <xf numFmtId="0" fontId="51" fillId="0" borderId="82" xfId="0" applyFont="1" applyBorder="1" applyAlignment="1">
      <alignment horizontal="centerContinuous"/>
    </xf>
    <xf numFmtId="0" fontId="50" fillId="0" borderId="0" xfId="0" applyFont="1" applyAlignment="1">
      <alignment horizontal="centerContinuous"/>
    </xf>
    <xf numFmtId="0" fontId="50" fillId="0" borderId="107" xfId="0" applyFont="1" applyBorder="1" applyAlignment="1">
      <alignment horizontal="centerContinuous"/>
    </xf>
    <xf numFmtId="0" fontId="52" fillId="0" borderId="82" xfId="0" applyFont="1" applyBorder="1" applyAlignment="1">
      <alignment horizontal="centerContinuous"/>
    </xf>
    <xf numFmtId="0" fontId="50" fillId="0" borderId="82" xfId="0" applyFont="1" applyBorder="1"/>
    <xf numFmtId="0" fontId="50" fillId="0" borderId="0" xfId="0" applyFont="1"/>
    <xf numFmtId="0" fontId="50" fillId="0" borderId="107" xfId="0" applyFont="1" applyBorder="1"/>
    <xf numFmtId="0" fontId="74" fillId="0" borderId="0" xfId="0" applyFont="1"/>
    <xf numFmtId="0" fontId="2" fillId="0" borderId="44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6" fontId="3" fillId="0" borderId="147" xfId="0" quotePrefix="1" applyNumberFormat="1" applyFont="1" applyBorder="1" applyAlignment="1">
      <alignment horizontal="center"/>
    </xf>
    <xf numFmtId="166" fontId="2" fillId="0" borderId="28" xfId="0" applyNumberFormat="1" applyFont="1" applyBorder="1" applyAlignment="1">
      <alignment horizontal="center"/>
    </xf>
    <xf numFmtId="166" fontId="2" fillId="0" borderId="148" xfId="0" applyNumberFormat="1" applyFont="1" applyBorder="1" applyAlignment="1">
      <alignment horizontal="center"/>
    </xf>
    <xf numFmtId="166" fontId="3" fillId="0" borderId="149" xfId="0" quotePrefix="1" applyNumberFormat="1" applyFont="1" applyBorder="1" applyAlignment="1">
      <alignment horizontal="center"/>
    </xf>
    <xf numFmtId="166" fontId="2" fillId="0" borderId="131" xfId="0" applyNumberFormat="1" applyFont="1" applyBorder="1" applyAlignment="1">
      <alignment horizontal="center"/>
    </xf>
    <xf numFmtId="166" fontId="3" fillId="0" borderId="25" xfId="0" quotePrefix="1" applyNumberFormat="1" applyFont="1" applyBorder="1" applyAlignment="1">
      <alignment horizontal="center"/>
    </xf>
    <xf numFmtId="166" fontId="2" fillId="0" borderId="133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49" fontId="50" fillId="0" borderId="40" xfId="4" applyNumberFormat="1" applyFont="1" applyBorder="1"/>
    <xf numFmtId="0" fontId="20" fillId="0" borderId="101" xfId="1" applyFont="1" applyBorder="1" applyAlignment="1">
      <alignment horizontal="left"/>
    </xf>
    <xf numFmtId="0" fontId="20" fillId="0" borderId="61" xfId="1" applyFont="1" applyBorder="1" applyAlignment="1">
      <alignment horizontal="left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1" xfId="1" applyNumberFormat="1" applyFont="1" applyFill="1" applyBorder="1" applyAlignment="1">
      <alignment horizontal="center"/>
    </xf>
    <xf numFmtId="14" fontId="24" fillId="2" borderId="122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107" xfId="1" applyFont="1" applyBorder="1" applyAlignment="1">
      <alignment horizontal="center"/>
    </xf>
    <xf numFmtId="0" fontId="26" fillId="0" borderId="108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107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Border="1" applyAlignment="1">
      <alignment horizontal="left"/>
    </xf>
    <xf numFmtId="0" fontId="20" fillId="0" borderId="80" xfId="1" applyFont="1" applyBorder="1" applyAlignment="1">
      <alignment horizontal="left"/>
    </xf>
    <xf numFmtId="0" fontId="20" fillId="0" borderId="81" xfId="1" applyFont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Border="1" applyAlignment="1">
      <alignment horizontal="center"/>
    </xf>
    <xf numFmtId="0" fontId="31" fillId="0" borderId="65" xfId="1" applyFont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Border="1" applyAlignment="1">
      <alignment horizontal="left"/>
    </xf>
    <xf numFmtId="0" fontId="26" fillId="0" borderId="76" xfId="1" applyFont="1" applyBorder="1" applyAlignment="1">
      <alignment horizontal="left"/>
    </xf>
    <xf numFmtId="0" fontId="29" fillId="0" borderId="74" xfId="1" applyFont="1" applyBorder="1" applyAlignment="1">
      <alignment horizontal="left"/>
    </xf>
    <xf numFmtId="0" fontId="29" fillId="0" borderId="67" xfId="1" applyFont="1" applyBorder="1" applyAlignment="1">
      <alignment horizontal="left"/>
    </xf>
    <xf numFmtId="0" fontId="29" fillId="0" borderId="68" xfId="1" applyFont="1" applyBorder="1" applyAlignment="1">
      <alignment horizontal="left"/>
    </xf>
    <xf numFmtId="166" fontId="31" fillId="0" borderId="64" xfId="1" applyNumberFormat="1" applyFont="1" applyBorder="1" applyAlignment="1">
      <alignment horizontal="center"/>
    </xf>
    <xf numFmtId="166" fontId="31" fillId="0" borderId="65" xfId="1" applyNumberFormat="1" applyFont="1" applyBorder="1" applyAlignment="1">
      <alignment horizontal="center"/>
    </xf>
    <xf numFmtId="0" fontId="29" fillId="0" borderId="62" xfId="1" applyFont="1" applyBorder="1" applyAlignment="1">
      <alignment horizontal="left"/>
    </xf>
    <xf numFmtId="0" fontId="29" fillId="0" borderId="63" xfId="1" applyFont="1" applyBorder="1" applyAlignment="1">
      <alignment horizontal="left"/>
    </xf>
    <xf numFmtId="2" fontId="31" fillId="0" borderId="64" xfId="1" applyNumberFormat="1" applyFont="1" applyBorder="1" applyAlignment="1">
      <alignment horizontal="center"/>
    </xf>
    <xf numFmtId="2" fontId="31" fillId="0" borderId="65" xfId="1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Border="1" applyAlignment="1">
      <alignment horizontal="left"/>
    </xf>
    <xf numFmtId="0" fontId="29" fillId="0" borderId="58" xfId="1" applyFont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171" fontId="73" fillId="0" borderId="146" xfId="5" applyFont="1" applyBorder="1" applyAlignment="1" applyProtection="1">
      <alignment horizontal="center"/>
      <protection locked="0"/>
    </xf>
    <xf numFmtId="14" fontId="15" fillId="0" borderId="146" xfId="5" quotePrefix="1" applyNumberFormat="1" applyFont="1" applyBorder="1" applyAlignment="1" applyProtection="1">
      <alignment horizontal="center"/>
      <protection locked="0"/>
    </xf>
    <xf numFmtId="0" fontId="50" fillId="0" borderId="17" xfId="4" applyFont="1" applyBorder="1" applyAlignment="1">
      <alignment horizontal="center"/>
    </xf>
    <xf numFmtId="0" fontId="50" fillId="0" borderId="130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2" fillId="0" borderId="82" xfId="4" applyFont="1" applyBorder="1" applyAlignment="1">
      <alignment horizontal="center"/>
    </xf>
    <xf numFmtId="0" fontId="52" fillId="0" borderId="0" xfId="4" applyFont="1" applyAlignment="1">
      <alignment horizontal="center"/>
    </xf>
    <xf numFmtId="0" fontId="52" fillId="0" borderId="107" xfId="4" applyFont="1" applyBorder="1" applyAlignment="1">
      <alignment horizontal="center"/>
    </xf>
    <xf numFmtId="0" fontId="58" fillId="0" borderId="82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58" fillId="0" borderId="107" xfId="4" applyFont="1" applyBorder="1" applyAlignment="1">
      <alignment horizontal="center"/>
    </xf>
    <xf numFmtId="0" fontId="58" fillId="0" borderId="82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107" xfId="0" applyFont="1" applyBorder="1" applyAlignment="1">
      <alignment horizontal="center"/>
    </xf>
    <xf numFmtId="0" fontId="8" fillId="0" borderId="135" xfId="0" applyFont="1" applyBorder="1" applyAlignment="1">
      <alignment horizontal="right"/>
    </xf>
    <xf numFmtId="0" fontId="8" fillId="0" borderId="132" xfId="0" applyFont="1" applyBorder="1" applyAlignment="1">
      <alignment horizontal="right"/>
    </xf>
    <xf numFmtId="0" fontId="23" fillId="0" borderId="132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3" fillId="0" borderId="12" xfId="0" applyFont="1" applyBorder="1" applyAlignment="1">
      <alignment horizontal="left"/>
    </xf>
    <xf numFmtId="0" fontId="53" fillId="0" borderId="13" xfId="0" applyFont="1" applyBorder="1" applyAlignment="1">
      <alignment horizontal="left"/>
    </xf>
    <xf numFmtId="0" fontId="53" fillId="0" borderId="14" xfId="0" applyFont="1" applyBorder="1" applyAlignment="1">
      <alignment horizontal="left"/>
    </xf>
    <xf numFmtId="0" fontId="56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4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6" fillId="0" borderId="101" xfId="0" applyFont="1" applyBorder="1" applyAlignment="1">
      <alignment horizontal="right"/>
    </xf>
    <xf numFmtId="0" fontId="56" fillId="0" borderId="61" xfId="0" applyFont="1" applyBorder="1" applyAlignment="1">
      <alignment horizontal="right"/>
    </xf>
    <xf numFmtId="0" fontId="56" fillId="0" borderId="46" xfId="0" applyFont="1" applyBorder="1" applyAlignment="1">
      <alignment horizontal="right"/>
    </xf>
    <xf numFmtId="0" fontId="56" fillId="0" borderId="2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3" fillId="0" borderId="60" xfId="0" applyFont="1" applyBorder="1" applyAlignment="1">
      <alignment horizontal="center"/>
    </xf>
    <xf numFmtId="0" fontId="56" fillId="0" borderId="101" xfId="0" applyFont="1" applyBorder="1" applyAlignment="1">
      <alignment horizontal="center"/>
    </xf>
    <xf numFmtId="0" fontId="56" fillId="0" borderId="61" xfId="0" applyFont="1" applyBorder="1" applyAlignment="1">
      <alignment horizontal="center"/>
    </xf>
    <xf numFmtId="0" fontId="56" fillId="0" borderId="27" xfId="0" applyFont="1" applyBorder="1" applyAlignment="1">
      <alignment horizontal="center"/>
    </xf>
    <xf numFmtId="0" fontId="54" fillId="0" borderId="17" xfId="4" applyFont="1" applyBorder="1" applyAlignment="1">
      <alignment horizontal="right"/>
    </xf>
    <xf numFmtId="0" fontId="54" fillId="0" borderId="130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7" fillId="0" borderId="0" xfId="4" applyFont="1" applyAlignment="1">
      <alignment horizontal="right"/>
    </xf>
    <xf numFmtId="0" fontId="54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6" fillId="0" borderId="17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3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24" fillId="0" borderId="0" xfId="1" applyFont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5" xr:uid="{387D4262-1817-4924-AF8D-DFE6E290A1C8}"/>
    <cellStyle name="Normal 3" xfId="4" xr:uid="{00000000-0005-0000-0000-000002000000}"/>
    <cellStyle name="Normal 4" xfId="6" xr:uid="{26864AB8-1D41-46DA-AABF-CA759011A612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164.54852207168744</c:v>
                </c:pt>
                <c:pt idx="2">
                  <c:v>220</c:v>
                </c:pt>
                <c:pt idx="3">
                  <c:v>142.44674370291378</c:v>
                </c:pt>
                <c:pt idx="4">
                  <c:v>123.37755170867419</c:v>
                </c:pt>
                <c:pt idx="5">
                  <c:v>117.44139354373849</c:v>
                </c:pt>
                <c:pt idx="6">
                  <c:v>115.21027528236266</c:v>
                </c:pt>
                <c:pt idx="7">
                  <c:v>115.15470795149868</c:v>
                </c:pt>
                <c:pt idx="8">
                  <c:v>115.09873248291677</c:v>
                </c:pt>
                <c:pt idx="9">
                  <c:v>115.06491121710769</c:v>
                </c:pt>
                <c:pt idx="10">
                  <c:v>115.0369467534141</c:v>
                </c:pt>
                <c:pt idx="11">
                  <c:v>115.02075614413374</c:v>
                </c:pt>
                <c:pt idx="12">
                  <c:v>115.00523207387806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46-4A50-ABD0-4B806B87D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83296"/>
        <c:axId val="15368716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0.20290347933769226</c:v>
                </c:pt>
                <c:pt idx="1">
                  <c:v>204.70439147949219</c:v>
                </c:pt>
                <c:pt idx="2">
                  <c:v>515.5517578125</c:v>
                </c:pt>
                <c:pt idx="3">
                  <c:v>570.64239501953125</c:v>
                </c:pt>
                <c:pt idx="4">
                  <c:v>586.1107177734375</c:v>
                </c:pt>
                <c:pt idx="5">
                  <c:v>594.76470947265625</c:v>
                </c:pt>
                <c:pt idx="6">
                  <c:v>607.2066650390625</c:v>
                </c:pt>
                <c:pt idx="7">
                  <c:v>617.09942626953125</c:v>
                </c:pt>
                <c:pt idx="8">
                  <c:v>625.02703857421875</c:v>
                </c:pt>
                <c:pt idx="9">
                  <c:v>631.34478759765625</c:v>
                </c:pt>
                <c:pt idx="10">
                  <c:v>636.333251953125</c:v>
                </c:pt>
                <c:pt idx="11">
                  <c:v>640.36370849609375</c:v>
                </c:pt>
                <c:pt idx="12">
                  <c:v>643.678466796875</c:v>
                </c:pt>
                <c:pt idx="13">
                  <c:v>646.4566650390625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46-4A50-ABD0-4B806B87D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89088"/>
        <c:axId val="153694976"/>
      </c:scatterChart>
      <c:valAx>
        <c:axId val="16658329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687168"/>
        <c:crossesAt val="0"/>
        <c:crossBetween val="midCat"/>
        <c:majorUnit val="0.2"/>
        <c:minorUnit val="0.2"/>
      </c:valAx>
      <c:valAx>
        <c:axId val="15368716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583296"/>
        <c:crosses val="max"/>
        <c:crossBetween val="midCat"/>
        <c:majorUnit val="50"/>
        <c:minorUnit val="50"/>
      </c:valAx>
      <c:valAx>
        <c:axId val="15368908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53694976"/>
        <c:crosses val="autoZero"/>
        <c:crossBetween val="midCat"/>
      </c:valAx>
      <c:valAx>
        <c:axId val="15369497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68908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164.54852207168744</c:v>
                </c:pt>
                <c:pt idx="2">
                  <c:v>220</c:v>
                </c:pt>
                <c:pt idx="3">
                  <c:v>142.44674370291378</c:v>
                </c:pt>
                <c:pt idx="4">
                  <c:v>123.37755170867419</c:v>
                </c:pt>
                <c:pt idx="5">
                  <c:v>117.44139354373849</c:v>
                </c:pt>
                <c:pt idx="6">
                  <c:v>115.21027528236266</c:v>
                </c:pt>
                <c:pt idx="7">
                  <c:v>115.15470795149868</c:v>
                </c:pt>
                <c:pt idx="8">
                  <c:v>115.09873248291677</c:v>
                </c:pt>
                <c:pt idx="9">
                  <c:v>115.06491121710769</c:v>
                </c:pt>
                <c:pt idx="10">
                  <c:v>115.0369467534141</c:v>
                </c:pt>
                <c:pt idx="11">
                  <c:v>115.02075614413374</c:v>
                </c:pt>
                <c:pt idx="12">
                  <c:v>115.00523207387806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58-42A1-B7EA-68CF69B1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09184"/>
        <c:axId val="170111360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0.20290347933769226</c:v>
                </c:pt>
                <c:pt idx="1">
                  <c:v>204.70439147949219</c:v>
                </c:pt>
                <c:pt idx="2">
                  <c:v>515.5517578125</c:v>
                </c:pt>
                <c:pt idx="3">
                  <c:v>570.64239501953125</c:v>
                </c:pt>
                <c:pt idx="4">
                  <c:v>586.1107177734375</c:v>
                </c:pt>
                <c:pt idx="5">
                  <c:v>594.76470947265625</c:v>
                </c:pt>
                <c:pt idx="6">
                  <c:v>607.2066650390625</c:v>
                </c:pt>
                <c:pt idx="7">
                  <c:v>617.09942626953125</c:v>
                </c:pt>
                <c:pt idx="8">
                  <c:v>625.02703857421875</c:v>
                </c:pt>
                <c:pt idx="9">
                  <c:v>631.34478759765625</c:v>
                </c:pt>
                <c:pt idx="10">
                  <c:v>636.333251953125</c:v>
                </c:pt>
                <c:pt idx="11">
                  <c:v>640.36370849609375</c:v>
                </c:pt>
                <c:pt idx="12">
                  <c:v>643.678466796875</c:v>
                </c:pt>
                <c:pt idx="13">
                  <c:v>646.4566650390625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58-42A1-B7EA-68CF69B1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13280"/>
        <c:axId val="170115072"/>
      </c:scatterChart>
      <c:valAx>
        <c:axId val="17010918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111360"/>
        <c:crosses val="autoZero"/>
        <c:crossBetween val="midCat"/>
        <c:majorUnit val="20"/>
        <c:minorUnit val="20"/>
      </c:valAx>
      <c:valAx>
        <c:axId val="170111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109184"/>
        <c:crosses val="autoZero"/>
        <c:crossBetween val="midCat"/>
      </c:valAx>
      <c:valAx>
        <c:axId val="1701132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70115072"/>
        <c:crosses val="autoZero"/>
        <c:crossBetween val="midCat"/>
      </c:valAx>
      <c:valAx>
        <c:axId val="170115072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11328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94106551236624469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646.45669291338584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40.629774870660846</c:v>
                </c:pt>
                <c:pt idx="2">
                  <c:v>58.506875813751627</c:v>
                </c:pt>
                <c:pt idx="3">
                  <c:v>91.416993458986923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41-4F83-A91E-71B1E2AF6815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646.45669291338584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17.412760658854648</c:v>
                </c:pt>
                <c:pt idx="2">
                  <c:v>25.074375348750696</c:v>
                </c:pt>
                <c:pt idx="3">
                  <c:v>39.178711482422969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41-4F83-A91E-71B1E2AF6815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129.51640159478666</c:v>
                </c:pt>
                <c:pt idx="3">
                  <c:v>193.47511843171836</c:v>
                </c:pt>
                <c:pt idx="4">
                  <c:v>435.3190164713663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41-4F83-A91E-71B1E2AF6815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646.45669291338584</c:v>
                </c:pt>
                <c:pt idx="1">
                  <c:v>645.03937007874015</c:v>
                </c:pt>
                <c:pt idx="2">
                  <c:v>642.04724409448818</c:v>
                </c:pt>
                <c:pt idx="3">
                  <c:v>638.34645669291342</c:v>
                </c:pt>
                <c:pt idx="4">
                  <c:v>633.85826771653547</c:v>
                </c:pt>
                <c:pt idx="5">
                  <c:v>628.18897637795271</c:v>
                </c:pt>
                <c:pt idx="6">
                  <c:v>621.10236220472439</c:v>
                </c:pt>
                <c:pt idx="7">
                  <c:v>612.12598425196848</c:v>
                </c:pt>
                <c:pt idx="8">
                  <c:v>601.02362204724409</c:v>
                </c:pt>
                <c:pt idx="9">
                  <c:v>590.4724409448819</c:v>
                </c:pt>
                <c:pt idx="10">
                  <c:v>578.34645669291342</c:v>
                </c:pt>
                <c:pt idx="11">
                  <c:v>543.07086614173227</c:v>
                </c:pt>
                <c:pt idx="12">
                  <c:v>360.15748031496065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0.9779999852180481</c:v>
                </c:pt>
                <c:pt idx="2">
                  <c:v>1.8509999513626099</c:v>
                </c:pt>
                <c:pt idx="3">
                  <c:v>2.690000057220459</c:v>
                </c:pt>
                <c:pt idx="4">
                  <c:v>3.5329999923706055</c:v>
                </c:pt>
                <c:pt idx="5">
                  <c:v>4.4149999618530273</c:v>
                </c:pt>
                <c:pt idx="6">
                  <c:v>5.3689999580383301</c:v>
                </c:pt>
                <c:pt idx="7">
                  <c:v>6.4499998092651367</c:v>
                </c:pt>
                <c:pt idx="8">
                  <c:v>7.7699999809265137</c:v>
                </c:pt>
                <c:pt idx="9">
                  <c:v>8.5699996948242188</c:v>
                </c:pt>
                <c:pt idx="10">
                  <c:v>9.3809995651245117</c:v>
                </c:pt>
                <c:pt idx="11">
                  <c:v>9.8819999694824219</c:v>
                </c:pt>
                <c:pt idx="12">
                  <c:v>9.9560003280639648</c:v>
                </c:pt>
                <c:pt idx="13">
                  <c:v>10.009000778198242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41-4F83-A91E-71B1E2AF6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41408"/>
        <c:axId val="170247680"/>
      </c:scatterChart>
      <c:valAx>
        <c:axId val="17024140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47680"/>
        <c:crossesAt val="0.1"/>
        <c:crossBetween val="midCat"/>
        <c:majorUnit val="100"/>
      </c:valAx>
      <c:valAx>
        <c:axId val="17024768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4140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88.979110717773438</c:v>
                </c:pt>
                <c:pt idx="2">
                  <c:v>93.084281921386719</c:v>
                </c:pt>
                <c:pt idx="3">
                  <c:v>94.356819152832031</c:v>
                </c:pt>
                <c:pt idx="4">
                  <c:v>94.862709045410156</c:v>
                </c:pt>
                <c:pt idx="5">
                  <c:v>95.034225463867188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94-4EC3-A911-10EF51C0B7E1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71.312149047851563</c:v>
                </c:pt>
                <c:pt idx="1">
                  <c:v>85.667861938476563</c:v>
                </c:pt>
                <c:pt idx="2">
                  <c:v>89.059516906738281</c:v>
                </c:pt>
                <c:pt idx="3">
                  <c:v>89.585060119628906</c:v>
                </c:pt>
                <c:pt idx="4">
                  <c:v>88.83837890625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94-4EC3-A911-10EF51C0B7E1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84.907030373243998</c:v>
                </c:pt>
                <c:pt idx="2">
                  <c:v>72.178725718154936</c:v>
                </c:pt>
                <c:pt idx="3">
                  <c:v>59.203630710251446</c:v>
                </c:pt>
                <c:pt idx="4">
                  <c:v>45.208387622512994</c:v>
                </c:pt>
                <c:pt idx="5">
                  <c:v>31.321869600032493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94-4EC3-A911-10EF51C0B7E1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0.71010499999999999</c:v>
                </c:pt>
                <c:pt idx="1">
                  <c:v>10.504307341065768</c:v>
                </c:pt>
                <c:pt idx="2">
                  <c:v>20.082099314735643</c:v>
                </c:pt>
                <c:pt idx="3">
                  <c:v>29.716895371715474</c:v>
                </c:pt>
                <c:pt idx="4">
                  <c:v>39.411228946859673</c:v>
                </c:pt>
                <c:pt idx="5">
                  <c:v>49.175122238959254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94-4EC3-A911-10EF51C0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9852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26.531497312218125</c:v>
                </c:pt>
                <c:pt idx="1">
                  <c:v>42.523208618164063</c:v>
                </c:pt>
                <c:pt idx="2">
                  <c:v>67.67266845703125</c:v>
                </c:pt>
                <c:pt idx="3">
                  <c:v>96.326377868652344</c:v>
                </c:pt>
                <c:pt idx="4">
                  <c:v>127.00081634521484</c:v>
                </c:pt>
                <c:pt idx="5">
                  <c:v>159.79638671875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94-4EC3-A911-10EF51C0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16629852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629852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88.979110717773438</c:v>
                </c:pt>
                <c:pt idx="2">
                  <c:v>93.084281921386719</c:v>
                </c:pt>
                <c:pt idx="3">
                  <c:v>94.356819152832031</c:v>
                </c:pt>
                <c:pt idx="4">
                  <c:v>94.862709045410156</c:v>
                </c:pt>
                <c:pt idx="5">
                  <c:v>95.034225463867188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78-4B43-B749-74F48F0B63CF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71.312149047851563</c:v>
                </c:pt>
                <c:pt idx="1">
                  <c:v>85.667861938476563</c:v>
                </c:pt>
                <c:pt idx="2">
                  <c:v>89.059516906738281</c:v>
                </c:pt>
                <c:pt idx="3">
                  <c:v>89.585060119628906</c:v>
                </c:pt>
                <c:pt idx="4">
                  <c:v>88.83837890625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78-4B43-B749-74F48F0B63CF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84.907030373243998</c:v>
                </c:pt>
                <c:pt idx="2">
                  <c:v>72.178725718154936</c:v>
                </c:pt>
                <c:pt idx="3">
                  <c:v>59.203630710251446</c:v>
                </c:pt>
                <c:pt idx="4">
                  <c:v>45.208387622512994</c:v>
                </c:pt>
                <c:pt idx="5">
                  <c:v>31.321869600032493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78-4B43-B749-74F48F0B63CF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0.71010499999999999</c:v>
                </c:pt>
                <c:pt idx="1">
                  <c:v>10.504307341065768</c:v>
                </c:pt>
                <c:pt idx="2">
                  <c:v>20.082099314735643</c:v>
                </c:pt>
                <c:pt idx="3">
                  <c:v>29.716895371715474</c:v>
                </c:pt>
                <c:pt idx="4">
                  <c:v>39.411228946859673</c:v>
                </c:pt>
                <c:pt idx="5">
                  <c:v>49.175122238959254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78-4B43-B749-74F48F0B6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9852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45.953901345638897</c:v>
                </c:pt>
                <c:pt idx="1">
                  <c:v>73.652357827510897</c:v>
                </c:pt>
                <c:pt idx="2">
                  <c:v>117.21250005134186</c:v>
                </c:pt>
                <c:pt idx="3">
                  <c:v>166.84218057758412</c:v>
                </c:pt>
                <c:pt idx="4">
                  <c:v>219.97186651263604</c:v>
                </c:pt>
                <c:pt idx="5">
                  <c:v>276.77546066279956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78-4B43-B749-74F48F0B6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16629852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629852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41.05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17.0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95250</xdr:colOff>
      <xdr:row>28</xdr:row>
      <xdr:rowOff>219075</xdr:rowOff>
    </xdr:from>
    <xdr:to>
      <xdr:col>4</xdr:col>
      <xdr:colOff>742950</xdr:colOff>
      <xdr:row>29</xdr:row>
      <xdr:rowOff>147917</xdr:rowOff>
    </xdr:to>
    <xdr:sp macro="" textlink="">
      <xdr:nvSpPr>
        <xdr:cNvPr id="96" name="Text 21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705100" y="6686550"/>
          <a:ext cx="647700" cy="157442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311-FA21</a:t>
          </a:r>
        </a:p>
      </xdr:txBody>
    </xdr:sp>
    <xdr:clientData/>
  </xdr:twoCellAnchor>
  <xdr:twoCellAnchor>
    <xdr:from>
      <xdr:col>4</xdr:col>
      <xdr:colOff>85725</xdr:colOff>
      <xdr:row>35</xdr:row>
      <xdr:rowOff>28575</xdr:rowOff>
    </xdr:from>
    <xdr:to>
      <xdr:col>4</xdr:col>
      <xdr:colOff>733425</xdr:colOff>
      <xdr:row>35</xdr:row>
      <xdr:rowOff>186017</xdr:rowOff>
    </xdr:to>
    <xdr:sp macro="" textlink="">
      <xdr:nvSpPr>
        <xdr:cNvPr id="97" name="Text 21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695575" y="8096250"/>
          <a:ext cx="647700" cy="157442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411-FA21</a:t>
          </a:r>
        </a:p>
      </xdr:txBody>
    </xdr:sp>
    <xdr:clientData/>
  </xdr:twoCellAnchor>
  <xdr:twoCellAnchor editAs="oneCell"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8" name="Radius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99" name="Height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0" name="Clear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1" name="Thickness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2" name="Radius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3" name="Height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4" name="Clear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5" name="Thickness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6" name="Height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7" name="Clear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8" name="Clear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9" name="Height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0" name="Clear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1" name="Clear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wrap="square" lIns="27432" tIns="18288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 editAs="oneCell"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12" name="Text 583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295275</xdr:colOff>
      <xdr:row>40</xdr:row>
      <xdr:rowOff>123825</xdr:rowOff>
    </xdr:from>
    <xdr:to>
      <xdr:col>3</xdr:col>
      <xdr:colOff>581025</xdr:colOff>
      <xdr:row>41</xdr:row>
      <xdr:rowOff>0</xdr:rowOff>
    </xdr:to>
    <xdr:sp macro="" textlink="">
      <xdr:nvSpPr>
        <xdr:cNvPr id="113" name="Thickness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028825" y="9334500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wrap="square" lIns="27432" tIns="18288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4" name="Radiu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5" name="Clear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6" name="Thickness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7" name="Radius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8" name="Thicknes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9" name="Radiu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0" name="Height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76200</xdr:colOff>
      <xdr:row>40</xdr:row>
      <xdr:rowOff>104775</xdr:rowOff>
    </xdr:from>
    <xdr:to>
      <xdr:col>4</xdr:col>
      <xdr:colOff>723900</xdr:colOff>
      <xdr:row>41</xdr:row>
      <xdr:rowOff>38100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686050" y="9315450"/>
          <a:ext cx="647700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051-FA21</a:t>
          </a:r>
        </a:p>
      </xdr:txBody>
    </xdr:sp>
    <xdr:clientData/>
  </xdr:twoCellAnchor>
  <xdr:twoCellAnchor>
    <xdr:from>
      <xdr:col>3</xdr:col>
      <xdr:colOff>552450</xdr:colOff>
      <xdr:row>42</xdr:row>
      <xdr:rowOff>114300</xdr:rowOff>
    </xdr:from>
    <xdr:to>
      <xdr:col>4</xdr:col>
      <xdr:colOff>0</xdr:colOff>
      <xdr:row>43</xdr:row>
      <xdr:rowOff>9525</xdr:rowOff>
    </xdr:to>
    <xdr:sp macro="" textlink="">
      <xdr:nvSpPr>
        <xdr:cNvPr id="124" name="Radius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416</a:t>
          </a:r>
        </a:p>
        <a:p>
          <a:pPr algn="ctr" rtl="0">
            <a:defRPr sz="1000"/>
          </a:pPr>
          <a:endParaRPr lang="en-US" sz="600" b="1" i="0" strike="noStrike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5" name="Height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6" name="Clear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7" name="Thickness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46.0</a:t>
          </a:r>
        </a:p>
      </xdr:txBody>
    </xdr:sp>
    <xdr:clientData/>
  </xdr:twoCellAnchor>
  <xdr:twoCellAnchor>
    <xdr:from>
      <xdr:col>2</xdr:col>
      <xdr:colOff>457200</xdr:colOff>
      <xdr:row>41</xdr:row>
      <xdr:rowOff>161925</xdr:rowOff>
    </xdr:from>
    <xdr:to>
      <xdr:col>2</xdr:col>
      <xdr:colOff>457200</xdr:colOff>
      <xdr:row>42</xdr:row>
      <xdr:rowOff>66675</xdr:rowOff>
    </xdr:to>
    <xdr:sp macro="" textlink="">
      <xdr:nvSpPr>
        <xdr:cNvPr id="128" name="Line 116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ShapeType="1"/>
        </xdr:cNvSpPr>
      </xdr:nvSpPr>
      <xdr:spPr bwMode="auto">
        <a:xfrm flipV="1">
          <a:off x="1676400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29" name="Line 117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30" name="Line 118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31" name="Line 11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32" name="Text 583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285750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33" name="Line 12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ShapeType="1"/>
        </xdr:cNvSpPr>
      </xdr:nvSpPr>
      <xdr:spPr bwMode="auto">
        <a:xfrm flipV="1">
          <a:off x="1095375" y="91440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34" name="Line 122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35" name="Line 123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36" name="Rectangle 124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rrowheads="1"/>
        </xdr:cNvSpPr>
      </xdr:nvSpPr>
      <xdr:spPr bwMode="auto">
        <a:xfrm>
          <a:off x="1676400" y="9153525"/>
          <a:ext cx="3048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37" name="Line 12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38" name="Line 126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39" name="Line 127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40" name="Line 128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39</xdr:row>
      <xdr:rowOff>171450</xdr:rowOff>
    </xdr:from>
    <xdr:to>
      <xdr:col>3</xdr:col>
      <xdr:colOff>504825</xdr:colOff>
      <xdr:row>39</xdr:row>
      <xdr:rowOff>171450</xdr:rowOff>
    </xdr:to>
    <xdr:sp macro="" textlink="">
      <xdr:nvSpPr>
        <xdr:cNvPr id="141" name="Line 129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ShapeType="1"/>
        </xdr:cNvSpPr>
      </xdr:nvSpPr>
      <xdr:spPr bwMode="auto">
        <a:xfrm>
          <a:off x="2019300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42" name="Thickness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43" name="Line 13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44" name="Line 132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0.68929</cdr:x>
      <cdr:y>0.63028</cdr:y>
    </cdr:from>
    <cdr:to>
      <cdr:x>0.92514</cdr:x>
      <cdr:y>0.65097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31209" y="40583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0.68603</cdr:x>
      <cdr:y>0.53644</cdr:y>
    </cdr:from>
    <cdr:to>
      <cdr:x>0.96885</cdr:x>
      <cdr:y>0.56157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12159" y="34541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9C0C3-AB6B-4939-9E20-ECF7E2B57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5C4E296C-C73F-4257-8AF6-CB1984249DAC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C621772C-1865-4602-9AE6-4A383355193F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820AC439-A58E-4290-B503-D1F95B990EF2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8FF5362D-0F75-4F2B-A22A-E6AFBE61F378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C76C7170-C4ED-4D6C-9F54-862603F3C914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F1D84A48-06F1-4106-AB0B-20CC13592359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C88E857E-7A37-4B91-82F4-2C31E35A3456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3D21BB30-32D6-4756-9EC5-C6D2D3C2F027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E23DBA40-D521-48C9-93C7-216708011FAE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19779DFC-0114-47F6-A06A-B0903B7D158D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98806EAB-B114-490F-9F46-ACEC0BCA6DF7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FEB86D9D-8C04-4828-A473-43FD9DDDE076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C5FFFB88-EE12-496A-A8CE-6C09ED5FDD7E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37166B26-51D3-41F6-AD59-3A5E295FCE1D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5108F3E1-FACC-46BC-9E64-C8FCB82EEAFF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18F87728-784B-4A3F-9D12-0A4AA4CFC7CD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EAD54811-AC12-409E-B7A8-A7088E829516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5C4AB80E-F286-4306-94D7-7474223C16F4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79A2E933-6253-4540-9C95-D9EC7B592ADD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3434900C-BF52-4AB2-B7E3-59AF5252CA8D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3DD95793-80B7-490D-A634-A355BD7CAD72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66C252F4-69A8-4DD5-B226-BD184911533B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D3556C72-B840-4649-AB18-14E9F9D3F1D8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F588016B-A5C5-4651-979C-B2678F7E0385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EAD98CF3-A589-4E4B-A6BE-702B01FA0313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15325762-B014-4E57-8A91-F5AF2F344D36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D275843B-D419-4AF5-9804-64CBDEDE070D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FC3AC622-9B8C-4F6F-8212-5EA4FE25F69C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7E134795-1F74-4C2C-A93A-6F76D947C078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C71D2-C788-4EEA-B3E5-18336BA84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2D8E0AC8-1A90-41D9-8759-D8EA7E5B4D86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4BEE416E-59E9-4A72-8566-D4903D0302F7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316AF949-62BA-4412-9666-CDB34B494B8C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681C59D4-99E6-4386-86FA-23B741A1C4AC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2205E88B-3F3C-45B5-A3E7-84964BCA0EA2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7C1B9112-1C16-4E9A-B189-B11D7DEEAF05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F97EF6FD-0621-4B62-B25F-1A0141449C61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1ED22CA2-F6D3-4A11-BBC6-9D47B3B3B27B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8998C3DA-D5F5-410F-972C-D8CCF096F42B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BA814DD7-0C5D-4775-91FB-034F24930BBF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982631EF-9A6C-4328-AB67-0D4E199540A3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1068C336-BB09-4A74-BAEA-C5EBD869C365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7BE34C84-E5E5-4747-8EF0-6455E09F39B0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23FDBDAB-231A-4765-A802-BE8E506C1635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F112667A-BB73-44F4-B1D4-3031419A3A75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702049DA-FE96-451F-8FFB-23AA862C5E6D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60322EC-CFB2-4492-ACC2-8C8D9F56C522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847589A0-135A-45B1-B202-BC040115583A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B047E035-F8F1-4AD9-85E6-74DADB5BAC91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CE63CD1B-8DA5-4E0F-95CC-C2D209A795CE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27CBAC78-6955-4AC8-AF67-E68BC52AAC05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33BE2A85-FE43-4790-9112-0348D05C312C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45AA930A-307F-4907-A2B7-D92F71461E1B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94D8B95F-FADB-4FDB-8DA9-A6BEE8588753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A1DE92EC-A308-4866-843C-69ECCCB27431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687705</xdr:colOff>
      <xdr:row>19</xdr:row>
      <xdr:rowOff>83820</xdr:rowOff>
    </xdr:from>
    <xdr:to>
      <xdr:col>1</xdr:col>
      <xdr:colOff>1038225</xdr:colOff>
      <xdr:row>19</xdr:row>
      <xdr:rowOff>234633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83ACB213-A9E1-4895-B3AA-A994B663F27B}"/>
            </a:ext>
          </a:extLst>
        </xdr:cNvPr>
        <xdr:cNvSpPr txBox="1">
          <a:spLocks noChangeArrowheads="1"/>
        </xdr:cNvSpPr>
      </xdr:nvSpPr>
      <xdr:spPr bwMode="auto">
        <a:xfrm>
          <a:off x="1830705" y="4663440"/>
          <a:ext cx="350520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4A247B63-214E-4B00-A1B4-A152CB593E31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5D2621AA-0F8F-4378-A391-4B5E13E10CD0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3F7E558B-D282-45F8-9512-5625166BB83D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8" zoomScale="95" zoomScaleNormal="95" workbookViewId="0">
      <selection activeCell="H40" sqref="H40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168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201</v>
      </c>
    </row>
    <row r="2" spans="1:10" ht="18.75">
      <c r="A2" s="34" t="s">
        <v>174</v>
      </c>
      <c r="B2" s="2"/>
      <c r="C2" s="2"/>
      <c r="D2" s="2"/>
      <c r="E2" s="2"/>
      <c r="F2" s="2"/>
      <c r="G2" s="2"/>
      <c r="H2" s="2"/>
      <c r="I2" s="2"/>
      <c r="J2" s="131" t="s">
        <v>202</v>
      </c>
    </row>
    <row r="3" spans="1:10" ht="15" customHeight="1" thickBot="1">
      <c r="A3" s="49" t="s">
        <v>1</v>
      </c>
      <c r="B3" s="96" t="s">
        <v>200</v>
      </c>
      <c r="C3" s="1"/>
      <c r="D3" s="49"/>
      <c r="E3" s="1"/>
      <c r="F3" s="1"/>
      <c r="G3" s="49" t="s">
        <v>2</v>
      </c>
      <c r="H3" s="149">
        <v>41800</v>
      </c>
      <c r="I3" s="49" t="s">
        <v>3</v>
      </c>
      <c r="J3" s="150">
        <v>0.46498842592592587</v>
      </c>
    </row>
    <row r="4" spans="1:10" ht="15" customHeight="1">
      <c r="A4" s="12" t="s">
        <v>4</v>
      </c>
      <c r="B4" s="12" t="s">
        <v>172</v>
      </c>
      <c r="C4" s="12" t="s">
        <v>5</v>
      </c>
      <c r="D4" s="12" t="s">
        <v>173</v>
      </c>
      <c r="E4" s="12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3">
        <v>1000</v>
      </c>
      <c r="C5" s="143">
        <v>1800</v>
      </c>
      <c r="D5" s="50" t="s">
        <v>177</v>
      </c>
      <c r="E5" s="143">
        <v>4000</v>
      </c>
      <c r="F5" s="143">
        <v>60</v>
      </c>
      <c r="G5" s="50">
        <v>115</v>
      </c>
      <c r="H5" s="78" t="s">
        <v>235</v>
      </c>
      <c r="I5" s="77" t="s">
        <v>240</v>
      </c>
      <c r="J5" s="50" t="s">
        <v>178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26.860594499999998</v>
      </c>
      <c r="J7" s="106" t="s">
        <v>19</v>
      </c>
    </row>
    <row r="8" spans="1:10" ht="15" customHeight="1">
      <c r="A8" s="6" t="s">
        <v>20</v>
      </c>
      <c r="B8" s="69">
        <v>3</v>
      </c>
      <c r="C8" s="52"/>
      <c r="D8" s="6"/>
      <c r="E8" s="51"/>
      <c r="F8" s="3"/>
      <c r="G8" s="16"/>
      <c r="H8" s="10" t="s">
        <v>21</v>
      </c>
      <c r="I8" s="68">
        <v>31.8557226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184</v>
      </c>
      <c r="F9" s="107" t="s">
        <v>25</v>
      </c>
      <c r="G9" s="30"/>
      <c r="H9" s="10" t="s">
        <v>26</v>
      </c>
      <c r="I9" s="69">
        <v>29.358158549999999</v>
      </c>
      <c r="J9" s="104">
        <v>918.21289064391203</v>
      </c>
    </row>
    <row r="10" spans="1:10" ht="15" customHeight="1">
      <c r="A10" s="6" t="s">
        <v>27</v>
      </c>
      <c r="B10" s="69">
        <v>650</v>
      </c>
      <c r="C10" s="73">
        <v>650</v>
      </c>
      <c r="D10" s="6"/>
      <c r="E10" s="51"/>
      <c r="F10" s="117" t="s">
        <v>196</v>
      </c>
      <c r="G10" s="115" t="s">
        <v>197</v>
      </c>
      <c r="H10" s="10" t="s">
        <v>28</v>
      </c>
      <c r="I10" s="68">
        <v>15.276445851402322</v>
      </c>
      <c r="J10" s="103" t="s">
        <v>29</v>
      </c>
    </row>
    <row r="11" spans="1:10" ht="15" customHeight="1" thickBot="1">
      <c r="A11" s="6" t="s">
        <v>30</v>
      </c>
      <c r="B11" s="69">
        <v>770</v>
      </c>
      <c r="C11" s="73">
        <v>507</v>
      </c>
      <c r="D11" s="6" t="s">
        <v>31</v>
      </c>
      <c r="E11" s="68">
        <v>0.86657999999999991</v>
      </c>
      <c r="F11" s="118"/>
      <c r="G11" s="114"/>
      <c r="H11" s="10" t="s">
        <v>32</v>
      </c>
      <c r="I11" s="68">
        <v>31.398655764668757</v>
      </c>
      <c r="J11" s="104">
        <v>21421.564759230641</v>
      </c>
    </row>
    <row r="12" spans="1:10" ht="15" customHeight="1">
      <c r="A12" s="6" t="s">
        <v>33</v>
      </c>
      <c r="B12" s="69">
        <v>513</v>
      </c>
      <c r="C12" s="73">
        <v>200</v>
      </c>
      <c r="D12" s="6" t="s">
        <v>34</v>
      </c>
      <c r="E12" s="138" t="s">
        <v>175</v>
      </c>
      <c r="F12" s="124" t="s">
        <v>189</v>
      </c>
      <c r="G12" s="116" t="s">
        <v>188</v>
      </c>
      <c r="H12" s="10" t="s">
        <v>35</v>
      </c>
      <c r="I12" s="68">
        <v>1.2197490501415673</v>
      </c>
      <c r="J12" s="103" t="s">
        <v>36</v>
      </c>
    </row>
    <row r="13" spans="1:10" ht="15" customHeight="1" thickBot="1">
      <c r="A13" s="6" t="s">
        <v>37</v>
      </c>
      <c r="B13" s="69">
        <v>63.5</v>
      </c>
      <c r="C13" s="73">
        <v>112.45000076293945</v>
      </c>
      <c r="D13" s="6" t="s">
        <v>38</v>
      </c>
      <c r="E13" s="70">
        <v>20</v>
      </c>
      <c r="F13" s="124"/>
      <c r="G13" s="116" t="s">
        <v>190</v>
      </c>
      <c r="H13" s="10" t="s">
        <v>40</v>
      </c>
      <c r="I13" s="68">
        <v>1.0145568918222785</v>
      </c>
      <c r="J13" s="104">
        <v>123.34966278076172</v>
      </c>
    </row>
    <row r="14" spans="1:10" ht="15" customHeight="1" thickBot="1">
      <c r="A14" s="134" t="s">
        <v>41</v>
      </c>
      <c r="B14" s="135">
        <v>604.5</v>
      </c>
      <c r="C14" s="136">
        <v>604.5</v>
      </c>
      <c r="D14" s="6" t="s">
        <v>42</v>
      </c>
      <c r="E14" s="51" t="s">
        <v>185</v>
      </c>
      <c r="F14" s="51" t="s">
        <v>192</v>
      </c>
      <c r="G14" s="116" t="s">
        <v>191</v>
      </c>
      <c r="H14" s="49" t="s">
        <v>43</v>
      </c>
      <c r="I14" s="68">
        <v>1.237504805114805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175</v>
      </c>
      <c r="F15" s="51"/>
      <c r="G15" s="116"/>
      <c r="H15" s="10" t="s">
        <v>47</v>
      </c>
      <c r="I15" s="68">
        <v>0.97811904826498275</v>
      </c>
      <c r="J15" s="104">
        <v>23.094687499999999</v>
      </c>
    </row>
    <row r="16" spans="1:10" ht="15" customHeight="1">
      <c r="A16" s="6" t="s">
        <v>48</v>
      </c>
      <c r="B16" s="51">
        <v>60</v>
      </c>
      <c r="C16" s="52">
        <v>50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0.95650599867242181</v>
      </c>
      <c r="J16" s="105" t="s">
        <v>51</v>
      </c>
    </row>
    <row r="17" spans="1:10" ht="15" customHeight="1" thickBot="1">
      <c r="A17" s="6" t="s">
        <v>52</v>
      </c>
      <c r="B17" s="51" t="s">
        <v>179</v>
      </c>
      <c r="C17" s="52" t="s">
        <v>180</v>
      </c>
      <c r="D17" s="96" t="s">
        <v>53</v>
      </c>
      <c r="E17" s="51" t="s">
        <v>186</v>
      </c>
      <c r="F17" s="51"/>
      <c r="G17" s="116"/>
      <c r="H17" s="10" t="s">
        <v>54</v>
      </c>
      <c r="I17" s="68">
        <v>0.93557673708121603</v>
      </c>
      <c r="J17" s="104">
        <v>459.22164075989355</v>
      </c>
    </row>
    <row r="18" spans="1:10" ht="15" customHeight="1">
      <c r="A18" s="6" t="s">
        <v>55</v>
      </c>
      <c r="B18" s="51" t="s">
        <v>175</v>
      </c>
      <c r="C18" s="73">
        <v>0</v>
      </c>
      <c r="D18" s="6" t="s">
        <v>56</v>
      </c>
      <c r="E18" s="140">
        <v>1366</v>
      </c>
      <c r="F18" s="70">
        <v>797</v>
      </c>
      <c r="G18" s="74"/>
      <c r="H18" s="13" t="s">
        <v>57</v>
      </c>
      <c r="I18" s="132" t="s">
        <v>198</v>
      </c>
      <c r="J18" s="133"/>
    </row>
    <row r="19" spans="1:10" ht="15" customHeight="1">
      <c r="A19" s="6" t="s">
        <v>58</v>
      </c>
      <c r="B19" s="69">
        <v>65</v>
      </c>
      <c r="C19" s="73">
        <v>41.049999237060547</v>
      </c>
      <c r="D19" s="6" t="s">
        <v>59</v>
      </c>
      <c r="E19" s="70">
        <v>200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181</v>
      </c>
      <c r="C20" s="73">
        <v>12.050000190734863</v>
      </c>
      <c r="D20" s="6" t="s">
        <v>166</v>
      </c>
      <c r="E20" s="67">
        <v>8.0184859790397259E-2</v>
      </c>
      <c r="F20" s="51"/>
      <c r="G20" s="52"/>
      <c r="H20" s="10" t="s">
        <v>63</v>
      </c>
      <c r="I20" s="68">
        <v>17.64019775390625</v>
      </c>
      <c r="J20" s="72">
        <v>17.64019775390625</v>
      </c>
    </row>
    <row r="21" spans="1:10" ht="15" customHeight="1">
      <c r="A21" s="6" t="s">
        <v>64</v>
      </c>
      <c r="B21" s="69">
        <v>17</v>
      </c>
      <c r="C21" s="73">
        <v>3</v>
      </c>
      <c r="D21" s="10" t="s">
        <v>167</v>
      </c>
      <c r="E21" s="67">
        <v>0.11011633986932748</v>
      </c>
      <c r="F21" s="67">
        <v>9.701693058013916E-2</v>
      </c>
      <c r="G21" s="71">
        <v>2.2570247343850196E-2</v>
      </c>
      <c r="H21" s="10" t="s">
        <v>65</v>
      </c>
      <c r="I21" s="68">
        <v>28.128721237182617</v>
      </c>
      <c r="J21" s="72">
        <v>22.920938491821289</v>
      </c>
    </row>
    <row r="22" spans="1:10" ht="15" customHeight="1">
      <c r="A22" s="6" t="s">
        <v>66</v>
      </c>
      <c r="B22" s="69">
        <v>3.6500000953674316</v>
      </c>
      <c r="C22" s="73">
        <v>6</v>
      </c>
      <c r="D22" s="6" t="s">
        <v>67</v>
      </c>
      <c r="E22" s="51" t="s">
        <v>187</v>
      </c>
      <c r="F22" s="51" t="s">
        <v>187</v>
      </c>
      <c r="G22" s="52" t="s">
        <v>187</v>
      </c>
      <c r="H22" s="10" t="s">
        <v>68</v>
      </c>
      <c r="I22" s="68">
        <v>4.4773201942443848</v>
      </c>
      <c r="J22" s="72">
        <v>4.3765616416931152</v>
      </c>
    </row>
    <row r="23" spans="1:10" ht="15" customHeight="1">
      <c r="A23" s="6" t="s">
        <v>69</v>
      </c>
      <c r="B23" s="69">
        <v>9.8605947494506836</v>
      </c>
      <c r="C23" s="73">
        <v>14.653447151184082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11.986788034450194</v>
      </c>
      <c r="J23" s="16" t="s">
        <v>199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4.0282922706736697</v>
      </c>
      <c r="J24" s="72">
        <v>3.9780207496093345</v>
      </c>
    </row>
    <row r="25" spans="1:10" ht="15" customHeight="1">
      <c r="A25" s="6" t="s">
        <v>75</v>
      </c>
      <c r="B25" s="51" t="s">
        <v>175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0.22970351576805115</v>
      </c>
      <c r="J25" s="72">
        <v>0.46930372714996338</v>
      </c>
    </row>
    <row r="26" spans="1:10" ht="15" customHeight="1">
      <c r="A26" s="6" t="s">
        <v>78</v>
      </c>
      <c r="B26" s="53" t="s">
        <v>182</v>
      </c>
      <c r="C26" s="60" t="s">
        <v>183</v>
      </c>
      <c r="D26" s="10" t="s">
        <v>79</v>
      </c>
      <c r="E26" s="69">
        <v>432.45427531103519</v>
      </c>
      <c r="F26" s="69">
        <v>157.3796760778427</v>
      </c>
      <c r="G26" s="73">
        <v>50.818072728609586</v>
      </c>
      <c r="H26" s="10" t="s">
        <v>80</v>
      </c>
      <c r="I26" s="68">
        <v>4.6512084007263184</v>
      </c>
      <c r="J26" s="72">
        <v>4.2722125053405762</v>
      </c>
    </row>
    <row r="27" spans="1:10" ht="15" customHeight="1" thickBot="1">
      <c r="A27" s="6" t="s">
        <v>81</v>
      </c>
      <c r="B27" s="51" t="s">
        <v>175</v>
      </c>
      <c r="C27" s="52" t="s">
        <v>175</v>
      </c>
      <c r="D27" s="11" t="s">
        <v>82</v>
      </c>
      <c r="E27" s="80" t="s">
        <v>175</v>
      </c>
      <c r="F27" s="80" t="s">
        <v>175</v>
      </c>
      <c r="G27" s="82" t="s">
        <v>175</v>
      </c>
      <c r="H27" s="11" t="s">
        <v>83</v>
      </c>
      <c r="I27" s="79">
        <v>4.6568770408630371</v>
      </c>
      <c r="J27" s="81">
        <v>4.2979121208190918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35.004475783018869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35.036976060784191</v>
      </c>
      <c r="D30" s="10" t="s">
        <v>95</v>
      </c>
      <c r="E30" s="69">
        <v>30.237803750000001</v>
      </c>
      <c r="F30" s="69">
        <v>767.71500000000003</v>
      </c>
      <c r="G30" s="69">
        <v>12.069754283197986</v>
      </c>
      <c r="H30" s="74">
        <v>172.51759452003392</v>
      </c>
      <c r="I30" s="70">
        <v>85198.451713976261</v>
      </c>
      <c r="J30" s="74">
        <v>4099.6529623276665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6.5</v>
      </c>
      <c r="F31" s="69">
        <v>894.10942890644071</v>
      </c>
      <c r="G31" s="69">
        <v>10.363531699759031</v>
      </c>
      <c r="H31" s="74">
        <v>23.055511857901759</v>
      </c>
      <c r="I31" s="70">
        <v>23246.845151567457</v>
      </c>
      <c r="J31" s="74">
        <v>873.87751386071159</v>
      </c>
    </row>
    <row r="32" spans="1:10" ht="15" customHeight="1">
      <c r="A32" s="6" t="s">
        <v>98</v>
      </c>
      <c r="B32" s="68" t="s">
        <v>242</v>
      </c>
      <c r="C32" s="110"/>
      <c r="D32" s="10" t="s">
        <v>99</v>
      </c>
      <c r="E32" s="69">
        <v>16.685769947421075</v>
      </c>
      <c r="F32" s="69">
        <v>1359.520509223938</v>
      </c>
      <c r="G32" s="69">
        <v>6.8157349202585955</v>
      </c>
      <c r="H32" s="74">
        <v>30.868674402728992</v>
      </c>
      <c r="I32" s="9" t="s">
        <v>100</v>
      </c>
      <c r="J32" s="74">
        <v>4973.5304761883781</v>
      </c>
    </row>
    <row r="33" spans="1:10" ht="15" customHeight="1">
      <c r="A33" s="6" t="s">
        <v>101</v>
      </c>
      <c r="B33" s="68" t="s">
        <v>243</v>
      </c>
      <c r="C33" s="111" t="s">
        <v>102</v>
      </c>
      <c r="D33" s="10" t="s">
        <v>97</v>
      </c>
      <c r="E33" s="69">
        <v>4.104999923706055</v>
      </c>
      <c r="F33" s="69">
        <v>1107.2511003613472</v>
      </c>
      <c r="G33" s="69">
        <v>8.3685908340947925</v>
      </c>
      <c r="H33" s="74">
        <v>8.7475747538428088</v>
      </c>
      <c r="I33" s="9" t="s">
        <v>103</v>
      </c>
      <c r="J33" s="73" t="s">
        <v>210</v>
      </c>
    </row>
    <row r="34" spans="1:10" ht="15" customHeight="1" thickBot="1">
      <c r="A34" s="17" t="s">
        <v>104</v>
      </c>
      <c r="B34" s="79" t="s">
        <v>244</v>
      </c>
      <c r="C34" s="112">
        <v>9.2661314095253413</v>
      </c>
      <c r="D34" s="11" t="s">
        <v>20</v>
      </c>
      <c r="E34" s="79">
        <v>0.30000000000000004</v>
      </c>
      <c r="F34" s="80">
        <v>2116.2810462841317</v>
      </c>
      <c r="G34" s="80">
        <v>4.3784975657156986</v>
      </c>
      <c r="H34" s="83">
        <v>1045.2901792680693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212</v>
      </c>
      <c r="E35" s="148" t="s">
        <v>211</v>
      </c>
      <c r="F35" s="15"/>
      <c r="G35" s="26" t="s">
        <v>107</v>
      </c>
      <c r="H35" s="85" t="s">
        <v>205</v>
      </c>
      <c r="I35" s="10" t="s">
        <v>108</v>
      </c>
      <c r="J35" s="74" t="s">
        <v>209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203</v>
      </c>
      <c r="I36" s="10" t="s">
        <v>111</v>
      </c>
      <c r="J36" s="74" t="s">
        <v>208</v>
      </c>
    </row>
    <row r="37" spans="1:10" ht="15" customHeight="1" thickBot="1">
      <c r="A37" s="6" t="s">
        <v>112</v>
      </c>
      <c r="B37" s="69" t="s">
        <v>224</v>
      </c>
      <c r="C37" s="69" t="s">
        <v>225</v>
      </c>
      <c r="D37" s="69" t="s">
        <v>226</v>
      </c>
      <c r="E37" s="69" t="s">
        <v>227</v>
      </c>
      <c r="F37" s="73" t="s">
        <v>228</v>
      </c>
      <c r="G37" s="10" t="s">
        <v>113</v>
      </c>
      <c r="H37" s="74" t="s">
        <v>204</v>
      </c>
      <c r="I37" s="11" t="s">
        <v>114</v>
      </c>
      <c r="J37" s="83" t="s">
        <v>207</v>
      </c>
    </row>
    <row r="38" spans="1:10" ht="15" customHeight="1" thickBot="1">
      <c r="A38" s="6" t="s">
        <v>115</v>
      </c>
      <c r="B38" s="68" t="s">
        <v>214</v>
      </c>
      <c r="C38" s="68" t="s">
        <v>215</v>
      </c>
      <c r="D38" s="68" t="s">
        <v>216</v>
      </c>
      <c r="E38" s="68" t="s">
        <v>217</v>
      </c>
      <c r="F38" s="72" t="s">
        <v>218</v>
      </c>
      <c r="G38" s="17" t="s">
        <v>116</v>
      </c>
      <c r="H38" s="83" t="s">
        <v>206</v>
      </c>
      <c r="I38" s="139" t="s">
        <v>213</v>
      </c>
      <c r="J38" s="84">
        <v>15648.7880859375</v>
      </c>
    </row>
    <row r="39" spans="1:10" ht="15" customHeight="1">
      <c r="A39" s="6" t="s">
        <v>117</v>
      </c>
      <c r="B39" s="68" t="s">
        <v>219</v>
      </c>
      <c r="C39" s="68" t="s">
        <v>220</v>
      </c>
      <c r="D39" s="68" t="s">
        <v>221</v>
      </c>
      <c r="E39" s="68" t="s">
        <v>222</v>
      </c>
      <c r="F39" s="72" t="s">
        <v>223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237</v>
      </c>
      <c r="C40" s="67" t="s">
        <v>238</v>
      </c>
      <c r="D40" s="67" t="s">
        <v>239</v>
      </c>
      <c r="E40" s="67" t="s">
        <v>240</v>
      </c>
      <c r="F40" s="71" t="s">
        <v>241</v>
      </c>
      <c r="G40" s="36" t="s">
        <v>121</v>
      </c>
      <c r="H40" s="91" t="s">
        <v>245</v>
      </c>
      <c r="I40" s="55"/>
      <c r="J40" s="56"/>
    </row>
    <row r="41" spans="1:10" ht="15" customHeight="1">
      <c r="A41" s="6" t="s">
        <v>5</v>
      </c>
      <c r="B41" s="70" t="s">
        <v>232</v>
      </c>
      <c r="C41" s="70" t="s">
        <v>233</v>
      </c>
      <c r="D41" s="70" t="s">
        <v>234</v>
      </c>
      <c r="E41" s="70" t="s">
        <v>235</v>
      </c>
      <c r="F41" s="74" t="s">
        <v>236</v>
      </c>
      <c r="G41" s="37" t="s">
        <v>122</v>
      </c>
      <c r="H41" s="92" t="s">
        <v>246</v>
      </c>
      <c r="I41" s="57"/>
      <c r="J41" s="58"/>
    </row>
    <row r="42" spans="1:10" ht="15" customHeight="1">
      <c r="A42" s="6" t="s">
        <v>123</v>
      </c>
      <c r="B42" s="68">
        <v>10.38010260496675</v>
      </c>
      <c r="C42" s="68">
        <v>10.38010260496675</v>
      </c>
      <c r="D42" s="68">
        <v>10.38010260496675</v>
      </c>
      <c r="E42" s="68">
        <v>10.38010260496675</v>
      </c>
      <c r="F42" s="72">
        <v>10.38010260496675</v>
      </c>
      <c r="G42" s="36" t="s">
        <v>124</v>
      </c>
      <c r="H42" s="91" t="s">
        <v>247</v>
      </c>
      <c r="I42" s="55"/>
      <c r="J42" s="97">
        <v>0.10919667494931545</v>
      </c>
    </row>
    <row r="43" spans="1:10" ht="15" customHeight="1" thickBot="1">
      <c r="A43" s="17" t="s">
        <v>125</v>
      </c>
      <c r="B43" s="79">
        <v>10.38010260496675</v>
      </c>
      <c r="C43" s="79"/>
      <c r="D43" s="79" t="s">
        <v>250</v>
      </c>
      <c r="E43" s="79"/>
      <c r="F43" s="81"/>
      <c r="G43" s="37" t="s">
        <v>122</v>
      </c>
      <c r="H43" s="92" t="s">
        <v>248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1593.9200407555727</v>
      </c>
      <c r="I44" s="90">
        <v>2.5703787365817608E-2</v>
      </c>
      <c r="J44" s="97">
        <v>0.64609173602738623</v>
      </c>
    </row>
    <row r="45" spans="1:10" ht="15" customHeight="1">
      <c r="A45" s="6" t="s">
        <v>129</v>
      </c>
      <c r="B45" s="68">
        <v>0.22624041140079498</v>
      </c>
      <c r="C45" s="4" t="s">
        <v>130</v>
      </c>
      <c r="D45" s="72">
        <v>5.9142257086932659E-3</v>
      </c>
      <c r="E45" s="6" t="s">
        <v>131</v>
      </c>
      <c r="F45" s="74">
        <v>446.29220778242166</v>
      </c>
      <c r="G45" s="38" t="s">
        <v>122</v>
      </c>
      <c r="H45" s="86" t="s">
        <v>249</v>
      </c>
      <c r="I45" s="59"/>
      <c r="J45" s="60"/>
    </row>
    <row r="46" spans="1:10" ht="15" customHeight="1">
      <c r="A46" s="6" t="s">
        <v>132</v>
      </c>
      <c r="B46" s="68">
        <v>0.22905229032039642</v>
      </c>
      <c r="C46" s="4" t="s">
        <v>133</v>
      </c>
      <c r="D46" s="72">
        <v>5.8891610242426395E-3</v>
      </c>
      <c r="E46" s="6" t="s">
        <v>134</v>
      </c>
      <c r="F46" s="74">
        <v>800.02093420665187</v>
      </c>
      <c r="G46" s="37" t="s">
        <v>135</v>
      </c>
      <c r="H46" s="94">
        <v>346.92054066150581</v>
      </c>
      <c r="I46" s="57"/>
      <c r="J46" s="58"/>
    </row>
    <row r="47" spans="1:10" ht="15" customHeight="1">
      <c r="A47" s="6" t="s">
        <v>136</v>
      </c>
      <c r="B47" s="68">
        <v>0.45529270172119141</v>
      </c>
      <c r="C47" s="4" t="s">
        <v>137</v>
      </c>
      <c r="D47" s="72">
        <v>1.2466487474739552E-2</v>
      </c>
      <c r="E47" s="6" t="s">
        <v>138</v>
      </c>
      <c r="F47" s="74">
        <v>655.70224297342565</v>
      </c>
      <c r="G47" s="64" t="s">
        <v>139</v>
      </c>
      <c r="H47" s="93">
        <v>1553.4888439450663</v>
      </c>
      <c r="I47" s="90">
        <v>2.5036756824182802E-2</v>
      </c>
      <c r="J47" s="95">
        <v>0.65497937063978506</v>
      </c>
    </row>
    <row r="48" spans="1:10" ht="15" customHeight="1">
      <c r="A48" s="6" t="s">
        <v>140</v>
      </c>
      <c r="B48" s="68">
        <v>1.1288899928331375E-2</v>
      </c>
      <c r="C48" s="4" t="s">
        <v>100</v>
      </c>
      <c r="D48" s="72">
        <v>3.5558775067329407E-2</v>
      </c>
      <c r="E48" s="6" t="s">
        <v>141</v>
      </c>
      <c r="F48" s="74">
        <v>7.5637380574476794</v>
      </c>
      <c r="G48" s="65" t="s">
        <v>122</v>
      </c>
      <c r="H48" s="86">
        <v>208.2424723786952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0.96444123983383179</v>
      </c>
      <c r="E49" s="17" t="s">
        <v>143</v>
      </c>
      <c r="F49" s="83">
        <v>18.504972189697007</v>
      </c>
      <c r="G49" s="66" t="s">
        <v>135</v>
      </c>
      <c r="H49" s="94">
        <v>342.33174386943114</v>
      </c>
      <c r="I49" s="57"/>
      <c r="J49" s="61"/>
    </row>
    <row r="50" spans="1:10" ht="15" customHeight="1">
      <c r="A50" s="13" t="s">
        <v>195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50</v>
      </c>
      <c r="C51" s="9" t="s">
        <v>146</v>
      </c>
      <c r="D51" s="69" t="s">
        <v>175</v>
      </c>
      <c r="E51" s="9" t="s">
        <v>147</v>
      </c>
      <c r="F51" s="73" t="s">
        <v>175</v>
      </c>
      <c r="G51" s="9" t="s">
        <v>148</v>
      </c>
      <c r="H51" s="67">
        <v>3.5483093425027409E-2</v>
      </c>
      <c r="I51" s="45" t="s">
        <v>149</v>
      </c>
      <c r="J51" s="39"/>
    </row>
    <row r="52" spans="1:10" ht="15" customHeight="1">
      <c r="A52" s="10" t="s">
        <v>58</v>
      </c>
      <c r="B52" s="69">
        <v>41.049999237060547</v>
      </c>
      <c r="C52" s="9" t="s">
        <v>150</v>
      </c>
      <c r="D52" s="69" t="s">
        <v>175</v>
      </c>
      <c r="E52" s="9" t="s">
        <v>151</v>
      </c>
      <c r="F52" s="73" t="s">
        <v>175</v>
      </c>
      <c r="G52" s="9" t="s">
        <v>169</v>
      </c>
      <c r="H52" s="69">
        <v>167081.85</v>
      </c>
      <c r="I52" s="98" t="s">
        <v>229</v>
      </c>
      <c r="J52" s="62"/>
    </row>
    <row r="53" spans="1:10" ht="15" customHeight="1">
      <c r="A53" s="10" t="s">
        <v>64</v>
      </c>
      <c r="B53" s="69">
        <v>3</v>
      </c>
      <c r="C53" s="9" t="s">
        <v>152</v>
      </c>
      <c r="D53" s="69" t="s">
        <v>175</v>
      </c>
      <c r="E53" s="9" t="s">
        <v>153</v>
      </c>
      <c r="F53" s="73" t="s">
        <v>175</v>
      </c>
      <c r="G53" s="9" t="s">
        <v>170</v>
      </c>
      <c r="H53" s="68">
        <v>163.20324330253916</v>
      </c>
      <c r="I53" s="44" t="s">
        <v>154</v>
      </c>
      <c r="J53" s="39"/>
    </row>
    <row r="54" spans="1:10" ht="15" customHeight="1">
      <c r="A54" s="10" t="s">
        <v>66</v>
      </c>
      <c r="B54" s="69">
        <v>6</v>
      </c>
      <c r="C54" s="9" t="s">
        <v>155</v>
      </c>
      <c r="D54" s="69" t="s">
        <v>175</v>
      </c>
      <c r="E54" s="9" t="s">
        <v>153</v>
      </c>
      <c r="F54" s="73" t="s">
        <v>175</v>
      </c>
      <c r="G54" s="9" t="s">
        <v>171</v>
      </c>
      <c r="H54" s="70">
        <v>385385</v>
      </c>
      <c r="I54" s="99" t="s">
        <v>230</v>
      </c>
      <c r="J54" s="100" t="s">
        <v>193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175</v>
      </c>
      <c r="E55" s="9" t="s">
        <v>158</v>
      </c>
      <c r="F55" s="73" t="s">
        <v>175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175</v>
      </c>
      <c r="C56" s="21" t="s">
        <v>162</v>
      </c>
      <c r="D56" s="80" t="s">
        <v>175</v>
      </c>
      <c r="E56" s="21" t="s">
        <v>163</v>
      </c>
      <c r="F56" s="82" t="s">
        <v>175</v>
      </c>
      <c r="G56" s="21" t="s">
        <v>164</v>
      </c>
      <c r="H56" s="79">
        <v>0.89993499999999993</v>
      </c>
      <c r="I56" s="101" t="s">
        <v>231</v>
      </c>
      <c r="J56" s="61" t="s">
        <v>194</v>
      </c>
    </row>
    <row r="57" spans="1:10" ht="15" customHeight="1">
      <c r="A57" s="23" t="s">
        <v>368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369</v>
      </c>
      <c r="D58" s="3" t="s">
        <v>119</v>
      </c>
      <c r="E58" s="3" t="s">
        <v>165</v>
      </c>
      <c r="F58" s="16" t="s">
        <v>370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0.20290347933769226</v>
      </c>
      <c r="D59" s="128">
        <v>0.68736839294433594</v>
      </c>
      <c r="E59" s="86">
        <v>115.0369467534141</v>
      </c>
      <c r="F59" s="87">
        <v>636.333251953125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164.54852207168744</v>
      </c>
      <c r="C60" s="87">
        <v>204.70439147949219</v>
      </c>
      <c r="D60" s="128">
        <v>0.79157894849777222</v>
      </c>
      <c r="E60" s="86">
        <v>115.02075614413374</v>
      </c>
      <c r="F60" s="87">
        <v>640.36370849609375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220</v>
      </c>
      <c r="C61" s="87">
        <v>515.5517578125</v>
      </c>
      <c r="D61" s="128">
        <v>0.89578944444656372</v>
      </c>
      <c r="E61" s="86">
        <v>115.00523207387806</v>
      </c>
      <c r="F61" s="87">
        <v>643.678466796875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142.44674370291378</v>
      </c>
      <c r="C62" s="87">
        <v>570.64239501953125</v>
      </c>
      <c r="D62" s="129">
        <v>1</v>
      </c>
      <c r="E62" s="86">
        <v>115</v>
      </c>
      <c r="F62" s="87">
        <v>646.4566650390625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123.37755170867419</v>
      </c>
      <c r="C63" s="87">
        <v>586.1107177734375</v>
      </c>
      <c r="D63" s="342"/>
      <c r="E63" s="88"/>
      <c r="F63" s="34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117.44139354373849</v>
      </c>
      <c r="C64" s="87">
        <v>594.76470947265625</v>
      </c>
      <c r="D64" s="344" t="s">
        <v>378</v>
      </c>
      <c r="E64" s="345"/>
      <c r="F64" s="34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115.21027528236266</v>
      </c>
      <c r="C65" s="87">
        <v>607.2066650390625</v>
      </c>
      <c r="D65" s="346" t="s">
        <v>372</v>
      </c>
      <c r="E65" s="348" t="s">
        <v>376</v>
      </c>
      <c r="F65" s="34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115.15470795149868</v>
      </c>
      <c r="C66" s="87">
        <v>617.09942626953125</v>
      </c>
      <c r="D66" s="346" t="s">
        <v>373</v>
      </c>
      <c r="E66" s="348" t="s">
        <v>377</v>
      </c>
      <c r="F66" s="34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115.09873248291677</v>
      </c>
      <c r="C67" s="87">
        <v>625.02703857421875</v>
      </c>
      <c r="D67" s="346" t="s">
        <v>374</v>
      </c>
      <c r="E67" s="348" t="s">
        <v>379</v>
      </c>
      <c r="F67" s="34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115.06491121710769</v>
      </c>
      <c r="C68" s="89">
        <v>631.34478759765625</v>
      </c>
      <c r="D68" s="347" t="s">
        <v>375</v>
      </c>
      <c r="E68" s="349" t="s">
        <v>380</v>
      </c>
      <c r="F68" s="34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41" t="s">
        <v>371</v>
      </c>
      <c r="B99" s="341"/>
      <c r="C99" s="341"/>
      <c r="D99" s="341"/>
      <c r="E99" s="341"/>
      <c r="F99" s="341"/>
      <c r="G99" s="341"/>
      <c r="H99" s="341"/>
      <c r="I99" s="341"/>
    </row>
    <row r="100" spans="1:9">
      <c r="A100" s="341">
        <v>100</v>
      </c>
      <c r="B100" s="341"/>
      <c r="C100" s="341"/>
      <c r="D100" s="341"/>
      <c r="E100" s="341"/>
      <c r="F100" s="341"/>
      <c r="G100" s="341"/>
      <c r="H100" s="341"/>
      <c r="I100" s="341"/>
    </row>
    <row r="101" spans="1:9">
      <c r="A101" s="341">
        <v>99.599998474121094</v>
      </c>
      <c r="B101" s="341"/>
      <c r="C101" s="341"/>
      <c r="D101" s="341"/>
      <c r="E101" s="341"/>
      <c r="F101" s="341"/>
      <c r="G101" s="341"/>
      <c r="H101" s="341"/>
      <c r="I101" s="341"/>
    </row>
    <row r="102" spans="1:9">
      <c r="A102" s="341">
        <v>98</v>
      </c>
      <c r="B102" s="341"/>
      <c r="C102" s="341"/>
      <c r="D102" s="341"/>
      <c r="E102" s="341"/>
      <c r="F102" s="341"/>
      <c r="G102" s="341"/>
      <c r="H102" s="341"/>
      <c r="I102" s="341"/>
    </row>
    <row r="103" spans="1:9">
      <c r="A103" s="341">
        <v>83.852630615234375</v>
      </c>
      <c r="B103" s="341"/>
      <c r="C103" s="341"/>
      <c r="D103" s="341"/>
      <c r="E103" s="341"/>
      <c r="F103" s="341"/>
      <c r="G103" s="341"/>
      <c r="H103" s="341"/>
      <c r="I103" s="341"/>
    </row>
    <row r="104" spans="1:9">
      <c r="A104" s="341">
        <v>70.305259704589844</v>
      </c>
      <c r="B104" s="341"/>
      <c r="C104" s="341"/>
      <c r="D104" s="341"/>
      <c r="E104" s="341"/>
      <c r="F104" s="341"/>
      <c r="G104" s="341"/>
      <c r="H104" s="341"/>
      <c r="I104" s="341"/>
    </row>
    <row r="105" spans="1:9">
      <c r="A105" s="341">
        <v>57.410526275634766</v>
      </c>
      <c r="B105" s="341"/>
      <c r="C105" s="341"/>
      <c r="D105" s="341"/>
      <c r="E105" s="341"/>
      <c r="F105" s="341"/>
      <c r="G105" s="341"/>
      <c r="H105" s="341"/>
      <c r="I105" s="341"/>
    </row>
    <row r="106" spans="1:9">
      <c r="A106" s="341">
        <v>38.010524749755859</v>
      </c>
      <c r="B106" s="341"/>
      <c r="C106" s="341"/>
      <c r="D106" s="341"/>
      <c r="E106" s="341"/>
      <c r="F106" s="341"/>
      <c r="G106" s="341"/>
      <c r="H106" s="341"/>
      <c r="I106" s="341"/>
    </row>
    <row r="107" spans="1:9">
      <c r="A107" s="341">
        <v>24.778947830200195</v>
      </c>
      <c r="B107" s="341"/>
      <c r="C107" s="341"/>
      <c r="D107" s="341"/>
      <c r="E107" s="341"/>
      <c r="F107" s="341"/>
      <c r="G107" s="341"/>
      <c r="H107" s="341"/>
      <c r="I107" s="341"/>
    </row>
    <row r="108" spans="1:9">
      <c r="A108" s="341">
        <v>15.684209823608398</v>
      </c>
      <c r="B108" s="341"/>
      <c r="C108" s="341"/>
      <c r="D108" s="341"/>
      <c r="E108" s="341"/>
      <c r="F108" s="341"/>
      <c r="G108" s="341"/>
      <c r="H108" s="341"/>
      <c r="I108" s="341"/>
    </row>
    <row r="109" spans="1:9">
      <c r="A109" s="341">
        <v>9.0105257034301758</v>
      </c>
      <c r="B109" s="341"/>
      <c r="C109" s="341"/>
      <c r="D109" s="341"/>
      <c r="E109" s="341"/>
      <c r="F109" s="341"/>
      <c r="G109" s="341"/>
      <c r="H109" s="341"/>
      <c r="I109" s="341"/>
    </row>
    <row r="110" spans="1:9">
      <c r="A110" s="341">
        <v>6.2526321411132813</v>
      </c>
      <c r="B110" s="341"/>
      <c r="C110" s="341"/>
      <c r="D110" s="341"/>
      <c r="E110" s="341"/>
      <c r="F110" s="341"/>
      <c r="G110" s="341"/>
      <c r="H110" s="341"/>
      <c r="I110" s="341"/>
    </row>
    <row r="111" spans="1:9">
      <c r="A111" s="341">
        <v>7.8315787315368652</v>
      </c>
      <c r="B111" s="341"/>
      <c r="C111" s="341"/>
      <c r="D111" s="341"/>
      <c r="E111" s="341"/>
      <c r="F111" s="341"/>
      <c r="G111" s="341"/>
      <c r="H111" s="341"/>
      <c r="I111" s="341"/>
    </row>
    <row r="112" spans="1:9">
      <c r="A112" s="341">
        <v>14.70526123046875</v>
      </c>
      <c r="B112" s="341"/>
      <c r="C112" s="341"/>
      <c r="D112" s="341"/>
      <c r="E112" s="341"/>
      <c r="F112" s="341"/>
      <c r="G112" s="341"/>
      <c r="H112" s="341"/>
      <c r="I112" s="341"/>
    </row>
    <row r="113" spans="1:9">
      <c r="A113" s="341">
        <v>30</v>
      </c>
      <c r="B113" s="341"/>
      <c r="C113" s="341"/>
      <c r="D113" s="341"/>
      <c r="E113" s="341"/>
      <c r="F113" s="341"/>
      <c r="G113" s="341"/>
      <c r="H113" s="341"/>
      <c r="I113" s="34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N9" sqref="N9"/>
    </sheetView>
  </sheetViews>
  <sheetFormatPr defaultColWidth="9.140625" defaultRowHeight="15.75"/>
  <cols>
    <col min="1" max="1" width="12.140625" style="301" customWidth="1"/>
    <col min="2" max="2" width="6.140625" style="301" customWidth="1"/>
    <col min="3" max="3" width="7.7109375" style="301" customWidth="1"/>
    <col min="4" max="5" width="13.140625" style="301" customWidth="1"/>
    <col min="6" max="6" width="9.42578125" style="301" customWidth="1"/>
    <col min="7" max="7" width="5.7109375" style="301" customWidth="1"/>
    <col min="8" max="8" width="7.85546875" style="301" customWidth="1"/>
    <col min="9" max="9" width="6.5703125" style="301" customWidth="1"/>
    <col min="10" max="11" width="12" style="301" customWidth="1"/>
    <col min="12" max="12" width="16" style="151" customWidth="1"/>
    <col min="13" max="26" width="9.140625" style="151"/>
    <col min="27" max="16384" width="9.140625" style="152"/>
  </cols>
  <sheetData>
    <row r="1" spans="1:26" ht="20.25" customHeight="1">
      <c r="A1" s="600" t="s">
        <v>251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</row>
    <row r="2" spans="1:26" ht="20.25" customHeight="1">
      <c r="A2" s="601" t="s">
        <v>252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</row>
    <row r="3" spans="1:26" ht="18.75" customHeight="1" thickBot="1">
      <c r="A3" s="153" t="s">
        <v>1</v>
      </c>
      <c r="B3" s="154" t="s">
        <v>360</v>
      </c>
      <c r="C3" s="155"/>
      <c r="D3" s="155"/>
      <c r="E3" s="155"/>
      <c r="F3" s="156"/>
      <c r="G3" s="155"/>
      <c r="H3" s="155"/>
      <c r="I3" s="153" t="s">
        <v>253</v>
      </c>
      <c r="J3" s="602" t="s">
        <v>633</v>
      </c>
      <c r="K3" s="602"/>
    </row>
    <row r="4" spans="1:26" s="165" customFormat="1" ht="18.399999999999999" customHeight="1" thickBot="1">
      <c r="A4" s="157" t="s">
        <v>763</v>
      </c>
      <c r="B4" s="158"/>
      <c r="C4" s="159"/>
      <c r="D4" s="159"/>
      <c r="E4" s="159"/>
      <c r="F4" s="159"/>
      <c r="G4" s="159"/>
      <c r="H4" s="159"/>
      <c r="I4" s="159"/>
      <c r="J4" s="159"/>
      <c r="K4" s="160"/>
      <c r="L4" s="161"/>
      <c r="M4" s="161"/>
      <c r="N4" s="161"/>
      <c r="O4" s="161"/>
      <c r="P4" s="161"/>
      <c r="Q4" s="162" t="s">
        <v>254</v>
      </c>
      <c r="R4" s="163"/>
      <c r="S4" s="161"/>
      <c r="T4" s="162" t="s">
        <v>255</v>
      </c>
      <c r="U4" s="164"/>
      <c r="V4" s="161"/>
      <c r="W4" s="161"/>
      <c r="X4" s="161"/>
      <c r="Y4" s="161"/>
      <c r="Z4" s="161"/>
    </row>
    <row r="5" spans="1:26" s="165" customFormat="1" ht="18.399999999999999" customHeight="1">
      <c r="A5" s="603" t="s">
        <v>256</v>
      </c>
      <c r="B5" s="604"/>
      <c r="C5" s="604"/>
      <c r="D5" s="166"/>
      <c r="E5" s="167"/>
      <c r="F5" s="168" t="s">
        <v>257</v>
      </c>
      <c r="G5" s="155"/>
      <c r="H5" s="155"/>
      <c r="I5" s="169"/>
      <c r="J5" s="170" t="s">
        <v>258</v>
      </c>
      <c r="K5" s="171" t="s">
        <v>259</v>
      </c>
      <c r="L5" s="694" t="s">
        <v>764</v>
      </c>
      <c r="M5" s="161"/>
      <c r="N5" s="161"/>
      <c r="O5" s="161"/>
      <c r="P5" s="161"/>
      <c r="Q5" s="172" t="s">
        <v>260</v>
      </c>
      <c r="R5" s="173"/>
      <c r="S5" s="161"/>
      <c r="T5" s="172" t="s">
        <v>261</v>
      </c>
      <c r="U5" s="174"/>
      <c r="V5" s="161"/>
      <c r="W5" s="161"/>
      <c r="X5" s="161"/>
      <c r="Y5" s="161"/>
      <c r="Z5" s="161"/>
    </row>
    <row r="6" spans="1:26" s="165" customFormat="1" ht="18.399999999999999" customHeight="1">
      <c r="A6" s="605" t="s">
        <v>67</v>
      </c>
      <c r="B6" s="606"/>
      <c r="C6" s="606"/>
      <c r="D6" s="607" t="s">
        <v>264</v>
      </c>
      <c r="E6" s="608"/>
      <c r="F6" s="415" t="s">
        <v>639</v>
      </c>
      <c r="G6" s="416"/>
      <c r="H6" s="416"/>
      <c r="I6" s="416"/>
      <c r="J6" s="416"/>
      <c r="K6" s="417" t="s">
        <v>640</v>
      </c>
      <c r="L6" s="694">
        <v>240800579</v>
      </c>
      <c r="M6" s="161"/>
      <c r="N6" s="161"/>
      <c r="O6" s="161"/>
      <c r="P6" s="161"/>
      <c r="Q6" s="172" t="s">
        <v>263</v>
      </c>
      <c r="R6" s="173"/>
      <c r="S6" s="161"/>
      <c r="T6" s="172" t="s">
        <v>264</v>
      </c>
      <c r="U6" s="174"/>
      <c r="V6" s="161"/>
      <c r="W6" s="161"/>
      <c r="X6" s="161"/>
      <c r="Y6" s="161"/>
      <c r="Z6" s="161"/>
    </row>
    <row r="7" spans="1:26" s="165" customFormat="1" ht="18.399999999999999" customHeight="1">
      <c r="A7" s="596" t="s">
        <v>20</v>
      </c>
      <c r="B7" s="597"/>
      <c r="C7" s="597"/>
      <c r="D7" s="598">
        <v>3</v>
      </c>
      <c r="E7" s="599"/>
      <c r="F7" s="175" t="s">
        <v>265</v>
      </c>
      <c r="G7" s="176"/>
      <c r="H7" s="177"/>
      <c r="I7" s="178"/>
      <c r="J7" s="179">
        <v>29</v>
      </c>
      <c r="K7" s="180">
        <v>28.9</v>
      </c>
      <c r="L7" s="161">
        <v>51.5</v>
      </c>
      <c r="M7" s="161"/>
      <c r="N7" s="161"/>
      <c r="O7" s="161"/>
      <c r="P7" s="161"/>
      <c r="Q7" s="172" t="s">
        <v>266</v>
      </c>
      <c r="R7" s="173"/>
      <c r="S7" s="161"/>
      <c r="T7" s="172" t="s">
        <v>262</v>
      </c>
      <c r="U7" s="174"/>
      <c r="V7" s="161"/>
      <c r="W7" s="161"/>
      <c r="X7" s="161"/>
      <c r="Y7" s="161"/>
      <c r="Z7" s="161"/>
    </row>
    <row r="8" spans="1:26" s="165" customFormat="1" ht="18.399999999999999" customHeight="1">
      <c r="A8" s="596" t="s">
        <v>267</v>
      </c>
      <c r="B8" s="597"/>
      <c r="C8" s="597"/>
      <c r="D8" s="582">
        <v>650</v>
      </c>
      <c r="E8" s="578"/>
      <c r="F8" s="181" t="s">
        <v>268</v>
      </c>
      <c r="G8" s="182"/>
      <c r="H8" s="183"/>
      <c r="I8" s="184"/>
      <c r="J8" s="185">
        <v>15058</v>
      </c>
      <c r="K8" s="186">
        <v>19017.7</v>
      </c>
      <c r="L8" s="161">
        <v>16300</v>
      </c>
      <c r="M8" s="161"/>
      <c r="N8" s="161"/>
      <c r="O8" s="161"/>
      <c r="P8" s="161"/>
      <c r="Q8" s="172" t="s">
        <v>269</v>
      </c>
      <c r="R8" s="173"/>
      <c r="S8" s="161"/>
      <c r="T8" s="172" t="s">
        <v>270</v>
      </c>
      <c r="U8" s="174"/>
      <c r="V8" s="161"/>
      <c r="W8" s="161"/>
      <c r="X8" s="161"/>
      <c r="Y8" s="161"/>
      <c r="Z8" s="161"/>
    </row>
    <row r="9" spans="1:26" s="165" customFormat="1" ht="18.399999999999999" customHeight="1">
      <c r="A9" s="591" t="s">
        <v>271</v>
      </c>
      <c r="B9" s="592"/>
      <c r="C9" s="593"/>
      <c r="D9" s="582">
        <v>10</v>
      </c>
      <c r="E9" s="578"/>
      <c r="F9" s="175" t="s">
        <v>272</v>
      </c>
      <c r="G9" s="176"/>
      <c r="H9" s="187">
        <v>3</v>
      </c>
      <c r="I9" s="188" t="s">
        <v>273</v>
      </c>
      <c r="J9" s="185">
        <v>132.72</v>
      </c>
      <c r="K9" s="186">
        <v>158</v>
      </c>
      <c r="L9" s="161">
        <v>188.5</v>
      </c>
      <c r="M9" s="161"/>
      <c r="N9" s="161"/>
      <c r="O9" s="161"/>
      <c r="P9" s="161"/>
      <c r="Q9" s="172" t="s">
        <v>274</v>
      </c>
      <c r="R9" s="173"/>
      <c r="S9" s="161"/>
      <c r="T9" s="172" t="s">
        <v>275</v>
      </c>
      <c r="U9" s="174"/>
      <c r="V9" s="161"/>
      <c r="W9" s="161"/>
      <c r="X9" s="161"/>
      <c r="Y9" s="161"/>
      <c r="Z9" s="161"/>
    </row>
    <row r="10" spans="1:26" s="165" customFormat="1" ht="18.399999999999999" customHeight="1" thickBot="1">
      <c r="A10" s="591" t="s">
        <v>276</v>
      </c>
      <c r="B10" s="592"/>
      <c r="C10" s="593"/>
      <c r="D10" s="565" t="s">
        <v>185</v>
      </c>
      <c r="E10" s="566"/>
      <c r="F10" s="175" t="s">
        <v>277</v>
      </c>
      <c r="G10" s="176"/>
      <c r="H10" s="187">
        <v>3</v>
      </c>
      <c r="I10" s="188" t="s">
        <v>273</v>
      </c>
      <c r="J10" s="189">
        <v>1150</v>
      </c>
      <c r="K10" s="186" t="s">
        <v>175</v>
      </c>
      <c r="L10" s="161">
        <v>460</v>
      </c>
      <c r="M10" s="161"/>
      <c r="N10" s="161"/>
      <c r="O10" s="161"/>
      <c r="P10" s="161"/>
      <c r="Q10" s="172" t="s">
        <v>278</v>
      </c>
      <c r="R10" s="173"/>
      <c r="S10" s="161"/>
      <c r="T10" s="190" t="s">
        <v>279</v>
      </c>
      <c r="U10" s="191"/>
      <c r="V10" s="161"/>
      <c r="W10" s="161"/>
      <c r="X10" s="161"/>
      <c r="Y10" s="161"/>
      <c r="Z10" s="161"/>
    </row>
    <row r="11" spans="1:26" s="165" customFormat="1" ht="18.399999999999999" customHeight="1" thickBot="1">
      <c r="A11" s="591" t="s">
        <v>280</v>
      </c>
      <c r="B11" s="592"/>
      <c r="C11" s="593"/>
      <c r="D11" s="560" t="s">
        <v>175</v>
      </c>
      <c r="E11" s="561"/>
      <c r="F11" s="192" t="s">
        <v>281</v>
      </c>
      <c r="G11" s="193"/>
      <c r="H11" s="194">
        <v>3</v>
      </c>
      <c r="I11" s="188" t="s">
        <v>273</v>
      </c>
      <c r="J11" s="195">
        <v>26079</v>
      </c>
      <c r="K11" s="196">
        <v>32000</v>
      </c>
      <c r="L11" s="161">
        <v>14679</v>
      </c>
      <c r="M11" s="161"/>
      <c r="N11" s="161"/>
      <c r="O11" s="161"/>
      <c r="P11" s="161"/>
      <c r="Q11" s="190" t="s">
        <v>282</v>
      </c>
      <c r="R11" s="197"/>
      <c r="S11" s="161"/>
      <c r="T11" s="161"/>
      <c r="U11" s="161"/>
      <c r="V11" s="161"/>
      <c r="W11" s="161"/>
      <c r="X11" s="161"/>
      <c r="Y11" s="161"/>
      <c r="Z11" s="161"/>
    </row>
    <row r="12" spans="1:26" s="165" customFormat="1" ht="18.399999999999999" customHeight="1">
      <c r="A12" s="198" t="s">
        <v>283</v>
      </c>
      <c r="C12" s="199"/>
      <c r="D12" s="594" t="s">
        <v>175</v>
      </c>
      <c r="E12" s="595"/>
      <c r="F12" s="562" t="s">
        <v>284</v>
      </c>
      <c r="G12" s="563"/>
      <c r="H12" s="563"/>
      <c r="I12" s="563"/>
      <c r="J12" s="563"/>
      <c r="K12" s="564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s="165" customFormat="1" ht="18.399999999999999" customHeight="1">
      <c r="A13" s="591" t="s">
        <v>53</v>
      </c>
      <c r="B13" s="592"/>
      <c r="C13" s="593"/>
      <c r="D13" s="585" t="s">
        <v>762</v>
      </c>
      <c r="E13" s="586"/>
      <c r="F13" s="200"/>
      <c r="G13" s="201" t="s">
        <v>285</v>
      </c>
      <c r="H13" s="202"/>
      <c r="I13" s="203" t="s">
        <v>286</v>
      </c>
      <c r="J13" s="204" t="s">
        <v>363</v>
      </c>
      <c r="K13" s="205" t="s">
        <v>175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s="165" customFormat="1" ht="18.399999999999999" customHeight="1">
      <c r="A14" s="591" t="s">
        <v>56</v>
      </c>
      <c r="B14" s="592"/>
      <c r="C14" s="593"/>
      <c r="D14" s="594">
        <v>1366</v>
      </c>
      <c r="E14" s="595"/>
      <c r="F14" s="200"/>
      <c r="G14" s="206" t="s">
        <v>10</v>
      </c>
      <c r="H14" s="207"/>
      <c r="I14" s="207"/>
      <c r="J14" s="189" t="s">
        <v>175</v>
      </c>
      <c r="K14" s="186" t="s">
        <v>175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s="165" customFormat="1" ht="18.399999999999999" customHeight="1">
      <c r="A15" s="579" t="s">
        <v>287</v>
      </c>
      <c r="B15" s="580"/>
      <c r="C15" s="581"/>
      <c r="D15" s="558">
        <v>11.121999740600586</v>
      </c>
      <c r="E15" s="559"/>
      <c r="F15" s="200"/>
      <c r="G15" s="206" t="s">
        <v>288</v>
      </c>
      <c r="H15" s="207"/>
      <c r="I15" s="207"/>
      <c r="J15" s="189" t="s">
        <v>175</v>
      </c>
      <c r="K15" s="186" t="s">
        <v>175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s="165" customFormat="1" ht="18.399999999999999" customHeight="1">
      <c r="A16" s="555" t="s">
        <v>289</v>
      </c>
      <c r="B16" s="556"/>
      <c r="C16" s="557"/>
      <c r="D16" s="558">
        <v>3.4935998916625977</v>
      </c>
      <c r="E16" s="559"/>
      <c r="F16" s="208"/>
      <c r="G16" s="209" t="s">
        <v>17</v>
      </c>
      <c r="H16" s="210"/>
      <c r="I16" s="210"/>
      <c r="J16" s="195" t="s">
        <v>175</v>
      </c>
      <c r="K16" s="196" t="s">
        <v>175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s="165" customFormat="1" ht="18.399999999999999" customHeight="1">
      <c r="A17" s="211" t="s">
        <v>290</v>
      </c>
      <c r="B17" s="212"/>
      <c r="C17" s="213"/>
      <c r="D17" s="560" t="s">
        <v>361</v>
      </c>
      <c r="E17" s="561"/>
      <c r="F17" s="562" t="s">
        <v>291</v>
      </c>
      <c r="G17" s="563"/>
      <c r="H17" s="563"/>
      <c r="I17" s="563"/>
      <c r="J17" s="563"/>
      <c r="K17" s="564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s="165" customFormat="1" ht="18.399999999999999" customHeight="1">
      <c r="A18" s="214" t="s">
        <v>292</v>
      </c>
      <c r="B18" s="215"/>
      <c r="C18" s="213"/>
      <c r="D18" s="565" t="s">
        <v>175</v>
      </c>
      <c r="E18" s="566"/>
      <c r="F18" s="567"/>
      <c r="G18" s="568"/>
      <c r="H18" s="216" t="s">
        <v>293</v>
      </c>
      <c r="I18" s="217"/>
      <c r="J18" s="185" t="s">
        <v>641</v>
      </c>
      <c r="K18" s="186"/>
      <c r="L18" s="161"/>
      <c r="M18" s="161" t="e">
        <f>J18*6.5</f>
        <v>#VALUE!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s="165" customFormat="1" ht="18.399999999999999" customHeight="1">
      <c r="A19" s="573" t="s">
        <v>294</v>
      </c>
      <c r="B19" s="574"/>
      <c r="C19" s="575"/>
      <c r="D19" s="576" t="s">
        <v>175</v>
      </c>
      <c r="E19" s="561"/>
      <c r="F19" s="569"/>
      <c r="G19" s="570"/>
      <c r="H19" s="216" t="s">
        <v>5</v>
      </c>
      <c r="I19" s="178"/>
      <c r="J19" s="185">
        <v>1789</v>
      </c>
      <c r="K19" s="186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s="165" customFormat="1" ht="18.399999999999999" customHeight="1" thickBot="1">
      <c r="A20" s="218" t="s">
        <v>295</v>
      </c>
      <c r="C20" s="219"/>
      <c r="D20" s="577" t="s">
        <v>184</v>
      </c>
      <c r="E20" s="578"/>
      <c r="F20" s="569"/>
      <c r="G20" s="570"/>
      <c r="H20" s="216" t="s">
        <v>296</v>
      </c>
      <c r="I20" s="178"/>
      <c r="J20" s="189" t="s">
        <v>365</v>
      </c>
      <c r="K20" s="186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65" customFormat="1" ht="18.399999999999999" customHeight="1" thickBot="1">
      <c r="A21" s="579" t="s">
        <v>297</v>
      </c>
      <c r="B21" s="580"/>
      <c r="C21" s="581"/>
      <c r="D21" s="582" t="s">
        <v>175</v>
      </c>
      <c r="E21" s="578"/>
      <c r="F21" s="569"/>
      <c r="G21" s="570"/>
      <c r="H21" s="220" t="s">
        <v>298</v>
      </c>
      <c r="I21" s="178"/>
      <c r="J21" s="189">
        <v>1.1499999999999999</v>
      </c>
      <c r="K21" s="186"/>
      <c r="L21" s="161"/>
      <c r="M21" s="161"/>
      <c r="N21" s="161"/>
      <c r="O21" s="161"/>
      <c r="P21" s="161"/>
      <c r="Q21" s="162" t="s">
        <v>299</v>
      </c>
      <c r="R21" s="164"/>
      <c r="S21" s="161"/>
      <c r="T21" s="161"/>
      <c r="U21" s="161"/>
      <c r="V21" s="161"/>
      <c r="W21" s="161"/>
      <c r="X21" s="161"/>
      <c r="Y21" s="161"/>
      <c r="Z21" s="161"/>
    </row>
    <row r="22" spans="1:26" s="165" customFormat="1" ht="18.399999999999999" customHeight="1">
      <c r="A22" s="214" t="s">
        <v>300</v>
      </c>
      <c r="B22" s="221"/>
      <c r="C22" s="221"/>
      <c r="D22" s="583">
        <v>8.0699999999999994E-2</v>
      </c>
      <c r="E22" s="584"/>
      <c r="F22" s="569"/>
      <c r="G22" s="570"/>
      <c r="H22" s="216" t="s">
        <v>258</v>
      </c>
      <c r="I22" s="178"/>
      <c r="J22" s="340" t="s">
        <v>175</v>
      </c>
      <c r="K22" s="186"/>
      <c r="L22" s="161"/>
      <c r="M22" s="161"/>
      <c r="N22" s="161"/>
      <c r="O22" s="161"/>
      <c r="P22" s="161"/>
      <c r="Q22" s="172" t="s">
        <v>301</v>
      </c>
      <c r="R22" s="174"/>
      <c r="S22" s="161"/>
      <c r="T22" s="161"/>
      <c r="U22" s="161"/>
      <c r="V22" s="161"/>
      <c r="W22" s="161"/>
      <c r="X22" s="161"/>
      <c r="Y22" s="161"/>
      <c r="Z22" s="161"/>
    </row>
    <row r="23" spans="1:26" s="165" customFormat="1" ht="18.399999999999999" customHeight="1">
      <c r="A23" s="222" t="s">
        <v>302</v>
      </c>
      <c r="B23" s="223" t="s">
        <v>303</v>
      </c>
      <c r="C23" s="224"/>
      <c r="D23" s="585">
        <v>973</v>
      </c>
      <c r="E23" s="586"/>
      <c r="F23" s="569"/>
      <c r="G23" s="570"/>
      <c r="H23" s="225" t="s">
        <v>304</v>
      </c>
      <c r="I23" s="226"/>
      <c r="J23" s="227"/>
      <c r="K23" s="228"/>
      <c r="L23" s="161"/>
      <c r="Q23" s="172" t="s">
        <v>305</v>
      </c>
      <c r="R23" s="174"/>
      <c r="S23" s="161"/>
      <c r="T23" s="161"/>
      <c r="U23" s="161"/>
      <c r="V23" s="161"/>
      <c r="W23" s="161"/>
      <c r="X23" s="161"/>
      <c r="Y23" s="161"/>
      <c r="Z23" s="161"/>
    </row>
    <row r="24" spans="1:26" s="165" customFormat="1" ht="18.399999999999999" customHeight="1" thickBot="1">
      <c r="A24" s="229" t="s">
        <v>306</v>
      </c>
      <c r="B24" s="230" t="s">
        <v>307</v>
      </c>
      <c r="C24" s="231"/>
      <c r="D24" s="587" t="s">
        <v>175</v>
      </c>
      <c r="E24" s="588"/>
      <c r="F24" s="569"/>
      <c r="G24" s="570"/>
      <c r="H24" s="216" t="s">
        <v>308</v>
      </c>
      <c r="I24" s="199"/>
      <c r="J24" s="232"/>
      <c r="K24" s="233"/>
      <c r="Q24" s="234" t="s">
        <v>175</v>
      </c>
      <c r="R24" s="235"/>
      <c r="S24" s="161"/>
      <c r="T24" s="161"/>
      <c r="U24" s="161"/>
      <c r="V24" s="161"/>
      <c r="W24" s="161"/>
      <c r="X24" s="161"/>
      <c r="Y24" s="161"/>
      <c r="Z24" s="161"/>
    </row>
    <row r="25" spans="1:26" s="165" customFormat="1" ht="18.399999999999999" customHeight="1">
      <c r="A25" s="236" t="s">
        <v>309</v>
      </c>
      <c r="B25" s="237"/>
      <c r="C25" s="237"/>
      <c r="D25" s="238"/>
      <c r="E25" s="238" t="s">
        <v>310</v>
      </c>
      <c r="F25" s="569"/>
      <c r="G25" s="570"/>
      <c r="H25" s="216" t="s">
        <v>311</v>
      </c>
      <c r="I25" s="199"/>
      <c r="J25" s="239"/>
      <c r="K25" s="233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s="165" customFormat="1" ht="18.399999999999999" customHeight="1">
      <c r="A26" s="240" t="s">
        <v>312</v>
      </c>
      <c r="B26" s="241"/>
      <c r="C26" s="242"/>
      <c r="D26" s="243" t="s">
        <v>364</v>
      </c>
      <c r="E26" s="243" t="s">
        <v>366</v>
      </c>
      <c r="F26" s="571"/>
      <c r="G26" s="572"/>
      <c r="H26" s="589"/>
      <c r="I26" s="590"/>
      <c r="J26" s="244"/>
      <c r="K26" s="245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s="165" customFormat="1" ht="18.399999999999999" customHeight="1">
      <c r="A27" s="533" t="s">
        <v>313</v>
      </c>
      <c r="B27" s="534"/>
      <c r="C27" s="534"/>
      <c r="D27" s="534"/>
      <c r="E27" s="534"/>
      <c r="F27" s="535" t="s">
        <v>314</v>
      </c>
      <c r="G27" s="536"/>
      <c r="H27" s="536"/>
      <c r="I27" s="536"/>
      <c r="J27" s="536"/>
      <c r="K27" s="537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s="165" customFormat="1" ht="18.399999999999999" customHeight="1">
      <c r="A28" s="540"/>
      <c r="B28" s="541"/>
      <c r="C28" s="541"/>
      <c r="D28" s="541"/>
      <c r="E28" s="542"/>
      <c r="F28" s="246"/>
      <c r="G28" s="247"/>
      <c r="H28" s="206" t="s">
        <v>315</v>
      </c>
      <c r="I28" s="248" t="s">
        <v>362</v>
      </c>
      <c r="J28" s="185" t="s">
        <v>642</v>
      </c>
      <c r="K28" s="249" t="s">
        <v>175</v>
      </c>
      <c r="M28" s="165" t="e">
        <f>(J28/J18)*100</f>
        <v>#VALUE!</v>
      </c>
      <c r="N28" s="250"/>
      <c r="O28" s="250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s="165" customFormat="1" ht="18.399999999999999" customHeight="1">
      <c r="A29" s="540"/>
      <c r="B29" s="541"/>
      <c r="C29" s="541"/>
      <c r="D29" s="541"/>
      <c r="E29" s="542"/>
      <c r="F29" s="251"/>
      <c r="G29" s="252"/>
      <c r="H29" s="206" t="s">
        <v>316</v>
      </c>
      <c r="I29" s="253">
        <v>60</v>
      </c>
      <c r="J29" s="185">
        <v>115</v>
      </c>
      <c r="K29" s="254" t="s">
        <v>175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s="165" customFormat="1" ht="18.399999999999999" customHeight="1">
      <c r="A30" s="540"/>
      <c r="B30" s="541"/>
      <c r="C30" s="541"/>
      <c r="D30" s="541"/>
      <c r="E30" s="542"/>
      <c r="F30" s="251"/>
      <c r="G30" s="252"/>
      <c r="H30" s="206" t="s">
        <v>317</v>
      </c>
      <c r="I30" s="253">
        <v>175</v>
      </c>
      <c r="J30" s="185">
        <v>220</v>
      </c>
      <c r="K30" s="255" t="s">
        <v>175</v>
      </c>
      <c r="L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s="165" customFormat="1" ht="18.399999999999999" customHeight="1">
      <c r="A31" s="540"/>
      <c r="B31" s="541"/>
      <c r="C31" s="541"/>
      <c r="D31" s="541"/>
      <c r="E31" s="542"/>
      <c r="F31" s="251"/>
      <c r="G31" s="252"/>
      <c r="H31" s="206" t="s">
        <v>318</v>
      </c>
      <c r="I31" s="207"/>
      <c r="J31" s="256">
        <v>0.61</v>
      </c>
      <c r="K31" s="180" t="s">
        <v>175</v>
      </c>
      <c r="L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s="165" customFormat="1" ht="18.399999999999999" customHeight="1">
      <c r="A32" s="543"/>
      <c r="B32" s="544"/>
      <c r="C32" s="544"/>
      <c r="D32" s="544"/>
      <c r="E32" s="545"/>
      <c r="F32" s="251"/>
      <c r="G32" s="257" t="s">
        <v>319</v>
      </c>
      <c r="H32" s="206" t="s">
        <v>320</v>
      </c>
      <c r="I32" s="258"/>
      <c r="J32" s="179">
        <v>94.9</v>
      </c>
      <c r="K32" s="254" t="s">
        <v>175</v>
      </c>
      <c r="L32" s="161"/>
      <c r="N32" s="259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s="165" customFormat="1" ht="18.399999999999999" customHeight="1">
      <c r="A33" s="533" t="s">
        <v>321</v>
      </c>
      <c r="B33" s="534"/>
      <c r="C33" s="534"/>
      <c r="D33" s="534"/>
      <c r="E33" s="546"/>
      <c r="F33" s="260"/>
      <c r="G33" s="261"/>
      <c r="H33" s="262" t="s">
        <v>322</v>
      </c>
      <c r="I33" s="263"/>
      <c r="J33" s="264">
        <v>89.6</v>
      </c>
      <c r="K33" s="265" t="s">
        <v>175</v>
      </c>
      <c r="L33" s="161"/>
      <c r="M33" s="165">
        <f>821*SQRT(3)</f>
        <v>1422.0137130140481</v>
      </c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s="165" customFormat="1" ht="18.399999999999999" customHeight="1">
      <c r="A34" s="540"/>
      <c r="B34" s="541"/>
      <c r="C34" s="541"/>
      <c r="D34" s="541"/>
      <c r="E34" s="542"/>
      <c r="F34" s="181" t="s">
        <v>323</v>
      </c>
      <c r="G34" s="266"/>
      <c r="H34" s="267" t="s">
        <v>14</v>
      </c>
      <c r="I34" s="268"/>
      <c r="J34" s="269">
        <v>4948</v>
      </c>
      <c r="K34" s="270" t="s">
        <v>175</v>
      </c>
      <c r="L34" s="271"/>
      <c r="M34" s="272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s="165" customFormat="1" ht="18.399999999999999" customHeight="1">
      <c r="A35" s="540"/>
      <c r="B35" s="541"/>
      <c r="C35" s="541"/>
      <c r="D35" s="541"/>
      <c r="E35" s="542"/>
      <c r="F35" s="200"/>
      <c r="G35" s="273"/>
      <c r="H35" s="274" t="s">
        <v>15</v>
      </c>
      <c r="I35" s="275"/>
      <c r="J35" s="185">
        <v>4811</v>
      </c>
      <c r="K35" s="180" t="s">
        <v>175</v>
      </c>
      <c r="L35" s="276"/>
      <c r="M35" s="272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s="165" customFormat="1" ht="18.399999999999999" customHeight="1">
      <c r="A36" s="540"/>
      <c r="B36" s="541"/>
      <c r="C36" s="541"/>
      <c r="D36" s="541"/>
      <c r="E36" s="542"/>
      <c r="F36" s="200"/>
      <c r="G36" s="273"/>
      <c r="H36" s="274" t="s">
        <v>324</v>
      </c>
      <c r="I36" s="275"/>
      <c r="J36" s="185">
        <v>4037</v>
      </c>
      <c r="K36" s="180" t="s">
        <v>175</v>
      </c>
      <c r="L36" s="276"/>
      <c r="M36" s="250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s="165" customFormat="1" ht="18.399999999999999" customHeight="1">
      <c r="A37" s="540"/>
      <c r="B37" s="541"/>
      <c r="C37" s="541"/>
      <c r="D37" s="541"/>
      <c r="E37" s="542"/>
      <c r="F37" s="251"/>
      <c r="G37" s="273"/>
      <c r="H37" s="274" t="s">
        <v>325</v>
      </c>
      <c r="I37" s="275"/>
      <c r="J37" s="185">
        <v>10813</v>
      </c>
      <c r="K37" s="180" t="s">
        <v>175</v>
      </c>
      <c r="L37" s="276"/>
      <c r="M37" s="250"/>
      <c r="N37" s="276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s="165" customFormat="1" ht="18.399999999999999" customHeight="1">
      <c r="A38" s="543"/>
      <c r="B38" s="544"/>
      <c r="C38" s="544"/>
      <c r="D38" s="544"/>
      <c r="E38" s="545"/>
      <c r="F38" s="208"/>
      <c r="G38" s="277"/>
      <c r="H38" s="278" t="s">
        <v>326</v>
      </c>
      <c r="I38" s="279"/>
      <c r="J38" s="280">
        <v>15649</v>
      </c>
      <c r="K38" s="281" t="s">
        <v>175</v>
      </c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s="165" customFormat="1" ht="18.399999999999999" customHeight="1">
      <c r="A39" s="533" t="s">
        <v>327</v>
      </c>
      <c r="B39" s="534"/>
      <c r="C39" s="534"/>
      <c r="D39" s="534"/>
      <c r="E39" s="534"/>
      <c r="F39" s="282" t="s">
        <v>328</v>
      </c>
      <c r="G39" s="283"/>
      <c r="H39" s="283"/>
      <c r="I39" s="283"/>
      <c r="J39" s="283"/>
      <c r="K39" s="284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s="165" customFormat="1" ht="18.399999999999999" customHeight="1">
      <c r="A40" s="547"/>
      <c r="B40" s="548"/>
      <c r="C40" s="548"/>
      <c r="D40" s="548"/>
      <c r="E40" s="549"/>
      <c r="F40" s="285"/>
      <c r="G40" s="286" t="s">
        <v>634</v>
      </c>
      <c r="H40" s="286"/>
      <c r="I40" s="286"/>
      <c r="J40" s="286"/>
      <c r="K40" s="287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165" customFormat="1" ht="18.399999999999999" customHeight="1">
      <c r="A41" s="547"/>
      <c r="B41" s="548"/>
      <c r="C41" s="548"/>
      <c r="D41" s="548"/>
      <c r="E41" s="549"/>
      <c r="F41" s="285" t="s">
        <v>643</v>
      </c>
      <c r="G41" s="288"/>
      <c r="H41" s="288"/>
      <c r="I41" s="288"/>
      <c r="J41" s="288"/>
      <c r="K41" s="289"/>
      <c r="L41" s="290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s="165" customFormat="1" ht="18.399999999999999" customHeight="1">
      <c r="A42" s="547"/>
      <c r="B42" s="548"/>
      <c r="C42" s="548"/>
      <c r="D42" s="548"/>
      <c r="E42" s="549"/>
      <c r="F42" s="285"/>
      <c r="G42" s="288"/>
      <c r="H42" s="288"/>
      <c r="I42" s="288"/>
      <c r="J42" s="288"/>
      <c r="K42" s="289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s="165" customFormat="1" ht="18.399999999999999" customHeight="1">
      <c r="A43" s="547"/>
      <c r="B43" s="548"/>
      <c r="C43" s="548"/>
      <c r="D43" s="548"/>
      <c r="E43" s="549"/>
      <c r="F43" s="285"/>
      <c r="G43" s="288"/>
      <c r="H43" s="288"/>
      <c r="I43" s="288"/>
      <c r="J43" s="288"/>
      <c r="K43" s="289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s="165" customFormat="1" ht="17.100000000000001" customHeight="1" thickBot="1">
      <c r="A44" s="550"/>
      <c r="B44" s="551"/>
      <c r="C44" s="551"/>
      <c r="D44" s="551"/>
      <c r="E44" s="552"/>
      <c r="F44" s="285"/>
      <c r="G44" s="288"/>
      <c r="H44" s="288"/>
      <c r="I44" s="288"/>
      <c r="J44" s="288"/>
      <c r="K44" s="289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s="165" customFormat="1" ht="17.100000000000001" customHeight="1">
      <c r="A45" s="291" t="s">
        <v>329</v>
      </c>
      <c r="B45" s="553" t="s">
        <v>637</v>
      </c>
      <c r="C45" s="554"/>
      <c r="D45" s="292" t="s">
        <v>330</v>
      </c>
      <c r="E45" s="293" t="s">
        <v>367</v>
      </c>
      <c r="F45" s="294"/>
      <c r="G45" s="288"/>
      <c r="H45" s="288"/>
      <c r="I45" s="288"/>
      <c r="J45" s="288"/>
      <c r="K45" s="289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s="165" customFormat="1" ht="17.100000000000001" customHeight="1" thickBot="1">
      <c r="A46" s="295" t="s">
        <v>331</v>
      </c>
      <c r="B46" s="538">
        <v>41807</v>
      </c>
      <c r="C46" s="539"/>
      <c r="D46" s="296" t="s">
        <v>331</v>
      </c>
      <c r="E46" s="297">
        <v>41800</v>
      </c>
      <c r="F46" s="298"/>
      <c r="G46" s="299" t="s">
        <v>761</v>
      </c>
      <c r="H46" s="299"/>
      <c r="I46" s="299"/>
      <c r="J46" s="299"/>
      <c r="K46" s="300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s="165" customFormat="1" ht="17.100000000000001" customHeight="1">
      <c r="F47" s="30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6" s="165" customFormat="1" ht="17.100000000000001" customHeight="1">
      <c r="F48" s="161"/>
      <c r="G48" s="161"/>
      <c r="H48" s="161"/>
      <c r="I48" s="161"/>
      <c r="J48" s="161"/>
      <c r="K48" s="161"/>
    </row>
    <row r="49" spans="2:26" ht="17.100000000000001" customHeight="1">
      <c r="F49" s="151"/>
      <c r="G49" s="151"/>
      <c r="H49" s="151"/>
      <c r="I49" s="151"/>
      <c r="J49" s="151"/>
      <c r="K49" s="151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2:26">
      <c r="F50" s="151"/>
      <c r="G50" s="151"/>
      <c r="H50" s="151"/>
      <c r="I50" s="151"/>
      <c r="J50" s="151"/>
      <c r="K50" s="151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>
      <c r="F51" s="151"/>
      <c r="G51" s="151"/>
      <c r="H51" s="151"/>
      <c r="I51" s="151"/>
      <c r="J51" s="151"/>
      <c r="K51" s="151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2:26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>
      <c r="F53" s="151"/>
      <c r="G53" s="151"/>
      <c r="H53" s="151"/>
      <c r="I53" s="151"/>
      <c r="J53" s="151"/>
      <c r="K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</sheetData>
  <mergeCells count="48">
    <mergeCell ref="A1:K1"/>
    <mergeCell ref="A2:K2"/>
    <mergeCell ref="J3:K3"/>
    <mergeCell ref="A5:C5"/>
    <mergeCell ref="A6:C6"/>
    <mergeCell ref="D6:E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332</v>
      </c>
      <c r="K1" s="306" t="s">
        <v>333</v>
      </c>
      <c r="L1" s="306" t="s">
        <v>334</v>
      </c>
      <c r="M1" s="306" t="s">
        <v>333</v>
      </c>
      <c r="N1" s="306"/>
    </row>
    <row r="2" spans="2:14" ht="12.75" customHeight="1">
      <c r="B2" s="633" t="s">
        <v>335</v>
      </c>
      <c r="C2" s="634"/>
      <c r="D2" s="634"/>
      <c r="E2" s="634"/>
      <c r="F2" s="634"/>
      <c r="G2" s="634"/>
      <c r="H2" s="308"/>
      <c r="I2" s="309"/>
      <c r="J2" s="310" t="s">
        <v>336</v>
      </c>
      <c r="K2" s="310" t="s">
        <v>337</v>
      </c>
      <c r="L2" s="310" t="s">
        <v>338</v>
      </c>
      <c r="M2" s="310" t="s">
        <v>339</v>
      </c>
      <c r="N2" s="310" t="s">
        <v>340</v>
      </c>
    </row>
    <row r="3" spans="2:14" ht="12.75" customHeight="1">
      <c r="B3" s="633"/>
      <c r="C3" s="634"/>
      <c r="D3" s="634"/>
      <c r="E3" s="634"/>
      <c r="F3" s="634"/>
      <c r="G3" s="634"/>
      <c r="H3" s="308"/>
      <c r="I3" s="309"/>
      <c r="J3" s="310" t="s">
        <v>341</v>
      </c>
      <c r="K3" s="310"/>
      <c r="L3" s="310" t="s">
        <v>342</v>
      </c>
      <c r="M3" s="310" t="s">
        <v>332</v>
      </c>
      <c r="N3" s="310"/>
    </row>
    <row r="4" spans="2:14" ht="12.75" customHeight="1">
      <c r="B4" s="633"/>
      <c r="C4" s="634"/>
      <c r="D4" s="634"/>
      <c r="E4" s="634"/>
      <c r="F4" s="634"/>
      <c r="G4" s="634"/>
      <c r="H4" s="308"/>
      <c r="I4" s="309"/>
      <c r="J4" s="310" t="s">
        <v>343</v>
      </c>
      <c r="K4" s="310"/>
      <c r="L4" s="310" t="s">
        <v>338</v>
      </c>
      <c r="M4" s="310" t="s">
        <v>336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344</v>
      </c>
      <c r="L5" s="310" t="s">
        <v>333</v>
      </c>
      <c r="M5" s="310"/>
      <c r="N5" s="310" t="s">
        <v>338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337</v>
      </c>
      <c r="K6" s="310" t="s">
        <v>345</v>
      </c>
      <c r="L6" s="310"/>
      <c r="M6" s="310" t="s">
        <v>333</v>
      </c>
      <c r="N6" s="310" t="s">
        <v>346</v>
      </c>
    </row>
    <row r="7" spans="2:14" ht="12.75" customHeight="1">
      <c r="B7" s="313"/>
      <c r="D7" s="316"/>
      <c r="H7" s="315"/>
      <c r="I7" s="309"/>
      <c r="J7" s="310" t="s">
        <v>347</v>
      </c>
      <c r="K7" s="310" t="s">
        <v>341</v>
      </c>
      <c r="L7" s="310" t="s">
        <v>341</v>
      </c>
      <c r="M7" s="310" t="s">
        <v>336</v>
      </c>
      <c r="N7" s="310" t="s">
        <v>348</v>
      </c>
    </row>
    <row r="8" spans="2:14" ht="12.75" customHeight="1">
      <c r="B8" s="313"/>
      <c r="G8" s="316"/>
      <c r="H8" s="317"/>
      <c r="I8" s="310" t="s">
        <v>348</v>
      </c>
      <c r="J8" s="310" t="s">
        <v>333</v>
      </c>
      <c r="K8" s="310" t="s">
        <v>349</v>
      </c>
      <c r="L8" s="310" t="s">
        <v>336</v>
      </c>
      <c r="M8" s="310" t="s">
        <v>348</v>
      </c>
      <c r="N8" s="310" t="s">
        <v>345</v>
      </c>
    </row>
    <row r="9" spans="2:14">
      <c r="B9" s="310" t="s">
        <v>350</v>
      </c>
      <c r="C9" s="317" t="s">
        <v>351</v>
      </c>
      <c r="D9" s="317" t="s">
        <v>352</v>
      </c>
      <c r="E9" s="317" t="s">
        <v>353</v>
      </c>
      <c r="F9" s="310" t="s">
        <v>354</v>
      </c>
      <c r="G9" s="310" t="s">
        <v>355</v>
      </c>
      <c r="H9" s="310" t="s">
        <v>356</v>
      </c>
      <c r="I9" s="310" t="s">
        <v>343</v>
      </c>
      <c r="J9" s="310" t="s">
        <v>347</v>
      </c>
      <c r="K9" s="310" t="s">
        <v>336</v>
      </c>
      <c r="L9" s="310" t="s">
        <v>349</v>
      </c>
      <c r="M9" s="310" t="s">
        <v>333</v>
      </c>
      <c r="N9" s="310" t="s">
        <v>334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35" t="s">
        <v>357</v>
      </c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5"/>
    </row>
    <row r="54" spans="2:14" ht="15" customHeight="1" thickBot="1">
      <c r="B54" s="332" t="s">
        <v>358</v>
      </c>
      <c r="C54" s="636" t="s">
        <v>355</v>
      </c>
      <c r="D54" s="637"/>
      <c r="E54" s="637"/>
      <c r="F54" s="637"/>
      <c r="G54" s="637"/>
      <c r="H54" s="333"/>
      <c r="I54" s="636" t="s">
        <v>350</v>
      </c>
      <c r="J54" s="637"/>
      <c r="K54" s="638"/>
      <c r="L54" s="636" t="s">
        <v>359</v>
      </c>
      <c r="M54" s="637"/>
      <c r="N54" s="639"/>
    </row>
    <row r="55" spans="2:14" ht="15" customHeight="1">
      <c r="B55" s="334"/>
      <c r="C55" s="625"/>
      <c r="D55" s="626"/>
      <c r="E55" s="626"/>
      <c r="F55" s="626"/>
      <c r="G55" s="626"/>
      <c r="H55" s="335"/>
      <c r="I55" s="627"/>
      <c r="J55" s="628"/>
      <c r="K55" s="629"/>
      <c r="L55" s="630"/>
      <c r="M55" s="631"/>
      <c r="N55" s="632"/>
    </row>
    <row r="56" spans="2:14" ht="15" customHeight="1">
      <c r="B56" s="336"/>
      <c r="C56" s="609"/>
      <c r="D56" s="610"/>
      <c r="E56" s="610"/>
      <c r="F56" s="610"/>
      <c r="G56" s="610"/>
      <c r="H56" s="337"/>
      <c r="I56" s="611"/>
      <c r="J56" s="612"/>
      <c r="K56" s="613"/>
      <c r="L56" s="614"/>
      <c r="M56" s="615"/>
      <c r="N56" s="616"/>
    </row>
    <row r="57" spans="2:14" ht="15" customHeight="1">
      <c r="B57" s="336"/>
      <c r="C57" s="609"/>
      <c r="D57" s="610"/>
      <c r="E57" s="610"/>
      <c r="F57" s="610"/>
      <c r="G57" s="610"/>
      <c r="H57" s="337"/>
      <c r="I57" s="611"/>
      <c r="J57" s="612"/>
      <c r="K57" s="613"/>
      <c r="L57" s="614"/>
      <c r="M57" s="615"/>
      <c r="N57" s="616"/>
    </row>
    <row r="58" spans="2:14" ht="15" customHeight="1">
      <c r="B58" s="336"/>
      <c r="C58" s="609"/>
      <c r="D58" s="610"/>
      <c r="E58" s="610"/>
      <c r="F58" s="610"/>
      <c r="G58" s="610"/>
      <c r="H58" s="337"/>
      <c r="I58" s="611"/>
      <c r="J58" s="612"/>
      <c r="K58" s="613"/>
      <c r="L58" s="614"/>
      <c r="M58" s="615"/>
      <c r="N58" s="616"/>
    </row>
    <row r="59" spans="2:14" ht="15" customHeight="1">
      <c r="B59" s="336"/>
      <c r="C59" s="609"/>
      <c r="D59" s="610"/>
      <c r="E59" s="610"/>
      <c r="F59" s="610"/>
      <c r="G59" s="610"/>
      <c r="H59" s="337"/>
      <c r="I59" s="611"/>
      <c r="J59" s="612"/>
      <c r="K59" s="613"/>
      <c r="L59" s="614"/>
      <c r="M59" s="615"/>
      <c r="N59" s="616"/>
    </row>
    <row r="60" spans="2:14" ht="15" customHeight="1">
      <c r="B60" s="336"/>
      <c r="C60" s="609"/>
      <c r="D60" s="610"/>
      <c r="E60" s="610"/>
      <c r="F60" s="610"/>
      <c r="G60" s="610"/>
      <c r="H60" s="337"/>
      <c r="I60" s="611"/>
      <c r="J60" s="612"/>
      <c r="K60" s="613"/>
      <c r="L60" s="614"/>
      <c r="M60" s="615"/>
      <c r="N60" s="616"/>
    </row>
    <row r="61" spans="2:14" ht="15" customHeight="1">
      <c r="B61" s="336"/>
      <c r="C61" s="609"/>
      <c r="D61" s="610"/>
      <c r="E61" s="610"/>
      <c r="F61" s="610"/>
      <c r="G61" s="610"/>
      <c r="H61" s="337"/>
      <c r="I61" s="611"/>
      <c r="J61" s="612"/>
      <c r="K61" s="613"/>
      <c r="L61" s="614"/>
      <c r="M61" s="615"/>
      <c r="N61" s="616"/>
    </row>
    <row r="62" spans="2:14" ht="15" customHeight="1">
      <c r="B62" s="336"/>
      <c r="C62" s="609"/>
      <c r="D62" s="610"/>
      <c r="E62" s="610"/>
      <c r="F62" s="610"/>
      <c r="G62" s="610"/>
      <c r="H62" s="337"/>
      <c r="I62" s="611"/>
      <c r="J62" s="612"/>
      <c r="K62" s="613"/>
      <c r="L62" s="614"/>
      <c r="M62" s="615"/>
      <c r="N62" s="616"/>
    </row>
    <row r="63" spans="2:14" ht="15" customHeight="1">
      <c r="B63" s="336"/>
      <c r="C63" s="609"/>
      <c r="D63" s="610"/>
      <c r="E63" s="610"/>
      <c r="F63" s="610"/>
      <c r="G63" s="610"/>
      <c r="H63" s="337"/>
      <c r="I63" s="611"/>
      <c r="J63" s="612"/>
      <c r="K63" s="613"/>
      <c r="L63" s="614"/>
      <c r="M63" s="615"/>
      <c r="N63" s="616"/>
    </row>
    <row r="64" spans="2:14" ht="15" customHeight="1">
      <c r="B64" s="336"/>
      <c r="C64" s="609"/>
      <c r="D64" s="610"/>
      <c r="E64" s="610"/>
      <c r="F64" s="610"/>
      <c r="G64" s="610"/>
      <c r="H64" s="337"/>
      <c r="I64" s="611"/>
      <c r="J64" s="612"/>
      <c r="K64" s="613"/>
      <c r="L64" s="614"/>
      <c r="M64" s="615"/>
      <c r="N64" s="616"/>
    </row>
    <row r="65" spans="2:14" ht="15" customHeight="1">
      <c r="B65" s="336"/>
      <c r="C65" s="609"/>
      <c r="D65" s="610"/>
      <c r="E65" s="610"/>
      <c r="F65" s="610"/>
      <c r="G65" s="610"/>
      <c r="H65" s="337"/>
      <c r="I65" s="611"/>
      <c r="J65" s="612"/>
      <c r="K65" s="613"/>
      <c r="L65" s="614"/>
      <c r="M65" s="615"/>
      <c r="N65" s="616"/>
    </row>
    <row r="66" spans="2:14" ht="15" customHeight="1">
      <c r="B66" s="336"/>
      <c r="C66" s="609"/>
      <c r="D66" s="610"/>
      <c r="E66" s="610"/>
      <c r="F66" s="610"/>
      <c r="G66" s="610"/>
      <c r="H66" s="337"/>
      <c r="I66" s="611"/>
      <c r="J66" s="612"/>
      <c r="K66" s="613"/>
      <c r="L66" s="614"/>
      <c r="M66" s="615"/>
      <c r="N66" s="616"/>
    </row>
    <row r="67" spans="2:14" ht="15" customHeight="1">
      <c r="B67" s="336"/>
      <c r="C67" s="609"/>
      <c r="D67" s="610"/>
      <c r="E67" s="610"/>
      <c r="F67" s="610"/>
      <c r="G67" s="610"/>
      <c r="H67" s="337"/>
      <c r="I67" s="611"/>
      <c r="J67" s="612"/>
      <c r="K67" s="613"/>
      <c r="L67" s="614"/>
      <c r="M67" s="615"/>
      <c r="N67" s="616"/>
    </row>
    <row r="68" spans="2:14" ht="15" customHeight="1">
      <c r="B68" s="336"/>
      <c r="C68" s="609"/>
      <c r="D68" s="610"/>
      <c r="E68" s="610"/>
      <c r="F68" s="610"/>
      <c r="G68" s="610"/>
      <c r="H68" s="337"/>
      <c r="I68" s="611"/>
      <c r="J68" s="612"/>
      <c r="K68" s="613"/>
      <c r="L68" s="614"/>
      <c r="M68" s="615"/>
      <c r="N68" s="616"/>
    </row>
    <row r="69" spans="2:14" ht="15" customHeight="1">
      <c r="B69" s="336"/>
      <c r="C69" s="609"/>
      <c r="D69" s="610"/>
      <c r="E69" s="610"/>
      <c r="F69" s="610"/>
      <c r="G69" s="610"/>
      <c r="H69" s="337"/>
      <c r="I69" s="611"/>
      <c r="J69" s="612"/>
      <c r="K69" s="613"/>
      <c r="L69" s="614"/>
      <c r="M69" s="615"/>
      <c r="N69" s="616"/>
    </row>
    <row r="70" spans="2:14" ht="15" customHeight="1">
      <c r="B70" s="336"/>
      <c r="C70" s="609"/>
      <c r="D70" s="610"/>
      <c r="E70" s="610"/>
      <c r="F70" s="610"/>
      <c r="G70" s="610"/>
      <c r="H70" s="337"/>
      <c r="I70" s="611"/>
      <c r="J70" s="612"/>
      <c r="K70" s="613"/>
      <c r="L70" s="614"/>
      <c r="M70" s="615"/>
      <c r="N70" s="616"/>
    </row>
    <row r="71" spans="2:14" ht="15" customHeight="1">
      <c r="B71" s="336"/>
      <c r="C71" s="609"/>
      <c r="D71" s="610"/>
      <c r="E71" s="610"/>
      <c r="F71" s="610"/>
      <c r="G71" s="610"/>
      <c r="H71" s="337"/>
      <c r="I71" s="611"/>
      <c r="J71" s="612"/>
      <c r="K71" s="613"/>
      <c r="L71" s="614"/>
      <c r="M71" s="615"/>
      <c r="N71" s="616"/>
    </row>
    <row r="72" spans="2:14">
      <c r="B72" s="336"/>
      <c r="C72" s="609"/>
      <c r="D72" s="610"/>
      <c r="E72" s="610"/>
      <c r="F72" s="610"/>
      <c r="G72" s="610"/>
      <c r="H72" s="337"/>
      <c r="I72" s="611"/>
      <c r="J72" s="612"/>
      <c r="K72" s="613"/>
      <c r="L72" s="614"/>
      <c r="M72" s="615"/>
      <c r="N72" s="616"/>
    </row>
    <row r="73" spans="2:14">
      <c r="B73" s="336"/>
      <c r="C73" s="609"/>
      <c r="D73" s="610"/>
      <c r="E73" s="610"/>
      <c r="F73" s="610"/>
      <c r="G73" s="610"/>
      <c r="H73" s="337"/>
      <c r="I73" s="611"/>
      <c r="J73" s="612"/>
      <c r="K73" s="613"/>
      <c r="L73" s="614"/>
      <c r="M73" s="615"/>
      <c r="N73" s="616"/>
    </row>
    <row r="74" spans="2:14">
      <c r="B74" s="336"/>
      <c r="C74" s="609"/>
      <c r="D74" s="610"/>
      <c r="E74" s="610"/>
      <c r="F74" s="610"/>
      <c r="G74" s="610"/>
      <c r="H74" s="337"/>
      <c r="I74" s="611"/>
      <c r="J74" s="612"/>
      <c r="K74" s="613"/>
      <c r="L74" s="614"/>
      <c r="M74" s="615"/>
      <c r="N74" s="616"/>
    </row>
    <row r="75" spans="2:14">
      <c r="B75" s="336"/>
      <c r="C75" s="609"/>
      <c r="D75" s="610"/>
      <c r="E75" s="610"/>
      <c r="F75" s="610"/>
      <c r="G75" s="610"/>
      <c r="H75" s="337"/>
      <c r="I75" s="611"/>
      <c r="J75" s="612"/>
      <c r="K75" s="613"/>
      <c r="L75" s="614"/>
      <c r="M75" s="615"/>
      <c r="N75" s="616"/>
    </row>
    <row r="76" spans="2:14">
      <c r="B76" s="336"/>
      <c r="C76" s="609"/>
      <c r="D76" s="610"/>
      <c r="E76" s="610"/>
      <c r="F76" s="610"/>
      <c r="G76" s="610"/>
      <c r="H76" s="337"/>
      <c r="I76" s="611"/>
      <c r="J76" s="612"/>
      <c r="K76" s="613"/>
      <c r="L76" s="614"/>
      <c r="M76" s="615"/>
      <c r="N76" s="616"/>
    </row>
    <row r="77" spans="2:14">
      <c r="B77" s="336"/>
      <c r="C77" s="609"/>
      <c r="D77" s="610"/>
      <c r="E77" s="610"/>
      <c r="F77" s="610"/>
      <c r="G77" s="610"/>
      <c r="H77" s="337"/>
      <c r="I77" s="611"/>
      <c r="J77" s="612"/>
      <c r="K77" s="613"/>
      <c r="L77" s="614"/>
      <c r="M77" s="615"/>
      <c r="N77" s="616"/>
    </row>
    <row r="78" spans="2:14">
      <c r="B78" s="336"/>
      <c r="C78" s="609"/>
      <c r="D78" s="610"/>
      <c r="E78" s="610"/>
      <c r="F78" s="610"/>
      <c r="G78" s="610"/>
      <c r="H78" s="337"/>
      <c r="I78" s="611"/>
      <c r="J78" s="612"/>
      <c r="K78" s="613"/>
      <c r="L78" s="614"/>
      <c r="M78" s="615"/>
      <c r="N78" s="616"/>
    </row>
    <row r="79" spans="2:14" ht="13.5" thickBot="1">
      <c r="B79" s="338"/>
      <c r="C79" s="617"/>
      <c r="D79" s="618"/>
      <c r="E79" s="618"/>
      <c r="F79" s="618"/>
      <c r="G79" s="618"/>
      <c r="H79" s="339"/>
      <c r="I79" s="619"/>
      <c r="J79" s="620"/>
      <c r="K79" s="621"/>
      <c r="L79" s="622"/>
      <c r="M79" s="623"/>
      <c r="N79" s="62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BFEB-96F3-4E7E-97A4-F6F18D5E8306}">
  <sheetPr syncVertical="1" syncRef="A30" transitionEvaluation="1"/>
  <dimension ref="A1:N120"/>
  <sheetViews>
    <sheetView showGridLines="0" topLeftCell="A30" zoomScaleNormal="100" workbookViewId="0">
      <selection activeCell="E23" sqref="E23"/>
    </sheetView>
  </sheetViews>
  <sheetFormatPr defaultColWidth="12" defaultRowHeight="15.75"/>
  <cols>
    <col min="1" max="14" width="6.7109375" style="425" customWidth="1"/>
    <col min="15" max="256" width="12" style="425"/>
    <col min="257" max="270" width="6.7109375" style="425" customWidth="1"/>
    <col min="271" max="512" width="12" style="425"/>
    <col min="513" max="526" width="6.7109375" style="425" customWidth="1"/>
    <col min="527" max="768" width="12" style="425"/>
    <col min="769" max="782" width="6.7109375" style="425" customWidth="1"/>
    <col min="783" max="1024" width="12" style="425"/>
    <col min="1025" max="1038" width="6.7109375" style="425" customWidth="1"/>
    <col min="1039" max="1280" width="12" style="425"/>
    <col min="1281" max="1294" width="6.7109375" style="425" customWidth="1"/>
    <col min="1295" max="1536" width="12" style="425"/>
    <col min="1537" max="1550" width="6.7109375" style="425" customWidth="1"/>
    <col min="1551" max="1792" width="12" style="425"/>
    <col min="1793" max="1806" width="6.7109375" style="425" customWidth="1"/>
    <col min="1807" max="2048" width="12" style="425"/>
    <col min="2049" max="2062" width="6.7109375" style="425" customWidth="1"/>
    <col min="2063" max="2304" width="12" style="425"/>
    <col min="2305" max="2318" width="6.7109375" style="425" customWidth="1"/>
    <col min="2319" max="2560" width="12" style="425"/>
    <col min="2561" max="2574" width="6.7109375" style="425" customWidth="1"/>
    <col min="2575" max="2816" width="12" style="425"/>
    <col min="2817" max="2830" width="6.7109375" style="425" customWidth="1"/>
    <col min="2831" max="3072" width="12" style="425"/>
    <col min="3073" max="3086" width="6.7109375" style="425" customWidth="1"/>
    <col min="3087" max="3328" width="12" style="425"/>
    <col min="3329" max="3342" width="6.7109375" style="425" customWidth="1"/>
    <col min="3343" max="3584" width="12" style="425"/>
    <col min="3585" max="3598" width="6.7109375" style="425" customWidth="1"/>
    <col min="3599" max="3840" width="12" style="425"/>
    <col min="3841" max="3854" width="6.7109375" style="425" customWidth="1"/>
    <col min="3855" max="4096" width="12" style="425"/>
    <col min="4097" max="4110" width="6.7109375" style="425" customWidth="1"/>
    <col min="4111" max="4352" width="12" style="425"/>
    <col min="4353" max="4366" width="6.7109375" style="425" customWidth="1"/>
    <col min="4367" max="4608" width="12" style="425"/>
    <col min="4609" max="4622" width="6.7109375" style="425" customWidth="1"/>
    <col min="4623" max="4864" width="12" style="425"/>
    <col min="4865" max="4878" width="6.7109375" style="425" customWidth="1"/>
    <col min="4879" max="5120" width="12" style="425"/>
    <col min="5121" max="5134" width="6.7109375" style="425" customWidth="1"/>
    <col min="5135" max="5376" width="12" style="425"/>
    <col min="5377" max="5390" width="6.7109375" style="425" customWidth="1"/>
    <col min="5391" max="5632" width="12" style="425"/>
    <col min="5633" max="5646" width="6.7109375" style="425" customWidth="1"/>
    <col min="5647" max="5888" width="12" style="425"/>
    <col min="5889" max="5902" width="6.7109375" style="425" customWidth="1"/>
    <col min="5903" max="6144" width="12" style="425"/>
    <col min="6145" max="6158" width="6.7109375" style="425" customWidth="1"/>
    <col min="6159" max="6400" width="12" style="425"/>
    <col min="6401" max="6414" width="6.7109375" style="425" customWidth="1"/>
    <col min="6415" max="6656" width="12" style="425"/>
    <col min="6657" max="6670" width="6.7109375" style="425" customWidth="1"/>
    <col min="6671" max="6912" width="12" style="425"/>
    <col min="6913" max="6926" width="6.7109375" style="425" customWidth="1"/>
    <col min="6927" max="7168" width="12" style="425"/>
    <col min="7169" max="7182" width="6.7109375" style="425" customWidth="1"/>
    <col min="7183" max="7424" width="12" style="425"/>
    <col min="7425" max="7438" width="6.7109375" style="425" customWidth="1"/>
    <col min="7439" max="7680" width="12" style="425"/>
    <col min="7681" max="7694" width="6.7109375" style="425" customWidth="1"/>
    <col min="7695" max="7936" width="12" style="425"/>
    <col min="7937" max="7950" width="6.7109375" style="425" customWidth="1"/>
    <col min="7951" max="8192" width="12" style="425"/>
    <col min="8193" max="8206" width="6.7109375" style="425" customWidth="1"/>
    <col min="8207" max="8448" width="12" style="425"/>
    <col min="8449" max="8462" width="6.7109375" style="425" customWidth="1"/>
    <col min="8463" max="8704" width="12" style="425"/>
    <col min="8705" max="8718" width="6.7109375" style="425" customWidth="1"/>
    <col min="8719" max="8960" width="12" style="425"/>
    <col min="8961" max="8974" width="6.7109375" style="425" customWidth="1"/>
    <col min="8975" max="9216" width="12" style="425"/>
    <col min="9217" max="9230" width="6.7109375" style="425" customWidth="1"/>
    <col min="9231" max="9472" width="12" style="425"/>
    <col min="9473" max="9486" width="6.7109375" style="425" customWidth="1"/>
    <col min="9487" max="9728" width="12" style="425"/>
    <col min="9729" max="9742" width="6.7109375" style="425" customWidth="1"/>
    <col min="9743" max="9984" width="12" style="425"/>
    <col min="9985" max="9998" width="6.7109375" style="425" customWidth="1"/>
    <col min="9999" max="10240" width="12" style="425"/>
    <col min="10241" max="10254" width="6.7109375" style="425" customWidth="1"/>
    <col min="10255" max="10496" width="12" style="425"/>
    <col min="10497" max="10510" width="6.7109375" style="425" customWidth="1"/>
    <col min="10511" max="10752" width="12" style="425"/>
    <col min="10753" max="10766" width="6.7109375" style="425" customWidth="1"/>
    <col min="10767" max="11008" width="12" style="425"/>
    <col min="11009" max="11022" width="6.7109375" style="425" customWidth="1"/>
    <col min="11023" max="11264" width="12" style="425"/>
    <col min="11265" max="11278" width="6.7109375" style="425" customWidth="1"/>
    <col min="11279" max="11520" width="12" style="425"/>
    <col min="11521" max="11534" width="6.7109375" style="425" customWidth="1"/>
    <col min="11535" max="11776" width="12" style="425"/>
    <col min="11777" max="11790" width="6.7109375" style="425" customWidth="1"/>
    <col min="11791" max="12032" width="12" style="425"/>
    <col min="12033" max="12046" width="6.7109375" style="425" customWidth="1"/>
    <col min="12047" max="12288" width="12" style="425"/>
    <col min="12289" max="12302" width="6.7109375" style="425" customWidth="1"/>
    <col min="12303" max="12544" width="12" style="425"/>
    <col min="12545" max="12558" width="6.7109375" style="425" customWidth="1"/>
    <col min="12559" max="12800" width="12" style="425"/>
    <col min="12801" max="12814" width="6.7109375" style="425" customWidth="1"/>
    <col min="12815" max="13056" width="12" style="425"/>
    <col min="13057" max="13070" width="6.7109375" style="425" customWidth="1"/>
    <col min="13071" max="13312" width="12" style="425"/>
    <col min="13313" max="13326" width="6.7109375" style="425" customWidth="1"/>
    <col min="13327" max="13568" width="12" style="425"/>
    <col min="13569" max="13582" width="6.7109375" style="425" customWidth="1"/>
    <col min="13583" max="13824" width="12" style="425"/>
    <col min="13825" max="13838" width="6.7109375" style="425" customWidth="1"/>
    <col min="13839" max="14080" width="12" style="425"/>
    <col min="14081" max="14094" width="6.7109375" style="425" customWidth="1"/>
    <col min="14095" max="14336" width="12" style="425"/>
    <col min="14337" max="14350" width="6.7109375" style="425" customWidth="1"/>
    <col min="14351" max="14592" width="12" style="425"/>
    <col min="14593" max="14606" width="6.7109375" style="425" customWidth="1"/>
    <col min="14607" max="14848" width="12" style="425"/>
    <col min="14849" max="14862" width="6.7109375" style="425" customWidth="1"/>
    <col min="14863" max="15104" width="12" style="425"/>
    <col min="15105" max="15118" width="6.7109375" style="425" customWidth="1"/>
    <col min="15119" max="15360" width="12" style="425"/>
    <col min="15361" max="15374" width="6.7109375" style="425" customWidth="1"/>
    <col min="15375" max="15616" width="12" style="425"/>
    <col min="15617" max="15630" width="6.7109375" style="425" customWidth="1"/>
    <col min="15631" max="15872" width="12" style="425"/>
    <col min="15873" max="15886" width="6.7109375" style="425" customWidth="1"/>
    <col min="15887" max="16128" width="12" style="425"/>
    <col min="16129" max="16142" width="6.7109375" style="425" customWidth="1"/>
    <col min="16143" max="16384" width="12" style="425"/>
  </cols>
  <sheetData>
    <row r="1" spans="1:14" ht="17.100000000000001" customHeight="1">
      <c r="A1" s="418" t="s">
        <v>251</v>
      </c>
      <c r="B1" s="419"/>
      <c r="C1" s="419"/>
      <c r="D1" s="419"/>
      <c r="E1" s="419"/>
      <c r="F1" s="419"/>
      <c r="G1" s="419"/>
      <c r="H1" s="419"/>
      <c r="I1" s="419"/>
      <c r="J1" s="420" t="s">
        <v>644</v>
      </c>
      <c r="K1" s="421"/>
      <c r="L1" s="422" t="s">
        <v>645</v>
      </c>
      <c r="M1" s="423"/>
      <c r="N1" s="424"/>
    </row>
    <row r="2" spans="1:14" ht="17.100000000000001" customHeight="1">
      <c r="A2" s="426" t="s">
        <v>646</v>
      </c>
      <c r="B2" s="427"/>
      <c r="C2" s="427"/>
      <c r="D2" s="427"/>
      <c r="E2" s="427"/>
      <c r="F2" s="427"/>
      <c r="G2" s="427"/>
      <c r="H2" s="427"/>
      <c r="I2" s="427"/>
      <c r="J2" s="428" t="s">
        <v>647</v>
      </c>
      <c r="K2" s="429"/>
      <c r="L2" s="430" t="s">
        <v>648</v>
      </c>
      <c r="M2" s="431"/>
      <c r="N2" s="424"/>
    </row>
    <row r="3" spans="1:14" ht="15.95" customHeight="1">
      <c r="A3" s="432"/>
      <c r="B3" s="433"/>
      <c r="C3" s="433"/>
      <c r="D3" s="433"/>
      <c r="E3" s="433"/>
      <c r="F3" s="433"/>
      <c r="G3" s="433"/>
      <c r="H3" s="433"/>
      <c r="I3" s="433"/>
      <c r="J3" s="428" t="s">
        <v>649</v>
      </c>
      <c r="K3" s="429"/>
      <c r="L3" s="434" t="s">
        <v>650</v>
      </c>
      <c r="M3" s="431"/>
      <c r="N3" s="424"/>
    </row>
    <row r="4" spans="1:14" ht="15.95" customHeight="1">
      <c r="A4" s="435"/>
      <c r="B4" s="433"/>
      <c r="C4" s="433"/>
      <c r="D4" s="433"/>
      <c r="E4" s="433"/>
      <c r="F4" s="433"/>
      <c r="G4" s="433"/>
      <c r="H4" s="433"/>
      <c r="I4" s="433"/>
      <c r="J4" s="428" t="s">
        <v>651</v>
      </c>
      <c r="K4" s="429"/>
      <c r="L4" s="434" t="s">
        <v>652</v>
      </c>
      <c r="M4" s="431"/>
      <c r="N4" s="424"/>
    </row>
    <row r="5" spans="1:14" ht="15.95" customHeight="1">
      <c r="A5" s="432"/>
      <c r="B5" s="433"/>
      <c r="C5" s="433"/>
      <c r="D5" s="433"/>
      <c r="E5" s="433"/>
      <c r="F5" s="433"/>
      <c r="G5" s="433"/>
      <c r="H5" s="433"/>
      <c r="I5" s="433"/>
      <c r="J5" s="428" t="s">
        <v>653</v>
      </c>
      <c r="K5" s="429"/>
      <c r="L5" s="430">
        <v>2</v>
      </c>
      <c r="M5" s="431"/>
      <c r="N5" s="424"/>
    </row>
    <row r="6" spans="1:14" ht="15.95" customHeight="1">
      <c r="A6" s="436" t="s">
        <v>654</v>
      </c>
      <c r="B6" s="433"/>
      <c r="C6" s="433"/>
      <c r="D6" s="433"/>
      <c r="E6" s="433"/>
      <c r="F6" s="433"/>
      <c r="G6" s="433"/>
      <c r="H6" s="433"/>
      <c r="I6" s="433"/>
      <c r="J6" s="428" t="s">
        <v>655</v>
      </c>
      <c r="K6" s="429"/>
      <c r="L6" s="430" t="s">
        <v>656</v>
      </c>
      <c r="M6" s="431"/>
      <c r="N6" s="424"/>
    </row>
    <row r="7" spans="1:14" ht="15.95" customHeight="1" thickBot="1">
      <c r="A7" s="437" t="s">
        <v>657</v>
      </c>
      <c r="B7" s="438"/>
      <c r="C7" s="438"/>
      <c r="D7" s="438"/>
      <c r="E7" s="438"/>
      <c r="F7" s="438"/>
      <c r="G7" s="438"/>
      <c r="H7" s="438"/>
      <c r="I7" s="438"/>
      <c r="J7" s="439" t="s">
        <v>658</v>
      </c>
      <c r="K7" s="440"/>
      <c r="L7" s="441" t="s">
        <v>659</v>
      </c>
      <c r="M7" s="442"/>
      <c r="N7" s="424"/>
    </row>
    <row r="8" spans="1:14" ht="15.95" customHeight="1">
      <c r="A8" s="443"/>
      <c r="B8" s="433"/>
      <c r="C8" s="433"/>
      <c r="D8" s="433"/>
      <c r="E8" s="433"/>
      <c r="F8" s="433"/>
      <c r="G8" s="433"/>
      <c r="H8" s="433"/>
      <c r="I8" s="433"/>
      <c r="J8" s="433"/>
      <c r="K8" s="444"/>
      <c r="L8" s="445"/>
      <c r="M8" s="446"/>
      <c r="N8" s="433"/>
    </row>
    <row r="9" spans="1:14" ht="12" customHeight="1">
      <c r="A9" s="447"/>
      <c r="B9" s="448" t="s">
        <v>660</v>
      </c>
      <c r="C9" s="449"/>
      <c r="D9" s="450"/>
      <c r="E9" s="450"/>
      <c r="F9" s="450"/>
      <c r="G9" s="450"/>
      <c r="H9" s="450"/>
      <c r="I9" s="450"/>
      <c r="J9" s="450"/>
      <c r="K9" s="451"/>
      <c r="L9" s="447"/>
      <c r="M9" s="450"/>
      <c r="N9" s="433"/>
    </row>
    <row r="10" spans="1:14" ht="12" customHeight="1">
      <c r="A10" s="447"/>
      <c r="B10" s="448" t="s">
        <v>661</v>
      </c>
      <c r="C10" s="452"/>
      <c r="D10" s="447"/>
      <c r="E10" s="447"/>
      <c r="F10" s="447"/>
      <c r="G10" s="447"/>
      <c r="H10" s="447"/>
      <c r="I10" s="447"/>
      <c r="J10" s="447"/>
      <c r="K10" s="447"/>
      <c r="L10" s="447"/>
      <c r="M10" s="447"/>
      <c r="N10" s="445"/>
    </row>
    <row r="11" spans="1:14" ht="16.5" thickBot="1">
      <c r="A11" s="445"/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</row>
    <row r="12" spans="1:14" ht="20.100000000000001" customHeight="1" thickBot="1">
      <c r="A12" s="453" t="s">
        <v>662</v>
      </c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5"/>
      <c r="N12" s="424"/>
    </row>
    <row r="13" spans="1:14" ht="12.95" customHeight="1" thickTop="1">
      <c r="A13" s="456"/>
      <c r="B13" s="448" t="s">
        <v>663</v>
      </c>
      <c r="C13" s="457">
        <v>1000</v>
      </c>
      <c r="D13" s="447"/>
      <c r="E13" s="448" t="s">
        <v>664</v>
      </c>
      <c r="F13" s="457" t="s">
        <v>758</v>
      </c>
      <c r="G13" s="447"/>
      <c r="H13" s="448" t="s">
        <v>665</v>
      </c>
      <c r="I13" s="457" t="s">
        <v>666</v>
      </c>
      <c r="J13" s="447"/>
      <c r="K13" s="447"/>
      <c r="L13" s="448" t="s">
        <v>667</v>
      </c>
      <c r="M13" s="458">
        <v>1800</v>
      </c>
      <c r="N13" s="424"/>
    </row>
    <row r="14" spans="1:14" ht="12.95" customHeight="1">
      <c r="A14" s="456"/>
      <c r="B14" s="448" t="s">
        <v>668</v>
      </c>
      <c r="C14" s="457" t="s">
        <v>178</v>
      </c>
      <c r="D14" s="447"/>
      <c r="E14" s="448" t="s">
        <v>669</v>
      </c>
      <c r="F14" s="459" t="s">
        <v>670</v>
      </c>
      <c r="G14" s="447"/>
      <c r="H14" s="448" t="s">
        <v>671</v>
      </c>
      <c r="I14" s="457" t="s">
        <v>759</v>
      </c>
      <c r="J14" s="447"/>
      <c r="K14" s="447"/>
      <c r="L14" s="448" t="s">
        <v>393</v>
      </c>
      <c r="M14" s="458">
        <v>1789</v>
      </c>
      <c r="N14" s="424"/>
    </row>
    <row r="15" spans="1:14" ht="12.95" customHeight="1">
      <c r="A15" s="456"/>
      <c r="B15" s="448" t="s">
        <v>672</v>
      </c>
      <c r="C15" s="457" t="s">
        <v>177</v>
      </c>
      <c r="D15" s="447"/>
      <c r="E15" s="448" t="s">
        <v>673</v>
      </c>
      <c r="F15" s="460" t="s">
        <v>674</v>
      </c>
      <c r="G15" s="447"/>
      <c r="H15" s="448" t="s">
        <v>675</v>
      </c>
      <c r="I15" s="459" t="s">
        <v>175</v>
      </c>
      <c r="J15" s="447"/>
      <c r="K15" s="447"/>
      <c r="L15" s="448" t="s">
        <v>676</v>
      </c>
      <c r="M15" s="458" t="s">
        <v>343</v>
      </c>
      <c r="N15" s="424"/>
    </row>
    <row r="16" spans="1:14" ht="12.95" customHeight="1">
      <c r="A16" s="456"/>
      <c r="B16" s="448" t="s">
        <v>677</v>
      </c>
      <c r="C16" s="457" t="s">
        <v>678</v>
      </c>
      <c r="D16" s="447"/>
      <c r="E16" s="448" t="s">
        <v>679</v>
      </c>
      <c r="F16" s="461">
        <v>40</v>
      </c>
      <c r="G16" s="447"/>
      <c r="H16" s="462" t="s">
        <v>680</v>
      </c>
      <c r="I16" s="463" t="s">
        <v>365</v>
      </c>
      <c r="J16" s="447"/>
      <c r="K16" s="447"/>
      <c r="L16" s="448" t="s">
        <v>681</v>
      </c>
      <c r="M16" s="458" t="s">
        <v>682</v>
      </c>
      <c r="N16" s="424"/>
    </row>
    <row r="17" spans="1:14" ht="12.95" customHeight="1">
      <c r="A17" s="456"/>
      <c r="B17" s="448" t="s">
        <v>683</v>
      </c>
      <c r="C17" s="449" t="s">
        <v>633</v>
      </c>
      <c r="D17" s="447"/>
      <c r="E17" s="448"/>
      <c r="F17" s="459"/>
      <c r="G17" s="447"/>
      <c r="H17" s="448" t="s">
        <v>684</v>
      </c>
      <c r="I17" s="463" t="s">
        <v>175</v>
      </c>
      <c r="J17" s="447"/>
      <c r="K17" s="447"/>
      <c r="L17" s="448"/>
      <c r="M17" s="464"/>
      <c r="N17" s="424"/>
    </row>
    <row r="18" spans="1:14" ht="12.95" customHeight="1" thickBot="1">
      <c r="A18" s="465"/>
      <c r="B18" s="466" t="s">
        <v>685</v>
      </c>
      <c r="C18" s="467" t="s">
        <v>175</v>
      </c>
      <c r="D18" s="468"/>
      <c r="E18" s="466" t="s">
        <v>686</v>
      </c>
      <c r="F18" s="467" t="s">
        <v>175</v>
      </c>
      <c r="G18" s="469"/>
      <c r="H18" s="466" t="s">
        <v>687</v>
      </c>
      <c r="I18" s="467" t="s">
        <v>175</v>
      </c>
      <c r="J18" s="468"/>
      <c r="K18" s="468"/>
      <c r="L18" s="468"/>
      <c r="M18" s="470"/>
      <c r="N18" s="424"/>
    </row>
    <row r="19" spans="1:14" ht="16.5" thickBot="1">
      <c r="A19" s="424"/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</row>
    <row r="20" spans="1:14" ht="20.100000000000001" customHeight="1" thickBot="1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5"/>
    </row>
    <row r="21" spans="1:14" ht="15.95" customHeight="1" thickTop="1">
      <c r="A21" s="471" t="s">
        <v>688</v>
      </c>
      <c r="B21" s="472"/>
      <c r="C21" s="445"/>
      <c r="D21" s="473"/>
      <c r="E21" s="474" t="s">
        <v>689</v>
      </c>
      <c r="F21" s="475"/>
      <c r="G21" s="475"/>
      <c r="H21" s="476"/>
      <c r="I21" s="477" t="s">
        <v>690</v>
      </c>
      <c r="J21" s="475"/>
      <c r="K21" s="475"/>
      <c r="L21" s="445"/>
      <c r="M21" s="478"/>
    </row>
    <row r="22" spans="1:14" ht="15.95" customHeight="1">
      <c r="A22" s="479"/>
      <c r="B22" s="447"/>
      <c r="C22" s="448" t="s">
        <v>691</v>
      </c>
      <c r="D22" s="480" t="s">
        <v>760</v>
      </c>
      <c r="E22" s="448"/>
      <c r="G22" s="462" t="s">
        <v>692</v>
      </c>
      <c r="H22" s="481">
        <v>2936</v>
      </c>
      <c r="I22" s="448"/>
      <c r="J22" s="447"/>
      <c r="K22" s="448" t="s">
        <v>693</v>
      </c>
      <c r="L22" s="447"/>
      <c r="M22" s="464"/>
    </row>
    <row r="23" spans="1:14" ht="15.95" customHeight="1">
      <c r="A23" s="479"/>
      <c r="B23" s="448"/>
      <c r="C23" s="451"/>
      <c r="D23" s="482"/>
      <c r="E23" s="448"/>
      <c r="G23" s="448" t="s">
        <v>694</v>
      </c>
      <c r="H23" s="480">
        <v>115</v>
      </c>
      <c r="I23" s="447"/>
      <c r="J23" s="447"/>
      <c r="K23" s="448" t="s">
        <v>695</v>
      </c>
      <c r="L23" s="447"/>
      <c r="M23" s="464"/>
    </row>
    <row r="24" spans="1:14" ht="15.95" customHeight="1">
      <c r="A24" s="456"/>
      <c r="B24" s="448"/>
      <c r="C24" s="447"/>
      <c r="D24" s="482"/>
      <c r="E24" s="448"/>
      <c r="G24" s="462" t="s">
        <v>696</v>
      </c>
      <c r="H24" s="480">
        <v>220</v>
      </c>
      <c r="I24" s="447"/>
      <c r="J24" s="448"/>
      <c r="K24" s="447"/>
      <c r="L24" s="447"/>
      <c r="M24" s="464"/>
    </row>
    <row r="25" spans="1:14" ht="15.95" customHeight="1" thickBot="1">
      <c r="A25" s="465"/>
      <c r="B25" s="466"/>
      <c r="C25" s="468"/>
      <c r="D25" s="483"/>
      <c r="E25" s="466"/>
      <c r="F25" s="466"/>
      <c r="G25" s="466"/>
      <c r="H25" s="484"/>
      <c r="I25" s="468"/>
      <c r="J25" s="466"/>
      <c r="K25" s="468"/>
      <c r="L25" s="468"/>
      <c r="M25" s="470"/>
    </row>
    <row r="26" spans="1:14" ht="18.95" customHeight="1" thickBot="1">
      <c r="A26" s="443"/>
      <c r="B26" s="443"/>
      <c r="C26" s="443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</row>
    <row r="27" spans="1:14" ht="20.100000000000001" customHeight="1" thickBot="1">
      <c r="A27" s="485"/>
      <c r="B27" s="486"/>
      <c r="C27" s="486"/>
      <c r="D27" s="486"/>
      <c r="E27" s="486"/>
      <c r="F27" s="486"/>
      <c r="G27" s="487"/>
      <c r="H27" s="486"/>
      <c r="I27" s="486"/>
      <c r="J27" s="486"/>
      <c r="K27" s="486"/>
      <c r="L27" s="486"/>
      <c r="M27" s="488"/>
    </row>
    <row r="28" spans="1:14" ht="15.95" customHeight="1" thickTop="1">
      <c r="A28" s="489" t="s">
        <v>697</v>
      </c>
      <c r="B28" s="472"/>
      <c r="C28" s="445"/>
      <c r="D28" s="445"/>
      <c r="E28" s="475"/>
      <c r="F28" s="475"/>
      <c r="G28" s="490"/>
      <c r="H28" s="474" t="s">
        <v>698</v>
      </c>
      <c r="I28" s="475"/>
      <c r="J28" s="475"/>
      <c r="K28" s="474"/>
      <c r="L28" s="475"/>
      <c r="M28" s="478"/>
    </row>
    <row r="29" spans="1:14" ht="15.95" customHeight="1">
      <c r="A29" s="456"/>
      <c r="B29" s="448"/>
      <c r="C29" s="448" t="s">
        <v>699</v>
      </c>
      <c r="D29" s="491">
        <v>94.9</v>
      </c>
      <c r="E29" s="448"/>
      <c r="F29" s="448"/>
      <c r="G29" s="490"/>
      <c r="H29" s="462"/>
      <c r="I29" s="448"/>
      <c r="J29" s="448" t="s">
        <v>699</v>
      </c>
      <c r="K29" s="491">
        <v>89.6</v>
      </c>
      <c r="L29" s="447"/>
      <c r="M29" s="464"/>
    </row>
    <row r="30" spans="1:14" ht="15.95" customHeight="1">
      <c r="A30" s="492"/>
      <c r="B30" s="447"/>
      <c r="C30" s="448" t="s">
        <v>700</v>
      </c>
      <c r="D30" s="491">
        <v>94.4</v>
      </c>
      <c r="E30" s="448"/>
      <c r="F30" s="448"/>
      <c r="G30" s="490"/>
      <c r="H30" s="448"/>
      <c r="I30" s="447"/>
      <c r="J30" s="448" t="s">
        <v>700</v>
      </c>
      <c r="K30" s="491">
        <v>89.1</v>
      </c>
      <c r="L30" s="447"/>
      <c r="M30" s="464"/>
    </row>
    <row r="31" spans="1:14" ht="15.95" customHeight="1">
      <c r="A31" s="456"/>
      <c r="B31" s="448"/>
      <c r="C31" s="448" t="s">
        <v>701</v>
      </c>
      <c r="D31" s="491">
        <v>93.1</v>
      </c>
      <c r="E31" s="448"/>
      <c r="F31" s="448"/>
      <c r="G31" s="490"/>
      <c r="H31" s="448"/>
      <c r="I31" s="447"/>
      <c r="J31" s="448" t="s">
        <v>701</v>
      </c>
      <c r="K31" s="491">
        <v>85.7</v>
      </c>
      <c r="L31" s="448"/>
      <c r="M31" s="464"/>
    </row>
    <row r="32" spans="1:14" ht="15.95" customHeight="1" thickBot="1">
      <c r="A32" s="465"/>
      <c r="B32" s="466"/>
      <c r="C32" s="468"/>
      <c r="D32" s="468"/>
      <c r="E32" s="466"/>
      <c r="F32" s="466"/>
      <c r="G32" s="493"/>
      <c r="H32" s="466"/>
      <c r="I32" s="468"/>
      <c r="J32" s="466"/>
      <c r="K32" s="468"/>
      <c r="L32" s="466"/>
      <c r="M32" s="470"/>
    </row>
    <row r="33" spans="1:14" ht="20.100000000000001" customHeight="1" thickBot="1">
      <c r="A33" s="494"/>
      <c r="B33" s="494"/>
      <c r="C33" s="494"/>
      <c r="D33" s="494"/>
      <c r="E33" s="494"/>
      <c r="F33" s="494"/>
      <c r="G33" s="494"/>
      <c r="H33" s="494"/>
      <c r="I33" s="494"/>
      <c r="J33" s="494"/>
      <c r="K33" s="494"/>
      <c r="L33" s="494"/>
      <c r="M33" s="494"/>
      <c r="N33" s="494"/>
    </row>
    <row r="34" spans="1:14" ht="20.100000000000001" customHeight="1" thickBot="1">
      <c r="A34" s="495"/>
      <c r="B34" s="496"/>
      <c r="C34" s="496"/>
      <c r="D34" s="496"/>
      <c r="E34" s="496"/>
      <c r="F34" s="496"/>
      <c r="G34" s="496"/>
      <c r="H34" s="496"/>
      <c r="I34" s="496"/>
      <c r="J34" s="496"/>
      <c r="K34" s="496"/>
      <c r="L34" s="496"/>
      <c r="M34" s="497"/>
    </row>
    <row r="35" spans="1:14" ht="15.95" customHeight="1" thickTop="1">
      <c r="A35" s="498" t="s">
        <v>702</v>
      </c>
      <c r="B35" s="451"/>
      <c r="C35" s="451"/>
      <c r="D35" s="451"/>
      <c r="E35" s="451"/>
      <c r="F35" s="451"/>
      <c r="G35" s="451"/>
      <c r="H35" s="451"/>
      <c r="I35" s="451"/>
      <c r="J35" s="451"/>
      <c r="K35" s="451"/>
      <c r="L35" s="451"/>
      <c r="M35" s="499"/>
    </row>
    <row r="36" spans="1:14" ht="15.95" customHeight="1">
      <c r="A36" s="500" t="s">
        <v>703</v>
      </c>
      <c r="B36" s="451"/>
      <c r="C36" s="451"/>
      <c r="D36" s="451"/>
      <c r="E36" s="451"/>
      <c r="F36" s="451"/>
      <c r="G36" s="451"/>
      <c r="H36" s="451"/>
      <c r="I36" s="451"/>
      <c r="J36" s="451"/>
      <c r="K36" s="451"/>
      <c r="L36" s="451"/>
      <c r="M36" s="499"/>
    </row>
    <row r="37" spans="1:14" ht="15.95" customHeight="1">
      <c r="A37" s="501" t="s">
        <v>704</v>
      </c>
      <c r="B37" s="451"/>
      <c r="C37" s="451"/>
      <c r="D37" s="451"/>
      <c r="E37" s="502"/>
      <c r="F37" s="451"/>
      <c r="G37" s="451"/>
      <c r="H37" s="451"/>
      <c r="I37" s="451"/>
      <c r="J37" s="451"/>
      <c r="K37" s="451"/>
      <c r="L37" s="451"/>
      <c r="M37" s="499"/>
    </row>
    <row r="38" spans="1:14" ht="15.95" customHeight="1">
      <c r="A38" s="503" t="s">
        <v>705</v>
      </c>
      <c r="B38" s="451"/>
      <c r="C38" s="451"/>
      <c r="D38" s="451"/>
      <c r="E38" s="451"/>
      <c r="F38" s="451"/>
      <c r="G38" s="451"/>
      <c r="H38" s="451"/>
      <c r="I38" s="451"/>
      <c r="J38" s="451"/>
      <c r="K38" s="451"/>
      <c r="L38" s="451"/>
      <c r="M38" s="499"/>
    </row>
    <row r="39" spans="1:14" ht="15.95" customHeight="1">
      <c r="A39" s="504" t="s">
        <v>706</v>
      </c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99"/>
    </row>
    <row r="40" spans="1:14" ht="15.95" customHeight="1" thickBot="1">
      <c r="A40" s="505" t="s">
        <v>707</v>
      </c>
      <c r="B40" s="506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7"/>
    </row>
    <row r="41" spans="1:14" ht="15.95" customHeight="1"/>
    <row r="42" spans="1:14" ht="18">
      <c r="A42" s="508"/>
      <c r="B42" s="508"/>
      <c r="C42" s="508"/>
      <c r="D42" s="508"/>
      <c r="E42" s="508"/>
      <c r="F42" s="508"/>
      <c r="G42" s="508"/>
      <c r="H42" s="424"/>
      <c r="I42" s="424"/>
      <c r="J42" s="509" t="s">
        <v>708</v>
      </c>
      <c r="K42" s="640" t="s">
        <v>709</v>
      </c>
      <c r="L42" s="640"/>
      <c r="M42" s="640"/>
      <c r="N42" s="508"/>
    </row>
    <row r="43" spans="1:14" ht="7.5" customHeight="1">
      <c r="H43" s="424"/>
      <c r="I43" s="424"/>
      <c r="J43" s="424"/>
      <c r="K43" s="424"/>
      <c r="L43" s="424"/>
      <c r="M43" s="424"/>
    </row>
    <row r="44" spans="1:14" ht="16.5">
      <c r="H44" s="424"/>
      <c r="I44" s="424"/>
      <c r="J44" s="509" t="s">
        <v>710</v>
      </c>
      <c r="K44" s="641">
        <v>45306</v>
      </c>
      <c r="L44" s="641"/>
      <c r="M44" s="641"/>
    </row>
    <row r="59" spans="1:5">
      <c r="A59" s="425" t="s">
        <v>175</v>
      </c>
      <c r="B59" s="425" t="s">
        <v>711</v>
      </c>
      <c r="D59" s="425">
        <v>1</v>
      </c>
      <c r="E59" s="510" t="s">
        <v>175</v>
      </c>
    </row>
    <row r="60" spans="1:5">
      <c r="A60" s="425" t="s">
        <v>670</v>
      </c>
      <c r="B60" s="425" t="s">
        <v>712</v>
      </c>
      <c r="D60" s="425">
        <v>1.1499999999999999</v>
      </c>
      <c r="E60" s="510" t="s">
        <v>347</v>
      </c>
    </row>
    <row r="61" spans="1:5">
      <c r="A61" s="425" t="s">
        <v>713</v>
      </c>
      <c r="B61" s="425" t="s">
        <v>714</v>
      </c>
      <c r="E61" s="510" t="s">
        <v>715</v>
      </c>
    </row>
    <row r="62" spans="1:5">
      <c r="B62" s="425" t="s">
        <v>716</v>
      </c>
    </row>
    <row r="63" spans="1:5">
      <c r="B63" s="425" t="s">
        <v>717</v>
      </c>
    </row>
    <row r="64" spans="1:5">
      <c r="B64" s="425" t="s">
        <v>718</v>
      </c>
    </row>
    <row r="65" spans="2:2">
      <c r="B65" s="425" t="s">
        <v>719</v>
      </c>
    </row>
    <row r="66" spans="2:2">
      <c r="B66" s="425" t="s">
        <v>720</v>
      </c>
    </row>
    <row r="67" spans="2:2">
      <c r="B67" s="425" t="s">
        <v>721</v>
      </c>
    </row>
    <row r="68" spans="2:2">
      <c r="B68" s="425" t="s">
        <v>722</v>
      </c>
    </row>
    <row r="69" spans="2:2">
      <c r="B69" s="425" t="s">
        <v>723</v>
      </c>
    </row>
    <row r="70" spans="2:2">
      <c r="B70" s="425" t="s">
        <v>724</v>
      </c>
    </row>
    <row r="71" spans="2:2">
      <c r="B71" s="425" t="s">
        <v>725</v>
      </c>
    </row>
    <row r="72" spans="2:2">
      <c r="B72" s="425" t="s">
        <v>726</v>
      </c>
    </row>
    <row r="73" spans="2:2">
      <c r="B73" s="425" t="s">
        <v>727</v>
      </c>
    </row>
    <row r="74" spans="2:2">
      <c r="B74" s="425" t="s">
        <v>728</v>
      </c>
    </row>
    <row r="75" spans="2:2">
      <c r="B75" s="425" t="s">
        <v>729</v>
      </c>
    </row>
    <row r="76" spans="2:2">
      <c r="B76" s="425" t="s">
        <v>730</v>
      </c>
    </row>
    <row r="77" spans="2:2">
      <c r="B77" s="425" t="s">
        <v>731</v>
      </c>
    </row>
    <row r="78" spans="2:2">
      <c r="B78" s="425" t="s">
        <v>732</v>
      </c>
    </row>
    <row r="79" spans="2:2">
      <c r="B79" s="425" t="s">
        <v>733</v>
      </c>
    </row>
    <row r="80" spans="2:2">
      <c r="B80" s="425">
        <v>6312</v>
      </c>
    </row>
    <row r="81" spans="2:2">
      <c r="B81" s="425" t="s">
        <v>734</v>
      </c>
    </row>
    <row r="82" spans="2:2">
      <c r="B82" s="425" t="s">
        <v>735</v>
      </c>
    </row>
    <row r="83" spans="2:2">
      <c r="B83" s="425" t="s">
        <v>736</v>
      </c>
    </row>
    <row r="84" spans="2:2">
      <c r="B84" s="425" t="s">
        <v>737</v>
      </c>
    </row>
    <row r="85" spans="2:2">
      <c r="B85" s="425">
        <v>6313</v>
      </c>
    </row>
    <row r="86" spans="2:2">
      <c r="B86" s="425" t="s">
        <v>738</v>
      </c>
    </row>
    <row r="87" spans="2:2">
      <c r="B87" s="425" t="s">
        <v>739</v>
      </c>
    </row>
    <row r="88" spans="2:2">
      <c r="B88" s="425" t="s">
        <v>740</v>
      </c>
    </row>
    <row r="89" spans="2:2">
      <c r="B89" s="425">
        <v>6314</v>
      </c>
    </row>
    <row r="90" spans="2:2">
      <c r="B90" s="425" t="s">
        <v>741</v>
      </c>
    </row>
    <row r="91" spans="2:2">
      <c r="B91" s="425">
        <v>6317</v>
      </c>
    </row>
    <row r="92" spans="2:2">
      <c r="B92" s="425" t="s">
        <v>742</v>
      </c>
    </row>
    <row r="93" spans="2:2">
      <c r="B93" s="425">
        <v>6318</v>
      </c>
    </row>
    <row r="94" spans="2:2">
      <c r="B94" s="425" t="s">
        <v>743</v>
      </c>
    </row>
    <row r="95" spans="2:2">
      <c r="B95" s="425" t="s">
        <v>744</v>
      </c>
    </row>
    <row r="96" spans="2:2">
      <c r="B96" s="425" t="s">
        <v>745</v>
      </c>
    </row>
    <row r="97" spans="2:2">
      <c r="B97" s="425">
        <v>6320</v>
      </c>
    </row>
    <row r="98" spans="2:2">
      <c r="B98" s="425" t="s">
        <v>746</v>
      </c>
    </row>
    <row r="99" spans="2:2">
      <c r="B99" s="425" t="s">
        <v>747</v>
      </c>
    </row>
    <row r="100" spans="2:2">
      <c r="B100" s="425" t="s">
        <v>748</v>
      </c>
    </row>
    <row r="101" spans="2:2">
      <c r="B101" s="425" t="s">
        <v>749</v>
      </c>
    </row>
    <row r="102" spans="2:2">
      <c r="B102" s="425" t="s">
        <v>749</v>
      </c>
    </row>
    <row r="118" spans="2:2">
      <c r="B118" s="425" t="s">
        <v>750</v>
      </c>
    </row>
    <row r="120" spans="2:2">
      <c r="B120" s="425" t="s">
        <v>751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7"/>
  <sheetViews>
    <sheetView workbookViewId="0">
      <selection activeCell="A6" sqref="A6:F15"/>
    </sheetView>
  </sheetViews>
  <sheetFormatPr defaultColWidth="9.140625" defaultRowHeight="12.75"/>
  <cols>
    <col min="1" max="6" width="16.7109375" style="353" customWidth="1"/>
    <col min="7" max="16384" width="9.140625" style="353"/>
  </cols>
  <sheetData>
    <row r="1" spans="1:6" ht="18.95" customHeight="1">
      <c r="A1" s="350"/>
      <c r="B1" s="351"/>
      <c r="C1" s="351"/>
      <c r="D1" s="351"/>
      <c r="E1" s="351"/>
      <c r="F1" s="352"/>
    </row>
    <row r="2" spans="1:6" ht="26.1" customHeight="1">
      <c r="A2" s="354" t="s">
        <v>251</v>
      </c>
      <c r="B2" s="355"/>
      <c r="C2" s="355"/>
      <c r="D2" s="355"/>
      <c r="E2" s="355"/>
      <c r="F2" s="356"/>
    </row>
    <row r="3" spans="1:6" ht="18.95" customHeight="1">
      <c r="A3" s="357" t="s">
        <v>381</v>
      </c>
      <c r="B3" s="355"/>
      <c r="C3" s="355"/>
      <c r="D3" s="355"/>
      <c r="E3" s="355"/>
      <c r="F3" s="356"/>
    </row>
    <row r="4" spans="1:6" ht="18.95" customHeight="1">
      <c r="A4" s="358"/>
      <c r="B4" s="359"/>
      <c r="C4" s="359"/>
      <c r="D4" s="359"/>
      <c r="E4" s="359"/>
      <c r="F4" s="360"/>
    </row>
    <row r="5" spans="1:6" ht="18.95" customHeight="1">
      <c r="A5" s="358"/>
      <c r="B5" s="359"/>
      <c r="C5" s="359"/>
      <c r="D5" s="359"/>
      <c r="E5" s="359"/>
      <c r="F5" s="360"/>
    </row>
    <row r="6" spans="1:6" ht="18.95" customHeight="1">
      <c r="A6" s="361" t="s">
        <v>382</v>
      </c>
      <c r="B6" s="642" t="str">
        <f>'Performance Data Sheet'!C17</f>
        <v>M204FTQL11E-C</v>
      </c>
      <c r="C6" s="643"/>
      <c r="D6" s="644"/>
      <c r="E6" s="361" t="s">
        <v>383</v>
      </c>
      <c r="F6" s="362" t="str">
        <f>'Performance Data Sheet'!I14 &amp; " A"</f>
        <v>220/127 A</v>
      </c>
    </row>
    <row r="7" spans="1:6" ht="18.95" customHeight="1">
      <c r="A7" s="361" t="s">
        <v>384</v>
      </c>
      <c r="B7" s="362" t="str">
        <f>'Performance Data Sheet'!F14</f>
        <v>TEFC</v>
      </c>
      <c r="C7" s="361" t="s">
        <v>385</v>
      </c>
      <c r="D7" s="362" t="str">
        <f>'Performance Data Sheet'!F13 &amp; " V"</f>
        <v>2300/4000 V</v>
      </c>
      <c r="E7" s="361" t="s">
        <v>386</v>
      </c>
      <c r="F7" s="362" t="str">
        <f>'Performance Data Sheet'!C14</f>
        <v>6811US</v>
      </c>
    </row>
    <row r="8" spans="1:6" ht="18.95" customHeight="1">
      <c r="A8" s="361" t="s">
        <v>387</v>
      </c>
      <c r="B8" s="362">
        <v>4</v>
      </c>
      <c r="C8" s="361" t="s">
        <v>388</v>
      </c>
      <c r="D8" s="362" t="s">
        <v>389</v>
      </c>
      <c r="E8" s="361" t="s">
        <v>390</v>
      </c>
      <c r="F8" s="362" t="s">
        <v>343</v>
      </c>
    </row>
    <row r="9" spans="1:6" ht="18.95" customHeight="1">
      <c r="A9" s="361" t="s">
        <v>391</v>
      </c>
      <c r="B9" s="362">
        <v>1000</v>
      </c>
      <c r="C9" s="361" t="s">
        <v>392</v>
      </c>
      <c r="D9" s="362" t="s">
        <v>404</v>
      </c>
      <c r="E9" s="361" t="s">
        <v>2</v>
      </c>
      <c r="F9" s="363">
        <f>'Performance Data Sheet'!K44</f>
        <v>45306</v>
      </c>
    </row>
    <row r="10" spans="1:6" ht="18.95" customHeight="1">
      <c r="A10" s="361" t="s">
        <v>393</v>
      </c>
      <c r="B10" s="362">
        <v>1789</v>
      </c>
      <c r="C10" s="361" t="s">
        <v>373</v>
      </c>
      <c r="D10" s="362" t="s">
        <v>394</v>
      </c>
      <c r="E10" s="361" t="s">
        <v>1</v>
      </c>
      <c r="F10" s="362" t="s">
        <v>360</v>
      </c>
    </row>
    <row r="11" spans="1:6" ht="18.95" customHeight="1">
      <c r="A11" s="358"/>
      <c r="B11" s="359"/>
      <c r="C11" s="359"/>
      <c r="D11" s="359"/>
      <c r="E11" s="359"/>
      <c r="F11" s="360"/>
    </row>
    <row r="12" spans="1:6" ht="18.95" customHeight="1">
      <c r="A12" s="358"/>
      <c r="B12" s="364" t="s">
        <v>395</v>
      </c>
      <c r="C12" s="365" t="str">
        <f>'Performance Data Sheet'!D22 &amp; " A"</f>
        <v>1422/821 A</v>
      </c>
      <c r="D12" s="364" t="s">
        <v>372</v>
      </c>
      <c r="E12" s="365" t="s">
        <v>394</v>
      </c>
      <c r="F12" s="360"/>
    </row>
    <row r="13" spans="1:6" ht="18.95" customHeight="1">
      <c r="A13" s="358"/>
      <c r="B13" s="364" t="s">
        <v>396</v>
      </c>
      <c r="C13" s="366">
        <v>1.1499999999999999</v>
      </c>
      <c r="D13" s="364" t="s">
        <v>397</v>
      </c>
      <c r="E13" s="365" t="s">
        <v>394</v>
      </c>
      <c r="F13" s="360"/>
    </row>
    <row r="14" spans="1:6" ht="18.95" customHeight="1">
      <c r="A14" s="358"/>
      <c r="B14" s="364" t="s">
        <v>398</v>
      </c>
      <c r="C14" s="366">
        <v>2.2000000000000002</v>
      </c>
      <c r="D14" s="364" t="s">
        <v>374</v>
      </c>
      <c r="E14" s="365" t="s">
        <v>394</v>
      </c>
      <c r="F14" s="360"/>
    </row>
    <row r="15" spans="1:6" ht="18.95" customHeight="1">
      <c r="A15" s="358"/>
      <c r="B15" s="364" t="s">
        <v>375</v>
      </c>
      <c r="C15" s="365" t="s">
        <v>405</v>
      </c>
      <c r="D15" s="359"/>
      <c r="E15" s="359"/>
      <c r="F15" s="360"/>
    </row>
    <row r="16" spans="1:6" ht="18.95" customHeight="1">
      <c r="A16" s="358"/>
      <c r="B16" s="359"/>
      <c r="C16" s="359"/>
      <c r="D16" s="359"/>
      <c r="E16" s="359"/>
      <c r="F16" s="360"/>
    </row>
    <row r="17" spans="1:6" ht="18.95" customHeight="1">
      <c r="A17" s="358"/>
      <c r="B17" s="359"/>
      <c r="C17" s="359"/>
      <c r="D17" s="359"/>
      <c r="E17" s="359"/>
      <c r="F17" s="360"/>
    </row>
    <row r="18" spans="1:6" ht="18.95" customHeight="1">
      <c r="A18" s="358"/>
      <c r="B18" s="359"/>
      <c r="C18" s="359"/>
      <c r="D18" s="359"/>
      <c r="E18" s="359"/>
      <c r="F18" s="360"/>
    </row>
    <row r="19" spans="1:6" ht="18.95" customHeight="1">
      <c r="A19" s="358"/>
      <c r="B19" s="359"/>
      <c r="C19" s="359"/>
      <c r="D19" s="359"/>
      <c r="E19" s="359"/>
      <c r="F19" s="360"/>
    </row>
    <row r="20" spans="1:6" ht="18.95" customHeight="1">
      <c r="A20" s="358"/>
      <c r="B20" s="359"/>
      <c r="C20" s="359"/>
      <c r="D20" s="359"/>
      <c r="E20" s="359"/>
      <c r="F20" s="360"/>
    </row>
    <row r="21" spans="1:6" ht="18.95" customHeight="1">
      <c r="A21" s="358"/>
      <c r="B21" s="359"/>
      <c r="C21" s="359"/>
      <c r="D21" s="359"/>
      <c r="E21" s="359"/>
      <c r="F21" s="360"/>
    </row>
    <row r="22" spans="1:6" ht="18.95" customHeight="1">
      <c r="A22" s="358"/>
      <c r="B22" s="359"/>
      <c r="C22" s="359"/>
      <c r="D22" s="359"/>
      <c r="E22" s="359"/>
      <c r="F22" s="360"/>
    </row>
    <row r="23" spans="1:6" ht="18.95" customHeight="1">
      <c r="A23" s="358"/>
      <c r="B23" s="359"/>
      <c r="C23" s="359"/>
      <c r="D23" s="359"/>
      <c r="E23" s="359"/>
      <c r="F23" s="360"/>
    </row>
    <row r="24" spans="1:6" ht="18.95" customHeight="1">
      <c r="A24" s="358"/>
      <c r="B24" s="359"/>
      <c r="C24" s="359"/>
      <c r="D24" s="359"/>
      <c r="E24" s="359"/>
      <c r="F24" s="360"/>
    </row>
    <row r="25" spans="1:6" ht="18.95" customHeight="1">
      <c r="A25" s="358"/>
      <c r="B25" s="359"/>
      <c r="C25" s="359"/>
      <c r="D25" s="359"/>
      <c r="E25" s="359"/>
      <c r="F25" s="360"/>
    </row>
    <row r="26" spans="1:6" ht="18.95" customHeight="1">
      <c r="A26" s="358"/>
      <c r="B26" s="359"/>
      <c r="C26" s="359"/>
      <c r="D26" s="359"/>
      <c r="E26" s="359"/>
      <c r="F26" s="360"/>
    </row>
    <row r="27" spans="1:6" ht="18.95" customHeight="1">
      <c r="A27" s="358"/>
      <c r="B27" s="359"/>
      <c r="C27" s="359"/>
      <c r="D27" s="359"/>
      <c r="E27" s="359"/>
      <c r="F27" s="360"/>
    </row>
    <row r="28" spans="1:6" ht="18.95" customHeight="1">
      <c r="A28" s="358"/>
      <c r="B28" s="359"/>
      <c r="C28" s="359"/>
      <c r="D28" s="359"/>
      <c r="E28" s="359"/>
      <c r="F28" s="360"/>
    </row>
    <row r="29" spans="1:6" ht="18.95" customHeight="1">
      <c r="A29" s="358"/>
      <c r="B29" s="359"/>
      <c r="C29" s="359"/>
      <c r="D29" s="359"/>
      <c r="E29" s="359"/>
      <c r="F29" s="360"/>
    </row>
    <row r="30" spans="1:6" ht="18.95" customHeight="1">
      <c r="A30" s="358"/>
      <c r="B30" s="359"/>
      <c r="C30" s="359"/>
      <c r="D30" s="359"/>
      <c r="E30" s="359"/>
      <c r="F30" s="360"/>
    </row>
    <row r="31" spans="1:6" ht="18.95" customHeight="1">
      <c r="A31" s="358"/>
      <c r="B31" s="359"/>
      <c r="C31" s="359"/>
      <c r="D31" s="359"/>
      <c r="E31" s="359"/>
      <c r="F31" s="360"/>
    </row>
    <row r="32" spans="1:6" ht="18.95" customHeight="1">
      <c r="A32" s="358"/>
      <c r="B32" s="359"/>
      <c r="C32" s="359"/>
      <c r="D32" s="359"/>
      <c r="E32" s="359"/>
      <c r="F32" s="360"/>
    </row>
    <row r="33" spans="1:6" ht="18.95" customHeight="1">
      <c r="A33" s="358"/>
      <c r="B33" s="359"/>
      <c r="C33" s="359"/>
      <c r="D33" s="359"/>
      <c r="E33" s="359"/>
      <c r="F33" s="360"/>
    </row>
    <row r="34" spans="1:6" ht="18.95" customHeight="1">
      <c r="A34" s="358"/>
      <c r="B34" s="359"/>
      <c r="C34" s="359"/>
      <c r="D34" s="359"/>
      <c r="E34" s="359"/>
      <c r="F34" s="360"/>
    </row>
    <row r="35" spans="1:6" ht="18.95" customHeight="1">
      <c r="A35" s="358"/>
      <c r="B35" s="359"/>
      <c r="C35" s="359"/>
      <c r="D35" s="359"/>
      <c r="E35" s="359"/>
      <c r="F35" s="360"/>
    </row>
    <row r="36" spans="1:6" ht="18.95" customHeight="1">
      <c r="A36" s="358"/>
      <c r="B36" s="359"/>
      <c r="C36" s="359"/>
      <c r="D36" s="359"/>
      <c r="E36" s="359"/>
      <c r="F36" s="360"/>
    </row>
    <row r="37" spans="1:6" ht="18.95" customHeight="1">
      <c r="A37" s="358"/>
      <c r="B37" s="359"/>
      <c r="C37" s="359"/>
      <c r="D37" s="359"/>
      <c r="E37" s="359"/>
      <c r="F37" s="360"/>
    </row>
    <row r="38" spans="1:6" ht="18.95" customHeight="1">
      <c r="A38" s="358"/>
      <c r="B38" s="359"/>
      <c r="C38" s="359"/>
      <c r="D38" s="359"/>
      <c r="E38" s="359"/>
      <c r="F38" s="360"/>
    </row>
    <row r="39" spans="1:6" ht="18.95" customHeight="1">
      <c r="A39" s="367" t="s">
        <v>399</v>
      </c>
      <c r="B39" s="368" t="s">
        <v>351</v>
      </c>
      <c r="C39" s="532">
        <f>'Performance Data Sheet'!C10</f>
        <v>0</v>
      </c>
      <c r="D39" s="359"/>
      <c r="E39" s="364" t="s">
        <v>400</v>
      </c>
      <c r="F39" s="369" t="str">
        <f>F10</f>
        <v>CS4M20U</v>
      </c>
    </row>
    <row r="40" spans="1:6" ht="18.95" customHeight="1">
      <c r="A40" s="358"/>
      <c r="B40" s="368"/>
      <c r="C40" s="368"/>
      <c r="D40" s="359"/>
      <c r="E40" s="359"/>
      <c r="F40" s="360"/>
    </row>
    <row r="41" spans="1:6" ht="18.95" customHeight="1">
      <c r="A41" s="358"/>
      <c r="B41" s="368"/>
      <c r="C41" s="368"/>
      <c r="D41" s="359"/>
      <c r="E41" s="359"/>
      <c r="F41" s="360"/>
    </row>
    <row r="42" spans="1:6" ht="18.95" customHeight="1">
      <c r="A42" s="358"/>
      <c r="B42" s="359"/>
      <c r="C42" s="359"/>
      <c r="D42" s="359"/>
      <c r="E42" s="359"/>
      <c r="F42" s="360"/>
    </row>
    <row r="43" spans="1:6" ht="18.95" customHeight="1">
      <c r="A43" s="370"/>
      <c r="B43" s="368"/>
      <c r="C43" s="371" t="s">
        <v>401</v>
      </c>
      <c r="D43" s="372" t="str">
        <f>'Performance Data Sheet'!K42</f>
        <v>Jerry R</v>
      </c>
      <c r="E43" s="371" t="s">
        <v>402</v>
      </c>
      <c r="F43" s="372" t="s">
        <v>638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41" t="s">
        <v>371</v>
      </c>
      <c r="E53" s="341"/>
      <c r="F53" s="341"/>
      <c r="G53" s="341"/>
      <c r="H53" s="341"/>
      <c r="I53" s="341"/>
      <c r="J53" s="341"/>
      <c r="K53" s="341"/>
      <c r="L53" s="341"/>
    </row>
    <row r="54" spans="1:12" ht="15" customHeight="1">
      <c r="A54" s="373">
        <v>100</v>
      </c>
      <c r="B54" s="341">
        <v>0</v>
      </c>
      <c r="C54" s="341">
        <v>0.20290347933769226</v>
      </c>
      <c r="D54" s="341">
        <v>100</v>
      </c>
      <c r="E54" s="341"/>
      <c r="F54" s="341"/>
      <c r="G54" s="341"/>
      <c r="H54" s="341"/>
      <c r="I54" s="341"/>
      <c r="J54" s="341"/>
      <c r="K54" s="341"/>
      <c r="L54" s="341"/>
    </row>
    <row r="55" spans="1:12" ht="15" customHeight="1">
      <c r="A55" s="373">
        <v>99.799999967217445</v>
      </c>
      <c r="B55" s="341">
        <v>164.54852207168744</v>
      </c>
      <c r="C55" s="341">
        <v>204.70439147949219</v>
      </c>
      <c r="D55" s="341">
        <v>99.599998474121094</v>
      </c>
      <c r="E55" s="341"/>
      <c r="F55" s="341"/>
      <c r="G55" s="341"/>
      <c r="H55" s="341"/>
      <c r="I55" s="341"/>
      <c r="J55" s="341"/>
      <c r="K55" s="341"/>
      <c r="L55" s="341"/>
    </row>
    <row r="56" spans="1:12" ht="15" customHeight="1">
      <c r="A56" s="373">
        <v>98.999999836087227</v>
      </c>
      <c r="B56" s="341">
        <v>220</v>
      </c>
      <c r="C56" s="341">
        <v>515.5517578125</v>
      </c>
      <c r="D56" s="341">
        <v>98</v>
      </c>
      <c r="E56" s="341"/>
      <c r="F56" s="341"/>
      <c r="G56" s="341"/>
      <c r="H56" s="341"/>
      <c r="I56" s="341"/>
      <c r="J56" s="341"/>
      <c r="K56" s="341"/>
      <c r="L56" s="341"/>
    </row>
    <row r="57" spans="1:12">
      <c r="A57" s="373">
        <v>93.789473548531532</v>
      </c>
      <c r="B57" s="341">
        <v>142.44674370291378</v>
      </c>
      <c r="C57" s="341">
        <v>570.64239501953125</v>
      </c>
      <c r="D57" s="341">
        <v>83.852630615234375</v>
      </c>
      <c r="E57" s="341"/>
      <c r="F57" s="341"/>
      <c r="G57" s="341"/>
      <c r="H57" s="341"/>
      <c r="I57" s="341"/>
      <c r="J57" s="341"/>
      <c r="K57" s="341"/>
      <c r="L57" s="341"/>
    </row>
    <row r="58" spans="1:12">
      <c r="A58" s="373">
        <v>88.578946888446808</v>
      </c>
      <c r="B58" s="341">
        <v>123.37755170867419</v>
      </c>
      <c r="C58" s="341">
        <v>586.1107177734375</v>
      </c>
      <c r="D58" s="341">
        <v>70.305259704589844</v>
      </c>
      <c r="E58" s="341"/>
      <c r="F58" s="341"/>
      <c r="G58" s="341"/>
      <c r="H58" s="341"/>
      <c r="I58" s="341"/>
      <c r="J58" s="341"/>
      <c r="K58" s="341"/>
      <c r="L58" s="341"/>
    </row>
    <row r="59" spans="1:12">
      <c r="A59" s="373">
        <v>83.368420600891113</v>
      </c>
      <c r="B59" s="341">
        <v>117.44139354373849</v>
      </c>
      <c r="C59" s="341">
        <v>594.76470947265625</v>
      </c>
      <c r="D59" s="341">
        <v>57.410526275634766</v>
      </c>
      <c r="E59" s="341"/>
      <c r="F59" s="341"/>
      <c r="G59" s="341"/>
      <c r="H59" s="341"/>
      <c r="I59" s="341"/>
      <c r="J59" s="341"/>
      <c r="K59" s="341"/>
      <c r="L59" s="341"/>
    </row>
    <row r="60" spans="1:12">
      <c r="A60" s="373">
        <v>72.947368025779724</v>
      </c>
      <c r="B60" s="341">
        <v>115.21027528236266</v>
      </c>
      <c r="C60" s="341">
        <v>607.2066650390625</v>
      </c>
      <c r="D60" s="341">
        <v>38.010524749755859</v>
      </c>
      <c r="E60" s="341"/>
      <c r="F60" s="341"/>
      <c r="G60" s="341"/>
      <c r="H60" s="341"/>
      <c r="I60" s="341"/>
      <c r="J60" s="341"/>
      <c r="K60" s="341"/>
      <c r="L60" s="341"/>
    </row>
    <row r="61" spans="1:12">
      <c r="A61" s="373">
        <v>62.526315450668335</v>
      </c>
      <c r="B61" s="341">
        <v>115.15470795149868</v>
      </c>
      <c r="C61" s="341">
        <v>617.09942626953125</v>
      </c>
      <c r="D61" s="341">
        <v>24.778947830200195</v>
      </c>
      <c r="E61" s="341"/>
      <c r="F61" s="341"/>
      <c r="G61" s="341"/>
      <c r="H61" s="341"/>
      <c r="I61" s="341"/>
      <c r="J61" s="341"/>
      <c r="K61" s="341"/>
      <c r="L61" s="341"/>
    </row>
    <row r="62" spans="1:12">
      <c r="A62" s="373">
        <v>52.105262875556946</v>
      </c>
      <c r="B62" s="341">
        <v>115.09873248291677</v>
      </c>
      <c r="C62" s="341">
        <v>625.02703857421875</v>
      </c>
      <c r="D62" s="341">
        <v>15.684209823608398</v>
      </c>
      <c r="E62" s="341"/>
      <c r="F62" s="341"/>
      <c r="G62" s="341"/>
      <c r="H62" s="341"/>
      <c r="I62" s="341"/>
      <c r="J62" s="341"/>
      <c r="K62" s="341"/>
      <c r="L62" s="341"/>
    </row>
    <row r="63" spans="1:12">
      <c r="A63" s="373">
        <v>41.684210300445557</v>
      </c>
      <c r="B63" s="341">
        <v>115.06491121710769</v>
      </c>
      <c r="C63" s="341">
        <v>631.34478759765625</v>
      </c>
      <c r="D63" s="341">
        <v>9.0105257034301758</v>
      </c>
      <c r="E63" s="341"/>
      <c r="F63" s="341"/>
      <c r="G63" s="341"/>
      <c r="H63" s="341"/>
      <c r="I63" s="341"/>
      <c r="J63" s="341"/>
      <c r="K63" s="341"/>
      <c r="L63" s="341"/>
    </row>
    <row r="64" spans="1:12">
      <c r="A64" s="373">
        <v>31.263160705566406</v>
      </c>
      <c r="B64" s="341">
        <v>115.0369467534141</v>
      </c>
      <c r="C64" s="341">
        <v>636.333251953125</v>
      </c>
      <c r="D64" s="341">
        <v>6.2526321411132813</v>
      </c>
      <c r="E64" s="341"/>
      <c r="F64" s="341"/>
      <c r="G64" s="341"/>
      <c r="H64" s="341"/>
      <c r="I64" s="341"/>
      <c r="J64" s="341"/>
      <c r="K64" s="341"/>
      <c r="L64" s="341"/>
    </row>
    <row r="65" spans="1:12">
      <c r="A65" s="373">
        <v>20.842105150222778</v>
      </c>
      <c r="B65" s="341">
        <v>115.02075614413374</v>
      </c>
      <c r="C65" s="341">
        <v>640.36370849609375</v>
      </c>
      <c r="D65" s="341">
        <v>7.8315787315368652</v>
      </c>
      <c r="E65" s="341"/>
      <c r="F65" s="341"/>
      <c r="G65" s="341"/>
      <c r="H65" s="341"/>
      <c r="I65" s="341"/>
      <c r="J65" s="341"/>
      <c r="K65" s="341"/>
      <c r="L65" s="341"/>
    </row>
    <row r="66" spans="1:12">
      <c r="A66" s="373">
        <v>10.421055555343628</v>
      </c>
      <c r="B66" s="341">
        <v>115.00523207387806</v>
      </c>
      <c r="C66" s="341">
        <v>643.678466796875</v>
      </c>
      <c r="D66" s="341">
        <v>14.70526123046875</v>
      </c>
      <c r="E66" s="341"/>
      <c r="F66" s="341"/>
      <c r="G66" s="341"/>
      <c r="H66" s="341"/>
      <c r="I66" s="341"/>
      <c r="J66" s="341"/>
      <c r="K66" s="341"/>
      <c r="L66" s="341"/>
    </row>
    <row r="67" spans="1:12">
      <c r="A67" s="374">
        <v>0</v>
      </c>
      <c r="B67" s="341">
        <v>115</v>
      </c>
      <c r="C67" s="341">
        <v>646.4566650390625</v>
      </c>
      <c r="D67" s="341">
        <v>30</v>
      </c>
      <c r="E67" s="341"/>
      <c r="F67" s="341"/>
      <c r="G67" s="341"/>
      <c r="H67" s="341"/>
      <c r="I67" s="341"/>
      <c r="J67" s="341"/>
      <c r="K67" s="341"/>
      <c r="L67" s="34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A6" sqref="A6:F10"/>
    </sheetView>
  </sheetViews>
  <sheetFormatPr defaultColWidth="9.140625" defaultRowHeight="12.75"/>
  <cols>
    <col min="1" max="6" width="16.7109375" style="353" customWidth="1"/>
    <col min="7" max="16384" width="9.140625" style="353"/>
  </cols>
  <sheetData>
    <row r="1" spans="1:6" ht="18.95" customHeight="1">
      <c r="A1" s="350"/>
      <c r="B1" s="351"/>
      <c r="C1" s="351"/>
      <c r="D1" s="351"/>
      <c r="E1" s="351"/>
      <c r="F1" s="352"/>
    </row>
    <row r="2" spans="1:6" ht="26.1" customHeight="1">
      <c r="A2" s="354" t="s">
        <v>251</v>
      </c>
      <c r="B2" s="355"/>
      <c r="C2" s="355"/>
      <c r="D2" s="355"/>
      <c r="E2" s="355"/>
      <c r="F2" s="356"/>
    </row>
    <row r="3" spans="1:6" ht="18.95" customHeight="1">
      <c r="A3" s="645" t="s">
        <v>589</v>
      </c>
      <c r="B3" s="646"/>
      <c r="C3" s="646"/>
      <c r="D3" s="646"/>
      <c r="E3" s="646"/>
      <c r="F3" s="647"/>
    </row>
    <row r="4" spans="1:6" ht="18.95" customHeight="1">
      <c r="A4" s="648" t="s">
        <v>590</v>
      </c>
      <c r="B4" s="649"/>
      <c r="C4" s="649"/>
      <c r="D4" s="649"/>
      <c r="E4" s="649"/>
      <c r="F4" s="650"/>
    </row>
    <row r="5" spans="1:6" ht="18.95" customHeight="1">
      <c r="A5" s="358"/>
      <c r="B5" s="359"/>
      <c r="C5" s="359"/>
      <c r="D5" s="359"/>
      <c r="E5" s="359"/>
      <c r="F5" s="360"/>
    </row>
    <row r="6" spans="1:6" ht="18.95" customHeight="1">
      <c r="A6" s="361" t="s">
        <v>382</v>
      </c>
      <c r="B6" s="642" t="str">
        <f>'Performance Data Sheet'!C17</f>
        <v>M204FTQL11E-C</v>
      </c>
      <c r="C6" s="643"/>
      <c r="D6" s="644"/>
      <c r="E6" s="361" t="s">
        <v>383</v>
      </c>
      <c r="F6" s="362" t="str">
        <f>'Performance Data Sheet'!I14 &amp; " A"</f>
        <v>220/127 A</v>
      </c>
    </row>
    <row r="7" spans="1:6" ht="18.95" customHeight="1">
      <c r="A7" s="361" t="s">
        <v>384</v>
      </c>
      <c r="B7" s="362" t="str">
        <f>'Performance Data Sheet'!F14</f>
        <v>TEFC</v>
      </c>
      <c r="C7" s="361" t="s">
        <v>385</v>
      </c>
      <c r="D7" s="362" t="str">
        <f>'Performance Data Sheet'!F13 &amp; " V"</f>
        <v>2300/4000 V</v>
      </c>
      <c r="E7" s="361" t="s">
        <v>386</v>
      </c>
      <c r="F7" s="362" t="str">
        <f>'Performance Data Sheet'!C14</f>
        <v>6811US</v>
      </c>
    </row>
    <row r="8" spans="1:6" ht="18.95" customHeight="1">
      <c r="A8" s="361" t="s">
        <v>387</v>
      </c>
      <c r="B8" s="362">
        <v>4</v>
      </c>
      <c r="C8" s="361" t="s">
        <v>388</v>
      </c>
      <c r="D8" s="362" t="s">
        <v>389</v>
      </c>
      <c r="E8" s="361" t="s">
        <v>390</v>
      </c>
      <c r="F8" s="362" t="s">
        <v>343</v>
      </c>
    </row>
    <row r="9" spans="1:6" ht="18.95" customHeight="1">
      <c r="A9" s="361" t="s">
        <v>391</v>
      </c>
      <c r="B9" s="362">
        <v>1000</v>
      </c>
      <c r="C9" s="361" t="s">
        <v>392</v>
      </c>
      <c r="D9" s="362" t="s">
        <v>404</v>
      </c>
      <c r="E9" s="361" t="s">
        <v>2</v>
      </c>
      <c r="F9" s="363">
        <f>'Performance Data Sheet'!K44</f>
        <v>45306</v>
      </c>
    </row>
    <row r="10" spans="1:6" ht="18.95" customHeight="1">
      <c r="A10" s="361" t="s">
        <v>393</v>
      </c>
      <c r="B10" s="362">
        <v>1789</v>
      </c>
      <c r="C10" s="361" t="s">
        <v>373</v>
      </c>
      <c r="D10" s="362" t="s">
        <v>394</v>
      </c>
      <c r="E10" s="361" t="s">
        <v>1</v>
      </c>
      <c r="F10" s="362" t="s">
        <v>360</v>
      </c>
    </row>
    <row r="11" spans="1:6" ht="18.95" customHeight="1">
      <c r="A11" s="358"/>
      <c r="B11" s="359"/>
      <c r="C11" s="359"/>
      <c r="D11" s="359"/>
      <c r="E11" s="359"/>
      <c r="F11" s="360"/>
    </row>
    <row r="12" spans="1:6" ht="18.95" customHeight="1">
      <c r="A12" s="358"/>
      <c r="B12" s="364"/>
      <c r="C12" s="365"/>
      <c r="D12" s="364"/>
      <c r="E12" s="365"/>
      <c r="F12" s="360"/>
    </row>
    <row r="13" spans="1:6" ht="18.95" customHeight="1">
      <c r="A13" s="358"/>
      <c r="B13" s="364"/>
      <c r="C13" s="366"/>
      <c r="D13" s="364"/>
      <c r="E13" s="365"/>
      <c r="F13" s="360"/>
    </row>
    <row r="14" spans="1:6" ht="18.95" customHeight="1">
      <c r="A14" s="358"/>
      <c r="B14" s="364"/>
      <c r="C14" s="366"/>
      <c r="D14" s="364"/>
      <c r="E14" s="365"/>
      <c r="F14" s="360"/>
    </row>
    <row r="15" spans="1:6" ht="18.95" customHeight="1">
      <c r="A15" s="358"/>
      <c r="B15" s="364"/>
      <c r="C15" s="365"/>
      <c r="D15" s="359"/>
      <c r="E15" s="359"/>
      <c r="F15" s="360"/>
    </row>
    <row r="16" spans="1:6" ht="18.95" customHeight="1">
      <c r="A16" s="358"/>
      <c r="B16" s="359"/>
      <c r="C16" s="359"/>
      <c r="D16" s="359"/>
      <c r="E16" s="359"/>
      <c r="F16" s="360"/>
    </row>
    <row r="17" spans="1:6" ht="18.95" customHeight="1">
      <c r="A17" s="358"/>
      <c r="B17" s="359"/>
      <c r="C17" s="359"/>
      <c r="D17" s="359"/>
      <c r="E17" s="359"/>
      <c r="F17" s="360"/>
    </row>
    <row r="18" spans="1:6" ht="18.95" customHeight="1">
      <c r="A18" s="358"/>
      <c r="B18" s="359"/>
      <c r="C18" s="359"/>
      <c r="D18" s="359"/>
      <c r="E18" s="359"/>
      <c r="F18" s="360"/>
    </row>
    <row r="19" spans="1:6" ht="18.95" customHeight="1">
      <c r="A19" s="358"/>
      <c r="B19" s="359"/>
      <c r="C19" s="359"/>
      <c r="D19" s="359"/>
      <c r="E19" s="359"/>
      <c r="F19" s="360"/>
    </row>
    <row r="20" spans="1:6" ht="18.95" customHeight="1">
      <c r="A20" s="358"/>
      <c r="B20" s="359"/>
      <c r="C20" s="359"/>
      <c r="D20" s="359"/>
      <c r="E20" s="359"/>
      <c r="F20" s="360"/>
    </row>
    <row r="21" spans="1:6" ht="18.95" customHeight="1">
      <c r="A21" s="358"/>
      <c r="B21" s="359"/>
      <c r="C21" s="359"/>
      <c r="D21" s="359"/>
      <c r="E21" s="359"/>
      <c r="F21" s="360"/>
    </row>
    <row r="22" spans="1:6" ht="18.95" customHeight="1">
      <c r="A22" s="358"/>
      <c r="B22" s="359"/>
      <c r="C22" s="359"/>
      <c r="D22" s="359"/>
      <c r="E22" s="359"/>
      <c r="F22" s="360"/>
    </row>
    <row r="23" spans="1:6" ht="18.95" customHeight="1">
      <c r="A23" s="358"/>
      <c r="B23" s="359"/>
      <c r="C23" s="359"/>
      <c r="D23" s="359"/>
      <c r="E23" s="359"/>
      <c r="F23" s="360"/>
    </row>
    <row r="24" spans="1:6" ht="18.95" customHeight="1">
      <c r="A24" s="358"/>
      <c r="B24" s="359"/>
      <c r="C24" s="359"/>
      <c r="D24" s="359"/>
      <c r="E24" s="359"/>
      <c r="F24" s="360"/>
    </row>
    <row r="25" spans="1:6" ht="18.95" customHeight="1">
      <c r="A25" s="358"/>
      <c r="B25" s="359"/>
      <c r="C25" s="359"/>
      <c r="D25" s="359"/>
      <c r="E25" s="359"/>
      <c r="F25" s="360"/>
    </row>
    <row r="26" spans="1:6" ht="18.95" customHeight="1">
      <c r="A26" s="358"/>
      <c r="B26" s="359"/>
      <c r="C26" s="359"/>
      <c r="D26" s="359"/>
      <c r="E26" s="359"/>
      <c r="F26" s="360"/>
    </row>
    <row r="27" spans="1:6" ht="18.95" customHeight="1">
      <c r="A27" s="358"/>
      <c r="B27" s="359"/>
      <c r="C27" s="359"/>
      <c r="D27" s="359"/>
      <c r="E27" s="359"/>
      <c r="F27" s="360"/>
    </row>
    <row r="28" spans="1:6" ht="18.95" customHeight="1">
      <c r="A28" s="358"/>
      <c r="B28" s="359"/>
      <c r="C28" s="359"/>
      <c r="D28" s="359"/>
      <c r="E28" s="359"/>
      <c r="F28" s="360"/>
    </row>
    <row r="29" spans="1:6" ht="18.95" customHeight="1">
      <c r="A29" s="358"/>
      <c r="B29" s="359"/>
      <c r="C29" s="359"/>
      <c r="D29" s="359"/>
      <c r="E29" s="359"/>
      <c r="F29" s="360"/>
    </row>
    <row r="30" spans="1:6" ht="18.95" customHeight="1">
      <c r="A30" s="358"/>
      <c r="B30" s="359"/>
      <c r="C30" s="359"/>
      <c r="D30" s="359"/>
      <c r="E30" s="359"/>
      <c r="F30" s="360"/>
    </row>
    <row r="31" spans="1:6" ht="18.95" customHeight="1">
      <c r="A31" s="358"/>
      <c r="B31" s="359"/>
      <c r="C31" s="359"/>
      <c r="D31" s="359"/>
      <c r="E31" s="359"/>
      <c r="F31" s="360"/>
    </row>
    <row r="32" spans="1:6" ht="18.95" customHeight="1">
      <c r="A32" s="358"/>
      <c r="B32" s="359"/>
      <c r="C32" s="359"/>
      <c r="D32" s="359"/>
      <c r="E32" s="359"/>
      <c r="F32" s="360"/>
    </row>
    <row r="33" spans="1:6" ht="18.95" customHeight="1">
      <c r="A33" s="358"/>
      <c r="B33" s="359"/>
      <c r="C33" s="359"/>
      <c r="D33" s="359"/>
      <c r="E33" s="359"/>
      <c r="F33" s="360"/>
    </row>
    <row r="34" spans="1:6" ht="18.95" customHeight="1">
      <c r="A34" s="358"/>
      <c r="B34" s="359"/>
      <c r="C34" s="359"/>
      <c r="D34" s="359"/>
      <c r="E34" s="359"/>
      <c r="F34" s="360"/>
    </row>
    <row r="35" spans="1:6" ht="18.95" customHeight="1">
      <c r="A35" s="358"/>
      <c r="B35" s="359"/>
      <c r="C35" s="359"/>
      <c r="D35" s="359"/>
      <c r="E35" s="359"/>
      <c r="F35" s="360"/>
    </row>
    <row r="36" spans="1:6" ht="18.95" customHeight="1">
      <c r="A36" s="358"/>
      <c r="B36" s="359"/>
      <c r="C36" s="359"/>
      <c r="D36" s="359"/>
      <c r="E36" s="359"/>
      <c r="F36" s="360"/>
    </row>
    <row r="37" spans="1:6" ht="18.95" customHeight="1">
      <c r="A37" s="358"/>
      <c r="B37" s="359"/>
      <c r="C37" s="359"/>
      <c r="D37" s="359"/>
      <c r="E37" s="359"/>
      <c r="F37" s="360"/>
    </row>
    <row r="38" spans="1:6" ht="18.95" customHeight="1">
      <c r="A38" s="358"/>
      <c r="B38" s="359"/>
      <c r="C38" s="359"/>
      <c r="D38" s="359"/>
      <c r="E38" s="359"/>
      <c r="F38" s="360"/>
    </row>
    <row r="39" spans="1:6" ht="18.95" customHeight="1">
      <c r="A39" s="367" t="s">
        <v>399</v>
      </c>
      <c r="B39" s="368" t="s">
        <v>351</v>
      </c>
      <c r="C39" s="532">
        <f>'Performance Data Sheet'!C10</f>
        <v>0</v>
      </c>
      <c r="D39" s="359"/>
      <c r="E39" s="364" t="s">
        <v>400</v>
      </c>
      <c r="F39" s="369" t="str">
        <f>F10</f>
        <v>CS4M20U</v>
      </c>
    </row>
    <row r="40" spans="1:6" ht="18.95" customHeight="1">
      <c r="A40" s="358"/>
      <c r="B40" s="368"/>
      <c r="C40" s="368"/>
      <c r="D40" s="359"/>
      <c r="E40" s="359"/>
      <c r="F40" s="360"/>
    </row>
    <row r="41" spans="1:6" ht="18.95" customHeight="1">
      <c r="A41" s="358"/>
      <c r="B41" s="368"/>
      <c r="C41" s="368"/>
      <c r="D41" s="359"/>
      <c r="E41" s="359"/>
      <c r="F41" s="360"/>
    </row>
    <row r="42" spans="1:6" ht="18.95" customHeight="1">
      <c r="A42" s="358"/>
      <c r="B42" s="359"/>
      <c r="C42" s="359"/>
      <c r="D42" s="359"/>
      <c r="E42" s="359"/>
      <c r="F42" s="360"/>
    </row>
    <row r="43" spans="1:6" ht="18.95" customHeight="1">
      <c r="A43" s="370"/>
      <c r="B43" s="368"/>
      <c r="C43" s="371" t="s">
        <v>401</v>
      </c>
      <c r="D43" s="372" t="str">
        <f>'Performance Data Sheet'!K42</f>
        <v>Jerry R</v>
      </c>
      <c r="E43" s="371" t="s">
        <v>402</v>
      </c>
      <c r="F43" s="372" t="s">
        <v>638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87" t="e">
        <f>5252.1*B50/D53</f>
        <v>#DIV/0!</v>
      </c>
      <c r="G50" s="387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88"/>
    </row>
    <row r="63" spans="6:9">
      <c r="I63" s="353" t="s">
        <v>39</v>
      </c>
    </row>
    <row r="66" spans="1:6">
      <c r="D66" s="387" t="e">
        <f>D65/D64</f>
        <v>#DIV/0!</v>
      </c>
    </row>
    <row r="67" spans="1:6">
      <c r="A67" s="389" t="s">
        <v>369</v>
      </c>
      <c r="B67" s="389" t="s">
        <v>591</v>
      </c>
      <c r="C67" s="389" t="s">
        <v>592</v>
      </c>
      <c r="E67" s="389" t="s">
        <v>593</v>
      </c>
      <c r="F67" s="389" t="s">
        <v>594</v>
      </c>
    </row>
    <row r="68" spans="1:6">
      <c r="A68" s="390">
        <v>646.45669291338584</v>
      </c>
      <c r="B68" s="391">
        <v>35</v>
      </c>
      <c r="C68" s="391">
        <v>15</v>
      </c>
      <c r="E68" s="390">
        <f>A68</f>
        <v>646.45669291338584</v>
      </c>
      <c r="F68" s="391">
        <v>1E-4</v>
      </c>
    </row>
    <row r="69" spans="1:6">
      <c r="A69" s="390">
        <f>FLOOR(A68,100)</f>
        <v>600</v>
      </c>
      <c r="B69" s="391">
        <f>((A68/A69)^2)*B68</f>
        <v>40.629774870660846</v>
      </c>
      <c r="C69" s="391">
        <f>((A68/A69)^2)*C68</f>
        <v>17.412760658854648</v>
      </c>
      <c r="E69" s="390">
        <v>645.03937007874015</v>
      </c>
      <c r="F69" s="391">
        <v>0.9779999852180481</v>
      </c>
    </row>
    <row r="70" spans="1:6">
      <c r="A70" s="390">
        <f>A69-100</f>
        <v>500</v>
      </c>
      <c r="B70" s="391">
        <f>((A68/A70)^2)*B68</f>
        <v>58.506875813751627</v>
      </c>
      <c r="C70" s="391">
        <f>((A68/A70)^2)*C68</f>
        <v>25.074375348750696</v>
      </c>
      <c r="E70" s="390">
        <v>642.04724409448818</v>
      </c>
      <c r="F70" s="391">
        <v>1.8509999513626099</v>
      </c>
    </row>
    <row r="71" spans="1:6">
      <c r="A71" s="390">
        <f>A70-100</f>
        <v>400</v>
      </c>
      <c r="B71" s="391">
        <f>((A68/A71)^2)*B68</f>
        <v>91.416993458986923</v>
      </c>
      <c r="C71" s="391">
        <f>((A68/A71)^2)*C68</f>
        <v>39.178711482422969</v>
      </c>
      <c r="E71" s="390">
        <v>638.34645669291342</v>
      </c>
      <c r="F71" s="391">
        <v>2.690000057220459</v>
      </c>
    </row>
    <row r="72" spans="1:6">
      <c r="A72" s="390">
        <f>A71-100</f>
        <v>300</v>
      </c>
      <c r="B72" s="391">
        <f>((A68/A72)^2)*B68</f>
        <v>162.51909948264338</v>
      </c>
      <c r="C72" s="391"/>
      <c r="E72" s="390">
        <v>633.85826771653547</v>
      </c>
      <c r="F72" s="391">
        <v>3.5329999923706055</v>
      </c>
    </row>
    <row r="73" spans="1:6">
      <c r="A73" s="390">
        <f>A72-100</f>
        <v>200</v>
      </c>
      <c r="B73" s="391">
        <f>((A68/A73)^2)*B68</f>
        <v>365.66797383594769</v>
      </c>
      <c r="C73" s="391"/>
      <c r="E73" s="390">
        <v>628.18897637795271</v>
      </c>
      <c r="F73" s="391">
        <v>4.4149999618530273</v>
      </c>
    </row>
    <row r="74" spans="1:6">
      <c r="A74" s="390">
        <v>220</v>
      </c>
      <c r="B74" s="391">
        <f>((A68/A74)^2)*B68</f>
        <v>302.20493705450224</v>
      </c>
      <c r="C74" s="391">
        <f>((A68/A74)^2)*C68</f>
        <v>129.51640159478666</v>
      </c>
      <c r="E74" s="390">
        <v>621.10236220472439</v>
      </c>
      <c r="F74" s="391">
        <v>5.3689999580383301</v>
      </c>
    </row>
    <row r="75" spans="1:6">
      <c r="A75" s="392">
        <v>180</v>
      </c>
      <c r="B75" s="391">
        <f>((A68/A75)^2)*B69</f>
        <v>524.05670033034414</v>
      </c>
      <c r="C75" s="391">
        <f>((A68/A75)^2)*C68</f>
        <v>193.47511843171836</v>
      </c>
      <c r="E75" s="390">
        <v>612.12598425196848</v>
      </c>
      <c r="F75" s="391">
        <v>6.4499998092651367</v>
      </c>
    </row>
    <row r="76" spans="1:6">
      <c r="A76" s="392">
        <v>120</v>
      </c>
      <c r="B76" s="391">
        <f>((A68/A76)^2)*B68</f>
        <v>1015.7443717665213</v>
      </c>
      <c r="C76" s="391">
        <f>((A68/A76)^2)*C68</f>
        <v>435.3190164713663</v>
      </c>
      <c r="E76" s="390">
        <v>601.02362204724409</v>
      </c>
      <c r="F76" s="391">
        <v>7.7699999809265137</v>
      </c>
    </row>
    <row r="77" spans="1:6">
      <c r="A77" s="392">
        <v>110</v>
      </c>
      <c r="B77" s="391"/>
      <c r="C77" s="390">
        <f>CEILING(C76*2,100)</f>
        <v>900</v>
      </c>
      <c r="E77" s="390">
        <v>590.4724409448819</v>
      </c>
      <c r="F77" s="391">
        <v>8.5699996948242188</v>
      </c>
    </row>
    <row r="78" spans="1:6">
      <c r="A78" s="392">
        <v>110</v>
      </c>
      <c r="B78" s="391"/>
      <c r="C78" s="390">
        <f>2*C77</f>
        <v>1800</v>
      </c>
      <c r="E78" s="390">
        <v>578.34645669291342</v>
      </c>
      <c r="F78" s="391">
        <v>9.3809995651245117</v>
      </c>
    </row>
    <row r="79" spans="1:6">
      <c r="A79" s="392">
        <v>110</v>
      </c>
      <c r="B79" s="392"/>
      <c r="C79" s="392">
        <v>10000</v>
      </c>
      <c r="E79" s="390">
        <v>543.07086614173227</v>
      </c>
      <c r="F79" s="391">
        <v>9.8819999694824219</v>
      </c>
    </row>
    <row r="80" spans="1:6">
      <c r="E80" s="390">
        <v>360.15748031496065</v>
      </c>
      <c r="F80" s="391">
        <v>9.9560003280639648</v>
      </c>
    </row>
    <row r="81" spans="5:6">
      <c r="E81" s="390">
        <v>0</v>
      </c>
      <c r="F81" s="391">
        <v>10.009000778198242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C85B-092C-4035-BD76-0B98CA648FB1}">
  <sheetPr>
    <pageSetUpPr fitToPage="1"/>
  </sheetPr>
  <dimension ref="A1:H67"/>
  <sheetViews>
    <sheetView topLeftCell="A30" workbookViewId="0">
      <selection activeCell="J44" sqref="J44"/>
    </sheetView>
  </sheetViews>
  <sheetFormatPr defaultRowHeight="12.75"/>
  <cols>
    <col min="1" max="6" width="16.7109375" customWidth="1"/>
    <col min="257" max="262" width="16.7109375" customWidth="1"/>
    <col min="513" max="518" width="16.7109375" customWidth="1"/>
    <col min="769" max="774" width="16.7109375" customWidth="1"/>
    <col min="1025" max="1030" width="16.7109375" customWidth="1"/>
    <col min="1281" max="1286" width="16.7109375" customWidth="1"/>
    <col min="1537" max="1542" width="16.7109375" customWidth="1"/>
    <col min="1793" max="1798" width="16.7109375" customWidth="1"/>
    <col min="2049" max="2054" width="16.7109375" customWidth="1"/>
    <col min="2305" max="2310" width="16.7109375" customWidth="1"/>
    <col min="2561" max="2566" width="16.7109375" customWidth="1"/>
    <col min="2817" max="2822" width="16.7109375" customWidth="1"/>
    <col min="3073" max="3078" width="16.7109375" customWidth="1"/>
    <col min="3329" max="3334" width="16.7109375" customWidth="1"/>
    <col min="3585" max="3590" width="16.7109375" customWidth="1"/>
    <col min="3841" max="3846" width="16.7109375" customWidth="1"/>
    <col min="4097" max="4102" width="16.7109375" customWidth="1"/>
    <col min="4353" max="4358" width="16.7109375" customWidth="1"/>
    <col min="4609" max="4614" width="16.7109375" customWidth="1"/>
    <col min="4865" max="4870" width="16.7109375" customWidth="1"/>
    <col min="5121" max="5126" width="16.7109375" customWidth="1"/>
    <col min="5377" max="5382" width="16.7109375" customWidth="1"/>
    <col min="5633" max="5638" width="16.7109375" customWidth="1"/>
    <col min="5889" max="5894" width="16.7109375" customWidth="1"/>
    <col min="6145" max="6150" width="16.7109375" customWidth="1"/>
    <col min="6401" max="6406" width="16.7109375" customWidth="1"/>
    <col min="6657" max="6662" width="16.7109375" customWidth="1"/>
    <col min="6913" max="6918" width="16.7109375" customWidth="1"/>
    <col min="7169" max="7174" width="16.7109375" customWidth="1"/>
    <col min="7425" max="7430" width="16.7109375" customWidth="1"/>
    <col min="7681" max="7686" width="16.7109375" customWidth="1"/>
    <col min="7937" max="7942" width="16.7109375" customWidth="1"/>
    <col min="8193" max="8198" width="16.7109375" customWidth="1"/>
    <col min="8449" max="8454" width="16.7109375" customWidth="1"/>
    <col min="8705" max="8710" width="16.7109375" customWidth="1"/>
    <col min="8961" max="8966" width="16.7109375" customWidth="1"/>
    <col min="9217" max="9222" width="16.7109375" customWidth="1"/>
    <col min="9473" max="9478" width="16.7109375" customWidth="1"/>
    <col min="9729" max="9734" width="16.7109375" customWidth="1"/>
    <col min="9985" max="9990" width="16.7109375" customWidth="1"/>
    <col min="10241" max="10246" width="16.7109375" customWidth="1"/>
    <col min="10497" max="10502" width="16.7109375" customWidth="1"/>
    <col min="10753" max="10758" width="16.7109375" customWidth="1"/>
    <col min="11009" max="11014" width="16.7109375" customWidth="1"/>
    <col min="11265" max="11270" width="16.7109375" customWidth="1"/>
    <col min="11521" max="11526" width="16.7109375" customWidth="1"/>
    <col min="11777" max="11782" width="16.7109375" customWidth="1"/>
    <col min="12033" max="12038" width="16.7109375" customWidth="1"/>
    <col min="12289" max="12294" width="16.7109375" customWidth="1"/>
    <col min="12545" max="12550" width="16.7109375" customWidth="1"/>
    <col min="12801" max="12806" width="16.7109375" customWidth="1"/>
    <col min="13057" max="13062" width="16.7109375" customWidth="1"/>
    <col min="13313" max="13318" width="16.7109375" customWidth="1"/>
    <col min="13569" max="13574" width="16.7109375" customWidth="1"/>
    <col min="13825" max="13830" width="16.7109375" customWidth="1"/>
    <col min="14081" max="14086" width="16.7109375" customWidth="1"/>
    <col min="14337" max="14342" width="16.7109375" customWidth="1"/>
    <col min="14593" max="14598" width="16.7109375" customWidth="1"/>
    <col min="14849" max="14854" width="16.7109375" customWidth="1"/>
    <col min="15105" max="15110" width="16.7109375" customWidth="1"/>
    <col min="15361" max="15366" width="16.7109375" customWidth="1"/>
    <col min="15617" max="15622" width="16.7109375" customWidth="1"/>
    <col min="15873" max="15878" width="16.7109375" customWidth="1"/>
    <col min="16129" max="16134" width="16.7109375" customWidth="1"/>
  </cols>
  <sheetData>
    <row r="1" spans="1:6" ht="18.95" customHeight="1">
      <c r="A1" s="511"/>
      <c r="B1" s="512"/>
      <c r="C1" s="512"/>
      <c r="D1" s="512"/>
      <c r="E1" s="512"/>
      <c r="F1" s="513"/>
    </row>
    <row r="2" spans="1:6" ht="26.1" customHeight="1">
      <c r="A2" s="514" t="s">
        <v>251</v>
      </c>
      <c r="B2" s="515"/>
      <c r="C2" s="515"/>
      <c r="D2" s="515"/>
      <c r="E2" s="515"/>
      <c r="F2" s="516"/>
    </row>
    <row r="3" spans="1:6" ht="18.95" customHeight="1">
      <c r="A3" s="517" t="s">
        <v>752</v>
      </c>
      <c r="B3" s="515"/>
      <c r="C3" s="515"/>
      <c r="D3" s="515"/>
      <c r="E3" s="515"/>
      <c r="F3" s="516"/>
    </row>
    <row r="4" spans="1:6" ht="18.95" customHeight="1">
      <c r="A4" s="651" t="s">
        <v>590</v>
      </c>
      <c r="B4" s="652"/>
      <c r="C4" s="652"/>
      <c r="D4" s="652"/>
      <c r="E4" s="652"/>
      <c r="F4" s="653"/>
    </row>
    <row r="5" spans="1:6" ht="18.95" customHeight="1">
      <c r="A5" s="518"/>
      <c r="B5" s="519"/>
      <c r="C5" s="519"/>
      <c r="D5" s="519"/>
      <c r="E5" s="519"/>
      <c r="F5" s="520"/>
    </row>
    <row r="6" spans="1:6" ht="18.95" customHeight="1">
      <c r="A6" s="361" t="s">
        <v>382</v>
      </c>
      <c r="B6" s="642" t="str">
        <f>'Performance Data Sheet'!C17</f>
        <v>M204FTQL11E-C</v>
      </c>
      <c r="C6" s="643"/>
      <c r="D6" s="644"/>
      <c r="E6" s="361" t="s">
        <v>383</v>
      </c>
      <c r="F6" s="362" t="s">
        <v>754</v>
      </c>
    </row>
    <row r="7" spans="1:6" ht="18.95" customHeight="1">
      <c r="A7" s="361" t="s">
        <v>384</v>
      </c>
      <c r="B7" s="362" t="str">
        <f>'Performance Data Sheet'!F14</f>
        <v>TEFC</v>
      </c>
      <c r="C7" s="361" t="s">
        <v>385</v>
      </c>
      <c r="D7" s="362" t="s">
        <v>403</v>
      </c>
      <c r="E7" s="361" t="s">
        <v>386</v>
      </c>
      <c r="F7" s="362" t="str">
        <f>'Performance Data Sheet'!C14</f>
        <v>6811US</v>
      </c>
    </row>
    <row r="8" spans="1:6" ht="18.95" customHeight="1">
      <c r="A8" s="361" t="s">
        <v>387</v>
      </c>
      <c r="B8" s="362">
        <v>4</v>
      </c>
      <c r="C8" s="361" t="s">
        <v>388</v>
      </c>
      <c r="D8" s="362" t="s">
        <v>389</v>
      </c>
      <c r="E8" s="361" t="s">
        <v>390</v>
      </c>
      <c r="F8" s="362" t="s">
        <v>343</v>
      </c>
    </row>
    <row r="9" spans="1:6" ht="18.95" customHeight="1">
      <c r="A9" s="361" t="s">
        <v>391</v>
      </c>
      <c r="B9" s="362">
        <v>1000</v>
      </c>
      <c r="C9" s="361" t="s">
        <v>392</v>
      </c>
      <c r="D9" s="362" t="s">
        <v>404</v>
      </c>
      <c r="E9" s="361" t="s">
        <v>2</v>
      </c>
      <c r="F9" s="363">
        <f>'Performance Data Sheet'!K44</f>
        <v>45306</v>
      </c>
    </row>
    <row r="10" spans="1:6" ht="18.95" customHeight="1">
      <c r="A10" s="361" t="s">
        <v>393</v>
      </c>
      <c r="B10" s="362">
        <v>1789</v>
      </c>
      <c r="C10" s="361" t="s">
        <v>373</v>
      </c>
      <c r="D10" s="362" t="s">
        <v>394</v>
      </c>
      <c r="E10" s="361" t="s">
        <v>1</v>
      </c>
      <c r="F10" s="362" t="s">
        <v>360</v>
      </c>
    </row>
    <row r="11" spans="1:6" ht="18.95" customHeight="1">
      <c r="A11" s="358"/>
      <c r="B11" s="359"/>
      <c r="C11" s="359"/>
      <c r="D11" s="359"/>
      <c r="E11" s="359"/>
      <c r="F11" s="360"/>
    </row>
    <row r="12" spans="1:6" ht="18.95" customHeight="1">
      <c r="A12" s="358"/>
      <c r="B12" s="364" t="s">
        <v>395</v>
      </c>
      <c r="C12" s="365" t="s">
        <v>406</v>
      </c>
      <c r="D12" s="364" t="s">
        <v>372</v>
      </c>
      <c r="E12" s="365" t="s">
        <v>394</v>
      </c>
      <c r="F12" s="360"/>
    </row>
    <row r="13" spans="1:6" ht="18.95" customHeight="1">
      <c r="A13" s="358"/>
      <c r="B13" s="364" t="s">
        <v>396</v>
      </c>
      <c r="C13" s="366">
        <v>1.1499999999999999</v>
      </c>
      <c r="D13" s="364" t="s">
        <v>397</v>
      </c>
      <c r="E13" s="365" t="s">
        <v>394</v>
      </c>
      <c r="F13" s="360"/>
    </row>
    <row r="14" spans="1:6" ht="18.95" customHeight="1">
      <c r="A14" s="358"/>
      <c r="B14" s="364" t="s">
        <v>398</v>
      </c>
      <c r="C14" s="366">
        <v>2.2000000000000002</v>
      </c>
      <c r="D14" s="364" t="s">
        <v>374</v>
      </c>
      <c r="E14" s="365" t="s">
        <v>394</v>
      </c>
      <c r="F14" s="360"/>
    </row>
    <row r="15" spans="1:6" ht="18.95" customHeight="1">
      <c r="A15" s="358"/>
      <c r="B15" s="364" t="s">
        <v>375</v>
      </c>
      <c r="C15" s="365" t="s">
        <v>405</v>
      </c>
      <c r="D15" s="359"/>
      <c r="E15" s="359"/>
      <c r="F15" s="360"/>
    </row>
    <row r="16" spans="1:6" ht="18.95" customHeight="1">
      <c r="A16" s="518"/>
      <c r="B16" s="519"/>
      <c r="C16" s="519"/>
      <c r="D16" s="519"/>
      <c r="E16" s="519"/>
      <c r="F16" s="520"/>
    </row>
    <row r="17" spans="1:8" ht="18.95" customHeight="1">
      <c r="A17" s="518"/>
      <c r="B17" s="519"/>
      <c r="C17" s="519"/>
      <c r="D17" s="519"/>
      <c r="E17" s="519"/>
      <c r="F17" s="520"/>
    </row>
    <row r="18" spans="1:8" ht="18.95" customHeight="1">
      <c r="A18" s="518"/>
      <c r="B18" s="519"/>
      <c r="C18" s="519"/>
      <c r="D18" s="519"/>
      <c r="E18" s="519"/>
      <c r="F18" s="520"/>
    </row>
    <row r="19" spans="1:8" ht="18.95" customHeight="1">
      <c r="A19" s="518"/>
      <c r="B19" s="519"/>
      <c r="C19" s="519"/>
      <c r="D19" s="519"/>
      <c r="E19" s="519"/>
      <c r="F19" s="520"/>
    </row>
    <row r="20" spans="1:8" ht="18.95" customHeight="1">
      <c r="A20" s="518"/>
      <c r="B20" s="519"/>
      <c r="C20" s="519"/>
      <c r="D20" s="519"/>
      <c r="E20" s="519"/>
      <c r="F20" s="520"/>
    </row>
    <row r="21" spans="1:8" ht="18.95" customHeight="1">
      <c r="A21" s="518"/>
      <c r="B21" s="519"/>
      <c r="C21" s="519"/>
      <c r="D21" s="519"/>
      <c r="E21" s="519"/>
      <c r="F21" s="520"/>
    </row>
    <row r="22" spans="1:8" ht="18.95" customHeight="1">
      <c r="A22" s="518"/>
      <c r="B22" s="519"/>
      <c r="C22" s="519"/>
      <c r="D22" s="519"/>
      <c r="E22" s="519"/>
      <c r="F22" s="520"/>
    </row>
    <row r="23" spans="1:8" ht="18.95" customHeight="1">
      <c r="A23" s="518"/>
      <c r="B23" s="519"/>
      <c r="C23" s="519"/>
      <c r="D23" s="519"/>
      <c r="E23" s="519"/>
      <c r="F23" s="520"/>
    </row>
    <row r="24" spans="1:8" ht="18.95" customHeight="1">
      <c r="A24" s="518"/>
      <c r="B24" s="519"/>
      <c r="C24" s="519"/>
      <c r="D24" s="519"/>
      <c r="E24" s="519"/>
      <c r="F24" s="520"/>
      <c r="H24" s="521"/>
    </row>
    <row r="25" spans="1:8" ht="18.95" customHeight="1">
      <c r="A25" s="518"/>
      <c r="B25" s="519"/>
      <c r="C25" s="519"/>
      <c r="D25" s="519"/>
      <c r="E25" s="519"/>
      <c r="F25" s="520"/>
    </row>
    <row r="26" spans="1:8" ht="18.95" customHeight="1">
      <c r="A26" s="518"/>
      <c r="B26" s="519"/>
      <c r="C26" s="519"/>
      <c r="D26" s="519"/>
      <c r="E26" s="519"/>
      <c r="F26" s="520"/>
    </row>
    <row r="27" spans="1:8" ht="18.95" customHeight="1">
      <c r="A27" s="518"/>
      <c r="B27" s="519"/>
      <c r="C27" s="519"/>
      <c r="D27" s="519"/>
      <c r="E27" s="519"/>
      <c r="F27" s="520"/>
    </row>
    <row r="28" spans="1:8" ht="18.95" customHeight="1">
      <c r="A28" s="518"/>
      <c r="B28" s="519"/>
      <c r="C28" s="519"/>
      <c r="D28" s="519"/>
      <c r="E28" s="519"/>
      <c r="F28" s="520"/>
    </row>
    <row r="29" spans="1:8" ht="18.95" customHeight="1">
      <c r="A29" s="518"/>
      <c r="B29" s="519"/>
      <c r="C29" s="519"/>
      <c r="D29" s="519"/>
      <c r="E29" s="519"/>
      <c r="F29" s="520"/>
    </row>
    <row r="30" spans="1:8" ht="18.95" customHeight="1">
      <c r="A30" s="518"/>
      <c r="B30" s="519"/>
      <c r="C30" s="519"/>
      <c r="D30" s="519"/>
      <c r="E30" s="519"/>
      <c r="F30" s="520"/>
    </row>
    <row r="31" spans="1:8" ht="18.95" customHeight="1">
      <c r="A31" s="518"/>
      <c r="B31" s="519"/>
      <c r="C31" s="519"/>
      <c r="D31" s="519"/>
      <c r="E31" s="519"/>
      <c r="F31" s="520"/>
    </row>
    <row r="32" spans="1:8" ht="18.95" customHeight="1">
      <c r="A32" s="518"/>
      <c r="B32" s="519"/>
      <c r="C32" s="519"/>
      <c r="D32" s="519"/>
      <c r="E32" s="519"/>
      <c r="F32" s="520"/>
    </row>
    <row r="33" spans="1:6" ht="18.95" customHeight="1">
      <c r="A33" s="518"/>
      <c r="B33" s="519"/>
      <c r="C33" s="519"/>
      <c r="D33" s="519"/>
      <c r="E33" s="519"/>
      <c r="F33" s="520"/>
    </row>
    <row r="34" spans="1:6" ht="18.95" customHeight="1">
      <c r="A34" s="518"/>
      <c r="B34" s="519"/>
      <c r="C34" s="519"/>
      <c r="D34" s="519"/>
      <c r="E34" s="519"/>
      <c r="F34" s="520"/>
    </row>
    <row r="35" spans="1:6" ht="18.95" customHeight="1">
      <c r="A35" s="518"/>
      <c r="B35" s="519"/>
      <c r="C35" s="519"/>
      <c r="D35" s="519"/>
      <c r="E35" s="519"/>
      <c r="F35" s="520"/>
    </row>
    <row r="36" spans="1:6" ht="18.95" customHeight="1">
      <c r="A36" s="518"/>
      <c r="B36" s="519"/>
      <c r="C36" s="519"/>
      <c r="D36" s="519"/>
      <c r="E36" s="519"/>
      <c r="F36" s="520"/>
    </row>
    <row r="37" spans="1:6" ht="18.95" customHeight="1">
      <c r="A37" s="518"/>
      <c r="B37" s="519"/>
      <c r="C37" s="519"/>
      <c r="D37" s="519"/>
      <c r="E37" s="519"/>
      <c r="F37" s="520"/>
    </row>
    <row r="38" spans="1:6" ht="18.95" customHeight="1">
      <c r="A38" s="518"/>
      <c r="B38" s="519"/>
      <c r="C38" s="519"/>
      <c r="D38" s="519"/>
      <c r="E38" s="519"/>
      <c r="F38" s="520"/>
    </row>
    <row r="39" spans="1:6" ht="18.95" customHeight="1">
      <c r="A39" s="367" t="s">
        <v>399</v>
      </c>
      <c r="B39" s="368" t="s">
        <v>351</v>
      </c>
      <c r="C39" s="532">
        <f>'Performance Data Sheet'!C10</f>
        <v>0</v>
      </c>
      <c r="D39" s="359"/>
      <c r="E39" s="364" t="s">
        <v>400</v>
      </c>
      <c r="F39" s="369" t="str">
        <f>F10</f>
        <v>CS4M20U</v>
      </c>
    </row>
    <row r="40" spans="1:6" ht="18.95" customHeight="1">
      <c r="A40" s="358"/>
      <c r="B40" s="368"/>
      <c r="C40" s="368"/>
      <c r="D40" s="359"/>
      <c r="E40" s="359"/>
      <c r="F40" s="360"/>
    </row>
    <row r="41" spans="1:6" ht="18.95" customHeight="1">
      <c r="A41" s="358"/>
      <c r="B41" s="368"/>
      <c r="C41" s="368"/>
      <c r="D41" s="359"/>
      <c r="E41" s="359"/>
      <c r="F41" s="360"/>
    </row>
    <row r="42" spans="1:6" ht="18.95" customHeight="1">
      <c r="A42" s="358"/>
      <c r="B42" s="359"/>
      <c r="C42" s="359"/>
      <c r="D42" s="359"/>
      <c r="E42" s="359"/>
      <c r="F42" s="360"/>
    </row>
    <row r="43" spans="1:6" ht="18.95" customHeight="1">
      <c r="A43" s="370"/>
      <c r="B43" s="368"/>
      <c r="C43" s="371" t="s">
        <v>401</v>
      </c>
      <c r="D43" s="372" t="str">
        <f>'Performance Data Sheet'!K42</f>
        <v>Jerry R</v>
      </c>
      <c r="E43" s="371" t="s">
        <v>402</v>
      </c>
      <c r="F43" s="372" t="s">
        <v>638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22" t="s">
        <v>371</v>
      </c>
      <c r="B53" s="522" t="s">
        <v>142</v>
      </c>
      <c r="C53" s="522" t="s">
        <v>120</v>
      </c>
      <c r="D53" s="522" t="s">
        <v>135</v>
      </c>
      <c r="E53" s="522" t="s">
        <v>5</v>
      </c>
      <c r="F53" s="523" t="s">
        <v>753</v>
      </c>
    </row>
    <row r="54" spans="1:6" ht="15" customHeight="1">
      <c r="A54" s="524">
        <v>0</v>
      </c>
      <c r="B54" s="92"/>
      <c r="C54" s="525"/>
      <c r="D54" s="525">
        <v>26.531497312218125</v>
      </c>
      <c r="E54" s="525">
        <v>100</v>
      </c>
      <c r="F54" s="526">
        <v>0.71010499999999999</v>
      </c>
    </row>
    <row r="55" spans="1:6" ht="15" customHeight="1">
      <c r="A55" s="527">
        <v>25</v>
      </c>
      <c r="B55" s="528">
        <v>88.979110717773438</v>
      </c>
      <c r="C55" s="70">
        <v>71.312149047851563</v>
      </c>
      <c r="D55" s="70">
        <v>42.523208618164063</v>
      </c>
      <c r="E55" s="70">
        <v>84.907030373243998</v>
      </c>
      <c r="F55" s="74">
        <v>10.504307341065768</v>
      </c>
    </row>
    <row r="56" spans="1:6" ht="15" customHeight="1">
      <c r="A56" s="527">
        <v>50</v>
      </c>
      <c r="B56" s="528">
        <v>93.084281921386719</v>
      </c>
      <c r="C56" s="70">
        <v>85.667861938476563</v>
      </c>
      <c r="D56" s="70">
        <v>67.67266845703125</v>
      </c>
      <c r="E56" s="70">
        <v>72.178725718154936</v>
      </c>
      <c r="F56" s="74">
        <v>20.082099314735643</v>
      </c>
    </row>
    <row r="57" spans="1:6">
      <c r="A57" s="527">
        <v>75</v>
      </c>
      <c r="B57" s="528">
        <v>94.356819152832031</v>
      </c>
      <c r="C57" s="70">
        <v>89.059516906738281</v>
      </c>
      <c r="D57" s="70">
        <v>96.326377868652344</v>
      </c>
      <c r="E57" s="70">
        <v>59.203630710251446</v>
      </c>
      <c r="F57" s="74">
        <v>29.716895371715474</v>
      </c>
    </row>
    <row r="58" spans="1:6">
      <c r="A58" s="527">
        <v>100</v>
      </c>
      <c r="B58" s="528">
        <v>94.862709045410156</v>
      </c>
      <c r="C58" s="70">
        <v>89.585060119628906</v>
      </c>
      <c r="D58" s="70">
        <v>127.00081634521484</v>
      </c>
      <c r="E58" s="70">
        <v>45.208387622512994</v>
      </c>
      <c r="F58" s="74">
        <v>39.411228946859673</v>
      </c>
    </row>
    <row r="59" spans="1:6" ht="13.5" thickBot="1">
      <c r="A59" s="529">
        <v>125</v>
      </c>
      <c r="B59" s="530">
        <v>95.034225463867188</v>
      </c>
      <c r="C59" s="531">
        <v>88.83837890625</v>
      </c>
      <c r="D59" s="531">
        <v>159.79638671875</v>
      </c>
      <c r="E59" s="531">
        <v>31.321869600032493</v>
      </c>
      <c r="F59" s="83">
        <v>49.175122238959254</v>
      </c>
    </row>
    <row r="60" spans="1:6">
      <c r="A60" s="373"/>
      <c r="B60" s="341"/>
      <c r="C60" s="341"/>
    </row>
    <row r="61" spans="1:6">
      <c r="A61" s="373"/>
      <c r="B61" s="341"/>
      <c r="C61" s="341"/>
    </row>
    <row r="62" spans="1:6">
      <c r="A62" s="373"/>
      <c r="B62" s="341"/>
      <c r="C62" s="341"/>
    </row>
    <row r="63" spans="1:6">
      <c r="A63" s="373"/>
      <c r="B63" s="341"/>
      <c r="C63" s="341"/>
    </row>
    <row r="64" spans="1:6">
      <c r="A64" s="373"/>
      <c r="B64" s="341"/>
      <c r="C64" s="341"/>
    </row>
    <row r="65" spans="1:3">
      <c r="A65" s="373"/>
      <c r="B65" s="341"/>
      <c r="C65" s="341"/>
    </row>
    <row r="66" spans="1:3">
      <c r="A66" s="373"/>
      <c r="B66" s="341"/>
      <c r="C66" s="341"/>
    </row>
    <row r="67" spans="1:3">
      <c r="A67" s="374"/>
      <c r="B67" s="341"/>
      <c r="C67" s="34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31CF-C5AC-45B6-883F-B731E33B66BC}">
  <sheetPr>
    <pageSetUpPr fitToPage="1"/>
  </sheetPr>
  <dimension ref="A1:H67"/>
  <sheetViews>
    <sheetView workbookViewId="0">
      <selection activeCell="H16" sqref="H16"/>
    </sheetView>
  </sheetViews>
  <sheetFormatPr defaultRowHeight="12.75"/>
  <cols>
    <col min="1" max="6" width="16.7109375" customWidth="1"/>
    <col min="257" max="262" width="16.7109375" customWidth="1"/>
    <col min="513" max="518" width="16.7109375" customWidth="1"/>
    <col min="769" max="774" width="16.7109375" customWidth="1"/>
    <col min="1025" max="1030" width="16.7109375" customWidth="1"/>
    <col min="1281" max="1286" width="16.7109375" customWidth="1"/>
    <col min="1537" max="1542" width="16.7109375" customWidth="1"/>
    <col min="1793" max="1798" width="16.7109375" customWidth="1"/>
    <col min="2049" max="2054" width="16.7109375" customWidth="1"/>
    <col min="2305" max="2310" width="16.7109375" customWidth="1"/>
    <col min="2561" max="2566" width="16.7109375" customWidth="1"/>
    <col min="2817" max="2822" width="16.7109375" customWidth="1"/>
    <col min="3073" max="3078" width="16.7109375" customWidth="1"/>
    <col min="3329" max="3334" width="16.7109375" customWidth="1"/>
    <col min="3585" max="3590" width="16.7109375" customWidth="1"/>
    <col min="3841" max="3846" width="16.7109375" customWidth="1"/>
    <col min="4097" max="4102" width="16.7109375" customWidth="1"/>
    <col min="4353" max="4358" width="16.7109375" customWidth="1"/>
    <col min="4609" max="4614" width="16.7109375" customWidth="1"/>
    <col min="4865" max="4870" width="16.7109375" customWidth="1"/>
    <col min="5121" max="5126" width="16.7109375" customWidth="1"/>
    <col min="5377" max="5382" width="16.7109375" customWidth="1"/>
    <col min="5633" max="5638" width="16.7109375" customWidth="1"/>
    <col min="5889" max="5894" width="16.7109375" customWidth="1"/>
    <col min="6145" max="6150" width="16.7109375" customWidth="1"/>
    <col min="6401" max="6406" width="16.7109375" customWidth="1"/>
    <col min="6657" max="6662" width="16.7109375" customWidth="1"/>
    <col min="6913" max="6918" width="16.7109375" customWidth="1"/>
    <col min="7169" max="7174" width="16.7109375" customWidth="1"/>
    <col min="7425" max="7430" width="16.7109375" customWidth="1"/>
    <col min="7681" max="7686" width="16.7109375" customWidth="1"/>
    <col min="7937" max="7942" width="16.7109375" customWidth="1"/>
    <col min="8193" max="8198" width="16.7109375" customWidth="1"/>
    <col min="8449" max="8454" width="16.7109375" customWidth="1"/>
    <col min="8705" max="8710" width="16.7109375" customWidth="1"/>
    <col min="8961" max="8966" width="16.7109375" customWidth="1"/>
    <col min="9217" max="9222" width="16.7109375" customWidth="1"/>
    <col min="9473" max="9478" width="16.7109375" customWidth="1"/>
    <col min="9729" max="9734" width="16.7109375" customWidth="1"/>
    <col min="9985" max="9990" width="16.7109375" customWidth="1"/>
    <col min="10241" max="10246" width="16.7109375" customWidth="1"/>
    <col min="10497" max="10502" width="16.7109375" customWidth="1"/>
    <col min="10753" max="10758" width="16.7109375" customWidth="1"/>
    <col min="11009" max="11014" width="16.7109375" customWidth="1"/>
    <col min="11265" max="11270" width="16.7109375" customWidth="1"/>
    <col min="11521" max="11526" width="16.7109375" customWidth="1"/>
    <col min="11777" max="11782" width="16.7109375" customWidth="1"/>
    <col min="12033" max="12038" width="16.7109375" customWidth="1"/>
    <col min="12289" max="12294" width="16.7109375" customWidth="1"/>
    <col min="12545" max="12550" width="16.7109375" customWidth="1"/>
    <col min="12801" max="12806" width="16.7109375" customWidth="1"/>
    <col min="13057" max="13062" width="16.7109375" customWidth="1"/>
    <col min="13313" max="13318" width="16.7109375" customWidth="1"/>
    <col min="13569" max="13574" width="16.7109375" customWidth="1"/>
    <col min="13825" max="13830" width="16.7109375" customWidth="1"/>
    <col min="14081" max="14086" width="16.7109375" customWidth="1"/>
    <col min="14337" max="14342" width="16.7109375" customWidth="1"/>
    <col min="14593" max="14598" width="16.7109375" customWidth="1"/>
    <col min="14849" max="14854" width="16.7109375" customWidth="1"/>
    <col min="15105" max="15110" width="16.7109375" customWidth="1"/>
    <col min="15361" max="15366" width="16.7109375" customWidth="1"/>
    <col min="15617" max="15622" width="16.7109375" customWidth="1"/>
    <col min="15873" max="15878" width="16.7109375" customWidth="1"/>
    <col min="16129" max="16134" width="16.7109375" customWidth="1"/>
  </cols>
  <sheetData>
    <row r="1" spans="1:6" ht="18.95" customHeight="1">
      <c r="A1" s="511"/>
      <c r="B1" s="512"/>
      <c r="C1" s="512"/>
      <c r="D1" s="512"/>
      <c r="E1" s="512"/>
      <c r="F1" s="513"/>
    </row>
    <row r="2" spans="1:6" ht="26.1" customHeight="1">
      <c r="A2" s="514" t="s">
        <v>251</v>
      </c>
      <c r="B2" s="515"/>
      <c r="C2" s="515"/>
      <c r="D2" s="515"/>
      <c r="E2" s="515"/>
      <c r="F2" s="516"/>
    </row>
    <row r="3" spans="1:6" ht="18.95" customHeight="1">
      <c r="A3" s="517" t="s">
        <v>752</v>
      </c>
      <c r="B3" s="515"/>
      <c r="C3" s="515"/>
      <c r="D3" s="515"/>
      <c r="E3" s="515"/>
      <c r="F3" s="516"/>
    </row>
    <row r="4" spans="1:6" ht="18.95" customHeight="1">
      <c r="A4" s="651" t="s">
        <v>590</v>
      </c>
      <c r="B4" s="652"/>
      <c r="C4" s="652"/>
      <c r="D4" s="652"/>
      <c r="E4" s="652"/>
      <c r="F4" s="653"/>
    </row>
    <row r="5" spans="1:6" ht="18.95" customHeight="1">
      <c r="A5" s="518"/>
      <c r="B5" s="519"/>
      <c r="C5" s="519"/>
      <c r="D5" s="519"/>
      <c r="E5" s="519"/>
      <c r="F5" s="520"/>
    </row>
    <row r="6" spans="1:6" ht="18.95" customHeight="1">
      <c r="A6" s="361" t="s">
        <v>382</v>
      </c>
      <c r="B6" s="642" t="str">
        <f>'Performance Data Sheet'!C17</f>
        <v>M204FTQL11E-C</v>
      </c>
      <c r="C6" s="643"/>
      <c r="D6" s="644"/>
      <c r="E6" s="361" t="s">
        <v>383</v>
      </c>
      <c r="F6" s="362" t="s">
        <v>755</v>
      </c>
    </row>
    <row r="7" spans="1:6" ht="18.95" customHeight="1">
      <c r="A7" s="361" t="s">
        <v>384</v>
      </c>
      <c r="B7" s="362" t="str">
        <f>'Performance Data Sheet'!F14</f>
        <v>TEFC</v>
      </c>
      <c r="C7" s="361" t="s">
        <v>385</v>
      </c>
      <c r="D7" s="362" t="s">
        <v>756</v>
      </c>
      <c r="E7" s="361" t="s">
        <v>386</v>
      </c>
      <c r="F7" s="362" t="str">
        <f>'Performance Data Sheet'!C14</f>
        <v>6811US</v>
      </c>
    </row>
    <row r="8" spans="1:6" ht="18.95" customHeight="1">
      <c r="A8" s="361" t="s">
        <v>387</v>
      </c>
      <c r="B8" s="362">
        <v>4</v>
      </c>
      <c r="C8" s="361" t="s">
        <v>388</v>
      </c>
      <c r="D8" s="362" t="s">
        <v>389</v>
      </c>
      <c r="E8" s="361" t="s">
        <v>390</v>
      </c>
      <c r="F8" s="362" t="s">
        <v>343</v>
      </c>
    </row>
    <row r="9" spans="1:6" ht="18.95" customHeight="1">
      <c r="A9" s="361" t="s">
        <v>391</v>
      </c>
      <c r="B9" s="362">
        <v>1000</v>
      </c>
      <c r="C9" s="361" t="s">
        <v>392</v>
      </c>
      <c r="D9" s="362" t="s">
        <v>404</v>
      </c>
      <c r="E9" s="361" t="s">
        <v>2</v>
      </c>
      <c r="F9" s="363">
        <f>'Performance Data Sheet'!K44</f>
        <v>45306</v>
      </c>
    </row>
    <row r="10" spans="1:6" ht="18.95" customHeight="1">
      <c r="A10" s="361" t="s">
        <v>393</v>
      </c>
      <c r="B10" s="362">
        <v>1789</v>
      </c>
      <c r="C10" s="361" t="s">
        <v>373</v>
      </c>
      <c r="D10" s="362" t="s">
        <v>394</v>
      </c>
      <c r="E10" s="361" t="s">
        <v>1</v>
      </c>
      <c r="F10" s="362" t="s">
        <v>360</v>
      </c>
    </row>
    <row r="11" spans="1:6" ht="18.95" customHeight="1">
      <c r="A11" s="358"/>
      <c r="B11" s="359"/>
      <c r="C11" s="359"/>
      <c r="D11" s="359"/>
      <c r="E11" s="359"/>
      <c r="F11" s="360"/>
    </row>
    <row r="12" spans="1:6" ht="18.95" customHeight="1">
      <c r="A12" s="358"/>
      <c r="B12" s="364" t="s">
        <v>395</v>
      </c>
      <c r="C12" s="365" t="s">
        <v>757</v>
      </c>
      <c r="D12" s="364" t="s">
        <v>372</v>
      </c>
      <c r="E12" s="365" t="s">
        <v>394</v>
      </c>
      <c r="F12" s="360"/>
    </row>
    <row r="13" spans="1:6" ht="18.95" customHeight="1">
      <c r="A13" s="358"/>
      <c r="B13" s="364" t="s">
        <v>396</v>
      </c>
      <c r="C13" s="366">
        <v>1.1499999999999999</v>
      </c>
      <c r="D13" s="364" t="s">
        <v>397</v>
      </c>
      <c r="E13" s="365" t="s">
        <v>394</v>
      </c>
      <c r="F13" s="360"/>
    </row>
    <row r="14" spans="1:6" ht="18.95" customHeight="1">
      <c r="A14" s="358"/>
      <c r="B14" s="364" t="s">
        <v>398</v>
      </c>
      <c r="C14" s="366">
        <v>2.2000000000000002</v>
      </c>
      <c r="D14" s="364" t="s">
        <v>374</v>
      </c>
      <c r="E14" s="365" t="s">
        <v>394</v>
      </c>
      <c r="F14" s="360"/>
    </row>
    <row r="15" spans="1:6" ht="18.95" customHeight="1">
      <c r="A15" s="358"/>
      <c r="B15" s="364" t="s">
        <v>375</v>
      </c>
      <c r="C15" s="365" t="s">
        <v>405</v>
      </c>
      <c r="D15" s="359"/>
      <c r="E15" s="359"/>
      <c r="F15" s="360"/>
    </row>
    <row r="16" spans="1:6" ht="18.95" customHeight="1">
      <c r="A16" s="518"/>
      <c r="B16" s="519"/>
      <c r="C16" s="519"/>
      <c r="D16" s="519"/>
      <c r="E16" s="519"/>
      <c r="F16" s="520"/>
    </row>
    <row r="17" spans="1:8" ht="18.95" customHeight="1">
      <c r="A17" s="518"/>
      <c r="B17" s="519"/>
      <c r="C17" s="519"/>
      <c r="D17" s="519"/>
      <c r="E17" s="519"/>
      <c r="F17" s="520"/>
    </row>
    <row r="18" spans="1:8" ht="18.95" customHeight="1">
      <c r="A18" s="518"/>
      <c r="B18" s="519"/>
      <c r="C18" s="519"/>
      <c r="D18" s="519"/>
      <c r="E18" s="519"/>
      <c r="F18" s="520"/>
    </row>
    <row r="19" spans="1:8" ht="18.95" customHeight="1">
      <c r="A19" s="518"/>
      <c r="B19" s="519"/>
      <c r="C19" s="519"/>
      <c r="D19" s="519"/>
      <c r="E19" s="519"/>
      <c r="F19" s="520"/>
    </row>
    <row r="20" spans="1:8" ht="18.95" customHeight="1">
      <c r="A20" s="518"/>
      <c r="B20" s="519"/>
      <c r="C20" s="519"/>
      <c r="D20" s="519"/>
      <c r="E20" s="519"/>
      <c r="F20" s="520"/>
    </row>
    <row r="21" spans="1:8" ht="18.95" customHeight="1">
      <c r="A21" s="518"/>
      <c r="B21" s="519"/>
      <c r="C21" s="519"/>
      <c r="D21" s="519"/>
      <c r="E21" s="519"/>
      <c r="F21" s="520"/>
    </row>
    <row r="22" spans="1:8" ht="18.95" customHeight="1">
      <c r="A22" s="518"/>
      <c r="B22" s="519"/>
      <c r="C22" s="519"/>
      <c r="D22" s="519"/>
      <c r="E22" s="519"/>
      <c r="F22" s="520"/>
    </row>
    <row r="23" spans="1:8" ht="18.95" customHeight="1">
      <c r="A23" s="518"/>
      <c r="B23" s="519"/>
      <c r="C23" s="519"/>
      <c r="D23" s="519"/>
      <c r="E23" s="519"/>
      <c r="F23" s="520"/>
    </row>
    <row r="24" spans="1:8" ht="18.95" customHeight="1">
      <c r="A24" s="518"/>
      <c r="B24" s="519"/>
      <c r="C24" s="519"/>
      <c r="D24" s="519"/>
      <c r="E24" s="519"/>
      <c r="F24" s="520"/>
      <c r="H24" s="521"/>
    </row>
    <row r="25" spans="1:8" ht="18.95" customHeight="1">
      <c r="A25" s="518"/>
      <c r="B25" s="519"/>
      <c r="C25" s="519"/>
      <c r="D25" s="519"/>
      <c r="E25" s="519"/>
      <c r="F25" s="520"/>
    </row>
    <row r="26" spans="1:8" ht="18.95" customHeight="1">
      <c r="A26" s="518"/>
      <c r="B26" s="519"/>
      <c r="C26" s="519"/>
      <c r="D26" s="519"/>
      <c r="E26" s="519"/>
      <c r="F26" s="520"/>
    </row>
    <row r="27" spans="1:8" ht="18.95" customHeight="1">
      <c r="A27" s="518"/>
      <c r="B27" s="519"/>
      <c r="C27" s="519"/>
      <c r="D27" s="519"/>
      <c r="E27" s="519"/>
      <c r="F27" s="520"/>
    </row>
    <row r="28" spans="1:8" ht="18.95" customHeight="1">
      <c r="A28" s="518"/>
      <c r="B28" s="519"/>
      <c r="C28" s="519"/>
      <c r="D28" s="519"/>
      <c r="E28" s="519"/>
      <c r="F28" s="520"/>
    </row>
    <row r="29" spans="1:8" ht="18.95" customHeight="1">
      <c r="A29" s="518"/>
      <c r="B29" s="519"/>
      <c r="C29" s="519"/>
      <c r="D29" s="519"/>
      <c r="E29" s="519"/>
      <c r="F29" s="520"/>
    </row>
    <row r="30" spans="1:8" ht="18.95" customHeight="1">
      <c r="A30" s="518"/>
      <c r="B30" s="519"/>
      <c r="C30" s="519"/>
      <c r="D30" s="519"/>
      <c r="E30" s="519"/>
      <c r="F30" s="520"/>
    </row>
    <row r="31" spans="1:8" ht="18.95" customHeight="1">
      <c r="A31" s="518"/>
      <c r="B31" s="519"/>
      <c r="C31" s="519"/>
      <c r="D31" s="519"/>
      <c r="E31" s="519"/>
      <c r="F31" s="520"/>
    </row>
    <row r="32" spans="1:8" ht="18.95" customHeight="1">
      <c r="A32" s="518"/>
      <c r="B32" s="519"/>
      <c r="C32" s="519"/>
      <c r="D32" s="519"/>
      <c r="E32" s="519"/>
      <c r="F32" s="520"/>
    </row>
    <row r="33" spans="1:6" ht="18.95" customHeight="1">
      <c r="A33" s="518"/>
      <c r="B33" s="519"/>
      <c r="C33" s="519"/>
      <c r="D33" s="519"/>
      <c r="E33" s="519"/>
      <c r="F33" s="520"/>
    </row>
    <row r="34" spans="1:6" ht="18.95" customHeight="1">
      <c r="A34" s="518"/>
      <c r="B34" s="519"/>
      <c r="C34" s="519"/>
      <c r="D34" s="519"/>
      <c r="E34" s="519"/>
      <c r="F34" s="520"/>
    </row>
    <row r="35" spans="1:6" ht="18.95" customHeight="1">
      <c r="A35" s="518"/>
      <c r="B35" s="519"/>
      <c r="C35" s="519"/>
      <c r="D35" s="519"/>
      <c r="E35" s="519"/>
      <c r="F35" s="520"/>
    </row>
    <row r="36" spans="1:6" ht="18.95" customHeight="1">
      <c r="A36" s="518"/>
      <c r="B36" s="519"/>
      <c r="C36" s="519"/>
      <c r="D36" s="519"/>
      <c r="E36" s="519"/>
      <c r="F36" s="520"/>
    </row>
    <row r="37" spans="1:6" ht="18.95" customHeight="1">
      <c r="A37" s="518"/>
      <c r="B37" s="519"/>
      <c r="C37" s="519"/>
      <c r="D37" s="519"/>
      <c r="E37" s="519"/>
      <c r="F37" s="520"/>
    </row>
    <row r="38" spans="1:6" ht="18.95" customHeight="1">
      <c r="A38" s="518"/>
      <c r="B38" s="519"/>
      <c r="C38" s="519"/>
      <c r="D38" s="519"/>
      <c r="E38" s="519"/>
      <c r="F38" s="520"/>
    </row>
    <row r="39" spans="1:6" ht="18.95" customHeight="1">
      <c r="A39" s="367" t="s">
        <v>399</v>
      </c>
      <c r="B39" s="368" t="s">
        <v>351</v>
      </c>
      <c r="C39" s="532">
        <f>'Performance Data Sheet'!C10</f>
        <v>0</v>
      </c>
      <c r="D39" s="359"/>
      <c r="E39" s="364" t="s">
        <v>400</v>
      </c>
      <c r="F39" s="369" t="str">
        <f>F10</f>
        <v>CS4M20U</v>
      </c>
    </row>
    <row r="40" spans="1:6" ht="18.95" customHeight="1">
      <c r="A40" s="358"/>
      <c r="B40" s="368"/>
      <c r="C40" s="368"/>
      <c r="D40" s="359"/>
      <c r="E40" s="359"/>
      <c r="F40" s="360"/>
    </row>
    <row r="41" spans="1:6" ht="18.95" customHeight="1">
      <c r="A41" s="358"/>
      <c r="B41" s="368"/>
      <c r="C41" s="368"/>
      <c r="D41" s="359"/>
      <c r="E41" s="359"/>
      <c r="F41" s="360"/>
    </row>
    <row r="42" spans="1:6" ht="18.95" customHeight="1">
      <c r="A42" s="358"/>
      <c r="B42" s="359"/>
      <c r="C42" s="359"/>
      <c r="D42" s="359"/>
      <c r="E42" s="359"/>
      <c r="F42" s="360"/>
    </row>
    <row r="43" spans="1:6" ht="18.95" customHeight="1">
      <c r="A43" s="370"/>
      <c r="B43" s="368"/>
      <c r="C43" s="371" t="s">
        <v>401</v>
      </c>
      <c r="D43" s="372" t="str">
        <f>'Performance Data Sheet'!K42</f>
        <v>Jerry R</v>
      </c>
      <c r="E43" s="371" t="s">
        <v>402</v>
      </c>
      <c r="F43" s="372" t="s">
        <v>638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22" t="s">
        <v>371</v>
      </c>
      <c r="B53" s="522" t="s">
        <v>142</v>
      </c>
      <c r="C53" s="522" t="s">
        <v>120</v>
      </c>
      <c r="D53" s="522" t="s">
        <v>135</v>
      </c>
      <c r="E53" s="522" t="s">
        <v>5</v>
      </c>
      <c r="F53" s="523" t="s">
        <v>753</v>
      </c>
    </row>
    <row r="54" spans="1:6" ht="15" customHeight="1">
      <c r="A54" s="524">
        <v>0</v>
      </c>
      <c r="B54" s="92"/>
      <c r="C54" s="525"/>
      <c r="D54" s="525">
        <v>45.953901345638897</v>
      </c>
      <c r="E54" s="525">
        <v>100</v>
      </c>
      <c r="F54" s="526">
        <v>0.71010499999999999</v>
      </c>
    </row>
    <row r="55" spans="1:6" ht="15" customHeight="1">
      <c r="A55" s="527">
        <v>25</v>
      </c>
      <c r="B55" s="528">
        <v>88.979110717773438</v>
      </c>
      <c r="C55" s="70">
        <v>71.312149047851563</v>
      </c>
      <c r="D55" s="70">
        <v>73.652357827510897</v>
      </c>
      <c r="E55" s="70">
        <v>84.907030373243998</v>
      </c>
      <c r="F55" s="74">
        <v>10.504307341065768</v>
      </c>
    </row>
    <row r="56" spans="1:6" ht="15" customHeight="1">
      <c r="A56" s="527">
        <v>50</v>
      </c>
      <c r="B56" s="528">
        <v>93.084281921386719</v>
      </c>
      <c r="C56" s="70">
        <v>85.667861938476563</v>
      </c>
      <c r="D56" s="70">
        <v>117.21250005134186</v>
      </c>
      <c r="E56" s="70">
        <v>72.178725718154936</v>
      </c>
      <c r="F56" s="74">
        <v>20.082099314735643</v>
      </c>
    </row>
    <row r="57" spans="1:6">
      <c r="A57" s="527">
        <v>75</v>
      </c>
      <c r="B57" s="528">
        <v>94.356819152832031</v>
      </c>
      <c r="C57" s="70">
        <v>89.059516906738281</v>
      </c>
      <c r="D57" s="70">
        <v>166.84218057758412</v>
      </c>
      <c r="E57" s="70">
        <v>59.203630710251446</v>
      </c>
      <c r="F57" s="74">
        <v>29.716895371715474</v>
      </c>
    </row>
    <row r="58" spans="1:6">
      <c r="A58" s="527">
        <v>100</v>
      </c>
      <c r="B58" s="528">
        <v>94.862709045410156</v>
      </c>
      <c r="C58" s="70">
        <v>89.585060119628906</v>
      </c>
      <c r="D58" s="70">
        <v>219.97186651263604</v>
      </c>
      <c r="E58" s="70">
        <v>45.208387622512994</v>
      </c>
      <c r="F58" s="74">
        <v>39.411228946859673</v>
      </c>
    </row>
    <row r="59" spans="1:6" ht="13.5" thickBot="1">
      <c r="A59" s="529">
        <v>125</v>
      </c>
      <c r="B59" s="530">
        <v>95.034225463867188</v>
      </c>
      <c r="C59" s="531">
        <v>88.83837890625</v>
      </c>
      <c r="D59" s="531">
        <v>276.77546066279956</v>
      </c>
      <c r="E59" s="531">
        <v>31.321869600032493</v>
      </c>
      <c r="F59" s="83">
        <v>49.175122238959254</v>
      </c>
    </row>
    <row r="60" spans="1:6">
      <c r="A60" s="373"/>
      <c r="B60" s="341"/>
      <c r="C60" s="341"/>
    </row>
    <row r="61" spans="1:6">
      <c r="A61" s="373"/>
      <c r="B61" s="341"/>
      <c r="C61" s="341"/>
    </row>
    <row r="62" spans="1:6">
      <c r="A62" s="373"/>
      <c r="B62" s="341"/>
      <c r="C62" s="341"/>
    </row>
    <row r="63" spans="1:6">
      <c r="A63" s="373"/>
      <c r="B63" s="341"/>
      <c r="C63" s="341"/>
    </row>
    <row r="64" spans="1:6">
      <c r="A64" s="373"/>
      <c r="B64" s="341"/>
      <c r="C64" s="341"/>
    </row>
    <row r="65" spans="1:3">
      <c r="A65" s="373"/>
      <c r="B65" s="341"/>
      <c r="C65" s="341"/>
    </row>
    <row r="66" spans="1:3">
      <c r="A66" s="373"/>
      <c r="B66" s="341"/>
      <c r="C66" s="341"/>
    </row>
    <row r="67" spans="1:3">
      <c r="A67" s="374"/>
      <c r="B67" s="341"/>
      <c r="C67" s="34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1"/>
  <sheetViews>
    <sheetView workbookViewId="0">
      <selection activeCell="E35" sqref="E35"/>
    </sheetView>
  </sheetViews>
  <sheetFormatPr defaultRowHeight="12.75"/>
  <cols>
    <col min="1" max="6" width="14.7109375" customWidth="1"/>
    <col min="257" max="262" width="14.7109375" customWidth="1"/>
    <col min="513" max="518" width="14.7109375" customWidth="1"/>
    <col min="769" max="774" width="14.7109375" customWidth="1"/>
    <col min="1025" max="1030" width="14.7109375" customWidth="1"/>
    <col min="1281" max="1286" width="14.7109375" customWidth="1"/>
    <col min="1537" max="1542" width="14.7109375" customWidth="1"/>
    <col min="1793" max="1798" width="14.7109375" customWidth="1"/>
    <col min="2049" max="2054" width="14.7109375" customWidth="1"/>
    <col min="2305" max="2310" width="14.7109375" customWidth="1"/>
    <col min="2561" max="2566" width="14.7109375" customWidth="1"/>
    <col min="2817" max="2822" width="14.7109375" customWidth="1"/>
    <col min="3073" max="3078" width="14.7109375" customWidth="1"/>
    <col min="3329" max="3334" width="14.7109375" customWidth="1"/>
    <col min="3585" max="3590" width="14.7109375" customWidth="1"/>
    <col min="3841" max="3846" width="14.7109375" customWidth="1"/>
    <col min="4097" max="4102" width="14.7109375" customWidth="1"/>
    <col min="4353" max="4358" width="14.7109375" customWidth="1"/>
    <col min="4609" max="4614" width="14.7109375" customWidth="1"/>
    <col min="4865" max="4870" width="14.7109375" customWidth="1"/>
    <col min="5121" max="5126" width="14.7109375" customWidth="1"/>
    <col min="5377" max="5382" width="14.7109375" customWidth="1"/>
    <col min="5633" max="5638" width="14.7109375" customWidth="1"/>
    <col min="5889" max="5894" width="14.7109375" customWidth="1"/>
    <col min="6145" max="6150" width="14.7109375" customWidth="1"/>
    <col min="6401" max="6406" width="14.7109375" customWidth="1"/>
    <col min="6657" max="6662" width="14.7109375" customWidth="1"/>
    <col min="6913" max="6918" width="14.7109375" customWidth="1"/>
    <col min="7169" max="7174" width="14.7109375" customWidth="1"/>
    <col min="7425" max="7430" width="14.7109375" customWidth="1"/>
    <col min="7681" max="7686" width="14.7109375" customWidth="1"/>
    <col min="7937" max="7942" width="14.7109375" customWidth="1"/>
    <col min="8193" max="8198" width="14.7109375" customWidth="1"/>
    <col min="8449" max="8454" width="14.7109375" customWidth="1"/>
    <col min="8705" max="8710" width="14.7109375" customWidth="1"/>
    <col min="8961" max="8966" width="14.7109375" customWidth="1"/>
    <col min="9217" max="9222" width="14.7109375" customWidth="1"/>
    <col min="9473" max="9478" width="14.7109375" customWidth="1"/>
    <col min="9729" max="9734" width="14.7109375" customWidth="1"/>
    <col min="9985" max="9990" width="14.7109375" customWidth="1"/>
    <col min="10241" max="10246" width="14.7109375" customWidth="1"/>
    <col min="10497" max="10502" width="14.7109375" customWidth="1"/>
    <col min="10753" max="10758" width="14.7109375" customWidth="1"/>
    <col min="11009" max="11014" width="14.7109375" customWidth="1"/>
    <col min="11265" max="11270" width="14.7109375" customWidth="1"/>
    <col min="11521" max="11526" width="14.7109375" customWidth="1"/>
    <col min="11777" max="11782" width="14.7109375" customWidth="1"/>
    <col min="12033" max="12038" width="14.7109375" customWidth="1"/>
    <col min="12289" max="12294" width="14.7109375" customWidth="1"/>
    <col min="12545" max="12550" width="14.7109375" customWidth="1"/>
    <col min="12801" max="12806" width="14.7109375" customWidth="1"/>
    <col min="13057" max="13062" width="14.7109375" customWidth="1"/>
    <col min="13313" max="13318" width="14.7109375" customWidth="1"/>
    <col min="13569" max="13574" width="14.7109375" customWidth="1"/>
    <col min="13825" max="13830" width="14.7109375" customWidth="1"/>
    <col min="14081" max="14086" width="14.7109375" customWidth="1"/>
    <col min="14337" max="14342" width="14.7109375" customWidth="1"/>
    <col min="14593" max="14598" width="14.7109375" customWidth="1"/>
    <col min="14849" max="14854" width="14.7109375" customWidth="1"/>
    <col min="15105" max="15110" width="14.7109375" customWidth="1"/>
    <col min="15361" max="15366" width="14.7109375" customWidth="1"/>
    <col min="15617" max="15622" width="14.7109375" customWidth="1"/>
    <col min="15873" max="15878" width="14.7109375" customWidth="1"/>
    <col min="16129" max="16134" width="14.7109375" customWidth="1"/>
  </cols>
  <sheetData>
    <row r="1" spans="1:7" ht="20.25">
      <c r="A1" s="674" t="s">
        <v>407</v>
      </c>
      <c r="B1" s="674"/>
      <c r="C1" s="674"/>
      <c r="D1" s="674"/>
      <c r="E1" s="674"/>
      <c r="F1" s="674"/>
    </row>
    <row r="2" spans="1:7" ht="19.5" thickBot="1">
      <c r="A2" s="398"/>
      <c r="B2" s="398"/>
      <c r="C2" s="675" t="s">
        <v>419</v>
      </c>
      <c r="D2" s="675"/>
      <c r="E2" s="398"/>
      <c r="F2" s="398"/>
      <c r="G2" s="398"/>
    </row>
    <row r="3" spans="1:7" ht="19.5">
      <c r="A3" s="662" t="s">
        <v>408</v>
      </c>
      <c r="B3" s="663"/>
      <c r="C3" s="664"/>
      <c r="D3" s="662" t="s">
        <v>409</v>
      </c>
      <c r="E3" s="663"/>
      <c r="F3" s="664"/>
      <c r="G3" s="398"/>
    </row>
    <row r="4" spans="1:7" ht="15.75">
      <c r="A4" s="399" t="s">
        <v>420</v>
      </c>
      <c r="B4" s="676" t="s">
        <v>422</v>
      </c>
      <c r="C4" s="669"/>
      <c r="D4" s="677" t="s">
        <v>423</v>
      </c>
      <c r="E4" s="678"/>
      <c r="F4" s="679"/>
      <c r="G4" s="398"/>
    </row>
    <row r="5" spans="1:7" ht="16.5" thickBot="1">
      <c r="A5" s="400" t="s">
        <v>421</v>
      </c>
      <c r="B5" s="657" t="s">
        <v>421</v>
      </c>
      <c r="C5" s="658"/>
      <c r="D5" s="659" t="s">
        <v>635</v>
      </c>
      <c r="E5" s="660"/>
      <c r="F5" s="661"/>
      <c r="G5" s="398"/>
    </row>
    <row r="6" spans="1:7" ht="19.5">
      <c r="A6" s="662" t="s">
        <v>410</v>
      </c>
      <c r="B6" s="663"/>
      <c r="C6" s="663"/>
      <c r="D6" s="663"/>
      <c r="E6" s="663"/>
      <c r="F6" s="664"/>
      <c r="G6" s="398"/>
    </row>
    <row r="7" spans="1:7" ht="15.75">
      <c r="A7" s="401" t="s">
        <v>411</v>
      </c>
      <c r="B7" s="402" t="s">
        <v>424</v>
      </c>
      <c r="C7" s="403" t="s">
        <v>412</v>
      </c>
      <c r="D7" s="404" t="s">
        <v>425</v>
      </c>
      <c r="E7" s="665" t="s">
        <v>413</v>
      </c>
      <c r="F7" s="666"/>
      <c r="G7" s="398"/>
    </row>
    <row r="8" spans="1:7" ht="16.5" thickBot="1">
      <c r="A8" s="405"/>
      <c r="B8" s="406" t="s">
        <v>421</v>
      </c>
      <c r="C8" s="407"/>
      <c r="D8" s="408" t="s">
        <v>421</v>
      </c>
      <c r="E8" s="667" t="s">
        <v>426</v>
      </c>
      <c r="F8" s="661"/>
      <c r="G8" s="398"/>
    </row>
    <row r="9" spans="1:7" ht="19.5">
      <c r="A9" s="662" t="s">
        <v>414</v>
      </c>
      <c r="B9" s="663"/>
      <c r="C9" s="664"/>
      <c r="D9" s="662" t="s">
        <v>415</v>
      </c>
      <c r="E9" s="663"/>
      <c r="F9" s="664"/>
      <c r="G9" s="398"/>
    </row>
    <row r="10" spans="1:7" ht="15.75">
      <c r="A10" s="409" t="s">
        <v>416</v>
      </c>
      <c r="B10" s="668" t="s">
        <v>427</v>
      </c>
      <c r="C10" s="669"/>
      <c r="D10" s="670" t="s">
        <v>429</v>
      </c>
      <c r="E10" s="671"/>
      <c r="F10" s="410" t="s">
        <v>430</v>
      </c>
      <c r="G10" s="398"/>
    </row>
    <row r="11" spans="1:7" ht="16.5" thickBot="1">
      <c r="A11" s="411" t="s">
        <v>417</v>
      </c>
      <c r="B11" s="660" t="s">
        <v>428</v>
      </c>
      <c r="C11" s="661"/>
      <c r="D11" s="672"/>
      <c r="E11" s="673"/>
      <c r="F11" s="412" t="s">
        <v>421</v>
      </c>
      <c r="G11" s="398"/>
    </row>
    <row r="12" spans="1:7" ht="19.5">
      <c r="A12" s="662" t="s">
        <v>418</v>
      </c>
      <c r="B12" s="663"/>
      <c r="C12" s="663"/>
      <c r="D12" s="663"/>
      <c r="E12" s="663"/>
      <c r="F12" s="664"/>
      <c r="G12" s="398"/>
    </row>
    <row r="13" spans="1:7" ht="16.5" thickBot="1">
      <c r="A13" s="654" t="s">
        <v>431</v>
      </c>
      <c r="B13" s="655"/>
      <c r="C13" s="656" t="s">
        <v>636</v>
      </c>
      <c r="D13" s="656"/>
      <c r="E13" s="656"/>
      <c r="F13" s="413"/>
      <c r="G13" s="398"/>
    </row>
    <row r="14" spans="1:7" ht="18.95" customHeight="1">
      <c r="A14" s="414"/>
      <c r="B14" s="414"/>
      <c r="C14" s="414"/>
      <c r="D14" s="414"/>
      <c r="E14" s="414"/>
      <c r="F14" s="414"/>
      <c r="G14" s="398"/>
    </row>
    <row r="15" spans="1:7" ht="15.75">
      <c r="G15" s="398"/>
    </row>
    <row r="16" spans="1:7" ht="15.75">
      <c r="G16" s="398"/>
    </row>
    <row r="17" spans="7:7" ht="15.75">
      <c r="G17" s="398"/>
    </row>
    <row r="18" spans="7:7" ht="15.75">
      <c r="G18" s="398"/>
    </row>
    <row r="19" spans="7:7" ht="15.75">
      <c r="G19" s="398"/>
    </row>
    <row r="20" spans="7:7" ht="15.75">
      <c r="G20" s="398"/>
    </row>
    <row r="21" spans="7:7" ht="15.75">
      <c r="G21" s="398"/>
    </row>
    <row r="22" spans="7:7" ht="15.75">
      <c r="G22" s="398"/>
    </row>
    <row r="23" spans="7:7" ht="15.75">
      <c r="G23" s="398"/>
    </row>
    <row r="24" spans="7:7" ht="15.75">
      <c r="G24" s="398"/>
    </row>
    <row r="25" spans="7:7" ht="15.75">
      <c r="G25" s="398"/>
    </row>
    <row r="26" spans="7:7" ht="15.75">
      <c r="G26" s="398"/>
    </row>
    <row r="27" spans="7:7" ht="18.95" customHeight="1">
      <c r="G27" s="398"/>
    </row>
    <row r="28" spans="7:7" ht="15.75">
      <c r="G28" s="398"/>
    </row>
    <row r="29" spans="7:7" ht="15.75">
      <c r="G29" s="398"/>
    </row>
    <row r="30" spans="7:7" ht="15.75">
      <c r="G30" s="398"/>
    </row>
    <row r="31" spans="7:7" ht="15.75">
      <c r="G31" s="398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53" customWidth="1"/>
    <col min="2" max="7" width="10.7109375" style="353" customWidth="1"/>
    <col min="8" max="16384" width="9.140625" style="353"/>
  </cols>
  <sheetData>
    <row r="1" spans="1:12" ht="21" customHeight="1">
      <c r="A1" s="376" t="s">
        <v>432</v>
      </c>
      <c r="B1" s="689" t="s">
        <v>471</v>
      </c>
      <c r="C1" s="689"/>
      <c r="D1" s="689"/>
      <c r="E1" s="689"/>
      <c r="F1" s="689"/>
      <c r="G1" s="689"/>
    </row>
    <row r="2" spans="1:12" ht="15" customHeight="1"/>
    <row r="3" spans="1:12" ht="20.25">
      <c r="A3" s="377" t="s">
        <v>433</v>
      </c>
    </row>
    <row r="4" spans="1:12" ht="12" customHeight="1">
      <c r="A4" s="375"/>
      <c r="B4" s="375"/>
      <c r="C4" s="375"/>
      <c r="D4" s="375" t="s">
        <v>485</v>
      </c>
      <c r="E4" s="375"/>
      <c r="F4" s="375"/>
      <c r="G4" s="375"/>
      <c r="H4" s="375"/>
      <c r="I4" s="375"/>
      <c r="J4" s="375"/>
      <c r="K4" s="375"/>
      <c r="L4" s="375"/>
    </row>
    <row r="5" spans="1:12" ht="15.6" customHeight="1">
      <c r="A5" s="378" t="s">
        <v>5</v>
      </c>
      <c r="B5" s="378" t="s">
        <v>434</v>
      </c>
      <c r="C5" s="378" t="s">
        <v>435</v>
      </c>
      <c r="D5" s="378" t="s">
        <v>436</v>
      </c>
      <c r="E5" s="378" t="s">
        <v>437</v>
      </c>
      <c r="F5" s="378" t="s">
        <v>438</v>
      </c>
      <c r="G5" s="378" t="s">
        <v>439</v>
      </c>
      <c r="H5" s="375"/>
      <c r="I5" s="375"/>
      <c r="J5" s="375"/>
      <c r="K5" s="375"/>
      <c r="L5" s="375"/>
    </row>
    <row r="6" spans="1:12" ht="15.6" customHeight="1">
      <c r="A6" s="379" t="s">
        <v>440</v>
      </c>
      <c r="B6" s="379" t="s">
        <v>165</v>
      </c>
      <c r="C6" s="379" t="s">
        <v>165</v>
      </c>
      <c r="D6" s="379" t="s">
        <v>441</v>
      </c>
      <c r="E6" s="379" t="s">
        <v>135</v>
      </c>
      <c r="F6" s="379" t="s">
        <v>442</v>
      </c>
      <c r="G6" s="379" t="s">
        <v>442</v>
      </c>
      <c r="H6" s="375"/>
      <c r="I6" s="375"/>
      <c r="J6" s="375"/>
      <c r="K6" s="375"/>
      <c r="L6" s="375"/>
    </row>
    <row r="7" spans="1:12" ht="15.95" customHeight="1">
      <c r="A7" s="380" t="s">
        <v>472</v>
      </c>
      <c r="B7" s="380" t="s">
        <v>486</v>
      </c>
      <c r="C7" s="380" t="s">
        <v>495</v>
      </c>
      <c r="D7" s="380" t="s">
        <v>508</v>
      </c>
      <c r="E7" s="380" t="s">
        <v>521</v>
      </c>
      <c r="F7" s="380" t="s">
        <v>534</v>
      </c>
      <c r="G7" s="380" t="s">
        <v>547</v>
      </c>
      <c r="H7" s="375"/>
      <c r="I7" s="375"/>
      <c r="J7" s="375"/>
      <c r="K7" s="375"/>
      <c r="L7" s="375"/>
    </row>
    <row r="8" spans="1:12" ht="15.95" customHeight="1">
      <c r="A8" s="380" t="s">
        <v>473</v>
      </c>
      <c r="B8" s="380" t="s">
        <v>486</v>
      </c>
      <c r="C8" s="380" t="s">
        <v>496</v>
      </c>
      <c r="D8" s="380" t="s">
        <v>509</v>
      </c>
      <c r="E8" s="380" t="s">
        <v>522</v>
      </c>
      <c r="F8" s="380" t="s">
        <v>535</v>
      </c>
      <c r="G8" s="380" t="s">
        <v>548</v>
      </c>
      <c r="H8" s="375"/>
      <c r="I8" s="375"/>
      <c r="J8" s="375"/>
      <c r="K8" s="375"/>
      <c r="L8" s="375"/>
    </row>
    <row r="9" spans="1:12" ht="15.95" customHeight="1">
      <c r="A9" s="380" t="s">
        <v>474</v>
      </c>
      <c r="B9" s="380" t="s">
        <v>486</v>
      </c>
      <c r="C9" s="380" t="s">
        <v>497</v>
      </c>
      <c r="D9" s="380" t="s">
        <v>510</v>
      </c>
      <c r="E9" s="380" t="s">
        <v>523</v>
      </c>
      <c r="F9" s="380" t="s">
        <v>536</v>
      </c>
      <c r="G9" s="380" t="s">
        <v>549</v>
      </c>
      <c r="H9" s="375"/>
      <c r="I9" s="375"/>
      <c r="J9" s="375"/>
      <c r="K9" s="375"/>
      <c r="L9" s="375"/>
    </row>
    <row r="10" spans="1:12" ht="15.95" customHeight="1">
      <c r="A10" s="380" t="s">
        <v>475</v>
      </c>
      <c r="B10" s="380" t="s">
        <v>487</v>
      </c>
      <c r="C10" s="380" t="s">
        <v>498</v>
      </c>
      <c r="D10" s="380" t="s">
        <v>511</v>
      </c>
      <c r="E10" s="380" t="s">
        <v>524</v>
      </c>
      <c r="F10" s="380" t="s">
        <v>537</v>
      </c>
      <c r="G10" s="380" t="s">
        <v>550</v>
      </c>
      <c r="H10" s="375"/>
      <c r="I10" s="375"/>
      <c r="J10" s="375"/>
      <c r="K10" s="375"/>
      <c r="L10" s="375"/>
    </row>
    <row r="11" spans="1:12" ht="15.95" customHeight="1">
      <c r="A11" s="380" t="s">
        <v>476</v>
      </c>
      <c r="B11" s="380" t="s">
        <v>487</v>
      </c>
      <c r="C11" s="380" t="s">
        <v>499</v>
      </c>
      <c r="D11" s="380" t="s">
        <v>512</v>
      </c>
      <c r="E11" s="380" t="s">
        <v>525</v>
      </c>
      <c r="F11" s="380" t="s">
        <v>538</v>
      </c>
      <c r="G11" s="380" t="s">
        <v>551</v>
      </c>
      <c r="H11" s="375"/>
      <c r="I11" s="375"/>
      <c r="J11" s="375"/>
      <c r="K11" s="375"/>
      <c r="L11" s="375"/>
    </row>
    <row r="12" spans="1:12" ht="15.95" customHeight="1">
      <c r="A12" s="380" t="s">
        <v>477</v>
      </c>
      <c r="B12" s="380" t="s">
        <v>487</v>
      </c>
      <c r="C12" s="380" t="s">
        <v>500</v>
      </c>
      <c r="D12" s="380" t="s">
        <v>513</v>
      </c>
      <c r="E12" s="380" t="s">
        <v>526</v>
      </c>
      <c r="F12" s="380" t="s">
        <v>539</v>
      </c>
      <c r="G12" s="380" t="s">
        <v>552</v>
      </c>
      <c r="H12" s="375"/>
      <c r="I12" s="375"/>
      <c r="J12" s="375"/>
      <c r="K12" s="375"/>
      <c r="L12" s="375"/>
    </row>
    <row r="13" spans="1:12" ht="15.95" customHeight="1">
      <c r="A13" s="380" t="s">
        <v>478</v>
      </c>
      <c r="B13" s="380" t="s">
        <v>488</v>
      </c>
      <c r="C13" s="380" t="s">
        <v>501</v>
      </c>
      <c r="D13" s="380" t="s">
        <v>514</v>
      </c>
      <c r="E13" s="380" t="s">
        <v>527</v>
      </c>
      <c r="F13" s="380" t="s">
        <v>540</v>
      </c>
      <c r="G13" s="380" t="s">
        <v>553</v>
      </c>
      <c r="H13" s="375"/>
      <c r="I13" s="375"/>
      <c r="J13" s="375"/>
      <c r="K13" s="375"/>
      <c r="L13" s="375"/>
    </row>
    <row r="14" spans="1:12" ht="15.95" customHeight="1">
      <c r="A14" s="380" t="s">
        <v>479</v>
      </c>
      <c r="B14" s="380" t="s">
        <v>489</v>
      </c>
      <c r="C14" s="380" t="s">
        <v>502</v>
      </c>
      <c r="D14" s="380" t="s">
        <v>515</v>
      </c>
      <c r="E14" s="380" t="s">
        <v>528</v>
      </c>
      <c r="F14" s="380" t="s">
        <v>541</v>
      </c>
      <c r="G14" s="380" t="s">
        <v>554</v>
      </c>
      <c r="H14" s="375"/>
      <c r="I14" s="375"/>
      <c r="J14" s="375"/>
      <c r="K14" s="375"/>
      <c r="L14" s="375"/>
    </row>
    <row r="15" spans="1:12" ht="15.95" customHeight="1">
      <c r="A15" s="380" t="s">
        <v>480</v>
      </c>
      <c r="B15" s="380" t="s">
        <v>490</v>
      </c>
      <c r="C15" s="380" t="s">
        <v>503</v>
      </c>
      <c r="D15" s="380" t="s">
        <v>516</v>
      </c>
      <c r="E15" s="380" t="s">
        <v>529</v>
      </c>
      <c r="F15" s="380" t="s">
        <v>542</v>
      </c>
      <c r="G15" s="380" t="s">
        <v>555</v>
      </c>
      <c r="H15" s="375"/>
      <c r="I15" s="375"/>
      <c r="J15" s="375"/>
      <c r="K15" s="375"/>
      <c r="L15" s="375"/>
    </row>
    <row r="16" spans="1:12" ht="15.95" customHeight="1">
      <c r="A16" s="380" t="s">
        <v>481</v>
      </c>
      <c r="B16" s="380" t="s">
        <v>491</v>
      </c>
      <c r="C16" s="380" t="s">
        <v>504</v>
      </c>
      <c r="D16" s="380" t="s">
        <v>517</v>
      </c>
      <c r="E16" s="380" t="s">
        <v>530</v>
      </c>
      <c r="F16" s="380" t="s">
        <v>543</v>
      </c>
      <c r="G16" s="380" t="s">
        <v>556</v>
      </c>
      <c r="H16" s="375"/>
      <c r="I16" s="375"/>
      <c r="J16" s="375"/>
      <c r="K16" s="375"/>
      <c r="L16" s="375"/>
    </row>
    <row r="17" spans="1:12" ht="15.95" customHeight="1">
      <c r="A17" s="380" t="s">
        <v>482</v>
      </c>
      <c r="B17" s="380" t="s">
        <v>492</v>
      </c>
      <c r="C17" s="380" t="s">
        <v>505</v>
      </c>
      <c r="D17" s="380" t="s">
        <v>518</v>
      </c>
      <c r="E17" s="380" t="s">
        <v>531</v>
      </c>
      <c r="F17" s="380" t="s">
        <v>544</v>
      </c>
      <c r="G17" s="380" t="s">
        <v>557</v>
      </c>
      <c r="H17" s="375"/>
      <c r="I17" s="375"/>
      <c r="J17" s="375"/>
      <c r="K17" s="375"/>
      <c r="L17" s="375"/>
    </row>
    <row r="18" spans="1:12" ht="15.95" customHeight="1">
      <c r="A18" s="380" t="s">
        <v>483</v>
      </c>
      <c r="B18" s="380" t="s">
        <v>493</v>
      </c>
      <c r="C18" s="380" t="s">
        <v>506</v>
      </c>
      <c r="D18" s="380" t="s">
        <v>519</v>
      </c>
      <c r="E18" s="380" t="s">
        <v>532</v>
      </c>
      <c r="F18" s="380" t="s">
        <v>545</v>
      </c>
      <c r="G18" s="380" t="s">
        <v>558</v>
      </c>
      <c r="H18" s="375"/>
      <c r="I18" s="375"/>
      <c r="J18" s="375"/>
      <c r="K18" s="375"/>
      <c r="L18" s="375"/>
    </row>
    <row r="19" spans="1:12" ht="15.95" customHeight="1">
      <c r="A19" s="380" t="s">
        <v>484</v>
      </c>
      <c r="B19" s="380" t="s">
        <v>494</v>
      </c>
      <c r="C19" s="380" t="s">
        <v>507</v>
      </c>
      <c r="D19" s="380" t="s">
        <v>520</v>
      </c>
      <c r="E19" s="380" t="s">
        <v>533</v>
      </c>
      <c r="F19" s="380" t="s">
        <v>546</v>
      </c>
      <c r="G19" s="380" t="s">
        <v>559</v>
      </c>
      <c r="H19" s="375"/>
      <c r="I19" s="375"/>
      <c r="J19" s="375"/>
      <c r="K19" s="375"/>
      <c r="L19" s="375"/>
    </row>
    <row r="20" spans="1:12" ht="15.75">
      <c r="A20" s="375"/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</row>
    <row r="21" spans="1:12" ht="15.75">
      <c r="A21" s="375"/>
      <c r="B21" s="375"/>
      <c r="C21" s="375"/>
      <c r="D21" s="690" t="s">
        <v>569</v>
      </c>
      <c r="E21" s="686"/>
      <c r="F21" s="686"/>
      <c r="G21" s="687"/>
      <c r="H21" s="375"/>
      <c r="I21" s="375"/>
      <c r="J21" s="375"/>
      <c r="K21" s="375"/>
      <c r="L21" s="375"/>
    </row>
    <row r="22" spans="1:12" ht="17.25" customHeight="1">
      <c r="A22" s="375"/>
      <c r="B22" s="688" t="s">
        <v>443</v>
      </c>
      <c r="C22" s="688"/>
      <c r="D22" s="688" t="s">
        <v>444</v>
      </c>
      <c r="E22" s="688"/>
      <c r="F22" s="688" t="s">
        <v>445</v>
      </c>
      <c r="G22" s="688"/>
      <c r="H22" s="375"/>
      <c r="I22" s="375"/>
      <c r="J22" s="375"/>
      <c r="K22" s="375"/>
      <c r="L22" s="375"/>
    </row>
    <row r="23" spans="1:12" ht="15.75">
      <c r="A23" s="381" t="s">
        <v>446</v>
      </c>
      <c r="B23" s="684" t="s">
        <v>560</v>
      </c>
      <c r="C23" s="684"/>
      <c r="D23" s="684" t="s">
        <v>563</v>
      </c>
      <c r="E23" s="684"/>
      <c r="F23" s="684" t="s">
        <v>566</v>
      </c>
      <c r="G23" s="684"/>
      <c r="H23" s="375"/>
      <c r="I23" s="375"/>
      <c r="J23" s="375"/>
      <c r="K23" s="375"/>
      <c r="L23" s="375"/>
    </row>
    <row r="24" spans="1:12" ht="18" customHeight="1">
      <c r="A24" s="381" t="s">
        <v>447</v>
      </c>
      <c r="B24" s="684" t="s">
        <v>561</v>
      </c>
      <c r="C24" s="684"/>
      <c r="D24" s="684" t="s">
        <v>564</v>
      </c>
      <c r="E24" s="684"/>
      <c r="F24" s="684" t="s">
        <v>567</v>
      </c>
      <c r="G24" s="684"/>
      <c r="H24" s="375"/>
      <c r="I24" s="375"/>
      <c r="J24" s="375"/>
      <c r="K24" s="375"/>
      <c r="L24" s="375"/>
    </row>
    <row r="25" spans="1:12" ht="15.75">
      <c r="A25" s="381" t="s">
        <v>448</v>
      </c>
      <c r="B25" s="684" t="s">
        <v>562</v>
      </c>
      <c r="C25" s="684"/>
      <c r="D25" s="684" t="s">
        <v>565</v>
      </c>
      <c r="E25" s="684"/>
      <c r="F25" s="684" t="s">
        <v>568</v>
      </c>
      <c r="G25" s="684"/>
      <c r="H25" s="375"/>
      <c r="I25" s="375"/>
      <c r="J25" s="375"/>
      <c r="K25" s="375"/>
      <c r="L25" s="375"/>
    </row>
    <row r="26" spans="1:12" ht="15.75">
      <c r="A26" s="375"/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</row>
    <row r="27" spans="1:12" ht="20.25">
      <c r="A27" s="377" t="s">
        <v>449</v>
      </c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</row>
    <row r="28" spans="1:12" ht="15.75">
      <c r="A28" s="375"/>
      <c r="B28" s="375"/>
      <c r="C28" s="375"/>
      <c r="D28" s="375"/>
      <c r="E28" s="685" t="s">
        <v>450</v>
      </c>
      <c r="F28" s="686"/>
      <c r="G28" s="687"/>
      <c r="H28" s="375"/>
      <c r="I28" s="375"/>
      <c r="J28" s="375"/>
      <c r="K28" s="375"/>
      <c r="L28" s="375"/>
    </row>
    <row r="29" spans="1:12" ht="15.75">
      <c r="A29" s="375"/>
      <c r="B29" s="688" t="s">
        <v>451</v>
      </c>
      <c r="C29" s="688"/>
      <c r="D29" s="382" t="s">
        <v>452</v>
      </c>
      <c r="E29" s="382" t="s">
        <v>453</v>
      </c>
      <c r="F29" s="688" t="s">
        <v>454</v>
      </c>
      <c r="G29" s="688"/>
      <c r="H29" s="375"/>
      <c r="I29" s="375"/>
      <c r="J29" s="375"/>
      <c r="K29" s="375"/>
      <c r="L29" s="375"/>
    </row>
    <row r="30" spans="1:12" ht="15.75">
      <c r="A30" s="381" t="s">
        <v>455</v>
      </c>
      <c r="B30" s="684" t="s">
        <v>570</v>
      </c>
      <c r="C30" s="684"/>
      <c r="D30" s="380" t="s">
        <v>573</v>
      </c>
      <c r="E30" s="380" t="s">
        <v>456</v>
      </c>
      <c r="F30" s="684" t="s">
        <v>576</v>
      </c>
      <c r="G30" s="684"/>
      <c r="H30" s="375"/>
      <c r="I30" s="375"/>
      <c r="J30" s="375"/>
      <c r="K30" s="375"/>
      <c r="L30" s="375"/>
    </row>
    <row r="31" spans="1:12" ht="15.75">
      <c r="A31" s="381" t="s">
        <v>457</v>
      </c>
      <c r="B31" s="684" t="s">
        <v>571</v>
      </c>
      <c r="C31" s="684"/>
      <c r="D31" s="380" t="s">
        <v>574</v>
      </c>
      <c r="E31" s="380" t="s">
        <v>458</v>
      </c>
      <c r="F31" s="684" t="s">
        <v>577</v>
      </c>
      <c r="G31" s="684"/>
      <c r="H31" s="375"/>
      <c r="I31" s="375"/>
      <c r="J31" s="375"/>
      <c r="K31" s="375"/>
      <c r="L31" s="375"/>
    </row>
    <row r="32" spans="1:12" ht="15.75">
      <c r="A32" s="381" t="s">
        <v>459</v>
      </c>
      <c r="B32" s="684" t="s">
        <v>572</v>
      </c>
      <c r="C32" s="684"/>
      <c r="D32" s="380" t="s">
        <v>575</v>
      </c>
      <c r="E32" s="380" t="s">
        <v>460</v>
      </c>
      <c r="F32" s="684" t="s">
        <v>578</v>
      </c>
      <c r="G32" s="684"/>
      <c r="H32" s="375"/>
      <c r="I32" s="375"/>
      <c r="J32" s="375"/>
      <c r="K32" s="375"/>
      <c r="L32" s="375"/>
    </row>
    <row r="33" spans="1:12" ht="15.75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</row>
    <row r="34" spans="1:12" ht="15.75">
      <c r="A34" s="375"/>
      <c r="B34" s="375"/>
      <c r="C34" s="375"/>
      <c r="D34" s="375"/>
      <c r="E34" s="685" t="s">
        <v>461</v>
      </c>
      <c r="F34" s="686"/>
      <c r="G34" s="687"/>
      <c r="H34" s="375"/>
      <c r="I34" s="375"/>
      <c r="J34" s="375"/>
      <c r="K34" s="375"/>
      <c r="L34" s="375"/>
    </row>
    <row r="35" spans="1:12" ht="15.75">
      <c r="A35" s="375"/>
      <c r="B35" s="688" t="s">
        <v>462</v>
      </c>
      <c r="C35" s="688"/>
      <c r="D35" s="382" t="s">
        <v>453</v>
      </c>
      <c r="E35" s="382" t="s">
        <v>463</v>
      </c>
      <c r="F35" s="382" t="s">
        <v>100</v>
      </c>
      <c r="G35" s="382" t="s">
        <v>464</v>
      </c>
      <c r="H35" s="375"/>
      <c r="I35" s="375"/>
      <c r="J35" s="375"/>
      <c r="K35" s="375"/>
      <c r="L35" s="375"/>
    </row>
    <row r="36" spans="1:12" ht="15.75">
      <c r="A36" s="381" t="s">
        <v>455</v>
      </c>
      <c r="B36" s="680" t="s">
        <v>579</v>
      </c>
      <c r="C36" s="681"/>
      <c r="D36" s="383" t="s">
        <v>581</v>
      </c>
      <c r="E36" s="383" t="s">
        <v>465</v>
      </c>
      <c r="F36" s="384" t="s">
        <v>466</v>
      </c>
      <c r="G36" s="380" t="s">
        <v>584</v>
      </c>
      <c r="H36" s="375"/>
      <c r="I36" s="375"/>
      <c r="J36" s="375"/>
      <c r="K36" s="375"/>
      <c r="L36" s="375"/>
    </row>
    <row r="37" spans="1:12" ht="15.75">
      <c r="A37" s="381" t="s">
        <v>457</v>
      </c>
      <c r="B37" s="680" t="s">
        <v>580</v>
      </c>
      <c r="C37" s="681"/>
      <c r="D37" s="383" t="s">
        <v>582</v>
      </c>
      <c r="E37" s="383" t="s">
        <v>465</v>
      </c>
      <c r="F37" s="384" t="s">
        <v>467</v>
      </c>
      <c r="G37" s="385" t="s">
        <v>585</v>
      </c>
      <c r="H37" s="375"/>
      <c r="I37" s="375"/>
      <c r="J37" s="375"/>
      <c r="K37" s="375"/>
      <c r="L37" s="375"/>
    </row>
    <row r="38" spans="1:12" ht="15.75">
      <c r="A38" s="381" t="s">
        <v>459</v>
      </c>
      <c r="B38" s="680" t="s">
        <v>580</v>
      </c>
      <c r="C38" s="681"/>
      <c r="D38" s="383" t="s">
        <v>583</v>
      </c>
      <c r="E38" s="383" t="s">
        <v>465</v>
      </c>
      <c r="F38" s="384" t="s">
        <v>468</v>
      </c>
      <c r="G38" s="380" t="s">
        <v>586</v>
      </c>
      <c r="H38" s="375"/>
      <c r="I38" s="375"/>
      <c r="J38" s="375"/>
      <c r="K38" s="375"/>
      <c r="L38" s="375"/>
    </row>
    <row r="39" spans="1:12" ht="15.75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</row>
    <row r="40" spans="1:12" ht="15.75">
      <c r="A40" s="386" t="s">
        <v>469</v>
      </c>
      <c r="B40" s="682" t="s">
        <v>587</v>
      </c>
      <c r="C40" s="682"/>
      <c r="D40" s="683" t="s">
        <v>470</v>
      </c>
      <c r="E40" s="683"/>
      <c r="F40" s="682" t="s">
        <v>588</v>
      </c>
      <c r="G40" s="682"/>
      <c r="H40" s="375"/>
      <c r="I40" s="375"/>
      <c r="J40" s="375"/>
      <c r="K40" s="375"/>
      <c r="L40" s="375"/>
    </row>
    <row r="41" spans="1:12" ht="15.75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</row>
    <row r="42" spans="1:12" ht="15.75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</row>
    <row r="43" spans="1:12" ht="15.75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</row>
    <row r="44" spans="1:12" ht="15.75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</row>
    <row r="45" spans="1:12" ht="15.75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</row>
    <row r="46" spans="1:12" ht="15.75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</row>
    <row r="47" spans="1:12" ht="15.75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</row>
    <row r="48" spans="1:12" ht="15.75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</row>
    <row r="49" spans="1:12" ht="15.75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</row>
    <row r="50" spans="1:12" ht="15.75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</row>
    <row r="51" spans="1:12" ht="15.75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</row>
    <row r="52" spans="1:12" ht="15.75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</row>
    <row r="53" spans="1:12" ht="15.75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</row>
    <row r="54" spans="1:12" ht="15.75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</row>
    <row r="55" spans="1:12" ht="15.75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</row>
    <row r="56" spans="1:12" ht="15.75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</row>
    <row r="57" spans="1:12" ht="15.75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</row>
    <row r="58" spans="1:12" ht="15.75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</row>
    <row r="59" spans="1:12" ht="15.75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</row>
    <row r="60" spans="1:12" ht="15.75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</row>
    <row r="61" spans="1:12" ht="15.75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N29" sqref="N29"/>
    </sheetView>
  </sheetViews>
  <sheetFormatPr defaultColWidth="9.140625" defaultRowHeight="12.75"/>
  <cols>
    <col min="1" max="1" width="9.5703125" style="353" customWidth="1"/>
    <col min="2" max="11" width="7.7109375" style="353" customWidth="1"/>
    <col min="12" max="16384" width="9.140625" style="353"/>
  </cols>
  <sheetData>
    <row r="1" spans="1:12" ht="20.25">
      <c r="A1" s="693" t="s">
        <v>595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375"/>
    </row>
    <row r="2" spans="1:12" ht="30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9.5">
      <c r="A3" s="364" t="s">
        <v>432</v>
      </c>
      <c r="B3" s="393" t="s">
        <v>471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</row>
    <row r="4" spans="1:12" ht="12" customHeight="1">
      <c r="A4" s="375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</row>
    <row r="5" spans="1:12" ht="19.5">
      <c r="A5" s="394" t="s">
        <v>596</v>
      </c>
      <c r="B5" s="359"/>
      <c r="C5" s="359"/>
      <c r="D5" s="359"/>
      <c r="E5" s="359"/>
      <c r="F5" s="375"/>
      <c r="G5" s="375"/>
      <c r="H5" s="375"/>
      <c r="I5" s="375"/>
      <c r="J5" s="375"/>
      <c r="K5" s="375"/>
      <c r="L5" s="375"/>
    </row>
    <row r="6" spans="1:12" ht="17.25" customHeight="1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</row>
    <row r="7" spans="1:12" ht="15.75">
      <c r="A7" s="375"/>
      <c r="B7" s="395" t="s">
        <v>597</v>
      </c>
      <c r="C7" s="396">
        <v>0</v>
      </c>
      <c r="D7" s="395" t="s">
        <v>597</v>
      </c>
      <c r="E7" s="397" t="s">
        <v>598</v>
      </c>
      <c r="F7" s="395" t="s">
        <v>597</v>
      </c>
      <c r="G7" s="397" t="s">
        <v>599</v>
      </c>
      <c r="H7" s="395" t="s">
        <v>600</v>
      </c>
      <c r="I7" s="397">
        <v>0</v>
      </c>
      <c r="J7" s="395" t="s">
        <v>600</v>
      </c>
      <c r="K7" s="397">
        <v>6.0000000000000001E-3</v>
      </c>
      <c r="L7" s="375"/>
    </row>
    <row r="8" spans="1:12" ht="15.75">
      <c r="A8" s="380" t="s">
        <v>601</v>
      </c>
      <c r="B8" s="684">
        <v>6</v>
      </c>
      <c r="C8" s="684"/>
      <c r="D8" s="684">
        <v>18</v>
      </c>
      <c r="E8" s="684"/>
      <c r="F8" s="684">
        <v>6</v>
      </c>
      <c r="G8" s="684"/>
      <c r="H8" s="684" t="s">
        <v>616</v>
      </c>
      <c r="I8" s="684"/>
      <c r="J8" s="684" t="s">
        <v>617</v>
      </c>
      <c r="K8" s="684"/>
      <c r="L8" s="375"/>
    </row>
    <row r="9" spans="1:12" ht="15.75">
      <c r="A9" s="380" t="s">
        <v>602</v>
      </c>
      <c r="B9" s="684">
        <v>14</v>
      </c>
      <c r="C9" s="684"/>
      <c r="D9" s="684">
        <v>26</v>
      </c>
      <c r="E9" s="684"/>
      <c r="F9" s="684">
        <v>2</v>
      </c>
      <c r="G9" s="684"/>
      <c r="H9" s="684" t="s">
        <v>618</v>
      </c>
      <c r="I9" s="684"/>
      <c r="J9" s="684" t="s">
        <v>619</v>
      </c>
      <c r="K9" s="684"/>
      <c r="L9" s="375"/>
    </row>
    <row r="10" spans="1:12" ht="15.75">
      <c r="A10" s="380" t="s">
        <v>603</v>
      </c>
      <c r="B10" s="684">
        <v>10</v>
      </c>
      <c r="C10" s="684"/>
      <c r="D10" s="684">
        <v>22</v>
      </c>
      <c r="E10" s="684"/>
      <c r="F10" s="684">
        <v>2</v>
      </c>
      <c r="G10" s="684"/>
      <c r="H10" s="684" t="s">
        <v>620</v>
      </c>
      <c r="I10" s="684"/>
      <c r="J10" s="684" t="s">
        <v>621</v>
      </c>
      <c r="K10" s="684"/>
      <c r="L10" s="375"/>
    </row>
    <row r="11" spans="1:12" ht="26.25" customHeight="1">
      <c r="A11" s="375"/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</row>
    <row r="12" spans="1:12" ht="19.5">
      <c r="A12" s="394" t="s">
        <v>604</v>
      </c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</row>
    <row r="13" spans="1:12" ht="15.75">
      <c r="A13" s="375"/>
      <c r="B13" s="375"/>
      <c r="C13" s="375"/>
      <c r="D13" s="375"/>
      <c r="E13" s="375"/>
      <c r="F13" s="375"/>
      <c r="G13" s="375"/>
      <c r="H13" s="375"/>
      <c r="I13" s="375"/>
      <c r="J13" s="375"/>
      <c r="K13" s="375"/>
      <c r="L13" s="375"/>
    </row>
    <row r="14" spans="1:12" ht="15.75">
      <c r="A14" s="375"/>
      <c r="B14" s="691" t="s">
        <v>605</v>
      </c>
      <c r="C14" s="680"/>
      <c r="D14" s="692" t="s">
        <v>622</v>
      </c>
      <c r="E14" s="684"/>
      <c r="F14" s="691" t="s">
        <v>606</v>
      </c>
      <c r="G14" s="680"/>
      <c r="H14" s="692" t="s">
        <v>627</v>
      </c>
      <c r="I14" s="684"/>
      <c r="J14" s="375"/>
      <c r="K14" s="375"/>
      <c r="L14" s="375"/>
    </row>
    <row r="15" spans="1:12" ht="15.75">
      <c r="A15" s="375"/>
      <c r="B15" s="691" t="s">
        <v>607</v>
      </c>
      <c r="C15" s="680"/>
      <c r="D15" s="692" t="s">
        <v>623</v>
      </c>
      <c r="E15" s="684"/>
      <c r="F15" s="691" t="s">
        <v>608</v>
      </c>
      <c r="G15" s="680"/>
      <c r="H15" s="692" t="s">
        <v>628</v>
      </c>
      <c r="I15" s="684"/>
      <c r="J15" s="375"/>
      <c r="K15" s="375"/>
      <c r="L15" s="375"/>
    </row>
    <row r="16" spans="1:12" ht="15.75">
      <c r="A16" s="375"/>
      <c r="B16" s="691" t="s">
        <v>609</v>
      </c>
      <c r="C16" s="680"/>
      <c r="D16" s="692" t="s">
        <v>624</v>
      </c>
      <c r="E16" s="684"/>
      <c r="F16" s="691" t="s">
        <v>610</v>
      </c>
      <c r="G16" s="680"/>
      <c r="H16" s="692" t="s">
        <v>629</v>
      </c>
      <c r="I16" s="684"/>
      <c r="J16" s="375"/>
      <c r="K16" s="375"/>
      <c r="L16" s="375"/>
    </row>
    <row r="17" spans="1:12" ht="15.75">
      <c r="A17" s="375"/>
      <c r="B17" s="691" t="s">
        <v>611</v>
      </c>
      <c r="C17" s="680"/>
      <c r="D17" s="692" t="s">
        <v>625</v>
      </c>
      <c r="E17" s="684"/>
      <c r="F17" s="691" t="s">
        <v>612</v>
      </c>
      <c r="G17" s="680"/>
      <c r="H17" s="692" t="s">
        <v>630</v>
      </c>
      <c r="I17" s="684"/>
      <c r="J17" s="375"/>
      <c r="K17" s="375"/>
      <c r="L17" s="375"/>
    </row>
    <row r="18" spans="1:12" ht="15.75">
      <c r="A18" s="375"/>
      <c r="B18" s="691" t="s">
        <v>613</v>
      </c>
      <c r="C18" s="680"/>
      <c r="D18" s="692" t="s">
        <v>626</v>
      </c>
      <c r="E18" s="684"/>
      <c r="F18" s="691" t="s">
        <v>614</v>
      </c>
      <c r="G18" s="680"/>
      <c r="H18" s="692" t="s">
        <v>631</v>
      </c>
      <c r="I18" s="684"/>
      <c r="J18" s="375"/>
      <c r="K18" s="375"/>
      <c r="L18" s="375"/>
    </row>
    <row r="19" spans="1:12" ht="27" customHeight="1">
      <c r="A19" s="375"/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</row>
    <row r="20" spans="1:12" ht="19.5">
      <c r="A20" s="394" t="s">
        <v>615</v>
      </c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</row>
    <row r="21" spans="1:12" ht="15.75">
      <c r="A21" s="375"/>
      <c r="B21" s="375"/>
      <c r="C21" s="375"/>
      <c r="D21" s="375"/>
      <c r="E21" s="375"/>
      <c r="F21" s="375"/>
      <c r="G21" s="375"/>
      <c r="H21" s="375"/>
      <c r="I21" s="375"/>
      <c r="J21" s="375"/>
      <c r="K21" s="375"/>
      <c r="L21" s="375"/>
    </row>
    <row r="22" spans="1:12" ht="19.5">
      <c r="A22" s="375"/>
      <c r="B22" s="394" t="s">
        <v>632</v>
      </c>
      <c r="C22" s="375"/>
      <c r="D22" s="375"/>
      <c r="E22" s="375"/>
      <c r="F22" s="375"/>
      <c r="G22" s="375"/>
      <c r="H22" s="375"/>
      <c r="I22" s="375"/>
      <c r="J22" s="375"/>
      <c r="K22" s="375"/>
      <c r="L22" s="375"/>
    </row>
    <row r="23" spans="1:12" ht="15.75">
      <c r="A23" s="375"/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</row>
    <row r="24" spans="1:12" ht="15.75">
      <c r="A24" s="375"/>
      <c r="B24" s="375"/>
      <c r="C24" s="375"/>
      <c r="D24" s="375"/>
      <c r="E24" s="375"/>
      <c r="F24" s="375"/>
      <c r="G24" s="375"/>
      <c r="H24" s="375"/>
      <c r="I24" s="375"/>
      <c r="J24" s="375"/>
      <c r="K24" s="375"/>
      <c r="L24" s="375"/>
    </row>
    <row r="25" spans="1:12" ht="15.75">
      <c r="A25" s="375"/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</row>
    <row r="26" spans="1:12" ht="15.75">
      <c r="A26" s="375"/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</row>
    <row r="27" spans="1:12" ht="15.75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</row>
    <row r="28" spans="1:12" ht="15.75">
      <c r="A28" s="375"/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</row>
    <row r="29" spans="1:12" ht="15.75">
      <c r="A29" s="375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</row>
    <row r="30" spans="1:12" ht="15.75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</row>
    <row r="31" spans="1:12" ht="15.75">
      <c r="A31" s="375"/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5"/>
    </row>
    <row r="32" spans="1:12" ht="15.75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</row>
    <row r="33" spans="1:12" ht="15.75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 4000V</vt:lpstr>
      <vt:lpstr>Performance 2300V</vt:lpstr>
      <vt:lpstr>Form</vt:lpstr>
      <vt:lpstr>StallTime</vt:lpstr>
      <vt:lpstr>MagNoise</vt:lpstr>
      <vt:lpstr>'Data Sheet'!Print_Area</vt:lpstr>
      <vt:lpstr>DesignSheet!Print_Area</vt:lpstr>
      <vt:lpstr>Form!Print_Area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2014-06-13T15:08:55Z</cp:lastPrinted>
  <dcterms:created xsi:type="dcterms:W3CDTF">1997-10-03T20:37:30Z</dcterms:created>
  <dcterms:modified xsi:type="dcterms:W3CDTF">2025-02-27T13:20:51Z</dcterms:modified>
</cp:coreProperties>
</file>